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hecks" sheetId="2" state="visible" r:id="rId2"/>
    <sheet name="Lists" sheetId="3" state="hidden" r:id="rId3"/>
    <sheet name="Companies" sheetId="4" state="visible" r:id="rId4"/>
    <sheet name="Share classes" sheetId="5" state="visible" r:id="rId5"/>
    <sheet name="Holders" sheetId="6" state="visible" r:id="rId6"/>
    <sheet name="People" sheetId="7" state="visible" r:id="rId7"/>
    <sheet name="Access" sheetId="8" state="visible" r:id="rId8"/>
    <sheet name="Holdings" sheetId="9" state="visible" r:id="rId9"/>
    <sheet name="Boards" sheetId="10" state="visible" r:id="rId10"/>
    <sheet name="Prices" sheetId="11" state="visible" r:id="rId11"/>
    <sheet name="Holding notes" sheetId="12" state="visible" r:id="rId12"/>
  </sheets>
  <definedNames>
    <definedName name="_xlnm._FilterDatabase" localSheetId="3" hidden="1">'Companies'!$A$2:$N$63</definedName>
    <definedName name="_xlnm._FilterDatabase" localSheetId="4" hidden="1">'Share classes'!$A$2:$M$203</definedName>
    <definedName name="_xlnm._FilterDatabase" localSheetId="5" hidden="1">'Holders'!$A$2:$H$1003</definedName>
    <definedName name="_xlnm._FilterDatabase" localSheetId="6" hidden="1">'People'!$A$2:$J$1003</definedName>
    <definedName name="_xlnm._FilterDatabase" localSheetId="7" hidden="1">'Access'!$A$2:$G$1503</definedName>
    <definedName name="_xlnm._FilterDatabase" localSheetId="8" hidden="1">'Holdings'!$A$2:$N$2503</definedName>
    <definedName name="_xlnm._FilterDatabase" localSheetId="9" hidden="1">'Boards'!$A$2:$G$303</definedName>
    <definedName name="_xlnm._FilterDatabase" localSheetId="10" hidden="1">'Prices'!$A$2:$G$503</definedName>
    <definedName name="_xlnm._FilterDatabase" localSheetId="11" hidden="1">'Holding notes'!$A$2:$D$503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;[Red]-#,##0;&quot;-&quot;"/>
    <numFmt numFmtId="167" formatCode="$#,##0.0000"/>
  </numFmts>
  <fonts count="13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1F2937"/>
      <sz val="14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i val="1"/>
      <color rgb="009CA3A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sz val="16"/>
    </font>
  </fonts>
  <fills count="8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4B5563"/>
      </patternFill>
    </fill>
    <fill>
      <patternFill patternType="solid">
        <fgColor rgb="00FAFAFA"/>
      </patternFill>
    </fill>
    <fill>
      <patternFill patternType="solid">
        <fgColor rgb="00FFF9DB"/>
      </patternFill>
    </fill>
    <fill>
      <patternFill patternType="solid">
        <fgColor rgb="00F3F4F6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vertical="top" wrapText="1"/>
    </xf>
    <xf numFmtId="0" fontId="9" fillId="0" borderId="0" pivotButton="0" quotePrefix="0" xfId="0"/>
    <xf numFmtId="0" fontId="9" fillId="5" borderId="0" pivotButton="0" quotePrefix="0" xfId="0"/>
    <xf numFmtId="0" fontId="9" fillId="6" borderId="0" pivotButton="0" quotePrefix="0" xfId="0"/>
    <xf numFmtId="0" fontId="9" fillId="4" borderId="0" pivotButton="0" quotePrefix="0" xfId="0"/>
    <xf numFmtId="0" fontId="9" fillId="7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9" fillId="0" borderId="1" pivotButton="0" quotePrefix="0" xfId="0"/>
    <xf numFmtId="0" fontId="8" fillId="0" borderId="1" pivotButton="0" quotePrefix="0" xfId="0"/>
    <xf numFmtId="0" fontId="10" fillId="0" borderId="1" pivotButton="0" quotePrefix="0" xfId="0"/>
    <xf numFmtId="0" fontId="11" fillId="0" borderId="0" pivotButton="0" quotePrefix="0" xfId="0"/>
    <xf numFmtId="3" fontId="8" fillId="0" borderId="1" pivotButton="0" quotePrefix="0" xfId="0"/>
    <xf numFmtId="10" fontId="8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pivotButton="0" quotePrefix="0" xfId="0"/>
    <xf numFmtId="10" fontId="6" fillId="4" borderId="1" pivotButton="0" quotePrefix="0" xfId="0"/>
    <xf numFmtId="165" fontId="6" fillId="4" borderId="1" pivotButton="0" quotePrefix="0" xfId="0"/>
    <xf numFmtId="10" fontId="0" fillId="0" borderId="0" pivotButton="0" quotePrefix="0" xfId="0"/>
    <xf numFmtId="0" fontId="7" fillId="5" borderId="1" pivotButton="0" quotePrefix="0" xfId="0"/>
    <xf numFmtId="10" fontId="7" fillId="5" borderId="1" pivotButton="0" quotePrefix="0" xfId="0"/>
    <xf numFmtId="165" fontId="7" fillId="5" borderId="1" pivotButton="0" quotePrefix="0" xfId="0"/>
    <xf numFmtId="10" fontId="8" fillId="6" borderId="1" pivotButton="0" quotePrefix="0" xfId="0"/>
    <xf numFmtId="0" fontId="8" fillId="6" borderId="1" pivotButton="0" quotePrefix="0" xfId="0"/>
    <xf numFmtId="3" fontId="6" fillId="4" borderId="1" pivotButton="0" quotePrefix="0" xfId="0"/>
    <xf numFmtId="3" fontId="0" fillId="0" borderId="0" pivotButton="0" quotePrefix="0" xfId="0"/>
    <xf numFmtId="166" fontId="0" fillId="0" borderId="0" pivotButton="0" quotePrefix="0" xfId="0"/>
    <xf numFmtId="3" fontId="7" fillId="5" borderId="1" pivotButton="0" quotePrefix="0" xfId="0"/>
    <xf numFmtId="3" fontId="8" fillId="6" borderId="1" pivotButton="0" quotePrefix="0" xfId="0"/>
    <xf numFmtId="166" fontId="8" fillId="6" borderId="1" pivotButton="0" quotePrefix="0" xfId="0"/>
    <xf numFmtId="167" fontId="6" fillId="4" borderId="1" pivotButton="0" quotePrefix="0" xfId="0"/>
    <xf numFmtId="167" fontId="7" fillId="5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B91C1C"/>
        <sz val="10"/>
      </font>
      <fill>
        <patternFill patternType="solid">
          <fgColor rgb="00FDE2E2"/>
        </patternFill>
      </fill>
    </dxf>
    <dxf>
      <font>
        <name val="Arial"/>
        <color rgb="0092400E"/>
        <sz val="10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Lakeba portal</author>
  </authors>
  <commentList>
    <comment ref="A2" authorId="0" shapeId="0">
      <text>
        <t>Short unique code, capitals, e.g. LKB, EZF. Used on every other sheet.</t>
      </text>
    </comment>
    <comment ref="B2" authorId="0" shapeId="0">
      <text>
        <t>As registered, e.g. Ezifin Pty Ltd. A legal or a display name is required.</t>
      </text>
    </comment>
    <comment ref="C2" authorId="0" shapeId="0">
      <text>
        <t>Name shown in the portal, e.g. Ezifin</t>
      </text>
    </comment>
    <comment ref="F2" authorId="0" shapeId="0">
      <text>
        <t>Group, Controlled venture or Non-controlling investment</t>
      </text>
    </comment>
    <comment ref="G2" authorId="0" shapeId="0">
      <text>
        <t>Full portal: its shareholders sign in. Portfolio entry only: shown to group shareholders as a Lakeba investment.</t>
      </text>
    </comment>
    <comment ref="H2" authorId="0" shapeId="0">
      <text>
        <t>Lakeba’s ownership as reported, e.g. 65% (type the % sign).</t>
      </text>
    </comment>
    <comment ref="I2" authorId="0" shapeId="0">
      <text>
        <t>Date of the stated stake</t>
      </text>
    </comment>
    <comment ref="K2" authorId="0" shapeId="0">
      <text>
        <t>For information: who manages this company in the portal. Not imported: give company admins on the Boards sheet (Position: Company admin) or in System → Users.</t>
      </text>
    </comment>
    <comment ref="M2" authorId="0" shapeId="0">
      <text>
        <t>Calculated: latest Holdings of holder LKB-GROUP ÷ all latest holdings in this company’s classes that count toward %. Should match the stated stake.</t>
      </text>
    </comment>
  </commentList>
</comments>
</file>

<file path=xl/comments/comment2.xml><?xml version="1.0" encoding="utf-8"?>
<comments xmlns="http://schemas.openxmlformats.org/spreadsheetml/2006/main">
  <authors>
    <author>Lakeba portal</author>
  </authors>
  <commentList>
    <comment ref="A2" authorId="0" shapeId="0">
      <text>
        <t>From the Companies sheet</t>
      </text>
    </comment>
    <comment ref="B2" authorId="0" shapeId="0">
      <text>
        <t>Unique across all companies: company code + class, e.g. EZF-ORD, LKB-F</t>
      </text>
    </comment>
    <comment ref="C2" authorId="0" shapeId="0">
      <text>
        <t>e.g. Ordinary shares</t>
      </text>
    </comment>
    <comment ref="E2" authorId="0" shapeId="0">
      <text>
        <t>Do holders of this class vote at meetings?</t>
      </text>
    </comment>
    <comment ref="F2" authorId="0" shapeId="0">
      <text>
        <t>Include in ownership percentages? Usually Yes for shares, No for options, notes and SAFEs.</t>
      </text>
    </comment>
    <comment ref="G2" authorId="0" shapeId="0">
      <text>
        <t>Total on issue per the share register. Percentages use this when present.</t>
      </text>
    </comment>
    <comment ref="H2" authorId="0" shapeId="0">
      <text>
        <t>Date of the official figure</t>
      </text>
    </comment>
    <comment ref="I2" authorId="0" shapeId="0">
      <text>
        <t>AUD unless stated</t>
      </text>
    </comment>
    <comment ref="K2" authorId="0" shapeId="0">
      <text>
        <t>Calculated: sum of each holder’s latest holding in this class (Holdings sheet).</t>
      </text>
    </comment>
    <comment ref="L2" authorId="0" shapeId="0">
      <text>
        <t>Official on issue − total in this file. Not zero means the register in this file is incomplete or wrong.</t>
      </text>
    </comment>
  </commentList>
</comments>
</file>

<file path=xl/comments/comment3.xml><?xml version="1.0" encoding="utf-8"?>
<comments xmlns="http://schemas.openxmlformats.org/spreadsheetml/2006/main">
  <authors>
    <author>Lakeba portal</author>
  </authors>
  <commentList>
    <comment ref="A2" authorId="0" shapeId="0">
      <text>
        <t>Your unique reference. Keep existing IDs (WP-0001…); new holders e.g. H-0001. LKB-GROUP is Lakeba Group Limited itself.</t>
      </text>
    </comment>
    <comment ref="B2" authorId="0" shapeId="0">
      <text>
        <t>Exactly as on the share register, e.g. Smith Super Pty Ltd ATF Smith Super Fund</t>
      </text>
    </comment>
    <comment ref="F2" authorId="0" shapeId="0">
      <text>
        <t>Calculated: rows on the Holdings sheet</t>
      </text>
    </comment>
    <comment ref="G2" authorId="0" shapeId="0">
      <text>
        <t>Calculated: people on the Access sheet who can see this holder</t>
      </text>
    </comment>
  </commentList>
</comments>
</file>

<file path=xl/comments/comment4.xml><?xml version="1.0" encoding="utf-8"?>
<comments xmlns="http://schemas.openxmlformats.org/spreadsheetml/2006/main">
  <authors>
    <author>Lakeba portal</author>
  </authors>
  <commentList>
    <comment ref="A2" authorId="0" shapeId="0">
      <text>
        <t>Their sign-in email. One account per email.</t>
      </text>
    </comment>
    <comment ref="E2" authorId="0" shapeId="0">
      <text>
        <t>Empty for investors. For staff: their roles, comma separated, e.g. Board or Marketing, Legal (the names in System → Roles). Given for the whole group; never removed by an import. Admin is never given from a file.</t>
      </text>
    </comment>
    <comment ref="F2" authorId="0" shapeId="0">
      <text>
        <t>Yes: they get emails about new documents, meetings and news.</t>
      </text>
    </comment>
    <comment ref="H2" authorId="0" shapeId="0">
      <text>
        <t>Calculated: rows on the Access sheet</t>
      </text>
    </comment>
    <comment ref="I2" authorId="0" shapeId="0">
      <text>
        <t>Calculated from Access + Holdings (needs Excel 2019 or later).</t>
      </text>
    </comment>
  </commentList>
</comments>
</file>

<file path=xl/comments/comment5.xml><?xml version="1.0" encoding="utf-8"?>
<comments xmlns="http://schemas.openxmlformats.org/spreadsheetml/2006/main">
  <authors>
    <author>Lakeba portal</author>
  </authors>
  <commentList>
    <comment ref="A2" authorId="0" shapeId="0">
      <text>
        <t>From the People sheet</t>
      </text>
    </comment>
    <comment ref="B2" authorId="0" shapeId="0">
      <text>
        <t>From the Holders sheet</t>
      </text>
    </comment>
    <comment ref="C2" authorId="0" shapeId="0">
      <text>
        <t>Owner can vote and ask questions; Viewer is read-only (e.g. an accountant).</t>
      </text>
    </comment>
    <comment ref="E2" authorId="0" shapeId="0">
      <text>
        <t>Calculated</t>
      </text>
    </comment>
    <comment ref="F2" authorId="0" shapeId="0">
      <text>
        <t>Calculated: companies this holder holds shares in, so what this person will see.</t>
      </text>
    </comment>
  </commentList>
</comments>
</file>

<file path=xl/comments/comment6.xml><?xml version="1.0" encoding="utf-8"?>
<comments xmlns="http://schemas.openxmlformats.org/spreadsheetml/2006/main">
  <authors>
    <author>Lakeba portal</author>
  </authors>
  <commentList>
    <comment ref="A2" authorId="0" shapeId="0">
      <text>
        <t>From the Holders sheet</t>
      </text>
    </comment>
    <comment ref="B2" authorId="0" shapeId="0">
      <text>
        <t>From the Share classes sheet, e.g. EZF-ORD</t>
      </text>
    </comment>
    <comment ref="C2" authorId="0" shapeId="0">
      <text>
        <t>Whole number. Use 0 when a holder sold out (keeps the history).</t>
      </text>
    </comment>
    <comment ref="D2" authorId="0" shapeId="0">
      <text>
        <t>Date of this balance</t>
      </text>
    </comment>
    <comment ref="E2" authorId="0" shapeId="0">
      <text>
        <t>Holder number on that company’s register, if any</t>
      </text>
    </comment>
    <comment ref="H2" authorId="0" shapeId="0">
      <text>
        <t>Options and convertible notes: the price per share to exercise or convert. Leave empty for shares.</t>
      </text>
    </comment>
    <comment ref="I2" authorId="0" shapeId="0">
      <text>
        <t>Options and notes: the expiry date. Leave empty for shares.</t>
      </text>
    </comment>
    <comment ref="J2" authorId="0" shapeId="0">
      <text>
        <t>Calculated from the class</t>
      </text>
    </comment>
    <comment ref="K2" authorId="0" shapeId="0">
      <text>
        <t>Calculated</t>
      </text>
    </comment>
    <comment ref="L2" authorId="0" shapeId="0">
      <text>
        <t>Calculated: Yes when this is the most recent row for this holder and class</t>
      </text>
    </comment>
    <comment ref="M2" authorId="0" shapeId="0">
      <text>
        <t>Calculated from the class</t>
      </text>
    </comment>
  </commentList>
</comments>
</file>

<file path=xl/comments/comment7.xml><?xml version="1.0" encoding="utf-8"?>
<comments xmlns="http://schemas.openxmlformats.org/spreadsheetml/2006/main">
  <authors>
    <author>Lakeba portal</author>
  </authors>
  <commentList>
    <comment ref="B2" authorId="0" shapeId="0">
      <text>
        <t>Must also be on the People sheet</t>
      </text>
    </comment>
    <comment ref="C2" authorId="0" shapeId="0">
      <text>
        <t>Directors and officers see that company’s board documents. Company admin: gets the Admin role for this company only (System → Users).</t>
      </text>
    </comment>
    <comment ref="E2" authorId="0" shapeId="0">
      <text>
        <t>Leave empty while current</t>
      </text>
    </comment>
  </commentList>
</comments>
</file>

<file path=xl/comments/comment8.xml><?xml version="1.0" encoding="utf-8"?>
<comments xmlns="http://schemas.openxmlformats.org/spreadsheetml/2006/main">
  <authors>
    <author>Lakeba portal</author>
  </authors>
  <commentList>
    <comment ref="C2" authorId="0" shapeId="0">
      <text>
        <t>AUD unless stated</t>
      </text>
    </comment>
    <comment ref="F2" authorId="0" shapeId="0">
      <text>
        <t>e.g. Series A at $1.20</t>
      </text>
    </comment>
  </commentList>
</comments>
</file>

<file path=xl/comments/comment9.xml><?xml version="1.0" encoding="utf-8"?>
<comments xmlns="http://schemas.openxmlformats.org/spreadsheetml/2006/main">
  <authors>
    <author>Lakeba portal</author>
  </authors>
  <commentList>
    <comment ref="A2" authorId="0" shapeId="0">
      <text>
        <t>From the Holders sheet</t>
      </text>
    </comment>
    <comment ref="B2" authorId="0" shapeId="0">
      <text>
        <t>From the Share classes sheet</t>
      </text>
    </comment>
    <comment ref="C2" authorId="0" shapeId="0">
      <text>
        <t>Shown to the holder next to that holding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Lakeba Investor Portal: investor data</t>
        </is>
      </c>
    </row>
    <row r="2">
      <c r="A2" s="2" t="inlineStr"/>
      <c r="B2" s="3" t="inlineStr"/>
    </row>
    <row r="3">
      <c r="A3" s="4" t="inlineStr">
        <is>
          <t>What this file is</t>
        </is>
      </c>
      <c r="B3" s="3" t="inlineStr">
        <is>
          <t>One place to record every company, share class, holder, login and holding the portal should know about: Lakeba Group and its ventures. The portal is built and checked from it.</t>
        </is>
      </c>
    </row>
    <row r="4">
      <c r="A4" s="4" t="inlineStr">
        <is>
          <t>Version</t>
        </is>
      </c>
      <c r="B4" s="3" t="inlineStr">
        <is>
          <t>Blank template.</t>
        </is>
      </c>
    </row>
    <row r="5">
      <c r="A5" s="2" t="inlineStr"/>
      <c r="B5" s="3" t="inlineStr"/>
    </row>
    <row r="6">
      <c r="A6" s="4" t="inlineStr">
        <is>
          <t>How to fill it in</t>
        </is>
      </c>
      <c r="B6" s="3" t="inlineStr"/>
    </row>
    <row r="7">
      <c r="A7" s="4" t="inlineStr">
        <is>
          <t>1. Companies</t>
        </is>
      </c>
      <c r="B7" s="3" t="inlineStr">
        <is>
          <t>Lakeba Group and each venture, with a short code (LKB, EZF…).</t>
        </is>
      </c>
    </row>
    <row r="8">
      <c r="A8" s="4" t="inlineStr">
        <is>
          <t>2. Share classes</t>
        </is>
      </c>
      <c r="B8" s="3" t="inlineStr">
        <is>
          <t>Each class per company. Class codes start with the company code (EZF-ORD). Add the official number on issue from the register.</t>
        </is>
      </c>
    </row>
    <row r="9">
      <c r="A9" s="4" t="inlineStr">
        <is>
          <t>3. Holders</t>
        </is>
      </c>
      <c r="B9" s="3" t="inlineStr">
        <is>
          <t>Every legal owner on any register, once, even if they hold in several companies. LKB-GROUP is Lakeba Group Limited (it holds the ventures).</t>
        </is>
      </c>
    </row>
    <row r="10">
      <c r="A10" s="4" t="inlineStr">
        <is>
          <t>4. Holdings</t>
        </is>
      </c>
      <c r="B10" s="3" t="inlineStr">
        <is>
          <t>One row per holder, class and date. To record a change, add a row with the new date; don’t overwrite.</t>
        </is>
      </c>
    </row>
    <row r="11">
      <c r="A11" s="4" t="inlineStr">
        <is>
          <t>5. People</t>
        </is>
      </c>
      <c r="B11" s="3" t="inlineStr">
        <is>
          <t>Everyone who will sign in, one row per email. Staff roles (Board, Marketing…) can be listed here; investors have none.</t>
        </is>
      </c>
    </row>
    <row r="12">
      <c r="A12" s="4" t="inlineStr">
        <is>
          <t>6. Access</t>
        </is>
      </c>
      <c r="B12" s="3" t="inlineStr">
        <is>
          <t>Which holders each person sees. What they see follows from the holdings: an Ezifin-only shareholder sees only Ezifin.</t>
        </is>
      </c>
    </row>
    <row r="13">
      <c r="A13" s="4" t="inlineStr">
        <is>
          <t>7. Boards</t>
        </is>
      </c>
      <c r="B13" s="3" t="inlineStr">
        <is>
          <t>Directors and company admins per company.</t>
        </is>
      </c>
    </row>
    <row r="14">
      <c r="A14" s="4" t="inlineStr">
        <is>
          <t>8. Prices</t>
        </is>
      </c>
      <c r="B14" s="3" t="inlineStr">
        <is>
          <t>Reference prices per class (optional).</t>
        </is>
      </c>
    </row>
    <row r="15">
      <c r="A15" s="4" t="inlineStr">
        <is>
          <t>9. Holding notes</t>
        </is>
      </c>
      <c r="B15" s="3" t="inlineStr">
        <is>
          <t>Notes the holder sees next to a holding (optional).</t>
        </is>
      </c>
    </row>
    <row r="16">
      <c r="A16" s="4" t="inlineStr">
        <is>
          <t>10. Checks</t>
        </is>
      </c>
      <c r="B16" s="3" t="inlineStr">
        <is>
          <t>Every “Problems” figure should be 0. Red cells on each sheet show which rows.</t>
        </is>
      </c>
    </row>
    <row r="17">
      <c r="A17" s="2" t="inlineStr"/>
      <c r="B17" s="3" t="inlineStr"/>
    </row>
    <row r="18">
      <c r="A18" s="5" t="inlineStr">
        <is>
          <t>Legend</t>
        </is>
      </c>
      <c r="B18" s="3" t="inlineStr"/>
    </row>
    <row r="19">
      <c r="A19" s="6" t="inlineStr">
        <is>
          <t>Yellow cells, blue text</t>
        </is>
      </c>
      <c r="B19" s="3" t="inlineStr">
        <is>
          <t>Fill these in. Columns marked * are required.</t>
        </is>
      </c>
    </row>
    <row r="20">
      <c r="A20" s="7" t="inlineStr">
        <is>
          <t>Grey cells, black text</t>
        </is>
      </c>
      <c r="B20" s="3" t="inlineStr">
        <is>
          <t>Calculated. Don’t type here.</t>
        </is>
      </c>
    </row>
    <row r="21">
      <c r="A21" s="8" t="inlineStr">
        <is>
          <t>Light grey italic row 3</t>
        </is>
      </c>
      <c r="B21" s="3" t="inlineStr">
        <is>
          <t>An example of the format. It is not imported.</t>
        </is>
      </c>
    </row>
    <row r="22">
      <c r="A22" s="4" t="inlineStr">
        <is>
          <t>Red cell</t>
        </is>
      </c>
      <c r="B22" s="3" t="inlineStr">
        <is>
          <t>A check found a problem in that row.</t>
        </is>
      </c>
    </row>
    <row r="23">
      <c r="A23" s="4" t="inlineStr">
        <is>
          <t>Header notes</t>
        </is>
      </c>
      <c r="B23" s="3" t="inlineStr">
        <is>
          <t>Hover over a column header for an explanation.</t>
        </is>
      </c>
    </row>
    <row r="24">
      <c r="A24" s="2" t="inlineStr"/>
      <c r="B24" s="3" t="inlineStr"/>
    </row>
    <row r="25">
      <c r="A25" s="4" t="inlineStr">
        <is>
          <t>Formats</t>
        </is>
      </c>
      <c r="B25" s="3" t="inlineStr">
        <is>
          <t>Dates as dd/mm/yyyy. Shares as whole numbers. Percentages with a % sign (65%). Choose list values from the drop-downs.</t>
        </is>
      </c>
    </row>
    <row r="26">
      <c r="A26" s="4" t="inlineStr">
        <is>
          <t>Confidential</t>
        </is>
      </c>
      <c r="B26" s="3" t="inlineStr">
        <is>
          <t>Once filled in, this file contains personal information about investors. Keep it access-controlled.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60" customWidth="1" min="4" max="4"/>
  </cols>
  <sheetData>
    <row r="1">
      <c r="A1" s="9" t="inlineStr">
        <is>
          <t>Checks</t>
        </is>
      </c>
    </row>
    <row r="2">
      <c r="A2" s="10" t="inlineStr">
        <is>
          <t>Everything should read 0 before the file is imported. Filter a sheet’s Check column to find the rows.</t>
        </is>
      </c>
    </row>
    <row r="4">
      <c r="A4" s="11" t="inlineStr">
        <is>
          <t>Sheet</t>
        </is>
      </c>
      <c r="B4" s="11" t="inlineStr">
        <is>
          <t>Rows filled</t>
        </is>
      </c>
      <c r="C4" s="11" t="inlineStr">
        <is>
          <t>Problems</t>
        </is>
      </c>
      <c r="D4" s="11" t="inlineStr">
        <is>
          <t>What it checks</t>
        </is>
      </c>
    </row>
    <row r="5">
      <c r="A5" s="12" t="inlineStr">
        <is>
          <t>Companies</t>
        </is>
      </c>
      <c r="B5" s="13">
        <f>SUMPRODUCT(('Companies'!$A$4:$A$63&lt;&gt;"")*1)</f>
        <v/>
      </c>
      <c r="C5" s="13">
        <f>SUMPRODUCT(('Companies'!$N$4:$N$63&lt;&gt;"")*('Companies'!$N$4:$N$63&lt;&gt;"OK"))</f>
        <v/>
      </c>
      <c r="D5" s="14" t="inlineStr">
        <is>
          <t>Unique code, required fields, stated Lakeba stake matches the register</t>
        </is>
      </c>
    </row>
    <row r="6">
      <c r="A6" s="12" t="inlineStr">
        <is>
          <t>Share classes</t>
        </is>
      </c>
      <c r="B6" s="13">
        <f>SUMPRODUCT(('Share classes'!$B$4:$B$203&lt;&gt;"")*1)</f>
        <v/>
      </c>
      <c r="C6" s="13">
        <f>SUMPRODUCT(('Share classes'!$M$4:$M$203&lt;&gt;"")*('Share classes'!$M$4:$M$203&lt;&gt;"OK"))</f>
        <v/>
      </c>
      <c r="D6" s="14" t="inlineStr">
        <is>
          <t>Unique code, known company, holdings add up to the official number on issue</t>
        </is>
      </c>
    </row>
    <row r="7">
      <c r="A7" s="12" t="inlineStr">
        <is>
          <t>Holders</t>
        </is>
      </c>
      <c r="B7" s="13">
        <f>SUMPRODUCT(('Holders'!$A$4:$A$1003&lt;&gt;"")*1)</f>
        <v/>
      </c>
      <c r="C7" s="13">
        <f>SUMPRODUCT(('Holders'!$H$4:$H$1003&lt;&gt;"")*('Holders'!$H$4:$H$1003&lt;&gt;"OK"))</f>
        <v/>
      </c>
      <c r="D7" s="14" t="inlineStr">
        <is>
          <t>Unique ID, required fields, has holdings (“No login” is a warning, counted here too)</t>
        </is>
      </c>
    </row>
    <row r="8">
      <c r="A8" s="12" t="inlineStr">
        <is>
          <t>People</t>
        </is>
      </c>
      <c r="B8" s="13">
        <f>SUMPRODUCT(('People'!$A$4:$A$1003&lt;&gt;"")*1)</f>
        <v/>
      </c>
      <c r="C8" s="13">
        <f>SUMPRODUCT(('People'!$J$4:$J$1003&lt;&gt;"")*('People'!$J$4:$J$1003&lt;&gt;"OK"))</f>
        <v/>
      </c>
      <c r="D8" s="14" t="inlineStr">
        <is>
          <t>Unique email, valid address, investors linked to at least one holder</t>
        </is>
      </c>
    </row>
    <row r="9">
      <c r="A9" s="12" t="inlineStr">
        <is>
          <t>Access</t>
        </is>
      </c>
      <c r="B9" s="13">
        <f>SUMPRODUCT(('Access'!$A$4:$A$1503&lt;&gt;"")*1)</f>
        <v/>
      </c>
      <c r="C9" s="13">
        <f>SUMPRODUCT(('Access'!$G$4:$G$1503&lt;&gt;"")*('Access'!$G$4:$G$1503&lt;&gt;"OK"))</f>
        <v/>
      </c>
      <c r="D9" s="14" t="inlineStr">
        <is>
          <t>Email and holder exist, no duplicate links</t>
        </is>
      </c>
    </row>
    <row r="10">
      <c r="A10" s="12" t="inlineStr">
        <is>
          <t>Holdings</t>
        </is>
      </c>
      <c r="B10" s="13">
        <f>SUMPRODUCT(('Holdings'!$A$4:$A$2503&lt;&gt;"")*1)</f>
        <v/>
      </c>
      <c r="C10" s="13">
        <f>SUMPRODUCT(('Holdings'!$N$4:$N$2503&lt;&gt;"")*('Holdings'!$N$4:$N$2503&lt;&gt;"OK"))</f>
        <v/>
      </c>
      <c r="D10" s="14" t="inlineStr">
        <is>
          <t>Holder and class exist, whole shares, no duplicate rows</t>
        </is>
      </c>
    </row>
    <row r="11">
      <c r="A11" s="12" t="inlineStr">
        <is>
          <t>Boards</t>
        </is>
      </c>
      <c r="B11" s="13">
        <f>SUMPRODUCT(('Boards'!$A$4:$A$303&lt;&gt;"")*1)</f>
        <v/>
      </c>
      <c r="C11" s="13">
        <f>SUMPRODUCT(('Boards'!$G$4:$G$303&lt;&gt;"")*('Boards'!$G$4:$G$303&lt;&gt;"OK"))</f>
        <v/>
      </c>
      <c r="D11" s="14" t="inlineStr">
        <is>
          <t>Company and email exist</t>
        </is>
      </c>
    </row>
    <row r="12">
      <c r="A12" s="12" t="inlineStr">
        <is>
          <t>Prices</t>
        </is>
      </c>
      <c r="B12" s="13">
        <f>SUMPRODUCT(('Prices'!$A$4:$A$503&lt;&gt;"")*1)</f>
        <v/>
      </c>
      <c r="C12" s="13">
        <f>SUMPRODUCT(('Prices'!$G$4:$G$503&lt;&gt;"")*('Prices'!$G$4:$G$503&lt;&gt;"OK"))</f>
        <v/>
      </c>
      <c r="D12" s="14" t="inlineStr">
        <is>
          <t>Class exists, no duplicates</t>
        </is>
      </c>
    </row>
    <row r="13">
      <c r="A13" s="12" t="inlineStr">
        <is>
          <t>Holding notes</t>
        </is>
      </c>
      <c r="B13" s="13">
        <f>SUMPRODUCT(('Holding notes'!$A$4:$A$503&lt;&gt;"")*1)</f>
        <v/>
      </c>
      <c r="C13" s="13">
        <f>SUMPRODUCT(('Holding notes'!$D$4:$D$503&lt;&gt;"")*('Holding notes'!$D$4:$D$503&lt;&gt;"OK"))</f>
        <v/>
      </c>
      <c r="D13" s="14" t="inlineStr">
        <is>
          <t>Holder and class exist, one note per holding</t>
        </is>
      </c>
    </row>
    <row r="15">
      <c r="A15" s="15" t="inlineStr">
        <is>
          <t>Ownership by company</t>
        </is>
      </c>
    </row>
    <row r="16">
      <c r="A16" s="11" t="inlineStr">
        <is>
          <t>Company</t>
        </is>
      </c>
      <c r="B16" s="11" t="inlineStr">
        <is>
          <t>Holders (latest &gt; 0)</t>
        </is>
      </c>
      <c r="C16" s="11" t="inlineStr">
        <is>
          <t>Shares (count toward %)</t>
        </is>
      </c>
      <c r="D16" s="11" t="inlineStr">
        <is>
          <t>Lakeba % per register</t>
        </is>
      </c>
    </row>
    <row r="17">
      <c r="A17" s="13">
        <f>IF('Companies'!A4="","",'Companies'!A4)</f>
        <v/>
      </c>
      <c r="B17" s="13">
        <f>IF(A17="","",SUMPRODUCT(('Holdings'!$J$4:$J$2503=A17)*('Holdings'!$L$4:$L$2503="Yes")*('Holdings'!$C$4:$C$2503&gt;0)))</f>
        <v/>
      </c>
      <c r="C17" s="16">
        <f>IF(A17="","",SUMIFS('Holdings'!$C$4:$C$2503,'Holdings'!$J$4:$J$2503,A17,'Holdings'!$L$4:$L$2503,"Yes",'Holdings'!$M$4:$M$2503,"Yes"))</f>
        <v/>
      </c>
      <c r="D17" s="17">
        <f>IF(A17="","",'Companies'!M4)</f>
        <v/>
      </c>
    </row>
    <row r="18">
      <c r="A18" s="13">
        <f>IF('Companies'!A5="","",'Companies'!A5)</f>
        <v/>
      </c>
      <c r="B18" s="13">
        <f>IF(A18="","",SUMPRODUCT(('Holdings'!$J$4:$J$2503=A18)*('Holdings'!$L$4:$L$2503="Yes")*('Holdings'!$C$4:$C$2503&gt;0)))</f>
        <v/>
      </c>
      <c r="C18" s="16">
        <f>IF(A18="","",SUMIFS('Holdings'!$C$4:$C$2503,'Holdings'!$J$4:$J$2503,A18,'Holdings'!$L$4:$L$2503,"Yes",'Holdings'!$M$4:$M$2503,"Yes"))</f>
        <v/>
      </c>
      <c r="D18" s="17">
        <f>IF(A18="","",'Companies'!M5)</f>
        <v/>
      </c>
    </row>
    <row r="19">
      <c r="A19" s="13">
        <f>IF('Companies'!A6="","",'Companies'!A6)</f>
        <v/>
      </c>
      <c r="B19" s="13">
        <f>IF(A19="","",SUMPRODUCT(('Holdings'!$J$4:$J$2503=A19)*('Holdings'!$L$4:$L$2503="Yes")*('Holdings'!$C$4:$C$2503&gt;0)))</f>
        <v/>
      </c>
      <c r="C19" s="16">
        <f>IF(A19="","",SUMIFS('Holdings'!$C$4:$C$2503,'Holdings'!$J$4:$J$2503,A19,'Holdings'!$L$4:$L$2503,"Yes",'Holdings'!$M$4:$M$2503,"Yes"))</f>
        <v/>
      </c>
      <c r="D19" s="17">
        <f>IF(A19="","",'Companies'!M6)</f>
        <v/>
      </c>
    </row>
    <row r="20">
      <c r="A20" s="13">
        <f>IF('Companies'!A7="","",'Companies'!A7)</f>
        <v/>
      </c>
      <c r="B20" s="13">
        <f>IF(A20="","",SUMPRODUCT(('Holdings'!$J$4:$J$2503=A20)*('Holdings'!$L$4:$L$2503="Yes")*('Holdings'!$C$4:$C$2503&gt;0)))</f>
        <v/>
      </c>
      <c r="C20" s="16">
        <f>IF(A20="","",SUMIFS('Holdings'!$C$4:$C$2503,'Holdings'!$J$4:$J$2503,A20,'Holdings'!$L$4:$L$2503,"Yes",'Holdings'!$M$4:$M$2503,"Yes"))</f>
        <v/>
      </c>
      <c r="D20" s="17">
        <f>IF(A20="","",'Companies'!M7)</f>
        <v/>
      </c>
    </row>
    <row r="21">
      <c r="A21" s="13">
        <f>IF('Companies'!A8="","",'Companies'!A8)</f>
        <v/>
      </c>
      <c r="B21" s="13">
        <f>IF(A21="","",SUMPRODUCT(('Holdings'!$J$4:$J$2503=A21)*('Holdings'!$L$4:$L$2503="Yes")*('Holdings'!$C$4:$C$2503&gt;0)))</f>
        <v/>
      </c>
      <c r="C21" s="16">
        <f>IF(A21="","",SUMIFS('Holdings'!$C$4:$C$2503,'Holdings'!$J$4:$J$2503,A21,'Holdings'!$L$4:$L$2503,"Yes",'Holdings'!$M$4:$M$2503,"Yes"))</f>
        <v/>
      </c>
      <c r="D21" s="17">
        <f>IF(A21="","",'Companies'!M8)</f>
        <v/>
      </c>
    </row>
    <row r="22">
      <c r="A22" s="13">
        <f>IF('Companies'!A9="","",'Companies'!A9)</f>
        <v/>
      </c>
      <c r="B22" s="13">
        <f>IF(A22="","",SUMPRODUCT(('Holdings'!$J$4:$J$2503=A22)*('Holdings'!$L$4:$L$2503="Yes")*('Holdings'!$C$4:$C$2503&gt;0)))</f>
        <v/>
      </c>
      <c r="C22" s="16">
        <f>IF(A22="","",SUMIFS('Holdings'!$C$4:$C$2503,'Holdings'!$J$4:$J$2503,A22,'Holdings'!$L$4:$L$2503,"Yes",'Holdings'!$M$4:$M$2503,"Yes"))</f>
        <v/>
      </c>
      <c r="D22" s="17">
        <f>IF(A22="","",'Companies'!M9)</f>
        <v/>
      </c>
    </row>
    <row r="23">
      <c r="A23" s="13">
        <f>IF('Companies'!A10="","",'Companies'!A10)</f>
        <v/>
      </c>
      <c r="B23" s="13">
        <f>IF(A23="","",SUMPRODUCT(('Holdings'!$J$4:$J$2503=A23)*('Holdings'!$L$4:$L$2503="Yes")*('Holdings'!$C$4:$C$2503&gt;0)))</f>
        <v/>
      </c>
      <c r="C23" s="16">
        <f>IF(A23="","",SUMIFS('Holdings'!$C$4:$C$2503,'Holdings'!$J$4:$J$2503,A23,'Holdings'!$L$4:$L$2503,"Yes",'Holdings'!$M$4:$M$2503,"Yes"))</f>
        <v/>
      </c>
      <c r="D23" s="17">
        <f>IF(A23="","",'Companies'!M10)</f>
        <v/>
      </c>
    </row>
    <row r="24">
      <c r="A24" s="13">
        <f>IF('Companies'!A11="","",'Companies'!A11)</f>
        <v/>
      </c>
      <c r="B24" s="13">
        <f>IF(A24="","",SUMPRODUCT(('Holdings'!$J$4:$J$2503=A24)*('Holdings'!$L$4:$L$2503="Yes")*('Holdings'!$C$4:$C$2503&gt;0)))</f>
        <v/>
      </c>
      <c r="C24" s="16">
        <f>IF(A24="","",SUMIFS('Holdings'!$C$4:$C$2503,'Holdings'!$J$4:$J$2503,A24,'Holdings'!$L$4:$L$2503,"Yes",'Holdings'!$M$4:$M$2503,"Yes"))</f>
        <v/>
      </c>
      <c r="D24" s="17">
        <f>IF(A24="","",'Companies'!M11)</f>
        <v/>
      </c>
    </row>
    <row r="25">
      <c r="A25" s="13">
        <f>IF('Companies'!A12="","",'Companies'!A12)</f>
        <v/>
      </c>
      <c r="B25" s="13">
        <f>IF(A25="","",SUMPRODUCT(('Holdings'!$J$4:$J$2503=A25)*('Holdings'!$L$4:$L$2503="Yes")*('Holdings'!$C$4:$C$2503&gt;0)))</f>
        <v/>
      </c>
      <c r="C25" s="16">
        <f>IF(A25="","",SUMIFS('Holdings'!$C$4:$C$2503,'Holdings'!$J$4:$J$2503,A25,'Holdings'!$L$4:$L$2503,"Yes",'Holdings'!$M$4:$M$2503,"Yes"))</f>
        <v/>
      </c>
      <c r="D25" s="17">
        <f>IF(A25="","",'Companies'!M12)</f>
        <v/>
      </c>
    </row>
    <row r="26">
      <c r="A26" s="13">
        <f>IF('Companies'!A13="","",'Companies'!A13)</f>
        <v/>
      </c>
      <c r="B26" s="13">
        <f>IF(A26="","",SUMPRODUCT(('Holdings'!$J$4:$J$2503=A26)*('Holdings'!$L$4:$L$2503="Yes")*('Holdings'!$C$4:$C$2503&gt;0)))</f>
        <v/>
      </c>
      <c r="C26" s="16">
        <f>IF(A26="","",SUMIFS('Holdings'!$C$4:$C$2503,'Holdings'!$J$4:$J$2503,A26,'Holdings'!$L$4:$L$2503,"Yes",'Holdings'!$M$4:$M$2503,"Yes"))</f>
        <v/>
      </c>
      <c r="D26" s="17">
        <f>IF(A26="","",'Companies'!M13)</f>
        <v/>
      </c>
    </row>
    <row r="27">
      <c r="A27" s="13">
        <f>IF('Companies'!A14="","",'Companies'!A14)</f>
        <v/>
      </c>
      <c r="B27" s="13">
        <f>IF(A27="","",SUMPRODUCT(('Holdings'!$J$4:$J$2503=A27)*('Holdings'!$L$4:$L$2503="Yes")*('Holdings'!$C$4:$C$2503&gt;0)))</f>
        <v/>
      </c>
      <c r="C27" s="16">
        <f>IF(A27="","",SUMIFS('Holdings'!$C$4:$C$2503,'Holdings'!$J$4:$J$2503,A27,'Holdings'!$L$4:$L$2503,"Yes",'Holdings'!$M$4:$M$2503,"Yes"))</f>
        <v/>
      </c>
      <c r="D27" s="17">
        <f>IF(A27="","",'Companies'!M14)</f>
        <v/>
      </c>
    </row>
    <row r="28">
      <c r="A28" s="13">
        <f>IF('Companies'!A15="","",'Companies'!A15)</f>
        <v/>
      </c>
      <c r="B28" s="13">
        <f>IF(A28="","",SUMPRODUCT(('Holdings'!$J$4:$J$2503=A28)*('Holdings'!$L$4:$L$2503="Yes")*('Holdings'!$C$4:$C$2503&gt;0)))</f>
        <v/>
      </c>
      <c r="C28" s="16">
        <f>IF(A28="","",SUMIFS('Holdings'!$C$4:$C$2503,'Holdings'!$J$4:$J$2503,A28,'Holdings'!$L$4:$L$2503,"Yes",'Holdings'!$M$4:$M$2503,"Yes"))</f>
        <v/>
      </c>
      <c r="D28" s="17">
        <f>IF(A28="","",'Companies'!M15)</f>
        <v/>
      </c>
    </row>
  </sheetData>
  <conditionalFormatting sqref="C5:C13">
    <cfRule type="expression" priority="1" dxfId="0">
      <formula>C5&gt;0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18" t="inlineStr">
        <is>
          <t>Relationship</t>
        </is>
      </c>
      <c r="B1" s="18" t="inlineStr">
        <is>
          <t>Portal access</t>
        </is>
      </c>
      <c r="C1" s="18" t="inlineStr">
        <is>
          <t>Class type</t>
        </is>
      </c>
      <c r="D1" s="18" t="inlineStr">
        <is>
          <t>YesNo</t>
        </is>
      </c>
      <c r="E1" s="18" t="inlineStr">
        <is>
          <t>Holder kind</t>
        </is>
      </c>
      <c r="F1" s="18" t="inlineStr">
        <is>
          <t>Role</t>
        </is>
      </c>
      <c r="G1" s="18" t="inlineStr">
        <is>
          <t>Access level</t>
        </is>
      </c>
      <c r="H1" s="18" t="inlineStr">
        <is>
          <t>Position</t>
        </is>
      </c>
      <c r="I1" s="18" t="inlineStr">
        <is>
          <t>Price source</t>
        </is>
      </c>
      <c r="J1" s="18" t="inlineStr">
        <is>
          <t>Holding source</t>
        </is>
      </c>
    </row>
    <row r="2">
      <c r="A2" s="19" t="inlineStr">
        <is>
          <t>Group</t>
        </is>
      </c>
      <c r="B2" s="19" t="inlineStr">
        <is>
          <t>Full portal</t>
        </is>
      </c>
      <c r="C2" s="19" t="inlineStr">
        <is>
          <t>Ordinary</t>
        </is>
      </c>
      <c r="D2" s="19" t="inlineStr">
        <is>
          <t>Yes</t>
        </is>
      </c>
      <c r="E2" s="19" t="inlineStr">
        <is>
          <t>Individual</t>
        </is>
      </c>
      <c r="F2" s="19" t="inlineStr">
        <is>
          <t>Board</t>
        </is>
      </c>
      <c r="G2" s="19" t="inlineStr">
        <is>
          <t>Owner</t>
        </is>
      </c>
      <c r="H2" s="19" t="inlineStr">
        <is>
          <t>Director</t>
        </is>
      </c>
      <c r="I2" s="19" t="inlineStr">
        <is>
          <t>Capital raise</t>
        </is>
      </c>
      <c r="J2" s="19" t="inlineStr">
        <is>
          <t>Share register</t>
        </is>
      </c>
    </row>
    <row r="3">
      <c r="A3" s="19" t="inlineStr">
        <is>
          <t>Controlled venture</t>
        </is>
      </c>
      <c r="B3" s="19" t="inlineStr">
        <is>
          <t>Portfolio entry only</t>
        </is>
      </c>
      <c r="C3" s="19" t="inlineStr">
        <is>
          <t>Ordinary (non-voting)</t>
        </is>
      </c>
      <c r="D3" s="19" t="inlineStr">
        <is>
          <t>No</t>
        </is>
      </c>
      <c r="E3" s="19" t="inlineStr">
        <is>
          <t>Company</t>
        </is>
      </c>
      <c r="F3" s="19" t="inlineStr">
        <is>
          <t>Marketing</t>
        </is>
      </c>
      <c r="G3" s="19" t="inlineStr">
        <is>
          <t>Viewer</t>
        </is>
      </c>
      <c r="H3" s="19" t="inlineStr">
        <is>
          <t>Chair</t>
        </is>
      </c>
      <c r="I3" s="19" t="inlineStr">
        <is>
          <t>Secondary trade</t>
        </is>
      </c>
      <c r="J3" s="19" t="inlineStr">
        <is>
          <t>Registry CSV</t>
        </is>
      </c>
    </row>
    <row r="4">
      <c r="A4" s="19" t="inlineStr">
        <is>
          <t>Non-controlling investment</t>
        </is>
      </c>
      <c r="B4" s="19" t="inlineStr">
        <is>
          <t>Not in portal</t>
        </is>
      </c>
      <c r="C4" s="19" t="inlineStr">
        <is>
          <t>Preference</t>
        </is>
      </c>
      <c r="E4" s="19" t="inlineStr">
        <is>
          <t>Trust</t>
        </is>
      </c>
      <c r="F4" s="19" t="inlineStr">
        <is>
          <t>Legal</t>
        </is>
      </c>
      <c r="H4" s="19" t="inlineStr">
        <is>
          <t>Company secretary</t>
        </is>
      </c>
      <c r="I4" s="19" t="inlineStr">
        <is>
          <t>Directors’ valuation</t>
        </is>
      </c>
      <c r="J4" s="19" t="inlineStr">
        <is>
          <t>Old portal (WordPress)</t>
        </is>
      </c>
    </row>
    <row r="5">
      <c r="C5" s="19" t="inlineStr">
        <is>
          <t>Options</t>
        </is>
      </c>
      <c r="E5" s="19" t="inlineStr">
        <is>
          <t>Super fund</t>
        </is>
      </c>
      <c r="F5" s="19" t="inlineStr">
        <is>
          <t>Compliance</t>
        </is>
      </c>
      <c r="H5" s="19" t="inlineStr">
        <is>
          <t>Observer</t>
        </is>
      </c>
      <c r="J5" s="19" t="inlineStr">
        <is>
          <t>Manual</t>
        </is>
      </c>
    </row>
    <row r="6">
      <c r="C6" s="19" t="inlineStr">
        <is>
          <t>Convertible note</t>
        </is>
      </c>
      <c r="F6" s="19" t="inlineStr">
        <is>
          <t>Admin</t>
        </is>
      </c>
      <c r="H6" s="19" t="inlineStr">
        <is>
          <t>Company admin</t>
        </is>
      </c>
    </row>
    <row r="7">
      <c r="C7" s="19" t="inlineStr">
        <is>
          <t>SAFE</t>
        </is>
      </c>
    </row>
    <row r="8">
      <c r="C8" s="19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6" customWidth="1" min="4" max="4"/>
    <col width="12" customWidth="1" min="5" max="5"/>
    <col width="22" customWidth="1" min="6" max="6"/>
    <col width="20" customWidth="1" min="7" max="7"/>
    <col width="12" customWidth="1" min="8" max="8"/>
    <col width="12" customWidth="1" min="9" max="9"/>
    <col width="24" customWidth="1" min="10" max="10"/>
    <col width="28" customWidth="1" min="11" max="11"/>
    <col width="28" customWidth="1" min="12" max="12"/>
    <col width="14" customWidth="1" min="13" max="13"/>
    <col width="26" customWidth="1" min="14" max="14"/>
  </cols>
  <sheetData>
    <row r="1">
      <c r="A1" s="9" t="inlineStr">
        <is>
          <t>Companies</t>
        </is>
      </c>
      <c r="C1" s="10" t="inlineStr">
        <is>
          <t>Lakeba Group and every company whose shareholders the portal could serve. One row per company.</t>
        </is>
      </c>
    </row>
    <row r="2" ht="32" customHeight="1">
      <c r="A2" s="20" t="inlineStr">
        <is>
          <t>Company code *</t>
        </is>
      </c>
      <c r="B2" s="20" t="inlineStr">
        <is>
          <t>Legal name</t>
        </is>
      </c>
      <c r="C2" s="20" t="inlineStr">
        <is>
          <t>Display name</t>
        </is>
      </c>
      <c r="D2" s="20" t="inlineStr">
        <is>
          <t>ACN / ABN</t>
        </is>
      </c>
      <c r="E2" s="20" t="inlineStr">
        <is>
          <t>Country</t>
        </is>
      </c>
      <c r="F2" s="20" t="inlineStr">
        <is>
          <t>Relationship *</t>
        </is>
      </c>
      <c r="G2" s="20" t="inlineStr">
        <is>
          <t>Portal access *</t>
        </is>
      </c>
      <c r="H2" s="20" t="inlineStr">
        <is>
          <t>Lakeba stake (stated)</t>
        </is>
      </c>
      <c r="I2" s="20" t="inlineStr">
        <is>
          <t>Stake as at</t>
        </is>
      </c>
      <c r="J2" s="20" t="inlineStr">
        <is>
          <t>Website</t>
        </is>
      </c>
      <c r="K2" s="20" t="inlineStr">
        <is>
          <t>Portal admin email(s)</t>
        </is>
      </c>
      <c r="L2" s="20" t="inlineStr">
        <is>
          <t>Notes</t>
        </is>
      </c>
      <c r="M2" s="21" t="inlineStr">
        <is>
          <t>Lakeba % per register</t>
        </is>
      </c>
      <c r="N2" s="21" t="inlineStr">
        <is>
          <t>Check</t>
        </is>
      </c>
    </row>
    <row r="3">
      <c r="A3" s="22" t="inlineStr">
        <is>
          <t>EZF</t>
        </is>
      </c>
      <c r="B3" s="22" t="inlineStr">
        <is>
          <t>Ezifin Pty Ltd</t>
        </is>
      </c>
      <c r="C3" s="22" t="inlineStr">
        <is>
          <t>Ezifin</t>
        </is>
      </c>
      <c r="D3" s="22" t="inlineStr">
        <is>
          <t>123 456 789</t>
        </is>
      </c>
      <c r="E3" s="22" t="inlineStr">
        <is>
          <t>Australia</t>
        </is>
      </c>
      <c r="F3" s="22" t="inlineStr">
        <is>
          <t>Controlled venture</t>
        </is>
      </c>
      <c r="G3" s="22" t="inlineStr">
        <is>
          <t>Full portal</t>
        </is>
      </c>
      <c r="H3" s="23" t="n">
        <v>0.65</v>
      </c>
      <c r="I3" s="24" t="n">
        <v>46203</v>
      </c>
      <c r="J3" s="22" t="inlineStr">
        <is>
          <t>https://ezifin.com</t>
        </is>
      </c>
      <c r="K3" s="22" t="inlineStr">
        <is>
          <t>cfo@ezifin.com</t>
        </is>
      </c>
      <c r="L3" s="22" t="inlineStr"/>
      <c r="M3" s="25" t="n"/>
      <c r="O3" s="10" t="inlineStr">
        <is>
          <t>← example row, not imported</t>
        </is>
      </c>
    </row>
    <row r="4">
      <c r="A4" s="26" t="inlineStr">
        <is>
          <t>LKB</t>
        </is>
      </c>
      <c r="B4" s="26" t="inlineStr">
        <is>
          <t>Lakeba Group Limited</t>
        </is>
      </c>
      <c r="C4" s="26" t="inlineStr">
        <is>
          <t>Lakeba Group</t>
        </is>
      </c>
      <c r="D4" s="26" t="n"/>
      <c r="E4" s="26" t="inlineStr">
        <is>
          <t>Australia</t>
        </is>
      </c>
      <c r="F4" s="26" t="inlineStr">
        <is>
          <t>Group</t>
        </is>
      </c>
      <c r="G4" s="26" t="inlineStr">
        <is>
          <t>Full portal</t>
        </is>
      </c>
      <c r="H4" s="27" t="n"/>
      <c r="I4" s="28" t="n"/>
      <c r="J4" s="26" t="n"/>
      <c r="K4" s="26" t="n"/>
      <c r="L4" s="26" t="n"/>
      <c r="M4" s="29">
        <f>IF(OR(A4="",F4="Group"),"",IFERROR(SUMIFS('Holdings'!$C$4:$C$2503,'Holdings'!$J$4:$J$2503,A4,'Holdings'!$A$4:$A$2503,"LKB-GROUP",'Holdings'!$L$4:$L$2503,"Yes",'Holdings'!$M$4:$M$2503,"Yes")/SUMIFS('Holdings'!$C$4:$C$2503,'Holdings'!$J$4:$J$2503,A4,'Holdings'!$L$4:$L$2503,"Yes",'Holdings'!$M$4:$M$2503,"Yes"),""))</f>
        <v/>
      </c>
      <c r="N4" s="30">
        <f>IF(A4="","",IF(COUNTIF($A$4:$A$63,A4)&gt;1,"Duplicate code",IF(OR(AND(B4="",C4=""),F4="",G4=""),"Missing required field",IF(AND(F4="Controlled venture",H4&lt;&gt;"",M4&lt;&gt;""),IF(ABS(H4-M4)&gt;0.0005,"Stake differs from register","OK"),"OK"))))</f>
        <v/>
      </c>
    </row>
    <row r="5">
      <c r="A5" s="26" t="inlineStr">
        <is>
          <t>EZF</t>
        </is>
      </c>
      <c r="B5" s="26" t="n"/>
      <c r="C5" s="26" t="inlineStr">
        <is>
          <t>Ezifin</t>
        </is>
      </c>
      <c r="D5" s="26" t="n"/>
      <c r="E5" s="26" t="n"/>
      <c r="F5" s="26" t="inlineStr">
        <is>
          <t>Controlled venture</t>
        </is>
      </c>
      <c r="G5" s="26" t="inlineStr">
        <is>
          <t>Full portal</t>
        </is>
      </c>
      <c r="H5" s="27" t="n"/>
      <c r="I5" s="28" t="n"/>
      <c r="J5" s="26" t="n"/>
      <c r="K5" s="26" t="n"/>
      <c r="L5" s="26" t="n"/>
      <c r="M5" s="29">
        <f>IF(OR(A5="",F5="Group"),"",IFERROR(SUMIFS('Holdings'!$C$4:$C$2503,'Holdings'!$J$4:$J$2503,A5,'Holdings'!$A$4:$A$2503,"LKB-GROUP",'Holdings'!$L$4:$L$2503,"Yes",'Holdings'!$M$4:$M$2503,"Yes")/SUMIFS('Holdings'!$C$4:$C$2503,'Holdings'!$J$4:$J$2503,A5,'Holdings'!$L$4:$L$2503,"Yes",'Holdings'!$M$4:$M$2503,"Yes"),""))</f>
        <v/>
      </c>
      <c r="N5" s="30">
        <f>IF(A5="","",IF(COUNTIF($A$4:$A$63,A5)&gt;1,"Duplicate code",IF(OR(AND(B5="",C5=""),F5="",G5=""),"Missing required field",IF(AND(F5="Controlled venture",H5&lt;&gt;"",M5&lt;&gt;""),IF(ABS(H5-M5)&gt;0.0005,"Stake differs from register","OK"),"OK"))))</f>
        <v/>
      </c>
    </row>
    <row r="6">
      <c r="A6" s="26" t="inlineStr">
        <is>
          <t>DOX</t>
        </is>
      </c>
      <c r="B6" s="26" t="n"/>
      <c r="C6" s="26" t="inlineStr">
        <is>
          <t>DoxAI</t>
        </is>
      </c>
      <c r="D6" s="26" t="n"/>
      <c r="E6" s="26" t="n"/>
      <c r="F6" s="26" t="inlineStr">
        <is>
          <t>Controlled venture</t>
        </is>
      </c>
      <c r="G6" s="26" t="inlineStr">
        <is>
          <t>Full portal</t>
        </is>
      </c>
      <c r="H6" s="27" t="n"/>
      <c r="I6" s="28" t="n"/>
      <c r="J6" s="26" t="n"/>
      <c r="K6" s="26" t="n"/>
      <c r="L6" s="26" t="n"/>
      <c r="M6" s="29">
        <f>IF(OR(A6="",F6="Group"),"",IFERROR(SUMIFS('Holdings'!$C$4:$C$2503,'Holdings'!$J$4:$J$2503,A6,'Holdings'!$A$4:$A$2503,"LKB-GROUP",'Holdings'!$L$4:$L$2503,"Yes",'Holdings'!$M$4:$M$2503,"Yes")/SUMIFS('Holdings'!$C$4:$C$2503,'Holdings'!$J$4:$J$2503,A6,'Holdings'!$L$4:$L$2503,"Yes",'Holdings'!$M$4:$M$2503,"Yes"),""))</f>
        <v/>
      </c>
      <c r="N6" s="30">
        <f>IF(A6="","",IF(COUNTIF($A$4:$A$63,A6)&gt;1,"Duplicate code",IF(OR(AND(B6="",C6=""),F6="",G6=""),"Missing required field",IF(AND(F6="Controlled venture",H6&lt;&gt;"",M6&lt;&gt;""),IF(ABS(H6-M6)&gt;0.0005,"Stake differs from register","OK"),"OK"))))</f>
        <v/>
      </c>
    </row>
    <row r="7">
      <c r="A7" s="26" t="inlineStr">
        <is>
          <t>BRK</t>
        </is>
      </c>
      <c r="B7" s="26" t="n"/>
      <c r="C7" s="26" t="inlineStr">
        <is>
          <t>Bricklet</t>
        </is>
      </c>
      <c r="D7" s="26" t="n"/>
      <c r="E7" s="26" t="n"/>
      <c r="F7" s="26" t="inlineStr">
        <is>
          <t>Controlled venture</t>
        </is>
      </c>
      <c r="G7" s="26" t="inlineStr">
        <is>
          <t>Full portal</t>
        </is>
      </c>
      <c r="H7" s="27" t="n"/>
      <c r="I7" s="28" t="n"/>
      <c r="J7" s="26" t="n"/>
      <c r="K7" s="26" t="n"/>
      <c r="L7" s="26" t="n"/>
      <c r="M7" s="29">
        <f>IF(OR(A7="",F7="Group"),"",IFERROR(SUMIFS('Holdings'!$C$4:$C$2503,'Holdings'!$J$4:$J$2503,A7,'Holdings'!$A$4:$A$2503,"LKB-GROUP",'Holdings'!$L$4:$L$2503,"Yes",'Holdings'!$M$4:$M$2503,"Yes")/SUMIFS('Holdings'!$C$4:$C$2503,'Holdings'!$J$4:$J$2503,A7,'Holdings'!$L$4:$L$2503,"Yes",'Holdings'!$M$4:$M$2503,"Yes"),""))</f>
        <v/>
      </c>
      <c r="N7" s="30">
        <f>IF(A7="","",IF(COUNTIF($A$4:$A$63,A7)&gt;1,"Duplicate code",IF(OR(AND(B7="",C7=""),F7="",G7=""),"Missing required field",IF(AND(F7="Controlled venture",H7&lt;&gt;"",M7&lt;&gt;""),IF(ABS(H7-M7)&gt;0.0005,"Stake differs from register","OK"),"OK"))))</f>
        <v/>
      </c>
    </row>
    <row r="8">
      <c r="A8" s="26" t="inlineStr">
        <is>
          <t>SHF</t>
        </is>
      </c>
      <c r="B8" s="26" t="n"/>
      <c r="C8" s="26" t="inlineStr">
        <is>
          <t>Shelfie</t>
        </is>
      </c>
      <c r="D8" s="26" t="n"/>
      <c r="E8" s="26" t="n"/>
      <c r="F8" s="26" t="inlineStr">
        <is>
          <t>Controlled venture</t>
        </is>
      </c>
      <c r="G8" s="26" t="inlineStr">
        <is>
          <t>Full portal</t>
        </is>
      </c>
      <c r="H8" s="27" t="n"/>
      <c r="I8" s="28" t="n"/>
      <c r="J8" s="26" t="n"/>
      <c r="K8" s="26" t="n"/>
      <c r="L8" s="26" t="n"/>
      <c r="M8" s="29">
        <f>IF(OR(A8="",F8="Group"),"",IFERROR(SUMIFS('Holdings'!$C$4:$C$2503,'Holdings'!$J$4:$J$2503,A8,'Holdings'!$A$4:$A$2503,"LKB-GROUP",'Holdings'!$L$4:$L$2503,"Yes",'Holdings'!$M$4:$M$2503,"Yes")/SUMIFS('Holdings'!$C$4:$C$2503,'Holdings'!$J$4:$J$2503,A8,'Holdings'!$L$4:$L$2503,"Yes",'Holdings'!$M$4:$M$2503,"Yes"),""))</f>
        <v/>
      </c>
      <c r="N8" s="30">
        <f>IF(A8="","",IF(COUNTIF($A$4:$A$63,A8)&gt;1,"Duplicate code",IF(OR(AND(B8="",C8=""),F8="",G8=""),"Missing required field",IF(AND(F8="Controlled venture",H8&lt;&gt;"",M8&lt;&gt;""),IF(ABS(H8-M8)&gt;0.0005,"Stake differs from register","OK"),"OK"))))</f>
        <v/>
      </c>
    </row>
    <row r="9">
      <c r="A9" s="26" t="inlineStr">
        <is>
          <t>WHK</t>
        </is>
      </c>
      <c r="B9" s="26" t="n"/>
      <c r="C9" s="26" t="inlineStr">
        <is>
          <t>Whitehawk</t>
        </is>
      </c>
      <c r="D9" s="26" t="n"/>
      <c r="E9" s="26" t="n"/>
      <c r="F9" s="26" t="inlineStr">
        <is>
          <t>Non-controlling investment</t>
        </is>
      </c>
      <c r="G9" s="26" t="inlineStr">
        <is>
          <t>Portfolio entry only</t>
        </is>
      </c>
      <c r="H9" s="27" t="n"/>
      <c r="I9" s="28" t="n"/>
      <c r="J9" s="26" t="n"/>
      <c r="K9" s="26" t="n"/>
      <c r="L9" s="26" t="n"/>
      <c r="M9" s="29">
        <f>IF(OR(A9="",F9="Group"),"",IFERROR(SUMIFS('Holdings'!$C$4:$C$2503,'Holdings'!$J$4:$J$2503,A9,'Holdings'!$A$4:$A$2503,"LKB-GROUP",'Holdings'!$L$4:$L$2503,"Yes",'Holdings'!$M$4:$M$2503,"Yes")/SUMIFS('Holdings'!$C$4:$C$2503,'Holdings'!$J$4:$J$2503,A9,'Holdings'!$L$4:$L$2503,"Yes",'Holdings'!$M$4:$M$2503,"Yes"),""))</f>
        <v/>
      </c>
      <c r="N9" s="30">
        <f>IF(A9="","",IF(COUNTIF($A$4:$A$63,A9)&gt;1,"Duplicate code",IF(OR(AND(B9="",C9=""),F9="",G9=""),"Missing required field",IF(AND(F9="Controlled venture",H9&lt;&gt;"",M9&lt;&gt;""),IF(ABS(H9-M9)&gt;0.0005,"Stake differs from register","OK"),"OK"))))</f>
        <v/>
      </c>
    </row>
    <row r="10">
      <c r="A10" s="26" t="inlineStr">
        <is>
          <t>MIST</t>
        </is>
      </c>
      <c r="B10" s="26" t="n"/>
      <c r="C10" s="26" t="inlineStr">
        <is>
          <t>MIST</t>
        </is>
      </c>
      <c r="D10" s="26" t="n"/>
      <c r="E10" s="26" t="n"/>
      <c r="F10" s="26" t="inlineStr">
        <is>
          <t>Non-controlling investment</t>
        </is>
      </c>
      <c r="G10" s="26" t="inlineStr">
        <is>
          <t>Portfolio entry only</t>
        </is>
      </c>
      <c r="H10" s="27" t="n"/>
      <c r="I10" s="28" t="n"/>
      <c r="J10" s="26" t="n"/>
      <c r="K10" s="26" t="n"/>
      <c r="L10" s="26" t="n"/>
      <c r="M10" s="29">
        <f>IF(OR(A10="",F10="Group"),"",IFERROR(SUMIFS('Holdings'!$C$4:$C$2503,'Holdings'!$J$4:$J$2503,A10,'Holdings'!$A$4:$A$2503,"LKB-GROUP",'Holdings'!$L$4:$L$2503,"Yes",'Holdings'!$M$4:$M$2503,"Yes")/SUMIFS('Holdings'!$C$4:$C$2503,'Holdings'!$J$4:$J$2503,A10,'Holdings'!$L$4:$L$2503,"Yes",'Holdings'!$M$4:$M$2503,"Yes"),""))</f>
        <v/>
      </c>
      <c r="N10" s="30">
        <f>IF(A10="","",IF(COUNTIF($A$4:$A$63,A10)&gt;1,"Duplicate code",IF(OR(AND(B10="",C10=""),F10="",G10=""),"Missing required field",IF(AND(F10="Controlled venture",H10&lt;&gt;"",M10&lt;&gt;""),IF(ABS(H10-M10)&gt;0.0005,"Stake differs from register","OK"),"OK"))))</f>
        <v/>
      </c>
    </row>
    <row r="11">
      <c r="A11" s="26" t="inlineStr">
        <is>
          <t>AST</t>
        </is>
      </c>
      <c r="B11" s="26" t="n"/>
      <c r="C11" s="26" t="inlineStr">
        <is>
          <t>Assetora</t>
        </is>
      </c>
      <c r="D11" s="26" t="n"/>
      <c r="E11" s="26" t="n"/>
      <c r="F11" s="26" t="inlineStr">
        <is>
          <t>Non-controlling investment</t>
        </is>
      </c>
      <c r="G11" s="26" t="inlineStr">
        <is>
          <t>Portfolio entry only</t>
        </is>
      </c>
      <c r="H11" s="27" t="n"/>
      <c r="I11" s="28" t="n"/>
      <c r="J11" s="26" t="n"/>
      <c r="K11" s="26" t="n"/>
      <c r="L11" s="26" t="n"/>
      <c r="M11" s="29">
        <f>IF(OR(A11="",F11="Group"),"",IFERROR(SUMIFS('Holdings'!$C$4:$C$2503,'Holdings'!$J$4:$J$2503,A11,'Holdings'!$A$4:$A$2503,"LKB-GROUP",'Holdings'!$L$4:$L$2503,"Yes",'Holdings'!$M$4:$M$2503,"Yes")/SUMIFS('Holdings'!$C$4:$C$2503,'Holdings'!$J$4:$J$2503,A11,'Holdings'!$L$4:$L$2503,"Yes",'Holdings'!$M$4:$M$2503,"Yes"),""))</f>
        <v/>
      </c>
      <c r="N11" s="30">
        <f>IF(A11="","",IF(COUNTIF($A$4:$A$63,A11)&gt;1,"Duplicate code",IF(OR(AND(B11="",C11=""),F11="",G11=""),"Missing required field",IF(AND(F11="Controlled venture",H11&lt;&gt;"",M11&lt;&gt;""),IF(ABS(H11-M11)&gt;0.0005,"Stake differs from register","OK"),"OK"))))</f>
        <v/>
      </c>
    </row>
    <row r="12">
      <c r="A12" s="26" t="inlineStr">
        <is>
          <t>APR</t>
        </is>
      </c>
      <c r="B12" s="26" t="n"/>
      <c r="C12" s="26" t="inlineStr">
        <is>
          <t>Appreci</t>
        </is>
      </c>
      <c r="D12" s="26" t="n"/>
      <c r="E12" s="26" t="n"/>
      <c r="F12" s="26" t="inlineStr">
        <is>
          <t>Non-controlling investment</t>
        </is>
      </c>
      <c r="G12" s="26" t="inlineStr">
        <is>
          <t>Portfolio entry only</t>
        </is>
      </c>
      <c r="H12" s="27" t="n"/>
      <c r="I12" s="28" t="n"/>
      <c r="J12" s="26" t="n"/>
      <c r="K12" s="26" t="n"/>
      <c r="L12" s="26" t="n"/>
      <c r="M12" s="29">
        <f>IF(OR(A12="",F12="Group"),"",IFERROR(SUMIFS('Holdings'!$C$4:$C$2503,'Holdings'!$J$4:$J$2503,A12,'Holdings'!$A$4:$A$2503,"LKB-GROUP",'Holdings'!$L$4:$L$2503,"Yes",'Holdings'!$M$4:$M$2503,"Yes")/SUMIFS('Holdings'!$C$4:$C$2503,'Holdings'!$J$4:$J$2503,A12,'Holdings'!$L$4:$L$2503,"Yes",'Holdings'!$M$4:$M$2503,"Yes"),""))</f>
        <v/>
      </c>
      <c r="N12" s="30">
        <f>IF(A12="","",IF(COUNTIF($A$4:$A$63,A12)&gt;1,"Duplicate code",IF(OR(AND(B12="",C12=""),F12="",G12=""),"Missing required field",IF(AND(F12="Controlled venture",H12&lt;&gt;"",M12&lt;&gt;""),IF(ABS(H12-M12)&gt;0.0005,"Stake differs from register","OK"),"OK"))))</f>
        <v/>
      </c>
    </row>
    <row r="13">
      <c r="A13" s="26" t="inlineStr">
        <is>
          <t>ZUC</t>
        </is>
      </c>
      <c r="B13" s="26" t="n"/>
      <c r="C13" s="26" t="inlineStr">
        <is>
          <t>Zucoins</t>
        </is>
      </c>
      <c r="D13" s="26" t="n"/>
      <c r="E13" s="26" t="n"/>
      <c r="F13" s="26" t="inlineStr">
        <is>
          <t>Non-controlling investment</t>
        </is>
      </c>
      <c r="G13" s="26" t="inlineStr">
        <is>
          <t>Portfolio entry only</t>
        </is>
      </c>
      <c r="H13" s="27" t="n"/>
      <c r="I13" s="28" t="n"/>
      <c r="J13" s="26" t="n"/>
      <c r="K13" s="26" t="n"/>
      <c r="L13" s="26" t="n"/>
      <c r="M13" s="29">
        <f>IF(OR(A13="",F13="Group"),"",IFERROR(SUMIFS('Holdings'!$C$4:$C$2503,'Holdings'!$J$4:$J$2503,A13,'Holdings'!$A$4:$A$2503,"LKB-GROUP",'Holdings'!$L$4:$L$2503,"Yes",'Holdings'!$M$4:$M$2503,"Yes")/SUMIFS('Holdings'!$C$4:$C$2503,'Holdings'!$J$4:$J$2503,A13,'Holdings'!$L$4:$L$2503,"Yes",'Holdings'!$M$4:$M$2503,"Yes"),""))</f>
        <v/>
      </c>
      <c r="N13" s="30">
        <f>IF(A13="","",IF(COUNTIF($A$4:$A$63,A13)&gt;1,"Duplicate code",IF(OR(AND(B13="",C13=""),F13="",G13=""),"Missing required field",IF(AND(F13="Controlled venture",H13&lt;&gt;"",M13&lt;&gt;""),IF(ABS(H13-M13)&gt;0.0005,"Stake differs from register","OK"),"OK"))))</f>
        <v/>
      </c>
    </row>
    <row r="14">
      <c r="A14" s="26" t="inlineStr">
        <is>
          <t>EZP</t>
        </is>
      </c>
      <c r="B14" s="26" t="n"/>
      <c r="C14" s="26" t="inlineStr">
        <is>
          <t>EziProp</t>
        </is>
      </c>
      <c r="D14" s="26" t="n"/>
      <c r="E14" s="26" t="n"/>
      <c r="F14" s="26" t="inlineStr">
        <is>
          <t>Non-controlling investment</t>
        </is>
      </c>
      <c r="G14" s="26" t="inlineStr">
        <is>
          <t>Portfolio entry only</t>
        </is>
      </c>
      <c r="H14" s="27" t="n"/>
      <c r="I14" s="28" t="n"/>
      <c r="J14" s="26" t="n"/>
      <c r="K14" s="26" t="n"/>
      <c r="L14" s="26" t="n"/>
      <c r="M14" s="29">
        <f>IF(OR(A14="",F14="Group"),"",IFERROR(SUMIFS('Holdings'!$C$4:$C$2503,'Holdings'!$J$4:$J$2503,A14,'Holdings'!$A$4:$A$2503,"LKB-GROUP",'Holdings'!$L$4:$L$2503,"Yes",'Holdings'!$M$4:$M$2503,"Yes")/SUMIFS('Holdings'!$C$4:$C$2503,'Holdings'!$J$4:$J$2503,A14,'Holdings'!$L$4:$L$2503,"Yes",'Holdings'!$M$4:$M$2503,"Yes"),""))</f>
        <v/>
      </c>
      <c r="N14" s="30">
        <f>IF(A14="","",IF(COUNTIF($A$4:$A$63,A14)&gt;1,"Duplicate code",IF(OR(AND(B14="",C14=""),F14="",G14=""),"Missing required field",IF(AND(F14="Controlled venture",H14&lt;&gt;"",M14&lt;&gt;""),IF(ABS(H14-M14)&gt;0.0005,"Stake differs from register","OK"),"OK"))))</f>
        <v/>
      </c>
    </row>
    <row r="15">
      <c r="A15" s="26" t="n"/>
      <c r="B15" s="26" t="n"/>
      <c r="C15" s="26" t="n"/>
      <c r="D15" s="26" t="n"/>
      <c r="E15" s="26" t="n"/>
      <c r="F15" s="26" t="n"/>
      <c r="G15" s="26" t="n"/>
      <c r="H15" s="27" t="n"/>
      <c r="I15" s="28" t="n"/>
      <c r="J15" s="26" t="n"/>
      <c r="K15" s="26" t="n"/>
      <c r="L15" s="26" t="n"/>
      <c r="M15" s="29">
        <f>IF(OR(A15="",F15="Group"),"",IFERROR(SUMIFS('Holdings'!$C$4:$C$2503,'Holdings'!$J$4:$J$2503,A15,'Holdings'!$A$4:$A$2503,"LKB-GROUP",'Holdings'!$L$4:$L$2503,"Yes",'Holdings'!$M$4:$M$2503,"Yes")/SUMIFS('Holdings'!$C$4:$C$2503,'Holdings'!$J$4:$J$2503,A15,'Holdings'!$L$4:$L$2503,"Yes",'Holdings'!$M$4:$M$2503,"Yes"),""))</f>
        <v/>
      </c>
      <c r="N15" s="30">
        <f>IF(A15="","",IF(COUNTIF($A$4:$A$63,A15)&gt;1,"Duplicate code",IF(OR(AND(B15="",C15=""),F15="",G15=""),"Missing required field",IF(AND(F15="Controlled venture",H15&lt;&gt;"",M15&lt;&gt;""),IF(ABS(H15-M15)&gt;0.0005,"Stake differs from register","OK"),"OK"))))</f>
        <v/>
      </c>
    </row>
    <row r="16">
      <c r="A16" s="26" t="n"/>
      <c r="B16" s="26" t="n"/>
      <c r="C16" s="26" t="n"/>
      <c r="D16" s="26" t="n"/>
      <c r="E16" s="26" t="n"/>
      <c r="F16" s="26" t="n"/>
      <c r="G16" s="26" t="n"/>
      <c r="H16" s="27" t="n"/>
      <c r="I16" s="28" t="n"/>
      <c r="J16" s="26" t="n"/>
      <c r="K16" s="26" t="n"/>
      <c r="L16" s="26" t="n"/>
      <c r="M16" s="29">
        <f>IF(OR(A16="",F16="Group"),"",IFERROR(SUMIFS('Holdings'!$C$4:$C$2503,'Holdings'!$J$4:$J$2503,A16,'Holdings'!$A$4:$A$2503,"LKB-GROUP",'Holdings'!$L$4:$L$2503,"Yes",'Holdings'!$M$4:$M$2503,"Yes")/SUMIFS('Holdings'!$C$4:$C$2503,'Holdings'!$J$4:$J$2503,A16,'Holdings'!$L$4:$L$2503,"Yes",'Holdings'!$M$4:$M$2503,"Yes"),""))</f>
        <v/>
      </c>
      <c r="N16" s="30">
        <f>IF(A16="","",IF(COUNTIF($A$4:$A$63,A16)&gt;1,"Duplicate code",IF(OR(AND(B16="",C16=""),F16="",G16=""),"Missing required field",IF(AND(F16="Controlled venture",H16&lt;&gt;"",M16&lt;&gt;""),IF(ABS(H16-M16)&gt;0.0005,"Stake differs from register","OK"),"OK"))))</f>
        <v/>
      </c>
    </row>
    <row r="17">
      <c r="A17" s="26" t="n"/>
      <c r="B17" s="26" t="n"/>
      <c r="C17" s="26" t="n"/>
      <c r="D17" s="26" t="n"/>
      <c r="E17" s="26" t="n"/>
      <c r="F17" s="26" t="n"/>
      <c r="G17" s="26" t="n"/>
      <c r="H17" s="27" t="n"/>
      <c r="I17" s="28" t="n"/>
      <c r="J17" s="26" t="n"/>
      <c r="K17" s="26" t="n"/>
      <c r="L17" s="26" t="n"/>
      <c r="M17" s="29">
        <f>IF(OR(A17="",F17="Group"),"",IFERROR(SUMIFS('Holdings'!$C$4:$C$2503,'Holdings'!$J$4:$J$2503,A17,'Holdings'!$A$4:$A$2503,"LKB-GROUP",'Holdings'!$L$4:$L$2503,"Yes",'Holdings'!$M$4:$M$2503,"Yes")/SUMIFS('Holdings'!$C$4:$C$2503,'Holdings'!$J$4:$J$2503,A17,'Holdings'!$L$4:$L$2503,"Yes",'Holdings'!$M$4:$M$2503,"Yes"),""))</f>
        <v/>
      </c>
      <c r="N17" s="30">
        <f>IF(A17="","",IF(COUNTIF($A$4:$A$63,A17)&gt;1,"Duplicate code",IF(OR(AND(B17="",C17=""),F17="",G17=""),"Missing required field",IF(AND(F17="Controlled venture",H17&lt;&gt;"",M17&lt;&gt;""),IF(ABS(H17-M17)&gt;0.0005,"Stake differs from register","OK"),"OK"))))</f>
        <v/>
      </c>
    </row>
    <row r="18">
      <c r="A18" s="26" t="n"/>
      <c r="B18" s="26" t="n"/>
      <c r="C18" s="26" t="n"/>
      <c r="D18" s="26" t="n"/>
      <c r="E18" s="26" t="n"/>
      <c r="F18" s="26" t="n"/>
      <c r="G18" s="26" t="n"/>
      <c r="H18" s="27" t="n"/>
      <c r="I18" s="28" t="n"/>
      <c r="J18" s="26" t="n"/>
      <c r="K18" s="26" t="n"/>
      <c r="L18" s="26" t="n"/>
      <c r="M18" s="29">
        <f>IF(OR(A18="",F18="Group"),"",IFERROR(SUMIFS('Holdings'!$C$4:$C$2503,'Holdings'!$J$4:$J$2503,A18,'Holdings'!$A$4:$A$2503,"LKB-GROUP",'Holdings'!$L$4:$L$2503,"Yes",'Holdings'!$M$4:$M$2503,"Yes")/SUMIFS('Holdings'!$C$4:$C$2503,'Holdings'!$J$4:$J$2503,A18,'Holdings'!$L$4:$L$2503,"Yes",'Holdings'!$M$4:$M$2503,"Yes"),""))</f>
        <v/>
      </c>
      <c r="N18" s="30">
        <f>IF(A18="","",IF(COUNTIF($A$4:$A$63,A18)&gt;1,"Duplicate code",IF(OR(AND(B18="",C18=""),F18="",G18=""),"Missing required field",IF(AND(F18="Controlled venture",H18&lt;&gt;"",M18&lt;&gt;""),IF(ABS(H18-M18)&gt;0.0005,"Stake differs from register","OK"),"OK"))))</f>
        <v/>
      </c>
    </row>
    <row r="19">
      <c r="A19" s="26" t="n"/>
      <c r="B19" s="26" t="n"/>
      <c r="C19" s="26" t="n"/>
      <c r="D19" s="26" t="n"/>
      <c r="E19" s="26" t="n"/>
      <c r="F19" s="26" t="n"/>
      <c r="G19" s="26" t="n"/>
      <c r="H19" s="27" t="n"/>
      <c r="I19" s="28" t="n"/>
      <c r="J19" s="26" t="n"/>
      <c r="K19" s="26" t="n"/>
      <c r="L19" s="26" t="n"/>
      <c r="M19" s="29">
        <f>IF(OR(A19="",F19="Group"),"",IFERROR(SUMIFS('Holdings'!$C$4:$C$2503,'Holdings'!$J$4:$J$2503,A19,'Holdings'!$A$4:$A$2503,"LKB-GROUP",'Holdings'!$L$4:$L$2503,"Yes",'Holdings'!$M$4:$M$2503,"Yes")/SUMIFS('Holdings'!$C$4:$C$2503,'Holdings'!$J$4:$J$2503,A19,'Holdings'!$L$4:$L$2503,"Yes",'Holdings'!$M$4:$M$2503,"Yes"),""))</f>
        <v/>
      </c>
      <c r="N19" s="30">
        <f>IF(A19="","",IF(COUNTIF($A$4:$A$63,A19)&gt;1,"Duplicate code",IF(OR(AND(B19="",C19=""),F19="",G19=""),"Missing required field",IF(AND(F19="Controlled venture",H19&lt;&gt;"",M19&lt;&gt;""),IF(ABS(H19-M19)&gt;0.0005,"Stake differs from register","OK"),"OK"))))</f>
        <v/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7" t="n"/>
      <c r="I20" s="28" t="n"/>
      <c r="J20" s="26" t="n"/>
      <c r="K20" s="26" t="n"/>
      <c r="L20" s="26" t="n"/>
      <c r="M20" s="29">
        <f>IF(OR(A20="",F20="Group"),"",IFERROR(SUMIFS('Holdings'!$C$4:$C$2503,'Holdings'!$J$4:$J$2503,A20,'Holdings'!$A$4:$A$2503,"LKB-GROUP",'Holdings'!$L$4:$L$2503,"Yes",'Holdings'!$M$4:$M$2503,"Yes")/SUMIFS('Holdings'!$C$4:$C$2503,'Holdings'!$J$4:$J$2503,A20,'Holdings'!$L$4:$L$2503,"Yes",'Holdings'!$M$4:$M$2503,"Yes"),""))</f>
        <v/>
      </c>
      <c r="N20" s="30">
        <f>IF(A20="","",IF(COUNTIF($A$4:$A$63,A20)&gt;1,"Duplicate code",IF(OR(AND(B20="",C20=""),F20="",G20=""),"Missing required field",IF(AND(F20="Controlled venture",H20&lt;&gt;"",M20&lt;&gt;""),IF(ABS(H20-M20)&gt;0.0005,"Stake differs from register","OK"),"OK"))))</f>
        <v/>
      </c>
    </row>
    <row r="21">
      <c r="A21" s="26" t="n"/>
      <c r="B21" s="26" t="n"/>
      <c r="C21" s="26" t="n"/>
      <c r="D21" s="26" t="n"/>
      <c r="E21" s="26" t="n"/>
      <c r="F21" s="26" t="n"/>
      <c r="G21" s="26" t="n"/>
      <c r="H21" s="27" t="n"/>
      <c r="I21" s="28" t="n"/>
      <c r="J21" s="26" t="n"/>
      <c r="K21" s="26" t="n"/>
      <c r="L21" s="26" t="n"/>
      <c r="M21" s="29">
        <f>IF(OR(A21="",F21="Group"),"",IFERROR(SUMIFS('Holdings'!$C$4:$C$2503,'Holdings'!$J$4:$J$2503,A21,'Holdings'!$A$4:$A$2503,"LKB-GROUP",'Holdings'!$L$4:$L$2503,"Yes",'Holdings'!$M$4:$M$2503,"Yes")/SUMIFS('Holdings'!$C$4:$C$2503,'Holdings'!$J$4:$J$2503,A21,'Holdings'!$L$4:$L$2503,"Yes",'Holdings'!$M$4:$M$2503,"Yes"),""))</f>
        <v/>
      </c>
      <c r="N21" s="30">
        <f>IF(A21="","",IF(COUNTIF($A$4:$A$63,A21)&gt;1,"Duplicate code",IF(OR(AND(B21="",C21=""),F21="",G21=""),"Missing required field",IF(AND(F21="Controlled venture",H21&lt;&gt;"",M21&lt;&gt;""),IF(ABS(H21-M21)&gt;0.0005,"Stake differs from register","OK"),"OK"))))</f>
        <v/>
      </c>
    </row>
    <row r="22">
      <c r="A22" s="26" t="n"/>
      <c r="B22" s="26" t="n"/>
      <c r="C22" s="26" t="n"/>
      <c r="D22" s="26" t="n"/>
      <c r="E22" s="26" t="n"/>
      <c r="F22" s="26" t="n"/>
      <c r="G22" s="26" t="n"/>
      <c r="H22" s="27" t="n"/>
      <c r="I22" s="28" t="n"/>
      <c r="J22" s="26" t="n"/>
      <c r="K22" s="26" t="n"/>
      <c r="L22" s="26" t="n"/>
      <c r="M22" s="29">
        <f>IF(OR(A22="",F22="Group"),"",IFERROR(SUMIFS('Holdings'!$C$4:$C$2503,'Holdings'!$J$4:$J$2503,A22,'Holdings'!$A$4:$A$2503,"LKB-GROUP",'Holdings'!$L$4:$L$2503,"Yes",'Holdings'!$M$4:$M$2503,"Yes")/SUMIFS('Holdings'!$C$4:$C$2503,'Holdings'!$J$4:$J$2503,A22,'Holdings'!$L$4:$L$2503,"Yes",'Holdings'!$M$4:$M$2503,"Yes"),""))</f>
        <v/>
      </c>
      <c r="N22" s="30">
        <f>IF(A22="","",IF(COUNTIF($A$4:$A$63,A22)&gt;1,"Duplicate code",IF(OR(AND(B22="",C22=""),F22="",G22=""),"Missing required field",IF(AND(F22="Controlled venture",H22&lt;&gt;"",M22&lt;&gt;""),IF(ABS(H22-M22)&gt;0.0005,"Stake differs from register","OK"),"OK"))))</f>
        <v/>
      </c>
    </row>
    <row r="23">
      <c r="A23" s="26" t="n"/>
      <c r="B23" s="26" t="n"/>
      <c r="C23" s="26" t="n"/>
      <c r="D23" s="26" t="n"/>
      <c r="E23" s="26" t="n"/>
      <c r="F23" s="26" t="n"/>
      <c r="G23" s="26" t="n"/>
      <c r="H23" s="27" t="n"/>
      <c r="I23" s="28" t="n"/>
      <c r="J23" s="26" t="n"/>
      <c r="K23" s="26" t="n"/>
      <c r="L23" s="26" t="n"/>
      <c r="M23" s="29">
        <f>IF(OR(A23="",F23="Group"),"",IFERROR(SUMIFS('Holdings'!$C$4:$C$2503,'Holdings'!$J$4:$J$2503,A23,'Holdings'!$A$4:$A$2503,"LKB-GROUP",'Holdings'!$L$4:$L$2503,"Yes",'Holdings'!$M$4:$M$2503,"Yes")/SUMIFS('Holdings'!$C$4:$C$2503,'Holdings'!$J$4:$J$2503,A23,'Holdings'!$L$4:$L$2503,"Yes",'Holdings'!$M$4:$M$2503,"Yes"),""))</f>
        <v/>
      </c>
      <c r="N23" s="30">
        <f>IF(A23="","",IF(COUNTIF($A$4:$A$63,A23)&gt;1,"Duplicate code",IF(OR(AND(B23="",C23=""),F23="",G23=""),"Missing required field",IF(AND(F23="Controlled venture",H23&lt;&gt;"",M23&lt;&gt;""),IF(ABS(H23-M23)&gt;0.0005,"Stake differs from register","OK"),"OK"))))</f>
        <v/>
      </c>
    </row>
    <row r="24">
      <c r="A24" s="26" t="n"/>
      <c r="B24" s="26" t="n"/>
      <c r="C24" s="26" t="n"/>
      <c r="D24" s="26" t="n"/>
      <c r="E24" s="26" t="n"/>
      <c r="F24" s="26" t="n"/>
      <c r="G24" s="26" t="n"/>
      <c r="H24" s="27" t="n"/>
      <c r="I24" s="28" t="n"/>
      <c r="J24" s="26" t="n"/>
      <c r="K24" s="26" t="n"/>
      <c r="L24" s="26" t="n"/>
      <c r="M24" s="29">
        <f>IF(OR(A24="",F24="Group"),"",IFERROR(SUMIFS('Holdings'!$C$4:$C$2503,'Holdings'!$J$4:$J$2503,A24,'Holdings'!$A$4:$A$2503,"LKB-GROUP",'Holdings'!$L$4:$L$2503,"Yes",'Holdings'!$M$4:$M$2503,"Yes")/SUMIFS('Holdings'!$C$4:$C$2503,'Holdings'!$J$4:$J$2503,A24,'Holdings'!$L$4:$L$2503,"Yes",'Holdings'!$M$4:$M$2503,"Yes"),""))</f>
        <v/>
      </c>
      <c r="N24" s="30">
        <f>IF(A24="","",IF(COUNTIF($A$4:$A$63,A24)&gt;1,"Duplicate code",IF(OR(AND(B24="",C24=""),F24="",G24=""),"Missing required field",IF(AND(F24="Controlled venture",H24&lt;&gt;"",M24&lt;&gt;""),IF(ABS(H24-M24)&gt;0.0005,"Stake differs from register","OK"),"OK"))))</f>
        <v/>
      </c>
    </row>
    <row r="25">
      <c r="A25" s="26" t="n"/>
      <c r="B25" s="26" t="n"/>
      <c r="C25" s="26" t="n"/>
      <c r="D25" s="26" t="n"/>
      <c r="E25" s="26" t="n"/>
      <c r="F25" s="26" t="n"/>
      <c r="G25" s="26" t="n"/>
      <c r="H25" s="27" t="n"/>
      <c r="I25" s="28" t="n"/>
      <c r="J25" s="26" t="n"/>
      <c r="K25" s="26" t="n"/>
      <c r="L25" s="26" t="n"/>
      <c r="M25" s="29">
        <f>IF(OR(A25="",F25="Group"),"",IFERROR(SUMIFS('Holdings'!$C$4:$C$2503,'Holdings'!$J$4:$J$2503,A25,'Holdings'!$A$4:$A$2503,"LKB-GROUP",'Holdings'!$L$4:$L$2503,"Yes",'Holdings'!$M$4:$M$2503,"Yes")/SUMIFS('Holdings'!$C$4:$C$2503,'Holdings'!$J$4:$J$2503,A25,'Holdings'!$L$4:$L$2503,"Yes",'Holdings'!$M$4:$M$2503,"Yes"),""))</f>
        <v/>
      </c>
      <c r="N25" s="30">
        <f>IF(A25="","",IF(COUNTIF($A$4:$A$63,A25)&gt;1,"Duplicate code",IF(OR(AND(B25="",C25=""),F25="",G25=""),"Missing required field",IF(AND(F25="Controlled venture",H25&lt;&gt;"",M25&lt;&gt;""),IF(ABS(H25-M25)&gt;0.0005,"Stake differs from register","OK"),"OK"))))</f>
        <v/>
      </c>
    </row>
    <row r="26">
      <c r="A26" s="26" t="n"/>
      <c r="B26" s="26" t="n"/>
      <c r="C26" s="26" t="n"/>
      <c r="D26" s="26" t="n"/>
      <c r="E26" s="26" t="n"/>
      <c r="F26" s="26" t="n"/>
      <c r="G26" s="26" t="n"/>
      <c r="H26" s="27" t="n"/>
      <c r="I26" s="28" t="n"/>
      <c r="J26" s="26" t="n"/>
      <c r="K26" s="26" t="n"/>
      <c r="L26" s="26" t="n"/>
      <c r="M26" s="29">
        <f>IF(OR(A26="",F26="Group"),"",IFERROR(SUMIFS('Holdings'!$C$4:$C$2503,'Holdings'!$J$4:$J$2503,A26,'Holdings'!$A$4:$A$2503,"LKB-GROUP",'Holdings'!$L$4:$L$2503,"Yes",'Holdings'!$M$4:$M$2503,"Yes")/SUMIFS('Holdings'!$C$4:$C$2503,'Holdings'!$J$4:$J$2503,A26,'Holdings'!$L$4:$L$2503,"Yes",'Holdings'!$M$4:$M$2503,"Yes"),""))</f>
        <v/>
      </c>
      <c r="N26" s="30">
        <f>IF(A26="","",IF(COUNTIF($A$4:$A$63,A26)&gt;1,"Duplicate code",IF(OR(AND(B26="",C26=""),F26="",G26=""),"Missing required field",IF(AND(F26="Controlled venture",H26&lt;&gt;"",M26&lt;&gt;""),IF(ABS(H26-M26)&gt;0.0005,"Stake differs from register","OK"),"OK"))))</f>
        <v/>
      </c>
    </row>
    <row r="27">
      <c r="A27" s="26" t="n"/>
      <c r="B27" s="26" t="n"/>
      <c r="C27" s="26" t="n"/>
      <c r="D27" s="26" t="n"/>
      <c r="E27" s="26" t="n"/>
      <c r="F27" s="26" t="n"/>
      <c r="G27" s="26" t="n"/>
      <c r="H27" s="27" t="n"/>
      <c r="I27" s="28" t="n"/>
      <c r="J27" s="26" t="n"/>
      <c r="K27" s="26" t="n"/>
      <c r="L27" s="26" t="n"/>
      <c r="M27" s="29">
        <f>IF(OR(A27="",F27="Group"),"",IFERROR(SUMIFS('Holdings'!$C$4:$C$2503,'Holdings'!$J$4:$J$2503,A27,'Holdings'!$A$4:$A$2503,"LKB-GROUP",'Holdings'!$L$4:$L$2503,"Yes",'Holdings'!$M$4:$M$2503,"Yes")/SUMIFS('Holdings'!$C$4:$C$2503,'Holdings'!$J$4:$J$2503,A27,'Holdings'!$L$4:$L$2503,"Yes",'Holdings'!$M$4:$M$2503,"Yes"),""))</f>
        <v/>
      </c>
      <c r="N27" s="30">
        <f>IF(A27="","",IF(COUNTIF($A$4:$A$63,A27)&gt;1,"Duplicate code",IF(OR(AND(B27="",C27=""),F27="",G27=""),"Missing required field",IF(AND(F27="Controlled venture",H27&lt;&gt;"",M27&lt;&gt;""),IF(ABS(H27-M27)&gt;0.0005,"Stake differs from register","OK"),"OK"))))</f>
        <v/>
      </c>
    </row>
    <row r="28">
      <c r="A28" s="26" t="n"/>
      <c r="B28" s="26" t="n"/>
      <c r="C28" s="26" t="n"/>
      <c r="D28" s="26" t="n"/>
      <c r="E28" s="26" t="n"/>
      <c r="F28" s="26" t="n"/>
      <c r="G28" s="26" t="n"/>
      <c r="H28" s="27" t="n"/>
      <c r="I28" s="28" t="n"/>
      <c r="J28" s="26" t="n"/>
      <c r="K28" s="26" t="n"/>
      <c r="L28" s="26" t="n"/>
      <c r="M28" s="29">
        <f>IF(OR(A28="",F28="Group"),"",IFERROR(SUMIFS('Holdings'!$C$4:$C$2503,'Holdings'!$J$4:$J$2503,A28,'Holdings'!$A$4:$A$2503,"LKB-GROUP",'Holdings'!$L$4:$L$2503,"Yes",'Holdings'!$M$4:$M$2503,"Yes")/SUMIFS('Holdings'!$C$4:$C$2503,'Holdings'!$J$4:$J$2503,A28,'Holdings'!$L$4:$L$2503,"Yes",'Holdings'!$M$4:$M$2503,"Yes"),""))</f>
        <v/>
      </c>
      <c r="N28" s="30">
        <f>IF(A28="","",IF(COUNTIF($A$4:$A$63,A28)&gt;1,"Duplicate code",IF(OR(AND(B28="",C28=""),F28="",G28=""),"Missing required field",IF(AND(F28="Controlled venture",H28&lt;&gt;"",M28&lt;&gt;""),IF(ABS(H28-M28)&gt;0.0005,"Stake differs from register","OK"),"OK"))))</f>
        <v/>
      </c>
    </row>
    <row r="29">
      <c r="A29" s="26" t="n"/>
      <c r="B29" s="26" t="n"/>
      <c r="C29" s="26" t="n"/>
      <c r="D29" s="26" t="n"/>
      <c r="E29" s="26" t="n"/>
      <c r="F29" s="26" t="n"/>
      <c r="G29" s="26" t="n"/>
      <c r="H29" s="27" t="n"/>
      <c r="I29" s="28" t="n"/>
      <c r="J29" s="26" t="n"/>
      <c r="K29" s="26" t="n"/>
      <c r="L29" s="26" t="n"/>
      <c r="M29" s="29">
        <f>IF(OR(A29="",F29="Group"),"",IFERROR(SUMIFS('Holdings'!$C$4:$C$2503,'Holdings'!$J$4:$J$2503,A29,'Holdings'!$A$4:$A$2503,"LKB-GROUP",'Holdings'!$L$4:$L$2503,"Yes",'Holdings'!$M$4:$M$2503,"Yes")/SUMIFS('Holdings'!$C$4:$C$2503,'Holdings'!$J$4:$J$2503,A29,'Holdings'!$L$4:$L$2503,"Yes",'Holdings'!$M$4:$M$2503,"Yes"),""))</f>
        <v/>
      </c>
      <c r="N29" s="30">
        <f>IF(A29="","",IF(COUNTIF($A$4:$A$63,A29)&gt;1,"Duplicate code",IF(OR(AND(B29="",C29=""),F29="",G29=""),"Missing required field",IF(AND(F29="Controlled venture",H29&lt;&gt;"",M29&lt;&gt;""),IF(ABS(H29-M29)&gt;0.0005,"Stake differs from register","OK"),"OK"))))</f>
        <v/>
      </c>
    </row>
    <row r="30">
      <c r="A30" s="26" t="n"/>
      <c r="B30" s="26" t="n"/>
      <c r="C30" s="26" t="n"/>
      <c r="D30" s="26" t="n"/>
      <c r="E30" s="26" t="n"/>
      <c r="F30" s="26" t="n"/>
      <c r="G30" s="26" t="n"/>
      <c r="H30" s="27" t="n"/>
      <c r="I30" s="28" t="n"/>
      <c r="J30" s="26" t="n"/>
      <c r="K30" s="26" t="n"/>
      <c r="L30" s="26" t="n"/>
      <c r="M30" s="29">
        <f>IF(OR(A30="",F30="Group"),"",IFERROR(SUMIFS('Holdings'!$C$4:$C$2503,'Holdings'!$J$4:$J$2503,A30,'Holdings'!$A$4:$A$2503,"LKB-GROUP",'Holdings'!$L$4:$L$2503,"Yes",'Holdings'!$M$4:$M$2503,"Yes")/SUMIFS('Holdings'!$C$4:$C$2503,'Holdings'!$J$4:$J$2503,A30,'Holdings'!$L$4:$L$2503,"Yes",'Holdings'!$M$4:$M$2503,"Yes"),""))</f>
        <v/>
      </c>
      <c r="N30" s="30">
        <f>IF(A30="","",IF(COUNTIF($A$4:$A$63,A30)&gt;1,"Duplicate code",IF(OR(AND(B30="",C30=""),F30="",G30=""),"Missing required field",IF(AND(F30="Controlled venture",H30&lt;&gt;"",M30&lt;&gt;""),IF(ABS(H30-M30)&gt;0.0005,"Stake differs from register","OK"),"OK"))))</f>
        <v/>
      </c>
    </row>
    <row r="31">
      <c r="A31" s="26" t="n"/>
      <c r="B31" s="26" t="n"/>
      <c r="C31" s="26" t="n"/>
      <c r="D31" s="26" t="n"/>
      <c r="E31" s="26" t="n"/>
      <c r="F31" s="26" t="n"/>
      <c r="G31" s="26" t="n"/>
      <c r="H31" s="27" t="n"/>
      <c r="I31" s="28" t="n"/>
      <c r="J31" s="26" t="n"/>
      <c r="K31" s="26" t="n"/>
      <c r="L31" s="26" t="n"/>
      <c r="M31" s="29">
        <f>IF(OR(A31="",F31="Group"),"",IFERROR(SUMIFS('Holdings'!$C$4:$C$2503,'Holdings'!$J$4:$J$2503,A31,'Holdings'!$A$4:$A$2503,"LKB-GROUP",'Holdings'!$L$4:$L$2503,"Yes",'Holdings'!$M$4:$M$2503,"Yes")/SUMIFS('Holdings'!$C$4:$C$2503,'Holdings'!$J$4:$J$2503,A31,'Holdings'!$L$4:$L$2503,"Yes",'Holdings'!$M$4:$M$2503,"Yes"),""))</f>
        <v/>
      </c>
      <c r="N31" s="30">
        <f>IF(A31="","",IF(COUNTIF($A$4:$A$63,A31)&gt;1,"Duplicate code",IF(OR(AND(B31="",C31=""),F31="",G31=""),"Missing required field",IF(AND(F31="Controlled venture",H31&lt;&gt;"",M31&lt;&gt;""),IF(ABS(H31-M31)&gt;0.0005,"Stake differs from register","OK"),"OK"))))</f>
        <v/>
      </c>
    </row>
    <row r="32">
      <c r="A32" s="26" t="n"/>
      <c r="B32" s="26" t="n"/>
      <c r="C32" s="26" t="n"/>
      <c r="D32" s="26" t="n"/>
      <c r="E32" s="26" t="n"/>
      <c r="F32" s="26" t="n"/>
      <c r="G32" s="26" t="n"/>
      <c r="H32" s="27" t="n"/>
      <c r="I32" s="28" t="n"/>
      <c r="J32" s="26" t="n"/>
      <c r="K32" s="26" t="n"/>
      <c r="L32" s="26" t="n"/>
      <c r="M32" s="29">
        <f>IF(OR(A32="",F32="Group"),"",IFERROR(SUMIFS('Holdings'!$C$4:$C$2503,'Holdings'!$J$4:$J$2503,A32,'Holdings'!$A$4:$A$2503,"LKB-GROUP",'Holdings'!$L$4:$L$2503,"Yes",'Holdings'!$M$4:$M$2503,"Yes")/SUMIFS('Holdings'!$C$4:$C$2503,'Holdings'!$J$4:$J$2503,A32,'Holdings'!$L$4:$L$2503,"Yes",'Holdings'!$M$4:$M$2503,"Yes"),""))</f>
        <v/>
      </c>
      <c r="N32" s="30">
        <f>IF(A32="","",IF(COUNTIF($A$4:$A$63,A32)&gt;1,"Duplicate code",IF(OR(AND(B32="",C32=""),F32="",G32=""),"Missing required field",IF(AND(F32="Controlled venture",H32&lt;&gt;"",M32&lt;&gt;""),IF(ABS(H32-M32)&gt;0.0005,"Stake differs from register","OK"),"OK"))))</f>
        <v/>
      </c>
    </row>
    <row r="33">
      <c r="A33" s="26" t="n"/>
      <c r="B33" s="26" t="n"/>
      <c r="C33" s="26" t="n"/>
      <c r="D33" s="26" t="n"/>
      <c r="E33" s="26" t="n"/>
      <c r="F33" s="26" t="n"/>
      <c r="G33" s="26" t="n"/>
      <c r="H33" s="27" t="n"/>
      <c r="I33" s="28" t="n"/>
      <c r="J33" s="26" t="n"/>
      <c r="K33" s="26" t="n"/>
      <c r="L33" s="26" t="n"/>
      <c r="M33" s="29">
        <f>IF(OR(A33="",F33="Group"),"",IFERROR(SUMIFS('Holdings'!$C$4:$C$2503,'Holdings'!$J$4:$J$2503,A33,'Holdings'!$A$4:$A$2503,"LKB-GROUP",'Holdings'!$L$4:$L$2503,"Yes",'Holdings'!$M$4:$M$2503,"Yes")/SUMIFS('Holdings'!$C$4:$C$2503,'Holdings'!$J$4:$J$2503,A33,'Holdings'!$L$4:$L$2503,"Yes",'Holdings'!$M$4:$M$2503,"Yes"),""))</f>
        <v/>
      </c>
      <c r="N33" s="30">
        <f>IF(A33="","",IF(COUNTIF($A$4:$A$63,A33)&gt;1,"Duplicate code",IF(OR(AND(B33="",C33=""),F33="",G33=""),"Missing required field",IF(AND(F33="Controlled venture",H33&lt;&gt;"",M33&lt;&gt;""),IF(ABS(H33-M33)&gt;0.0005,"Stake differs from register","OK"),"OK"))))</f>
        <v/>
      </c>
    </row>
    <row r="34">
      <c r="A34" s="26" t="n"/>
      <c r="B34" s="26" t="n"/>
      <c r="C34" s="26" t="n"/>
      <c r="D34" s="26" t="n"/>
      <c r="E34" s="26" t="n"/>
      <c r="F34" s="26" t="n"/>
      <c r="G34" s="26" t="n"/>
      <c r="H34" s="27" t="n"/>
      <c r="I34" s="28" t="n"/>
      <c r="J34" s="26" t="n"/>
      <c r="K34" s="26" t="n"/>
      <c r="L34" s="26" t="n"/>
      <c r="M34" s="29">
        <f>IF(OR(A34="",F34="Group"),"",IFERROR(SUMIFS('Holdings'!$C$4:$C$2503,'Holdings'!$J$4:$J$2503,A34,'Holdings'!$A$4:$A$2503,"LKB-GROUP",'Holdings'!$L$4:$L$2503,"Yes",'Holdings'!$M$4:$M$2503,"Yes")/SUMIFS('Holdings'!$C$4:$C$2503,'Holdings'!$J$4:$J$2503,A34,'Holdings'!$L$4:$L$2503,"Yes",'Holdings'!$M$4:$M$2503,"Yes"),""))</f>
        <v/>
      </c>
      <c r="N34" s="30">
        <f>IF(A34="","",IF(COUNTIF($A$4:$A$63,A34)&gt;1,"Duplicate code",IF(OR(AND(B34="",C34=""),F34="",G34=""),"Missing required field",IF(AND(F34="Controlled venture",H34&lt;&gt;"",M34&lt;&gt;""),IF(ABS(H34-M34)&gt;0.0005,"Stake differs from register","OK"),"OK"))))</f>
        <v/>
      </c>
    </row>
    <row r="35">
      <c r="A35" s="26" t="n"/>
      <c r="B35" s="26" t="n"/>
      <c r="C35" s="26" t="n"/>
      <c r="D35" s="26" t="n"/>
      <c r="E35" s="26" t="n"/>
      <c r="F35" s="26" t="n"/>
      <c r="G35" s="26" t="n"/>
      <c r="H35" s="27" t="n"/>
      <c r="I35" s="28" t="n"/>
      <c r="J35" s="26" t="n"/>
      <c r="K35" s="26" t="n"/>
      <c r="L35" s="26" t="n"/>
      <c r="M35" s="29">
        <f>IF(OR(A35="",F35="Group"),"",IFERROR(SUMIFS('Holdings'!$C$4:$C$2503,'Holdings'!$J$4:$J$2503,A35,'Holdings'!$A$4:$A$2503,"LKB-GROUP",'Holdings'!$L$4:$L$2503,"Yes",'Holdings'!$M$4:$M$2503,"Yes")/SUMIFS('Holdings'!$C$4:$C$2503,'Holdings'!$J$4:$J$2503,A35,'Holdings'!$L$4:$L$2503,"Yes",'Holdings'!$M$4:$M$2503,"Yes"),""))</f>
        <v/>
      </c>
      <c r="N35" s="30">
        <f>IF(A35="","",IF(COUNTIF($A$4:$A$63,A35)&gt;1,"Duplicate code",IF(OR(AND(B35="",C35=""),F35="",G35=""),"Missing required field",IF(AND(F35="Controlled venture",H35&lt;&gt;"",M35&lt;&gt;""),IF(ABS(H35-M35)&gt;0.0005,"Stake differs from register","OK"),"OK"))))</f>
        <v/>
      </c>
    </row>
    <row r="36">
      <c r="A36" s="26" t="n"/>
      <c r="B36" s="26" t="n"/>
      <c r="C36" s="26" t="n"/>
      <c r="D36" s="26" t="n"/>
      <c r="E36" s="26" t="n"/>
      <c r="F36" s="26" t="n"/>
      <c r="G36" s="26" t="n"/>
      <c r="H36" s="27" t="n"/>
      <c r="I36" s="28" t="n"/>
      <c r="J36" s="26" t="n"/>
      <c r="K36" s="26" t="n"/>
      <c r="L36" s="26" t="n"/>
      <c r="M36" s="29">
        <f>IF(OR(A36="",F36="Group"),"",IFERROR(SUMIFS('Holdings'!$C$4:$C$2503,'Holdings'!$J$4:$J$2503,A36,'Holdings'!$A$4:$A$2503,"LKB-GROUP",'Holdings'!$L$4:$L$2503,"Yes",'Holdings'!$M$4:$M$2503,"Yes")/SUMIFS('Holdings'!$C$4:$C$2503,'Holdings'!$J$4:$J$2503,A36,'Holdings'!$L$4:$L$2503,"Yes",'Holdings'!$M$4:$M$2503,"Yes"),""))</f>
        <v/>
      </c>
      <c r="N36" s="30">
        <f>IF(A36="","",IF(COUNTIF($A$4:$A$63,A36)&gt;1,"Duplicate code",IF(OR(AND(B36="",C36=""),F36="",G36=""),"Missing required field",IF(AND(F36="Controlled venture",H36&lt;&gt;"",M36&lt;&gt;""),IF(ABS(H36-M36)&gt;0.0005,"Stake differs from register","OK"),"OK"))))</f>
        <v/>
      </c>
    </row>
    <row r="37">
      <c r="A37" s="26" t="n"/>
      <c r="B37" s="26" t="n"/>
      <c r="C37" s="26" t="n"/>
      <c r="D37" s="26" t="n"/>
      <c r="E37" s="26" t="n"/>
      <c r="F37" s="26" t="n"/>
      <c r="G37" s="26" t="n"/>
      <c r="H37" s="27" t="n"/>
      <c r="I37" s="28" t="n"/>
      <c r="J37" s="26" t="n"/>
      <c r="K37" s="26" t="n"/>
      <c r="L37" s="26" t="n"/>
      <c r="M37" s="29">
        <f>IF(OR(A37="",F37="Group"),"",IFERROR(SUMIFS('Holdings'!$C$4:$C$2503,'Holdings'!$J$4:$J$2503,A37,'Holdings'!$A$4:$A$2503,"LKB-GROUP",'Holdings'!$L$4:$L$2503,"Yes",'Holdings'!$M$4:$M$2503,"Yes")/SUMIFS('Holdings'!$C$4:$C$2503,'Holdings'!$J$4:$J$2503,A37,'Holdings'!$L$4:$L$2503,"Yes",'Holdings'!$M$4:$M$2503,"Yes"),""))</f>
        <v/>
      </c>
      <c r="N37" s="30">
        <f>IF(A37="","",IF(COUNTIF($A$4:$A$63,A37)&gt;1,"Duplicate code",IF(OR(AND(B37="",C37=""),F37="",G37=""),"Missing required field",IF(AND(F37="Controlled venture",H37&lt;&gt;"",M37&lt;&gt;""),IF(ABS(H37-M37)&gt;0.0005,"Stake differs from register","OK"),"OK"))))</f>
        <v/>
      </c>
    </row>
    <row r="38">
      <c r="A38" s="26" t="n"/>
      <c r="B38" s="26" t="n"/>
      <c r="C38" s="26" t="n"/>
      <c r="D38" s="26" t="n"/>
      <c r="E38" s="26" t="n"/>
      <c r="F38" s="26" t="n"/>
      <c r="G38" s="26" t="n"/>
      <c r="H38" s="27" t="n"/>
      <c r="I38" s="28" t="n"/>
      <c r="J38" s="26" t="n"/>
      <c r="K38" s="26" t="n"/>
      <c r="L38" s="26" t="n"/>
      <c r="M38" s="29">
        <f>IF(OR(A38="",F38="Group"),"",IFERROR(SUMIFS('Holdings'!$C$4:$C$2503,'Holdings'!$J$4:$J$2503,A38,'Holdings'!$A$4:$A$2503,"LKB-GROUP",'Holdings'!$L$4:$L$2503,"Yes",'Holdings'!$M$4:$M$2503,"Yes")/SUMIFS('Holdings'!$C$4:$C$2503,'Holdings'!$J$4:$J$2503,A38,'Holdings'!$L$4:$L$2503,"Yes",'Holdings'!$M$4:$M$2503,"Yes"),""))</f>
        <v/>
      </c>
      <c r="N38" s="30">
        <f>IF(A38="","",IF(COUNTIF($A$4:$A$63,A38)&gt;1,"Duplicate code",IF(OR(AND(B38="",C38=""),F38="",G38=""),"Missing required field",IF(AND(F38="Controlled venture",H38&lt;&gt;"",M38&lt;&gt;""),IF(ABS(H38-M38)&gt;0.0005,"Stake differs from register","OK"),"OK"))))</f>
        <v/>
      </c>
    </row>
    <row r="39">
      <c r="A39" s="26" t="n"/>
      <c r="B39" s="26" t="n"/>
      <c r="C39" s="26" t="n"/>
      <c r="D39" s="26" t="n"/>
      <c r="E39" s="26" t="n"/>
      <c r="F39" s="26" t="n"/>
      <c r="G39" s="26" t="n"/>
      <c r="H39" s="27" t="n"/>
      <c r="I39" s="28" t="n"/>
      <c r="J39" s="26" t="n"/>
      <c r="K39" s="26" t="n"/>
      <c r="L39" s="26" t="n"/>
      <c r="M39" s="29">
        <f>IF(OR(A39="",F39="Group"),"",IFERROR(SUMIFS('Holdings'!$C$4:$C$2503,'Holdings'!$J$4:$J$2503,A39,'Holdings'!$A$4:$A$2503,"LKB-GROUP",'Holdings'!$L$4:$L$2503,"Yes",'Holdings'!$M$4:$M$2503,"Yes")/SUMIFS('Holdings'!$C$4:$C$2503,'Holdings'!$J$4:$J$2503,A39,'Holdings'!$L$4:$L$2503,"Yes",'Holdings'!$M$4:$M$2503,"Yes"),""))</f>
        <v/>
      </c>
      <c r="N39" s="30">
        <f>IF(A39="","",IF(COUNTIF($A$4:$A$63,A39)&gt;1,"Duplicate code",IF(OR(AND(B39="",C39=""),F39="",G39=""),"Missing required field",IF(AND(F39="Controlled venture",H39&lt;&gt;"",M39&lt;&gt;""),IF(ABS(H39-M39)&gt;0.0005,"Stake differs from register","OK"),"OK"))))</f>
        <v/>
      </c>
    </row>
    <row r="40">
      <c r="A40" s="26" t="n"/>
      <c r="B40" s="26" t="n"/>
      <c r="C40" s="26" t="n"/>
      <c r="D40" s="26" t="n"/>
      <c r="E40" s="26" t="n"/>
      <c r="F40" s="26" t="n"/>
      <c r="G40" s="26" t="n"/>
      <c r="H40" s="27" t="n"/>
      <c r="I40" s="28" t="n"/>
      <c r="J40" s="26" t="n"/>
      <c r="K40" s="26" t="n"/>
      <c r="L40" s="26" t="n"/>
      <c r="M40" s="29">
        <f>IF(OR(A40="",F40="Group"),"",IFERROR(SUMIFS('Holdings'!$C$4:$C$2503,'Holdings'!$J$4:$J$2503,A40,'Holdings'!$A$4:$A$2503,"LKB-GROUP",'Holdings'!$L$4:$L$2503,"Yes",'Holdings'!$M$4:$M$2503,"Yes")/SUMIFS('Holdings'!$C$4:$C$2503,'Holdings'!$J$4:$J$2503,A40,'Holdings'!$L$4:$L$2503,"Yes",'Holdings'!$M$4:$M$2503,"Yes"),""))</f>
        <v/>
      </c>
      <c r="N40" s="30">
        <f>IF(A40="","",IF(COUNTIF($A$4:$A$63,A40)&gt;1,"Duplicate code",IF(OR(AND(B40="",C40=""),F40="",G40=""),"Missing required field",IF(AND(F40="Controlled venture",H40&lt;&gt;"",M40&lt;&gt;""),IF(ABS(H40-M40)&gt;0.0005,"Stake differs from register","OK"),"OK"))))</f>
        <v/>
      </c>
    </row>
    <row r="41">
      <c r="A41" s="26" t="n"/>
      <c r="B41" s="26" t="n"/>
      <c r="C41" s="26" t="n"/>
      <c r="D41" s="26" t="n"/>
      <c r="E41" s="26" t="n"/>
      <c r="F41" s="26" t="n"/>
      <c r="G41" s="26" t="n"/>
      <c r="H41" s="27" t="n"/>
      <c r="I41" s="28" t="n"/>
      <c r="J41" s="26" t="n"/>
      <c r="K41" s="26" t="n"/>
      <c r="L41" s="26" t="n"/>
      <c r="M41" s="29">
        <f>IF(OR(A41="",F41="Group"),"",IFERROR(SUMIFS('Holdings'!$C$4:$C$2503,'Holdings'!$J$4:$J$2503,A41,'Holdings'!$A$4:$A$2503,"LKB-GROUP",'Holdings'!$L$4:$L$2503,"Yes",'Holdings'!$M$4:$M$2503,"Yes")/SUMIFS('Holdings'!$C$4:$C$2503,'Holdings'!$J$4:$J$2503,A41,'Holdings'!$L$4:$L$2503,"Yes",'Holdings'!$M$4:$M$2503,"Yes"),""))</f>
        <v/>
      </c>
      <c r="N41" s="30">
        <f>IF(A41="","",IF(COUNTIF($A$4:$A$63,A41)&gt;1,"Duplicate code",IF(OR(AND(B41="",C41=""),F41="",G41=""),"Missing required field",IF(AND(F41="Controlled venture",H41&lt;&gt;"",M41&lt;&gt;""),IF(ABS(H41-M41)&gt;0.0005,"Stake differs from register","OK"),"OK"))))</f>
        <v/>
      </c>
    </row>
    <row r="42">
      <c r="A42" s="26" t="n"/>
      <c r="B42" s="26" t="n"/>
      <c r="C42" s="26" t="n"/>
      <c r="D42" s="26" t="n"/>
      <c r="E42" s="26" t="n"/>
      <c r="F42" s="26" t="n"/>
      <c r="G42" s="26" t="n"/>
      <c r="H42" s="27" t="n"/>
      <c r="I42" s="28" t="n"/>
      <c r="J42" s="26" t="n"/>
      <c r="K42" s="26" t="n"/>
      <c r="L42" s="26" t="n"/>
      <c r="M42" s="29">
        <f>IF(OR(A42="",F42="Group"),"",IFERROR(SUMIFS('Holdings'!$C$4:$C$2503,'Holdings'!$J$4:$J$2503,A42,'Holdings'!$A$4:$A$2503,"LKB-GROUP",'Holdings'!$L$4:$L$2503,"Yes",'Holdings'!$M$4:$M$2503,"Yes")/SUMIFS('Holdings'!$C$4:$C$2503,'Holdings'!$J$4:$J$2503,A42,'Holdings'!$L$4:$L$2503,"Yes",'Holdings'!$M$4:$M$2503,"Yes"),""))</f>
        <v/>
      </c>
      <c r="N42" s="30">
        <f>IF(A42="","",IF(COUNTIF($A$4:$A$63,A42)&gt;1,"Duplicate code",IF(OR(AND(B42="",C42=""),F42="",G42=""),"Missing required field",IF(AND(F42="Controlled venture",H42&lt;&gt;"",M42&lt;&gt;""),IF(ABS(H42-M42)&gt;0.0005,"Stake differs from register","OK"),"OK"))))</f>
        <v/>
      </c>
    </row>
    <row r="43">
      <c r="A43" s="26" t="n"/>
      <c r="B43" s="26" t="n"/>
      <c r="C43" s="26" t="n"/>
      <c r="D43" s="26" t="n"/>
      <c r="E43" s="26" t="n"/>
      <c r="F43" s="26" t="n"/>
      <c r="G43" s="26" t="n"/>
      <c r="H43" s="27" t="n"/>
      <c r="I43" s="28" t="n"/>
      <c r="J43" s="26" t="n"/>
      <c r="K43" s="26" t="n"/>
      <c r="L43" s="26" t="n"/>
      <c r="M43" s="29">
        <f>IF(OR(A43="",F43="Group"),"",IFERROR(SUMIFS('Holdings'!$C$4:$C$2503,'Holdings'!$J$4:$J$2503,A43,'Holdings'!$A$4:$A$2503,"LKB-GROUP",'Holdings'!$L$4:$L$2503,"Yes",'Holdings'!$M$4:$M$2503,"Yes")/SUMIFS('Holdings'!$C$4:$C$2503,'Holdings'!$J$4:$J$2503,A43,'Holdings'!$L$4:$L$2503,"Yes",'Holdings'!$M$4:$M$2503,"Yes"),""))</f>
        <v/>
      </c>
      <c r="N43" s="30">
        <f>IF(A43="","",IF(COUNTIF($A$4:$A$63,A43)&gt;1,"Duplicate code",IF(OR(AND(B43="",C43=""),F43="",G43=""),"Missing required field",IF(AND(F43="Controlled venture",H43&lt;&gt;"",M43&lt;&gt;""),IF(ABS(H43-M43)&gt;0.0005,"Stake differs from register","OK"),"OK"))))</f>
        <v/>
      </c>
    </row>
    <row r="44">
      <c r="A44" s="26" t="n"/>
      <c r="B44" s="26" t="n"/>
      <c r="C44" s="26" t="n"/>
      <c r="D44" s="26" t="n"/>
      <c r="E44" s="26" t="n"/>
      <c r="F44" s="26" t="n"/>
      <c r="G44" s="26" t="n"/>
      <c r="H44" s="27" t="n"/>
      <c r="I44" s="28" t="n"/>
      <c r="J44" s="26" t="n"/>
      <c r="K44" s="26" t="n"/>
      <c r="L44" s="26" t="n"/>
      <c r="M44" s="29">
        <f>IF(OR(A44="",F44="Group"),"",IFERROR(SUMIFS('Holdings'!$C$4:$C$2503,'Holdings'!$J$4:$J$2503,A44,'Holdings'!$A$4:$A$2503,"LKB-GROUP",'Holdings'!$L$4:$L$2503,"Yes",'Holdings'!$M$4:$M$2503,"Yes")/SUMIFS('Holdings'!$C$4:$C$2503,'Holdings'!$J$4:$J$2503,A44,'Holdings'!$L$4:$L$2503,"Yes",'Holdings'!$M$4:$M$2503,"Yes"),""))</f>
        <v/>
      </c>
      <c r="N44" s="30">
        <f>IF(A44="","",IF(COUNTIF($A$4:$A$63,A44)&gt;1,"Duplicate code",IF(OR(AND(B44="",C44=""),F44="",G44=""),"Missing required field",IF(AND(F44="Controlled venture",H44&lt;&gt;"",M44&lt;&gt;""),IF(ABS(H44-M44)&gt;0.0005,"Stake differs from register","OK"),"OK"))))</f>
        <v/>
      </c>
    </row>
    <row r="45">
      <c r="A45" s="26" t="n"/>
      <c r="B45" s="26" t="n"/>
      <c r="C45" s="26" t="n"/>
      <c r="D45" s="26" t="n"/>
      <c r="E45" s="26" t="n"/>
      <c r="F45" s="26" t="n"/>
      <c r="G45" s="26" t="n"/>
      <c r="H45" s="27" t="n"/>
      <c r="I45" s="28" t="n"/>
      <c r="J45" s="26" t="n"/>
      <c r="K45" s="26" t="n"/>
      <c r="L45" s="26" t="n"/>
      <c r="M45" s="29">
        <f>IF(OR(A45="",F45="Group"),"",IFERROR(SUMIFS('Holdings'!$C$4:$C$2503,'Holdings'!$J$4:$J$2503,A45,'Holdings'!$A$4:$A$2503,"LKB-GROUP",'Holdings'!$L$4:$L$2503,"Yes",'Holdings'!$M$4:$M$2503,"Yes")/SUMIFS('Holdings'!$C$4:$C$2503,'Holdings'!$J$4:$J$2503,A45,'Holdings'!$L$4:$L$2503,"Yes",'Holdings'!$M$4:$M$2503,"Yes"),""))</f>
        <v/>
      </c>
      <c r="N45" s="30">
        <f>IF(A45="","",IF(COUNTIF($A$4:$A$63,A45)&gt;1,"Duplicate code",IF(OR(AND(B45="",C45=""),F45="",G45=""),"Missing required field",IF(AND(F45="Controlled venture",H45&lt;&gt;"",M45&lt;&gt;""),IF(ABS(H45-M45)&gt;0.0005,"Stake differs from register","OK"),"OK"))))</f>
        <v/>
      </c>
    </row>
    <row r="46">
      <c r="A46" s="26" t="n"/>
      <c r="B46" s="26" t="n"/>
      <c r="C46" s="26" t="n"/>
      <c r="D46" s="26" t="n"/>
      <c r="E46" s="26" t="n"/>
      <c r="F46" s="26" t="n"/>
      <c r="G46" s="26" t="n"/>
      <c r="H46" s="27" t="n"/>
      <c r="I46" s="28" t="n"/>
      <c r="J46" s="26" t="n"/>
      <c r="K46" s="26" t="n"/>
      <c r="L46" s="26" t="n"/>
      <c r="M46" s="29">
        <f>IF(OR(A46="",F46="Group"),"",IFERROR(SUMIFS('Holdings'!$C$4:$C$2503,'Holdings'!$J$4:$J$2503,A46,'Holdings'!$A$4:$A$2503,"LKB-GROUP",'Holdings'!$L$4:$L$2503,"Yes",'Holdings'!$M$4:$M$2503,"Yes")/SUMIFS('Holdings'!$C$4:$C$2503,'Holdings'!$J$4:$J$2503,A46,'Holdings'!$L$4:$L$2503,"Yes",'Holdings'!$M$4:$M$2503,"Yes"),""))</f>
        <v/>
      </c>
      <c r="N46" s="30">
        <f>IF(A46="","",IF(COUNTIF($A$4:$A$63,A46)&gt;1,"Duplicate code",IF(OR(AND(B46="",C46=""),F46="",G46=""),"Missing required field",IF(AND(F46="Controlled venture",H46&lt;&gt;"",M46&lt;&gt;""),IF(ABS(H46-M46)&gt;0.0005,"Stake differs from register","OK"),"OK"))))</f>
        <v/>
      </c>
    </row>
    <row r="47">
      <c r="A47" s="26" t="n"/>
      <c r="B47" s="26" t="n"/>
      <c r="C47" s="26" t="n"/>
      <c r="D47" s="26" t="n"/>
      <c r="E47" s="26" t="n"/>
      <c r="F47" s="26" t="n"/>
      <c r="G47" s="26" t="n"/>
      <c r="H47" s="27" t="n"/>
      <c r="I47" s="28" t="n"/>
      <c r="J47" s="26" t="n"/>
      <c r="K47" s="26" t="n"/>
      <c r="L47" s="26" t="n"/>
      <c r="M47" s="29">
        <f>IF(OR(A47="",F47="Group"),"",IFERROR(SUMIFS('Holdings'!$C$4:$C$2503,'Holdings'!$J$4:$J$2503,A47,'Holdings'!$A$4:$A$2503,"LKB-GROUP",'Holdings'!$L$4:$L$2503,"Yes",'Holdings'!$M$4:$M$2503,"Yes")/SUMIFS('Holdings'!$C$4:$C$2503,'Holdings'!$J$4:$J$2503,A47,'Holdings'!$L$4:$L$2503,"Yes",'Holdings'!$M$4:$M$2503,"Yes"),""))</f>
        <v/>
      </c>
      <c r="N47" s="30">
        <f>IF(A47="","",IF(COUNTIF($A$4:$A$63,A47)&gt;1,"Duplicate code",IF(OR(AND(B47="",C47=""),F47="",G47=""),"Missing required field",IF(AND(F47="Controlled venture",H47&lt;&gt;"",M47&lt;&gt;""),IF(ABS(H47-M47)&gt;0.0005,"Stake differs from register","OK"),"OK"))))</f>
        <v/>
      </c>
    </row>
    <row r="48">
      <c r="A48" s="26" t="n"/>
      <c r="B48" s="26" t="n"/>
      <c r="C48" s="26" t="n"/>
      <c r="D48" s="26" t="n"/>
      <c r="E48" s="26" t="n"/>
      <c r="F48" s="26" t="n"/>
      <c r="G48" s="26" t="n"/>
      <c r="H48" s="27" t="n"/>
      <c r="I48" s="28" t="n"/>
      <c r="J48" s="26" t="n"/>
      <c r="K48" s="26" t="n"/>
      <c r="L48" s="26" t="n"/>
      <c r="M48" s="29">
        <f>IF(OR(A48="",F48="Group"),"",IFERROR(SUMIFS('Holdings'!$C$4:$C$2503,'Holdings'!$J$4:$J$2503,A48,'Holdings'!$A$4:$A$2503,"LKB-GROUP",'Holdings'!$L$4:$L$2503,"Yes",'Holdings'!$M$4:$M$2503,"Yes")/SUMIFS('Holdings'!$C$4:$C$2503,'Holdings'!$J$4:$J$2503,A48,'Holdings'!$L$4:$L$2503,"Yes",'Holdings'!$M$4:$M$2503,"Yes"),""))</f>
        <v/>
      </c>
      <c r="N48" s="30">
        <f>IF(A48="","",IF(COUNTIF($A$4:$A$63,A48)&gt;1,"Duplicate code",IF(OR(AND(B48="",C48=""),F48="",G48=""),"Missing required field",IF(AND(F48="Controlled venture",H48&lt;&gt;"",M48&lt;&gt;""),IF(ABS(H48-M48)&gt;0.0005,"Stake differs from register","OK"),"OK"))))</f>
        <v/>
      </c>
    </row>
    <row r="49">
      <c r="A49" s="26" t="n"/>
      <c r="B49" s="26" t="n"/>
      <c r="C49" s="26" t="n"/>
      <c r="D49" s="26" t="n"/>
      <c r="E49" s="26" t="n"/>
      <c r="F49" s="26" t="n"/>
      <c r="G49" s="26" t="n"/>
      <c r="H49" s="27" t="n"/>
      <c r="I49" s="28" t="n"/>
      <c r="J49" s="26" t="n"/>
      <c r="K49" s="26" t="n"/>
      <c r="L49" s="26" t="n"/>
      <c r="M49" s="29">
        <f>IF(OR(A49="",F49="Group"),"",IFERROR(SUMIFS('Holdings'!$C$4:$C$2503,'Holdings'!$J$4:$J$2503,A49,'Holdings'!$A$4:$A$2503,"LKB-GROUP",'Holdings'!$L$4:$L$2503,"Yes",'Holdings'!$M$4:$M$2503,"Yes")/SUMIFS('Holdings'!$C$4:$C$2503,'Holdings'!$J$4:$J$2503,A49,'Holdings'!$L$4:$L$2503,"Yes",'Holdings'!$M$4:$M$2503,"Yes"),""))</f>
        <v/>
      </c>
      <c r="N49" s="30">
        <f>IF(A49="","",IF(COUNTIF($A$4:$A$63,A49)&gt;1,"Duplicate code",IF(OR(AND(B49="",C49=""),F49="",G49=""),"Missing required field",IF(AND(F49="Controlled venture",H49&lt;&gt;"",M49&lt;&gt;""),IF(ABS(H49-M49)&gt;0.0005,"Stake differs from register","OK"),"OK"))))</f>
        <v/>
      </c>
    </row>
    <row r="50">
      <c r="A50" s="26" t="n"/>
      <c r="B50" s="26" t="n"/>
      <c r="C50" s="26" t="n"/>
      <c r="D50" s="26" t="n"/>
      <c r="E50" s="26" t="n"/>
      <c r="F50" s="26" t="n"/>
      <c r="G50" s="26" t="n"/>
      <c r="H50" s="27" t="n"/>
      <c r="I50" s="28" t="n"/>
      <c r="J50" s="26" t="n"/>
      <c r="K50" s="26" t="n"/>
      <c r="L50" s="26" t="n"/>
      <c r="M50" s="29">
        <f>IF(OR(A50="",F50="Group"),"",IFERROR(SUMIFS('Holdings'!$C$4:$C$2503,'Holdings'!$J$4:$J$2503,A50,'Holdings'!$A$4:$A$2503,"LKB-GROUP",'Holdings'!$L$4:$L$2503,"Yes",'Holdings'!$M$4:$M$2503,"Yes")/SUMIFS('Holdings'!$C$4:$C$2503,'Holdings'!$J$4:$J$2503,A50,'Holdings'!$L$4:$L$2503,"Yes",'Holdings'!$M$4:$M$2503,"Yes"),""))</f>
        <v/>
      </c>
      <c r="N50" s="30">
        <f>IF(A50="","",IF(COUNTIF($A$4:$A$63,A50)&gt;1,"Duplicate code",IF(OR(AND(B50="",C50=""),F50="",G50=""),"Missing required field",IF(AND(F50="Controlled venture",H50&lt;&gt;"",M50&lt;&gt;""),IF(ABS(H50-M50)&gt;0.0005,"Stake differs from register","OK"),"OK"))))</f>
        <v/>
      </c>
    </row>
    <row r="51">
      <c r="A51" s="26" t="n"/>
      <c r="B51" s="26" t="n"/>
      <c r="C51" s="26" t="n"/>
      <c r="D51" s="26" t="n"/>
      <c r="E51" s="26" t="n"/>
      <c r="F51" s="26" t="n"/>
      <c r="G51" s="26" t="n"/>
      <c r="H51" s="27" t="n"/>
      <c r="I51" s="28" t="n"/>
      <c r="J51" s="26" t="n"/>
      <c r="K51" s="26" t="n"/>
      <c r="L51" s="26" t="n"/>
      <c r="M51" s="29">
        <f>IF(OR(A51="",F51="Group"),"",IFERROR(SUMIFS('Holdings'!$C$4:$C$2503,'Holdings'!$J$4:$J$2503,A51,'Holdings'!$A$4:$A$2503,"LKB-GROUP",'Holdings'!$L$4:$L$2503,"Yes",'Holdings'!$M$4:$M$2503,"Yes")/SUMIFS('Holdings'!$C$4:$C$2503,'Holdings'!$J$4:$J$2503,A51,'Holdings'!$L$4:$L$2503,"Yes",'Holdings'!$M$4:$M$2503,"Yes"),""))</f>
        <v/>
      </c>
      <c r="N51" s="30">
        <f>IF(A51="","",IF(COUNTIF($A$4:$A$63,A51)&gt;1,"Duplicate code",IF(OR(AND(B51="",C51=""),F51="",G51=""),"Missing required field",IF(AND(F51="Controlled venture",H51&lt;&gt;"",M51&lt;&gt;""),IF(ABS(H51-M51)&gt;0.0005,"Stake differs from register","OK"),"OK"))))</f>
        <v/>
      </c>
    </row>
    <row r="52">
      <c r="A52" s="26" t="n"/>
      <c r="B52" s="26" t="n"/>
      <c r="C52" s="26" t="n"/>
      <c r="D52" s="26" t="n"/>
      <c r="E52" s="26" t="n"/>
      <c r="F52" s="26" t="n"/>
      <c r="G52" s="26" t="n"/>
      <c r="H52" s="27" t="n"/>
      <c r="I52" s="28" t="n"/>
      <c r="J52" s="26" t="n"/>
      <c r="K52" s="26" t="n"/>
      <c r="L52" s="26" t="n"/>
      <c r="M52" s="29">
        <f>IF(OR(A52="",F52="Group"),"",IFERROR(SUMIFS('Holdings'!$C$4:$C$2503,'Holdings'!$J$4:$J$2503,A52,'Holdings'!$A$4:$A$2503,"LKB-GROUP",'Holdings'!$L$4:$L$2503,"Yes",'Holdings'!$M$4:$M$2503,"Yes")/SUMIFS('Holdings'!$C$4:$C$2503,'Holdings'!$J$4:$J$2503,A52,'Holdings'!$L$4:$L$2503,"Yes",'Holdings'!$M$4:$M$2503,"Yes"),""))</f>
        <v/>
      </c>
      <c r="N52" s="30">
        <f>IF(A52="","",IF(COUNTIF($A$4:$A$63,A52)&gt;1,"Duplicate code",IF(OR(AND(B52="",C52=""),F52="",G52=""),"Missing required field",IF(AND(F52="Controlled venture",H52&lt;&gt;"",M52&lt;&gt;""),IF(ABS(H52-M52)&gt;0.0005,"Stake differs from register","OK"),"OK"))))</f>
        <v/>
      </c>
    </row>
    <row r="53">
      <c r="A53" s="26" t="n"/>
      <c r="B53" s="26" t="n"/>
      <c r="C53" s="26" t="n"/>
      <c r="D53" s="26" t="n"/>
      <c r="E53" s="26" t="n"/>
      <c r="F53" s="26" t="n"/>
      <c r="G53" s="26" t="n"/>
      <c r="H53" s="27" t="n"/>
      <c r="I53" s="28" t="n"/>
      <c r="J53" s="26" t="n"/>
      <c r="K53" s="26" t="n"/>
      <c r="L53" s="26" t="n"/>
      <c r="M53" s="29">
        <f>IF(OR(A53="",F53="Group"),"",IFERROR(SUMIFS('Holdings'!$C$4:$C$2503,'Holdings'!$J$4:$J$2503,A53,'Holdings'!$A$4:$A$2503,"LKB-GROUP",'Holdings'!$L$4:$L$2503,"Yes",'Holdings'!$M$4:$M$2503,"Yes")/SUMIFS('Holdings'!$C$4:$C$2503,'Holdings'!$J$4:$J$2503,A53,'Holdings'!$L$4:$L$2503,"Yes",'Holdings'!$M$4:$M$2503,"Yes"),""))</f>
        <v/>
      </c>
      <c r="N53" s="30">
        <f>IF(A53="","",IF(COUNTIF($A$4:$A$63,A53)&gt;1,"Duplicate code",IF(OR(AND(B53="",C53=""),F53="",G53=""),"Missing required field",IF(AND(F53="Controlled venture",H53&lt;&gt;"",M53&lt;&gt;""),IF(ABS(H53-M53)&gt;0.0005,"Stake differs from register","OK"),"OK"))))</f>
        <v/>
      </c>
    </row>
    <row r="54">
      <c r="A54" s="26" t="n"/>
      <c r="B54" s="26" t="n"/>
      <c r="C54" s="26" t="n"/>
      <c r="D54" s="26" t="n"/>
      <c r="E54" s="26" t="n"/>
      <c r="F54" s="26" t="n"/>
      <c r="G54" s="26" t="n"/>
      <c r="H54" s="27" t="n"/>
      <c r="I54" s="28" t="n"/>
      <c r="J54" s="26" t="n"/>
      <c r="K54" s="26" t="n"/>
      <c r="L54" s="26" t="n"/>
      <c r="M54" s="29">
        <f>IF(OR(A54="",F54="Group"),"",IFERROR(SUMIFS('Holdings'!$C$4:$C$2503,'Holdings'!$J$4:$J$2503,A54,'Holdings'!$A$4:$A$2503,"LKB-GROUP",'Holdings'!$L$4:$L$2503,"Yes",'Holdings'!$M$4:$M$2503,"Yes")/SUMIFS('Holdings'!$C$4:$C$2503,'Holdings'!$J$4:$J$2503,A54,'Holdings'!$L$4:$L$2503,"Yes",'Holdings'!$M$4:$M$2503,"Yes"),""))</f>
        <v/>
      </c>
      <c r="N54" s="30">
        <f>IF(A54="","",IF(COUNTIF($A$4:$A$63,A54)&gt;1,"Duplicate code",IF(OR(AND(B54="",C54=""),F54="",G54=""),"Missing required field",IF(AND(F54="Controlled venture",H54&lt;&gt;"",M54&lt;&gt;""),IF(ABS(H54-M54)&gt;0.0005,"Stake differs from register","OK"),"OK"))))</f>
        <v/>
      </c>
    </row>
    <row r="55">
      <c r="A55" s="26" t="n"/>
      <c r="B55" s="26" t="n"/>
      <c r="C55" s="26" t="n"/>
      <c r="D55" s="26" t="n"/>
      <c r="E55" s="26" t="n"/>
      <c r="F55" s="26" t="n"/>
      <c r="G55" s="26" t="n"/>
      <c r="H55" s="27" t="n"/>
      <c r="I55" s="28" t="n"/>
      <c r="J55" s="26" t="n"/>
      <c r="K55" s="26" t="n"/>
      <c r="L55" s="26" t="n"/>
      <c r="M55" s="29">
        <f>IF(OR(A55="",F55="Group"),"",IFERROR(SUMIFS('Holdings'!$C$4:$C$2503,'Holdings'!$J$4:$J$2503,A55,'Holdings'!$A$4:$A$2503,"LKB-GROUP",'Holdings'!$L$4:$L$2503,"Yes",'Holdings'!$M$4:$M$2503,"Yes")/SUMIFS('Holdings'!$C$4:$C$2503,'Holdings'!$J$4:$J$2503,A55,'Holdings'!$L$4:$L$2503,"Yes",'Holdings'!$M$4:$M$2503,"Yes"),""))</f>
        <v/>
      </c>
      <c r="N55" s="30">
        <f>IF(A55="","",IF(COUNTIF($A$4:$A$63,A55)&gt;1,"Duplicate code",IF(OR(AND(B55="",C55=""),F55="",G55=""),"Missing required field",IF(AND(F55="Controlled venture",H55&lt;&gt;"",M55&lt;&gt;""),IF(ABS(H55-M55)&gt;0.0005,"Stake differs from register","OK"),"OK"))))</f>
        <v/>
      </c>
    </row>
    <row r="56">
      <c r="A56" s="26" t="n"/>
      <c r="B56" s="26" t="n"/>
      <c r="C56" s="26" t="n"/>
      <c r="D56" s="26" t="n"/>
      <c r="E56" s="26" t="n"/>
      <c r="F56" s="26" t="n"/>
      <c r="G56" s="26" t="n"/>
      <c r="H56" s="27" t="n"/>
      <c r="I56" s="28" t="n"/>
      <c r="J56" s="26" t="n"/>
      <c r="K56" s="26" t="n"/>
      <c r="L56" s="26" t="n"/>
      <c r="M56" s="29">
        <f>IF(OR(A56="",F56="Group"),"",IFERROR(SUMIFS('Holdings'!$C$4:$C$2503,'Holdings'!$J$4:$J$2503,A56,'Holdings'!$A$4:$A$2503,"LKB-GROUP",'Holdings'!$L$4:$L$2503,"Yes",'Holdings'!$M$4:$M$2503,"Yes")/SUMIFS('Holdings'!$C$4:$C$2503,'Holdings'!$J$4:$J$2503,A56,'Holdings'!$L$4:$L$2503,"Yes",'Holdings'!$M$4:$M$2503,"Yes"),""))</f>
        <v/>
      </c>
      <c r="N56" s="30">
        <f>IF(A56="","",IF(COUNTIF($A$4:$A$63,A56)&gt;1,"Duplicate code",IF(OR(AND(B56="",C56=""),F56="",G56=""),"Missing required field",IF(AND(F56="Controlled venture",H56&lt;&gt;"",M56&lt;&gt;""),IF(ABS(H56-M56)&gt;0.0005,"Stake differs from register","OK"),"OK"))))</f>
        <v/>
      </c>
    </row>
    <row r="57">
      <c r="A57" s="26" t="n"/>
      <c r="B57" s="26" t="n"/>
      <c r="C57" s="26" t="n"/>
      <c r="D57" s="26" t="n"/>
      <c r="E57" s="26" t="n"/>
      <c r="F57" s="26" t="n"/>
      <c r="G57" s="26" t="n"/>
      <c r="H57" s="27" t="n"/>
      <c r="I57" s="28" t="n"/>
      <c r="J57" s="26" t="n"/>
      <c r="K57" s="26" t="n"/>
      <c r="L57" s="26" t="n"/>
      <c r="M57" s="29">
        <f>IF(OR(A57="",F57="Group"),"",IFERROR(SUMIFS('Holdings'!$C$4:$C$2503,'Holdings'!$J$4:$J$2503,A57,'Holdings'!$A$4:$A$2503,"LKB-GROUP",'Holdings'!$L$4:$L$2503,"Yes",'Holdings'!$M$4:$M$2503,"Yes")/SUMIFS('Holdings'!$C$4:$C$2503,'Holdings'!$J$4:$J$2503,A57,'Holdings'!$L$4:$L$2503,"Yes",'Holdings'!$M$4:$M$2503,"Yes"),""))</f>
        <v/>
      </c>
      <c r="N57" s="30">
        <f>IF(A57="","",IF(COUNTIF($A$4:$A$63,A57)&gt;1,"Duplicate code",IF(OR(AND(B57="",C57=""),F57="",G57=""),"Missing required field",IF(AND(F57="Controlled venture",H57&lt;&gt;"",M57&lt;&gt;""),IF(ABS(H57-M57)&gt;0.0005,"Stake differs from register","OK"),"OK"))))</f>
        <v/>
      </c>
    </row>
    <row r="58">
      <c r="A58" s="26" t="n"/>
      <c r="B58" s="26" t="n"/>
      <c r="C58" s="26" t="n"/>
      <c r="D58" s="26" t="n"/>
      <c r="E58" s="26" t="n"/>
      <c r="F58" s="26" t="n"/>
      <c r="G58" s="26" t="n"/>
      <c r="H58" s="27" t="n"/>
      <c r="I58" s="28" t="n"/>
      <c r="J58" s="26" t="n"/>
      <c r="K58" s="26" t="n"/>
      <c r="L58" s="26" t="n"/>
      <c r="M58" s="29">
        <f>IF(OR(A58="",F58="Group"),"",IFERROR(SUMIFS('Holdings'!$C$4:$C$2503,'Holdings'!$J$4:$J$2503,A58,'Holdings'!$A$4:$A$2503,"LKB-GROUP",'Holdings'!$L$4:$L$2503,"Yes",'Holdings'!$M$4:$M$2503,"Yes")/SUMIFS('Holdings'!$C$4:$C$2503,'Holdings'!$J$4:$J$2503,A58,'Holdings'!$L$4:$L$2503,"Yes",'Holdings'!$M$4:$M$2503,"Yes"),""))</f>
        <v/>
      </c>
      <c r="N58" s="30">
        <f>IF(A58="","",IF(COUNTIF($A$4:$A$63,A58)&gt;1,"Duplicate code",IF(OR(AND(B58="",C58=""),F58="",G58=""),"Missing required field",IF(AND(F58="Controlled venture",H58&lt;&gt;"",M58&lt;&gt;""),IF(ABS(H58-M58)&gt;0.0005,"Stake differs from register","OK"),"OK"))))</f>
        <v/>
      </c>
    </row>
    <row r="59">
      <c r="A59" s="26" t="n"/>
      <c r="B59" s="26" t="n"/>
      <c r="C59" s="26" t="n"/>
      <c r="D59" s="26" t="n"/>
      <c r="E59" s="26" t="n"/>
      <c r="F59" s="26" t="n"/>
      <c r="G59" s="26" t="n"/>
      <c r="H59" s="27" t="n"/>
      <c r="I59" s="28" t="n"/>
      <c r="J59" s="26" t="n"/>
      <c r="K59" s="26" t="n"/>
      <c r="L59" s="26" t="n"/>
      <c r="M59" s="29">
        <f>IF(OR(A59="",F59="Group"),"",IFERROR(SUMIFS('Holdings'!$C$4:$C$2503,'Holdings'!$J$4:$J$2503,A59,'Holdings'!$A$4:$A$2503,"LKB-GROUP",'Holdings'!$L$4:$L$2503,"Yes",'Holdings'!$M$4:$M$2503,"Yes")/SUMIFS('Holdings'!$C$4:$C$2503,'Holdings'!$J$4:$J$2503,A59,'Holdings'!$L$4:$L$2503,"Yes",'Holdings'!$M$4:$M$2503,"Yes"),""))</f>
        <v/>
      </c>
      <c r="N59" s="30">
        <f>IF(A59="","",IF(COUNTIF($A$4:$A$63,A59)&gt;1,"Duplicate code",IF(OR(AND(B59="",C59=""),F59="",G59=""),"Missing required field",IF(AND(F59="Controlled venture",H59&lt;&gt;"",M59&lt;&gt;""),IF(ABS(H59-M59)&gt;0.0005,"Stake differs from register","OK"),"OK"))))</f>
        <v/>
      </c>
    </row>
    <row r="60">
      <c r="A60" s="26" t="n"/>
      <c r="B60" s="26" t="n"/>
      <c r="C60" s="26" t="n"/>
      <c r="D60" s="26" t="n"/>
      <c r="E60" s="26" t="n"/>
      <c r="F60" s="26" t="n"/>
      <c r="G60" s="26" t="n"/>
      <c r="H60" s="27" t="n"/>
      <c r="I60" s="28" t="n"/>
      <c r="J60" s="26" t="n"/>
      <c r="K60" s="26" t="n"/>
      <c r="L60" s="26" t="n"/>
      <c r="M60" s="29">
        <f>IF(OR(A60="",F60="Group"),"",IFERROR(SUMIFS('Holdings'!$C$4:$C$2503,'Holdings'!$J$4:$J$2503,A60,'Holdings'!$A$4:$A$2503,"LKB-GROUP",'Holdings'!$L$4:$L$2503,"Yes",'Holdings'!$M$4:$M$2503,"Yes")/SUMIFS('Holdings'!$C$4:$C$2503,'Holdings'!$J$4:$J$2503,A60,'Holdings'!$L$4:$L$2503,"Yes",'Holdings'!$M$4:$M$2503,"Yes"),""))</f>
        <v/>
      </c>
      <c r="N60" s="30">
        <f>IF(A60="","",IF(COUNTIF($A$4:$A$63,A60)&gt;1,"Duplicate code",IF(OR(AND(B60="",C60=""),F60="",G60=""),"Missing required field",IF(AND(F60="Controlled venture",H60&lt;&gt;"",M60&lt;&gt;""),IF(ABS(H60-M60)&gt;0.0005,"Stake differs from register","OK"),"OK"))))</f>
        <v/>
      </c>
    </row>
    <row r="61">
      <c r="A61" s="26" t="n"/>
      <c r="B61" s="26" t="n"/>
      <c r="C61" s="26" t="n"/>
      <c r="D61" s="26" t="n"/>
      <c r="E61" s="26" t="n"/>
      <c r="F61" s="26" t="n"/>
      <c r="G61" s="26" t="n"/>
      <c r="H61" s="27" t="n"/>
      <c r="I61" s="28" t="n"/>
      <c r="J61" s="26" t="n"/>
      <c r="K61" s="26" t="n"/>
      <c r="L61" s="26" t="n"/>
      <c r="M61" s="29">
        <f>IF(OR(A61="",F61="Group"),"",IFERROR(SUMIFS('Holdings'!$C$4:$C$2503,'Holdings'!$J$4:$J$2503,A61,'Holdings'!$A$4:$A$2503,"LKB-GROUP",'Holdings'!$L$4:$L$2503,"Yes",'Holdings'!$M$4:$M$2503,"Yes")/SUMIFS('Holdings'!$C$4:$C$2503,'Holdings'!$J$4:$J$2503,A61,'Holdings'!$L$4:$L$2503,"Yes",'Holdings'!$M$4:$M$2503,"Yes"),""))</f>
        <v/>
      </c>
      <c r="N61" s="30">
        <f>IF(A61="","",IF(COUNTIF($A$4:$A$63,A61)&gt;1,"Duplicate code",IF(OR(AND(B61="",C61=""),F61="",G61=""),"Missing required field",IF(AND(F61="Controlled venture",H61&lt;&gt;"",M61&lt;&gt;""),IF(ABS(H61-M61)&gt;0.0005,"Stake differs from register","OK"),"OK"))))</f>
        <v/>
      </c>
    </row>
    <row r="62">
      <c r="A62" s="26" t="n"/>
      <c r="B62" s="26" t="n"/>
      <c r="C62" s="26" t="n"/>
      <c r="D62" s="26" t="n"/>
      <c r="E62" s="26" t="n"/>
      <c r="F62" s="26" t="n"/>
      <c r="G62" s="26" t="n"/>
      <c r="H62" s="27" t="n"/>
      <c r="I62" s="28" t="n"/>
      <c r="J62" s="26" t="n"/>
      <c r="K62" s="26" t="n"/>
      <c r="L62" s="26" t="n"/>
      <c r="M62" s="29">
        <f>IF(OR(A62="",F62="Group"),"",IFERROR(SUMIFS('Holdings'!$C$4:$C$2503,'Holdings'!$J$4:$J$2503,A62,'Holdings'!$A$4:$A$2503,"LKB-GROUP",'Holdings'!$L$4:$L$2503,"Yes",'Holdings'!$M$4:$M$2503,"Yes")/SUMIFS('Holdings'!$C$4:$C$2503,'Holdings'!$J$4:$J$2503,A62,'Holdings'!$L$4:$L$2503,"Yes",'Holdings'!$M$4:$M$2503,"Yes"),""))</f>
        <v/>
      </c>
      <c r="N62" s="30">
        <f>IF(A62="","",IF(COUNTIF($A$4:$A$63,A62)&gt;1,"Duplicate code",IF(OR(AND(B62="",C62=""),F62="",G62=""),"Missing required field",IF(AND(F62="Controlled venture",H62&lt;&gt;"",M62&lt;&gt;""),IF(ABS(H62-M62)&gt;0.0005,"Stake differs from register","OK"),"OK"))))</f>
        <v/>
      </c>
    </row>
    <row r="63">
      <c r="A63" s="26" t="n"/>
      <c r="B63" s="26" t="n"/>
      <c r="C63" s="26" t="n"/>
      <c r="D63" s="26" t="n"/>
      <c r="E63" s="26" t="n"/>
      <c r="F63" s="26" t="n"/>
      <c r="G63" s="26" t="n"/>
      <c r="H63" s="27" t="n"/>
      <c r="I63" s="28" t="n"/>
      <c r="J63" s="26" t="n"/>
      <c r="K63" s="26" t="n"/>
      <c r="L63" s="26" t="n"/>
      <c r="M63" s="29">
        <f>IF(OR(A63="",F63="Group"),"",IFERROR(SUMIFS('Holdings'!$C$4:$C$2503,'Holdings'!$J$4:$J$2503,A63,'Holdings'!$A$4:$A$2503,"LKB-GROUP",'Holdings'!$L$4:$L$2503,"Yes",'Holdings'!$M$4:$M$2503,"Yes")/SUMIFS('Holdings'!$C$4:$C$2503,'Holdings'!$J$4:$J$2503,A63,'Holdings'!$L$4:$L$2503,"Yes",'Holdings'!$M$4:$M$2503,"Yes"),""))</f>
        <v/>
      </c>
      <c r="N63" s="30">
        <f>IF(A63="","",IF(COUNTIF($A$4:$A$63,A63)&gt;1,"Duplicate code",IF(OR(AND(B63="",C63=""),F63="",G63=""),"Missing required field",IF(AND(F63="Controlled venture",H63&lt;&gt;"",M63&lt;&gt;""),IF(ABS(H63-M63)&gt;0.0005,"Stake differs from register","OK"),"OK"))))</f>
        <v/>
      </c>
    </row>
  </sheetData>
  <autoFilter ref="A2:N63"/>
  <conditionalFormatting sqref="N4:N63">
    <cfRule type="expression" priority="1" dxfId="0">
      <formula>AND(N4&lt;&gt;"",N4&lt;&gt;"OK")</formula>
    </cfRule>
  </conditionalFormatting>
  <dataValidations count="2">
    <dataValidation sqref="F4:F63" showDropDown="0" showInputMessage="0" showErrorMessage="1" allowBlank="0" errorTitle="Choose from the list" error="Pick one of: Group, Controlled venture, Non-controlling investment" type="list">
      <formula1>=Lists!$A$2:$A$4</formula1>
    </dataValidation>
    <dataValidation sqref="G4:G63" showDropDown="0" showInputMessage="0" showErrorMessage="1" allowBlank="0" errorTitle="Choose from the list" error="Pick one of: Full portal, Portfolio entry only, Not in portal" type="list">
      <formula1>=Lists!$B$2:$B$4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0" customWidth="1" min="4" max="4"/>
    <col width="9" customWidth="1" min="5" max="5"/>
    <col width="11" customWidth="1" min="6" max="6"/>
    <col width="15" customWidth="1" min="7" max="7"/>
    <col width="12" customWidth="1" min="8" max="8"/>
    <col width="9" customWidth="1" min="9" max="9"/>
    <col width="26" customWidth="1" min="10" max="10"/>
    <col width="15" customWidth="1" min="11" max="11"/>
    <col width="13" customWidth="1" min="12" max="12"/>
    <col width="26" customWidth="1" min="13" max="13"/>
  </cols>
  <sheetData>
    <row r="1">
      <c r="A1" s="9" t="inlineStr">
        <is>
          <t>Share classes</t>
        </is>
      </c>
      <c r="C1" s="10" t="inlineStr">
        <is>
          <t>Every class of shares (or notes/options) per company. Holdings refer to the class code.</t>
        </is>
      </c>
    </row>
    <row r="2" ht="32" customHeight="1">
      <c r="A2" s="20" t="inlineStr">
        <is>
          <t>Company code *</t>
        </is>
      </c>
      <c r="B2" s="20" t="inlineStr">
        <is>
          <t>Class code *</t>
        </is>
      </c>
      <c r="C2" s="20" t="inlineStr">
        <is>
          <t>Class name *</t>
        </is>
      </c>
      <c r="D2" s="20" t="inlineStr">
        <is>
          <t>Type *</t>
        </is>
      </c>
      <c r="E2" s="20" t="inlineStr">
        <is>
          <t>Voting *</t>
        </is>
      </c>
      <c r="F2" s="20" t="inlineStr">
        <is>
          <t>Counts toward % *</t>
        </is>
      </c>
      <c r="G2" s="20" t="inlineStr">
        <is>
          <t>Official on issue</t>
        </is>
      </c>
      <c r="H2" s="20" t="inlineStr">
        <is>
          <t>Official as at</t>
        </is>
      </c>
      <c r="I2" s="20" t="inlineStr">
        <is>
          <t>Currency</t>
        </is>
      </c>
      <c r="J2" s="20" t="inlineStr">
        <is>
          <t>Notes</t>
        </is>
      </c>
      <c r="K2" s="21" t="inlineStr">
        <is>
          <t>Total in this file</t>
        </is>
      </c>
      <c r="L2" s="21" t="inlineStr">
        <is>
          <t>Difference</t>
        </is>
      </c>
      <c r="M2" s="21" t="inlineStr">
        <is>
          <t>Check</t>
        </is>
      </c>
    </row>
    <row r="3">
      <c r="A3" s="22" t="inlineStr">
        <is>
          <t>EZF</t>
        </is>
      </c>
      <c r="B3" s="22" t="inlineStr">
        <is>
          <t>EZF-ORD</t>
        </is>
      </c>
      <c r="C3" s="22" t="inlineStr">
        <is>
          <t>Ordinary shares</t>
        </is>
      </c>
      <c r="D3" s="22" t="inlineStr">
        <is>
          <t>Ordinary</t>
        </is>
      </c>
      <c r="E3" s="22" t="inlineStr">
        <is>
          <t>Yes</t>
        </is>
      </c>
      <c r="F3" s="22" t="inlineStr">
        <is>
          <t>Yes</t>
        </is>
      </c>
      <c r="G3" s="31" t="n">
        <v>10000000</v>
      </c>
      <c r="H3" s="24" t="n">
        <v>46203</v>
      </c>
      <c r="I3" s="22" t="inlineStr">
        <is>
          <t>AUD</t>
        </is>
      </c>
      <c r="J3" s="22" t="inlineStr"/>
      <c r="K3" s="32" t="n"/>
      <c r="L3" s="33" t="n"/>
      <c r="N3" s="10" t="inlineStr">
        <is>
          <t>← example row, not imported</t>
        </is>
      </c>
    </row>
    <row r="4">
      <c r="A4" s="26" t="inlineStr">
        <is>
          <t>LKB</t>
        </is>
      </c>
      <c r="B4" s="26" t="inlineStr">
        <is>
          <t>LKB-ORD</t>
        </is>
      </c>
      <c r="C4" s="26" t="inlineStr">
        <is>
          <t>Ordinary shares</t>
        </is>
      </c>
      <c r="D4" s="26" t="inlineStr">
        <is>
          <t>Ordinary</t>
        </is>
      </c>
      <c r="E4" s="26" t="inlineStr">
        <is>
          <t>Yes</t>
        </is>
      </c>
      <c r="F4" s="26" t="inlineStr">
        <is>
          <t>Yes</t>
        </is>
      </c>
      <c r="G4" s="34" t="n"/>
      <c r="H4" s="28" t="n"/>
      <c r="I4" s="26" t="inlineStr">
        <is>
          <t>AUD</t>
        </is>
      </c>
      <c r="J4" s="26" t="n"/>
      <c r="K4" s="35">
        <f>IF(B4="","",SUMIFS('Holdings'!$C$4:$C$2503,'Holdings'!$B$4:$B$2503,B4,'Holdings'!$L$4:$L$2503,"Yes"))</f>
        <v/>
      </c>
      <c r="L4" s="36">
        <f>IF(OR(B4="",G4=""),"",G4-K4)</f>
        <v/>
      </c>
      <c r="M4" s="30">
        <f>IF(B4="","",IF(COUNTIF($B$4:$B$203,B4)&gt;1,"Duplicate class code",IF(COUNTIF('Companies'!$A$4:$A$63,A4)=0,"Unknown company",IF(OR(C4="",D4="",E4="",F4=""),"Missing required field",IF(AND(G4&lt;&gt;"",H4=""),"Add the official as-at date",IF(AND(L4&lt;&gt;"",L4&lt;&gt;0),"Doesn’t add up to official","OK"))))))</f>
        <v/>
      </c>
    </row>
    <row r="5">
      <c r="A5" s="26" t="inlineStr">
        <is>
          <t>LKB</t>
        </is>
      </c>
      <c r="B5" s="26" t="inlineStr">
        <is>
          <t>LKB-F</t>
        </is>
      </c>
      <c r="C5" s="26" t="inlineStr">
        <is>
          <t>F class shares (non-voting)</t>
        </is>
      </c>
      <c r="D5" s="26" t="inlineStr">
        <is>
          <t>Ordinary (non-voting)</t>
        </is>
      </c>
      <c r="E5" s="26" t="inlineStr">
        <is>
          <t>No</t>
        </is>
      </c>
      <c r="F5" s="26" t="inlineStr">
        <is>
          <t>Yes</t>
        </is>
      </c>
      <c r="G5" s="34" t="n"/>
      <c r="H5" s="28" t="n"/>
      <c r="I5" s="26" t="inlineStr">
        <is>
          <t>AUD</t>
        </is>
      </c>
      <c r="J5" s="26" t="n"/>
      <c r="K5" s="35">
        <f>IF(B5="","",SUMIFS('Holdings'!$C$4:$C$2503,'Holdings'!$B$4:$B$2503,B5,'Holdings'!$L$4:$L$2503,"Yes"))</f>
        <v/>
      </c>
      <c r="L5" s="36">
        <f>IF(OR(B5="",G5=""),"",G5-K5)</f>
        <v/>
      </c>
      <c r="M5" s="30">
        <f>IF(B5="","",IF(COUNTIF($B$4:$B$203,B5)&gt;1,"Duplicate class code",IF(COUNTIF('Companies'!$A$4:$A$63,A5)=0,"Unknown company",IF(OR(C5="",D5="",E5="",F5=""),"Missing required field",IF(AND(G5&lt;&gt;"",H5=""),"Add the official as-at date",IF(AND(L5&lt;&gt;"",L5&lt;&gt;0),"Doesn’t add up to official","OK"))))))</f>
        <v/>
      </c>
    </row>
    <row r="6">
      <c r="A6" s="26" t="inlineStr">
        <is>
          <t>EZF</t>
        </is>
      </c>
      <c r="B6" s="26" t="inlineStr">
        <is>
          <t>EZF-ORD</t>
        </is>
      </c>
      <c r="C6" s="26" t="inlineStr">
        <is>
          <t>Ordinary shares</t>
        </is>
      </c>
      <c r="D6" s="26" t="inlineStr">
        <is>
          <t>Ordinary</t>
        </is>
      </c>
      <c r="E6" s="26" t="inlineStr">
        <is>
          <t>Yes</t>
        </is>
      </c>
      <c r="F6" s="26" t="inlineStr">
        <is>
          <t>Yes</t>
        </is>
      </c>
      <c r="G6" s="34" t="n"/>
      <c r="H6" s="28" t="n"/>
      <c r="I6" s="26" t="inlineStr">
        <is>
          <t>AUD</t>
        </is>
      </c>
      <c r="J6" s="26" t="n"/>
      <c r="K6" s="35">
        <f>IF(B6="","",SUMIFS('Holdings'!$C$4:$C$2503,'Holdings'!$B$4:$B$2503,B6,'Holdings'!$L$4:$L$2503,"Yes"))</f>
        <v/>
      </c>
      <c r="L6" s="36">
        <f>IF(OR(B6="",G6=""),"",G6-K6)</f>
        <v/>
      </c>
      <c r="M6" s="30">
        <f>IF(B6="","",IF(COUNTIF($B$4:$B$203,B6)&gt;1,"Duplicate class code",IF(COUNTIF('Companies'!$A$4:$A$63,A6)=0,"Unknown company",IF(OR(C6="",D6="",E6="",F6=""),"Missing required field",IF(AND(G6&lt;&gt;"",H6=""),"Add the official as-at date",IF(AND(L6&lt;&gt;"",L6&lt;&gt;0),"Doesn’t add up to official","OK"))))))</f>
        <v/>
      </c>
    </row>
    <row r="7">
      <c r="A7" s="26" t="inlineStr">
        <is>
          <t>DOX</t>
        </is>
      </c>
      <c r="B7" s="26" t="inlineStr">
        <is>
          <t>DOX-ORD</t>
        </is>
      </c>
      <c r="C7" s="26" t="inlineStr">
        <is>
          <t>Ordinary shares</t>
        </is>
      </c>
      <c r="D7" s="26" t="inlineStr">
        <is>
          <t>Ordinary</t>
        </is>
      </c>
      <c r="E7" s="26" t="inlineStr">
        <is>
          <t>Yes</t>
        </is>
      </c>
      <c r="F7" s="26" t="inlineStr">
        <is>
          <t>Yes</t>
        </is>
      </c>
      <c r="G7" s="34" t="n"/>
      <c r="H7" s="28" t="n"/>
      <c r="I7" s="26" t="inlineStr">
        <is>
          <t>AUD</t>
        </is>
      </c>
      <c r="J7" s="26" t="n"/>
      <c r="K7" s="35">
        <f>IF(B7="","",SUMIFS('Holdings'!$C$4:$C$2503,'Holdings'!$B$4:$B$2503,B7,'Holdings'!$L$4:$L$2503,"Yes"))</f>
        <v/>
      </c>
      <c r="L7" s="36">
        <f>IF(OR(B7="",G7=""),"",G7-K7)</f>
        <v/>
      </c>
      <c r="M7" s="30">
        <f>IF(B7="","",IF(COUNTIF($B$4:$B$203,B7)&gt;1,"Duplicate class code",IF(COUNTIF('Companies'!$A$4:$A$63,A7)=0,"Unknown company",IF(OR(C7="",D7="",E7="",F7=""),"Missing required field",IF(AND(G7&lt;&gt;"",H7=""),"Add the official as-at date",IF(AND(L7&lt;&gt;"",L7&lt;&gt;0),"Doesn’t add up to official","OK"))))))</f>
        <v/>
      </c>
    </row>
    <row r="8">
      <c r="A8" s="26" t="inlineStr">
        <is>
          <t>BRK</t>
        </is>
      </c>
      <c r="B8" s="26" t="inlineStr">
        <is>
          <t>BRK-ORD</t>
        </is>
      </c>
      <c r="C8" s="26" t="inlineStr">
        <is>
          <t>Ordinary shares</t>
        </is>
      </c>
      <c r="D8" s="26" t="inlineStr">
        <is>
          <t>Ordinary</t>
        </is>
      </c>
      <c r="E8" s="26" t="inlineStr">
        <is>
          <t>Yes</t>
        </is>
      </c>
      <c r="F8" s="26" t="inlineStr">
        <is>
          <t>Yes</t>
        </is>
      </c>
      <c r="G8" s="34" t="n"/>
      <c r="H8" s="28" t="n"/>
      <c r="I8" s="26" t="inlineStr">
        <is>
          <t>AUD</t>
        </is>
      </c>
      <c r="J8" s="26" t="n"/>
      <c r="K8" s="35">
        <f>IF(B8="","",SUMIFS('Holdings'!$C$4:$C$2503,'Holdings'!$B$4:$B$2503,B8,'Holdings'!$L$4:$L$2503,"Yes"))</f>
        <v/>
      </c>
      <c r="L8" s="36">
        <f>IF(OR(B8="",G8=""),"",G8-K8)</f>
        <v/>
      </c>
      <c r="M8" s="30">
        <f>IF(B8="","",IF(COUNTIF($B$4:$B$203,B8)&gt;1,"Duplicate class code",IF(COUNTIF('Companies'!$A$4:$A$63,A8)=0,"Unknown company",IF(OR(C8="",D8="",E8="",F8=""),"Missing required field",IF(AND(G8&lt;&gt;"",H8=""),"Add the official as-at date",IF(AND(L8&lt;&gt;"",L8&lt;&gt;0),"Doesn’t add up to official","OK"))))))</f>
        <v/>
      </c>
    </row>
    <row r="9">
      <c r="A9" s="26" t="inlineStr">
        <is>
          <t>SHF</t>
        </is>
      </c>
      <c r="B9" s="26" t="inlineStr">
        <is>
          <t>SHF-ORD</t>
        </is>
      </c>
      <c r="C9" s="26" t="inlineStr">
        <is>
          <t>Ordinary shares</t>
        </is>
      </c>
      <c r="D9" s="26" t="inlineStr">
        <is>
          <t>Ordinary</t>
        </is>
      </c>
      <c r="E9" s="26" t="inlineStr">
        <is>
          <t>Yes</t>
        </is>
      </c>
      <c r="F9" s="26" t="inlineStr">
        <is>
          <t>Yes</t>
        </is>
      </c>
      <c r="G9" s="34" t="n"/>
      <c r="H9" s="28" t="n"/>
      <c r="I9" s="26" t="inlineStr">
        <is>
          <t>AUD</t>
        </is>
      </c>
      <c r="J9" s="26" t="n"/>
      <c r="K9" s="35">
        <f>IF(B9="","",SUMIFS('Holdings'!$C$4:$C$2503,'Holdings'!$B$4:$B$2503,B9,'Holdings'!$L$4:$L$2503,"Yes"))</f>
        <v/>
      </c>
      <c r="L9" s="36">
        <f>IF(OR(B9="",G9=""),"",G9-K9)</f>
        <v/>
      </c>
      <c r="M9" s="30">
        <f>IF(B9="","",IF(COUNTIF($B$4:$B$203,B9)&gt;1,"Duplicate class code",IF(COUNTIF('Companies'!$A$4:$A$63,A9)=0,"Unknown company",IF(OR(C9="",D9="",E9="",F9=""),"Missing required field",IF(AND(G9&lt;&gt;"",H9=""),"Add the official as-at date",IF(AND(L9&lt;&gt;"",L9&lt;&gt;0),"Doesn’t add up to official","OK"))))))</f>
        <v/>
      </c>
    </row>
    <row r="10">
      <c r="A10" s="26" t="n"/>
      <c r="B10" s="26" t="n"/>
      <c r="C10" s="26" t="n"/>
      <c r="D10" s="26" t="n"/>
      <c r="E10" s="26" t="n"/>
      <c r="F10" s="26" t="n"/>
      <c r="G10" s="34" t="n"/>
      <c r="H10" s="28" t="n"/>
      <c r="I10" s="26" t="n"/>
      <c r="J10" s="26" t="n"/>
      <c r="K10" s="35">
        <f>IF(B10="","",SUMIFS('Holdings'!$C$4:$C$2503,'Holdings'!$B$4:$B$2503,B10,'Holdings'!$L$4:$L$2503,"Yes"))</f>
        <v/>
      </c>
      <c r="L10" s="36">
        <f>IF(OR(B10="",G10=""),"",G10-K10)</f>
        <v/>
      </c>
      <c r="M10" s="30">
        <f>IF(B10="","",IF(COUNTIF($B$4:$B$203,B10)&gt;1,"Duplicate class code",IF(COUNTIF('Companies'!$A$4:$A$63,A10)=0,"Unknown company",IF(OR(C10="",D10="",E10="",F10=""),"Missing required field",IF(AND(G10&lt;&gt;"",H10=""),"Add the official as-at date",IF(AND(L10&lt;&gt;"",L10&lt;&gt;0),"Doesn’t add up to official","OK"))))))</f>
        <v/>
      </c>
    </row>
    <row r="11">
      <c r="A11" s="26" t="n"/>
      <c r="B11" s="26" t="n"/>
      <c r="C11" s="26" t="n"/>
      <c r="D11" s="26" t="n"/>
      <c r="E11" s="26" t="n"/>
      <c r="F11" s="26" t="n"/>
      <c r="G11" s="34" t="n"/>
      <c r="H11" s="28" t="n"/>
      <c r="I11" s="26" t="n"/>
      <c r="J11" s="26" t="n"/>
      <c r="K11" s="35">
        <f>IF(B11="","",SUMIFS('Holdings'!$C$4:$C$2503,'Holdings'!$B$4:$B$2503,B11,'Holdings'!$L$4:$L$2503,"Yes"))</f>
        <v/>
      </c>
      <c r="L11" s="36">
        <f>IF(OR(B11="",G11=""),"",G11-K11)</f>
        <v/>
      </c>
      <c r="M11" s="30">
        <f>IF(B11="","",IF(COUNTIF($B$4:$B$203,B11)&gt;1,"Duplicate class code",IF(COUNTIF('Companies'!$A$4:$A$63,A11)=0,"Unknown company",IF(OR(C11="",D11="",E11="",F11=""),"Missing required field",IF(AND(G11&lt;&gt;"",H11=""),"Add the official as-at date",IF(AND(L11&lt;&gt;"",L11&lt;&gt;0),"Doesn’t add up to official","OK"))))))</f>
        <v/>
      </c>
    </row>
    <row r="12">
      <c r="A12" s="26" t="n"/>
      <c r="B12" s="26" t="n"/>
      <c r="C12" s="26" t="n"/>
      <c r="D12" s="26" t="n"/>
      <c r="E12" s="26" t="n"/>
      <c r="F12" s="26" t="n"/>
      <c r="G12" s="34" t="n"/>
      <c r="H12" s="28" t="n"/>
      <c r="I12" s="26" t="n"/>
      <c r="J12" s="26" t="n"/>
      <c r="K12" s="35">
        <f>IF(B12="","",SUMIFS('Holdings'!$C$4:$C$2503,'Holdings'!$B$4:$B$2503,B12,'Holdings'!$L$4:$L$2503,"Yes"))</f>
        <v/>
      </c>
      <c r="L12" s="36">
        <f>IF(OR(B12="",G12=""),"",G12-K12)</f>
        <v/>
      </c>
      <c r="M12" s="30">
        <f>IF(B12="","",IF(COUNTIF($B$4:$B$203,B12)&gt;1,"Duplicate class code",IF(COUNTIF('Companies'!$A$4:$A$63,A12)=0,"Unknown company",IF(OR(C12="",D12="",E12="",F12=""),"Missing required field",IF(AND(G12&lt;&gt;"",H12=""),"Add the official as-at date",IF(AND(L12&lt;&gt;"",L12&lt;&gt;0),"Doesn’t add up to official","OK"))))))</f>
        <v/>
      </c>
    </row>
    <row r="13">
      <c r="A13" s="26" t="n"/>
      <c r="B13" s="26" t="n"/>
      <c r="C13" s="26" t="n"/>
      <c r="D13" s="26" t="n"/>
      <c r="E13" s="26" t="n"/>
      <c r="F13" s="26" t="n"/>
      <c r="G13" s="34" t="n"/>
      <c r="H13" s="28" t="n"/>
      <c r="I13" s="26" t="n"/>
      <c r="J13" s="26" t="n"/>
      <c r="K13" s="35">
        <f>IF(B13="","",SUMIFS('Holdings'!$C$4:$C$2503,'Holdings'!$B$4:$B$2503,B13,'Holdings'!$L$4:$L$2503,"Yes"))</f>
        <v/>
      </c>
      <c r="L13" s="36">
        <f>IF(OR(B13="",G13=""),"",G13-K13)</f>
        <v/>
      </c>
      <c r="M13" s="30">
        <f>IF(B13="","",IF(COUNTIF($B$4:$B$203,B13)&gt;1,"Duplicate class code",IF(COUNTIF('Companies'!$A$4:$A$63,A13)=0,"Unknown company",IF(OR(C13="",D13="",E13="",F13=""),"Missing required field",IF(AND(G13&lt;&gt;"",H13=""),"Add the official as-at date",IF(AND(L13&lt;&gt;"",L13&lt;&gt;0),"Doesn’t add up to official","OK"))))))</f>
        <v/>
      </c>
    </row>
    <row r="14">
      <c r="A14" s="26" t="n"/>
      <c r="B14" s="26" t="n"/>
      <c r="C14" s="26" t="n"/>
      <c r="D14" s="26" t="n"/>
      <c r="E14" s="26" t="n"/>
      <c r="F14" s="26" t="n"/>
      <c r="G14" s="34" t="n"/>
      <c r="H14" s="28" t="n"/>
      <c r="I14" s="26" t="n"/>
      <c r="J14" s="26" t="n"/>
      <c r="K14" s="35">
        <f>IF(B14="","",SUMIFS('Holdings'!$C$4:$C$2503,'Holdings'!$B$4:$B$2503,B14,'Holdings'!$L$4:$L$2503,"Yes"))</f>
        <v/>
      </c>
      <c r="L14" s="36">
        <f>IF(OR(B14="",G14=""),"",G14-K14)</f>
        <v/>
      </c>
      <c r="M14" s="30">
        <f>IF(B14="","",IF(COUNTIF($B$4:$B$203,B14)&gt;1,"Duplicate class code",IF(COUNTIF('Companies'!$A$4:$A$63,A14)=0,"Unknown company",IF(OR(C14="",D14="",E14="",F14=""),"Missing required field",IF(AND(G14&lt;&gt;"",H14=""),"Add the official as-at date",IF(AND(L14&lt;&gt;"",L14&lt;&gt;0),"Doesn’t add up to official","OK"))))))</f>
        <v/>
      </c>
    </row>
    <row r="15">
      <c r="A15" s="26" t="n"/>
      <c r="B15" s="26" t="n"/>
      <c r="C15" s="26" t="n"/>
      <c r="D15" s="26" t="n"/>
      <c r="E15" s="26" t="n"/>
      <c r="F15" s="26" t="n"/>
      <c r="G15" s="34" t="n"/>
      <c r="H15" s="28" t="n"/>
      <c r="I15" s="26" t="n"/>
      <c r="J15" s="26" t="n"/>
      <c r="K15" s="35">
        <f>IF(B15="","",SUMIFS('Holdings'!$C$4:$C$2503,'Holdings'!$B$4:$B$2503,B15,'Holdings'!$L$4:$L$2503,"Yes"))</f>
        <v/>
      </c>
      <c r="L15" s="36">
        <f>IF(OR(B15="",G15=""),"",G15-K15)</f>
        <v/>
      </c>
      <c r="M15" s="30">
        <f>IF(B15="","",IF(COUNTIF($B$4:$B$203,B15)&gt;1,"Duplicate class code",IF(COUNTIF('Companies'!$A$4:$A$63,A15)=0,"Unknown company",IF(OR(C15="",D15="",E15="",F15=""),"Missing required field",IF(AND(G15&lt;&gt;"",H15=""),"Add the official as-at date",IF(AND(L15&lt;&gt;"",L15&lt;&gt;0),"Doesn’t add up to official","OK"))))))</f>
        <v/>
      </c>
    </row>
    <row r="16">
      <c r="A16" s="26" t="n"/>
      <c r="B16" s="26" t="n"/>
      <c r="C16" s="26" t="n"/>
      <c r="D16" s="26" t="n"/>
      <c r="E16" s="26" t="n"/>
      <c r="F16" s="26" t="n"/>
      <c r="G16" s="34" t="n"/>
      <c r="H16" s="28" t="n"/>
      <c r="I16" s="26" t="n"/>
      <c r="J16" s="26" t="n"/>
      <c r="K16" s="35">
        <f>IF(B16="","",SUMIFS('Holdings'!$C$4:$C$2503,'Holdings'!$B$4:$B$2503,B16,'Holdings'!$L$4:$L$2503,"Yes"))</f>
        <v/>
      </c>
      <c r="L16" s="36">
        <f>IF(OR(B16="",G16=""),"",G16-K16)</f>
        <v/>
      </c>
      <c r="M16" s="30">
        <f>IF(B16="","",IF(COUNTIF($B$4:$B$203,B16)&gt;1,"Duplicate class code",IF(COUNTIF('Companies'!$A$4:$A$63,A16)=0,"Unknown company",IF(OR(C16="",D16="",E16="",F16=""),"Missing required field",IF(AND(G16&lt;&gt;"",H16=""),"Add the official as-at date",IF(AND(L16&lt;&gt;"",L16&lt;&gt;0),"Doesn’t add up to official","OK"))))))</f>
        <v/>
      </c>
    </row>
    <row r="17">
      <c r="A17" s="26" t="n"/>
      <c r="B17" s="26" t="n"/>
      <c r="C17" s="26" t="n"/>
      <c r="D17" s="26" t="n"/>
      <c r="E17" s="26" t="n"/>
      <c r="F17" s="26" t="n"/>
      <c r="G17" s="34" t="n"/>
      <c r="H17" s="28" t="n"/>
      <c r="I17" s="26" t="n"/>
      <c r="J17" s="26" t="n"/>
      <c r="K17" s="35">
        <f>IF(B17="","",SUMIFS('Holdings'!$C$4:$C$2503,'Holdings'!$B$4:$B$2503,B17,'Holdings'!$L$4:$L$2503,"Yes"))</f>
        <v/>
      </c>
      <c r="L17" s="36">
        <f>IF(OR(B17="",G17=""),"",G17-K17)</f>
        <v/>
      </c>
      <c r="M17" s="30">
        <f>IF(B17="","",IF(COUNTIF($B$4:$B$203,B17)&gt;1,"Duplicate class code",IF(COUNTIF('Companies'!$A$4:$A$63,A17)=0,"Unknown company",IF(OR(C17="",D17="",E17="",F17=""),"Missing required field",IF(AND(G17&lt;&gt;"",H17=""),"Add the official as-at date",IF(AND(L17&lt;&gt;"",L17&lt;&gt;0),"Doesn’t add up to official","OK"))))))</f>
        <v/>
      </c>
    </row>
    <row r="18">
      <c r="A18" s="26" t="n"/>
      <c r="B18" s="26" t="n"/>
      <c r="C18" s="26" t="n"/>
      <c r="D18" s="26" t="n"/>
      <c r="E18" s="26" t="n"/>
      <c r="F18" s="26" t="n"/>
      <c r="G18" s="34" t="n"/>
      <c r="H18" s="28" t="n"/>
      <c r="I18" s="26" t="n"/>
      <c r="J18" s="26" t="n"/>
      <c r="K18" s="35">
        <f>IF(B18="","",SUMIFS('Holdings'!$C$4:$C$2503,'Holdings'!$B$4:$B$2503,B18,'Holdings'!$L$4:$L$2503,"Yes"))</f>
        <v/>
      </c>
      <c r="L18" s="36">
        <f>IF(OR(B18="",G18=""),"",G18-K18)</f>
        <v/>
      </c>
      <c r="M18" s="30">
        <f>IF(B18="","",IF(COUNTIF($B$4:$B$203,B18)&gt;1,"Duplicate class code",IF(COUNTIF('Companies'!$A$4:$A$63,A18)=0,"Unknown company",IF(OR(C18="",D18="",E18="",F18=""),"Missing required field",IF(AND(G18&lt;&gt;"",H18=""),"Add the official as-at date",IF(AND(L18&lt;&gt;"",L18&lt;&gt;0),"Doesn’t add up to official","OK"))))))</f>
        <v/>
      </c>
    </row>
    <row r="19">
      <c r="A19" s="26" t="n"/>
      <c r="B19" s="26" t="n"/>
      <c r="C19" s="26" t="n"/>
      <c r="D19" s="26" t="n"/>
      <c r="E19" s="26" t="n"/>
      <c r="F19" s="26" t="n"/>
      <c r="G19" s="34" t="n"/>
      <c r="H19" s="28" t="n"/>
      <c r="I19" s="26" t="n"/>
      <c r="J19" s="26" t="n"/>
      <c r="K19" s="35">
        <f>IF(B19="","",SUMIFS('Holdings'!$C$4:$C$2503,'Holdings'!$B$4:$B$2503,B19,'Holdings'!$L$4:$L$2503,"Yes"))</f>
        <v/>
      </c>
      <c r="L19" s="36">
        <f>IF(OR(B19="",G19=""),"",G19-K19)</f>
        <v/>
      </c>
      <c r="M19" s="30">
        <f>IF(B19="","",IF(COUNTIF($B$4:$B$203,B19)&gt;1,"Duplicate class code",IF(COUNTIF('Companies'!$A$4:$A$63,A19)=0,"Unknown company",IF(OR(C19="",D19="",E19="",F19=""),"Missing required field",IF(AND(G19&lt;&gt;"",H19=""),"Add the official as-at date",IF(AND(L19&lt;&gt;"",L19&lt;&gt;0),"Doesn’t add up to official","OK"))))))</f>
        <v/>
      </c>
    </row>
    <row r="20">
      <c r="A20" s="26" t="n"/>
      <c r="B20" s="26" t="n"/>
      <c r="C20" s="26" t="n"/>
      <c r="D20" s="26" t="n"/>
      <c r="E20" s="26" t="n"/>
      <c r="F20" s="26" t="n"/>
      <c r="G20" s="34" t="n"/>
      <c r="H20" s="28" t="n"/>
      <c r="I20" s="26" t="n"/>
      <c r="J20" s="26" t="n"/>
      <c r="K20" s="35">
        <f>IF(B20="","",SUMIFS('Holdings'!$C$4:$C$2503,'Holdings'!$B$4:$B$2503,B20,'Holdings'!$L$4:$L$2503,"Yes"))</f>
        <v/>
      </c>
      <c r="L20" s="36">
        <f>IF(OR(B20="",G20=""),"",G20-K20)</f>
        <v/>
      </c>
      <c r="M20" s="30">
        <f>IF(B20="","",IF(COUNTIF($B$4:$B$203,B20)&gt;1,"Duplicate class code",IF(COUNTIF('Companies'!$A$4:$A$63,A20)=0,"Unknown company",IF(OR(C20="",D20="",E20="",F20=""),"Missing required field",IF(AND(G20&lt;&gt;"",H20=""),"Add the official as-at date",IF(AND(L20&lt;&gt;"",L20&lt;&gt;0),"Doesn’t add up to official","OK"))))))</f>
        <v/>
      </c>
    </row>
    <row r="21">
      <c r="A21" s="26" t="n"/>
      <c r="B21" s="26" t="n"/>
      <c r="C21" s="26" t="n"/>
      <c r="D21" s="26" t="n"/>
      <c r="E21" s="26" t="n"/>
      <c r="F21" s="26" t="n"/>
      <c r="G21" s="34" t="n"/>
      <c r="H21" s="28" t="n"/>
      <c r="I21" s="26" t="n"/>
      <c r="J21" s="26" t="n"/>
      <c r="K21" s="35">
        <f>IF(B21="","",SUMIFS('Holdings'!$C$4:$C$2503,'Holdings'!$B$4:$B$2503,B21,'Holdings'!$L$4:$L$2503,"Yes"))</f>
        <v/>
      </c>
      <c r="L21" s="36">
        <f>IF(OR(B21="",G21=""),"",G21-K21)</f>
        <v/>
      </c>
      <c r="M21" s="30">
        <f>IF(B21="","",IF(COUNTIF($B$4:$B$203,B21)&gt;1,"Duplicate class code",IF(COUNTIF('Companies'!$A$4:$A$63,A21)=0,"Unknown company",IF(OR(C21="",D21="",E21="",F21=""),"Missing required field",IF(AND(G21&lt;&gt;"",H21=""),"Add the official as-at date",IF(AND(L21&lt;&gt;"",L21&lt;&gt;0),"Doesn’t add up to official","OK"))))))</f>
        <v/>
      </c>
    </row>
    <row r="22">
      <c r="A22" s="26" t="n"/>
      <c r="B22" s="26" t="n"/>
      <c r="C22" s="26" t="n"/>
      <c r="D22" s="26" t="n"/>
      <c r="E22" s="26" t="n"/>
      <c r="F22" s="26" t="n"/>
      <c r="G22" s="34" t="n"/>
      <c r="H22" s="28" t="n"/>
      <c r="I22" s="26" t="n"/>
      <c r="J22" s="26" t="n"/>
      <c r="K22" s="35">
        <f>IF(B22="","",SUMIFS('Holdings'!$C$4:$C$2503,'Holdings'!$B$4:$B$2503,B22,'Holdings'!$L$4:$L$2503,"Yes"))</f>
        <v/>
      </c>
      <c r="L22" s="36">
        <f>IF(OR(B22="",G22=""),"",G22-K22)</f>
        <v/>
      </c>
      <c r="M22" s="30">
        <f>IF(B22="","",IF(COUNTIF($B$4:$B$203,B22)&gt;1,"Duplicate class code",IF(COUNTIF('Companies'!$A$4:$A$63,A22)=0,"Unknown company",IF(OR(C22="",D22="",E22="",F22=""),"Missing required field",IF(AND(G22&lt;&gt;"",H22=""),"Add the official as-at date",IF(AND(L22&lt;&gt;"",L22&lt;&gt;0),"Doesn’t add up to official","OK"))))))</f>
        <v/>
      </c>
    </row>
    <row r="23">
      <c r="A23" s="26" t="n"/>
      <c r="B23" s="26" t="n"/>
      <c r="C23" s="26" t="n"/>
      <c r="D23" s="26" t="n"/>
      <c r="E23" s="26" t="n"/>
      <c r="F23" s="26" t="n"/>
      <c r="G23" s="34" t="n"/>
      <c r="H23" s="28" t="n"/>
      <c r="I23" s="26" t="n"/>
      <c r="J23" s="26" t="n"/>
      <c r="K23" s="35">
        <f>IF(B23="","",SUMIFS('Holdings'!$C$4:$C$2503,'Holdings'!$B$4:$B$2503,B23,'Holdings'!$L$4:$L$2503,"Yes"))</f>
        <v/>
      </c>
      <c r="L23" s="36">
        <f>IF(OR(B23="",G23=""),"",G23-K23)</f>
        <v/>
      </c>
      <c r="M23" s="30">
        <f>IF(B23="","",IF(COUNTIF($B$4:$B$203,B23)&gt;1,"Duplicate class code",IF(COUNTIF('Companies'!$A$4:$A$63,A23)=0,"Unknown company",IF(OR(C23="",D23="",E23="",F23=""),"Missing required field",IF(AND(G23&lt;&gt;"",H23=""),"Add the official as-at date",IF(AND(L23&lt;&gt;"",L23&lt;&gt;0),"Doesn’t add up to official","OK"))))))</f>
        <v/>
      </c>
    </row>
    <row r="24">
      <c r="A24" s="26" t="n"/>
      <c r="B24" s="26" t="n"/>
      <c r="C24" s="26" t="n"/>
      <c r="D24" s="26" t="n"/>
      <c r="E24" s="26" t="n"/>
      <c r="F24" s="26" t="n"/>
      <c r="G24" s="34" t="n"/>
      <c r="H24" s="28" t="n"/>
      <c r="I24" s="26" t="n"/>
      <c r="J24" s="26" t="n"/>
      <c r="K24" s="35">
        <f>IF(B24="","",SUMIFS('Holdings'!$C$4:$C$2503,'Holdings'!$B$4:$B$2503,B24,'Holdings'!$L$4:$L$2503,"Yes"))</f>
        <v/>
      </c>
      <c r="L24" s="36">
        <f>IF(OR(B24="",G24=""),"",G24-K24)</f>
        <v/>
      </c>
      <c r="M24" s="30">
        <f>IF(B24="","",IF(COUNTIF($B$4:$B$203,B24)&gt;1,"Duplicate class code",IF(COUNTIF('Companies'!$A$4:$A$63,A24)=0,"Unknown company",IF(OR(C24="",D24="",E24="",F24=""),"Missing required field",IF(AND(G24&lt;&gt;"",H24=""),"Add the official as-at date",IF(AND(L24&lt;&gt;"",L24&lt;&gt;0),"Doesn’t add up to official","OK"))))))</f>
        <v/>
      </c>
    </row>
    <row r="25">
      <c r="A25" s="26" t="n"/>
      <c r="B25" s="26" t="n"/>
      <c r="C25" s="26" t="n"/>
      <c r="D25" s="26" t="n"/>
      <c r="E25" s="26" t="n"/>
      <c r="F25" s="26" t="n"/>
      <c r="G25" s="34" t="n"/>
      <c r="H25" s="28" t="n"/>
      <c r="I25" s="26" t="n"/>
      <c r="J25" s="26" t="n"/>
      <c r="K25" s="35">
        <f>IF(B25="","",SUMIFS('Holdings'!$C$4:$C$2503,'Holdings'!$B$4:$B$2503,B25,'Holdings'!$L$4:$L$2503,"Yes"))</f>
        <v/>
      </c>
      <c r="L25" s="36">
        <f>IF(OR(B25="",G25=""),"",G25-K25)</f>
        <v/>
      </c>
      <c r="M25" s="30">
        <f>IF(B25="","",IF(COUNTIF($B$4:$B$203,B25)&gt;1,"Duplicate class code",IF(COUNTIF('Companies'!$A$4:$A$63,A25)=0,"Unknown company",IF(OR(C25="",D25="",E25="",F25=""),"Missing required field",IF(AND(G25&lt;&gt;"",H25=""),"Add the official as-at date",IF(AND(L25&lt;&gt;"",L25&lt;&gt;0),"Doesn’t add up to official","OK"))))))</f>
        <v/>
      </c>
    </row>
    <row r="26">
      <c r="A26" s="26" t="n"/>
      <c r="B26" s="26" t="n"/>
      <c r="C26" s="26" t="n"/>
      <c r="D26" s="26" t="n"/>
      <c r="E26" s="26" t="n"/>
      <c r="F26" s="26" t="n"/>
      <c r="G26" s="34" t="n"/>
      <c r="H26" s="28" t="n"/>
      <c r="I26" s="26" t="n"/>
      <c r="J26" s="26" t="n"/>
      <c r="K26" s="35">
        <f>IF(B26="","",SUMIFS('Holdings'!$C$4:$C$2503,'Holdings'!$B$4:$B$2503,B26,'Holdings'!$L$4:$L$2503,"Yes"))</f>
        <v/>
      </c>
      <c r="L26" s="36">
        <f>IF(OR(B26="",G26=""),"",G26-K26)</f>
        <v/>
      </c>
      <c r="M26" s="30">
        <f>IF(B26="","",IF(COUNTIF($B$4:$B$203,B26)&gt;1,"Duplicate class code",IF(COUNTIF('Companies'!$A$4:$A$63,A26)=0,"Unknown company",IF(OR(C26="",D26="",E26="",F26=""),"Missing required field",IF(AND(G26&lt;&gt;"",H26=""),"Add the official as-at date",IF(AND(L26&lt;&gt;"",L26&lt;&gt;0),"Doesn’t add up to official","OK"))))))</f>
        <v/>
      </c>
    </row>
    <row r="27">
      <c r="A27" s="26" t="n"/>
      <c r="B27" s="26" t="n"/>
      <c r="C27" s="26" t="n"/>
      <c r="D27" s="26" t="n"/>
      <c r="E27" s="26" t="n"/>
      <c r="F27" s="26" t="n"/>
      <c r="G27" s="34" t="n"/>
      <c r="H27" s="28" t="n"/>
      <c r="I27" s="26" t="n"/>
      <c r="J27" s="26" t="n"/>
      <c r="K27" s="35">
        <f>IF(B27="","",SUMIFS('Holdings'!$C$4:$C$2503,'Holdings'!$B$4:$B$2503,B27,'Holdings'!$L$4:$L$2503,"Yes"))</f>
        <v/>
      </c>
      <c r="L27" s="36">
        <f>IF(OR(B27="",G27=""),"",G27-K27)</f>
        <v/>
      </c>
      <c r="M27" s="30">
        <f>IF(B27="","",IF(COUNTIF($B$4:$B$203,B27)&gt;1,"Duplicate class code",IF(COUNTIF('Companies'!$A$4:$A$63,A27)=0,"Unknown company",IF(OR(C27="",D27="",E27="",F27=""),"Missing required field",IF(AND(G27&lt;&gt;"",H27=""),"Add the official as-at date",IF(AND(L27&lt;&gt;"",L27&lt;&gt;0),"Doesn’t add up to official","OK"))))))</f>
        <v/>
      </c>
    </row>
    <row r="28">
      <c r="A28" s="26" t="n"/>
      <c r="B28" s="26" t="n"/>
      <c r="C28" s="26" t="n"/>
      <c r="D28" s="26" t="n"/>
      <c r="E28" s="26" t="n"/>
      <c r="F28" s="26" t="n"/>
      <c r="G28" s="34" t="n"/>
      <c r="H28" s="28" t="n"/>
      <c r="I28" s="26" t="n"/>
      <c r="J28" s="26" t="n"/>
      <c r="K28" s="35">
        <f>IF(B28="","",SUMIFS('Holdings'!$C$4:$C$2503,'Holdings'!$B$4:$B$2503,B28,'Holdings'!$L$4:$L$2503,"Yes"))</f>
        <v/>
      </c>
      <c r="L28" s="36">
        <f>IF(OR(B28="",G28=""),"",G28-K28)</f>
        <v/>
      </c>
      <c r="M28" s="30">
        <f>IF(B28="","",IF(COUNTIF($B$4:$B$203,B28)&gt;1,"Duplicate class code",IF(COUNTIF('Companies'!$A$4:$A$63,A28)=0,"Unknown company",IF(OR(C28="",D28="",E28="",F28=""),"Missing required field",IF(AND(G28&lt;&gt;"",H28=""),"Add the official as-at date",IF(AND(L28&lt;&gt;"",L28&lt;&gt;0),"Doesn’t add up to official","OK"))))))</f>
        <v/>
      </c>
    </row>
    <row r="29">
      <c r="A29" s="26" t="n"/>
      <c r="B29" s="26" t="n"/>
      <c r="C29" s="26" t="n"/>
      <c r="D29" s="26" t="n"/>
      <c r="E29" s="26" t="n"/>
      <c r="F29" s="26" t="n"/>
      <c r="G29" s="34" t="n"/>
      <c r="H29" s="28" t="n"/>
      <c r="I29" s="26" t="n"/>
      <c r="J29" s="26" t="n"/>
      <c r="K29" s="35">
        <f>IF(B29="","",SUMIFS('Holdings'!$C$4:$C$2503,'Holdings'!$B$4:$B$2503,B29,'Holdings'!$L$4:$L$2503,"Yes"))</f>
        <v/>
      </c>
      <c r="L29" s="36">
        <f>IF(OR(B29="",G29=""),"",G29-K29)</f>
        <v/>
      </c>
      <c r="M29" s="30">
        <f>IF(B29="","",IF(COUNTIF($B$4:$B$203,B29)&gt;1,"Duplicate class code",IF(COUNTIF('Companies'!$A$4:$A$63,A29)=0,"Unknown company",IF(OR(C29="",D29="",E29="",F29=""),"Missing required field",IF(AND(G29&lt;&gt;"",H29=""),"Add the official as-at date",IF(AND(L29&lt;&gt;"",L29&lt;&gt;0),"Doesn’t add up to official","OK"))))))</f>
        <v/>
      </c>
    </row>
    <row r="30">
      <c r="A30" s="26" t="n"/>
      <c r="B30" s="26" t="n"/>
      <c r="C30" s="26" t="n"/>
      <c r="D30" s="26" t="n"/>
      <c r="E30" s="26" t="n"/>
      <c r="F30" s="26" t="n"/>
      <c r="G30" s="34" t="n"/>
      <c r="H30" s="28" t="n"/>
      <c r="I30" s="26" t="n"/>
      <c r="J30" s="26" t="n"/>
      <c r="K30" s="35">
        <f>IF(B30="","",SUMIFS('Holdings'!$C$4:$C$2503,'Holdings'!$B$4:$B$2503,B30,'Holdings'!$L$4:$L$2503,"Yes"))</f>
        <v/>
      </c>
      <c r="L30" s="36">
        <f>IF(OR(B30="",G30=""),"",G30-K30)</f>
        <v/>
      </c>
      <c r="M30" s="30">
        <f>IF(B30="","",IF(COUNTIF($B$4:$B$203,B30)&gt;1,"Duplicate class code",IF(COUNTIF('Companies'!$A$4:$A$63,A30)=0,"Unknown company",IF(OR(C30="",D30="",E30="",F30=""),"Missing required field",IF(AND(G30&lt;&gt;"",H30=""),"Add the official as-at date",IF(AND(L30&lt;&gt;"",L30&lt;&gt;0),"Doesn’t add up to official","OK"))))))</f>
        <v/>
      </c>
    </row>
    <row r="31">
      <c r="A31" s="26" t="n"/>
      <c r="B31" s="26" t="n"/>
      <c r="C31" s="26" t="n"/>
      <c r="D31" s="26" t="n"/>
      <c r="E31" s="26" t="n"/>
      <c r="F31" s="26" t="n"/>
      <c r="G31" s="34" t="n"/>
      <c r="H31" s="28" t="n"/>
      <c r="I31" s="26" t="n"/>
      <c r="J31" s="26" t="n"/>
      <c r="K31" s="35">
        <f>IF(B31="","",SUMIFS('Holdings'!$C$4:$C$2503,'Holdings'!$B$4:$B$2503,B31,'Holdings'!$L$4:$L$2503,"Yes"))</f>
        <v/>
      </c>
      <c r="L31" s="36">
        <f>IF(OR(B31="",G31=""),"",G31-K31)</f>
        <v/>
      </c>
      <c r="M31" s="30">
        <f>IF(B31="","",IF(COUNTIF($B$4:$B$203,B31)&gt;1,"Duplicate class code",IF(COUNTIF('Companies'!$A$4:$A$63,A31)=0,"Unknown company",IF(OR(C31="",D31="",E31="",F31=""),"Missing required field",IF(AND(G31&lt;&gt;"",H31=""),"Add the official as-at date",IF(AND(L31&lt;&gt;"",L31&lt;&gt;0),"Doesn’t add up to official","OK"))))))</f>
        <v/>
      </c>
    </row>
    <row r="32">
      <c r="A32" s="26" t="n"/>
      <c r="B32" s="26" t="n"/>
      <c r="C32" s="26" t="n"/>
      <c r="D32" s="26" t="n"/>
      <c r="E32" s="26" t="n"/>
      <c r="F32" s="26" t="n"/>
      <c r="G32" s="34" t="n"/>
      <c r="H32" s="28" t="n"/>
      <c r="I32" s="26" t="n"/>
      <c r="J32" s="26" t="n"/>
      <c r="K32" s="35">
        <f>IF(B32="","",SUMIFS('Holdings'!$C$4:$C$2503,'Holdings'!$B$4:$B$2503,B32,'Holdings'!$L$4:$L$2503,"Yes"))</f>
        <v/>
      </c>
      <c r="L32" s="36">
        <f>IF(OR(B32="",G32=""),"",G32-K32)</f>
        <v/>
      </c>
      <c r="M32" s="30">
        <f>IF(B32="","",IF(COUNTIF($B$4:$B$203,B32)&gt;1,"Duplicate class code",IF(COUNTIF('Companies'!$A$4:$A$63,A32)=0,"Unknown company",IF(OR(C32="",D32="",E32="",F32=""),"Missing required field",IF(AND(G32&lt;&gt;"",H32=""),"Add the official as-at date",IF(AND(L32&lt;&gt;"",L32&lt;&gt;0),"Doesn’t add up to official","OK"))))))</f>
        <v/>
      </c>
    </row>
    <row r="33">
      <c r="A33" s="26" t="n"/>
      <c r="B33" s="26" t="n"/>
      <c r="C33" s="26" t="n"/>
      <c r="D33" s="26" t="n"/>
      <c r="E33" s="26" t="n"/>
      <c r="F33" s="26" t="n"/>
      <c r="G33" s="34" t="n"/>
      <c r="H33" s="28" t="n"/>
      <c r="I33" s="26" t="n"/>
      <c r="J33" s="26" t="n"/>
      <c r="K33" s="35">
        <f>IF(B33="","",SUMIFS('Holdings'!$C$4:$C$2503,'Holdings'!$B$4:$B$2503,B33,'Holdings'!$L$4:$L$2503,"Yes"))</f>
        <v/>
      </c>
      <c r="L33" s="36">
        <f>IF(OR(B33="",G33=""),"",G33-K33)</f>
        <v/>
      </c>
      <c r="M33" s="30">
        <f>IF(B33="","",IF(COUNTIF($B$4:$B$203,B33)&gt;1,"Duplicate class code",IF(COUNTIF('Companies'!$A$4:$A$63,A33)=0,"Unknown company",IF(OR(C33="",D33="",E33="",F33=""),"Missing required field",IF(AND(G33&lt;&gt;"",H33=""),"Add the official as-at date",IF(AND(L33&lt;&gt;"",L33&lt;&gt;0),"Doesn’t add up to official","OK"))))))</f>
        <v/>
      </c>
    </row>
    <row r="34">
      <c r="A34" s="26" t="n"/>
      <c r="B34" s="26" t="n"/>
      <c r="C34" s="26" t="n"/>
      <c r="D34" s="26" t="n"/>
      <c r="E34" s="26" t="n"/>
      <c r="F34" s="26" t="n"/>
      <c r="G34" s="34" t="n"/>
      <c r="H34" s="28" t="n"/>
      <c r="I34" s="26" t="n"/>
      <c r="J34" s="26" t="n"/>
      <c r="K34" s="35">
        <f>IF(B34="","",SUMIFS('Holdings'!$C$4:$C$2503,'Holdings'!$B$4:$B$2503,B34,'Holdings'!$L$4:$L$2503,"Yes"))</f>
        <v/>
      </c>
      <c r="L34" s="36">
        <f>IF(OR(B34="",G34=""),"",G34-K34)</f>
        <v/>
      </c>
      <c r="M34" s="30">
        <f>IF(B34="","",IF(COUNTIF($B$4:$B$203,B34)&gt;1,"Duplicate class code",IF(COUNTIF('Companies'!$A$4:$A$63,A34)=0,"Unknown company",IF(OR(C34="",D34="",E34="",F34=""),"Missing required field",IF(AND(G34&lt;&gt;"",H34=""),"Add the official as-at date",IF(AND(L34&lt;&gt;"",L34&lt;&gt;0),"Doesn’t add up to official","OK"))))))</f>
        <v/>
      </c>
    </row>
    <row r="35">
      <c r="A35" s="26" t="n"/>
      <c r="B35" s="26" t="n"/>
      <c r="C35" s="26" t="n"/>
      <c r="D35" s="26" t="n"/>
      <c r="E35" s="26" t="n"/>
      <c r="F35" s="26" t="n"/>
      <c r="G35" s="34" t="n"/>
      <c r="H35" s="28" t="n"/>
      <c r="I35" s="26" t="n"/>
      <c r="J35" s="26" t="n"/>
      <c r="K35" s="35">
        <f>IF(B35="","",SUMIFS('Holdings'!$C$4:$C$2503,'Holdings'!$B$4:$B$2503,B35,'Holdings'!$L$4:$L$2503,"Yes"))</f>
        <v/>
      </c>
      <c r="L35" s="36">
        <f>IF(OR(B35="",G35=""),"",G35-K35)</f>
        <v/>
      </c>
      <c r="M35" s="30">
        <f>IF(B35="","",IF(COUNTIF($B$4:$B$203,B35)&gt;1,"Duplicate class code",IF(COUNTIF('Companies'!$A$4:$A$63,A35)=0,"Unknown company",IF(OR(C35="",D35="",E35="",F35=""),"Missing required field",IF(AND(G35&lt;&gt;"",H35=""),"Add the official as-at date",IF(AND(L35&lt;&gt;"",L35&lt;&gt;0),"Doesn’t add up to official","OK"))))))</f>
        <v/>
      </c>
    </row>
    <row r="36">
      <c r="A36" s="26" t="n"/>
      <c r="B36" s="26" t="n"/>
      <c r="C36" s="26" t="n"/>
      <c r="D36" s="26" t="n"/>
      <c r="E36" s="26" t="n"/>
      <c r="F36" s="26" t="n"/>
      <c r="G36" s="34" t="n"/>
      <c r="H36" s="28" t="n"/>
      <c r="I36" s="26" t="n"/>
      <c r="J36" s="26" t="n"/>
      <c r="K36" s="35">
        <f>IF(B36="","",SUMIFS('Holdings'!$C$4:$C$2503,'Holdings'!$B$4:$B$2503,B36,'Holdings'!$L$4:$L$2503,"Yes"))</f>
        <v/>
      </c>
      <c r="L36" s="36">
        <f>IF(OR(B36="",G36=""),"",G36-K36)</f>
        <v/>
      </c>
      <c r="M36" s="30">
        <f>IF(B36="","",IF(COUNTIF($B$4:$B$203,B36)&gt;1,"Duplicate class code",IF(COUNTIF('Companies'!$A$4:$A$63,A36)=0,"Unknown company",IF(OR(C36="",D36="",E36="",F36=""),"Missing required field",IF(AND(G36&lt;&gt;"",H36=""),"Add the official as-at date",IF(AND(L36&lt;&gt;"",L36&lt;&gt;0),"Doesn’t add up to official","OK"))))))</f>
        <v/>
      </c>
    </row>
    <row r="37">
      <c r="A37" s="26" t="n"/>
      <c r="B37" s="26" t="n"/>
      <c r="C37" s="26" t="n"/>
      <c r="D37" s="26" t="n"/>
      <c r="E37" s="26" t="n"/>
      <c r="F37" s="26" t="n"/>
      <c r="G37" s="34" t="n"/>
      <c r="H37" s="28" t="n"/>
      <c r="I37" s="26" t="n"/>
      <c r="J37" s="26" t="n"/>
      <c r="K37" s="35">
        <f>IF(B37="","",SUMIFS('Holdings'!$C$4:$C$2503,'Holdings'!$B$4:$B$2503,B37,'Holdings'!$L$4:$L$2503,"Yes"))</f>
        <v/>
      </c>
      <c r="L37" s="36">
        <f>IF(OR(B37="",G37=""),"",G37-K37)</f>
        <v/>
      </c>
      <c r="M37" s="30">
        <f>IF(B37="","",IF(COUNTIF($B$4:$B$203,B37)&gt;1,"Duplicate class code",IF(COUNTIF('Companies'!$A$4:$A$63,A37)=0,"Unknown company",IF(OR(C37="",D37="",E37="",F37=""),"Missing required field",IF(AND(G37&lt;&gt;"",H37=""),"Add the official as-at date",IF(AND(L37&lt;&gt;"",L37&lt;&gt;0),"Doesn’t add up to official","OK"))))))</f>
        <v/>
      </c>
    </row>
    <row r="38">
      <c r="A38" s="26" t="n"/>
      <c r="B38" s="26" t="n"/>
      <c r="C38" s="26" t="n"/>
      <c r="D38" s="26" t="n"/>
      <c r="E38" s="26" t="n"/>
      <c r="F38" s="26" t="n"/>
      <c r="G38" s="34" t="n"/>
      <c r="H38" s="28" t="n"/>
      <c r="I38" s="26" t="n"/>
      <c r="J38" s="26" t="n"/>
      <c r="K38" s="35">
        <f>IF(B38="","",SUMIFS('Holdings'!$C$4:$C$2503,'Holdings'!$B$4:$B$2503,B38,'Holdings'!$L$4:$L$2503,"Yes"))</f>
        <v/>
      </c>
      <c r="L38" s="36">
        <f>IF(OR(B38="",G38=""),"",G38-K38)</f>
        <v/>
      </c>
      <c r="M38" s="30">
        <f>IF(B38="","",IF(COUNTIF($B$4:$B$203,B38)&gt;1,"Duplicate class code",IF(COUNTIF('Companies'!$A$4:$A$63,A38)=0,"Unknown company",IF(OR(C38="",D38="",E38="",F38=""),"Missing required field",IF(AND(G38&lt;&gt;"",H38=""),"Add the official as-at date",IF(AND(L38&lt;&gt;"",L38&lt;&gt;0),"Doesn’t add up to official","OK"))))))</f>
        <v/>
      </c>
    </row>
    <row r="39">
      <c r="A39" s="26" t="n"/>
      <c r="B39" s="26" t="n"/>
      <c r="C39" s="26" t="n"/>
      <c r="D39" s="26" t="n"/>
      <c r="E39" s="26" t="n"/>
      <c r="F39" s="26" t="n"/>
      <c r="G39" s="34" t="n"/>
      <c r="H39" s="28" t="n"/>
      <c r="I39" s="26" t="n"/>
      <c r="J39" s="26" t="n"/>
      <c r="K39" s="35">
        <f>IF(B39="","",SUMIFS('Holdings'!$C$4:$C$2503,'Holdings'!$B$4:$B$2503,B39,'Holdings'!$L$4:$L$2503,"Yes"))</f>
        <v/>
      </c>
      <c r="L39" s="36">
        <f>IF(OR(B39="",G39=""),"",G39-K39)</f>
        <v/>
      </c>
      <c r="M39" s="30">
        <f>IF(B39="","",IF(COUNTIF($B$4:$B$203,B39)&gt;1,"Duplicate class code",IF(COUNTIF('Companies'!$A$4:$A$63,A39)=0,"Unknown company",IF(OR(C39="",D39="",E39="",F39=""),"Missing required field",IF(AND(G39&lt;&gt;"",H39=""),"Add the official as-at date",IF(AND(L39&lt;&gt;"",L39&lt;&gt;0),"Doesn’t add up to official","OK"))))))</f>
        <v/>
      </c>
    </row>
    <row r="40">
      <c r="A40" s="26" t="n"/>
      <c r="B40" s="26" t="n"/>
      <c r="C40" s="26" t="n"/>
      <c r="D40" s="26" t="n"/>
      <c r="E40" s="26" t="n"/>
      <c r="F40" s="26" t="n"/>
      <c r="G40" s="34" t="n"/>
      <c r="H40" s="28" t="n"/>
      <c r="I40" s="26" t="n"/>
      <c r="J40" s="26" t="n"/>
      <c r="K40" s="35">
        <f>IF(B40="","",SUMIFS('Holdings'!$C$4:$C$2503,'Holdings'!$B$4:$B$2503,B40,'Holdings'!$L$4:$L$2503,"Yes"))</f>
        <v/>
      </c>
      <c r="L40" s="36">
        <f>IF(OR(B40="",G40=""),"",G40-K40)</f>
        <v/>
      </c>
      <c r="M40" s="30">
        <f>IF(B40="","",IF(COUNTIF($B$4:$B$203,B40)&gt;1,"Duplicate class code",IF(COUNTIF('Companies'!$A$4:$A$63,A40)=0,"Unknown company",IF(OR(C40="",D40="",E40="",F40=""),"Missing required field",IF(AND(G40&lt;&gt;"",H40=""),"Add the official as-at date",IF(AND(L40&lt;&gt;"",L40&lt;&gt;0),"Doesn’t add up to official","OK"))))))</f>
        <v/>
      </c>
    </row>
    <row r="41">
      <c r="A41" s="26" t="n"/>
      <c r="B41" s="26" t="n"/>
      <c r="C41" s="26" t="n"/>
      <c r="D41" s="26" t="n"/>
      <c r="E41" s="26" t="n"/>
      <c r="F41" s="26" t="n"/>
      <c r="G41" s="34" t="n"/>
      <c r="H41" s="28" t="n"/>
      <c r="I41" s="26" t="n"/>
      <c r="J41" s="26" t="n"/>
      <c r="K41" s="35">
        <f>IF(B41="","",SUMIFS('Holdings'!$C$4:$C$2503,'Holdings'!$B$4:$B$2503,B41,'Holdings'!$L$4:$L$2503,"Yes"))</f>
        <v/>
      </c>
      <c r="L41" s="36">
        <f>IF(OR(B41="",G41=""),"",G41-K41)</f>
        <v/>
      </c>
      <c r="M41" s="30">
        <f>IF(B41="","",IF(COUNTIF($B$4:$B$203,B41)&gt;1,"Duplicate class code",IF(COUNTIF('Companies'!$A$4:$A$63,A41)=0,"Unknown company",IF(OR(C41="",D41="",E41="",F41=""),"Missing required field",IF(AND(G41&lt;&gt;"",H41=""),"Add the official as-at date",IF(AND(L41&lt;&gt;"",L41&lt;&gt;0),"Doesn’t add up to official","OK"))))))</f>
        <v/>
      </c>
    </row>
    <row r="42">
      <c r="A42" s="26" t="n"/>
      <c r="B42" s="26" t="n"/>
      <c r="C42" s="26" t="n"/>
      <c r="D42" s="26" t="n"/>
      <c r="E42" s="26" t="n"/>
      <c r="F42" s="26" t="n"/>
      <c r="G42" s="34" t="n"/>
      <c r="H42" s="28" t="n"/>
      <c r="I42" s="26" t="n"/>
      <c r="J42" s="26" t="n"/>
      <c r="K42" s="35">
        <f>IF(B42="","",SUMIFS('Holdings'!$C$4:$C$2503,'Holdings'!$B$4:$B$2503,B42,'Holdings'!$L$4:$L$2503,"Yes"))</f>
        <v/>
      </c>
      <c r="L42" s="36">
        <f>IF(OR(B42="",G42=""),"",G42-K42)</f>
        <v/>
      </c>
      <c r="M42" s="30">
        <f>IF(B42="","",IF(COUNTIF($B$4:$B$203,B42)&gt;1,"Duplicate class code",IF(COUNTIF('Companies'!$A$4:$A$63,A42)=0,"Unknown company",IF(OR(C42="",D42="",E42="",F42=""),"Missing required field",IF(AND(G42&lt;&gt;"",H42=""),"Add the official as-at date",IF(AND(L42&lt;&gt;"",L42&lt;&gt;0),"Doesn’t add up to official","OK"))))))</f>
        <v/>
      </c>
    </row>
    <row r="43">
      <c r="A43" s="26" t="n"/>
      <c r="B43" s="26" t="n"/>
      <c r="C43" s="26" t="n"/>
      <c r="D43" s="26" t="n"/>
      <c r="E43" s="26" t="n"/>
      <c r="F43" s="26" t="n"/>
      <c r="G43" s="34" t="n"/>
      <c r="H43" s="28" t="n"/>
      <c r="I43" s="26" t="n"/>
      <c r="J43" s="26" t="n"/>
      <c r="K43" s="35">
        <f>IF(B43="","",SUMIFS('Holdings'!$C$4:$C$2503,'Holdings'!$B$4:$B$2503,B43,'Holdings'!$L$4:$L$2503,"Yes"))</f>
        <v/>
      </c>
      <c r="L43" s="36">
        <f>IF(OR(B43="",G43=""),"",G43-K43)</f>
        <v/>
      </c>
      <c r="M43" s="30">
        <f>IF(B43="","",IF(COUNTIF($B$4:$B$203,B43)&gt;1,"Duplicate class code",IF(COUNTIF('Companies'!$A$4:$A$63,A43)=0,"Unknown company",IF(OR(C43="",D43="",E43="",F43=""),"Missing required field",IF(AND(G43&lt;&gt;"",H43=""),"Add the official as-at date",IF(AND(L43&lt;&gt;"",L43&lt;&gt;0),"Doesn’t add up to official","OK"))))))</f>
        <v/>
      </c>
    </row>
    <row r="44">
      <c r="A44" s="26" t="n"/>
      <c r="B44" s="26" t="n"/>
      <c r="C44" s="26" t="n"/>
      <c r="D44" s="26" t="n"/>
      <c r="E44" s="26" t="n"/>
      <c r="F44" s="26" t="n"/>
      <c r="G44" s="34" t="n"/>
      <c r="H44" s="28" t="n"/>
      <c r="I44" s="26" t="n"/>
      <c r="J44" s="26" t="n"/>
      <c r="K44" s="35">
        <f>IF(B44="","",SUMIFS('Holdings'!$C$4:$C$2503,'Holdings'!$B$4:$B$2503,B44,'Holdings'!$L$4:$L$2503,"Yes"))</f>
        <v/>
      </c>
      <c r="L44" s="36">
        <f>IF(OR(B44="",G44=""),"",G44-K44)</f>
        <v/>
      </c>
      <c r="M44" s="30">
        <f>IF(B44="","",IF(COUNTIF($B$4:$B$203,B44)&gt;1,"Duplicate class code",IF(COUNTIF('Companies'!$A$4:$A$63,A44)=0,"Unknown company",IF(OR(C44="",D44="",E44="",F44=""),"Missing required field",IF(AND(G44&lt;&gt;"",H44=""),"Add the official as-at date",IF(AND(L44&lt;&gt;"",L44&lt;&gt;0),"Doesn’t add up to official","OK"))))))</f>
        <v/>
      </c>
    </row>
    <row r="45">
      <c r="A45" s="26" t="n"/>
      <c r="B45" s="26" t="n"/>
      <c r="C45" s="26" t="n"/>
      <c r="D45" s="26" t="n"/>
      <c r="E45" s="26" t="n"/>
      <c r="F45" s="26" t="n"/>
      <c r="G45" s="34" t="n"/>
      <c r="H45" s="28" t="n"/>
      <c r="I45" s="26" t="n"/>
      <c r="J45" s="26" t="n"/>
      <c r="K45" s="35">
        <f>IF(B45="","",SUMIFS('Holdings'!$C$4:$C$2503,'Holdings'!$B$4:$B$2503,B45,'Holdings'!$L$4:$L$2503,"Yes"))</f>
        <v/>
      </c>
      <c r="L45" s="36">
        <f>IF(OR(B45="",G45=""),"",G45-K45)</f>
        <v/>
      </c>
      <c r="M45" s="30">
        <f>IF(B45="","",IF(COUNTIF($B$4:$B$203,B45)&gt;1,"Duplicate class code",IF(COUNTIF('Companies'!$A$4:$A$63,A45)=0,"Unknown company",IF(OR(C45="",D45="",E45="",F45=""),"Missing required field",IF(AND(G45&lt;&gt;"",H45=""),"Add the official as-at date",IF(AND(L45&lt;&gt;"",L45&lt;&gt;0),"Doesn’t add up to official","OK"))))))</f>
        <v/>
      </c>
    </row>
    <row r="46">
      <c r="A46" s="26" t="n"/>
      <c r="B46" s="26" t="n"/>
      <c r="C46" s="26" t="n"/>
      <c r="D46" s="26" t="n"/>
      <c r="E46" s="26" t="n"/>
      <c r="F46" s="26" t="n"/>
      <c r="G46" s="34" t="n"/>
      <c r="H46" s="28" t="n"/>
      <c r="I46" s="26" t="n"/>
      <c r="J46" s="26" t="n"/>
      <c r="K46" s="35">
        <f>IF(B46="","",SUMIFS('Holdings'!$C$4:$C$2503,'Holdings'!$B$4:$B$2503,B46,'Holdings'!$L$4:$L$2503,"Yes"))</f>
        <v/>
      </c>
      <c r="L46" s="36">
        <f>IF(OR(B46="",G46=""),"",G46-K46)</f>
        <v/>
      </c>
      <c r="M46" s="30">
        <f>IF(B46="","",IF(COUNTIF($B$4:$B$203,B46)&gt;1,"Duplicate class code",IF(COUNTIF('Companies'!$A$4:$A$63,A46)=0,"Unknown company",IF(OR(C46="",D46="",E46="",F46=""),"Missing required field",IF(AND(G46&lt;&gt;"",H46=""),"Add the official as-at date",IF(AND(L46&lt;&gt;"",L46&lt;&gt;0),"Doesn’t add up to official","OK"))))))</f>
        <v/>
      </c>
    </row>
    <row r="47">
      <c r="A47" s="26" t="n"/>
      <c r="B47" s="26" t="n"/>
      <c r="C47" s="26" t="n"/>
      <c r="D47" s="26" t="n"/>
      <c r="E47" s="26" t="n"/>
      <c r="F47" s="26" t="n"/>
      <c r="G47" s="34" t="n"/>
      <c r="H47" s="28" t="n"/>
      <c r="I47" s="26" t="n"/>
      <c r="J47" s="26" t="n"/>
      <c r="K47" s="35">
        <f>IF(B47="","",SUMIFS('Holdings'!$C$4:$C$2503,'Holdings'!$B$4:$B$2503,B47,'Holdings'!$L$4:$L$2503,"Yes"))</f>
        <v/>
      </c>
      <c r="L47" s="36">
        <f>IF(OR(B47="",G47=""),"",G47-K47)</f>
        <v/>
      </c>
      <c r="M47" s="30">
        <f>IF(B47="","",IF(COUNTIF($B$4:$B$203,B47)&gt;1,"Duplicate class code",IF(COUNTIF('Companies'!$A$4:$A$63,A47)=0,"Unknown company",IF(OR(C47="",D47="",E47="",F47=""),"Missing required field",IF(AND(G47&lt;&gt;"",H47=""),"Add the official as-at date",IF(AND(L47&lt;&gt;"",L47&lt;&gt;0),"Doesn’t add up to official","OK"))))))</f>
        <v/>
      </c>
    </row>
    <row r="48">
      <c r="A48" s="26" t="n"/>
      <c r="B48" s="26" t="n"/>
      <c r="C48" s="26" t="n"/>
      <c r="D48" s="26" t="n"/>
      <c r="E48" s="26" t="n"/>
      <c r="F48" s="26" t="n"/>
      <c r="G48" s="34" t="n"/>
      <c r="H48" s="28" t="n"/>
      <c r="I48" s="26" t="n"/>
      <c r="J48" s="26" t="n"/>
      <c r="K48" s="35">
        <f>IF(B48="","",SUMIFS('Holdings'!$C$4:$C$2503,'Holdings'!$B$4:$B$2503,B48,'Holdings'!$L$4:$L$2503,"Yes"))</f>
        <v/>
      </c>
      <c r="L48" s="36">
        <f>IF(OR(B48="",G48=""),"",G48-K48)</f>
        <v/>
      </c>
      <c r="M48" s="30">
        <f>IF(B48="","",IF(COUNTIF($B$4:$B$203,B48)&gt;1,"Duplicate class code",IF(COUNTIF('Companies'!$A$4:$A$63,A48)=0,"Unknown company",IF(OR(C48="",D48="",E48="",F48=""),"Missing required field",IF(AND(G48&lt;&gt;"",H48=""),"Add the official as-at date",IF(AND(L48&lt;&gt;"",L48&lt;&gt;0),"Doesn’t add up to official","OK"))))))</f>
        <v/>
      </c>
    </row>
    <row r="49">
      <c r="A49" s="26" t="n"/>
      <c r="B49" s="26" t="n"/>
      <c r="C49" s="26" t="n"/>
      <c r="D49" s="26" t="n"/>
      <c r="E49" s="26" t="n"/>
      <c r="F49" s="26" t="n"/>
      <c r="G49" s="34" t="n"/>
      <c r="H49" s="28" t="n"/>
      <c r="I49" s="26" t="n"/>
      <c r="J49" s="26" t="n"/>
      <c r="K49" s="35">
        <f>IF(B49="","",SUMIFS('Holdings'!$C$4:$C$2503,'Holdings'!$B$4:$B$2503,B49,'Holdings'!$L$4:$L$2503,"Yes"))</f>
        <v/>
      </c>
      <c r="L49" s="36">
        <f>IF(OR(B49="",G49=""),"",G49-K49)</f>
        <v/>
      </c>
      <c r="M49" s="30">
        <f>IF(B49="","",IF(COUNTIF($B$4:$B$203,B49)&gt;1,"Duplicate class code",IF(COUNTIF('Companies'!$A$4:$A$63,A49)=0,"Unknown company",IF(OR(C49="",D49="",E49="",F49=""),"Missing required field",IF(AND(G49&lt;&gt;"",H49=""),"Add the official as-at date",IF(AND(L49&lt;&gt;"",L49&lt;&gt;0),"Doesn’t add up to official","OK"))))))</f>
        <v/>
      </c>
    </row>
    <row r="50">
      <c r="A50" s="26" t="n"/>
      <c r="B50" s="26" t="n"/>
      <c r="C50" s="26" t="n"/>
      <c r="D50" s="26" t="n"/>
      <c r="E50" s="26" t="n"/>
      <c r="F50" s="26" t="n"/>
      <c r="G50" s="34" t="n"/>
      <c r="H50" s="28" t="n"/>
      <c r="I50" s="26" t="n"/>
      <c r="J50" s="26" t="n"/>
      <c r="K50" s="35">
        <f>IF(B50="","",SUMIFS('Holdings'!$C$4:$C$2503,'Holdings'!$B$4:$B$2503,B50,'Holdings'!$L$4:$L$2503,"Yes"))</f>
        <v/>
      </c>
      <c r="L50" s="36">
        <f>IF(OR(B50="",G50=""),"",G50-K50)</f>
        <v/>
      </c>
      <c r="M50" s="30">
        <f>IF(B50="","",IF(COUNTIF($B$4:$B$203,B50)&gt;1,"Duplicate class code",IF(COUNTIF('Companies'!$A$4:$A$63,A50)=0,"Unknown company",IF(OR(C50="",D50="",E50="",F50=""),"Missing required field",IF(AND(G50&lt;&gt;"",H50=""),"Add the official as-at date",IF(AND(L50&lt;&gt;"",L50&lt;&gt;0),"Doesn’t add up to official","OK"))))))</f>
        <v/>
      </c>
    </row>
    <row r="51">
      <c r="A51" s="26" t="n"/>
      <c r="B51" s="26" t="n"/>
      <c r="C51" s="26" t="n"/>
      <c r="D51" s="26" t="n"/>
      <c r="E51" s="26" t="n"/>
      <c r="F51" s="26" t="n"/>
      <c r="G51" s="34" t="n"/>
      <c r="H51" s="28" t="n"/>
      <c r="I51" s="26" t="n"/>
      <c r="J51" s="26" t="n"/>
      <c r="K51" s="35">
        <f>IF(B51="","",SUMIFS('Holdings'!$C$4:$C$2503,'Holdings'!$B$4:$B$2503,B51,'Holdings'!$L$4:$L$2503,"Yes"))</f>
        <v/>
      </c>
      <c r="L51" s="36">
        <f>IF(OR(B51="",G51=""),"",G51-K51)</f>
        <v/>
      </c>
      <c r="M51" s="30">
        <f>IF(B51="","",IF(COUNTIF($B$4:$B$203,B51)&gt;1,"Duplicate class code",IF(COUNTIF('Companies'!$A$4:$A$63,A51)=0,"Unknown company",IF(OR(C51="",D51="",E51="",F51=""),"Missing required field",IF(AND(G51&lt;&gt;"",H51=""),"Add the official as-at date",IF(AND(L51&lt;&gt;"",L51&lt;&gt;0),"Doesn’t add up to official","OK"))))))</f>
        <v/>
      </c>
    </row>
    <row r="52">
      <c r="A52" s="26" t="n"/>
      <c r="B52" s="26" t="n"/>
      <c r="C52" s="26" t="n"/>
      <c r="D52" s="26" t="n"/>
      <c r="E52" s="26" t="n"/>
      <c r="F52" s="26" t="n"/>
      <c r="G52" s="34" t="n"/>
      <c r="H52" s="28" t="n"/>
      <c r="I52" s="26" t="n"/>
      <c r="J52" s="26" t="n"/>
      <c r="K52" s="35">
        <f>IF(B52="","",SUMIFS('Holdings'!$C$4:$C$2503,'Holdings'!$B$4:$B$2503,B52,'Holdings'!$L$4:$L$2503,"Yes"))</f>
        <v/>
      </c>
      <c r="L52" s="36">
        <f>IF(OR(B52="",G52=""),"",G52-K52)</f>
        <v/>
      </c>
      <c r="M52" s="30">
        <f>IF(B52="","",IF(COUNTIF($B$4:$B$203,B52)&gt;1,"Duplicate class code",IF(COUNTIF('Companies'!$A$4:$A$63,A52)=0,"Unknown company",IF(OR(C52="",D52="",E52="",F52=""),"Missing required field",IF(AND(G52&lt;&gt;"",H52=""),"Add the official as-at date",IF(AND(L52&lt;&gt;"",L52&lt;&gt;0),"Doesn’t add up to official","OK"))))))</f>
        <v/>
      </c>
    </row>
    <row r="53">
      <c r="A53" s="26" t="n"/>
      <c r="B53" s="26" t="n"/>
      <c r="C53" s="26" t="n"/>
      <c r="D53" s="26" t="n"/>
      <c r="E53" s="26" t="n"/>
      <c r="F53" s="26" t="n"/>
      <c r="G53" s="34" t="n"/>
      <c r="H53" s="28" t="n"/>
      <c r="I53" s="26" t="n"/>
      <c r="J53" s="26" t="n"/>
      <c r="K53" s="35">
        <f>IF(B53="","",SUMIFS('Holdings'!$C$4:$C$2503,'Holdings'!$B$4:$B$2503,B53,'Holdings'!$L$4:$L$2503,"Yes"))</f>
        <v/>
      </c>
      <c r="L53" s="36">
        <f>IF(OR(B53="",G53=""),"",G53-K53)</f>
        <v/>
      </c>
      <c r="M53" s="30">
        <f>IF(B53="","",IF(COUNTIF($B$4:$B$203,B53)&gt;1,"Duplicate class code",IF(COUNTIF('Companies'!$A$4:$A$63,A53)=0,"Unknown company",IF(OR(C53="",D53="",E53="",F53=""),"Missing required field",IF(AND(G53&lt;&gt;"",H53=""),"Add the official as-at date",IF(AND(L53&lt;&gt;"",L53&lt;&gt;0),"Doesn’t add up to official","OK"))))))</f>
        <v/>
      </c>
    </row>
    <row r="54">
      <c r="A54" s="26" t="n"/>
      <c r="B54" s="26" t="n"/>
      <c r="C54" s="26" t="n"/>
      <c r="D54" s="26" t="n"/>
      <c r="E54" s="26" t="n"/>
      <c r="F54" s="26" t="n"/>
      <c r="G54" s="34" t="n"/>
      <c r="H54" s="28" t="n"/>
      <c r="I54" s="26" t="n"/>
      <c r="J54" s="26" t="n"/>
      <c r="K54" s="35">
        <f>IF(B54="","",SUMIFS('Holdings'!$C$4:$C$2503,'Holdings'!$B$4:$B$2503,B54,'Holdings'!$L$4:$L$2503,"Yes"))</f>
        <v/>
      </c>
      <c r="L54" s="36">
        <f>IF(OR(B54="",G54=""),"",G54-K54)</f>
        <v/>
      </c>
      <c r="M54" s="30">
        <f>IF(B54="","",IF(COUNTIF($B$4:$B$203,B54)&gt;1,"Duplicate class code",IF(COUNTIF('Companies'!$A$4:$A$63,A54)=0,"Unknown company",IF(OR(C54="",D54="",E54="",F54=""),"Missing required field",IF(AND(G54&lt;&gt;"",H54=""),"Add the official as-at date",IF(AND(L54&lt;&gt;"",L54&lt;&gt;0),"Doesn’t add up to official","OK"))))))</f>
        <v/>
      </c>
    </row>
    <row r="55">
      <c r="A55" s="26" t="n"/>
      <c r="B55" s="26" t="n"/>
      <c r="C55" s="26" t="n"/>
      <c r="D55" s="26" t="n"/>
      <c r="E55" s="26" t="n"/>
      <c r="F55" s="26" t="n"/>
      <c r="G55" s="34" t="n"/>
      <c r="H55" s="28" t="n"/>
      <c r="I55" s="26" t="n"/>
      <c r="J55" s="26" t="n"/>
      <c r="K55" s="35">
        <f>IF(B55="","",SUMIFS('Holdings'!$C$4:$C$2503,'Holdings'!$B$4:$B$2503,B55,'Holdings'!$L$4:$L$2503,"Yes"))</f>
        <v/>
      </c>
      <c r="L55" s="36">
        <f>IF(OR(B55="",G55=""),"",G55-K55)</f>
        <v/>
      </c>
      <c r="M55" s="30">
        <f>IF(B55="","",IF(COUNTIF($B$4:$B$203,B55)&gt;1,"Duplicate class code",IF(COUNTIF('Companies'!$A$4:$A$63,A55)=0,"Unknown company",IF(OR(C55="",D55="",E55="",F55=""),"Missing required field",IF(AND(G55&lt;&gt;"",H55=""),"Add the official as-at date",IF(AND(L55&lt;&gt;"",L55&lt;&gt;0),"Doesn’t add up to official","OK"))))))</f>
        <v/>
      </c>
    </row>
    <row r="56">
      <c r="A56" s="26" t="n"/>
      <c r="B56" s="26" t="n"/>
      <c r="C56" s="26" t="n"/>
      <c r="D56" s="26" t="n"/>
      <c r="E56" s="26" t="n"/>
      <c r="F56" s="26" t="n"/>
      <c r="G56" s="34" t="n"/>
      <c r="H56" s="28" t="n"/>
      <c r="I56" s="26" t="n"/>
      <c r="J56" s="26" t="n"/>
      <c r="K56" s="35">
        <f>IF(B56="","",SUMIFS('Holdings'!$C$4:$C$2503,'Holdings'!$B$4:$B$2503,B56,'Holdings'!$L$4:$L$2503,"Yes"))</f>
        <v/>
      </c>
      <c r="L56" s="36">
        <f>IF(OR(B56="",G56=""),"",G56-K56)</f>
        <v/>
      </c>
      <c r="M56" s="30">
        <f>IF(B56="","",IF(COUNTIF($B$4:$B$203,B56)&gt;1,"Duplicate class code",IF(COUNTIF('Companies'!$A$4:$A$63,A56)=0,"Unknown company",IF(OR(C56="",D56="",E56="",F56=""),"Missing required field",IF(AND(G56&lt;&gt;"",H56=""),"Add the official as-at date",IF(AND(L56&lt;&gt;"",L56&lt;&gt;0),"Doesn’t add up to official","OK"))))))</f>
        <v/>
      </c>
    </row>
    <row r="57">
      <c r="A57" s="26" t="n"/>
      <c r="B57" s="26" t="n"/>
      <c r="C57" s="26" t="n"/>
      <c r="D57" s="26" t="n"/>
      <c r="E57" s="26" t="n"/>
      <c r="F57" s="26" t="n"/>
      <c r="G57" s="34" t="n"/>
      <c r="H57" s="28" t="n"/>
      <c r="I57" s="26" t="n"/>
      <c r="J57" s="26" t="n"/>
      <c r="K57" s="35">
        <f>IF(B57="","",SUMIFS('Holdings'!$C$4:$C$2503,'Holdings'!$B$4:$B$2503,B57,'Holdings'!$L$4:$L$2503,"Yes"))</f>
        <v/>
      </c>
      <c r="L57" s="36">
        <f>IF(OR(B57="",G57=""),"",G57-K57)</f>
        <v/>
      </c>
      <c r="M57" s="30">
        <f>IF(B57="","",IF(COUNTIF($B$4:$B$203,B57)&gt;1,"Duplicate class code",IF(COUNTIF('Companies'!$A$4:$A$63,A57)=0,"Unknown company",IF(OR(C57="",D57="",E57="",F57=""),"Missing required field",IF(AND(G57&lt;&gt;"",H57=""),"Add the official as-at date",IF(AND(L57&lt;&gt;"",L57&lt;&gt;0),"Doesn’t add up to official","OK"))))))</f>
        <v/>
      </c>
    </row>
    <row r="58">
      <c r="A58" s="26" t="n"/>
      <c r="B58" s="26" t="n"/>
      <c r="C58" s="26" t="n"/>
      <c r="D58" s="26" t="n"/>
      <c r="E58" s="26" t="n"/>
      <c r="F58" s="26" t="n"/>
      <c r="G58" s="34" t="n"/>
      <c r="H58" s="28" t="n"/>
      <c r="I58" s="26" t="n"/>
      <c r="J58" s="26" t="n"/>
      <c r="K58" s="35">
        <f>IF(B58="","",SUMIFS('Holdings'!$C$4:$C$2503,'Holdings'!$B$4:$B$2503,B58,'Holdings'!$L$4:$L$2503,"Yes"))</f>
        <v/>
      </c>
      <c r="L58" s="36">
        <f>IF(OR(B58="",G58=""),"",G58-K58)</f>
        <v/>
      </c>
      <c r="M58" s="30">
        <f>IF(B58="","",IF(COUNTIF($B$4:$B$203,B58)&gt;1,"Duplicate class code",IF(COUNTIF('Companies'!$A$4:$A$63,A58)=0,"Unknown company",IF(OR(C58="",D58="",E58="",F58=""),"Missing required field",IF(AND(G58&lt;&gt;"",H58=""),"Add the official as-at date",IF(AND(L58&lt;&gt;"",L58&lt;&gt;0),"Doesn’t add up to official","OK"))))))</f>
        <v/>
      </c>
    </row>
    <row r="59">
      <c r="A59" s="26" t="n"/>
      <c r="B59" s="26" t="n"/>
      <c r="C59" s="26" t="n"/>
      <c r="D59" s="26" t="n"/>
      <c r="E59" s="26" t="n"/>
      <c r="F59" s="26" t="n"/>
      <c r="G59" s="34" t="n"/>
      <c r="H59" s="28" t="n"/>
      <c r="I59" s="26" t="n"/>
      <c r="J59" s="26" t="n"/>
      <c r="K59" s="35">
        <f>IF(B59="","",SUMIFS('Holdings'!$C$4:$C$2503,'Holdings'!$B$4:$B$2503,B59,'Holdings'!$L$4:$L$2503,"Yes"))</f>
        <v/>
      </c>
      <c r="L59" s="36">
        <f>IF(OR(B59="",G59=""),"",G59-K59)</f>
        <v/>
      </c>
      <c r="M59" s="30">
        <f>IF(B59="","",IF(COUNTIF($B$4:$B$203,B59)&gt;1,"Duplicate class code",IF(COUNTIF('Companies'!$A$4:$A$63,A59)=0,"Unknown company",IF(OR(C59="",D59="",E59="",F59=""),"Missing required field",IF(AND(G59&lt;&gt;"",H59=""),"Add the official as-at date",IF(AND(L59&lt;&gt;"",L59&lt;&gt;0),"Doesn’t add up to official","OK"))))))</f>
        <v/>
      </c>
    </row>
    <row r="60">
      <c r="A60" s="26" t="n"/>
      <c r="B60" s="26" t="n"/>
      <c r="C60" s="26" t="n"/>
      <c r="D60" s="26" t="n"/>
      <c r="E60" s="26" t="n"/>
      <c r="F60" s="26" t="n"/>
      <c r="G60" s="34" t="n"/>
      <c r="H60" s="28" t="n"/>
      <c r="I60" s="26" t="n"/>
      <c r="J60" s="26" t="n"/>
      <c r="K60" s="35">
        <f>IF(B60="","",SUMIFS('Holdings'!$C$4:$C$2503,'Holdings'!$B$4:$B$2503,B60,'Holdings'!$L$4:$L$2503,"Yes"))</f>
        <v/>
      </c>
      <c r="L60" s="36">
        <f>IF(OR(B60="",G60=""),"",G60-K60)</f>
        <v/>
      </c>
      <c r="M60" s="30">
        <f>IF(B60="","",IF(COUNTIF($B$4:$B$203,B60)&gt;1,"Duplicate class code",IF(COUNTIF('Companies'!$A$4:$A$63,A60)=0,"Unknown company",IF(OR(C60="",D60="",E60="",F60=""),"Missing required field",IF(AND(G60&lt;&gt;"",H60=""),"Add the official as-at date",IF(AND(L60&lt;&gt;"",L60&lt;&gt;0),"Doesn’t add up to official","OK"))))))</f>
        <v/>
      </c>
    </row>
    <row r="61">
      <c r="A61" s="26" t="n"/>
      <c r="B61" s="26" t="n"/>
      <c r="C61" s="26" t="n"/>
      <c r="D61" s="26" t="n"/>
      <c r="E61" s="26" t="n"/>
      <c r="F61" s="26" t="n"/>
      <c r="G61" s="34" t="n"/>
      <c r="H61" s="28" t="n"/>
      <c r="I61" s="26" t="n"/>
      <c r="J61" s="26" t="n"/>
      <c r="K61" s="35">
        <f>IF(B61="","",SUMIFS('Holdings'!$C$4:$C$2503,'Holdings'!$B$4:$B$2503,B61,'Holdings'!$L$4:$L$2503,"Yes"))</f>
        <v/>
      </c>
      <c r="L61" s="36">
        <f>IF(OR(B61="",G61=""),"",G61-K61)</f>
        <v/>
      </c>
      <c r="M61" s="30">
        <f>IF(B61="","",IF(COUNTIF($B$4:$B$203,B61)&gt;1,"Duplicate class code",IF(COUNTIF('Companies'!$A$4:$A$63,A61)=0,"Unknown company",IF(OR(C61="",D61="",E61="",F61=""),"Missing required field",IF(AND(G61&lt;&gt;"",H61=""),"Add the official as-at date",IF(AND(L61&lt;&gt;"",L61&lt;&gt;0),"Doesn’t add up to official","OK"))))))</f>
        <v/>
      </c>
    </row>
    <row r="62">
      <c r="A62" s="26" t="n"/>
      <c r="B62" s="26" t="n"/>
      <c r="C62" s="26" t="n"/>
      <c r="D62" s="26" t="n"/>
      <c r="E62" s="26" t="n"/>
      <c r="F62" s="26" t="n"/>
      <c r="G62" s="34" t="n"/>
      <c r="H62" s="28" t="n"/>
      <c r="I62" s="26" t="n"/>
      <c r="J62" s="26" t="n"/>
      <c r="K62" s="35">
        <f>IF(B62="","",SUMIFS('Holdings'!$C$4:$C$2503,'Holdings'!$B$4:$B$2503,B62,'Holdings'!$L$4:$L$2503,"Yes"))</f>
        <v/>
      </c>
      <c r="L62" s="36">
        <f>IF(OR(B62="",G62=""),"",G62-K62)</f>
        <v/>
      </c>
      <c r="M62" s="30">
        <f>IF(B62="","",IF(COUNTIF($B$4:$B$203,B62)&gt;1,"Duplicate class code",IF(COUNTIF('Companies'!$A$4:$A$63,A62)=0,"Unknown company",IF(OR(C62="",D62="",E62="",F62=""),"Missing required field",IF(AND(G62&lt;&gt;"",H62=""),"Add the official as-at date",IF(AND(L62&lt;&gt;"",L62&lt;&gt;0),"Doesn’t add up to official","OK"))))))</f>
        <v/>
      </c>
    </row>
    <row r="63">
      <c r="A63" s="26" t="n"/>
      <c r="B63" s="26" t="n"/>
      <c r="C63" s="26" t="n"/>
      <c r="D63" s="26" t="n"/>
      <c r="E63" s="26" t="n"/>
      <c r="F63" s="26" t="n"/>
      <c r="G63" s="34" t="n"/>
      <c r="H63" s="28" t="n"/>
      <c r="I63" s="26" t="n"/>
      <c r="J63" s="26" t="n"/>
      <c r="K63" s="35">
        <f>IF(B63="","",SUMIFS('Holdings'!$C$4:$C$2503,'Holdings'!$B$4:$B$2503,B63,'Holdings'!$L$4:$L$2503,"Yes"))</f>
        <v/>
      </c>
      <c r="L63" s="36">
        <f>IF(OR(B63="",G63=""),"",G63-K63)</f>
        <v/>
      </c>
      <c r="M63" s="30">
        <f>IF(B63="","",IF(COUNTIF($B$4:$B$203,B63)&gt;1,"Duplicate class code",IF(COUNTIF('Companies'!$A$4:$A$63,A63)=0,"Unknown company",IF(OR(C63="",D63="",E63="",F63=""),"Missing required field",IF(AND(G63&lt;&gt;"",H63=""),"Add the official as-at date",IF(AND(L63&lt;&gt;"",L63&lt;&gt;0),"Doesn’t add up to official","OK"))))))</f>
        <v/>
      </c>
    </row>
    <row r="64">
      <c r="A64" s="26" t="n"/>
      <c r="B64" s="26" t="n"/>
      <c r="C64" s="26" t="n"/>
      <c r="D64" s="26" t="n"/>
      <c r="E64" s="26" t="n"/>
      <c r="F64" s="26" t="n"/>
      <c r="G64" s="34" t="n"/>
      <c r="H64" s="28" t="n"/>
      <c r="I64" s="26" t="n"/>
      <c r="J64" s="26" t="n"/>
      <c r="K64" s="35">
        <f>IF(B64="","",SUMIFS('Holdings'!$C$4:$C$2503,'Holdings'!$B$4:$B$2503,B64,'Holdings'!$L$4:$L$2503,"Yes"))</f>
        <v/>
      </c>
      <c r="L64" s="36">
        <f>IF(OR(B64="",G64=""),"",G64-K64)</f>
        <v/>
      </c>
      <c r="M64" s="30">
        <f>IF(B64="","",IF(COUNTIF($B$4:$B$203,B64)&gt;1,"Duplicate class code",IF(COUNTIF('Companies'!$A$4:$A$63,A64)=0,"Unknown company",IF(OR(C64="",D64="",E64="",F64=""),"Missing required field",IF(AND(G64&lt;&gt;"",H64=""),"Add the official as-at date",IF(AND(L64&lt;&gt;"",L64&lt;&gt;0),"Doesn’t add up to official","OK"))))))</f>
        <v/>
      </c>
    </row>
    <row r="65">
      <c r="A65" s="26" t="n"/>
      <c r="B65" s="26" t="n"/>
      <c r="C65" s="26" t="n"/>
      <c r="D65" s="26" t="n"/>
      <c r="E65" s="26" t="n"/>
      <c r="F65" s="26" t="n"/>
      <c r="G65" s="34" t="n"/>
      <c r="H65" s="28" t="n"/>
      <c r="I65" s="26" t="n"/>
      <c r="J65" s="26" t="n"/>
      <c r="K65" s="35">
        <f>IF(B65="","",SUMIFS('Holdings'!$C$4:$C$2503,'Holdings'!$B$4:$B$2503,B65,'Holdings'!$L$4:$L$2503,"Yes"))</f>
        <v/>
      </c>
      <c r="L65" s="36">
        <f>IF(OR(B65="",G65=""),"",G65-K65)</f>
        <v/>
      </c>
      <c r="M65" s="30">
        <f>IF(B65="","",IF(COUNTIF($B$4:$B$203,B65)&gt;1,"Duplicate class code",IF(COUNTIF('Companies'!$A$4:$A$63,A65)=0,"Unknown company",IF(OR(C65="",D65="",E65="",F65=""),"Missing required field",IF(AND(G65&lt;&gt;"",H65=""),"Add the official as-at date",IF(AND(L65&lt;&gt;"",L65&lt;&gt;0),"Doesn’t add up to official","OK"))))))</f>
        <v/>
      </c>
    </row>
    <row r="66">
      <c r="A66" s="26" t="n"/>
      <c r="B66" s="26" t="n"/>
      <c r="C66" s="26" t="n"/>
      <c r="D66" s="26" t="n"/>
      <c r="E66" s="26" t="n"/>
      <c r="F66" s="26" t="n"/>
      <c r="G66" s="34" t="n"/>
      <c r="H66" s="28" t="n"/>
      <c r="I66" s="26" t="n"/>
      <c r="J66" s="26" t="n"/>
      <c r="K66" s="35">
        <f>IF(B66="","",SUMIFS('Holdings'!$C$4:$C$2503,'Holdings'!$B$4:$B$2503,B66,'Holdings'!$L$4:$L$2503,"Yes"))</f>
        <v/>
      </c>
      <c r="L66" s="36">
        <f>IF(OR(B66="",G66=""),"",G66-K66)</f>
        <v/>
      </c>
      <c r="M66" s="30">
        <f>IF(B66="","",IF(COUNTIF($B$4:$B$203,B66)&gt;1,"Duplicate class code",IF(COUNTIF('Companies'!$A$4:$A$63,A66)=0,"Unknown company",IF(OR(C66="",D66="",E66="",F66=""),"Missing required field",IF(AND(G66&lt;&gt;"",H66=""),"Add the official as-at date",IF(AND(L66&lt;&gt;"",L66&lt;&gt;0),"Doesn’t add up to official","OK"))))))</f>
        <v/>
      </c>
    </row>
    <row r="67">
      <c r="A67" s="26" t="n"/>
      <c r="B67" s="26" t="n"/>
      <c r="C67" s="26" t="n"/>
      <c r="D67" s="26" t="n"/>
      <c r="E67" s="26" t="n"/>
      <c r="F67" s="26" t="n"/>
      <c r="G67" s="34" t="n"/>
      <c r="H67" s="28" t="n"/>
      <c r="I67" s="26" t="n"/>
      <c r="J67" s="26" t="n"/>
      <c r="K67" s="35">
        <f>IF(B67="","",SUMIFS('Holdings'!$C$4:$C$2503,'Holdings'!$B$4:$B$2503,B67,'Holdings'!$L$4:$L$2503,"Yes"))</f>
        <v/>
      </c>
      <c r="L67" s="36">
        <f>IF(OR(B67="",G67=""),"",G67-K67)</f>
        <v/>
      </c>
      <c r="M67" s="30">
        <f>IF(B67="","",IF(COUNTIF($B$4:$B$203,B67)&gt;1,"Duplicate class code",IF(COUNTIF('Companies'!$A$4:$A$63,A67)=0,"Unknown company",IF(OR(C67="",D67="",E67="",F67=""),"Missing required field",IF(AND(G67&lt;&gt;"",H67=""),"Add the official as-at date",IF(AND(L67&lt;&gt;"",L67&lt;&gt;0),"Doesn’t add up to official","OK"))))))</f>
        <v/>
      </c>
    </row>
    <row r="68">
      <c r="A68" s="26" t="n"/>
      <c r="B68" s="26" t="n"/>
      <c r="C68" s="26" t="n"/>
      <c r="D68" s="26" t="n"/>
      <c r="E68" s="26" t="n"/>
      <c r="F68" s="26" t="n"/>
      <c r="G68" s="34" t="n"/>
      <c r="H68" s="28" t="n"/>
      <c r="I68" s="26" t="n"/>
      <c r="J68" s="26" t="n"/>
      <c r="K68" s="35">
        <f>IF(B68="","",SUMIFS('Holdings'!$C$4:$C$2503,'Holdings'!$B$4:$B$2503,B68,'Holdings'!$L$4:$L$2503,"Yes"))</f>
        <v/>
      </c>
      <c r="L68" s="36">
        <f>IF(OR(B68="",G68=""),"",G68-K68)</f>
        <v/>
      </c>
      <c r="M68" s="30">
        <f>IF(B68="","",IF(COUNTIF($B$4:$B$203,B68)&gt;1,"Duplicate class code",IF(COUNTIF('Companies'!$A$4:$A$63,A68)=0,"Unknown company",IF(OR(C68="",D68="",E68="",F68=""),"Missing required field",IF(AND(G68&lt;&gt;"",H68=""),"Add the official as-at date",IF(AND(L68&lt;&gt;"",L68&lt;&gt;0),"Doesn’t add up to official","OK"))))))</f>
        <v/>
      </c>
    </row>
    <row r="69">
      <c r="A69" s="26" t="n"/>
      <c r="B69" s="26" t="n"/>
      <c r="C69" s="26" t="n"/>
      <c r="D69" s="26" t="n"/>
      <c r="E69" s="26" t="n"/>
      <c r="F69" s="26" t="n"/>
      <c r="G69" s="34" t="n"/>
      <c r="H69" s="28" t="n"/>
      <c r="I69" s="26" t="n"/>
      <c r="J69" s="26" t="n"/>
      <c r="K69" s="35">
        <f>IF(B69="","",SUMIFS('Holdings'!$C$4:$C$2503,'Holdings'!$B$4:$B$2503,B69,'Holdings'!$L$4:$L$2503,"Yes"))</f>
        <v/>
      </c>
      <c r="L69" s="36">
        <f>IF(OR(B69="",G69=""),"",G69-K69)</f>
        <v/>
      </c>
      <c r="M69" s="30">
        <f>IF(B69="","",IF(COUNTIF($B$4:$B$203,B69)&gt;1,"Duplicate class code",IF(COUNTIF('Companies'!$A$4:$A$63,A69)=0,"Unknown company",IF(OR(C69="",D69="",E69="",F69=""),"Missing required field",IF(AND(G69&lt;&gt;"",H69=""),"Add the official as-at date",IF(AND(L69&lt;&gt;"",L69&lt;&gt;0),"Doesn’t add up to official","OK"))))))</f>
        <v/>
      </c>
    </row>
    <row r="70">
      <c r="A70" s="26" t="n"/>
      <c r="B70" s="26" t="n"/>
      <c r="C70" s="26" t="n"/>
      <c r="D70" s="26" t="n"/>
      <c r="E70" s="26" t="n"/>
      <c r="F70" s="26" t="n"/>
      <c r="G70" s="34" t="n"/>
      <c r="H70" s="28" t="n"/>
      <c r="I70" s="26" t="n"/>
      <c r="J70" s="26" t="n"/>
      <c r="K70" s="35">
        <f>IF(B70="","",SUMIFS('Holdings'!$C$4:$C$2503,'Holdings'!$B$4:$B$2503,B70,'Holdings'!$L$4:$L$2503,"Yes"))</f>
        <v/>
      </c>
      <c r="L70" s="36">
        <f>IF(OR(B70="",G70=""),"",G70-K70)</f>
        <v/>
      </c>
      <c r="M70" s="30">
        <f>IF(B70="","",IF(COUNTIF($B$4:$B$203,B70)&gt;1,"Duplicate class code",IF(COUNTIF('Companies'!$A$4:$A$63,A70)=0,"Unknown company",IF(OR(C70="",D70="",E70="",F70=""),"Missing required field",IF(AND(G70&lt;&gt;"",H70=""),"Add the official as-at date",IF(AND(L70&lt;&gt;"",L70&lt;&gt;0),"Doesn’t add up to official","OK"))))))</f>
        <v/>
      </c>
    </row>
    <row r="71">
      <c r="A71" s="26" t="n"/>
      <c r="B71" s="26" t="n"/>
      <c r="C71" s="26" t="n"/>
      <c r="D71" s="26" t="n"/>
      <c r="E71" s="26" t="n"/>
      <c r="F71" s="26" t="n"/>
      <c r="G71" s="34" t="n"/>
      <c r="H71" s="28" t="n"/>
      <c r="I71" s="26" t="n"/>
      <c r="J71" s="26" t="n"/>
      <c r="K71" s="35">
        <f>IF(B71="","",SUMIFS('Holdings'!$C$4:$C$2503,'Holdings'!$B$4:$B$2503,B71,'Holdings'!$L$4:$L$2503,"Yes"))</f>
        <v/>
      </c>
      <c r="L71" s="36">
        <f>IF(OR(B71="",G71=""),"",G71-K71)</f>
        <v/>
      </c>
      <c r="M71" s="30">
        <f>IF(B71="","",IF(COUNTIF($B$4:$B$203,B71)&gt;1,"Duplicate class code",IF(COUNTIF('Companies'!$A$4:$A$63,A71)=0,"Unknown company",IF(OR(C71="",D71="",E71="",F71=""),"Missing required field",IF(AND(G71&lt;&gt;"",H71=""),"Add the official as-at date",IF(AND(L71&lt;&gt;"",L71&lt;&gt;0),"Doesn’t add up to official","OK"))))))</f>
        <v/>
      </c>
    </row>
    <row r="72">
      <c r="A72" s="26" t="n"/>
      <c r="B72" s="26" t="n"/>
      <c r="C72" s="26" t="n"/>
      <c r="D72" s="26" t="n"/>
      <c r="E72" s="26" t="n"/>
      <c r="F72" s="26" t="n"/>
      <c r="G72" s="34" t="n"/>
      <c r="H72" s="28" t="n"/>
      <c r="I72" s="26" t="n"/>
      <c r="J72" s="26" t="n"/>
      <c r="K72" s="35">
        <f>IF(B72="","",SUMIFS('Holdings'!$C$4:$C$2503,'Holdings'!$B$4:$B$2503,B72,'Holdings'!$L$4:$L$2503,"Yes"))</f>
        <v/>
      </c>
      <c r="L72" s="36">
        <f>IF(OR(B72="",G72=""),"",G72-K72)</f>
        <v/>
      </c>
      <c r="M72" s="30">
        <f>IF(B72="","",IF(COUNTIF($B$4:$B$203,B72)&gt;1,"Duplicate class code",IF(COUNTIF('Companies'!$A$4:$A$63,A72)=0,"Unknown company",IF(OR(C72="",D72="",E72="",F72=""),"Missing required field",IF(AND(G72&lt;&gt;"",H72=""),"Add the official as-at date",IF(AND(L72&lt;&gt;"",L72&lt;&gt;0),"Doesn’t add up to official","OK"))))))</f>
        <v/>
      </c>
    </row>
    <row r="73">
      <c r="A73" s="26" t="n"/>
      <c r="B73" s="26" t="n"/>
      <c r="C73" s="26" t="n"/>
      <c r="D73" s="26" t="n"/>
      <c r="E73" s="26" t="n"/>
      <c r="F73" s="26" t="n"/>
      <c r="G73" s="34" t="n"/>
      <c r="H73" s="28" t="n"/>
      <c r="I73" s="26" t="n"/>
      <c r="J73" s="26" t="n"/>
      <c r="K73" s="35">
        <f>IF(B73="","",SUMIFS('Holdings'!$C$4:$C$2503,'Holdings'!$B$4:$B$2503,B73,'Holdings'!$L$4:$L$2503,"Yes"))</f>
        <v/>
      </c>
      <c r="L73" s="36">
        <f>IF(OR(B73="",G73=""),"",G73-K73)</f>
        <v/>
      </c>
      <c r="M73" s="30">
        <f>IF(B73="","",IF(COUNTIF($B$4:$B$203,B73)&gt;1,"Duplicate class code",IF(COUNTIF('Companies'!$A$4:$A$63,A73)=0,"Unknown company",IF(OR(C73="",D73="",E73="",F73=""),"Missing required field",IF(AND(G73&lt;&gt;"",H73=""),"Add the official as-at date",IF(AND(L73&lt;&gt;"",L73&lt;&gt;0),"Doesn’t add up to official","OK"))))))</f>
        <v/>
      </c>
    </row>
    <row r="74">
      <c r="A74" s="26" t="n"/>
      <c r="B74" s="26" t="n"/>
      <c r="C74" s="26" t="n"/>
      <c r="D74" s="26" t="n"/>
      <c r="E74" s="26" t="n"/>
      <c r="F74" s="26" t="n"/>
      <c r="G74" s="34" t="n"/>
      <c r="H74" s="28" t="n"/>
      <c r="I74" s="26" t="n"/>
      <c r="J74" s="26" t="n"/>
      <c r="K74" s="35">
        <f>IF(B74="","",SUMIFS('Holdings'!$C$4:$C$2503,'Holdings'!$B$4:$B$2503,B74,'Holdings'!$L$4:$L$2503,"Yes"))</f>
        <v/>
      </c>
      <c r="L74" s="36">
        <f>IF(OR(B74="",G74=""),"",G74-K74)</f>
        <v/>
      </c>
      <c r="M74" s="30">
        <f>IF(B74="","",IF(COUNTIF($B$4:$B$203,B74)&gt;1,"Duplicate class code",IF(COUNTIF('Companies'!$A$4:$A$63,A74)=0,"Unknown company",IF(OR(C74="",D74="",E74="",F74=""),"Missing required field",IF(AND(G74&lt;&gt;"",H74=""),"Add the official as-at date",IF(AND(L74&lt;&gt;"",L74&lt;&gt;0),"Doesn’t add up to official","OK"))))))</f>
        <v/>
      </c>
    </row>
    <row r="75">
      <c r="A75" s="26" t="n"/>
      <c r="B75" s="26" t="n"/>
      <c r="C75" s="26" t="n"/>
      <c r="D75" s="26" t="n"/>
      <c r="E75" s="26" t="n"/>
      <c r="F75" s="26" t="n"/>
      <c r="G75" s="34" t="n"/>
      <c r="H75" s="28" t="n"/>
      <c r="I75" s="26" t="n"/>
      <c r="J75" s="26" t="n"/>
      <c r="K75" s="35">
        <f>IF(B75="","",SUMIFS('Holdings'!$C$4:$C$2503,'Holdings'!$B$4:$B$2503,B75,'Holdings'!$L$4:$L$2503,"Yes"))</f>
        <v/>
      </c>
      <c r="L75" s="36">
        <f>IF(OR(B75="",G75=""),"",G75-K75)</f>
        <v/>
      </c>
      <c r="M75" s="30">
        <f>IF(B75="","",IF(COUNTIF($B$4:$B$203,B75)&gt;1,"Duplicate class code",IF(COUNTIF('Companies'!$A$4:$A$63,A75)=0,"Unknown company",IF(OR(C75="",D75="",E75="",F75=""),"Missing required field",IF(AND(G75&lt;&gt;"",H75=""),"Add the official as-at date",IF(AND(L75&lt;&gt;"",L75&lt;&gt;0),"Doesn’t add up to official","OK"))))))</f>
        <v/>
      </c>
    </row>
    <row r="76">
      <c r="A76" s="26" t="n"/>
      <c r="B76" s="26" t="n"/>
      <c r="C76" s="26" t="n"/>
      <c r="D76" s="26" t="n"/>
      <c r="E76" s="26" t="n"/>
      <c r="F76" s="26" t="n"/>
      <c r="G76" s="34" t="n"/>
      <c r="H76" s="28" t="n"/>
      <c r="I76" s="26" t="n"/>
      <c r="J76" s="26" t="n"/>
      <c r="K76" s="35">
        <f>IF(B76="","",SUMIFS('Holdings'!$C$4:$C$2503,'Holdings'!$B$4:$B$2503,B76,'Holdings'!$L$4:$L$2503,"Yes"))</f>
        <v/>
      </c>
      <c r="L76" s="36">
        <f>IF(OR(B76="",G76=""),"",G76-K76)</f>
        <v/>
      </c>
      <c r="M76" s="30">
        <f>IF(B76="","",IF(COUNTIF($B$4:$B$203,B76)&gt;1,"Duplicate class code",IF(COUNTIF('Companies'!$A$4:$A$63,A76)=0,"Unknown company",IF(OR(C76="",D76="",E76="",F76=""),"Missing required field",IF(AND(G76&lt;&gt;"",H76=""),"Add the official as-at date",IF(AND(L76&lt;&gt;"",L76&lt;&gt;0),"Doesn’t add up to official","OK"))))))</f>
        <v/>
      </c>
    </row>
    <row r="77">
      <c r="A77" s="26" t="n"/>
      <c r="B77" s="26" t="n"/>
      <c r="C77" s="26" t="n"/>
      <c r="D77" s="26" t="n"/>
      <c r="E77" s="26" t="n"/>
      <c r="F77" s="26" t="n"/>
      <c r="G77" s="34" t="n"/>
      <c r="H77" s="28" t="n"/>
      <c r="I77" s="26" t="n"/>
      <c r="J77" s="26" t="n"/>
      <c r="K77" s="35">
        <f>IF(B77="","",SUMIFS('Holdings'!$C$4:$C$2503,'Holdings'!$B$4:$B$2503,B77,'Holdings'!$L$4:$L$2503,"Yes"))</f>
        <v/>
      </c>
      <c r="L77" s="36">
        <f>IF(OR(B77="",G77=""),"",G77-K77)</f>
        <v/>
      </c>
      <c r="M77" s="30">
        <f>IF(B77="","",IF(COUNTIF($B$4:$B$203,B77)&gt;1,"Duplicate class code",IF(COUNTIF('Companies'!$A$4:$A$63,A77)=0,"Unknown company",IF(OR(C77="",D77="",E77="",F77=""),"Missing required field",IF(AND(G77&lt;&gt;"",H77=""),"Add the official as-at date",IF(AND(L77&lt;&gt;"",L77&lt;&gt;0),"Doesn’t add up to official","OK"))))))</f>
        <v/>
      </c>
    </row>
    <row r="78">
      <c r="A78" s="26" t="n"/>
      <c r="B78" s="26" t="n"/>
      <c r="C78" s="26" t="n"/>
      <c r="D78" s="26" t="n"/>
      <c r="E78" s="26" t="n"/>
      <c r="F78" s="26" t="n"/>
      <c r="G78" s="34" t="n"/>
      <c r="H78" s="28" t="n"/>
      <c r="I78" s="26" t="n"/>
      <c r="J78" s="26" t="n"/>
      <c r="K78" s="35">
        <f>IF(B78="","",SUMIFS('Holdings'!$C$4:$C$2503,'Holdings'!$B$4:$B$2503,B78,'Holdings'!$L$4:$L$2503,"Yes"))</f>
        <v/>
      </c>
      <c r="L78" s="36">
        <f>IF(OR(B78="",G78=""),"",G78-K78)</f>
        <v/>
      </c>
      <c r="M78" s="30">
        <f>IF(B78="","",IF(COUNTIF($B$4:$B$203,B78)&gt;1,"Duplicate class code",IF(COUNTIF('Companies'!$A$4:$A$63,A78)=0,"Unknown company",IF(OR(C78="",D78="",E78="",F78=""),"Missing required field",IF(AND(G78&lt;&gt;"",H78=""),"Add the official as-at date",IF(AND(L78&lt;&gt;"",L78&lt;&gt;0),"Doesn’t add up to official","OK"))))))</f>
        <v/>
      </c>
    </row>
    <row r="79">
      <c r="A79" s="26" t="n"/>
      <c r="B79" s="26" t="n"/>
      <c r="C79" s="26" t="n"/>
      <c r="D79" s="26" t="n"/>
      <c r="E79" s="26" t="n"/>
      <c r="F79" s="26" t="n"/>
      <c r="G79" s="34" t="n"/>
      <c r="H79" s="28" t="n"/>
      <c r="I79" s="26" t="n"/>
      <c r="J79" s="26" t="n"/>
      <c r="K79" s="35">
        <f>IF(B79="","",SUMIFS('Holdings'!$C$4:$C$2503,'Holdings'!$B$4:$B$2503,B79,'Holdings'!$L$4:$L$2503,"Yes"))</f>
        <v/>
      </c>
      <c r="L79" s="36">
        <f>IF(OR(B79="",G79=""),"",G79-K79)</f>
        <v/>
      </c>
      <c r="M79" s="30">
        <f>IF(B79="","",IF(COUNTIF($B$4:$B$203,B79)&gt;1,"Duplicate class code",IF(COUNTIF('Companies'!$A$4:$A$63,A79)=0,"Unknown company",IF(OR(C79="",D79="",E79="",F79=""),"Missing required field",IF(AND(G79&lt;&gt;"",H79=""),"Add the official as-at date",IF(AND(L79&lt;&gt;"",L79&lt;&gt;0),"Doesn’t add up to official","OK"))))))</f>
        <v/>
      </c>
    </row>
    <row r="80">
      <c r="A80" s="26" t="n"/>
      <c r="B80" s="26" t="n"/>
      <c r="C80" s="26" t="n"/>
      <c r="D80" s="26" t="n"/>
      <c r="E80" s="26" t="n"/>
      <c r="F80" s="26" t="n"/>
      <c r="G80" s="34" t="n"/>
      <c r="H80" s="28" t="n"/>
      <c r="I80" s="26" t="n"/>
      <c r="J80" s="26" t="n"/>
      <c r="K80" s="35">
        <f>IF(B80="","",SUMIFS('Holdings'!$C$4:$C$2503,'Holdings'!$B$4:$B$2503,B80,'Holdings'!$L$4:$L$2503,"Yes"))</f>
        <v/>
      </c>
      <c r="L80" s="36">
        <f>IF(OR(B80="",G80=""),"",G80-K80)</f>
        <v/>
      </c>
      <c r="M80" s="30">
        <f>IF(B80="","",IF(COUNTIF($B$4:$B$203,B80)&gt;1,"Duplicate class code",IF(COUNTIF('Companies'!$A$4:$A$63,A80)=0,"Unknown company",IF(OR(C80="",D80="",E80="",F80=""),"Missing required field",IF(AND(G80&lt;&gt;"",H80=""),"Add the official as-at date",IF(AND(L80&lt;&gt;"",L80&lt;&gt;0),"Doesn’t add up to official","OK"))))))</f>
        <v/>
      </c>
    </row>
    <row r="81">
      <c r="A81" s="26" t="n"/>
      <c r="B81" s="26" t="n"/>
      <c r="C81" s="26" t="n"/>
      <c r="D81" s="26" t="n"/>
      <c r="E81" s="26" t="n"/>
      <c r="F81" s="26" t="n"/>
      <c r="G81" s="34" t="n"/>
      <c r="H81" s="28" t="n"/>
      <c r="I81" s="26" t="n"/>
      <c r="J81" s="26" t="n"/>
      <c r="K81" s="35">
        <f>IF(B81="","",SUMIFS('Holdings'!$C$4:$C$2503,'Holdings'!$B$4:$B$2503,B81,'Holdings'!$L$4:$L$2503,"Yes"))</f>
        <v/>
      </c>
      <c r="L81" s="36">
        <f>IF(OR(B81="",G81=""),"",G81-K81)</f>
        <v/>
      </c>
      <c r="M81" s="30">
        <f>IF(B81="","",IF(COUNTIF($B$4:$B$203,B81)&gt;1,"Duplicate class code",IF(COUNTIF('Companies'!$A$4:$A$63,A81)=0,"Unknown company",IF(OR(C81="",D81="",E81="",F81=""),"Missing required field",IF(AND(G81&lt;&gt;"",H81=""),"Add the official as-at date",IF(AND(L81&lt;&gt;"",L81&lt;&gt;0),"Doesn’t add up to official","OK"))))))</f>
        <v/>
      </c>
    </row>
    <row r="82">
      <c r="A82" s="26" t="n"/>
      <c r="B82" s="26" t="n"/>
      <c r="C82" s="26" t="n"/>
      <c r="D82" s="26" t="n"/>
      <c r="E82" s="26" t="n"/>
      <c r="F82" s="26" t="n"/>
      <c r="G82" s="34" t="n"/>
      <c r="H82" s="28" t="n"/>
      <c r="I82" s="26" t="n"/>
      <c r="J82" s="26" t="n"/>
      <c r="K82" s="35">
        <f>IF(B82="","",SUMIFS('Holdings'!$C$4:$C$2503,'Holdings'!$B$4:$B$2503,B82,'Holdings'!$L$4:$L$2503,"Yes"))</f>
        <v/>
      </c>
      <c r="L82" s="36">
        <f>IF(OR(B82="",G82=""),"",G82-K82)</f>
        <v/>
      </c>
      <c r="M82" s="30">
        <f>IF(B82="","",IF(COUNTIF($B$4:$B$203,B82)&gt;1,"Duplicate class code",IF(COUNTIF('Companies'!$A$4:$A$63,A82)=0,"Unknown company",IF(OR(C82="",D82="",E82="",F82=""),"Missing required field",IF(AND(G82&lt;&gt;"",H82=""),"Add the official as-at date",IF(AND(L82&lt;&gt;"",L82&lt;&gt;0),"Doesn’t add up to official","OK"))))))</f>
        <v/>
      </c>
    </row>
    <row r="83">
      <c r="A83" s="26" t="n"/>
      <c r="B83" s="26" t="n"/>
      <c r="C83" s="26" t="n"/>
      <c r="D83" s="26" t="n"/>
      <c r="E83" s="26" t="n"/>
      <c r="F83" s="26" t="n"/>
      <c r="G83" s="34" t="n"/>
      <c r="H83" s="28" t="n"/>
      <c r="I83" s="26" t="n"/>
      <c r="J83" s="26" t="n"/>
      <c r="K83" s="35">
        <f>IF(B83="","",SUMIFS('Holdings'!$C$4:$C$2503,'Holdings'!$B$4:$B$2503,B83,'Holdings'!$L$4:$L$2503,"Yes"))</f>
        <v/>
      </c>
      <c r="L83" s="36">
        <f>IF(OR(B83="",G83=""),"",G83-K83)</f>
        <v/>
      </c>
      <c r="M83" s="30">
        <f>IF(B83="","",IF(COUNTIF($B$4:$B$203,B83)&gt;1,"Duplicate class code",IF(COUNTIF('Companies'!$A$4:$A$63,A83)=0,"Unknown company",IF(OR(C83="",D83="",E83="",F83=""),"Missing required field",IF(AND(G83&lt;&gt;"",H83=""),"Add the official as-at date",IF(AND(L83&lt;&gt;"",L83&lt;&gt;0),"Doesn’t add up to official","OK"))))))</f>
        <v/>
      </c>
    </row>
    <row r="84">
      <c r="A84" s="26" t="n"/>
      <c r="B84" s="26" t="n"/>
      <c r="C84" s="26" t="n"/>
      <c r="D84" s="26" t="n"/>
      <c r="E84" s="26" t="n"/>
      <c r="F84" s="26" t="n"/>
      <c r="G84" s="34" t="n"/>
      <c r="H84" s="28" t="n"/>
      <c r="I84" s="26" t="n"/>
      <c r="J84" s="26" t="n"/>
      <c r="K84" s="35">
        <f>IF(B84="","",SUMIFS('Holdings'!$C$4:$C$2503,'Holdings'!$B$4:$B$2503,B84,'Holdings'!$L$4:$L$2503,"Yes"))</f>
        <v/>
      </c>
      <c r="L84" s="36">
        <f>IF(OR(B84="",G84=""),"",G84-K84)</f>
        <v/>
      </c>
      <c r="M84" s="30">
        <f>IF(B84="","",IF(COUNTIF($B$4:$B$203,B84)&gt;1,"Duplicate class code",IF(COUNTIF('Companies'!$A$4:$A$63,A84)=0,"Unknown company",IF(OR(C84="",D84="",E84="",F84=""),"Missing required field",IF(AND(G84&lt;&gt;"",H84=""),"Add the official as-at date",IF(AND(L84&lt;&gt;"",L84&lt;&gt;0),"Doesn’t add up to official","OK"))))))</f>
        <v/>
      </c>
    </row>
    <row r="85">
      <c r="A85" s="26" t="n"/>
      <c r="B85" s="26" t="n"/>
      <c r="C85" s="26" t="n"/>
      <c r="D85" s="26" t="n"/>
      <c r="E85" s="26" t="n"/>
      <c r="F85" s="26" t="n"/>
      <c r="G85" s="34" t="n"/>
      <c r="H85" s="28" t="n"/>
      <c r="I85" s="26" t="n"/>
      <c r="J85" s="26" t="n"/>
      <c r="K85" s="35">
        <f>IF(B85="","",SUMIFS('Holdings'!$C$4:$C$2503,'Holdings'!$B$4:$B$2503,B85,'Holdings'!$L$4:$L$2503,"Yes"))</f>
        <v/>
      </c>
      <c r="L85" s="36">
        <f>IF(OR(B85="",G85=""),"",G85-K85)</f>
        <v/>
      </c>
      <c r="M85" s="30">
        <f>IF(B85="","",IF(COUNTIF($B$4:$B$203,B85)&gt;1,"Duplicate class code",IF(COUNTIF('Companies'!$A$4:$A$63,A85)=0,"Unknown company",IF(OR(C85="",D85="",E85="",F85=""),"Missing required field",IF(AND(G85&lt;&gt;"",H85=""),"Add the official as-at date",IF(AND(L85&lt;&gt;"",L85&lt;&gt;0),"Doesn’t add up to official","OK"))))))</f>
        <v/>
      </c>
    </row>
    <row r="86">
      <c r="A86" s="26" t="n"/>
      <c r="B86" s="26" t="n"/>
      <c r="C86" s="26" t="n"/>
      <c r="D86" s="26" t="n"/>
      <c r="E86" s="26" t="n"/>
      <c r="F86" s="26" t="n"/>
      <c r="G86" s="34" t="n"/>
      <c r="H86" s="28" t="n"/>
      <c r="I86" s="26" t="n"/>
      <c r="J86" s="26" t="n"/>
      <c r="K86" s="35">
        <f>IF(B86="","",SUMIFS('Holdings'!$C$4:$C$2503,'Holdings'!$B$4:$B$2503,B86,'Holdings'!$L$4:$L$2503,"Yes"))</f>
        <v/>
      </c>
      <c r="L86" s="36">
        <f>IF(OR(B86="",G86=""),"",G86-K86)</f>
        <v/>
      </c>
      <c r="M86" s="30">
        <f>IF(B86="","",IF(COUNTIF($B$4:$B$203,B86)&gt;1,"Duplicate class code",IF(COUNTIF('Companies'!$A$4:$A$63,A86)=0,"Unknown company",IF(OR(C86="",D86="",E86="",F86=""),"Missing required field",IF(AND(G86&lt;&gt;"",H86=""),"Add the official as-at date",IF(AND(L86&lt;&gt;"",L86&lt;&gt;0),"Doesn’t add up to official","OK"))))))</f>
        <v/>
      </c>
    </row>
    <row r="87">
      <c r="A87" s="26" t="n"/>
      <c r="B87" s="26" t="n"/>
      <c r="C87" s="26" t="n"/>
      <c r="D87" s="26" t="n"/>
      <c r="E87" s="26" t="n"/>
      <c r="F87" s="26" t="n"/>
      <c r="G87" s="34" t="n"/>
      <c r="H87" s="28" t="n"/>
      <c r="I87" s="26" t="n"/>
      <c r="J87" s="26" t="n"/>
      <c r="K87" s="35">
        <f>IF(B87="","",SUMIFS('Holdings'!$C$4:$C$2503,'Holdings'!$B$4:$B$2503,B87,'Holdings'!$L$4:$L$2503,"Yes"))</f>
        <v/>
      </c>
      <c r="L87" s="36">
        <f>IF(OR(B87="",G87=""),"",G87-K87)</f>
        <v/>
      </c>
      <c r="M87" s="30">
        <f>IF(B87="","",IF(COUNTIF($B$4:$B$203,B87)&gt;1,"Duplicate class code",IF(COUNTIF('Companies'!$A$4:$A$63,A87)=0,"Unknown company",IF(OR(C87="",D87="",E87="",F87=""),"Missing required field",IF(AND(G87&lt;&gt;"",H87=""),"Add the official as-at date",IF(AND(L87&lt;&gt;"",L87&lt;&gt;0),"Doesn’t add up to official","OK"))))))</f>
        <v/>
      </c>
    </row>
    <row r="88">
      <c r="A88" s="26" t="n"/>
      <c r="B88" s="26" t="n"/>
      <c r="C88" s="26" t="n"/>
      <c r="D88" s="26" t="n"/>
      <c r="E88" s="26" t="n"/>
      <c r="F88" s="26" t="n"/>
      <c r="G88" s="34" t="n"/>
      <c r="H88" s="28" t="n"/>
      <c r="I88" s="26" t="n"/>
      <c r="J88" s="26" t="n"/>
      <c r="K88" s="35">
        <f>IF(B88="","",SUMIFS('Holdings'!$C$4:$C$2503,'Holdings'!$B$4:$B$2503,B88,'Holdings'!$L$4:$L$2503,"Yes"))</f>
        <v/>
      </c>
      <c r="L88" s="36">
        <f>IF(OR(B88="",G88=""),"",G88-K88)</f>
        <v/>
      </c>
      <c r="M88" s="30">
        <f>IF(B88="","",IF(COUNTIF($B$4:$B$203,B88)&gt;1,"Duplicate class code",IF(COUNTIF('Companies'!$A$4:$A$63,A88)=0,"Unknown company",IF(OR(C88="",D88="",E88="",F88=""),"Missing required field",IF(AND(G88&lt;&gt;"",H88=""),"Add the official as-at date",IF(AND(L88&lt;&gt;"",L88&lt;&gt;0),"Doesn’t add up to official","OK"))))))</f>
        <v/>
      </c>
    </row>
    <row r="89">
      <c r="A89" s="26" t="n"/>
      <c r="B89" s="26" t="n"/>
      <c r="C89" s="26" t="n"/>
      <c r="D89" s="26" t="n"/>
      <c r="E89" s="26" t="n"/>
      <c r="F89" s="26" t="n"/>
      <c r="G89" s="34" t="n"/>
      <c r="H89" s="28" t="n"/>
      <c r="I89" s="26" t="n"/>
      <c r="J89" s="26" t="n"/>
      <c r="K89" s="35">
        <f>IF(B89="","",SUMIFS('Holdings'!$C$4:$C$2503,'Holdings'!$B$4:$B$2503,B89,'Holdings'!$L$4:$L$2503,"Yes"))</f>
        <v/>
      </c>
      <c r="L89" s="36">
        <f>IF(OR(B89="",G89=""),"",G89-K89)</f>
        <v/>
      </c>
      <c r="M89" s="30">
        <f>IF(B89="","",IF(COUNTIF($B$4:$B$203,B89)&gt;1,"Duplicate class code",IF(COUNTIF('Companies'!$A$4:$A$63,A89)=0,"Unknown company",IF(OR(C89="",D89="",E89="",F89=""),"Missing required field",IF(AND(G89&lt;&gt;"",H89=""),"Add the official as-at date",IF(AND(L89&lt;&gt;"",L89&lt;&gt;0),"Doesn’t add up to official","OK"))))))</f>
        <v/>
      </c>
    </row>
    <row r="90">
      <c r="A90" s="26" t="n"/>
      <c r="B90" s="26" t="n"/>
      <c r="C90" s="26" t="n"/>
      <c r="D90" s="26" t="n"/>
      <c r="E90" s="26" t="n"/>
      <c r="F90" s="26" t="n"/>
      <c r="G90" s="34" t="n"/>
      <c r="H90" s="28" t="n"/>
      <c r="I90" s="26" t="n"/>
      <c r="J90" s="26" t="n"/>
      <c r="K90" s="35">
        <f>IF(B90="","",SUMIFS('Holdings'!$C$4:$C$2503,'Holdings'!$B$4:$B$2503,B90,'Holdings'!$L$4:$L$2503,"Yes"))</f>
        <v/>
      </c>
      <c r="L90" s="36">
        <f>IF(OR(B90="",G90=""),"",G90-K90)</f>
        <v/>
      </c>
      <c r="M90" s="30">
        <f>IF(B90="","",IF(COUNTIF($B$4:$B$203,B90)&gt;1,"Duplicate class code",IF(COUNTIF('Companies'!$A$4:$A$63,A90)=0,"Unknown company",IF(OR(C90="",D90="",E90="",F90=""),"Missing required field",IF(AND(G90&lt;&gt;"",H90=""),"Add the official as-at date",IF(AND(L90&lt;&gt;"",L90&lt;&gt;0),"Doesn’t add up to official","OK"))))))</f>
        <v/>
      </c>
    </row>
    <row r="91">
      <c r="A91" s="26" t="n"/>
      <c r="B91" s="26" t="n"/>
      <c r="C91" s="26" t="n"/>
      <c r="D91" s="26" t="n"/>
      <c r="E91" s="26" t="n"/>
      <c r="F91" s="26" t="n"/>
      <c r="G91" s="34" t="n"/>
      <c r="H91" s="28" t="n"/>
      <c r="I91" s="26" t="n"/>
      <c r="J91" s="26" t="n"/>
      <c r="K91" s="35">
        <f>IF(B91="","",SUMIFS('Holdings'!$C$4:$C$2503,'Holdings'!$B$4:$B$2503,B91,'Holdings'!$L$4:$L$2503,"Yes"))</f>
        <v/>
      </c>
      <c r="L91" s="36">
        <f>IF(OR(B91="",G91=""),"",G91-K91)</f>
        <v/>
      </c>
      <c r="M91" s="30">
        <f>IF(B91="","",IF(COUNTIF($B$4:$B$203,B91)&gt;1,"Duplicate class code",IF(COUNTIF('Companies'!$A$4:$A$63,A91)=0,"Unknown company",IF(OR(C91="",D91="",E91="",F91=""),"Missing required field",IF(AND(G91&lt;&gt;"",H91=""),"Add the official as-at date",IF(AND(L91&lt;&gt;"",L91&lt;&gt;0),"Doesn’t add up to official","OK"))))))</f>
        <v/>
      </c>
    </row>
    <row r="92">
      <c r="A92" s="26" t="n"/>
      <c r="B92" s="26" t="n"/>
      <c r="C92" s="26" t="n"/>
      <c r="D92" s="26" t="n"/>
      <c r="E92" s="26" t="n"/>
      <c r="F92" s="26" t="n"/>
      <c r="G92" s="34" t="n"/>
      <c r="H92" s="28" t="n"/>
      <c r="I92" s="26" t="n"/>
      <c r="J92" s="26" t="n"/>
      <c r="K92" s="35">
        <f>IF(B92="","",SUMIFS('Holdings'!$C$4:$C$2503,'Holdings'!$B$4:$B$2503,B92,'Holdings'!$L$4:$L$2503,"Yes"))</f>
        <v/>
      </c>
      <c r="L92" s="36">
        <f>IF(OR(B92="",G92=""),"",G92-K92)</f>
        <v/>
      </c>
      <c r="M92" s="30">
        <f>IF(B92="","",IF(COUNTIF($B$4:$B$203,B92)&gt;1,"Duplicate class code",IF(COUNTIF('Companies'!$A$4:$A$63,A92)=0,"Unknown company",IF(OR(C92="",D92="",E92="",F92=""),"Missing required field",IF(AND(G92&lt;&gt;"",H92=""),"Add the official as-at date",IF(AND(L92&lt;&gt;"",L92&lt;&gt;0),"Doesn’t add up to official","OK"))))))</f>
        <v/>
      </c>
    </row>
    <row r="93">
      <c r="A93" s="26" t="n"/>
      <c r="B93" s="26" t="n"/>
      <c r="C93" s="26" t="n"/>
      <c r="D93" s="26" t="n"/>
      <c r="E93" s="26" t="n"/>
      <c r="F93" s="26" t="n"/>
      <c r="G93" s="34" t="n"/>
      <c r="H93" s="28" t="n"/>
      <c r="I93" s="26" t="n"/>
      <c r="J93" s="26" t="n"/>
      <c r="K93" s="35">
        <f>IF(B93="","",SUMIFS('Holdings'!$C$4:$C$2503,'Holdings'!$B$4:$B$2503,B93,'Holdings'!$L$4:$L$2503,"Yes"))</f>
        <v/>
      </c>
      <c r="L93" s="36">
        <f>IF(OR(B93="",G93=""),"",G93-K93)</f>
        <v/>
      </c>
      <c r="M93" s="30">
        <f>IF(B93="","",IF(COUNTIF($B$4:$B$203,B93)&gt;1,"Duplicate class code",IF(COUNTIF('Companies'!$A$4:$A$63,A93)=0,"Unknown company",IF(OR(C93="",D93="",E93="",F93=""),"Missing required field",IF(AND(G93&lt;&gt;"",H93=""),"Add the official as-at date",IF(AND(L93&lt;&gt;"",L93&lt;&gt;0),"Doesn’t add up to official","OK"))))))</f>
        <v/>
      </c>
    </row>
    <row r="94">
      <c r="A94" s="26" t="n"/>
      <c r="B94" s="26" t="n"/>
      <c r="C94" s="26" t="n"/>
      <c r="D94" s="26" t="n"/>
      <c r="E94" s="26" t="n"/>
      <c r="F94" s="26" t="n"/>
      <c r="G94" s="34" t="n"/>
      <c r="H94" s="28" t="n"/>
      <c r="I94" s="26" t="n"/>
      <c r="J94" s="26" t="n"/>
      <c r="K94" s="35">
        <f>IF(B94="","",SUMIFS('Holdings'!$C$4:$C$2503,'Holdings'!$B$4:$B$2503,B94,'Holdings'!$L$4:$L$2503,"Yes"))</f>
        <v/>
      </c>
      <c r="L94" s="36">
        <f>IF(OR(B94="",G94=""),"",G94-K94)</f>
        <v/>
      </c>
      <c r="M94" s="30">
        <f>IF(B94="","",IF(COUNTIF($B$4:$B$203,B94)&gt;1,"Duplicate class code",IF(COUNTIF('Companies'!$A$4:$A$63,A94)=0,"Unknown company",IF(OR(C94="",D94="",E94="",F94=""),"Missing required field",IF(AND(G94&lt;&gt;"",H94=""),"Add the official as-at date",IF(AND(L94&lt;&gt;"",L94&lt;&gt;0),"Doesn’t add up to official","OK"))))))</f>
        <v/>
      </c>
    </row>
    <row r="95">
      <c r="A95" s="26" t="n"/>
      <c r="B95" s="26" t="n"/>
      <c r="C95" s="26" t="n"/>
      <c r="D95" s="26" t="n"/>
      <c r="E95" s="26" t="n"/>
      <c r="F95" s="26" t="n"/>
      <c r="G95" s="34" t="n"/>
      <c r="H95" s="28" t="n"/>
      <c r="I95" s="26" t="n"/>
      <c r="J95" s="26" t="n"/>
      <c r="K95" s="35">
        <f>IF(B95="","",SUMIFS('Holdings'!$C$4:$C$2503,'Holdings'!$B$4:$B$2503,B95,'Holdings'!$L$4:$L$2503,"Yes"))</f>
        <v/>
      </c>
      <c r="L95" s="36">
        <f>IF(OR(B95="",G95=""),"",G95-K95)</f>
        <v/>
      </c>
      <c r="M95" s="30">
        <f>IF(B95="","",IF(COUNTIF($B$4:$B$203,B95)&gt;1,"Duplicate class code",IF(COUNTIF('Companies'!$A$4:$A$63,A95)=0,"Unknown company",IF(OR(C95="",D95="",E95="",F95=""),"Missing required field",IF(AND(G95&lt;&gt;"",H95=""),"Add the official as-at date",IF(AND(L95&lt;&gt;"",L95&lt;&gt;0),"Doesn’t add up to official","OK"))))))</f>
        <v/>
      </c>
    </row>
    <row r="96">
      <c r="A96" s="26" t="n"/>
      <c r="B96" s="26" t="n"/>
      <c r="C96" s="26" t="n"/>
      <c r="D96" s="26" t="n"/>
      <c r="E96" s="26" t="n"/>
      <c r="F96" s="26" t="n"/>
      <c r="G96" s="34" t="n"/>
      <c r="H96" s="28" t="n"/>
      <c r="I96" s="26" t="n"/>
      <c r="J96" s="26" t="n"/>
      <c r="K96" s="35">
        <f>IF(B96="","",SUMIFS('Holdings'!$C$4:$C$2503,'Holdings'!$B$4:$B$2503,B96,'Holdings'!$L$4:$L$2503,"Yes"))</f>
        <v/>
      </c>
      <c r="L96" s="36">
        <f>IF(OR(B96="",G96=""),"",G96-K96)</f>
        <v/>
      </c>
      <c r="M96" s="30">
        <f>IF(B96="","",IF(COUNTIF($B$4:$B$203,B96)&gt;1,"Duplicate class code",IF(COUNTIF('Companies'!$A$4:$A$63,A96)=0,"Unknown company",IF(OR(C96="",D96="",E96="",F96=""),"Missing required field",IF(AND(G96&lt;&gt;"",H96=""),"Add the official as-at date",IF(AND(L96&lt;&gt;"",L96&lt;&gt;0),"Doesn’t add up to official","OK"))))))</f>
        <v/>
      </c>
    </row>
    <row r="97">
      <c r="A97" s="26" t="n"/>
      <c r="B97" s="26" t="n"/>
      <c r="C97" s="26" t="n"/>
      <c r="D97" s="26" t="n"/>
      <c r="E97" s="26" t="n"/>
      <c r="F97" s="26" t="n"/>
      <c r="G97" s="34" t="n"/>
      <c r="H97" s="28" t="n"/>
      <c r="I97" s="26" t="n"/>
      <c r="J97" s="26" t="n"/>
      <c r="K97" s="35">
        <f>IF(B97="","",SUMIFS('Holdings'!$C$4:$C$2503,'Holdings'!$B$4:$B$2503,B97,'Holdings'!$L$4:$L$2503,"Yes"))</f>
        <v/>
      </c>
      <c r="L97" s="36">
        <f>IF(OR(B97="",G97=""),"",G97-K97)</f>
        <v/>
      </c>
      <c r="M97" s="30">
        <f>IF(B97="","",IF(COUNTIF($B$4:$B$203,B97)&gt;1,"Duplicate class code",IF(COUNTIF('Companies'!$A$4:$A$63,A97)=0,"Unknown company",IF(OR(C97="",D97="",E97="",F97=""),"Missing required field",IF(AND(G97&lt;&gt;"",H97=""),"Add the official as-at date",IF(AND(L97&lt;&gt;"",L97&lt;&gt;0),"Doesn’t add up to official","OK"))))))</f>
        <v/>
      </c>
    </row>
    <row r="98">
      <c r="A98" s="26" t="n"/>
      <c r="B98" s="26" t="n"/>
      <c r="C98" s="26" t="n"/>
      <c r="D98" s="26" t="n"/>
      <c r="E98" s="26" t="n"/>
      <c r="F98" s="26" t="n"/>
      <c r="G98" s="34" t="n"/>
      <c r="H98" s="28" t="n"/>
      <c r="I98" s="26" t="n"/>
      <c r="J98" s="26" t="n"/>
      <c r="K98" s="35">
        <f>IF(B98="","",SUMIFS('Holdings'!$C$4:$C$2503,'Holdings'!$B$4:$B$2503,B98,'Holdings'!$L$4:$L$2503,"Yes"))</f>
        <v/>
      </c>
      <c r="L98" s="36">
        <f>IF(OR(B98="",G98=""),"",G98-K98)</f>
        <v/>
      </c>
      <c r="M98" s="30">
        <f>IF(B98="","",IF(COUNTIF($B$4:$B$203,B98)&gt;1,"Duplicate class code",IF(COUNTIF('Companies'!$A$4:$A$63,A98)=0,"Unknown company",IF(OR(C98="",D98="",E98="",F98=""),"Missing required field",IF(AND(G98&lt;&gt;"",H98=""),"Add the official as-at date",IF(AND(L98&lt;&gt;"",L98&lt;&gt;0),"Doesn’t add up to official","OK"))))))</f>
        <v/>
      </c>
    </row>
    <row r="99">
      <c r="A99" s="26" t="n"/>
      <c r="B99" s="26" t="n"/>
      <c r="C99" s="26" t="n"/>
      <c r="D99" s="26" t="n"/>
      <c r="E99" s="26" t="n"/>
      <c r="F99" s="26" t="n"/>
      <c r="G99" s="34" t="n"/>
      <c r="H99" s="28" t="n"/>
      <c r="I99" s="26" t="n"/>
      <c r="J99" s="26" t="n"/>
      <c r="K99" s="35">
        <f>IF(B99="","",SUMIFS('Holdings'!$C$4:$C$2503,'Holdings'!$B$4:$B$2503,B99,'Holdings'!$L$4:$L$2503,"Yes"))</f>
        <v/>
      </c>
      <c r="L99" s="36">
        <f>IF(OR(B99="",G99=""),"",G99-K99)</f>
        <v/>
      </c>
      <c r="M99" s="30">
        <f>IF(B99="","",IF(COUNTIF($B$4:$B$203,B99)&gt;1,"Duplicate class code",IF(COUNTIF('Companies'!$A$4:$A$63,A99)=0,"Unknown company",IF(OR(C99="",D99="",E99="",F99=""),"Missing required field",IF(AND(G99&lt;&gt;"",H99=""),"Add the official as-at date",IF(AND(L99&lt;&gt;"",L99&lt;&gt;0),"Doesn’t add up to official","OK"))))))</f>
        <v/>
      </c>
    </row>
    <row r="100">
      <c r="A100" s="26" t="n"/>
      <c r="B100" s="26" t="n"/>
      <c r="C100" s="26" t="n"/>
      <c r="D100" s="26" t="n"/>
      <c r="E100" s="26" t="n"/>
      <c r="F100" s="26" t="n"/>
      <c r="G100" s="34" t="n"/>
      <c r="H100" s="28" t="n"/>
      <c r="I100" s="26" t="n"/>
      <c r="J100" s="26" t="n"/>
      <c r="K100" s="35">
        <f>IF(B100="","",SUMIFS('Holdings'!$C$4:$C$2503,'Holdings'!$B$4:$B$2503,B100,'Holdings'!$L$4:$L$2503,"Yes"))</f>
        <v/>
      </c>
      <c r="L100" s="36">
        <f>IF(OR(B100="",G100=""),"",G100-K100)</f>
        <v/>
      </c>
      <c r="M100" s="30">
        <f>IF(B100="","",IF(COUNTIF($B$4:$B$203,B100)&gt;1,"Duplicate class code",IF(COUNTIF('Companies'!$A$4:$A$63,A100)=0,"Unknown company",IF(OR(C100="",D100="",E100="",F100=""),"Missing required field",IF(AND(G100&lt;&gt;"",H100=""),"Add the official as-at date",IF(AND(L100&lt;&gt;"",L100&lt;&gt;0),"Doesn’t add up to official","OK"))))))</f>
        <v/>
      </c>
    </row>
    <row r="101">
      <c r="A101" s="26" t="n"/>
      <c r="B101" s="26" t="n"/>
      <c r="C101" s="26" t="n"/>
      <c r="D101" s="26" t="n"/>
      <c r="E101" s="26" t="n"/>
      <c r="F101" s="26" t="n"/>
      <c r="G101" s="34" t="n"/>
      <c r="H101" s="28" t="n"/>
      <c r="I101" s="26" t="n"/>
      <c r="J101" s="26" t="n"/>
      <c r="K101" s="35">
        <f>IF(B101="","",SUMIFS('Holdings'!$C$4:$C$2503,'Holdings'!$B$4:$B$2503,B101,'Holdings'!$L$4:$L$2503,"Yes"))</f>
        <v/>
      </c>
      <c r="L101" s="36">
        <f>IF(OR(B101="",G101=""),"",G101-K101)</f>
        <v/>
      </c>
      <c r="M101" s="30">
        <f>IF(B101="","",IF(COUNTIF($B$4:$B$203,B101)&gt;1,"Duplicate class code",IF(COUNTIF('Companies'!$A$4:$A$63,A101)=0,"Unknown company",IF(OR(C101="",D101="",E101="",F101=""),"Missing required field",IF(AND(G101&lt;&gt;"",H101=""),"Add the official as-at date",IF(AND(L101&lt;&gt;"",L101&lt;&gt;0),"Doesn’t add up to official","OK"))))))</f>
        <v/>
      </c>
    </row>
    <row r="102">
      <c r="A102" s="26" t="n"/>
      <c r="B102" s="26" t="n"/>
      <c r="C102" s="26" t="n"/>
      <c r="D102" s="26" t="n"/>
      <c r="E102" s="26" t="n"/>
      <c r="F102" s="26" t="n"/>
      <c r="G102" s="34" t="n"/>
      <c r="H102" s="28" t="n"/>
      <c r="I102" s="26" t="n"/>
      <c r="J102" s="26" t="n"/>
      <c r="K102" s="35">
        <f>IF(B102="","",SUMIFS('Holdings'!$C$4:$C$2503,'Holdings'!$B$4:$B$2503,B102,'Holdings'!$L$4:$L$2503,"Yes"))</f>
        <v/>
      </c>
      <c r="L102" s="36">
        <f>IF(OR(B102="",G102=""),"",G102-K102)</f>
        <v/>
      </c>
      <c r="M102" s="30">
        <f>IF(B102="","",IF(COUNTIF($B$4:$B$203,B102)&gt;1,"Duplicate class code",IF(COUNTIF('Companies'!$A$4:$A$63,A102)=0,"Unknown company",IF(OR(C102="",D102="",E102="",F102=""),"Missing required field",IF(AND(G102&lt;&gt;"",H102=""),"Add the official as-at date",IF(AND(L102&lt;&gt;"",L102&lt;&gt;0),"Doesn’t add up to official","OK"))))))</f>
        <v/>
      </c>
    </row>
    <row r="103">
      <c r="A103" s="26" t="n"/>
      <c r="B103" s="26" t="n"/>
      <c r="C103" s="26" t="n"/>
      <c r="D103" s="26" t="n"/>
      <c r="E103" s="26" t="n"/>
      <c r="F103" s="26" t="n"/>
      <c r="G103" s="34" t="n"/>
      <c r="H103" s="28" t="n"/>
      <c r="I103" s="26" t="n"/>
      <c r="J103" s="26" t="n"/>
      <c r="K103" s="35">
        <f>IF(B103="","",SUMIFS('Holdings'!$C$4:$C$2503,'Holdings'!$B$4:$B$2503,B103,'Holdings'!$L$4:$L$2503,"Yes"))</f>
        <v/>
      </c>
      <c r="L103" s="36">
        <f>IF(OR(B103="",G103=""),"",G103-K103)</f>
        <v/>
      </c>
      <c r="M103" s="30">
        <f>IF(B103="","",IF(COUNTIF($B$4:$B$203,B103)&gt;1,"Duplicate class code",IF(COUNTIF('Companies'!$A$4:$A$63,A103)=0,"Unknown company",IF(OR(C103="",D103="",E103="",F103=""),"Missing required field",IF(AND(G103&lt;&gt;"",H103=""),"Add the official as-at date",IF(AND(L103&lt;&gt;"",L103&lt;&gt;0),"Doesn’t add up to official","OK"))))))</f>
        <v/>
      </c>
    </row>
    <row r="104">
      <c r="A104" s="26" t="n"/>
      <c r="B104" s="26" t="n"/>
      <c r="C104" s="26" t="n"/>
      <c r="D104" s="26" t="n"/>
      <c r="E104" s="26" t="n"/>
      <c r="F104" s="26" t="n"/>
      <c r="G104" s="34" t="n"/>
      <c r="H104" s="28" t="n"/>
      <c r="I104" s="26" t="n"/>
      <c r="J104" s="26" t="n"/>
      <c r="K104" s="35">
        <f>IF(B104="","",SUMIFS('Holdings'!$C$4:$C$2503,'Holdings'!$B$4:$B$2503,B104,'Holdings'!$L$4:$L$2503,"Yes"))</f>
        <v/>
      </c>
      <c r="L104" s="36">
        <f>IF(OR(B104="",G104=""),"",G104-K104)</f>
        <v/>
      </c>
      <c r="M104" s="30">
        <f>IF(B104="","",IF(COUNTIF($B$4:$B$203,B104)&gt;1,"Duplicate class code",IF(COUNTIF('Companies'!$A$4:$A$63,A104)=0,"Unknown company",IF(OR(C104="",D104="",E104="",F104=""),"Missing required field",IF(AND(G104&lt;&gt;"",H104=""),"Add the official as-at date",IF(AND(L104&lt;&gt;"",L104&lt;&gt;0),"Doesn’t add up to official","OK"))))))</f>
        <v/>
      </c>
    </row>
    <row r="105">
      <c r="A105" s="26" t="n"/>
      <c r="B105" s="26" t="n"/>
      <c r="C105" s="26" t="n"/>
      <c r="D105" s="26" t="n"/>
      <c r="E105" s="26" t="n"/>
      <c r="F105" s="26" t="n"/>
      <c r="G105" s="34" t="n"/>
      <c r="H105" s="28" t="n"/>
      <c r="I105" s="26" t="n"/>
      <c r="J105" s="26" t="n"/>
      <c r="K105" s="35">
        <f>IF(B105="","",SUMIFS('Holdings'!$C$4:$C$2503,'Holdings'!$B$4:$B$2503,B105,'Holdings'!$L$4:$L$2503,"Yes"))</f>
        <v/>
      </c>
      <c r="L105" s="36">
        <f>IF(OR(B105="",G105=""),"",G105-K105)</f>
        <v/>
      </c>
      <c r="M105" s="30">
        <f>IF(B105="","",IF(COUNTIF($B$4:$B$203,B105)&gt;1,"Duplicate class code",IF(COUNTIF('Companies'!$A$4:$A$63,A105)=0,"Unknown company",IF(OR(C105="",D105="",E105="",F105=""),"Missing required field",IF(AND(G105&lt;&gt;"",H105=""),"Add the official as-at date",IF(AND(L105&lt;&gt;"",L105&lt;&gt;0),"Doesn’t add up to official","OK"))))))</f>
        <v/>
      </c>
    </row>
    <row r="106">
      <c r="A106" s="26" t="n"/>
      <c r="B106" s="26" t="n"/>
      <c r="C106" s="26" t="n"/>
      <c r="D106" s="26" t="n"/>
      <c r="E106" s="26" t="n"/>
      <c r="F106" s="26" t="n"/>
      <c r="G106" s="34" t="n"/>
      <c r="H106" s="28" t="n"/>
      <c r="I106" s="26" t="n"/>
      <c r="J106" s="26" t="n"/>
      <c r="K106" s="35">
        <f>IF(B106="","",SUMIFS('Holdings'!$C$4:$C$2503,'Holdings'!$B$4:$B$2503,B106,'Holdings'!$L$4:$L$2503,"Yes"))</f>
        <v/>
      </c>
      <c r="L106" s="36">
        <f>IF(OR(B106="",G106=""),"",G106-K106)</f>
        <v/>
      </c>
      <c r="M106" s="30">
        <f>IF(B106="","",IF(COUNTIF($B$4:$B$203,B106)&gt;1,"Duplicate class code",IF(COUNTIF('Companies'!$A$4:$A$63,A106)=0,"Unknown company",IF(OR(C106="",D106="",E106="",F106=""),"Missing required field",IF(AND(G106&lt;&gt;"",H106=""),"Add the official as-at date",IF(AND(L106&lt;&gt;"",L106&lt;&gt;0),"Doesn’t add up to official","OK"))))))</f>
        <v/>
      </c>
    </row>
    <row r="107">
      <c r="A107" s="26" t="n"/>
      <c r="B107" s="26" t="n"/>
      <c r="C107" s="26" t="n"/>
      <c r="D107" s="26" t="n"/>
      <c r="E107" s="26" t="n"/>
      <c r="F107" s="26" t="n"/>
      <c r="G107" s="34" t="n"/>
      <c r="H107" s="28" t="n"/>
      <c r="I107" s="26" t="n"/>
      <c r="J107" s="26" t="n"/>
      <c r="K107" s="35">
        <f>IF(B107="","",SUMIFS('Holdings'!$C$4:$C$2503,'Holdings'!$B$4:$B$2503,B107,'Holdings'!$L$4:$L$2503,"Yes"))</f>
        <v/>
      </c>
      <c r="L107" s="36">
        <f>IF(OR(B107="",G107=""),"",G107-K107)</f>
        <v/>
      </c>
      <c r="M107" s="30">
        <f>IF(B107="","",IF(COUNTIF($B$4:$B$203,B107)&gt;1,"Duplicate class code",IF(COUNTIF('Companies'!$A$4:$A$63,A107)=0,"Unknown company",IF(OR(C107="",D107="",E107="",F107=""),"Missing required field",IF(AND(G107&lt;&gt;"",H107=""),"Add the official as-at date",IF(AND(L107&lt;&gt;"",L107&lt;&gt;0),"Doesn’t add up to official","OK"))))))</f>
        <v/>
      </c>
    </row>
    <row r="108">
      <c r="A108" s="26" t="n"/>
      <c r="B108" s="26" t="n"/>
      <c r="C108" s="26" t="n"/>
      <c r="D108" s="26" t="n"/>
      <c r="E108" s="26" t="n"/>
      <c r="F108" s="26" t="n"/>
      <c r="G108" s="34" t="n"/>
      <c r="H108" s="28" t="n"/>
      <c r="I108" s="26" t="n"/>
      <c r="J108" s="26" t="n"/>
      <c r="K108" s="35">
        <f>IF(B108="","",SUMIFS('Holdings'!$C$4:$C$2503,'Holdings'!$B$4:$B$2503,B108,'Holdings'!$L$4:$L$2503,"Yes"))</f>
        <v/>
      </c>
      <c r="L108" s="36">
        <f>IF(OR(B108="",G108=""),"",G108-K108)</f>
        <v/>
      </c>
      <c r="M108" s="30">
        <f>IF(B108="","",IF(COUNTIF($B$4:$B$203,B108)&gt;1,"Duplicate class code",IF(COUNTIF('Companies'!$A$4:$A$63,A108)=0,"Unknown company",IF(OR(C108="",D108="",E108="",F108=""),"Missing required field",IF(AND(G108&lt;&gt;"",H108=""),"Add the official as-at date",IF(AND(L108&lt;&gt;"",L108&lt;&gt;0),"Doesn’t add up to official","OK"))))))</f>
        <v/>
      </c>
    </row>
    <row r="109">
      <c r="A109" s="26" t="n"/>
      <c r="B109" s="26" t="n"/>
      <c r="C109" s="26" t="n"/>
      <c r="D109" s="26" t="n"/>
      <c r="E109" s="26" t="n"/>
      <c r="F109" s="26" t="n"/>
      <c r="G109" s="34" t="n"/>
      <c r="H109" s="28" t="n"/>
      <c r="I109" s="26" t="n"/>
      <c r="J109" s="26" t="n"/>
      <c r="K109" s="35">
        <f>IF(B109="","",SUMIFS('Holdings'!$C$4:$C$2503,'Holdings'!$B$4:$B$2503,B109,'Holdings'!$L$4:$L$2503,"Yes"))</f>
        <v/>
      </c>
      <c r="L109" s="36">
        <f>IF(OR(B109="",G109=""),"",G109-K109)</f>
        <v/>
      </c>
      <c r="M109" s="30">
        <f>IF(B109="","",IF(COUNTIF($B$4:$B$203,B109)&gt;1,"Duplicate class code",IF(COUNTIF('Companies'!$A$4:$A$63,A109)=0,"Unknown company",IF(OR(C109="",D109="",E109="",F109=""),"Missing required field",IF(AND(G109&lt;&gt;"",H109=""),"Add the official as-at date",IF(AND(L109&lt;&gt;"",L109&lt;&gt;0),"Doesn’t add up to official","OK"))))))</f>
        <v/>
      </c>
    </row>
    <row r="110">
      <c r="A110" s="26" t="n"/>
      <c r="B110" s="26" t="n"/>
      <c r="C110" s="26" t="n"/>
      <c r="D110" s="26" t="n"/>
      <c r="E110" s="26" t="n"/>
      <c r="F110" s="26" t="n"/>
      <c r="G110" s="34" t="n"/>
      <c r="H110" s="28" t="n"/>
      <c r="I110" s="26" t="n"/>
      <c r="J110" s="26" t="n"/>
      <c r="K110" s="35">
        <f>IF(B110="","",SUMIFS('Holdings'!$C$4:$C$2503,'Holdings'!$B$4:$B$2503,B110,'Holdings'!$L$4:$L$2503,"Yes"))</f>
        <v/>
      </c>
      <c r="L110" s="36">
        <f>IF(OR(B110="",G110=""),"",G110-K110)</f>
        <v/>
      </c>
      <c r="M110" s="30">
        <f>IF(B110="","",IF(COUNTIF($B$4:$B$203,B110)&gt;1,"Duplicate class code",IF(COUNTIF('Companies'!$A$4:$A$63,A110)=0,"Unknown company",IF(OR(C110="",D110="",E110="",F110=""),"Missing required field",IF(AND(G110&lt;&gt;"",H110=""),"Add the official as-at date",IF(AND(L110&lt;&gt;"",L110&lt;&gt;0),"Doesn’t add up to official","OK"))))))</f>
        <v/>
      </c>
    </row>
    <row r="111">
      <c r="A111" s="26" t="n"/>
      <c r="B111" s="26" t="n"/>
      <c r="C111" s="26" t="n"/>
      <c r="D111" s="26" t="n"/>
      <c r="E111" s="26" t="n"/>
      <c r="F111" s="26" t="n"/>
      <c r="G111" s="34" t="n"/>
      <c r="H111" s="28" t="n"/>
      <c r="I111" s="26" t="n"/>
      <c r="J111" s="26" t="n"/>
      <c r="K111" s="35">
        <f>IF(B111="","",SUMIFS('Holdings'!$C$4:$C$2503,'Holdings'!$B$4:$B$2503,B111,'Holdings'!$L$4:$L$2503,"Yes"))</f>
        <v/>
      </c>
      <c r="L111" s="36">
        <f>IF(OR(B111="",G111=""),"",G111-K111)</f>
        <v/>
      </c>
      <c r="M111" s="30">
        <f>IF(B111="","",IF(COUNTIF($B$4:$B$203,B111)&gt;1,"Duplicate class code",IF(COUNTIF('Companies'!$A$4:$A$63,A111)=0,"Unknown company",IF(OR(C111="",D111="",E111="",F111=""),"Missing required field",IF(AND(G111&lt;&gt;"",H111=""),"Add the official as-at date",IF(AND(L111&lt;&gt;"",L111&lt;&gt;0),"Doesn’t add up to official","OK"))))))</f>
        <v/>
      </c>
    </row>
    <row r="112">
      <c r="A112" s="26" t="n"/>
      <c r="B112" s="26" t="n"/>
      <c r="C112" s="26" t="n"/>
      <c r="D112" s="26" t="n"/>
      <c r="E112" s="26" t="n"/>
      <c r="F112" s="26" t="n"/>
      <c r="G112" s="34" t="n"/>
      <c r="H112" s="28" t="n"/>
      <c r="I112" s="26" t="n"/>
      <c r="J112" s="26" t="n"/>
      <c r="K112" s="35">
        <f>IF(B112="","",SUMIFS('Holdings'!$C$4:$C$2503,'Holdings'!$B$4:$B$2503,B112,'Holdings'!$L$4:$L$2503,"Yes"))</f>
        <v/>
      </c>
      <c r="L112" s="36">
        <f>IF(OR(B112="",G112=""),"",G112-K112)</f>
        <v/>
      </c>
      <c r="M112" s="30">
        <f>IF(B112="","",IF(COUNTIF($B$4:$B$203,B112)&gt;1,"Duplicate class code",IF(COUNTIF('Companies'!$A$4:$A$63,A112)=0,"Unknown company",IF(OR(C112="",D112="",E112="",F112=""),"Missing required field",IF(AND(G112&lt;&gt;"",H112=""),"Add the official as-at date",IF(AND(L112&lt;&gt;"",L112&lt;&gt;0),"Doesn’t add up to official","OK"))))))</f>
        <v/>
      </c>
    </row>
    <row r="113">
      <c r="A113" s="26" t="n"/>
      <c r="B113" s="26" t="n"/>
      <c r="C113" s="26" t="n"/>
      <c r="D113" s="26" t="n"/>
      <c r="E113" s="26" t="n"/>
      <c r="F113" s="26" t="n"/>
      <c r="G113" s="34" t="n"/>
      <c r="H113" s="28" t="n"/>
      <c r="I113" s="26" t="n"/>
      <c r="J113" s="26" t="n"/>
      <c r="K113" s="35">
        <f>IF(B113="","",SUMIFS('Holdings'!$C$4:$C$2503,'Holdings'!$B$4:$B$2503,B113,'Holdings'!$L$4:$L$2503,"Yes"))</f>
        <v/>
      </c>
      <c r="L113" s="36">
        <f>IF(OR(B113="",G113=""),"",G113-K113)</f>
        <v/>
      </c>
      <c r="M113" s="30">
        <f>IF(B113="","",IF(COUNTIF($B$4:$B$203,B113)&gt;1,"Duplicate class code",IF(COUNTIF('Companies'!$A$4:$A$63,A113)=0,"Unknown company",IF(OR(C113="",D113="",E113="",F113=""),"Missing required field",IF(AND(G113&lt;&gt;"",H113=""),"Add the official as-at date",IF(AND(L113&lt;&gt;"",L113&lt;&gt;0),"Doesn’t add up to official","OK"))))))</f>
        <v/>
      </c>
    </row>
    <row r="114">
      <c r="A114" s="26" t="n"/>
      <c r="B114" s="26" t="n"/>
      <c r="C114" s="26" t="n"/>
      <c r="D114" s="26" t="n"/>
      <c r="E114" s="26" t="n"/>
      <c r="F114" s="26" t="n"/>
      <c r="G114" s="34" t="n"/>
      <c r="H114" s="28" t="n"/>
      <c r="I114" s="26" t="n"/>
      <c r="J114" s="26" t="n"/>
      <c r="K114" s="35">
        <f>IF(B114="","",SUMIFS('Holdings'!$C$4:$C$2503,'Holdings'!$B$4:$B$2503,B114,'Holdings'!$L$4:$L$2503,"Yes"))</f>
        <v/>
      </c>
      <c r="L114" s="36">
        <f>IF(OR(B114="",G114=""),"",G114-K114)</f>
        <v/>
      </c>
      <c r="M114" s="30">
        <f>IF(B114="","",IF(COUNTIF($B$4:$B$203,B114)&gt;1,"Duplicate class code",IF(COUNTIF('Companies'!$A$4:$A$63,A114)=0,"Unknown company",IF(OR(C114="",D114="",E114="",F114=""),"Missing required field",IF(AND(G114&lt;&gt;"",H114=""),"Add the official as-at date",IF(AND(L114&lt;&gt;"",L114&lt;&gt;0),"Doesn’t add up to official","OK"))))))</f>
        <v/>
      </c>
    </row>
    <row r="115">
      <c r="A115" s="26" t="n"/>
      <c r="B115" s="26" t="n"/>
      <c r="C115" s="26" t="n"/>
      <c r="D115" s="26" t="n"/>
      <c r="E115" s="26" t="n"/>
      <c r="F115" s="26" t="n"/>
      <c r="G115" s="34" t="n"/>
      <c r="H115" s="28" t="n"/>
      <c r="I115" s="26" t="n"/>
      <c r="J115" s="26" t="n"/>
      <c r="K115" s="35">
        <f>IF(B115="","",SUMIFS('Holdings'!$C$4:$C$2503,'Holdings'!$B$4:$B$2503,B115,'Holdings'!$L$4:$L$2503,"Yes"))</f>
        <v/>
      </c>
      <c r="L115" s="36">
        <f>IF(OR(B115="",G115=""),"",G115-K115)</f>
        <v/>
      </c>
      <c r="M115" s="30">
        <f>IF(B115="","",IF(COUNTIF($B$4:$B$203,B115)&gt;1,"Duplicate class code",IF(COUNTIF('Companies'!$A$4:$A$63,A115)=0,"Unknown company",IF(OR(C115="",D115="",E115="",F115=""),"Missing required field",IF(AND(G115&lt;&gt;"",H115=""),"Add the official as-at date",IF(AND(L115&lt;&gt;"",L115&lt;&gt;0),"Doesn’t add up to official","OK"))))))</f>
        <v/>
      </c>
    </row>
    <row r="116">
      <c r="A116" s="26" t="n"/>
      <c r="B116" s="26" t="n"/>
      <c r="C116" s="26" t="n"/>
      <c r="D116" s="26" t="n"/>
      <c r="E116" s="26" t="n"/>
      <c r="F116" s="26" t="n"/>
      <c r="G116" s="34" t="n"/>
      <c r="H116" s="28" t="n"/>
      <c r="I116" s="26" t="n"/>
      <c r="J116" s="26" t="n"/>
      <c r="K116" s="35">
        <f>IF(B116="","",SUMIFS('Holdings'!$C$4:$C$2503,'Holdings'!$B$4:$B$2503,B116,'Holdings'!$L$4:$L$2503,"Yes"))</f>
        <v/>
      </c>
      <c r="L116" s="36">
        <f>IF(OR(B116="",G116=""),"",G116-K116)</f>
        <v/>
      </c>
      <c r="M116" s="30">
        <f>IF(B116="","",IF(COUNTIF($B$4:$B$203,B116)&gt;1,"Duplicate class code",IF(COUNTIF('Companies'!$A$4:$A$63,A116)=0,"Unknown company",IF(OR(C116="",D116="",E116="",F116=""),"Missing required field",IF(AND(G116&lt;&gt;"",H116=""),"Add the official as-at date",IF(AND(L116&lt;&gt;"",L116&lt;&gt;0),"Doesn’t add up to official","OK"))))))</f>
        <v/>
      </c>
    </row>
    <row r="117">
      <c r="A117" s="26" t="n"/>
      <c r="B117" s="26" t="n"/>
      <c r="C117" s="26" t="n"/>
      <c r="D117" s="26" t="n"/>
      <c r="E117" s="26" t="n"/>
      <c r="F117" s="26" t="n"/>
      <c r="G117" s="34" t="n"/>
      <c r="H117" s="28" t="n"/>
      <c r="I117" s="26" t="n"/>
      <c r="J117" s="26" t="n"/>
      <c r="K117" s="35">
        <f>IF(B117="","",SUMIFS('Holdings'!$C$4:$C$2503,'Holdings'!$B$4:$B$2503,B117,'Holdings'!$L$4:$L$2503,"Yes"))</f>
        <v/>
      </c>
      <c r="L117" s="36">
        <f>IF(OR(B117="",G117=""),"",G117-K117)</f>
        <v/>
      </c>
      <c r="M117" s="30">
        <f>IF(B117="","",IF(COUNTIF($B$4:$B$203,B117)&gt;1,"Duplicate class code",IF(COUNTIF('Companies'!$A$4:$A$63,A117)=0,"Unknown company",IF(OR(C117="",D117="",E117="",F117=""),"Missing required field",IF(AND(G117&lt;&gt;"",H117=""),"Add the official as-at date",IF(AND(L117&lt;&gt;"",L117&lt;&gt;0),"Doesn’t add up to official","OK"))))))</f>
        <v/>
      </c>
    </row>
    <row r="118">
      <c r="A118" s="26" t="n"/>
      <c r="B118" s="26" t="n"/>
      <c r="C118" s="26" t="n"/>
      <c r="D118" s="26" t="n"/>
      <c r="E118" s="26" t="n"/>
      <c r="F118" s="26" t="n"/>
      <c r="G118" s="34" t="n"/>
      <c r="H118" s="28" t="n"/>
      <c r="I118" s="26" t="n"/>
      <c r="J118" s="26" t="n"/>
      <c r="K118" s="35">
        <f>IF(B118="","",SUMIFS('Holdings'!$C$4:$C$2503,'Holdings'!$B$4:$B$2503,B118,'Holdings'!$L$4:$L$2503,"Yes"))</f>
        <v/>
      </c>
      <c r="L118" s="36">
        <f>IF(OR(B118="",G118=""),"",G118-K118)</f>
        <v/>
      </c>
      <c r="M118" s="30">
        <f>IF(B118="","",IF(COUNTIF($B$4:$B$203,B118)&gt;1,"Duplicate class code",IF(COUNTIF('Companies'!$A$4:$A$63,A118)=0,"Unknown company",IF(OR(C118="",D118="",E118="",F118=""),"Missing required field",IF(AND(G118&lt;&gt;"",H118=""),"Add the official as-at date",IF(AND(L118&lt;&gt;"",L118&lt;&gt;0),"Doesn’t add up to official","OK"))))))</f>
        <v/>
      </c>
    </row>
    <row r="119">
      <c r="A119" s="26" t="n"/>
      <c r="B119" s="26" t="n"/>
      <c r="C119" s="26" t="n"/>
      <c r="D119" s="26" t="n"/>
      <c r="E119" s="26" t="n"/>
      <c r="F119" s="26" t="n"/>
      <c r="G119" s="34" t="n"/>
      <c r="H119" s="28" t="n"/>
      <c r="I119" s="26" t="n"/>
      <c r="J119" s="26" t="n"/>
      <c r="K119" s="35">
        <f>IF(B119="","",SUMIFS('Holdings'!$C$4:$C$2503,'Holdings'!$B$4:$B$2503,B119,'Holdings'!$L$4:$L$2503,"Yes"))</f>
        <v/>
      </c>
      <c r="L119" s="36">
        <f>IF(OR(B119="",G119=""),"",G119-K119)</f>
        <v/>
      </c>
      <c r="M119" s="30">
        <f>IF(B119="","",IF(COUNTIF($B$4:$B$203,B119)&gt;1,"Duplicate class code",IF(COUNTIF('Companies'!$A$4:$A$63,A119)=0,"Unknown company",IF(OR(C119="",D119="",E119="",F119=""),"Missing required field",IF(AND(G119&lt;&gt;"",H119=""),"Add the official as-at date",IF(AND(L119&lt;&gt;"",L119&lt;&gt;0),"Doesn’t add up to official","OK"))))))</f>
        <v/>
      </c>
    </row>
    <row r="120">
      <c r="A120" s="26" t="n"/>
      <c r="B120" s="26" t="n"/>
      <c r="C120" s="26" t="n"/>
      <c r="D120" s="26" t="n"/>
      <c r="E120" s="26" t="n"/>
      <c r="F120" s="26" t="n"/>
      <c r="G120" s="34" t="n"/>
      <c r="H120" s="28" t="n"/>
      <c r="I120" s="26" t="n"/>
      <c r="J120" s="26" t="n"/>
      <c r="K120" s="35">
        <f>IF(B120="","",SUMIFS('Holdings'!$C$4:$C$2503,'Holdings'!$B$4:$B$2503,B120,'Holdings'!$L$4:$L$2503,"Yes"))</f>
        <v/>
      </c>
      <c r="L120" s="36">
        <f>IF(OR(B120="",G120=""),"",G120-K120)</f>
        <v/>
      </c>
      <c r="M120" s="30">
        <f>IF(B120="","",IF(COUNTIF($B$4:$B$203,B120)&gt;1,"Duplicate class code",IF(COUNTIF('Companies'!$A$4:$A$63,A120)=0,"Unknown company",IF(OR(C120="",D120="",E120="",F120=""),"Missing required field",IF(AND(G120&lt;&gt;"",H120=""),"Add the official as-at date",IF(AND(L120&lt;&gt;"",L120&lt;&gt;0),"Doesn’t add up to official","OK"))))))</f>
        <v/>
      </c>
    </row>
    <row r="121">
      <c r="A121" s="26" t="n"/>
      <c r="B121" s="26" t="n"/>
      <c r="C121" s="26" t="n"/>
      <c r="D121" s="26" t="n"/>
      <c r="E121" s="26" t="n"/>
      <c r="F121" s="26" t="n"/>
      <c r="G121" s="34" t="n"/>
      <c r="H121" s="28" t="n"/>
      <c r="I121" s="26" t="n"/>
      <c r="J121" s="26" t="n"/>
      <c r="K121" s="35">
        <f>IF(B121="","",SUMIFS('Holdings'!$C$4:$C$2503,'Holdings'!$B$4:$B$2503,B121,'Holdings'!$L$4:$L$2503,"Yes"))</f>
        <v/>
      </c>
      <c r="L121" s="36">
        <f>IF(OR(B121="",G121=""),"",G121-K121)</f>
        <v/>
      </c>
      <c r="M121" s="30">
        <f>IF(B121="","",IF(COUNTIF($B$4:$B$203,B121)&gt;1,"Duplicate class code",IF(COUNTIF('Companies'!$A$4:$A$63,A121)=0,"Unknown company",IF(OR(C121="",D121="",E121="",F121=""),"Missing required field",IF(AND(G121&lt;&gt;"",H121=""),"Add the official as-at date",IF(AND(L121&lt;&gt;"",L121&lt;&gt;0),"Doesn’t add up to official","OK"))))))</f>
        <v/>
      </c>
    </row>
    <row r="122">
      <c r="A122" s="26" t="n"/>
      <c r="B122" s="26" t="n"/>
      <c r="C122" s="26" t="n"/>
      <c r="D122" s="26" t="n"/>
      <c r="E122" s="26" t="n"/>
      <c r="F122" s="26" t="n"/>
      <c r="G122" s="34" t="n"/>
      <c r="H122" s="28" t="n"/>
      <c r="I122" s="26" t="n"/>
      <c r="J122" s="26" t="n"/>
      <c r="K122" s="35">
        <f>IF(B122="","",SUMIFS('Holdings'!$C$4:$C$2503,'Holdings'!$B$4:$B$2503,B122,'Holdings'!$L$4:$L$2503,"Yes"))</f>
        <v/>
      </c>
      <c r="L122" s="36">
        <f>IF(OR(B122="",G122=""),"",G122-K122)</f>
        <v/>
      </c>
      <c r="M122" s="30">
        <f>IF(B122="","",IF(COUNTIF($B$4:$B$203,B122)&gt;1,"Duplicate class code",IF(COUNTIF('Companies'!$A$4:$A$63,A122)=0,"Unknown company",IF(OR(C122="",D122="",E122="",F122=""),"Missing required field",IF(AND(G122&lt;&gt;"",H122=""),"Add the official as-at date",IF(AND(L122&lt;&gt;"",L122&lt;&gt;0),"Doesn’t add up to official","OK"))))))</f>
        <v/>
      </c>
    </row>
    <row r="123">
      <c r="A123" s="26" t="n"/>
      <c r="B123" s="26" t="n"/>
      <c r="C123" s="26" t="n"/>
      <c r="D123" s="26" t="n"/>
      <c r="E123" s="26" t="n"/>
      <c r="F123" s="26" t="n"/>
      <c r="G123" s="34" t="n"/>
      <c r="H123" s="28" t="n"/>
      <c r="I123" s="26" t="n"/>
      <c r="J123" s="26" t="n"/>
      <c r="K123" s="35">
        <f>IF(B123="","",SUMIFS('Holdings'!$C$4:$C$2503,'Holdings'!$B$4:$B$2503,B123,'Holdings'!$L$4:$L$2503,"Yes"))</f>
        <v/>
      </c>
      <c r="L123" s="36">
        <f>IF(OR(B123="",G123=""),"",G123-K123)</f>
        <v/>
      </c>
      <c r="M123" s="30">
        <f>IF(B123="","",IF(COUNTIF($B$4:$B$203,B123)&gt;1,"Duplicate class code",IF(COUNTIF('Companies'!$A$4:$A$63,A123)=0,"Unknown company",IF(OR(C123="",D123="",E123="",F123=""),"Missing required field",IF(AND(G123&lt;&gt;"",H123=""),"Add the official as-at date",IF(AND(L123&lt;&gt;"",L123&lt;&gt;0),"Doesn’t add up to official","OK"))))))</f>
        <v/>
      </c>
    </row>
    <row r="124">
      <c r="A124" s="26" t="n"/>
      <c r="B124" s="26" t="n"/>
      <c r="C124" s="26" t="n"/>
      <c r="D124" s="26" t="n"/>
      <c r="E124" s="26" t="n"/>
      <c r="F124" s="26" t="n"/>
      <c r="G124" s="34" t="n"/>
      <c r="H124" s="28" t="n"/>
      <c r="I124" s="26" t="n"/>
      <c r="J124" s="26" t="n"/>
      <c r="K124" s="35">
        <f>IF(B124="","",SUMIFS('Holdings'!$C$4:$C$2503,'Holdings'!$B$4:$B$2503,B124,'Holdings'!$L$4:$L$2503,"Yes"))</f>
        <v/>
      </c>
      <c r="L124" s="36">
        <f>IF(OR(B124="",G124=""),"",G124-K124)</f>
        <v/>
      </c>
      <c r="M124" s="30">
        <f>IF(B124="","",IF(COUNTIF($B$4:$B$203,B124)&gt;1,"Duplicate class code",IF(COUNTIF('Companies'!$A$4:$A$63,A124)=0,"Unknown company",IF(OR(C124="",D124="",E124="",F124=""),"Missing required field",IF(AND(G124&lt;&gt;"",H124=""),"Add the official as-at date",IF(AND(L124&lt;&gt;"",L124&lt;&gt;0),"Doesn’t add up to official","OK"))))))</f>
        <v/>
      </c>
    </row>
    <row r="125">
      <c r="A125" s="26" t="n"/>
      <c r="B125" s="26" t="n"/>
      <c r="C125" s="26" t="n"/>
      <c r="D125" s="26" t="n"/>
      <c r="E125" s="26" t="n"/>
      <c r="F125" s="26" t="n"/>
      <c r="G125" s="34" t="n"/>
      <c r="H125" s="28" t="n"/>
      <c r="I125" s="26" t="n"/>
      <c r="J125" s="26" t="n"/>
      <c r="K125" s="35">
        <f>IF(B125="","",SUMIFS('Holdings'!$C$4:$C$2503,'Holdings'!$B$4:$B$2503,B125,'Holdings'!$L$4:$L$2503,"Yes"))</f>
        <v/>
      </c>
      <c r="L125" s="36">
        <f>IF(OR(B125="",G125=""),"",G125-K125)</f>
        <v/>
      </c>
      <c r="M125" s="30">
        <f>IF(B125="","",IF(COUNTIF($B$4:$B$203,B125)&gt;1,"Duplicate class code",IF(COUNTIF('Companies'!$A$4:$A$63,A125)=0,"Unknown company",IF(OR(C125="",D125="",E125="",F125=""),"Missing required field",IF(AND(G125&lt;&gt;"",H125=""),"Add the official as-at date",IF(AND(L125&lt;&gt;"",L125&lt;&gt;0),"Doesn’t add up to official","OK"))))))</f>
        <v/>
      </c>
    </row>
    <row r="126">
      <c r="A126" s="26" t="n"/>
      <c r="B126" s="26" t="n"/>
      <c r="C126" s="26" t="n"/>
      <c r="D126" s="26" t="n"/>
      <c r="E126" s="26" t="n"/>
      <c r="F126" s="26" t="n"/>
      <c r="G126" s="34" t="n"/>
      <c r="H126" s="28" t="n"/>
      <c r="I126" s="26" t="n"/>
      <c r="J126" s="26" t="n"/>
      <c r="K126" s="35">
        <f>IF(B126="","",SUMIFS('Holdings'!$C$4:$C$2503,'Holdings'!$B$4:$B$2503,B126,'Holdings'!$L$4:$L$2503,"Yes"))</f>
        <v/>
      </c>
      <c r="L126" s="36">
        <f>IF(OR(B126="",G126=""),"",G126-K126)</f>
        <v/>
      </c>
      <c r="M126" s="30">
        <f>IF(B126="","",IF(COUNTIF($B$4:$B$203,B126)&gt;1,"Duplicate class code",IF(COUNTIF('Companies'!$A$4:$A$63,A126)=0,"Unknown company",IF(OR(C126="",D126="",E126="",F126=""),"Missing required field",IF(AND(G126&lt;&gt;"",H126=""),"Add the official as-at date",IF(AND(L126&lt;&gt;"",L126&lt;&gt;0),"Doesn’t add up to official","OK"))))))</f>
        <v/>
      </c>
    </row>
    <row r="127">
      <c r="A127" s="26" t="n"/>
      <c r="B127" s="26" t="n"/>
      <c r="C127" s="26" t="n"/>
      <c r="D127" s="26" t="n"/>
      <c r="E127" s="26" t="n"/>
      <c r="F127" s="26" t="n"/>
      <c r="G127" s="34" t="n"/>
      <c r="H127" s="28" t="n"/>
      <c r="I127" s="26" t="n"/>
      <c r="J127" s="26" t="n"/>
      <c r="K127" s="35">
        <f>IF(B127="","",SUMIFS('Holdings'!$C$4:$C$2503,'Holdings'!$B$4:$B$2503,B127,'Holdings'!$L$4:$L$2503,"Yes"))</f>
        <v/>
      </c>
      <c r="L127" s="36">
        <f>IF(OR(B127="",G127=""),"",G127-K127)</f>
        <v/>
      </c>
      <c r="M127" s="30">
        <f>IF(B127="","",IF(COUNTIF($B$4:$B$203,B127)&gt;1,"Duplicate class code",IF(COUNTIF('Companies'!$A$4:$A$63,A127)=0,"Unknown company",IF(OR(C127="",D127="",E127="",F127=""),"Missing required field",IF(AND(G127&lt;&gt;"",H127=""),"Add the official as-at date",IF(AND(L127&lt;&gt;"",L127&lt;&gt;0),"Doesn’t add up to official","OK"))))))</f>
        <v/>
      </c>
    </row>
    <row r="128">
      <c r="A128" s="26" t="n"/>
      <c r="B128" s="26" t="n"/>
      <c r="C128" s="26" t="n"/>
      <c r="D128" s="26" t="n"/>
      <c r="E128" s="26" t="n"/>
      <c r="F128" s="26" t="n"/>
      <c r="G128" s="34" t="n"/>
      <c r="H128" s="28" t="n"/>
      <c r="I128" s="26" t="n"/>
      <c r="J128" s="26" t="n"/>
      <c r="K128" s="35">
        <f>IF(B128="","",SUMIFS('Holdings'!$C$4:$C$2503,'Holdings'!$B$4:$B$2503,B128,'Holdings'!$L$4:$L$2503,"Yes"))</f>
        <v/>
      </c>
      <c r="L128" s="36">
        <f>IF(OR(B128="",G128=""),"",G128-K128)</f>
        <v/>
      </c>
      <c r="M128" s="30">
        <f>IF(B128="","",IF(COUNTIF($B$4:$B$203,B128)&gt;1,"Duplicate class code",IF(COUNTIF('Companies'!$A$4:$A$63,A128)=0,"Unknown company",IF(OR(C128="",D128="",E128="",F128=""),"Missing required field",IF(AND(G128&lt;&gt;"",H128=""),"Add the official as-at date",IF(AND(L128&lt;&gt;"",L128&lt;&gt;0),"Doesn’t add up to official","OK"))))))</f>
        <v/>
      </c>
    </row>
    <row r="129">
      <c r="A129" s="26" t="n"/>
      <c r="B129" s="26" t="n"/>
      <c r="C129" s="26" t="n"/>
      <c r="D129" s="26" t="n"/>
      <c r="E129" s="26" t="n"/>
      <c r="F129" s="26" t="n"/>
      <c r="G129" s="34" t="n"/>
      <c r="H129" s="28" t="n"/>
      <c r="I129" s="26" t="n"/>
      <c r="J129" s="26" t="n"/>
      <c r="K129" s="35">
        <f>IF(B129="","",SUMIFS('Holdings'!$C$4:$C$2503,'Holdings'!$B$4:$B$2503,B129,'Holdings'!$L$4:$L$2503,"Yes"))</f>
        <v/>
      </c>
      <c r="L129" s="36">
        <f>IF(OR(B129="",G129=""),"",G129-K129)</f>
        <v/>
      </c>
      <c r="M129" s="30">
        <f>IF(B129="","",IF(COUNTIF($B$4:$B$203,B129)&gt;1,"Duplicate class code",IF(COUNTIF('Companies'!$A$4:$A$63,A129)=0,"Unknown company",IF(OR(C129="",D129="",E129="",F129=""),"Missing required field",IF(AND(G129&lt;&gt;"",H129=""),"Add the official as-at date",IF(AND(L129&lt;&gt;"",L129&lt;&gt;0),"Doesn’t add up to official","OK"))))))</f>
        <v/>
      </c>
    </row>
    <row r="130">
      <c r="A130" s="26" t="n"/>
      <c r="B130" s="26" t="n"/>
      <c r="C130" s="26" t="n"/>
      <c r="D130" s="26" t="n"/>
      <c r="E130" s="26" t="n"/>
      <c r="F130" s="26" t="n"/>
      <c r="G130" s="34" t="n"/>
      <c r="H130" s="28" t="n"/>
      <c r="I130" s="26" t="n"/>
      <c r="J130" s="26" t="n"/>
      <c r="K130" s="35">
        <f>IF(B130="","",SUMIFS('Holdings'!$C$4:$C$2503,'Holdings'!$B$4:$B$2503,B130,'Holdings'!$L$4:$L$2503,"Yes"))</f>
        <v/>
      </c>
      <c r="L130" s="36">
        <f>IF(OR(B130="",G130=""),"",G130-K130)</f>
        <v/>
      </c>
      <c r="M130" s="30">
        <f>IF(B130="","",IF(COUNTIF($B$4:$B$203,B130)&gt;1,"Duplicate class code",IF(COUNTIF('Companies'!$A$4:$A$63,A130)=0,"Unknown company",IF(OR(C130="",D130="",E130="",F130=""),"Missing required field",IF(AND(G130&lt;&gt;"",H130=""),"Add the official as-at date",IF(AND(L130&lt;&gt;"",L130&lt;&gt;0),"Doesn’t add up to official","OK"))))))</f>
        <v/>
      </c>
    </row>
    <row r="131">
      <c r="A131" s="26" t="n"/>
      <c r="B131" s="26" t="n"/>
      <c r="C131" s="26" t="n"/>
      <c r="D131" s="26" t="n"/>
      <c r="E131" s="26" t="n"/>
      <c r="F131" s="26" t="n"/>
      <c r="G131" s="34" t="n"/>
      <c r="H131" s="28" t="n"/>
      <c r="I131" s="26" t="n"/>
      <c r="J131" s="26" t="n"/>
      <c r="K131" s="35">
        <f>IF(B131="","",SUMIFS('Holdings'!$C$4:$C$2503,'Holdings'!$B$4:$B$2503,B131,'Holdings'!$L$4:$L$2503,"Yes"))</f>
        <v/>
      </c>
      <c r="L131" s="36">
        <f>IF(OR(B131="",G131=""),"",G131-K131)</f>
        <v/>
      </c>
      <c r="M131" s="30">
        <f>IF(B131="","",IF(COUNTIF($B$4:$B$203,B131)&gt;1,"Duplicate class code",IF(COUNTIF('Companies'!$A$4:$A$63,A131)=0,"Unknown company",IF(OR(C131="",D131="",E131="",F131=""),"Missing required field",IF(AND(G131&lt;&gt;"",H131=""),"Add the official as-at date",IF(AND(L131&lt;&gt;"",L131&lt;&gt;0),"Doesn’t add up to official","OK"))))))</f>
        <v/>
      </c>
    </row>
    <row r="132">
      <c r="A132" s="26" t="n"/>
      <c r="B132" s="26" t="n"/>
      <c r="C132" s="26" t="n"/>
      <c r="D132" s="26" t="n"/>
      <c r="E132" s="26" t="n"/>
      <c r="F132" s="26" t="n"/>
      <c r="G132" s="34" t="n"/>
      <c r="H132" s="28" t="n"/>
      <c r="I132" s="26" t="n"/>
      <c r="J132" s="26" t="n"/>
      <c r="K132" s="35">
        <f>IF(B132="","",SUMIFS('Holdings'!$C$4:$C$2503,'Holdings'!$B$4:$B$2503,B132,'Holdings'!$L$4:$L$2503,"Yes"))</f>
        <v/>
      </c>
      <c r="L132" s="36">
        <f>IF(OR(B132="",G132=""),"",G132-K132)</f>
        <v/>
      </c>
      <c r="M132" s="30">
        <f>IF(B132="","",IF(COUNTIF($B$4:$B$203,B132)&gt;1,"Duplicate class code",IF(COUNTIF('Companies'!$A$4:$A$63,A132)=0,"Unknown company",IF(OR(C132="",D132="",E132="",F132=""),"Missing required field",IF(AND(G132&lt;&gt;"",H132=""),"Add the official as-at date",IF(AND(L132&lt;&gt;"",L132&lt;&gt;0),"Doesn’t add up to official","OK"))))))</f>
        <v/>
      </c>
    </row>
    <row r="133">
      <c r="A133" s="26" t="n"/>
      <c r="B133" s="26" t="n"/>
      <c r="C133" s="26" t="n"/>
      <c r="D133" s="26" t="n"/>
      <c r="E133" s="26" t="n"/>
      <c r="F133" s="26" t="n"/>
      <c r="G133" s="34" t="n"/>
      <c r="H133" s="28" t="n"/>
      <c r="I133" s="26" t="n"/>
      <c r="J133" s="26" t="n"/>
      <c r="K133" s="35">
        <f>IF(B133="","",SUMIFS('Holdings'!$C$4:$C$2503,'Holdings'!$B$4:$B$2503,B133,'Holdings'!$L$4:$L$2503,"Yes"))</f>
        <v/>
      </c>
      <c r="L133" s="36">
        <f>IF(OR(B133="",G133=""),"",G133-K133)</f>
        <v/>
      </c>
      <c r="M133" s="30">
        <f>IF(B133="","",IF(COUNTIF($B$4:$B$203,B133)&gt;1,"Duplicate class code",IF(COUNTIF('Companies'!$A$4:$A$63,A133)=0,"Unknown company",IF(OR(C133="",D133="",E133="",F133=""),"Missing required field",IF(AND(G133&lt;&gt;"",H133=""),"Add the official as-at date",IF(AND(L133&lt;&gt;"",L133&lt;&gt;0),"Doesn’t add up to official","OK"))))))</f>
        <v/>
      </c>
    </row>
    <row r="134">
      <c r="A134" s="26" t="n"/>
      <c r="B134" s="26" t="n"/>
      <c r="C134" s="26" t="n"/>
      <c r="D134" s="26" t="n"/>
      <c r="E134" s="26" t="n"/>
      <c r="F134" s="26" t="n"/>
      <c r="G134" s="34" t="n"/>
      <c r="H134" s="28" t="n"/>
      <c r="I134" s="26" t="n"/>
      <c r="J134" s="26" t="n"/>
      <c r="K134" s="35">
        <f>IF(B134="","",SUMIFS('Holdings'!$C$4:$C$2503,'Holdings'!$B$4:$B$2503,B134,'Holdings'!$L$4:$L$2503,"Yes"))</f>
        <v/>
      </c>
      <c r="L134" s="36">
        <f>IF(OR(B134="",G134=""),"",G134-K134)</f>
        <v/>
      </c>
      <c r="M134" s="30">
        <f>IF(B134="","",IF(COUNTIF($B$4:$B$203,B134)&gt;1,"Duplicate class code",IF(COUNTIF('Companies'!$A$4:$A$63,A134)=0,"Unknown company",IF(OR(C134="",D134="",E134="",F134=""),"Missing required field",IF(AND(G134&lt;&gt;"",H134=""),"Add the official as-at date",IF(AND(L134&lt;&gt;"",L134&lt;&gt;0),"Doesn’t add up to official","OK"))))))</f>
        <v/>
      </c>
    </row>
    <row r="135">
      <c r="A135" s="26" t="n"/>
      <c r="B135" s="26" t="n"/>
      <c r="C135" s="26" t="n"/>
      <c r="D135" s="26" t="n"/>
      <c r="E135" s="26" t="n"/>
      <c r="F135" s="26" t="n"/>
      <c r="G135" s="34" t="n"/>
      <c r="H135" s="28" t="n"/>
      <c r="I135" s="26" t="n"/>
      <c r="J135" s="26" t="n"/>
      <c r="K135" s="35">
        <f>IF(B135="","",SUMIFS('Holdings'!$C$4:$C$2503,'Holdings'!$B$4:$B$2503,B135,'Holdings'!$L$4:$L$2503,"Yes"))</f>
        <v/>
      </c>
      <c r="L135" s="36">
        <f>IF(OR(B135="",G135=""),"",G135-K135)</f>
        <v/>
      </c>
      <c r="M135" s="30">
        <f>IF(B135="","",IF(COUNTIF($B$4:$B$203,B135)&gt;1,"Duplicate class code",IF(COUNTIF('Companies'!$A$4:$A$63,A135)=0,"Unknown company",IF(OR(C135="",D135="",E135="",F135=""),"Missing required field",IF(AND(G135&lt;&gt;"",H135=""),"Add the official as-at date",IF(AND(L135&lt;&gt;"",L135&lt;&gt;0),"Doesn’t add up to official","OK"))))))</f>
        <v/>
      </c>
    </row>
    <row r="136">
      <c r="A136" s="26" t="n"/>
      <c r="B136" s="26" t="n"/>
      <c r="C136" s="26" t="n"/>
      <c r="D136" s="26" t="n"/>
      <c r="E136" s="26" t="n"/>
      <c r="F136" s="26" t="n"/>
      <c r="G136" s="34" t="n"/>
      <c r="H136" s="28" t="n"/>
      <c r="I136" s="26" t="n"/>
      <c r="J136" s="26" t="n"/>
      <c r="K136" s="35">
        <f>IF(B136="","",SUMIFS('Holdings'!$C$4:$C$2503,'Holdings'!$B$4:$B$2503,B136,'Holdings'!$L$4:$L$2503,"Yes"))</f>
        <v/>
      </c>
      <c r="L136" s="36">
        <f>IF(OR(B136="",G136=""),"",G136-K136)</f>
        <v/>
      </c>
      <c r="M136" s="30">
        <f>IF(B136="","",IF(COUNTIF($B$4:$B$203,B136)&gt;1,"Duplicate class code",IF(COUNTIF('Companies'!$A$4:$A$63,A136)=0,"Unknown company",IF(OR(C136="",D136="",E136="",F136=""),"Missing required field",IF(AND(G136&lt;&gt;"",H136=""),"Add the official as-at date",IF(AND(L136&lt;&gt;"",L136&lt;&gt;0),"Doesn’t add up to official","OK"))))))</f>
        <v/>
      </c>
    </row>
    <row r="137">
      <c r="A137" s="26" t="n"/>
      <c r="B137" s="26" t="n"/>
      <c r="C137" s="26" t="n"/>
      <c r="D137" s="26" t="n"/>
      <c r="E137" s="26" t="n"/>
      <c r="F137" s="26" t="n"/>
      <c r="G137" s="34" t="n"/>
      <c r="H137" s="28" t="n"/>
      <c r="I137" s="26" t="n"/>
      <c r="J137" s="26" t="n"/>
      <c r="K137" s="35">
        <f>IF(B137="","",SUMIFS('Holdings'!$C$4:$C$2503,'Holdings'!$B$4:$B$2503,B137,'Holdings'!$L$4:$L$2503,"Yes"))</f>
        <v/>
      </c>
      <c r="L137" s="36">
        <f>IF(OR(B137="",G137=""),"",G137-K137)</f>
        <v/>
      </c>
      <c r="M137" s="30">
        <f>IF(B137="","",IF(COUNTIF($B$4:$B$203,B137)&gt;1,"Duplicate class code",IF(COUNTIF('Companies'!$A$4:$A$63,A137)=0,"Unknown company",IF(OR(C137="",D137="",E137="",F137=""),"Missing required field",IF(AND(G137&lt;&gt;"",H137=""),"Add the official as-at date",IF(AND(L137&lt;&gt;"",L137&lt;&gt;0),"Doesn’t add up to official","OK"))))))</f>
        <v/>
      </c>
    </row>
    <row r="138">
      <c r="A138" s="26" t="n"/>
      <c r="B138" s="26" t="n"/>
      <c r="C138" s="26" t="n"/>
      <c r="D138" s="26" t="n"/>
      <c r="E138" s="26" t="n"/>
      <c r="F138" s="26" t="n"/>
      <c r="G138" s="34" t="n"/>
      <c r="H138" s="28" t="n"/>
      <c r="I138" s="26" t="n"/>
      <c r="J138" s="26" t="n"/>
      <c r="K138" s="35">
        <f>IF(B138="","",SUMIFS('Holdings'!$C$4:$C$2503,'Holdings'!$B$4:$B$2503,B138,'Holdings'!$L$4:$L$2503,"Yes"))</f>
        <v/>
      </c>
      <c r="L138" s="36">
        <f>IF(OR(B138="",G138=""),"",G138-K138)</f>
        <v/>
      </c>
      <c r="M138" s="30">
        <f>IF(B138="","",IF(COUNTIF($B$4:$B$203,B138)&gt;1,"Duplicate class code",IF(COUNTIF('Companies'!$A$4:$A$63,A138)=0,"Unknown company",IF(OR(C138="",D138="",E138="",F138=""),"Missing required field",IF(AND(G138&lt;&gt;"",H138=""),"Add the official as-at date",IF(AND(L138&lt;&gt;"",L138&lt;&gt;0),"Doesn’t add up to official","OK"))))))</f>
        <v/>
      </c>
    </row>
    <row r="139">
      <c r="A139" s="26" t="n"/>
      <c r="B139" s="26" t="n"/>
      <c r="C139" s="26" t="n"/>
      <c r="D139" s="26" t="n"/>
      <c r="E139" s="26" t="n"/>
      <c r="F139" s="26" t="n"/>
      <c r="G139" s="34" t="n"/>
      <c r="H139" s="28" t="n"/>
      <c r="I139" s="26" t="n"/>
      <c r="J139" s="26" t="n"/>
      <c r="K139" s="35">
        <f>IF(B139="","",SUMIFS('Holdings'!$C$4:$C$2503,'Holdings'!$B$4:$B$2503,B139,'Holdings'!$L$4:$L$2503,"Yes"))</f>
        <v/>
      </c>
      <c r="L139" s="36">
        <f>IF(OR(B139="",G139=""),"",G139-K139)</f>
        <v/>
      </c>
      <c r="M139" s="30">
        <f>IF(B139="","",IF(COUNTIF($B$4:$B$203,B139)&gt;1,"Duplicate class code",IF(COUNTIF('Companies'!$A$4:$A$63,A139)=0,"Unknown company",IF(OR(C139="",D139="",E139="",F139=""),"Missing required field",IF(AND(G139&lt;&gt;"",H139=""),"Add the official as-at date",IF(AND(L139&lt;&gt;"",L139&lt;&gt;0),"Doesn’t add up to official","OK"))))))</f>
        <v/>
      </c>
    </row>
    <row r="140">
      <c r="A140" s="26" t="n"/>
      <c r="B140" s="26" t="n"/>
      <c r="C140" s="26" t="n"/>
      <c r="D140" s="26" t="n"/>
      <c r="E140" s="26" t="n"/>
      <c r="F140" s="26" t="n"/>
      <c r="G140" s="34" t="n"/>
      <c r="H140" s="28" t="n"/>
      <c r="I140" s="26" t="n"/>
      <c r="J140" s="26" t="n"/>
      <c r="K140" s="35">
        <f>IF(B140="","",SUMIFS('Holdings'!$C$4:$C$2503,'Holdings'!$B$4:$B$2503,B140,'Holdings'!$L$4:$L$2503,"Yes"))</f>
        <v/>
      </c>
      <c r="L140" s="36">
        <f>IF(OR(B140="",G140=""),"",G140-K140)</f>
        <v/>
      </c>
      <c r="M140" s="30">
        <f>IF(B140="","",IF(COUNTIF($B$4:$B$203,B140)&gt;1,"Duplicate class code",IF(COUNTIF('Companies'!$A$4:$A$63,A140)=0,"Unknown company",IF(OR(C140="",D140="",E140="",F140=""),"Missing required field",IF(AND(G140&lt;&gt;"",H140=""),"Add the official as-at date",IF(AND(L140&lt;&gt;"",L140&lt;&gt;0),"Doesn’t add up to official","OK"))))))</f>
        <v/>
      </c>
    </row>
    <row r="141">
      <c r="A141" s="26" t="n"/>
      <c r="B141" s="26" t="n"/>
      <c r="C141" s="26" t="n"/>
      <c r="D141" s="26" t="n"/>
      <c r="E141" s="26" t="n"/>
      <c r="F141" s="26" t="n"/>
      <c r="G141" s="34" t="n"/>
      <c r="H141" s="28" t="n"/>
      <c r="I141" s="26" t="n"/>
      <c r="J141" s="26" t="n"/>
      <c r="K141" s="35">
        <f>IF(B141="","",SUMIFS('Holdings'!$C$4:$C$2503,'Holdings'!$B$4:$B$2503,B141,'Holdings'!$L$4:$L$2503,"Yes"))</f>
        <v/>
      </c>
      <c r="L141" s="36">
        <f>IF(OR(B141="",G141=""),"",G141-K141)</f>
        <v/>
      </c>
      <c r="M141" s="30">
        <f>IF(B141="","",IF(COUNTIF($B$4:$B$203,B141)&gt;1,"Duplicate class code",IF(COUNTIF('Companies'!$A$4:$A$63,A141)=0,"Unknown company",IF(OR(C141="",D141="",E141="",F141=""),"Missing required field",IF(AND(G141&lt;&gt;"",H141=""),"Add the official as-at date",IF(AND(L141&lt;&gt;"",L141&lt;&gt;0),"Doesn’t add up to official","OK"))))))</f>
        <v/>
      </c>
    </row>
    <row r="142">
      <c r="A142" s="26" t="n"/>
      <c r="B142" s="26" t="n"/>
      <c r="C142" s="26" t="n"/>
      <c r="D142" s="26" t="n"/>
      <c r="E142" s="26" t="n"/>
      <c r="F142" s="26" t="n"/>
      <c r="G142" s="34" t="n"/>
      <c r="H142" s="28" t="n"/>
      <c r="I142" s="26" t="n"/>
      <c r="J142" s="26" t="n"/>
      <c r="K142" s="35">
        <f>IF(B142="","",SUMIFS('Holdings'!$C$4:$C$2503,'Holdings'!$B$4:$B$2503,B142,'Holdings'!$L$4:$L$2503,"Yes"))</f>
        <v/>
      </c>
      <c r="L142" s="36">
        <f>IF(OR(B142="",G142=""),"",G142-K142)</f>
        <v/>
      </c>
      <c r="M142" s="30">
        <f>IF(B142="","",IF(COUNTIF($B$4:$B$203,B142)&gt;1,"Duplicate class code",IF(COUNTIF('Companies'!$A$4:$A$63,A142)=0,"Unknown company",IF(OR(C142="",D142="",E142="",F142=""),"Missing required field",IF(AND(G142&lt;&gt;"",H142=""),"Add the official as-at date",IF(AND(L142&lt;&gt;"",L142&lt;&gt;0),"Doesn’t add up to official","OK"))))))</f>
        <v/>
      </c>
    </row>
    <row r="143">
      <c r="A143" s="26" t="n"/>
      <c r="B143" s="26" t="n"/>
      <c r="C143" s="26" t="n"/>
      <c r="D143" s="26" t="n"/>
      <c r="E143" s="26" t="n"/>
      <c r="F143" s="26" t="n"/>
      <c r="G143" s="34" t="n"/>
      <c r="H143" s="28" t="n"/>
      <c r="I143" s="26" t="n"/>
      <c r="J143" s="26" t="n"/>
      <c r="K143" s="35">
        <f>IF(B143="","",SUMIFS('Holdings'!$C$4:$C$2503,'Holdings'!$B$4:$B$2503,B143,'Holdings'!$L$4:$L$2503,"Yes"))</f>
        <v/>
      </c>
      <c r="L143" s="36">
        <f>IF(OR(B143="",G143=""),"",G143-K143)</f>
        <v/>
      </c>
      <c r="M143" s="30">
        <f>IF(B143="","",IF(COUNTIF($B$4:$B$203,B143)&gt;1,"Duplicate class code",IF(COUNTIF('Companies'!$A$4:$A$63,A143)=0,"Unknown company",IF(OR(C143="",D143="",E143="",F143=""),"Missing required field",IF(AND(G143&lt;&gt;"",H143=""),"Add the official as-at date",IF(AND(L143&lt;&gt;"",L143&lt;&gt;0),"Doesn’t add up to official","OK"))))))</f>
        <v/>
      </c>
    </row>
    <row r="144">
      <c r="A144" s="26" t="n"/>
      <c r="B144" s="26" t="n"/>
      <c r="C144" s="26" t="n"/>
      <c r="D144" s="26" t="n"/>
      <c r="E144" s="26" t="n"/>
      <c r="F144" s="26" t="n"/>
      <c r="G144" s="34" t="n"/>
      <c r="H144" s="28" t="n"/>
      <c r="I144" s="26" t="n"/>
      <c r="J144" s="26" t="n"/>
      <c r="K144" s="35">
        <f>IF(B144="","",SUMIFS('Holdings'!$C$4:$C$2503,'Holdings'!$B$4:$B$2503,B144,'Holdings'!$L$4:$L$2503,"Yes"))</f>
        <v/>
      </c>
      <c r="L144" s="36">
        <f>IF(OR(B144="",G144=""),"",G144-K144)</f>
        <v/>
      </c>
      <c r="M144" s="30">
        <f>IF(B144="","",IF(COUNTIF($B$4:$B$203,B144)&gt;1,"Duplicate class code",IF(COUNTIF('Companies'!$A$4:$A$63,A144)=0,"Unknown company",IF(OR(C144="",D144="",E144="",F144=""),"Missing required field",IF(AND(G144&lt;&gt;"",H144=""),"Add the official as-at date",IF(AND(L144&lt;&gt;"",L144&lt;&gt;0),"Doesn’t add up to official","OK"))))))</f>
        <v/>
      </c>
    </row>
    <row r="145">
      <c r="A145" s="26" t="n"/>
      <c r="B145" s="26" t="n"/>
      <c r="C145" s="26" t="n"/>
      <c r="D145" s="26" t="n"/>
      <c r="E145" s="26" t="n"/>
      <c r="F145" s="26" t="n"/>
      <c r="G145" s="34" t="n"/>
      <c r="H145" s="28" t="n"/>
      <c r="I145" s="26" t="n"/>
      <c r="J145" s="26" t="n"/>
      <c r="K145" s="35">
        <f>IF(B145="","",SUMIFS('Holdings'!$C$4:$C$2503,'Holdings'!$B$4:$B$2503,B145,'Holdings'!$L$4:$L$2503,"Yes"))</f>
        <v/>
      </c>
      <c r="L145" s="36">
        <f>IF(OR(B145="",G145=""),"",G145-K145)</f>
        <v/>
      </c>
      <c r="M145" s="30">
        <f>IF(B145="","",IF(COUNTIF($B$4:$B$203,B145)&gt;1,"Duplicate class code",IF(COUNTIF('Companies'!$A$4:$A$63,A145)=0,"Unknown company",IF(OR(C145="",D145="",E145="",F145=""),"Missing required field",IF(AND(G145&lt;&gt;"",H145=""),"Add the official as-at date",IF(AND(L145&lt;&gt;"",L145&lt;&gt;0),"Doesn’t add up to official","OK"))))))</f>
        <v/>
      </c>
    </row>
    <row r="146">
      <c r="A146" s="26" t="n"/>
      <c r="B146" s="26" t="n"/>
      <c r="C146" s="26" t="n"/>
      <c r="D146" s="26" t="n"/>
      <c r="E146" s="26" t="n"/>
      <c r="F146" s="26" t="n"/>
      <c r="G146" s="34" t="n"/>
      <c r="H146" s="28" t="n"/>
      <c r="I146" s="26" t="n"/>
      <c r="J146" s="26" t="n"/>
      <c r="K146" s="35">
        <f>IF(B146="","",SUMIFS('Holdings'!$C$4:$C$2503,'Holdings'!$B$4:$B$2503,B146,'Holdings'!$L$4:$L$2503,"Yes"))</f>
        <v/>
      </c>
      <c r="L146" s="36">
        <f>IF(OR(B146="",G146=""),"",G146-K146)</f>
        <v/>
      </c>
      <c r="M146" s="30">
        <f>IF(B146="","",IF(COUNTIF($B$4:$B$203,B146)&gt;1,"Duplicate class code",IF(COUNTIF('Companies'!$A$4:$A$63,A146)=0,"Unknown company",IF(OR(C146="",D146="",E146="",F146=""),"Missing required field",IF(AND(G146&lt;&gt;"",H146=""),"Add the official as-at date",IF(AND(L146&lt;&gt;"",L146&lt;&gt;0),"Doesn’t add up to official","OK"))))))</f>
        <v/>
      </c>
    </row>
    <row r="147">
      <c r="A147" s="26" t="n"/>
      <c r="B147" s="26" t="n"/>
      <c r="C147" s="26" t="n"/>
      <c r="D147" s="26" t="n"/>
      <c r="E147" s="26" t="n"/>
      <c r="F147" s="26" t="n"/>
      <c r="G147" s="34" t="n"/>
      <c r="H147" s="28" t="n"/>
      <c r="I147" s="26" t="n"/>
      <c r="J147" s="26" t="n"/>
      <c r="K147" s="35">
        <f>IF(B147="","",SUMIFS('Holdings'!$C$4:$C$2503,'Holdings'!$B$4:$B$2503,B147,'Holdings'!$L$4:$L$2503,"Yes"))</f>
        <v/>
      </c>
      <c r="L147" s="36">
        <f>IF(OR(B147="",G147=""),"",G147-K147)</f>
        <v/>
      </c>
      <c r="M147" s="30">
        <f>IF(B147="","",IF(COUNTIF($B$4:$B$203,B147)&gt;1,"Duplicate class code",IF(COUNTIF('Companies'!$A$4:$A$63,A147)=0,"Unknown company",IF(OR(C147="",D147="",E147="",F147=""),"Missing required field",IF(AND(G147&lt;&gt;"",H147=""),"Add the official as-at date",IF(AND(L147&lt;&gt;"",L147&lt;&gt;0),"Doesn’t add up to official","OK"))))))</f>
        <v/>
      </c>
    </row>
    <row r="148">
      <c r="A148" s="26" t="n"/>
      <c r="B148" s="26" t="n"/>
      <c r="C148" s="26" t="n"/>
      <c r="D148" s="26" t="n"/>
      <c r="E148" s="26" t="n"/>
      <c r="F148" s="26" t="n"/>
      <c r="G148" s="34" t="n"/>
      <c r="H148" s="28" t="n"/>
      <c r="I148" s="26" t="n"/>
      <c r="J148" s="26" t="n"/>
      <c r="K148" s="35">
        <f>IF(B148="","",SUMIFS('Holdings'!$C$4:$C$2503,'Holdings'!$B$4:$B$2503,B148,'Holdings'!$L$4:$L$2503,"Yes"))</f>
        <v/>
      </c>
      <c r="L148" s="36">
        <f>IF(OR(B148="",G148=""),"",G148-K148)</f>
        <v/>
      </c>
      <c r="M148" s="30">
        <f>IF(B148="","",IF(COUNTIF($B$4:$B$203,B148)&gt;1,"Duplicate class code",IF(COUNTIF('Companies'!$A$4:$A$63,A148)=0,"Unknown company",IF(OR(C148="",D148="",E148="",F148=""),"Missing required field",IF(AND(G148&lt;&gt;"",H148=""),"Add the official as-at date",IF(AND(L148&lt;&gt;"",L148&lt;&gt;0),"Doesn’t add up to official","OK"))))))</f>
        <v/>
      </c>
    </row>
    <row r="149">
      <c r="A149" s="26" t="n"/>
      <c r="B149" s="26" t="n"/>
      <c r="C149" s="26" t="n"/>
      <c r="D149" s="26" t="n"/>
      <c r="E149" s="26" t="n"/>
      <c r="F149" s="26" t="n"/>
      <c r="G149" s="34" t="n"/>
      <c r="H149" s="28" t="n"/>
      <c r="I149" s="26" t="n"/>
      <c r="J149" s="26" t="n"/>
      <c r="K149" s="35">
        <f>IF(B149="","",SUMIFS('Holdings'!$C$4:$C$2503,'Holdings'!$B$4:$B$2503,B149,'Holdings'!$L$4:$L$2503,"Yes"))</f>
        <v/>
      </c>
      <c r="L149" s="36">
        <f>IF(OR(B149="",G149=""),"",G149-K149)</f>
        <v/>
      </c>
      <c r="M149" s="30">
        <f>IF(B149="","",IF(COUNTIF($B$4:$B$203,B149)&gt;1,"Duplicate class code",IF(COUNTIF('Companies'!$A$4:$A$63,A149)=0,"Unknown company",IF(OR(C149="",D149="",E149="",F149=""),"Missing required field",IF(AND(G149&lt;&gt;"",H149=""),"Add the official as-at date",IF(AND(L149&lt;&gt;"",L149&lt;&gt;0),"Doesn’t add up to official","OK"))))))</f>
        <v/>
      </c>
    </row>
    <row r="150">
      <c r="A150" s="26" t="n"/>
      <c r="B150" s="26" t="n"/>
      <c r="C150" s="26" t="n"/>
      <c r="D150" s="26" t="n"/>
      <c r="E150" s="26" t="n"/>
      <c r="F150" s="26" t="n"/>
      <c r="G150" s="34" t="n"/>
      <c r="H150" s="28" t="n"/>
      <c r="I150" s="26" t="n"/>
      <c r="J150" s="26" t="n"/>
      <c r="K150" s="35">
        <f>IF(B150="","",SUMIFS('Holdings'!$C$4:$C$2503,'Holdings'!$B$4:$B$2503,B150,'Holdings'!$L$4:$L$2503,"Yes"))</f>
        <v/>
      </c>
      <c r="L150" s="36">
        <f>IF(OR(B150="",G150=""),"",G150-K150)</f>
        <v/>
      </c>
      <c r="M150" s="30">
        <f>IF(B150="","",IF(COUNTIF($B$4:$B$203,B150)&gt;1,"Duplicate class code",IF(COUNTIF('Companies'!$A$4:$A$63,A150)=0,"Unknown company",IF(OR(C150="",D150="",E150="",F150=""),"Missing required field",IF(AND(G150&lt;&gt;"",H150=""),"Add the official as-at date",IF(AND(L150&lt;&gt;"",L150&lt;&gt;0),"Doesn’t add up to official","OK"))))))</f>
        <v/>
      </c>
    </row>
    <row r="151">
      <c r="A151" s="26" t="n"/>
      <c r="B151" s="26" t="n"/>
      <c r="C151" s="26" t="n"/>
      <c r="D151" s="26" t="n"/>
      <c r="E151" s="26" t="n"/>
      <c r="F151" s="26" t="n"/>
      <c r="G151" s="34" t="n"/>
      <c r="H151" s="28" t="n"/>
      <c r="I151" s="26" t="n"/>
      <c r="J151" s="26" t="n"/>
      <c r="K151" s="35">
        <f>IF(B151="","",SUMIFS('Holdings'!$C$4:$C$2503,'Holdings'!$B$4:$B$2503,B151,'Holdings'!$L$4:$L$2503,"Yes"))</f>
        <v/>
      </c>
      <c r="L151" s="36">
        <f>IF(OR(B151="",G151=""),"",G151-K151)</f>
        <v/>
      </c>
      <c r="M151" s="30">
        <f>IF(B151="","",IF(COUNTIF($B$4:$B$203,B151)&gt;1,"Duplicate class code",IF(COUNTIF('Companies'!$A$4:$A$63,A151)=0,"Unknown company",IF(OR(C151="",D151="",E151="",F151=""),"Missing required field",IF(AND(G151&lt;&gt;"",H151=""),"Add the official as-at date",IF(AND(L151&lt;&gt;"",L151&lt;&gt;0),"Doesn’t add up to official","OK"))))))</f>
        <v/>
      </c>
    </row>
    <row r="152">
      <c r="A152" s="26" t="n"/>
      <c r="B152" s="26" t="n"/>
      <c r="C152" s="26" t="n"/>
      <c r="D152" s="26" t="n"/>
      <c r="E152" s="26" t="n"/>
      <c r="F152" s="26" t="n"/>
      <c r="G152" s="34" t="n"/>
      <c r="H152" s="28" t="n"/>
      <c r="I152" s="26" t="n"/>
      <c r="J152" s="26" t="n"/>
      <c r="K152" s="35">
        <f>IF(B152="","",SUMIFS('Holdings'!$C$4:$C$2503,'Holdings'!$B$4:$B$2503,B152,'Holdings'!$L$4:$L$2503,"Yes"))</f>
        <v/>
      </c>
      <c r="L152" s="36">
        <f>IF(OR(B152="",G152=""),"",G152-K152)</f>
        <v/>
      </c>
      <c r="M152" s="30">
        <f>IF(B152="","",IF(COUNTIF($B$4:$B$203,B152)&gt;1,"Duplicate class code",IF(COUNTIF('Companies'!$A$4:$A$63,A152)=0,"Unknown company",IF(OR(C152="",D152="",E152="",F152=""),"Missing required field",IF(AND(G152&lt;&gt;"",H152=""),"Add the official as-at date",IF(AND(L152&lt;&gt;"",L152&lt;&gt;0),"Doesn’t add up to official","OK"))))))</f>
        <v/>
      </c>
    </row>
    <row r="153">
      <c r="A153" s="26" t="n"/>
      <c r="B153" s="26" t="n"/>
      <c r="C153" s="26" t="n"/>
      <c r="D153" s="26" t="n"/>
      <c r="E153" s="26" t="n"/>
      <c r="F153" s="26" t="n"/>
      <c r="G153" s="34" t="n"/>
      <c r="H153" s="28" t="n"/>
      <c r="I153" s="26" t="n"/>
      <c r="J153" s="26" t="n"/>
      <c r="K153" s="35">
        <f>IF(B153="","",SUMIFS('Holdings'!$C$4:$C$2503,'Holdings'!$B$4:$B$2503,B153,'Holdings'!$L$4:$L$2503,"Yes"))</f>
        <v/>
      </c>
      <c r="L153" s="36">
        <f>IF(OR(B153="",G153=""),"",G153-K153)</f>
        <v/>
      </c>
      <c r="M153" s="30">
        <f>IF(B153="","",IF(COUNTIF($B$4:$B$203,B153)&gt;1,"Duplicate class code",IF(COUNTIF('Companies'!$A$4:$A$63,A153)=0,"Unknown company",IF(OR(C153="",D153="",E153="",F153=""),"Missing required field",IF(AND(G153&lt;&gt;"",H153=""),"Add the official as-at date",IF(AND(L153&lt;&gt;"",L153&lt;&gt;0),"Doesn’t add up to official","OK"))))))</f>
        <v/>
      </c>
    </row>
    <row r="154">
      <c r="A154" s="26" t="n"/>
      <c r="B154" s="26" t="n"/>
      <c r="C154" s="26" t="n"/>
      <c r="D154" s="26" t="n"/>
      <c r="E154" s="26" t="n"/>
      <c r="F154" s="26" t="n"/>
      <c r="G154" s="34" t="n"/>
      <c r="H154" s="28" t="n"/>
      <c r="I154" s="26" t="n"/>
      <c r="J154" s="26" t="n"/>
      <c r="K154" s="35">
        <f>IF(B154="","",SUMIFS('Holdings'!$C$4:$C$2503,'Holdings'!$B$4:$B$2503,B154,'Holdings'!$L$4:$L$2503,"Yes"))</f>
        <v/>
      </c>
      <c r="L154" s="36">
        <f>IF(OR(B154="",G154=""),"",G154-K154)</f>
        <v/>
      </c>
      <c r="M154" s="30">
        <f>IF(B154="","",IF(COUNTIF($B$4:$B$203,B154)&gt;1,"Duplicate class code",IF(COUNTIF('Companies'!$A$4:$A$63,A154)=0,"Unknown company",IF(OR(C154="",D154="",E154="",F154=""),"Missing required field",IF(AND(G154&lt;&gt;"",H154=""),"Add the official as-at date",IF(AND(L154&lt;&gt;"",L154&lt;&gt;0),"Doesn’t add up to official","OK"))))))</f>
        <v/>
      </c>
    </row>
    <row r="155">
      <c r="A155" s="26" t="n"/>
      <c r="B155" s="26" t="n"/>
      <c r="C155" s="26" t="n"/>
      <c r="D155" s="26" t="n"/>
      <c r="E155" s="26" t="n"/>
      <c r="F155" s="26" t="n"/>
      <c r="G155" s="34" t="n"/>
      <c r="H155" s="28" t="n"/>
      <c r="I155" s="26" t="n"/>
      <c r="J155" s="26" t="n"/>
      <c r="K155" s="35">
        <f>IF(B155="","",SUMIFS('Holdings'!$C$4:$C$2503,'Holdings'!$B$4:$B$2503,B155,'Holdings'!$L$4:$L$2503,"Yes"))</f>
        <v/>
      </c>
      <c r="L155" s="36">
        <f>IF(OR(B155="",G155=""),"",G155-K155)</f>
        <v/>
      </c>
      <c r="M155" s="30">
        <f>IF(B155="","",IF(COUNTIF($B$4:$B$203,B155)&gt;1,"Duplicate class code",IF(COUNTIF('Companies'!$A$4:$A$63,A155)=0,"Unknown company",IF(OR(C155="",D155="",E155="",F155=""),"Missing required field",IF(AND(G155&lt;&gt;"",H155=""),"Add the official as-at date",IF(AND(L155&lt;&gt;"",L155&lt;&gt;0),"Doesn’t add up to official","OK"))))))</f>
        <v/>
      </c>
    </row>
    <row r="156">
      <c r="A156" s="26" t="n"/>
      <c r="B156" s="26" t="n"/>
      <c r="C156" s="26" t="n"/>
      <c r="D156" s="26" t="n"/>
      <c r="E156" s="26" t="n"/>
      <c r="F156" s="26" t="n"/>
      <c r="G156" s="34" t="n"/>
      <c r="H156" s="28" t="n"/>
      <c r="I156" s="26" t="n"/>
      <c r="J156" s="26" t="n"/>
      <c r="K156" s="35">
        <f>IF(B156="","",SUMIFS('Holdings'!$C$4:$C$2503,'Holdings'!$B$4:$B$2503,B156,'Holdings'!$L$4:$L$2503,"Yes"))</f>
        <v/>
      </c>
      <c r="L156" s="36">
        <f>IF(OR(B156="",G156=""),"",G156-K156)</f>
        <v/>
      </c>
      <c r="M156" s="30">
        <f>IF(B156="","",IF(COUNTIF($B$4:$B$203,B156)&gt;1,"Duplicate class code",IF(COUNTIF('Companies'!$A$4:$A$63,A156)=0,"Unknown company",IF(OR(C156="",D156="",E156="",F156=""),"Missing required field",IF(AND(G156&lt;&gt;"",H156=""),"Add the official as-at date",IF(AND(L156&lt;&gt;"",L156&lt;&gt;0),"Doesn’t add up to official","OK"))))))</f>
        <v/>
      </c>
    </row>
    <row r="157">
      <c r="A157" s="26" t="n"/>
      <c r="B157" s="26" t="n"/>
      <c r="C157" s="26" t="n"/>
      <c r="D157" s="26" t="n"/>
      <c r="E157" s="26" t="n"/>
      <c r="F157" s="26" t="n"/>
      <c r="G157" s="34" t="n"/>
      <c r="H157" s="28" t="n"/>
      <c r="I157" s="26" t="n"/>
      <c r="J157" s="26" t="n"/>
      <c r="K157" s="35">
        <f>IF(B157="","",SUMIFS('Holdings'!$C$4:$C$2503,'Holdings'!$B$4:$B$2503,B157,'Holdings'!$L$4:$L$2503,"Yes"))</f>
        <v/>
      </c>
      <c r="L157" s="36">
        <f>IF(OR(B157="",G157=""),"",G157-K157)</f>
        <v/>
      </c>
      <c r="M157" s="30">
        <f>IF(B157="","",IF(COUNTIF($B$4:$B$203,B157)&gt;1,"Duplicate class code",IF(COUNTIF('Companies'!$A$4:$A$63,A157)=0,"Unknown company",IF(OR(C157="",D157="",E157="",F157=""),"Missing required field",IF(AND(G157&lt;&gt;"",H157=""),"Add the official as-at date",IF(AND(L157&lt;&gt;"",L157&lt;&gt;0),"Doesn’t add up to official","OK"))))))</f>
        <v/>
      </c>
    </row>
    <row r="158">
      <c r="A158" s="26" t="n"/>
      <c r="B158" s="26" t="n"/>
      <c r="C158" s="26" t="n"/>
      <c r="D158" s="26" t="n"/>
      <c r="E158" s="26" t="n"/>
      <c r="F158" s="26" t="n"/>
      <c r="G158" s="34" t="n"/>
      <c r="H158" s="28" t="n"/>
      <c r="I158" s="26" t="n"/>
      <c r="J158" s="26" t="n"/>
      <c r="K158" s="35">
        <f>IF(B158="","",SUMIFS('Holdings'!$C$4:$C$2503,'Holdings'!$B$4:$B$2503,B158,'Holdings'!$L$4:$L$2503,"Yes"))</f>
        <v/>
      </c>
      <c r="L158" s="36">
        <f>IF(OR(B158="",G158=""),"",G158-K158)</f>
        <v/>
      </c>
      <c r="M158" s="30">
        <f>IF(B158="","",IF(COUNTIF($B$4:$B$203,B158)&gt;1,"Duplicate class code",IF(COUNTIF('Companies'!$A$4:$A$63,A158)=0,"Unknown company",IF(OR(C158="",D158="",E158="",F158=""),"Missing required field",IF(AND(G158&lt;&gt;"",H158=""),"Add the official as-at date",IF(AND(L158&lt;&gt;"",L158&lt;&gt;0),"Doesn’t add up to official","OK"))))))</f>
        <v/>
      </c>
    </row>
    <row r="159">
      <c r="A159" s="26" t="n"/>
      <c r="B159" s="26" t="n"/>
      <c r="C159" s="26" t="n"/>
      <c r="D159" s="26" t="n"/>
      <c r="E159" s="26" t="n"/>
      <c r="F159" s="26" t="n"/>
      <c r="G159" s="34" t="n"/>
      <c r="H159" s="28" t="n"/>
      <c r="I159" s="26" t="n"/>
      <c r="J159" s="26" t="n"/>
      <c r="K159" s="35">
        <f>IF(B159="","",SUMIFS('Holdings'!$C$4:$C$2503,'Holdings'!$B$4:$B$2503,B159,'Holdings'!$L$4:$L$2503,"Yes"))</f>
        <v/>
      </c>
      <c r="L159" s="36">
        <f>IF(OR(B159="",G159=""),"",G159-K159)</f>
        <v/>
      </c>
      <c r="M159" s="30">
        <f>IF(B159="","",IF(COUNTIF($B$4:$B$203,B159)&gt;1,"Duplicate class code",IF(COUNTIF('Companies'!$A$4:$A$63,A159)=0,"Unknown company",IF(OR(C159="",D159="",E159="",F159=""),"Missing required field",IF(AND(G159&lt;&gt;"",H159=""),"Add the official as-at date",IF(AND(L159&lt;&gt;"",L159&lt;&gt;0),"Doesn’t add up to official","OK"))))))</f>
        <v/>
      </c>
    </row>
    <row r="160">
      <c r="A160" s="26" t="n"/>
      <c r="B160" s="26" t="n"/>
      <c r="C160" s="26" t="n"/>
      <c r="D160" s="26" t="n"/>
      <c r="E160" s="26" t="n"/>
      <c r="F160" s="26" t="n"/>
      <c r="G160" s="34" t="n"/>
      <c r="H160" s="28" t="n"/>
      <c r="I160" s="26" t="n"/>
      <c r="J160" s="26" t="n"/>
      <c r="K160" s="35">
        <f>IF(B160="","",SUMIFS('Holdings'!$C$4:$C$2503,'Holdings'!$B$4:$B$2503,B160,'Holdings'!$L$4:$L$2503,"Yes"))</f>
        <v/>
      </c>
      <c r="L160" s="36">
        <f>IF(OR(B160="",G160=""),"",G160-K160)</f>
        <v/>
      </c>
      <c r="M160" s="30">
        <f>IF(B160="","",IF(COUNTIF($B$4:$B$203,B160)&gt;1,"Duplicate class code",IF(COUNTIF('Companies'!$A$4:$A$63,A160)=0,"Unknown company",IF(OR(C160="",D160="",E160="",F160=""),"Missing required field",IF(AND(G160&lt;&gt;"",H160=""),"Add the official as-at date",IF(AND(L160&lt;&gt;"",L160&lt;&gt;0),"Doesn’t add up to official","OK"))))))</f>
        <v/>
      </c>
    </row>
    <row r="161">
      <c r="A161" s="26" t="n"/>
      <c r="B161" s="26" t="n"/>
      <c r="C161" s="26" t="n"/>
      <c r="D161" s="26" t="n"/>
      <c r="E161" s="26" t="n"/>
      <c r="F161" s="26" t="n"/>
      <c r="G161" s="34" t="n"/>
      <c r="H161" s="28" t="n"/>
      <c r="I161" s="26" t="n"/>
      <c r="J161" s="26" t="n"/>
      <c r="K161" s="35">
        <f>IF(B161="","",SUMIFS('Holdings'!$C$4:$C$2503,'Holdings'!$B$4:$B$2503,B161,'Holdings'!$L$4:$L$2503,"Yes"))</f>
        <v/>
      </c>
      <c r="L161" s="36">
        <f>IF(OR(B161="",G161=""),"",G161-K161)</f>
        <v/>
      </c>
      <c r="M161" s="30">
        <f>IF(B161="","",IF(COUNTIF($B$4:$B$203,B161)&gt;1,"Duplicate class code",IF(COUNTIF('Companies'!$A$4:$A$63,A161)=0,"Unknown company",IF(OR(C161="",D161="",E161="",F161=""),"Missing required field",IF(AND(G161&lt;&gt;"",H161=""),"Add the official as-at date",IF(AND(L161&lt;&gt;"",L161&lt;&gt;0),"Doesn’t add up to official","OK"))))))</f>
        <v/>
      </c>
    </row>
    <row r="162">
      <c r="A162" s="26" t="n"/>
      <c r="B162" s="26" t="n"/>
      <c r="C162" s="26" t="n"/>
      <c r="D162" s="26" t="n"/>
      <c r="E162" s="26" t="n"/>
      <c r="F162" s="26" t="n"/>
      <c r="G162" s="34" t="n"/>
      <c r="H162" s="28" t="n"/>
      <c r="I162" s="26" t="n"/>
      <c r="J162" s="26" t="n"/>
      <c r="K162" s="35">
        <f>IF(B162="","",SUMIFS('Holdings'!$C$4:$C$2503,'Holdings'!$B$4:$B$2503,B162,'Holdings'!$L$4:$L$2503,"Yes"))</f>
        <v/>
      </c>
      <c r="L162" s="36">
        <f>IF(OR(B162="",G162=""),"",G162-K162)</f>
        <v/>
      </c>
      <c r="M162" s="30">
        <f>IF(B162="","",IF(COUNTIF($B$4:$B$203,B162)&gt;1,"Duplicate class code",IF(COUNTIF('Companies'!$A$4:$A$63,A162)=0,"Unknown company",IF(OR(C162="",D162="",E162="",F162=""),"Missing required field",IF(AND(G162&lt;&gt;"",H162=""),"Add the official as-at date",IF(AND(L162&lt;&gt;"",L162&lt;&gt;0),"Doesn’t add up to official","OK"))))))</f>
        <v/>
      </c>
    </row>
    <row r="163">
      <c r="A163" s="26" t="n"/>
      <c r="B163" s="26" t="n"/>
      <c r="C163" s="26" t="n"/>
      <c r="D163" s="26" t="n"/>
      <c r="E163" s="26" t="n"/>
      <c r="F163" s="26" t="n"/>
      <c r="G163" s="34" t="n"/>
      <c r="H163" s="28" t="n"/>
      <c r="I163" s="26" t="n"/>
      <c r="J163" s="26" t="n"/>
      <c r="K163" s="35">
        <f>IF(B163="","",SUMIFS('Holdings'!$C$4:$C$2503,'Holdings'!$B$4:$B$2503,B163,'Holdings'!$L$4:$L$2503,"Yes"))</f>
        <v/>
      </c>
      <c r="L163" s="36">
        <f>IF(OR(B163="",G163=""),"",G163-K163)</f>
        <v/>
      </c>
      <c r="M163" s="30">
        <f>IF(B163="","",IF(COUNTIF($B$4:$B$203,B163)&gt;1,"Duplicate class code",IF(COUNTIF('Companies'!$A$4:$A$63,A163)=0,"Unknown company",IF(OR(C163="",D163="",E163="",F163=""),"Missing required field",IF(AND(G163&lt;&gt;"",H163=""),"Add the official as-at date",IF(AND(L163&lt;&gt;"",L163&lt;&gt;0),"Doesn’t add up to official","OK"))))))</f>
        <v/>
      </c>
    </row>
    <row r="164">
      <c r="A164" s="26" t="n"/>
      <c r="B164" s="26" t="n"/>
      <c r="C164" s="26" t="n"/>
      <c r="D164" s="26" t="n"/>
      <c r="E164" s="26" t="n"/>
      <c r="F164" s="26" t="n"/>
      <c r="G164" s="34" t="n"/>
      <c r="H164" s="28" t="n"/>
      <c r="I164" s="26" t="n"/>
      <c r="J164" s="26" t="n"/>
      <c r="K164" s="35">
        <f>IF(B164="","",SUMIFS('Holdings'!$C$4:$C$2503,'Holdings'!$B$4:$B$2503,B164,'Holdings'!$L$4:$L$2503,"Yes"))</f>
        <v/>
      </c>
      <c r="L164" s="36">
        <f>IF(OR(B164="",G164=""),"",G164-K164)</f>
        <v/>
      </c>
      <c r="M164" s="30">
        <f>IF(B164="","",IF(COUNTIF($B$4:$B$203,B164)&gt;1,"Duplicate class code",IF(COUNTIF('Companies'!$A$4:$A$63,A164)=0,"Unknown company",IF(OR(C164="",D164="",E164="",F164=""),"Missing required field",IF(AND(G164&lt;&gt;"",H164=""),"Add the official as-at date",IF(AND(L164&lt;&gt;"",L164&lt;&gt;0),"Doesn’t add up to official","OK"))))))</f>
        <v/>
      </c>
    </row>
    <row r="165">
      <c r="A165" s="26" t="n"/>
      <c r="B165" s="26" t="n"/>
      <c r="C165" s="26" t="n"/>
      <c r="D165" s="26" t="n"/>
      <c r="E165" s="26" t="n"/>
      <c r="F165" s="26" t="n"/>
      <c r="G165" s="34" t="n"/>
      <c r="H165" s="28" t="n"/>
      <c r="I165" s="26" t="n"/>
      <c r="J165" s="26" t="n"/>
      <c r="K165" s="35">
        <f>IF(B165="","",SUMIFS('Holdings'!$C$4:$C$2503,'Holdings'!$B$4:$B$2503,B165,'Holdings'!$L$4:$L$2503,"Yes"))</f>
        <v/>
      </c>
      <c r="L165" s="36">
        <f>IF(OR(B165="",G165=""),"",G165-K165)</f>
        <v/>
      </c>
      <c r="M165" s="30">
        <f>IF(B165="","",IF(COUNTIF($B$4:$B$203,B165)&gt;1,"Duplicate class code",IF(COUNTIF('Companies'!$A$4:$A$63,A165)=0,"Unknown company",IF(OR(C165="",D165="",E165="",F165=""),"Missing required field",IF(AND(G165&lt;&gt;"",H165=""),"Add the official as-at date",IF(AND(L165&lt;&gt;"",L165&lt;&gt;0),"Doesn’t add up to official","OK"))))))</f>
        <v/>
      </c>
    </row>
    <row r="166">
      <c r="A166" s="26" t="n"/>
      <c r="B166" s="26" t="n"/>
      <c r="C166" s="26" t="n"/>
      <c r="D166" s="26" t="n"/>
      <c r="E166" s="26" t="n"/>
      <c r="F166" s="26" t="n"/>
      <c r="G166" s="34" t="n"/>
      <c r="H166" s="28" t="n"/>
      <c r="I166" s="26" t="n"/>
      <c r="J166" s="26" t="n"/>
      <c r="K166" s="35">
        <f>IF(B166="","",SUMIFS('Holdings'!$C$4:$C$2503,'Holdings'!$B$4:$B$2503,B166,'Holdings'!$L$4:$L$2503,"Yes"))</f>
        <v/>
      </c>
      <c r="L166" s="36">
        <f>IF(OR(B166="",G166=""),"",G166-K166)</f>
        <v/>
      </c>
      <c r="M166" s="30">
        <f>IF(B166="","",IF(COUNTIF($B$4:$B$203,B166)&gt;1,"Duplicate class code",IF(COUNTIF('Companies'!$A$4:$A$63,A166)=0,"Unknown company",IF(OR(C166="",D166="",E166="",F166=""),"Missing required field",IF(AND(G166&lt;&gt;"",H166=""),"Add the official as-at date",IF(AND(L166&lt;&gt;"",L166&lt;&gt;0),"Doesn’t add up to official","OK"))))))</f>
        <v/>
      </c>
    </row>
    <row r="167">
      <c r="A167" s="26" t="n"/>
      <c r="B167" s="26" t="n"/>
      <c r="C167" s="26" t="n"/>
      <c r="D167" s="26" t="n"/>
      <c r="E167" s="26" t="n"/>
      <c r="F167" s="26" t="n"/>
      <c r="G167" s="34" t="n"/>
      <c r="H167" s="28" t="n"/>
      <c r="I167" s="26" t="n"/>
      <c r="J167" s="26" t="n"/>
      <c r="K167" s="35">
        <f>IF(B167="","",SUMIFS('Holdings'!$C$4:$C$2503,'Holdings'!$B$4:$B$2503,B167,'Holdings'!$L$4:$L$2503,"Yes"))</f>
        <v/>
      </c>
      <c r="L167" s="36">
        <f>IF(OR(B167="",G167=""),"",G167-K167)</f>
        <v/>
      </c>
      <c r="M167" s="30">
        <f>IF(B167="","",IF(COUNTIF($B$4:$B$203,B167)&gt;1,"Duplicate class code",IF(COUNTIF('Companies'!$A$4:$A$63,A167)=0,"Unknown company",IF(OR(C167="",D167="",E167="",F167=""),"Missing required field",IF(AND(G167&lt;&gt;"",H167=""),"Add the official as-at date",IF(AND(L167&lt;&gt;"",L167&lt;&gt;0),"Doesn’t add up to official","OK"))))))</f>
        <v/>
      </c>
    </row>
    <row r="168">
      <c r="A168" s="26" t="n"/>
      <c r="B168" s="26" t="n"/>
      <c r="C168" s="26" t="n"/>
      <c r="D168" s="26" t="n"/>
      <c r="E168" s="26" t="n"/>
      <c r="F168" s="26" t="n"/>
      <c r="G168" s="34" t="n"/>
      <c r="H168" s="28" t="n"/>
      <c r="I168" s="26" t="n"/>
      <c r="J168" s="26" t="n"/>
      <c r="K168" s="35">
        <f>IF(B168="","",SUMIFS('Holdings'!$C$4:$C$2503,'Holdings'!$B$4:$B$2503,B168,'Holdings'!$L$4:$L$2503,"Yes"))</f>
        <v/>
      </c>
      <c r="L168" s="36">
        <f>IF(OR(B168="",G168=""),"",G168-K168)</f>
        <v/>
      </c>
      <c r="M168" s="30">
        <f>IF(B168="","",IF(COUNTIF($B$4:$B$203,B168)&gt;1,"Duplicate class code",IF(COUNTIF('Companies'!$A$4:$A$63,A168)=0,"Unknown company",IF(OR(C168="",D168="",E168="",F168=""),"Missing required field",IF(AND(G168&lt;&gt;"",H168=""),"Add the official as-at date",IF(AND(L168&lt;&gt;"",L168&lt;&gt;0),"Doesn’t add up to official","OK"))))))</f>
        <v/>
      </c>
    </row>
    <row r="169">
      <c r="A169" s="26" t="n"/>
      <c r="B169" s="26" t="n"/>
      <c r="C169" s="26" t="n"/>
      <c r="D169" s="26" t="n"/>
      <c r="E169" s="26" t="n"/>
      <c r="F169" s="26" t="n"/>
      <c r="G169" s="34" t="n"/>
      <c r="H169" s="28" t="n"/>
      <c r="I169" s="26" t="n"/>
      <c r="J169" s="26" t="n"/>
      <c r="K169" s="35">
        <f>IF(B169="","",SUMIFS('Holdings'!$C$4:$C$2503,'Holdings'!$B$4:$B$2503,B169,'Holdings'!$L$4:$L$2503,"Yes"))</f>
        <v/>
      </c>
      <c r="L169" s="36">
        <f>IF(OR(B169="",G169=""),"",G169-K169)</f>
        <v/>
      </c>
      <c r="M169" s="30">
        <f>IF(B169="","",IF(COUNTIF($B$4:$B$203,B169)&gt;1,"Duplicate class code",IF(COUNTIF('Companies'!$A$4:$A$63,A169)=0,"Unknown company",IF(OR(C169="",D169="",E169="",F169=""),"Missing required field",IF(AND(G169&lt;&gt;"",H169=""),"Add the official as-at date",IF(AND(L169&lt;&gt;"",L169&lt;&gt;0),"Doesn’t add up to official","OK"))))))</f>
        <v/>
      </c>
    </row>
    <row r="170">
      <c r="A170" s="26" t="n"/>
      <c r="B170" s="26" t="n"/>
      <c r="C170" s="26" t="n"/>
      <c r="D170" s="26" t="n"/>
      <c r="E170" s="26" t="n"/>
      <c r="F170" s="26" t="n"/>
      <c r="G170" s="34" t="n"/>
      <c r="H170" s="28" t="n"/>
      <c r="I170" s="26" t="n"/>
      <c r="J170" s="26" t="n"/>
      <c r="K170" s="35">
        <f>IF(B170="","",SUMIFS('Holdings'!$C$4:$C$2503,'Holdings'!$B$4:$B$2503,B170,'Holdings'!$L$4:$L$2503,"Yes"))</f>
        <v/>
      </c>
      <c r="L170" s="36">
        <f>IF(OR(B170="",G170=""),"",G170-K170)</f>
        <v/>
      </c>
      <c r="M170" s="30">
        <f>IF(B170="","",IF(COUNTIF($B$4:$B$203,B170)&gt;1,"Duplicate class code",IF(COUNTIF('Companies'!$A$4:$A$63,A170)=0,"Unknown company",IF(OR(C170="",D170="",E170="",F170=""),"Missing required field",IF(AND(G170&lt;&gt;"",H170=""),"Add the official as-at date",IF(AND(L170&lt;&gt;"",L170&lt;&gt;0),"Doesn’t add up to official","OK"))))))</f>
        <v/>
      </c>
    </row>
    <row r="171">
      <c r="A171" s="26" t="n"/>
      <c r="B171" s="26" t="n"/>
      <c r="C171" s="26" t="n"/>
      <c r="D171" s="26" t="n"/>
      <c r="E171" s="26" t="n"/>
      <c r="F171" s="26" t="n"/>
      <c r="G171" s="34" t="n"/>
      <c r="H171" s="28" t="n"/>
      <c r="I171" s="26" t="n"/>
      <c r="J171" s="26" t="n"/>
      <c r="K171" s="35">
        <f>IF(B171="","",SUMIFS('Holdings'!$C$4:$C$2503,'Holdings'!$B$4:$B$2503,B171,'Holdings'!$L$4:$L$2503,"Yes"))</f>
        <v/>
      </c>
      <c r="L171" s="36">
        <f>IF(OR(B171="",G171=""),"",G171-K171)</f>
        <v/>
      </c>
      <c r="M171" s="30">
        <f>IF(B171="","",IF(COUNTIF($B$4:$B$203,B171)&gt;1,"Duplicate class code",IF(COUNTIF('Companies'!$A$4:$A$63,A171)=0,"Unknown company",IF(OR(C171="",D171="",E171="",F171=""),"Missing required field",IF(AND(G171&lt;&gt;"",H171=""),"Add the official as-at date",IF(AND(L171&lt;&gt;"",L171&lt;&gt;0),"Doesn’t add up to official","OK"))))))</f>
        <v/>
      </c>
    </row>
    <row r="172">
      <c r="A172" s="26" t="n"/>
      <c r="B172" s="26" t="n"/>
      <c r="C172" s="26" t="n"/>
      <c r="D172" s="26" t="n"/>
      <c r="E172" s="26" t="n"/>
      <c r="F172" s="26" t="n"/>
      <c r="G172" s="34" t="n"/>
      <c r="H172" s="28" t="n"/>
      <c r="I172" s="26" t="n"/>
      <c r="J172" s="26" t="n"/>
      <c r="K172" s="35">
        <f>IF(B172="","",SUMIFS('Holdings'!$C$4:$C$2503,'Holdings'!$B$4:$B$2503,B172,'Holdings'!$L$4:$L$2503,"Yes"))</f>
        <v/>
      </c>
      <c r="L172" s="36">
        <f>IF(OR(B172="",G172=""),"",G172-K172)</f>
        <v/>
      </c>
      <c r="M172" s="30">
        <f>IF(B172="","",IF(COUNTIF($B$4:$B$203,B172)&gt;1,"Duplicate class code",IF(COUNTIF('Companies'!$A$4:$A$63,A172)=0,"Unknown company",IF(OR(C172="",D172="",E172="",F172=""),"Missing required field",IF(AND(G172&lt;&gt;"",H172=""),"Add the official as-at date",IF(AND(L172&lt;&gt;"",L172&lt;&gt;0),"Doesn’t add up to official","OK"))))))</f>
        <v/>
      </c>
    </row>
    <row r="173">
      <c r="A173" s="26" t="n"/>
      <c r="B173" s="26" t="n"/>
      <c r="C173" s="26" t="n"/>
      <c r="D173" s="26" t="n"/>
      <c r="E173" s="26" t="n"/>
      <c r="F173" s="26" t="n"/>
      <c r="G173" s="34" t="n"/>
      <c r="H173" s="28" t="n"/>
      <c r="I173" s="26" t="n"/>
      <c r="J173" s="26" t="n"/>
      <c r="K173" s="35">
        <f>IF(B173="","",SUMIFS('Holdings'!$C$4:$C$2503,'Holdings'!$B$4:$B$2503,B173,'Holdings'!$L$4:$L$2503,"Yes"))</f>
        <v/>
      </c>
      <c r="L173" s="36">
        <f>IF(OR(B173="",G173=""),"",G173-K173)</f>
        <v/>
      </c>
      <c r="M173" s="30">
        <f>IF(B173="","",IF(COUNTIF($B$4:$B$203,B173)&gt;1,"Duplicate class code",IF(COUNTIF('Companies'!$A$4:$A$63,A173)=0,"Unknown company",IF(OR(C173="",D173="",E173="",F173=""),"Missing required field",IF(AND(G173&lt;&gt;"",H173=""),"Add the official as-at date",IF(AND(L173&lt;&gt;"",L173&lt;&gt;0),"Doesn’t add up to official","OK"))))))</f>
        <v/>
      </c>
    </row>
    <row r="174">
      <c r="A174" s="26" t="n"/>
      <c r="B174" s="26" t="n"/>
      <c r="C174" s="26" t="n"/>
      <c r="D174" s="26" t="n"/>
      <c r="E174" s="26" t="n"/>
      <c r="F174" s="26" t="n"/>
      <c r="G174" s="34" t="n"/>
      <c r="H174" s="28" t="n"/>
      <c r="I174" s="26" t="n"/>
      <c r="J174" s="26" t="n"/>
      <c r="K174" s="35">
        <f>IF(B174="","",SUMIFS('Holdings'!$C$4:$C$2503,'Holdings'!$B$4:$B$2503,B174,'Holdings'!$L$4:$L$2503,"Yes"))</f>
        <v/>
      </c>
      <c r="L174" s="36">
        <f>IF(OR(B174="",G174=""),"",G174-K174)</f>
        <v/>
      </c>
      <c r="M174" s="30">
        <f>IF(B174="","",IF(COUNTIF($B$4:$B$203,B174)&gt;1,"Duplicate class code",IF(COUNTIF('Companies'!$A$4:$A$63,A174)=0,"Unknown company",IF(OR(C174="",D174="",E174="",F174=""),"Missing required field",IF(AND(G174&lt;&gt;"",H174=""),"Add the official as-at date",IF(AND(L174&lt;&gt;"",L174&lt;&gt;0),"Doesn’t add up to official","OK"))))))</f>
        <v/>
      </c>
    </row>
    <row r="175">
      <c r="A175" s="26" t="n"/>
      <c r="B175" s="26" t="n"/>
      <c r="C175" s="26" t="n"/>
      <c r="D175" s="26" t="n"/>
      <c r="E175" s="26" t="n"/>
      <c r="F175" s="26" t="n"/>
      <c r="G175" s="34" t="n"/>
      <c r="H175" s="28" t="n"/>
      <c r="I175" s="26" t="n"/>
      <c r="J175" s="26" t="n"/>
      <c r="K175" s="35">
        <f>IF(B175="","",SUMIFS('Holdings'!$C$4:$C$2503,'Holdings'!$B$4:$B$2503,B175,'Holdings'!$L$4:$L$2503,"Yes"))</f>
        <v/>
      </c>
      <c r="L175" s="36">
        <f>IF(OR(B175="",G175=""),"",G175-K175)</f>
        <v/>
      </c>
      <c r="M175" s="30">
        <f>IF(B175="","",IF(COUNTIF($B$4:$B$203,B175)&gt;1,"Duplicate class code",IF(COUNTIF('Companies'!$A$4:$A$63,A175)=0,"Unknown company",IF(OR(C175="",D175="",E175="",F175=""),"Missing required field",IF(AND(G175&lt;&gt;"",H175=""),"Add the official as-at date",IF(AND(L175&lt;&gt;"",L175&lt;&gt;0),"Doesn’t add up to official","OK"))))))</f>
        <v/>
      </c>
    </row>
    <row r="176">
      <c r="A176" s="26" t="n"/>
      <c r="B176" s="26" t="n"/>
      <c r="C176" s="26" t="n"/>
      <c r="D176" s="26" t="n"/>
      <c r="E176" s="26" t="n"/>
      <c r="F176" s="26" t="n"/>
      <c r="G176" s="34" t="n"/>
      <c r="H176" s="28" t="n"/>
      <c r="I176" s="26" t="n"/>
      <c r="J176" s="26" t="n"/>
      <c r="K176" s="35">
        <f>IF(B176="","",SUMIFS('Holdings'!$C$4:$C$2503,'Holdings'!$B$4:$B$2503,B176,'Holdings'!$L$4:$L$2503,"Yes"))</f>
        <v/>
      </c>
      <c r="L176" s="36">
        <f>IF(OR(B176="",G176=""),"",G176-K176)</f>
        <v/>
      </c>
      <c r="M176" s="30">
        <f>IF(B176="","",IF(COUNTIF($B$4:$B$203,B176)&gt;1,"Duplicate class code",IF(COUNTIF('Companies'!$A$4:$A$63,A176)=0,"Unknown company",IF(OR(C176="",D176="",E176="",F176=""),"Missing required field",IF(AND(G176&lt;&gt;"",H176=""),"Add the official as-at date",IF(AND(L176&lt;&gt;"",L176&lt;&gt;0),"Doesn’t add up to official","OK"))))))</f>
        <v/>
      </c>
    </row>
    <row r="177">
      <c r="A177" s="26" t="n"/>
      <c r="B177" s="26" t="n"/>
      <c r="C177" s="26" t="n"/>
      <c r="D177" s="26" t="n"/>
      <c r="E177" s="26" t="n"/>
      <c r="F177" s="26" t="n"/>
      <c r="G177" s="34" t="n"/>
      <c r="H177" s="28" t="n"/>
      <c r="I177" s="26" t="n"/>
      <c r="J177" s="26" t="n"/>
      <c r="K177" s="35">
        <f>IF(B177="","",SUMIFS('Holdings'!$C$4:$C$2503,'Holdings'!$B$4:$B$2503,B177,'Holdings'!$L$4:$L$2503,"Yes"))</f>
        <v/>
      </c>
      <c r="L177" s="36">
        <f>IF(OR(B177="",G177=""),"",G177-K177)</f>
        <v/>
      </c>
      <c r="M177" s="30">
        <f>IF(B177="","",IF(COUNTIF($B$4:$B$203,B177)&gt;1,"Duplicate class code",IF(COUNTIF('Companies'!$A$4:$A$63,A177)=0,"Unknown company",IF(OR(C177="",D177="",E177="",F177=""),"Missing required field",IF(AND(G177&lt;&gt;"",H177=""),"Add the official as-at date",IF(AND(L177&lt;&gt;"",L177&lt;&gt;0),"Doesn’t add up to official","OK"))))))</f>
        <v/>
      </c>
    </row>
    <row r="178">
      <c r="A178" s="26" t="n"/>
      <c r="B178" s="26" t="n"/>
      <c r="C178" s="26" t="n"/>
      <c r="D178" s="26" t="n"/>
      <c r="E178" s="26" t="n"/>
      <c r="F178" s="26" t="n"/>
      <c r="G178" s="34" t="n"/>
      <c r="H178" s="28" t="n"/>
      <c r="I178" s="26" t="n"/>
      <c r="J178" s="26" t="n"/>
      <c r="K178" s="35">
        <f>IF(B178="","",SUMIFS('Holdings'!$C$4:$C$2503,'Holdings'!$B$4:$B$2503,B178,'Holdings'!$L$4:$L$2503,"Yes"))</f>
        <v/>
      </c>
      <c r="L178" s="36">
        <f>IF(OR(B178="",G178=""),"",G178-K178)</f>
        <v/>
      </c>
      <c r="M178" s="30">
        <f>IF(B178="","",IF(COUNTIF($B$4:$B$203,B178)&gt;1,"Duplicate class code",IF(COUNTIF('Companies'!$A$4:$A$63,A178)=0,"Unknown company",IF(OR(C178="",D178="",E178="",F178=""),"Missing required field",IF(AND(G178&lt;&gt;"",H178=""),"Add the official as-at date",IF(AND(L178&lt;&gt;"",L178&lt;&gt;0),"Doesn’t add up to official","OK"))))))</f>
        <v/>
      </c>
    </row>
    <row r="179">
      <c r="A179" s="26" t="n"/>
      <c r="B179" s="26" t="n"/>
      <c r="C179" s="26" t="n"/>
      <c r="D179" s="26" t="n"/>
      <c r="E179" s="26" t="n"/>
      <c r="F179" s="26" t="n"/>
      <c r="G179" s="34" t="n"/>
      <c r="H179" s="28" t="n"/>
      <c r="I179" s="26" t="n"/>
      <c r="J179" s="26" t="n"/>
      <c r="K179" s="35">
        <f>IF(B179="","",SUMIFS('Holdings'!$C$4:$C$2503,'Holdings'!$B$4:$B$2503,B179,'Holdings'!$L$4:$L$2503,"Yes"))</f>
        <v/>
      </c>
      <c r="L179" s="36">
        <f>IF(OR(B179="",G179=""),"",G179-K179)</f>
        <v/>
      </c>
      <c r="M179" s="30">
        <f>IF(B179="","",IF(COUNTIF($B$4:$B$203,B179)&gt;1,"Duplicate class code",IF(COUNTIF('Companies'!$A$4:$A$63,A179)=0,"Unknown company",IF(OR(C179="",D179="",E179="",F179=""),"Missing required field",IF(AND(G179&lt;&gt;"",H179=""),"Add the official as-at date",IF(AND(L179&lt;&gt;"",L179&lt;&gt;0),"Doesn’t add up to official","OK"))))))</f>
        <v/>
      </c>
    </row>
    <row r="180">
      <c r="A180" s="26" t="n"/>
      <c r="B180" s="26" t="n"/>
      <c r="C180" s="26" t="n"/>
      <c r="D180" s="26" t="n"/>
      <c r="E180" s="26" t="n"/>
      <c r="F180" s="26" t="n"/>
      <c r="G180" s="34" t="n"/>
      <c r="H180" s="28" t="n"/>
      <c r="I180" s="26" t="n"/>
      <c r="J180" s="26" t="n"/>
      <c r="K180" s="35">
        <f>IF(B180="","",SUMIFS('Holdings'!$C$4:$C$2503,'Holdings'!$B$4:$B$2503,B180,'Holdings'!$L$4:$L$2503,"Yes"))</f>
        <v/>
      </c>
      <c r="L180" s="36">
        <f>IF(OR(B180="",G180=""),"",G180-K180)</f>
        <v/>
      </c>
      <c r="M180" s="30">
        <f>IF(B180="","",IF(COUNTIF($B$4:$B$203,B180)&gt;1,"Duplicate class code",IF(COUNTIF('Companies'!$A$4:$A$63,A180)=0,"Unknown company",IF(OR(C180="",D180="",E180="",F180=""),"Missing required field",IF(AND(G180&lt;&gt;"",H180=""),"Add the official as-at date",IF(AND(L180&lt;&gt;"",L180&lt;&gt;0),"Doesn’t add up to official","OK"))))))</f>
        <v/>
      </c>
    </row>
    <row r="181">
      <c r="A181" s="26" t="n"/>
      <c r="B181" s="26" t="n"/>
      <c r="C181" s="26" t="n"/>
      <c r="D181" s="26" t="n"/>
      <c r="E181" s="26" t="n"/>
      <c r="F181" s="26" t="n"/>
      <c r="G181" s="34" t="n"/>
      <c r="H181" s="28" t="n"/>
      <c r="I181" s="26" t="n"/>
      <c r="J181" s="26" t="n"/>
      <c r="K181" s="35">
        <f>IF(B181="","",SUMIFS('Holdings'!$C$4:$C$2503,'Holdings'!$B$4:$B$2503,B181,'Holdings'!$L$4:$L$2503,"Yes"))</f>
        <v/>
      </c>
      <c r="L181" s="36">
        <f>IF(OR(B181="",G181=""),"",G181-K181)</f>
        <v/>
      </c>
      <c r="M181" s="30">
        <f>IF(B181="","",IF(COUNTIF($B$4:$B$203,B181)&gt;1,"Duplicate class code",IF(COUNTIF('Companies'!$A$4:$A$63,A181)=0,"Unknown company",IF(OR(C181="",D181="",E181="",F181=""),"Missing required field",IF(AND(G181&lt;&gt;"",H181=""),"Add the official as-at date",IF(AND(L181&lt;&gt;"",L181&lt;&gt;0),"Doesn’t add up to official","OK"))))))</f>
        <v/>
      </c>
    </row>
    <row r="182">
      <c r="A182" s="26" t="n"/>
      <c r="B182" s="26" t="n"/>
      <c r="C182" s="26" t="n"/>
      <c r="D182" s="26" t="n"/>
      <c r="E182" s="26" t="n"/>
      <c r="F182" s="26" t="n"/>
      <c r="G182" s="34" t="n"/>
      <c r="H182" s="28" t="n"/>
      <c r="I182" s="26" t="n"/>
      <c r="J182" s="26" t="n"/>
      <c r="K182" s="35">
        <f>IF(B182="","",SUMIFS('Holdings'!$C$4:$C$2503,'Holdings'!$B$4:$B$2503,B182,'Holdings'!$L$4:$L$2503,"Yes"))</f>
        <v/>
      </c>
      <c r="L182" s="36">
        <f>IF(OR(B182="",G182=""),"",G182-K182)</f>
        <v/>
      </c>
      <c r="M182" s="30">
        <f>IF(B182="","",IF(COUNTIF($B$4:$B$203,B182)&gt;1,"Duplicate class code",IF(COUNTIF('Companies'!$A$4:$A$63,A182)=0,"Unknown company",IF(OR(C182="",D182="",E182="",F182=""),"Missing required field",IF(AND(G182&lt;&gt;"",H182=""),"Add the official as-at date",IF(AND(L182&lt;&gt;"",L182&lt;&gt;0),"Doesn’t add up to official","OK"))))))</f>
        <v/>
      </c>
    </row>
    <row r="183">
      <c r="A183" s="26" t="n"/>
      <c r="B183" s="26" t="n"/>
      <c r="C183" s="26" t="n"/>
      <c r="D183" s="26" t="n"/>
      <c r="E183" s="26" t="n"/>
      <c r="F183" s="26" t="n"/>
      <c r="G183" s="34" t="n"/>
      <c r="H183" s="28" t="n"/>
      <c r="I183" s="26" t="n"/>
      <c r="J183" s="26" t="n"/>
      <c r="K183" s="35">
        <f>IF(B183="","",SUMIFS('Holdings'!$C$4:$C$2503,'Holdings'!$B$4:$B$2503,B183,'Holdings'!$L$4:$L$2503,"Yes"))</f>
        <v/>
      </c>
      <c r="L183" s="36">
        <f>IF(OR(B183="",G183=""),"",G183-K183)</f>
        <v/>
      </c>
      <c r="M183" s="30">
        <f>IF(B183="","",IF(COUNTIF($B$4:$B$203,B183)&gt;1,"Duplicate class code",IF(COUNTIF('Companies'!$A$4:$A$63,A183)=0,"Unknown company",IF(OR(C183="",D183="",E183="",F183=""),"Missing required field",IF(AND(G183&lt;&gt;"",H183=""),"Add the official as-at date",IF(AND(L183&lt;&gt;"",L183&lt;&gt;0),"Doesn’t add up to official","OK"))))))</f>
        <v/>
      </c>
    </row>
    <row r="184">
      <c r="A184" s="26" t="n"/>
      <c r="B184" s="26" t="n"/>
      <c r="C184" s="26" t="n"/>
      <c r="D184" s="26" t="n"/>
      <c r="E184" s="26" t="n"/>
      <c r="F184" s="26" t="n"/>
      <c r="G184" s="34" t="n"/>
      <c r="H184" s="28" t="n"/>
      <c r="I184" s="26" t="n"/>
      <c r="J184" s="26" t="n"/>
      <c r="K184" s="35">
        <f>IF(B184="","",SUMIFS('Holdings'!$C$4:$C$2503,'Holdings'!$B$4:$B$2503,B184,'Holdings'!$L$4:$L$2503,"Yes"))</f>
        <v/>
      </c>
      <c r="L184" s="36">
        <f>IF(OR(B184="",G184=""),"",G184-K184)</f>
        <v/>
      </c>
      <c r="M184" s="30">
        <f>IF(B184="","",IF(COUNTIF($B$4:$B$203,B184)&gt;1,"Duplicate class code",IF(COUNTIF('Companies'!$A$4:$A$63,A184)=0,"Unknown company",IF(OR(C184="",D184="",E184="",F184=""),"Missing required field",IF(AND(G184&lt;&gt;"",H184=""),"Add the official as-at date",IF(AND(L184&lt;&gt;"",L184&lt;&gt;0),"Doesn’t add up to official","OK"))))))</f>
        <v/>
      </c>
    </row>
    <row r="185">
      <c r="A185" s="26" t="n"/>
      <c r="B185" s="26" t="n"/>
      <c r="C185" s="26" t="n"/>
      <c r="D185" s="26" t="n"/>
      <c r="E185" s="26" t="n"/>
      <c r="F185" s="26" t="n"/>
      <c r="G185" s="34" t="n"/>
      <c r="H185" s="28" t="n"/>
      <c r="I185" s="26" t="n"/>
      <c r="J185" s="26" t="n"/>
      <c r="K185" s="35">
        <f>IF(B185="","",SUMIFS('Holdings'!$C$4:$C$2503,'Holdings'!$B$4:$B$2503,B185,'Holdings'!$L$4:$L$2503,"Yes"))</f>
        <v/>
      </c>
      <c r="L185" s="36">
        <f>IF(OR(B185="",G185=""),"",G185-K185)</f>
        <v/>
      </c>
      <c r="M185" s="30">
        <f>IF(B185="","",IF(COUNTIF($B$4:$B$203,B185)&gt;1,"Duplicate class code",IF(COUNTIF('Companies'!$A$4:$A$63,A185)=0,"Unknown company",IF(OR(C185="",D185="",E185="",F185=""),"Missing required field",IF(AND(G185&lt;&gt;"",H185=""),"Add the official as-at date",IF(AND(L185&lt;&gt;"",L185&lt;&gt;0),"Doesn’t add up to official","OK"))))))</f>
        <v/>
      </c>
    </row>
    <row r="186">
      <c r="A186" s="26" t="n"/>
      <c r="B186" s="26" t="n"/>
      <c r="C186" s="26" t="n"/>
      <c r="D186" s="26" t="n"/>
      <c r="E186" s="26" t="n"/>
      <c r="F186" s="26" t="n"/>
      <c r="G186" s="34" t="n"/>
      <c r="H186" s="28" t="n"/>
      <c r="I186" s="26" t="n"/>
      <c r="J186" s="26" t="n"/>
      <c r="K186" s="35">
        <f>IF(B186="","",SUMIFS('Holdings'!$C$4:$C$2503,'Holdings'!$B$4:$B$2503,B186,'Holdings'!$L$4:$L$2503,"Yes"))</f>
        <v/>
      </c>
      <c r="L186" s="36">
        <f>IF(OR(B186="",G186=""),"",G186-K186)</f>
        <v/>
      </c>
      <c r="M186" s="30">
        <f>IF(B186="","",IF(COUNTIF($B$4:$B$203,B186)&gt;1,"Duplicate class code",IF(COUNTIF('Companies'!$A$4:$A$63,A186)=0,"Unknown company",IF(OR(C186="",D186="",E186="",F186=""),"Missing required field",IF(AND(G186&lt;&gt;"",H186=""),"Add the official as-at date",IF(AND(L186&lt;&gt;"",L186&lt;&gt;0),"Doesn’t add up to official","OK"))))))</f>
        <v/>
      </c>
    </row>
    <row r="187">
      <c r="A187" s="26" t="n"/>
      <c r="B187" s="26" t="n"/>
      <c r="C187" s="26" t="n"/>
      <c r="D187" s="26" t="n"/>
      <c r="E187" s="26" t="n"/>
      <c r="F187" s="26" t="n"/>
      <c r="G187" s="34" t="n"/>
      <c r="H187" s="28" t="n"/>
      <c r="I187" s="26" t="n"/>
      <c r="J187" s="26" t="n"/>
      <c r="K187" s="35">
        <f>IF(B187="","",SUMIFS('Holdings'!$C$4:$C$2503,'Holdings'!$B$4:$B$2503,B187,'Holdings'!$L$4:$L$2503,"Yes"))</f>
        <v/>
      </c>
      <c r="L187" s="36">
        <f>IF(OR(B187="",G187=""),"",G187-K187)</f>
        <v/>
      </c>
      <c r="M187" s="30">
        <f>IF(B187="","",IF(COUNTIF($B$4:$B$203,B187)&gt;1,"Duplicate class code",IF(COUNTIF('Companies'!$A$4:$A$63,A187)=0,"Unknown company",IF(OR(C187="",D187="",E187="",F187=""),"Missing required field",IF(AND(G187&lt;&gt;"",H187=""),"Add the official as-at date",IF(AND(L187&lt;&gt;"",L187&lt;&gt;0),"Doesn’t add up to official","OK"))))))</f>
        <v/>
      </c>
    </row>
    <row r="188">
      <c r="A188" s="26" t="n"/>
      <c r="B188" s="26" t="n"/>
      <c r="C188" s="26" t="n"/>
      <c r="D188" s="26" t="n"/>
      <c r="E188" s="26" t="n"/>
      <c r="F188" s="26" t="n"/>
      <c r="G188" s="34" t="n"/>
      <c r="H188" s="28" t="n"/>
      <c r="I188" s="26" t="n"/>
      <c r="J188" s="26" t="n"/>
      <c r="K188" s="35">
        <f>IF(B188="","",SUMIFS('Holdings'!$C$4:$C$2503,'Holdings'!$B$4:$B$2503,B188,'Holdings'!$L$4:$L$2503,"Yes"))</f>
        <v/>
      </c>
      <c r="L188" s="36">
        <f>IF(OR(B188="",G188=""),"",G188-K188)</f>
        <v/>
      </c>
      <c r="M188" s="30">
        <f>IF(B188="","",IF(COUNTIF($B$4:$B$203,B188)&gt;1,"Duplicate class code",IF(COUNTIF('Companies'!$A$4:$A$63,A188)=0,"Unknown company",IF(OR(C188="",D188="",E188="",F188=""),"Missing required field",IF(AND(G188&lt;&gt;"",H188=""),"Add the official as-at date",IF(AND(L188&lt;&gt;"",L188&lt;&gt;0),"Doesn’t add up to official","OK"))))))</f>
        <v/>
      </c>
    </row>
    <row r="189">
      <c r="A189" s="26" t="n"/>
      <c r="B189" s="26" t="n"/>
      <c r="C189" s="26" t="n"/>
      <c r="D189" s="26" t="n"/>
      <c r="E189" s="26" t="n"/>
      <c r="F189" s="26" t="n"/>
      <c r="G189" s="34" t="n"/>
      <c r="H189" s="28" t="n"/>
      <c r="I189" s="26" t="n"/>
      <c r="J189" s="26" t="n"/>
      <c r="K189" s="35">
        <f>IF(B189="","",SUMIFS('Holdings'!$C$4:$C$2503,'Holdings'!$B$4:$B$2503,B189,'Holdings'!$L$4:$L$2503,"Yes"))</f>
        <v/>
      </c>
      <c r="L189" s="36">
        <f>IF(OR(B189="",G189=""),"",G189-K189)</f>
        <v/>
      </c>
      <c r="M189" s="30">
        <f>IF(B189="","",IF(COUNTIF($B$4:$B$203,B189)&gt;1,"Duplicate class code",IF(COUNTIF('Companies'!$A$4:$A$63,A189)=0,"Unknown company",IF(OR(C189="",D189="",E189="",F189=""),"Missing required field",IF(AND(G189&lt;&gt;"",H189=""),"Add the official as-at date",IF(AND(L189&lt;&gt;"",L189&lt;&gt;0),"Doesn’t add up to official","OK"))))))</f>
        <v/>
      </c>
    </row>
    <row r="190">
      <c r="A190" s="26" t="n"/>
      <c r="B190" s="26" t="n"/>
      <c r="C190" s="26" t="n"/>
      <c r="D190" s="26" t="n"/>
      <c r="E190" s="26" t="n"/>
      <c r="F190" s="26" t="n"/>
      <c r="G190" s="34" t="n"/>
      <c r="H190" s="28" t="n"/>
      <c r="I190" s="26" t="n"/>
      <c r="J190" s="26" t="n"/>
      <c r="K190" s="35">
        <f>IF(B190="","",SUMIFS('Holdings'!$C$4:$C$2503,'Holdings'!$B$4:$B$2503,B190,'Holdings'!$L$4:$L$2503,"Yes"))</f>
        <v/>
      </c>
      <c r="L190" s="36">
        <f>IF(OR(B190="",G190=""),"",G190-K190)</f>
        <v/>
      </c>
      <c r="M190" s="30">
        <f>IF(B190="","",IF(COUNTIF($B$4:$B$203,B190)&gt;1,"Duplicate class code",IF(COUNTIF('Companies'!$A$4:$A$63,A190)=0,"Unknown company",IF(OR(C190="",D190="",E190="",F190=""),"Missing required field",IF(AND(G190&lt;&gt;"",H190=""),"Add the official as-at date",IF(AND(L190&lt;&gt;"",L190&lt;&gt;0),"Doesn’t add up to official","OK"))))))</f>
        <v/>
      </c>
    </row>
    <row r="191">
      <c r="A191" s="26" t="n"/>
      <c r="B191" s="26" t="n"/>
      <c r="C191" s="26" t="n"/>
      <c r="D191" s="26" t="n"/>
      <c r="E191" s="26" t="n"/>
      <c r="F191" s="26" t="n"/>
      <c r="G191" s="34" t="n"/>
      <c r="H191" s="28" t="n"/>
      <c r="I191" s="26" t="n"/>
      <c r="J191" s="26" t="n"/>
      <c r="K191" s="35">
        <f>IF(B191="","",SUMIFS('Holdings'!$C$4:$C$2503,'Holdings'!$B$4:$B$2503,B191,'Holdings'!$L$4:$L$2503,"Yes"))</f>
        <v/>
      </c>
      <c r="L191" s="36">
        <f>IF(OR(B191="",G191=""),"",G191-K191)</f>
        <v/>
      </c>
      <c r="M191" s="30">
        <f>IF(B191="","",IF(COUNTIF($B$4:$B$203,B191)&gt;1,"Duplicate class code",IF(COUNTIF('Companies'!$A$4:$A$63,A191)=0,"Unknown company",IF(OR(C191="",D191="",E191="",F191=""),"Missing required field",IF(AND(G191&lt;&gt;"",H191=""),"Add the official as-at date",IF(AND(L191&lt;&gt;"",L191&lt;&gt;0),"Doesn’t add up to official","OK"))))))</f>
        <v/>
      </c>
    </row>
    <row r="192">
      <c r="A192" s="26" t="n"/>
      <c r="B192" s="26" t="n"/>
      <c r="C192" s="26" t="n"/>
      <c r="D192" s="26" t="n"/>
      <c r="E192" s="26" t="n"/>
      <c r="F192" s="26" t="n"/>
      <c r="G192" s="34" t="n"/>
      <c r="H192" s="28" t="n"/>
      <c r="I192" s="26" t="n"/>
      <c r="J192" s="26" t="n"/>
      <c r="K192" s="35">
        <f>IF(B192="","",SUMIFS('Holdings'!$C$4:$C$2503,'Holdings'!$B$4:$B$2503,B192,'Holdings'!$L$4:$L$2503,"Yes"))</f>
        <v/>
      </c>
      <c r="L192" s="36">
        <f>IF(OR(B192="",G192=""),"",G192-K192)</f>
        <v/>
      </c>
      <c r="M192" s="30">
        <f>IF(B192="","",IF(COUNTIF($B$4:$B$203,B192)&gt;1,"Duplicate class code",IF(COUNTIF('Companies'!$A$4:$A$63,A192)=0,"Unknown company",IF(OR(C192="",D192="",E192="",F192=""),"Missing required field",IF(AND(G192&lt;&gt;"",H192=""),"Add the official as-at date",IF(AND(L192&lt;&gt;"",L192&lt;&gt;0),"Doesn’t add up to official","OK"))))))</f>
        <v/>
      </c>
    </row>
    <row r="193">
      <c r="A193" s="26" t="n"/>
      <c r="B193" s="26" t="n"/>
      <c r="C193" s="26" t="n"/>
      <c r="D193" s="26" t="n"/>
      <c r="E193" s="26" t="n"/>
      <c r="F193" s="26" t="n"/>
      <c r="G193" s="34" t="n"/>
      <c r="H193" s="28" t="n"/>
      <c r="I193" s="26" t="n"/>
      <c r="J193" s="26" t="n"/>
      <c r="K193" s="35">
        <f>IF(B193="","",SUMIFS('Holdings'!$C$4:$C$2503,'Holdings'!$B$4:$B$2503,B193,'Holdings'!$L$4:$L$2503,"Yes"))</f>
        <v/>
      </c>
      <c r="L193" s="36">
        <f>IF(OR(B193="",G193=""),"",G193-K193)</f>
        <v/>
      </c>
      <c r="M193" s="30">
        <f>IF(B193="","",IF(COUNTIF($B$4:$B$203,B193)&gt;1,"Duplicate class code",IF(COUNTIF('Companies'!$A$4:$A$63,A193)=0,"Unknown company",IF(OR(C193="",D193="",E193="",F193=""),"Missing required field",IF(AND(G193&lt;&gt;"",H193=""),"Add the official as-at date",IF(AND(L193&lt;&gt;"",L193&lt;&gt;0),"Doesn’t add up to official","OK"))))))</f>
        <v/>
      </c>
    </row>
    <row r="194">
      <c r="A194" s="26" t="n"/>
      <c r="B194" s="26" t="n"/>
      <c r="C194" s="26" t="n"/>
      <c r="D194" s="26" t="n"/>
      <c r="E194" s="26" t="n"/>
      <c r="F194" s="26" t="n"/>
      <c r="G194" s="34" t="n"/>
      <c r="H194" s="28" t="n"/>
      <c r="I194" s="26" t="n"/>
      <c r="J194" s="26" t="n"/>
      <c r="K194" s="35">
        <f>IF(B194="","",SUMIFS('Holdings'!$C$4:$C$2503,'Holdings'!$B$4:$B$2503,B194,'Holdings'!$L$4:$L$2503,"Yes"))</f>
        <v/>
      </c>
      <c r="L194" s="36">
        <f>IF(OR(B194="",G194=""),"",G194-K194)</f>
        <v/>
      </c>
      <c r="M194" s="30">
        <f>IF(B194="","",IF(COUNTIF($B$4:$B$203,B194)&gt;1,"Duplicate class code",IF(COUNTIF('Companies'!$A$4:$A$63,A194)=0,"Unknown company",IF(OR(C194="",D194="",E194="",F194=""),"Missing required field",IF(AND(G194&lt;&gt;"",H194=""),"Add the official as-at date",IF(AND(L194&lt;&gt;"",L194&lt;&gt;0),"Doesn’t add up to official","OK"))))))</f>
        <v/>
      </c>
    </row>
    <row r="195">
      <c r="A195" s="26" t="n"/>
      <c r="B195" s="26" t="n"/>
      <c r="C195" s="26" t="n"/>
      <c r="D195" s="26" t="n"/>
      <c r="E195" s="26" t="n"/>
      <c r="F195" s="26" t="n"/>
      <c r="G195" s="34" t="n"/>
      <c r="H195" s="28" t="n"/>
      <c r="I195" s="26" t="n"/>
      <c r="J195" s="26" t="n"/>
      <c r="K195" s="35">
        <f>IF(B195="","",SUMIFS('Holdings'!$C$4:$C$2503,'Holdings'!$B$4:$B$2503,B195,'Holdings'!$L$4:$L$2503,"Yes"))</f>
        <v/>
      </c>
      <c r="L195" s="36">
        <f>IF(OR(B195="",G195=""),"",G195-K195)</f>
        <v/>
      </c>
      <c r="M195" s="30">
        <f>IF(B195="","",IF(COUNTIF($B$4:$B$203,B195)&gt;1,"Duplicate class code",IF(COUNTIF('Companies'!$A$4:$A$63,A195)=0,"Unknown company",IF(OR(C195="",D195="",E195="",F195=""),"Missing required field",IF(AND(G195&lt;&gt;"",H195=""),"Add the official as-at date",IF(AND(L195&lt;&gt;"",L195&lt;&gt;0),"Doesn’t add up to official","OK"))))))</f>
        <v/>
      </c>
    </row>
    <row r="196">
      <c r="A196" s="26" t="n"/>
      <c r="B196" s="26" t="n"/>
      <c r="C196" s="26" t="n"/>
      <c r="D196" s="26" t="n"/>
      <c r="E196" s="26" t="n"/>
      <c r="F196" s="26" t="n"/>
      <c r="G196" s="34" t="n"/>
      <c r="H196" s="28" t="n"/>
      <c r="I196" s="26" t="n"/>
      <c r="J196" s="26" t="n"/>
      <c r="K196" s="35">
        <f>IF(B196="","",SUMIFS('Holdings'!$C$4:$C$2503,'Holdings'!$B$4:$B$2503,B196,'Holdings'!$L$4:$L$2503,"Yes"))</f>
        <v/>
      </c>
      <c r="L196" s="36">
        <f>IF(OR(B196="",G196=""),"",G196-K196)</f>
        <v/>
      </c>
      <c r="M196" s="30">
        <f>IF(B196="","",IF(COUNTIF($B$4:$B$203,B196)&gt;1,"Duplicate class code",IF(COUNTIF('Companies'!$A$4:$A$63,A196)=0,"Unknown company",IF(OR(C196="",D196="",E196="",F196=""),"Missing required field",IF(AND(G196&lt;&gt;"",H196=""),"Add the official as-at date",IF(AND(L196&lt;&gt;"",L196&lt;&gt;0),"Doesn’t add up to official","OK"))))))</f>
        <v/>
      </c>
    </row>
    <row r="197">
      <c r="A197" s="26" t="n"/>
      <c r="B197" s="26" t="n"/>
      <c r="C197" s="26" t="n"/>
      <c r="D197" s="26" t="n"/>
      <c r="E197" s="26" t="n"/>
      <c r="F197" s="26" t="n"/>
      <c r="G197" s="34" t="n"/>
      <c r="H197" s="28" t="n"/>
      <c r="I197" s="26" t="n"/>
      <c r="J197" s="26" t="n"/>
      <c r="K197" s="35">
        <f>IF(B197="","",SUMIFS('Holdings'!$C$4:$C$2503,'Holdings'!$B$4:$B$2503,B197,'Holdings'!$L$4:$L$2503,"Yes"))</f>
        <v/>
      </c>
      <c r="L197" s="36">
        <f>IF(OR(B197="",G197=""),"",G197-K197)</f>
        <v/>
      </c>
      <c r="M197" s="30">
        <f>IF(B197="","",IF(COUNTIF($B$4:$B$203,B197)&gt;1,"Duplicate class code",IF(COUNTIF('Companies'!$A$4:$A$63,A197)=0,"Unknown company",IF(OR(C197="",D197="",E197="",F197=""),"Missing required field",IF(AND(G197&lt;&gt;"",H197=""),"Add the official as-at date",IF(AND(L197&lt;&gt;"",L197&lt;&gt;0),"Doesn’t add up to official","OK"))))))</f>
        <v/>
      </c>
    </row>
    <row r="198">
      <c r="A198" s="26" t="n"/>
      <c r="B198" s="26" t="n"/>
      <c r="C198" s="26" t="n"/>
      <c r="D198" s="26" t="n"/>
      <c r="E198" s="26" t="n"/>
      <c r="F198" s="26" t="n"/>
      <c r="G198" s="34" t="n"/>
      <c r="H198" s="28" t="n"/>
      <c r="I198" s="26" t="n"/>
      <c r="J198" s="26" t="n"/>
      <c r="K198" s="35">
        <f>IF(B198="","",SUMIFS('Holdings'!$C$4:$C$2503,'Holdings'!$B$4:$B$2503,B198,'Holdings'!$L$4:$L$2503,"Yes"))</f>
        <v/>
      </c>
      <c r="L198" s="36">
        <f>IF(OR(B198="",G198=""),"",G198-K198)</f>
        <v/>
      </c>
      <c r="M198" s="30">
        <f>IF(B198="","",IF(COUNTIF($B$4:$B$203,B198)&gt;1,"Duplicate class code",IF(COUNTIF('Companies'!$A$4:$A$63,A198)=0,"Unknown company",IF(OR(C198="",D198="",E198="",F198=""),"Missing required field",IF(AND(G198&lt;&gt;"",H198=""),"Add the official as-at date",IF(AND(L198&lt;&gt;"",L198&lt;&gt;0),"Doesn’t add up to official","OK"))))))</f>
        <v/>
      </c>
    </row>
    <row r="199">
      <c r="A199" s="26" t="n"/>
      <c r="B199" s="26" t="n"/>
      <c r="C199" s="26" t="n"/>
      <c r="D199" s="26" t="n"/>
      <c r="E199" s="26" t="n"/>
      <c r="F199" s="26" t="n"/>
      <c r="G199" s="34" t="n"/>
      <c r="H199" s="28" t="n"/>
      <c r="I199" s="26" t="n"/>
      <c r="J199" s="26" t="n"/>
      <c r="K199" s="35">
        <f>IF(B199="","",SUMIFS('Holdings'!$C$4:$C$2503,'Holdings'!$B$4:$B$2503,B199,'Holdings'!$L$4:$L$2503,"Yes"))</f>
        <v/>
      </c>
      <c r="L199" s="36">
        <f>IF(OR(B199="",G199=""),"",G199-K199)</f>
        <v/>
      </c>
      <c r="M199" s="30">
        <f>IF(B199="","",IF(COUNTIF($B$4:$B$203,B199)&gt;1,"Duplicate class code",IF(COUNTIF('Companies'!$A$4:$A$63,A199)=0,"Unknown company",IF(OR(C199="",D199="",E199="",F199=""),"Missing required field",IF(AND(G199&lt;&gt;"",H199=""),"Add the official as-at date",IF(AND(L199&lt;&gt;"",L199&lt;&gt;0),"Doesn’t add up to official","OK"))))))</f>
        <v/>
      </c>
    </row>
    <row r="200">
      <c r="A200" s="26" t="n"/>
      <c r="B200" s="26" t="n"/>
      <c r="C200" s="26" t="n"/>
      <c r="D200" s="26" t="n"/>
      <c r="E200" s="26" t="n"/>
      <c r="F200" s="26" t="n"/>
      <c r="G200" s="34" t="n"/>
      <c r="H200" s="28" t="n"/>
      <c r="I200" s="26" t="n"/>
      <c r="J200" s="26" t="n"/>
      <c r="K200" s="35">
        <f>IF(B200="","",SUMIFS('Holdings'!$C$4:$C$2503,'Holdings'!$B$4:$B$2503,B200,'Holdings'!$L$4:$L$2503,"Yes"))</f>
        <v/>
      </c>
      <c r="L200" s="36">
        <f>IF(OR(B200="",G200=""),"",G200-K200)</f>
        <v/>
      </c>
      <c r="M200" s="30">
        <f>IF(B200="","",IF(COUNTIF($B$4:$B$203,B200)&gt;1,"Duplicate class code",IF(COUNTIF('Companies'!$A$4:$A$63,A200)=0,"Unknown company",IF(OR(C200="",D200="",E200="",F200=""),"Missing required field",IF(AND(G200&lt;&gt;"",H200=""),"Add the official as-at date",IF(AND(L200&lt;&gt;"",L200&lt;&gt;0),"Doesn’t add up to official","OK"))))))</f>
        <v/>
      </c>
    </row>
    <row r="201">
      <c r="A201" s="26" t="n"/>
      <c r="B201" s="26" t="n"/>
      <c r="C201" s="26" t="n"/>
      <c r="D201" s="26" t="n"/>
      <c r="E201" s="26" t="n"/>
      <c r="F201" s="26" t="n"/>
      <c r="G201" s="34" t="n"/>
      <c r="H201" s="28" t="n"/>
      <c r="I201" s="26" t="n"/>
      <c r="J201" s="26" t="n"/>
      <c r="K201" s="35">
        <f>IF(B201="","",SUMIFS('Holdings'!$C$4:$C$2503,'Holdings'!$B$4:$B$2503,B201,'Holdings'!$L$4:$L$2503,"Yes"))</f>
        <v/>
      </c>
      <c r="L201" s="36">
        <f>IF(OR(B201="",G201=""),"",G201-K201)</f>
        <v/>
      </c>
      <c r="M201" s="30">
        <f>IF(B201="","",IF(COUNTIF($B$4:$B$203,B201)&gt;1,"Duplicate class code",IF(COUNTIF('Companies'!$A$4:$A$63,A201)=0,"Unknown company",IF(OR(C201="",D201="",E201="",F201=""),"Missing required field",IF(AND(G201&lt;&gt;"",H201=""),"Add the official as-at date",IF(AND(L201&lt;&gt;"",L201&lt;&gt;0),"Doesn’t add up to official","OK"))))))</f>
        <v/>
      </c>
    </row>
    <row r="202">
      <c r="A202" s="26" t="n"/>
      <c r="B202" s="26" t="n"/>
      <c r="C202" s="26" t="n"/>
      <c r="D202" s="26" t="n"/>
      <c r="E202" s="26" t="n"/>
      <c r="F202" s="26" t="n"/>
      <c r="G202" s="34" t="n"/>
      <c r="H202" s="28" t="n"/>
      <c r="I202" s="26" t="n"/>
      <c r="J202" s="26" t="n"/>
      <c r="K202" s="35">
        <f>IF(B202="","",SUMIFS('Holdings'!$C$4:$C$2503,'Holdings'!$B$4:$B$2503,B202,'Holdings'!$L$4:$L$2503,"Yes"))</f>
        <v/>
      </c>
      <c r="L202" s="36">
        <f>IF(OR(B202="",G202=""),"",G202-K202)</f>
        <v/>
      </c>
      <c r="M202" s="30">
        <f>IF(B202="","",IF(COUNTIF($B$4:$B$203,B202)&gt;1,"Duplicate class code",IF(COUNTIF('Companies'!$A$4:$A$63,A202)=0,"Unknown company",IF(OR(C202="",D202="",E202="",F202=""),"Missing required field",IF(AND(G202&lt;&gt;"",H202=""),"Add the official as-at date",IF(AND(L202&lt;&gt;"",L202&lt;&gt;0),"Doesn’t add up to official","OK"))))))</f>
        <v/>
      </c>
    </row>
    <row r="203">
      <c r="A203" s="26" t="n"/>
      <c r="B203" s="26" t="n"/>
      <c r="C203" s="26" t="n"/>
      <c r="D203" s="26" t="n"/>
      <c r="E203" s="26" t="n"/>
      <c r="F203" s="26" t="n"/>
      <c r="G203" s="34" t="n"/>
      <c r="H203" s="28" t="n"/>
      <c r="I203" s="26" t="n"/>
      <c r="J203" s="26" t="n"/>
      <c r="K203" s="35">
        <f>IF(B203="","",SUMIFS('Holdings'!$C$4:$C$2503,'Holdings'!$B$4:$B$2503,B203,'Holdings'!$L$4:$L$2503,"Yes"))</f>
        <v/>
      </c>
      <c r="L203" s="36">
        <f>IF(OR(B203="",G203=""),"",G203-K203)</f>
        <v/>
      </c>
      <c r="M203" s="30">
        <f>IF(B203="","",IF(COUNTIF($B$4:$B$203,B203)&gt;1,"Duplicate class code",IF(COUNTIF('Companies'!$A$4:$A$63,A203)=0,"Unknown company",IF(OR(C203="",D203="",E203="",F203=""),"Missing required field",IF(AND(G203&lt;&gt;"",H203=""),"Add the official as-at date",IF(AND(L203&lt;&gt;"",L203&lt;&gt;0),"Doesn’t add up to official","OK"))))))</f>
        <v/>
      </c>
    </row>
  </sheetData>
  <autoFilter ref="A2:M203"/>
  <conditionalFormatting sqref="M4:M203">
    <cfRule type="expression" priority="1" dxfId="0">
      <formula>AND(M4&lt;&gt;"",M4&lt;&gt;"OK")</formula>
    </cfRule>
  </conditionalFormatting>
  <dataValidations count="3">
    <dataValidation sqref="D4:D203" showDropDown="0" showInputMessage="0" showErrorMessage="1" allowBlank="0" errorTitle="Choose from the list" error="Pick one of: Ordinary, Ordinary (non-voting), Preference, Options, Convertible note, SAFE, Other" type="list">
      <formula1>=Lists!$C$2:$C$8</formula1>
    </dataValidation>
    <dataValidation sqref="E4:E203" showDropDown="0" showInputMessage="0" showErrorMessage="1" allowBlank="0" errorTitle="Choose from the list" error="Pick one of: Yes, No" type="list">
      <formula1>=Lists!$D$2:$D$3</formula1>
    </dataValidation>
    <dataValidation sqref="F4:F203" showDropDown="0" showInputMessage="0" showErrorMessage="1" allowBlank="0" errorTitle="Choose from the list" error="Pick one of: Yes, No" type="list">
      <formula1>=Lists!$D$2:$D$3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13" customWidth="1" min="3" max="3"/>
    <col width="24" customWidth="1" min="4" max="4"/>
    <col width="28" customWidth="1" min="5" max="5"/>
    <col width="10" customWidth="1" min="6" max="6"/>
    <col width="10" customWidth="1" min="7" max="7"/>
    <col width="26" customWidth="1" min="8" max="8"/>
  </cols>
  <sheetData>
    <row r="1">
      <c r="A1" s="9" t="inlineStr">
        <is>
          <t>Holders</t>
        </is>
      </c>
      <c r="C1" s="10" t="inlineStr">
        <is>
          <t>The legal owners as they appear on the registers: people, companies, trusts, super funds. One row per holder, used across all companies.</t>
        </is>
      </c>
    </row>
    <row r="2" ht="32" customHeight="1">
      <c r="A2" s="20" t="inlineStr">
        <is>
          <t>Holder ID *</t>
        </is>
      </c>
      <c r="B2" s="20" t="inlineStr">
        <is>
          <t>Holder name (as on register) *</t>
        </is>
      </c>
      <c r="C2" s="20" t="inlineStr">
        <is>
          <t>Kind *</t>
        </is>
      </c>
      <c r="D2" s="20" t="inlineStr">
        <is>
          <t>ACN / ABN / trust details</t>
        </is>
      </c>
      <c r="E2" s="20" t="inlineStr">
        <is>
          <t>Notes</t>
        </is>
      </c>
      <c r="F2" s="21" t="inlineStr">
        <is>
          <t>Holdings rows</t>
        </is>
      </c>
      <c r="G2" s="21" t="inlineStr">
        <is>
          <t>Logins with access</t>
        </is>
      </c>
      <c r="H2" s="21" t="inlineStr">
        <is>
          <t>Check</t>
        </is>
      </c>
    </row>
    <row r="3">
      <c r="A3" s="22" t="inlineStr">
        <is>
          <t>H-0001</t>
        </is>
      </c>
      <c r="B3" s="22" t="inlineStr">
        <is>
          <t>Jane Citizen</t>
        </is>
      </c>
      <c r="C3" s="22" t="inlineStr">
        <is>
          <t>Individual</t>
        </is>
      </c>
      <c r="D3" s="22" t="inlineStr"/>
      <c r="E3" s="22" t="inlineStr"/>
      <c r="I3" s="10" t="inlineStr">
        <is>
          <t>← example row, not imported</t>
        </is>
      </c>
    </row>
    <row r="4">
      <c r="A4" s="26" t="inlineStr">
        <is>
          <t>LKB-GROUP</t>
        </is>
      </c>
      <c r="B4" s="26" t="inlineStr">
        <is>
          <t>Lakeba Group Limited</t>
        </is>
      </c>
      <c r="C4" s="26" t="inlineStr">
        <is>
          <t>Company</t>
        </is>
      </c>
      <c r="D4" s="26" t="n"/>
      <c r="E4" s="26" t="inlineStr">
        <is>
          <t>Holds Lakeba’s shares in each venture</t>
        </is>
      </c>
      <c r="F4" s="30">
        <f>IF(A4="","",COUNTIF('Holdings'!$A$4:$A$2503,A4))</f>
        <v/>
      </c>
      <c r="G4" s="30">
        <f>IF(A4="","",COUNTIF('Access'!$B$4:$B$1503,A4))</f>
        <v/>
      </c>
      <c r="H4" s="30">
        <f>IF(A4="","",IF(COUNTIF($A$4:$A$1003,A4)&gt;1,"Duplicate holder ID",IF(OR(B4="",C4=""),"Missing required field",IF(F4=0,"No holdings",IF(AND(G4=0,A4&lt;&gt;"LKB-GROUP"),"No login (ok if not invited)","OK")))))</f>
        <v/>
      </c>
    </row>
    <row r="5">
      <c r="A5" s="26" t="n"/>
      <c r="B5" s="26" t="n"/>
      <c r="C5" s="26" t="n"/>
      <c r="D5" s="26" t="n"/>
      <c r="E5" s="26" t="n"/>
      <c r="F5" s="30">
        <f>IF(A5="","",COUNTIF('Holdings'!$A$4:$A$2503,A5))</f>
        <v/>
      </c>
      <c r="G5" s="30">
        <f>IF(A5="","",COUNTIF('Access'!$B$4:$B$1503,A5))</f>
        <v/>
      </c>
      <c r="H5" s="30">
        <f>IF(A5="","",IF(COUNTIF($A$4:$A$1003,A5)&gt;1,"Duplicate holder ID",IF(OR(B5="",C5=""),"Missing required field",IF(F5=0,"No holdings",IF(AND(G5=0,A5&lt;&gt;"LKB-GROUP"),"No login (ok if not invited)","OK")))))</f>
        <v/>
      </c>
    </row>
    <row r="6">
      <c r="A6" s="26" t="n"/>
      <c r="B6" s="26" t="n"/>
      <c r="C6" s="26" t="n"/>
      <c r="D6" s="26" t="n"/>
      <c r="E6" s="26" t="n"/>
      <c r="F6" s="30">
        <f>IF(A6="","",COUNTIF('Holdings'!$A$4:$A$2503,A6))</f>
        <v/>
      </c>
      <c r="G6" s="30">
        <f>IF(A6="","",COUNTIF('Access'!$B$4:$B$1503,A6))</f>
        <v/>
      </c>
      <c r="H6" s="30">
        <f>IF(A6="","",IF(COUNTIF($A$4:$A$1003,A6)&gt;1,"Duplicate holder ID",IF(OR(B6="",C6=""),"Missing required field",IF(F6=0,"No holdings",IF(AND(G6=0,A6&lt;&gt;"LKB-GROUP"),"No login (ok if not invited)","OK")))))</f>
        <v/>
      </c>
    </row>
    <row r="7">
      <c r="A7" s="26" t="n"/>
      <c r="B7" s="26" t="n"/>
      <c r="C7" s="26" t="n"/>
      <c r="D7" s="26" t="n"/>
      <c r="E7" s="26" t="n"/>
      <c r="F7" s="30">
        <f>IF(A7="","",COUNTIF('Holdings'!$A$4:$A$2503,A7))</f>
        <v/>
      </c>
      <c r="G7" s="30">
        <f>IF(A7="","",COUNTIF('Access'!$B$4:$B$1503,A7))</f>
        <v/>
      </c>
      <c r="H7" s="30">
        <f>IF(A7="","",IF(COUNTIF($A$4:$A$1003,A7)&gt;1,"Duplicate holder ID",IF(OR(B7="",C7=""),"Missing required field",IF(F7=0,"No holdings",IF(AND(G7=0,A7&lt;&gt;"LKB-GROUP"),"No login (ok if not invited)","OK")))))</f>
        <v/>
      </c>
    </row>
    <row r="8">
      <c r="A8" s="26" t="n"/>
      <c r="B8" s="26" t="n"/>
      <c r="C8" s="26" t="n"/>
      <c r="D8" s="26" t="n"/>
      <c r="E8" s="26" t="n"/>
      <c r="F8" s="30">
        <f>IF(A8="","",COUNTIF('Holdings'!$A$4:$A$2503,A8))</f>
        <v/>
      </c>
      <c r="G8" s="30">
        <f>IF(A8="","",COUNTIF('Access'!$B$4:$B$1503,A8))</f>
        <v/>
      </c>
      <c r="H8" s="30">
        <f>IF(A8="","",IF(COUNTIF($A$4:$A$1003,A8)&gt;1,"Duplicate holder ID",IF(OR(B8="",C8=""),"Missing required field",IF(F8=0,"No holdings",IF(AND(G8=0,A8&lt;&gt;"LKB-GROUP"),"No login (ok if not invited)","OK")))))</f>
        <v/>
      </c>
    </row>
    <row r="9">
      <c r="A9" s="26" t="n"/>
      <c r="B9" s="26" t="n"/>
      <c r="C9" s="26" t="n"/>
      <c r="D9" s="26" t="n"/>
      <c r="E9" s="26" t="n"/>
      <c r="F9" s="30">
        <f>IF(A9="","",COUNTIF('Holdings'!$A$4:$A$2503,A9))</f>
        <v/>
      </c>
      <c r="G9" s="30">
        <f>IF(A9="","",COUNTIF('Access'!$B$4:$B$1503,A9))</f>
        <v/>
      </c>
      <c r="H9" s="30">
        <f>IF(A9="","",IF(COUNTIF($A$4:$A$1003,A9)&gt;1,"Duplicate holder ID",IF(OR(B9="",C9=""),"Missing required field",IF(F9=0,"No holdings",IF(AND(G9=0,A9&lt;&gt;"LKB-GROUP"),"No login (ok if not invited)","OK")))))</f>
        <v/>
      </c>
    </row>
    <row r="10">
      <c r="A10" s="26" t="n"/>
      <c r="B10" s="26" t="n"/>
      <c r="C10" s="26" t="n"/>
      <c r="D10" s="26" t="n"/>
      <c r="E10" s="26" t="n"/>
      <c r="F10" s="30">
        <f>IF(A10="","",COUNTIF('Holdings'!$A$4:$A$2503,A10))</f>
        <v/>
      </c>
      <c r="G10" s="30">
        <f>IF(A10="","",COUNTIF('Access'!$B$4:$B$1503,A10))</f>
        <v/>
      </c>
      <c r="H10" s="30">
        <f>IF(A10="","",IF(COUNTIF($A$4:$A$1003,A10)&gt;1,"Duplicate holder ID",IF(OR(B10="",C10=""),"Missing required field",IF(F10=0,"No holdings",IF(AND(G10=0,A10&lt;&gt;"LKB-GROUP"),"No login (ok if not invited)","OK")))))</f>
        <v/>
      </c>
    </row>
    <row r="11">
      <c r="A11" s="26" t="n"/>
      <c r="B11" s="26" t="n"/>
      <c r="C11" s="26" t="n"/>
      <c r="D11" s="26" t="n"/>
      <c r="E11" s="26" t="n"/>
      <c r="F11" s="30">
        <f>IF(A11="","",COUNTIF('Holdings'!$A$4:$A$2503,A11))</f>
        <v/>
      </c>
      <c r="G11" s="30">
        <f>IF(A11="","",COUNTIF('Access'!$B$4:$B$1503,A11))</f>
        <v/>
      </c>
      <c r="H11" s="30">
        <f>IF(A11="","",IF(COUNTIF($A$4:$A$1003,A11)&gt;1,"Duplicate holder ID",IF(OR(B11="",C11=""),"Missing required field",IF(F11=0,"No holdings",IF(AND(G11=0,A11&lt;&gt;"LKB-GROUP"),"No login (ok if not invited)","OK")))))</f>
        <v/>
      </c>
    </row>
    <row r="12">
      <c r="A12" s="26" t="n"/>
      <c r="B12" s="26" t="n"/>
      <c r="C12" s="26" t="n"/>
      <c r="D12" s="26" t="n"/>
      <c r="E12" s="26" t="n"/>
      <c r="F12" s="30">
        <f>IF(A12="","",COUNTIF('Holdings'!$A$4:$A$2503,A12))</f>
        <v/>
      </c>
      <c r="G12" s="30">
        <f>IF(A12="","",COUNTIF('Access'!$B$4:$B$1503,A12))</f>
        <v/>
      </c>
      <c r="H12" s="30">
        <f>IF(A12="","",IF(COUNTIF($A$4:$A$1003,A12)&gt;1,"Duplicate holder ID",IF(OR(B12="",C12=""),"Missing required field",IF(F12=0,"No holdings",IF(AND(G12=0,A12&lt;&gt;"LKB-GROUP"),"No login (ok if not invited)","OK")))))</f>
        <v/>
      </c>
    </row>
    <row r="13">
      <c r="A13" s="26" t="n"/>
      <c r="B13" s="26" t="n"/>
      <c r="C13" s="26" t="n"/>
      <c r="D13" s="26" t="n"/>
      <c r="E13" s="26" t="n"/>
      <c r="F13" s="30">
        <f>IF(A13="","",COUNTIF('Holdings'!$A$4:$A$2503,A13))</f>
        <v/>
      </c>
      <c r="G13" s="30">
        <f>IF(A13="","",COUNTIF('Access'!$B$4:$B$1503,A13))</f>
        <v/>
      </c>
      <c r="H13" s="30">
        <f>IF(A13="","",IF(COUNTIF($A$4:$A$1003,A13)&gt;1,"Duplicate holder ID",IF(OR(B13="",C13=""),"Missing required field",IF(F13=0,"No holdings",IF(AND(G13=0,A13&lt;&gt;"LKB-GROUP"),"No login (ok if not invited)","OK")))))</f>
        <v/>
      </c>
    </row>
    <row r="14">
      <c r="A14" s="26" t="n"/>
      <c r="B14" s="26" t="n"/>
      <c r="C14" s="26" t="n"/>
      <c r="D14" s="26" t="n"/>
      <c r="E14" s="26" t="n"/>
      <c r="F14" s="30">
        <f>IF(A14="","",COUNTIF('Holdings'!$A$4:$A$2503,A14))</f>
        <v/>
      </c>
      <c r="G14" s="30">
        <f>IF(A14="","",COUNTIF('Access'!$B$4:$B$1503,A14))</f>
        <v/>
      </c>
      <c r="H14" s="30">
        <f>IF(A14="","",IF(COUNTIF($A$4:$A$1003,A14)&gt;1,"Duplicate holder ID",IF(OR(B14="",C14=""),"Missing required field",IF(F14=0,"No holdings",IF(AND(G14=0,A14&lt;&gt;"LKB-GROUP"),"No login (ok if not invited)","OK")))))</f>
        <v/>
      </c>
    </row>
    <row r="15">
      <c r="A15" s="26" t="n"/>
      <c r="B15" s="26" t="n"/>
      <c r="C15" s="26" t="n"/>
      <c r="D15" s="26" t="n"/>
      <c r="E15" s="26" t="n"/>
      <c r="F15" s="30">
        <f>IF(A15="","",COUNTIF('Holdings'!$A$4:$A$2503,A15))</f>
        <v/>
      </c>
      <c r="G15" s="30">
        <f>IF(A15="","",COUNTIF('Access'!$B$4:$B$1503,A15))</f>
        <v/>
      </c>
      <c r="H15" s="30">
        <f>IF(A15="","",IF(COUNTIF($A$4:$A$1003,A15)&gt;1,"Duplicate holder ID",IF(OR(B15="",C15=""),"Missing required field",IF(F15=0,"No holdings",IF(AND(G15=0,A15&lt;&gt;"LKB-GROUP"),"No login (ok if not invited)","OK")))))</f>
        <v/>
      </c>
    </row>
    <row r="16">
      <c r="A16" s="26" t="n"/>
      <c r="B16" s="26" t="n"/>
      <c r="C16" s="26" t="n"/>
      <c r="D16" s="26" t="n"/>
      <c r="E16" s="26" t="n"/>
      <c r="F16" s="30">
        <f>IF(A16="","",COUNTIF('Holdings'!$A$4:$A$2503,A16))</f>
        <v/>
      </c>
      <c r="G16" s="30">
        <f>IF(A16="","",COUNTIF('Access'!$B$4:$B$1503,A16))</f>
        <v/>
      </c>
      <c r="H16" s="30">
        <f>IF(A16="","",IF(COUNTIF($A$4:$A$1003,A16)&gt;1,"Duplicate holder ID",IF(OR(B16="",C16=""),"Missing required field",IF(F16=0,"No holdings",IF(AND(G16=0,A16&lt;&gt;"LKB-GROUP"),"No login (ok if not invited)","OK")))))</f>
        <v/>
      </c>
    </row>
    <row r="17">
      <c r="A17" s="26" t="n"/>
      <c r="B17" s="26" t="n"/>
      <c r="C17" s="26" t="n"/>
      <c r="D17" s="26" t="n"/>
      <c r="E17" s="26" t="n"/>
      <c r="F17" s="30">
        <f>IF(A17="","",COUNTIF('Holdings'!$A$4:$A$2503,A17))</f>
        <v/>
      </c>
      <c r="G17" s="30">
        <f>IF(A17="","",COUNTIF('Access'!$B$4:$B$1503,A17))</f>
        <v/>
      </c>
      <c r="H17" s="30">
        <f>IF(A17="","",IF(COUNTIF($A$4:$A$1003,A17)&gt;1,"Duplicate holder ID",IF(OR(B17="",C17=""),"Missing required field",IF(F17=0,"No holdings",IF(AND(G17=0,A17&lt;&gt;"LKB-GROUP"),"No login (ok if not invited)","OK")))))</f>
        <v/>
      </c>
    </row>
    <row r="18">
      <c r="A18" s="26" t="n"/>
      <c r="B18" s="26" t="n"/>
      <c r="C18" s="26" t="n"/>
      <c r="D18" s="26" t="n"/>
      <c r="E18" s="26" t="n"/>
      <c r="F18" s="30">
        <f>IF(A18="","",COUNTIF('Holdings'!$A$4:$A$2503,A18))</f>
        <v/>
      </c>
      <c r="G18" s="30">
        <f>IF(A18="","",COUNTIF('Access'!$B$4:$B$1503,A18))</f>
        <v/>
      </c>
      <c r="H18" s="30">
        <f>IF(A18="","",IF(COUNTIF($A$4:$A$1003,A18)&gt;1,"Duplicate holder ID",IF(OR(B18="",C18=""),"Missing required field",IF(F18=0,"No holdings",IF(AND(G18=0,A18&lt;&gt;"LKB-GROUP"),"No login (ok if not invited)","OK")))))</f>
        <v/>
      </c>
    </row>
    <row r="19">
      <c r="A19" s="26" t="n"/>
      <c r="B19" s="26" t="n"/>
      <c r="C19" s="26" t="n"/>
      <c r="D19" s="26" t="n"/>
      <c r="E19" s="26" t="n"/>
      <c r="F19" s="30">
        <f>IF(A19="","",COUNTIF('Holdings'!$A$4:$A$2503,A19))</f>
        <v/>
      </c>
      <c r="G19" s="30">
        <f>IF(A19="","",COUNTIF('Access'!$B$4:$B$1503,A19))</f>
        <v/>
      </c>
      <c r="H19" s="30">
        <f>IF(A19="","",IF(COUNTIF($A$4:$A$1003,A19)&gt;1,"Duplicate holder ID",IF(OR(B19="",C19=""),"Missing required field",IF(F19=0,"No holdings",IF(AND(G19=0,A19&lt;&gt;"LKB-GROUP"),"No login (ok if not invited)","OK")))))</f>
        <v/>
      </c>
    </row>
    <row r="20">
      <c r="A20" s="26" t="n"/>
      <c r="B20" s="26" t="n"/>
      <c r="C20" s="26" t="n"/>
      <c r="D20" s="26" t="n"/>
      <c r="E20" s="26" t="n"/>
      <c r="F20" s="30">
        <f>IF(A20="","",COUNTIF('Holdings'!$A$4:$A$2503,A20))</f>
        <v/>
      </c>
      <c r="G20" s="30">
        <f>IF(A20="","",COUNTIF('Access'!$B$4:$B$1503,A20))</f>
        <v/>
      </c>
      <c r="H20" s="30">
        <f>IF(A20="","",IF(COUNTIF($A$4:$A$1003,A20)&gt;1,"Duplicate holder ID",IF(OR(B20="",C20=""),"Missing required field",IF(F20=0,"No holdings",IF(AND(G20=0,A20&lt;&gt;"LKB-GROUP"),"No login (ok if not invited)","OK")))))</f>
        <v/>
      </c>
    </row>
    <row r="21">
      <c r="A21" s="26" t="n"/>
      <c r="B21" s="26" t="n"/>
      <c r="C21" s="26" t="n"/>
      <c r="D21" s="26" t="n"/>
      <c r="E21" s="26" t="n"/>
      <c r="F21" s="30">
        <f>IF(A21="","",COUNTIF('Holdings'!$A$4:$A$2503,A21))</f>
        <v/>
      </c>
      <c r="G21" s="30">
        <f>IF(A21="","",COUNTIF('Access'!$B$4:$B$1503,A21))</f>
        <v/>
      </c>
      <c r="H21" s="30">
        <f>IF(A21="","",IF(COUNTIF($A$4:$A$1003,A21)&gt;1,"Duplicate holder ID",IF(OR(B21="",C21=""),"Missing required field",IF(F21=0,"No holdings",IF(AND(G21=0,A21&lt;&gt;"LKB-GROUP"),"No login (ok if not invited)","OK")))))</f>
        <v/>
      </c>
    </row>
    <row r="22">
      <c r="A22" s="26" t="n"/>
      <c r="B22" s="26" t="n"/>
      <c r="C22" s="26" t="n"/>
      <c r="D22" s="26" t="n"/>
      <c r="E22" s="26" t="n"/>
      <c r="F22" s="30">
        <f>IF(A22="","",COUNTIF('Holdings'!$A$4:$A$2503,A22))</f>
        <v/>
      </c>
      <c r="G22" s="30">
        <f>IF(A22="","",COUNTIF('Access'!$B$4:$B$1503,A22))</f>
        <v/>
      </c>
      <c r="H22" s="30">
        <f>IF(A22="","",IF(COUNTIF($A$4:$A$1003,A22)&gt;1,"Duplicate holder ID",IF(OR(B22="",C22=""),"Missing required field",IF(F22=0,"No holdings",IF(AND(G22=0,A22&lt;&gt;"LKB-GROUP"),"No login (ok if not invited)","OK")))))</f>
        <v/>
      </c>
    </row>
    <row r="23">
      <c r="A23" s="26" t="n"/>
      <c r="B23" s="26" t="n"/>
      <c r="C23" s="26" t="n"/>
      <c r="D23" s="26" t="n"/>
      <c r="E23" s="26" t="n"/>
      <c r="F23" s="30">
        <f>IF(A23="","",COUNTIF('Holdings'!$A$4:$A$2503,A23))</f>
        <v/>
      </c>
      <c r="G23" s="30">
        <f>IF(A23="","",COUNTIF('Access'!$B$4:$B$1503,A23))</f>
        <v/>
      </c>
      <c r="H23" s="30">
        <f>IF(A23="","",IF(COUNTIF($A$4:$A$1003,A23)&gt;1,"Duplicate holder ID",IF(OR(B23="",C23=""),"Missing required field",IF(F23=0,"No holdings",IF(AND(G23=0,A23&lt;&gt;"LKB-GROUP"),"No login (ok if not invited)","OK")))))</f>
        <v/>
      </c>
    </row>
    <row r="24">
      <c r="A24" s="26" t="n"/>
      <c r="B24" s="26" t="n"/>
      <c r="C24" s="26" t="n"/>
      <c r="D24" s="26" t="n"/>
      <c r="E24" s="26" t="n"/>
      <c r="F24" s="30">
        <f>IF(A24="","",COUNTIF('Holdings'!$A$4:$A$2503,A24))</f>
        <v/>
      </c>
      <c r="G24" s="30">
        <f>IF(A24="","",COUNTIF('Access'!$B$4:$B$1503,A24))</f>
        <v/>
      </c>
      <c r="H24" s="30">
        <f>IF(A24="","",IF(COUNTIF($A$4:$A$1003,A24)&gt;1,"Duplicate holder ID",IF(OR(B24="",C24=""),"Missing required field",IF(F24=0,"No holdings",IF(AND(G24=0,A24&lt;&gt;"LKB-GROUP"),"No login (ok if not invited)","OK")))))</f>
        <v/>
      </c>
    </row>
    <row r="25">
      <c r="A25" s="26" t="n"/>
      <c r="B25" s="26" t="n"/>
      <c r="C25" s="26" t="n"/>
      <c r="D25" s="26" t="n"/>
      <c r="E25" s="26" t="n"/>
      <c r="F25" s="30">
        <f>IF(A25="","",COUNTIF('Holdings'!$A$4:$A$2503,A25))</f>
        <v/>
      </c>
      <c r="G25" s="30">
        <f>IF(A25="","",COUNTIF('Access'!$B$4:$B$1503,A25))</f>
        <v/>
      </c>
      <c r="H25" s="30">
        <f>IF(A25="","",IF(COUNTIF($A$4:$A$1003,A25)&gt;1,"Duplicate holder ID",IF(OR(B25="",C25=""),"Missing required field",IF(F25=0,"No holdings",IF(AND(G25=0,A25&lt;&gt;"LKB-GROUP"),"No login (ok if not invited)","OK")))))</f>
        <v/>
      </c>
    </row>
    <row r="26">
      <c r="A26" s="26" t="n"/>
      <c r="B26" s="26" t="n"/>
      <c r="C26" s="26" t="n"/>
      <c r="D26" s="26" t="n"/>
      <c r="E26" s="26" t="n"/>
      <c r="F26" s="30">
        <f>IF(A26="","",COUNTIF('Holdings'!$A$4:$A$2503,A26))</f>
        <v/>
      </c>
      <c r="G26" s="30">
        <f>IF(A26="","",COUNTIF('Access'!$B$4:$B$1503,A26))</f>
        <v/>
      </c>
      <c r="H26" s="30">
        <f>IF(A26="","",IF(COUNTIF($A$4:$A$1003,A26)&gt;1,"Duplicate holder ID",IF(OR(B26="",C26=""),"Missing required field",IF(F26=0,"No holdings",IF(AND(G26=0,A26&lt;&gt;"LKB-GROUP"),"No login (ok if not invited)","OK")))))</f>
        <v/>
      </c>
    </row>
    <row r="27">
      <c r="A27" s="26" t="n"/>
      <c r="B27" s="26" t="n"/>
      <c r="C27" s="26" t="n"/>
      <c r="D27" s="26" t="n"/>
      <c r="E27" s="26" t="n"/>
      <c r="F27" s="30">
        <f>IF(A27="","",COUNTIF('Holdings'!$A$4:$A$2503,A27))</f>
        <v/>
      </c>
      <c r="G27" s="30">
        <f>IF(A27="","",COUNTIF('Access'!$B$4:$B$1503,A27))</f>
        <v/>
      </c>
      <c r="H27" s="30">
        <f>IF(A27="","",IF(COUNTIF($A$4:$A$1003,A27)&gt;1,"Duplicate holder ID",IF(OR(B27="",C27=""),"Missing required field",IF(F27=0,"No holdings",IF(AND(G27=0,A27&lt;&gt;"LKB-GROUP"),"No login (ok if not invited)","OK")))))</f>
        <v/>
      </c>
    </row>
    <row r="28">
      <c r="A28" s="26" t="n"/>
      <c r="B28" s="26" t="n"/>
      <c r="C28" s="26" t="n"/>
      <c r="D28" s="26" t="n"/>
      <c r="E28" s="26" t="n"/>
      <c r="F28" s="30">
        <f>IF(A28="","",COUNTIF('Holdings'!$A$4:$A$2503,A28))</f>
        <v/>
      </c>
      <c r="G28" s="30">
        <f>IF(A28="","",COUNTIF('Access'!$B$4:$B$1503,A28))</f>
        <v/>
      </c>
      <c r="H28" s="30">
        <f>IF(A28="","",IF(COUNTIF($A$4:$A$1003,A28)&gt;1,"Duplicate holder ID",IF(OR(B28="",C28=""),"Missing required field",IF(F28=0,"No holdings",IF(AND(G28=0,A28&lt;&gt;"LKB-GROUP"),"No login (ok if not invited)","OK")))))</f>
        <v/>
      </c>
    </row>
    <row r="29">
      <c r="A29" s="26" t="n"/>
      <c r="B29" s="26" t="n"/>
      <c r="C29" s="26" t="n"/>
      <c r="D29" s="26" t="n"/>
      <c r="E29" s="26" t="n"/>
      <c r="F29" s="30">
        <f>IF(A29="","",COUNTIF('Holdings'!$A$4:$A$2503,A29))</f>
        <v/>
      </c>
      <c r="G29" s="30">
        <f>IF(A29="","",COUNTIF('Access'!$B$4:$B$1503,A29))</f>
        <v/>
      </c>
      <c r="H29" s="30">
        <f>IF(A29="","",IF(COUNTIF($A$4:$A$1003,A29)&gt;1,"Duplicate holder ID",IF(OR(B29="",C29=""),"Missing required field",IF(F29=0,"No holdings",IF(AND(G29=0,A29&lt;&gt;"LKB-GROUP"),"No login (ok if not invited)","OK")))))</f>
        <v/>
      </c>
    </row>
    <row r="30">
      <c r="A30" s="26" t="n"/>
      <c r="B30" s="26" t="n"/>
      <c r="C30" s="26" t="n"/>
      <c r="D30" s="26" t="n"/>
      <c r="E30" s="26" t="n"/>
      <c r="F30" s="30">
        <f>IF(A30="","",COUNTIF('Holdings'!$A$4:$A$2503,A30))</f>
        <v/>
      </c>
      <c r="G30" s="30">
        <f>IF(A30="","",COUNTIF('Access'!$B$4:$B$1503,A30))</f>
        <v/>
      </c>
      <c r="H30" s="30">
        <f>IF(A30="","",IF(COUNTIF($A$4:$A$1003,A30)&gt;1,"Duplicate holder ID",IF(OR(B30="",C30=""),"Missing required field",IF(F30=0,"No holdings",IF(AND(G30=0,A30&lt;&gt;"LKB-GROUP"),"No login (ok if not invited)","OK")))))</f>
        <v/>
      </c>
    </row>
    <row r="31">
      <c r="A31" s="26" t="n"/>
      <c r="B31" s="26" t="n"/>
      <c r="C31" s="26" t="n"/>
      <c r="D31" s="26" t="n"/>
      <c r="E31" s="26" t="n"/>
      <c r="F31" s="30">
        <f>IF(A31="","",COUNTIF('Holdings'!$A$4:$A$2503,A31))</f>
        <v/>
      </c>
      <c r="G31" s="30">
        <f>IF(A31="","",COUNTIF('Access'!$B$4:$B$1503,A31))</f>
        <v/>
      </c>
      <c r="H31" s="30">
        <f>IF(A31="","",IF(COUNTIF($A$4:$A$1003,A31)&gt;1,"Duplicate holder ID",IF(OR(B31="",C31=""),"Missing required field",IF(F31=0,"No holdings",IF(AND(G31=0,A31&lt;&gt;"LKB-GROUP"),"No login (ok if not invited)","OK")))))</f>
        <v/>
      </c>
    </row>
    <row r="32">
      <c r="A32" s="26" t="n"/>
      <c r="B32" s="26" t="n"/>
      <c r="C32" s="26" t="n"/>
      <c r="D32" s="26" t="n"/>
      <c r="E32" s="26" t="n"/>
      <c r="F32" s="30">
        <f>IF(A32="","",COUNTIF('Holdings'!$A$4:$A$2503,A32))</f>
        <v/>
      </c>
      <c r="G32" s="30">
        <f>IF(A32="","",COUNTIF('Access'!$B$4:$B$1503,A32))</f>
        <v/>
      </c>
      <c r="H32" s="30">
        <f>IF(A32="","",IF(COUNTIF($A$4:$A$1003,A32)&gt;1,"Duplicate holder ID",IF(OR(B32="",C32=""),"Missing required field",IF(F32=0,"No holdings",IF(AND(G32=0,A32&lt;&gt;"LKB-GROUP"),"No login (ok if not invited)","OK")))))</f>
        <v/>
      </c>
    </row>
    <row r="33">
      <c r="A33" s="26" t="n"/>
      <c r="B33" s="26" t="n"/>
      <c r="C33" s="26" t="n"/>
      <c r="D33" s="26" t="n"/>
      <c r="E33" s="26" t="n"/>
      <c r="F33" s="30">
        <f>IF(A33="","",COUNTIF('Holdings'!$A$4:$A$2503,A33))</f>
        <v/>
      </c>
      <c r="G33" s="30">
        <f>IF(A33="","",COUNTIF('Access'!$B$4:$B$1503,A33))</f>
        <v/>
      </c>
      <c r="H33" s="30">
        <f>IF(A33="","",IF(COUNTIF($A$4:$A$1003,A33)&gt;1,"Duplicate holder ID",IF(OR(B33="",C33=""),"Missing required field",IF(F33=0,"No holdings",IF(AND(G33=0,A33&lt;&gt;"LKB-GROUP"),"No login (ok if not invited)","OK")))))</f>
        <v/>
      </c>
    </row>
    <row r="34">
      <c r="A34" s="26" t="n"/>
      <c r="B34" s="26" t="n"/>
      <c r="C34" s="26" t="n"/>
      <c r="D34" s="26" t="n"/>
      <c r="E34" s="26" t="n"/>
      <c r="F34" s="30">
        <f>IF(A34="","",COUNTIF('Holdings'!$A$4:$A$2503,A34))</f>
        <v/>
      </c>
      <c r="G34" s="30">
        <f>IF(A34="","",COUNTIF('Access'!$B$4:$B$1503,A34))</f>
        <v/>
      </c>
      <c r="H34" s="30">
        <f>IF(A34="","",IF(COUNTIF($A$4:$A$1003,A34)&gt;1,"Duplicate holder ID",IF(OR(B34="",C34=""),"Missing required field",IF(F34=0,"No holdings",IF(AND(G34=0,A34&lt;&gt;"LKB-GROUP"),"No login (ok if not invited)","OK")))))</f>
        <v/>
      </c>
    </row>
    <row r="35">
      <c r="A35" s="26" t="n"/>
      <c r="B35" s="26" t="n"/>
      <c r="C35" s="26" t="n"/>
      <c r="D35" s="26" t="n"/>
      <c r="E35" s="26" t="n"/>
      <c r="F35" s="30">
        <f>IF(A35="","",COUNTIF('Holdings'!$A$4:$A$2503,A35))</f>
        <v/>
      </c>
      <c r="G35" s="30">
        <f>IF(A35="","",COUNTIF('Access'!$B$4:$B$1503,A35))</f>
        <v/>
      </c>
      <c r="H35" s="30">
        <f>IF(A35="","",IF(COUNTIF($A$4:$A$1003,A35)&gt;1,"Duplicate holder ID",IF(OR(B35="",C35=""),"Missing required field",IF(F35=0,"No holdings",IF(AND(G35=0,A35&lt;&gt;"LKB-GROUP"),"No login (ok if not invited)","OK")))))</f>
        <v/>
      </c>
    </row>
    <row r="36">
      <c r="A36" s="26" t="n"/>
      <c r="B36" s="26" t="n"/>
      <c r="C36" s="26" t="n"/>
      <c r="D36" s="26" t="n"/>
      <c r="E36" s="26" t="n"/>
      <c r="F36" s="30">
        <f>IF(A36="","",COUNTIF('Holdings'!$A$4:$A$2503,A36))</f>
        <v/>
      </c>
      <c r="G36" s="30">
        <f>IF(A36="","",COUNTIF('Access'!$B$4:$B$1503,A36))</f>
        <v/>
      </c>
      <c r="H36" s="30">
        <f>IF(A36="","",IF(COUNTIF($A$4:$A$1003,A36)&gt;1,"Duplicate holder ID",IF(OR(B36="",C36=""),"Missing required field",IF(F36=0,"No holdings",IF(AND(G36=0,A36&lt;&gt;"LKB-GROUP"),"No login (ok if not invited)","OK")))))</f>
        <v/>
      </c>
    </row>
    <row r="37">
      <c r="A37" s="26" t="n"/>
      <c r="B37" s="26" t="n"/>
      <c r="C37" s="26" t="n"/>
      <c r="D37" s="26" t="n"/>
      <c r="E37" s="26" t="n"/>
      <c r="F37" s="30">
        <f>IF(A37="","",COUNTIF('Holdings'!$A$4:$A$2503,A37))</f>
        <v/>
      </c>
      <c r="G37" s="30">
        <f>IF(A37="","",COUNTIF('Access'!$B$4:$B$1503,A37))</f>
        <v/>
      </c>
      <c r="H37" s="30">
        <f>IF(A37="","",IF(COUNTIF($A$4:$A$1003,A37)&gt;1,"Duplicate holder ID",IF(OR(B37="",C37=""),"Missing required field",IF(F37=0,"No holdings",IF(AND(G37=0,A37&lt;&gt;"LKB-GROUP"),"No login (ok if not invited)","OK")))))</f>
        <v/>
      </c>
    </row>
    <row r="38">
      <c r="A38" s="26" t="n"/>
      <c r="B38" s="26" t="n"/>
      <c r="C38" s="26" t="n"/>
      <c r="D38" s="26" t="n"/>
      <c r="E38" s="26" t="n"/>
      <c r="F38" s="30">
        <f>IF(A38="","",COUNTIF('Holdings'!$A$4:$A$2503,A38))</f>
        <v/>
      </c>
      <c r="G38" s="30">
        <f>IF(A38="","",COUNTIF('Access'!$B$4:$B$1503,A38))</f>
        <v/>
      </c>
      <c r="H38" s="30">
        <f>IF(A38="","",IF(COUNTIF($A$4:$A$1003,A38)&gt;1,"Duplicate holder ID",IF(OR(B38="",C38=""),"Missing required field",IF(F38=0,"No holdings",IF(AND(G38=0,A38&lt;&gt;"LKB-GROUP"),"No login (ok if not invited)","OK")))))</f>
        <v/>
      </c>
    </row>
    <row r="39">
      <c r="A39" s="26" t="n"/>
      <c r="B39" s="26" t="n"/>
      <c r="C39" s="26" t="n"/>
      <c r="D39" s="26" t="n"/>
      <c r="E39" s="26" t="n"/>
      <c r="F39" s="30">
        <f>IF(A39="","",COUNTIF('Holdings'!$A$4:$A$2503,A39))</f>
        <v/>
      </c>
      <c r="G39" s="30">
        <f>IF(A39="","",COUNTIF('Access'!$B$4:$B$1503,A39))</f>
        <v/>
      </c>
      <c r="H39" s="30">
        <f>IF(A39="","",IF(COUNTIF($A$4:$A$1003,A39)&gt;1,"Duplicate holder ID",IF(OR(B39="",C39=""),"Missing required field",IF(F39=0,"No holdings",IF(AND(G39=0,A39&lt;&gt;"LKB-GROUP"),"No login (ok if not invited)","OK")))))</f>
        <v/>
      </c>
    </row>
    <row r="40">
      <c r="A40" s="26" t="n"/>
      <c r="B40" s="26" t="n"/>
      <c r="C40" s="26" t="n"/>
      <c r="D40" s="26" t="n"/>
      <c r="E40" s="26" t="n"/>
      <c r="F40" s="30">
        <f>IF(A40="","",COUNTIF('Holdings'!$A$4:$A$2503,A40))</f>
        <v/>
      </c>
      <c r="G40" s="30">
        <f>IF(A40="","",COUNTIF('Access'!$B$4:$B$1503,A40))</f>
        <v/>
      </c>
      <c r="H40" s="30">
        <f>IF(A40="","",IF(COUNTIF($A$4:$A$1003,A40)&gt;1,"Duplicate holder ID",IF(OR(B40="",C40=""),"Missing required field",IF(F40=0,"No holdings",IF(AND(G40=0,A40&lt;&gt;"LKB-GROUP"),"No login (ok if not invited)","OK")))))</f>
        <v/>
      </c>
    </row>
    <row r="41">
      <c r="A41" s="26" t="n"/>
      <c r="B41" s="26" t="n"/>
      <c r="C41" s="26" t="n"/>
      <c r="D41" s="26" t="n"/>
      <c r="E41" s="26" t="n"/>
      <c r="F41" s="30">
        <f>IF(A41="","",COUNTIF('Holdings'!$A$4:$A$2503,A41))</f>
        <v/>
      </c>
      <c r="G41" s="30">
        <f>IF(A41="","",COUNTIF('Access'!$B$4:$B$1503,A41))</f>
        <v/>
      </c>
      <c r="H41" s="30">
        <f>IF(A41="","",IF(COUNTIF($A$4:$A$1003,A41)&gt;1,"Duplicate holder ID",IF(OR(B41="",C41=""),"Missing required field",IF(F41=0,"No holdings",IF(AND(G41=0,A41&lt;&gt;"LKB-GROUP"),"No login (ok if not invited)","OK")))))</f>
        <v/>
      </c>
    </row>
    <row r="42">
      <c r="A42" s="26" t="n"/>
      <c r="B42" s="26" t="n"/>
      <c r="C42" s="26" t="n"/>
      <c r="D42" s="26" t="n"/>
      <c r="E42" s="26" t="n"/>
      <c r="F42" s="30">
        <f>IF(A42="","",COUNTIF('Holdings'!$A$4:$A$2503,A42))</f>
        <v/>
      </c>
      <c r="G42" s="30">
        <f>IF(A42="","",COUNTIF('Access'!$B$4:$B$1503,A42))</f>
        <v/>
      </c>
      <c r="H42" s="30">
        <f>IF(A42="","",IF(COUNTIF($A$4:$A$1003,A42)&gt;1,"Duplicate holder ID",IF(OR(B42="",C42=""),"Missing required field",IF(F42=0,"No holdings",IF(AND(G42=0,A42&lt;&gt;"LKB-GROUP"),"No login (ok if not invited)","OK")))))</f>
        <v/>
      </c>
    </row>
    <row r="43">
      <c r="A43" s="26" t="n"/>
      <c r="B43" s="26" t="n"/>
      <c r="C43" s="26" t="n"/>
      <c r="D43" s="26" t="n"/>
      <c r="E43" s="26" t="n"/>
      <c r="F43" s="30">
        <f>IF(A43="","",COUNTIF('Holdings'!$A$4:$A$2503,A43))</f>
        <v/>
      </c>
      <c r="G43" s="30">
        <f>IF(A43="","",COUNTIF('Access'!$B$4:$B$1503,A43))</f>
        <v/>
      </c>
      <c r="H43" s="30">
        <f>IF(A43="","",IF(COUNTIF($A$4:$A$1003,A43)&gt;1,"Duplicate holder ID",IF(OR(B43="",C43=""),"Missing required field",IF(F43=0,"No holdings",IF(AND(G43=0,A43&lt;&gt;"LKB-GROUP"),"No login (ok if not invited)","OK")))))</f>
        <v/>
      </c>
    </row>
    <row r="44">
      <c r="A44" s="26" t="n"/>
      <c r="B44" s="26" t="n"/>
      <c r="C44" s="26" t="n"/>
      <c r="D44" s="26" t="n"/>
      <c r="E44" s="26" t="n"/>
      <c r="F44" s="30">
        <f>IF(A44="","",COUNTIF('Holdings'!$A$4:$A$2503,A44))</f>
        <v/>
      </c>
      <c r="G44" s="30">
        <f>IF(A44="","",COUNTIF('Access'!$B$4:$B$1503,A44))</f>
        <v/>
      </c>
      <c r="H44" s="30">
        <f>IF(A44="","",IF(COUNTIF($A$4:$A$1003,A44)&gt;1,"Duplicate holder ID",IF(OR(B44="",C44=""),"Missing required field",IF(F44=0,"No holdings",IF(AND(G44=0,A44&lt;&gt;"LKB-GROUP"),"No login (ok if not invited)","OK")))))</f>
        <v/>
      </c>
    </row>
    <row r="45">
      <c r="A45" s="26" t="n"/>
      <c r="B45" s="26" t="n"/>
      <c r="C45" s="26" t="n"/>
      <c r="D45" s="26" t="n"/>
      <c r="E45" s="26" t="n"/>
      <c r="F45" s="30">
        <f>IF(A45="","",COUNTIF('Holdings'!$A$4:$A$2503,A45))</f>
        <v/>
      </c>
      <c r="G45" s="30">
        <f>IF(A45="","",COUNTIF('Access'!$B$4:$B$1503,A45))</f>
        <v/>
      </c>
      <c r="H45" s="30">
        <f>IF(A45="","",IF(COUNTIF($A$4:$A$1003,A45)&gt;1,"Duplicate holder ID",IF(OR(B45="",C45=""),"Missing required field",IF(F45=0,"No holdings",IF(AND(G45=0,A45&lt;&gt;"LKB-GROUP"),"No login (ok if not invited)","OK")))))</f>
        <v/>
      </c>
    </row>
    <row r="46">
      <c r="A46" s="26" t="n"/>
      <c r="B46" s="26" t="n"/>
      <c r="C46" s="26" t="n"/>
      <c r="D46" s="26" t="n"/>
      <c r="E46" s="26" t="n"/>
      <c r="F46" s="30">
        <f>IF(A46="","",COUNTIF('Holdings'!$A$4:$A$2503,A46))</f>
        <v/>
      </c>
      <c r="G46" s="30">
        <f>IF(A46="","",COUNTIF('Access'!$B$4:$B$1503,A46))</f>
        <v/>
      </c>
      <c r="H46" s="30">
        <f>IF(A46="","",IF(COUNTIF($A$4:$A$1003,A46)&gt;1,"Duplicate holder ID",IF(OR(B46="",C46=""),"Missing required field",IF(F46=0,"No holdings",IF(AND(G46=0,A46&lt;&gt;"LKB-GROUP"),"No login (ok if not invited)","OK")))))</f>
        <v/>
      </c>
    </row>
    <row r="47">
      <c r="A47" s="26" t="n"/>
      <c r="B47" s="26" t="n"/>
      <c r="C47" s="26" t="n"/>
      <c r="D47" s="26" t="n"/>
      <c r="E47" s="26" t="n"/>
      <c r="F47" s="30">
        <f>IF(A47="","",COUNTIF('Holdings'!$A$4:$A$2503,A47))</f>
        <v/>
      </c>
      <c r="G47" s="30">
        <f>IF(A47="","",COUNTIF('Access'!$B$4:$B$1503,A47))</f>
        <v/>
      </c>
      <c r="H47" s="30">
        <f>IF(A47="","",IF(COUNTIF($A$4:$A$1003,A47)&gt;1,"Duplicate holder ID",IF(OR(B47="",C47=""),"Missing required field",IF(F47=0,"No holdings",IF(AND(G47=0,A47&lt;&gt;"LKB-GROUP"),"No login (ok if not invited)","OK")))))</f>
        <v/>
      </c>
    </row>
    <row r="48">
      <c r="A48" s="26" t="n"/>
      <c r="B48" s="26" t="n"/>
      <c r="C48" s="26" t="n"/>
      <c r="D48" s="26" t="n"/>
      <c r="E48" s="26" t="n"/>
      <c r="F48" s="30">
        <f>IF(A48="","",COUNTIF('Holdings'!$A$4:$A$2503,A48))</f>
        <v/>
      </c>
      <c r="G48" s="30">
        <f>IF(A48="","",COUNTIF('Access'!$B$4:$B$1503,A48))</f>
        <v/>
      </c>
      <c r="H48" s="30">
        <f>IF(A48="","",IF(COUNTIF($A$4:$A$1003,A48)&gt;1,"Duplicate holder ID",IF(OR(B48="",C48=""),"Missing required field",IF(F48=0,"No holdings",IF(AND(G48=0,A48&lt;&gt;"LKB-GROUP"),"No login (ok if not invited)","OK")))))</f>
        <v/>
      </c>
    </row>
    <row r="49">
      <c r="A49" s="26" t="n"/>
      <c r="B49" s="26" t="n"/>
      <c r="C49" s="26" t="n"/>
      <c r="D49" s="26" t="n"/>
      <c r="E49" s="26" t="n"/>
      <c r="F49" s="30">
        <f>IF(A49="","",COUNTIF('Holdings'!$A$4:$A$2503,A49))</f>
        <v/>
      </c>
      <c r="G49" s="30">
        <f>IF(A49="","",COUNTIF('Access'!$B$4:$B$1503,A49))</f>
        <v/>
      </c>
      <c r="H49" s="30">
        <f>IF(A49="","",IF(COUNTIF($A$4:$A$1003,A49)&gt;1,"Duplicate holder ID",IF(OR(B49="",C49=""),"Missing required field",IF(F49=0,"No holdings",IF(AND(G49=0,A49&lt;&gt;"LKB-GROUP"),"No login (ok if not invited)","OK")))))</f>
        <v/>
      </c>
    </row>
    <row r="50">
      <c r="A50" s="26" t="n"/>
      <c r="B50" s="26" t="n"/>
      <c r="C50" s="26" t="n"/>
      <c r="D50" s="26" t="n"/>
      <c r="E50" s="26" t="n"/>
      <c r="F50" s="30">
        <f>IF(A50="","",COUNTIF('Holdings'!$A$4:$A$2503,A50))</f>
        <v/>
      </c>
      <c r="G50" s="30">
        <f>IF(A50="","",COUNTIF('Access'!$B$4:$B$1503,A50))</f>
        <v/>
      </c>
      <c r="H50" s="30">
        <f>IF(A50="","",IF(COUNTIF($A$4:$A$1003,A50)&gt;1,"Duplicate holder ID",IF(OR(B50="",C50=""),"Missing required field",IF(F50=0,"No holdings",IF(AND(G50=0,A50&lt;&gt;"LKB-GROUP"),"No login (ok if not invited)","OK")))))</f>
        <v/>
      </c>
    </row>
    <row r="51">
      <c r="A51" s="26" t="n"/>
      <c r="B51" s="26" t="n"/>
      <c r="C51" s="26" t="n"/>
      <c r="D51" s="26" t="n"/>
      <c r="E51" s="26" t="n"/>
      <c r="F51" s="30">
        <f>IF(A51="","",COUNTIF('Holdings'!$A$4:$A$2503,A51))</f>
        <v/>
      </c>
      <c r="G51" s="30">
        <f>IF(A51="","",COUNTIF('Access'!$B$4:$B$1503,A51))</f>
        <v/>
      </c>
      <c r="H51" s="30">
        <f>IF(A51="","",IF(COUNTIF($A$4:$A$1003,A51)&gt;1,"Duplicate holder ID",IF(OR(B51="",C51=""),"Missing required field",IF(F51=0,"No holdings",IF(AND(G51=0,A51&lt;&gt;"LKB-GROUP"),"No login (ok if not invited)","OK")))))</f>
        <v/>
      </c>
    </row>
    <row r="52">
      <c r="A52" s="26" t="n"/>
      <c r="B52" s="26" t="n"/>
      <c r="C52" s="26" t="n"/>
      <c r="D52" s="26" t="n"/>
      <c r="E52" s="26" t="n"/>
      <c r="F52" s="30">
        <f>IF(A52="","",COUNTIF('Holdings'!$A$4:$A$2503,A52))</f>
        <v/>
      </c>
      <c r="G52" s="30">
        <f>IF(A52="","",COUNTIF('Access'!$B$4:$B$1503,A52))</f>
        <v/>
      </c>
      <c r="H52" s="30">
        <f>IF(A52="","",IF(COUNTIF($A$4:$A$1003,A52)&gt;1,"Duplicate holder ID",IF(OR(B52="",C52=""),"Missing required field",IF(F52=0,"No holdings",IF(AND(G52=0,A52&lt;&gt;"LKB-GROUP"),"No login (ok if not invited)","OK")))))</f>
        <v/>
      </c>
    </row>
    <row r="53">
      <c r="A53" s="26" t="n"/>
      <c r="B53" s="26" t="n"/>
      <c r="C53" s="26" t="n"/>
      <c r="D53" s="26" t="n"/>
      <c r="E53" s="26" t="n"/>
      <c r="F53" s="30">
        <f>IF(A53="","",COUNTIF('Holdings'!$A$4:$A$2503,A53))</f>
        <v/>
      </c>
      <c r="G53" s="30">
        <f>IF(A53="","",COUNTIF('Access'!$B$4:$B$1503,A53))</f>
        <v/>
      </c>
      <c r="H53" s="30">
        <f>IF(A53="","",IF(COUNTIF($A$4:$A$1003,A53)&gt;1,"Duplicate holder ID",IF(OR(B53="",C53=""),"Missing required field",IF(F53=0,"No holdings",IF(AND(G53=0,A53&lt;&gt;"LKB-GROUP"),"No login (ok if not invited)","OK")))))</f>
        <v/>
      </c>
    </row>
    <row r="54">
      <c r="A54" s="26" t="n"/>
      <c r="B54" s="26" t="n"/>
      <c r="C54" s="26" t="n"/>
      <c r="D54" s="26" t="n"/>
      <c r="E54" s="26" t="n"/>
      <c r="F54" s="30">
        <f>IF(A54="","",COUNTIF('Holdings'!$A$4:$A$2503,A54))</f>
        <v/>
      </c>
      <c r="G54" s="30">
        <f>IF(A54="","",COUNTIF('Access'!$B$4:$B$1503,A54))</f>
        <v/>
      </c>
      <c r="H54" s="30">
        <f>IF(A54="","",IF(COUNTIF($A$4:$A$1003,A54)&gt;1,"Duplicate holder ID",IF(OR(B54="",C54=""),"Missing required field",IF(F54=0,"No holdings",IF(AND(G54=0,A54&lt;&gt;"LKB-GROUP"),"No login (ok if not invited)","OK")))))</f>
        <v/>
      </c>
    </row>
    <row r="55">
      <c r="A55" s="26" t="n"/>
      <c r="B55" s="26" t="n"/>
      <c r="C55" s="26" t="n"/>
      <c r="D55" s="26" t="n"/>
      <c r="E55" s="26" t="n"/>
      <c r="F55" s="30">
        <f>IF(A55="","",COUNTIF('Holdings'!$A$4:$A$2503,A55))</f>
        <v/>
      </c>
      <c r="G55" s="30">
        <f>IF(A55="","",COUNTIF('Access'!$B$4:$B$1503,A55))</f>
        <v/>
      </c>
      <c r="H55" s="30">
        <f>IF(A55="","",IF(COUNTIF($A$4:$A$1003,A55)&gt;1,"Duplicate holder ID",IF(OR(B55="",C55=""),"Missing required field",IF(F55=0,"No holdings",IF(AND(G55=0,A55&lt;&gt;"LKB-GROUP"),"No login (ok if not invited)","OK")))))</f>
        <v/>
      </c>
    </row>
    <row r="56">
      <c r="A56" s="26" t="n"/>
      <c r="B56" s="26" t="n"/>
      <c r="C56" s="26" t="n"/>
      <c r="D56" s="26" t="n"/>
      <c r="E56" s="26" t="n"/>
      <c r="F56" s="30">
        <f>IF(A56="","",COUNTIF('Holdings'!$A$4:$A$2503,A56))</f>
        <v/>
      </c>
      <c r="G56" s="30">
        <f>IF(A56="","",COUNTIF('Access'!$B$4:$B$1503,A56))</f>
        <v/>
      </c>
      <c r="H56" s="30">
        <f>IF(A56="","",IF(COUNTIF($A$4:$A$1003,A56)&gt;1,"Duplicate holder ID",IF(OR(B56="",C56=""),"Missing required field",IF(F56=0,"No holdings",IF(AND(G56=0,A56&lt;&gt;"LKB-GROUP"),"No login (ok if not invited)","OK")))))</f>
        <v/>
      </c>
    </row>
    <row r="57">
      <c r="A57" s="26" t="n"/>
      <c r="B57" s="26" t="n"/>
      <c r="C57" s="26" t="n"/>
      <c r="D57" s="26" t="n"/>
      <c r="E57" s="26" t="n"/>
      <c r="F57" s="30">
        <f>IF(A57="","",COUNTIF('Holdings'!$A$4:$A$2503,A57))</f>
        <v/>
      </c>
      <c r="G57" s="30">
        <f>IF(A57="","",COUNTIF('Access'!$B$4:$B$1503,A57))</f>
        <v/>
      </c>
      <c r="H57" s="30">
        <f>IF(A57="","",IF(COUNTIF($A$4:$A$1003,A57)&gt;1,"Duplicate holder ID",IF(OR(B57="",C57=""),"Missing required field",IF(F57=0,"No holdings",IF(AND(G57=0,A57&lt;&gt;"LKB-GROUP"),"No login (ok if not invited)","OK")))))</f>
        <v/>
      </c>
    </row>
    <row r="58">
      <c r="A58" s="26" t="n"/>
      <c r="B58" s="26" t="n"/>
      <c r="C58" s="26" t="n"/>
      <c r="D58" s="26" t="n"/>
      <c r="E58" s="26" t="n"/>
      <c r="F58" s="30">
        <f>IF(A58="","",COUNTIF('Holdings'!$A$4:$A$2503,A58))</f>
        <v/>
      </c>
      <c r="G58" s="30">
        <f>IF(A58="","",COUNTIF('Access'!$B$4:$B$1503,A58))</f>
        <v/>
      </c>
      <c r="H58" s="30">
        <f>IF(A58="","",IF(COUNTIF($A$4:$A$1003,A58)&gt;1,"Duplicate holder ID",IF(OR(B58="",C58=""),"Missing required field",IF(F58=0,"No holdings",IF(AND(G58=0,A58&lt;&gt;"LKB-GROUP"),"No login (ok if not invited)","OK")))))</f>
        <v/>
      </c>
    </row>
    <row r="59">
      <c r="A59" s="26" t="n"/>
      <c r="B59" s="26" t="n"/>
      <c r="C59" s="26" t="n"/>
      <c r="D59" s="26" t="n"/>
      <c r="E59" s="26" t="n"/>
      <c r="F59" s="30">
        <f>IF(A59="","",COUNTIF('Holdings'!$A$4:$A$2503,A59))</f>
        <v/>
      </c>
      <c r="G59" s="30">
        <f>IF(A59="","",COUNTIF('Access'!$B$4:$B$1503,A59))</f>
        <v/>
      </c>
      <c r="H59" s="30">
        <f>IF(A59="","",IF(COUNTIF($A$4:$A$1003,A59)&gt;1,"Duplicate holder ID",IF(OR(B59="",C59=""),"Missing required field",IF(F59=0,"No holdings",IF(AND(G59=0,A59&lt;&gt;"LKB-GROUP"),"No login (ok if not invited)","OK")))))</f>
        <v/>
      </c>
    </row>
    <row r="60">
      <c r="A60" s="26" t="n"/>
      <c r="B60" s="26" t="n"/>
      <c r="C60" s="26" t="n"/>
      <c r="D60" s="26" t="n"/>
      <c r="E60" s="26" t="n"/>
      <c r="F60" s="30">
        <f>IF(A60="","",COUNTIF('Holdings'!$A$4:$A$2503,A60))</f>
        <v/>
      </c>
      <c r="G60" s="30">
        <f>IF(A60="","",COUNTIF('Access'!$B$4:$B$1503,A60))</f>
        <v/>
      </c>
      <c r="H60" s="30">
        <f>IF(A60="","",IF(COUNTIF($A$4:$A$1003,A60)&gt;1,"Duplicate holder ID",IF(OR(B60="",C60=""),"Missing required field",IF(F60=0,"No holdings",IF(AND(G60=0,A60&lt;&gt;"LKB-GROUP"),"No login (ok if not invited)","OK")))))</f>
        <v/>
      </c>
    </row>
    <row r="61">
      <c r="A61" s="26" t="n"/>
      <c r="B61" s="26" t="n"/>
      <c r="C61" s="26" t="n"/>
      <c r="D61" s="26" t="n"/>
      <c r="E61" s="26" t="n"/>
      <c r="F61" s="30">
        <f>IF(A61="","",COUNTIF('Holdings'!$A$4:$A$2503,A61))</f>
        <v/>
      </c>
      <c r="G61" s="30">
        <f>IF(A61="","",COUNTIF('Access'!$B$4:$B$1503,A61))</f>
        <v/>
      </c>
      <c r="H61" s="30">
        <f>IF(A61="","",IF(COUNTIF($A$4:$A$1003,A61)&gt;1,"Duplicate holder ID",IF(OR(B61="",C61=""),"Missing required field",IF(F61=0,"No holdings",IF(AND(G61=0,A61&lt;&gt;"LKB-GROUP"),"No login (ok if not invited)","OK")))))</f>
        <v/>
      </c>
    </row>
    <row r="62">
      <c r="A62" s="26" t="n"/>
      <c r="B62" s="26" t="n"/>
      <c r="C62" s="26" t="n"/>
      <c r="D62" s="26" t="n"/>
      <c r="E62" s="26" t="n"/>
      <c r="F62" s="30">
        <f>IF(A62="","",COUNTIF('Holdings'!$A$4:$A$2503,A62))</f>
        <v/>
      </c>
      <c r="G62" s="30">
        <f>IF(A62="","",COUNTIF('Access'!$B$4:$B$1503,A62))</f>
        <v/>
      </c>
      <c r="H62" s="30">
        <f>IF(A62="","",IF(COUNTIF($A$4:$A$1003,A62)&gt;1,"Duplicate holder ID",IF(OR(B62="",C62=""),"Missing required field",IF(F62=0,"No holdings",IF(AND(G62=0,A62&lt;&gt;"LKB-GROUP"),"No login (ok if not invited)","OK")))))</f>
        <v/>
      </c>
    </row>
    <row r="63">
      <c r="A63" s="26" t="n"/>
      <c r="B63" s="26" t="n"/>
      <c r="C63" s="26" t="n"/>
      <c r="D63" s="26" t="n"/>
      <c r="E63" s="26" t="n"/>
      <c r="F63" s="30">
        <f>IF(A63="","",COUNTIF('Holdings'!$A$4:$A$2503,A63))</f>
        <v/>
      </c>
      <c r="G63" s="30">
        <f>IF(A63="","",COUNTIF('Access'!$B$4:$B$1503,A63))</f>
        <v/>
      </c>
      <c r="H63" s="30">
        <f>IF(A63="","",IF(COUNTIF($A$4:$A$1003,A63)&gt;1,"Duplicate holder ID",IF(OR(B63="",C63=""),"Missing required field",IF(F63=0,"No holdings",IF(AND(G63=0,A63&lt;&gt;"LKB-GROUP"),"No login (ok if not invited)","OK")))))</f>
        <v/>
      </c>
    </row>
    <row r="64">
      <c r="A64" s="26" t="n"/>
      <c r="B64" s="26" t="n"/>
      <c r="C64" s="26" t="n"/>
      <c r="D64" s="26" t="n"/>
      <c r="E64" s="26" t="n"/>
      <c r="F64" s="30">
        <f>IF(A64="","",COUNTIF('Holdings'!$A$4:$A$2503,A64))</f>
        <v/>
      </c>
      <c r="G64" s="30">
        <f>IF(A64="","",COUNTIF('Access'!$B$4:$B$1503,A64))</f>
        <v/>
      </c>
      <c r="H64" s="30">
        <f>IF(A64="","",IF(COUNTIF($A$4:$A$1003,A64)&gt;1,"Duplicate holder ID",IF(OR(B64="",C64=""),"Missing required field",IF(F64=0,"No holdings",IF(AND(G64=0,A64&lt;&gt;"LKB-GROUP"),"No login (ok if not invited)","OK")))))</f>
        <v/>
      </c>
    </row>
    <row r="65">
      <c r="A65" s="26" t="n"/>
      <c r="B65" s="26" t="n"/>
      <c r="C65" s="26" t="n"/>
      <c r="D65" s="26" t="n"/>
      <c r="E65" s="26" t="n"/>
      <c r="F65" s="30">
        <f>IF(A65="","",COUNTIF('Holdings'!$A$4:$A$2503,A65))</f>
        <v/>
      </c>
      <c r="G65" s="30">
        <f>IF(A65="","",COUNTIF('Access'!$B$4:$B$1503,A65))</f>
        <v/>
      </c>
      <c r="H65" s="30">
        <f>IF(A65="","",IF(COUNTIF($A$4:$A$1003,A65)&gt;1,"Duplicate holder ID",IF(OR(B65="",C65=""),"Missing required field",IF(F65=0,"No holdings",IF(AND(G65=0,A65&lt;&gt;"LKB-GROUP"),"No login (ok if not invited)","OK")))))</f>
        <v/>
      </c>
    </row>
    <row r="66">
      <c r="A66" s="26" t="n"/>
      <c r="B66" s="26" t="n"/>
      <c r="C66" s="26" t="n"/>
      <c r="D66" s="26" t="n"/>
      <c r="E66" s="26" t="n"/>
      <c r="F66" s="30">
        <f>IF(A66="","",COUNTIF('Holdings'!$A$4:$A$2503,A66))</f>
        <v/>
      </c>
      <c r="G66" s="30">
        <f>IF(A66="","",COUNTIF('Access'!$B$4:$B$1503,A66))</f>
        <v/>
      </c>
      <c r="H66" s="30">
        <f>IF(A66="","",IF(COUNTIF($A$4:$A$1003,A66)&gt;1,"Duplicate holder ID",IF(OR(B66="",C66=""),"Missing required field",IF(F66=0,"No holdings",IF(AND(G66=0,A66&lt;&gt;"LKB-GROUP"),"No login (ok if not invited)","OK")))))</f>
        <v/>
      </c>
    </row>
    <row r="67">
      <c r="A67" s="26" t="n"/>
      <c r="B67" s="26" t="n"/>
      <c r="C67" s="26" t="n"/>
      <c r="D67" s="26" t="n"/>
      <c r="E67" s="26" t="n"/>
      <c r="F67" s="30">
        <f>IF(A67="","",COUNTIF('Holdings'!$A$4:$A$2503,A67))</f>
        <v/>
      </c>
      <c r="G67" s="30">
        <f>IF(A67="","",COUNTIF('Access'!$B$4:$B$1503,A67))</f>
        <v/>
      </c>
      <c r="H67" s="30">
        <f>IF(A67="","",IF(COUNTIF($A$4:$A$1003,A67)&gt;1,"Duplicate holder ID",IF(OR(B67="",C67=""),"Missing required field",IF(F67=0,"No holdings",IF(AND(G67=0,A67&lt;&gt;"LKB-GROUP"),"No login (ok if not invited)","OK")))))</f>
        <v/>
      </c>
    </row>
    <row r="68">
      <c r="A68" s="26" t="n"/>
      <c r="B68" s="26" t="n"/>
      <c r="C68" s="26" t="n"/>
      <c r="D68" s="26" t="n"/>
      <c r="E68" s="26" t="n"/>
      <c r="F68" s="30">
        <f>IF(A68="","",COUNTIF('Holdings'!$A$4:$A$2503,A68))</f>
        <v/>
      </c>
      <c r="G68" s="30">
        <f>IF(A68="","",COUNTIF('Access'!$B$4:$B$1503,A68))</f>
        <v/>
      </c>
      <c r="H68" s="30">
        <f>IF(A68="","",IF(COUNTIF($A$4:$A$1003,A68)&gt;1,"Duplicate holder ID",IF(OR(B68="",C68=""),"Missing required field",IF(F68=0,"No holdings",IF(AND(G68=0,A68&lt;&gt;"LKB-GROUP"),"No login (ok if not invited)","OK")))))</f>
        <v/>
      </c>
    </row>
    <row r="69">
      <c r="A69" s="26" t="n"/>
      <c r="B69" s="26" t="n"/>
      <c r="C69" s="26" t="n"/>
      <c r="D69" s="26" t="n"/>
      <c r="E69" s="26" t="n"/>
      <c r="F69" s="30">
        <f>IF(A69="","",COUNTIF('Holdings'!$A$4:$A$2503,A69))</f>
        <v/>
      </c>
      <c r="G69" s="30">
        <f>IF(A69="","",COUNTIF('Access'!$B$4:$B$1503,A69))</f>
        <v/>
      </c>
      <c r="H69" s="30">
        <f>IF(A69="","",IF(COUNTIF($A$4:$A$1003,A69)&gt;1,"Duplicate holder ID",IF(OR(B69="",C69=""),"Missing required field",IF(F69=0,"No holdings",IF(AND(G69=0,A69&lt;&gt;"LKB-GROUP"),"No login (ok if not invited)","OK")))))</f>
        <v/>
      </c>
    </row>
    <row r="70">
      <c r="A70" s="26" t="n"/>
      <c r="B70" s="26" t="n"/>
      <c r="C70" s="26" t="n"/>
      <c r="D70" s="26" t="n"/>
      <c r="E70" s="26" t="n"/>
      <c r="F70" s="30">
        <f>IF(A70="","",COUNTIF('Holdings'!$A$4:$A$2503,A70))</f>
        <v/>
      </c>
      <c r="G70" s="30">
        <f>IF(A70="","",COUNTIF('Access'!$B$4:$B$1503,A70))</f>
        <v/>
      </c>
      <c r="H70" s="30">
        <f>IF(A70="","",IF(COUNTIF($A$4:$A$1003,A70)&gt;1,"Duplicate holder ID",IF(OR(B70="",C70=""),"Missing required field",IF(F70=0,"No holdings",IF(AND(G70=0,A70&lt;&gt;"LKB-GROUP"),"No login (ok if not invited)","OK")))))</f>
        <v/>
      </c>
    </row>
    <row r="71">
      <c r="A71" s="26" t="n"/>
      <c r="B71" s="26" t="n"/>
      <c r="C71" s="26" t="n"/>
      <c r="D71" s="26" t="n"/>
      <c r="E71" s="26" t="n"/>
      <c r="F71" s="30">
        <f>IF(A71="","",COUNTIF('Holdings'!$A$4:$A$2503,A71))</f>
        <v/>
      </c>
      <c r="G71" s="30">
        <f>IF(A71="","",COUNTIF('Access'!$B$4:$B$1503,A71))</f>
        <v/>
      </c>
      <c r="H71" s="30">
        <f>IF(A71="","",IF(COUNTIF($A$4:$A$1003,A71)&gt;1,"Duplicate holder ID",IF(OR(B71="",C71=""),"Missing required field",IF(F71=0,"No holdings",IF(AND(G71=0,A71&lt;&gt;"LKB-GROUP"),"No login (ok if not invited)","OK")))))</f>
        <v/>
      </c>
    </row>
    <row r="72">
      <c r="A72" s="26" t="n"/>
      <c r="B72" s="26" t="n"/>
      <c r="C72" s="26" t="n"/>
      <c r="D72" s="26" t="n"/>
      <c r="E72" s="26" t="n"/>
      <c r="F72" s="30">
        <f>IF(A72="","",COUNTIF('Holdings'!$A$4:$A$2503,A72))</f>
        <v/>
      </c>
      <c r="G72" s="30">
        <f>IF(A72="","",COUNTIF('Access'!$B$4:$B$1503,A72))</f>
        <v/>
      </c>
      <c r="H72" s="30">
        <f>IF(A72="","",IF(COUNTIF($A$4:$A$1003,A72)&gt;1,"Duplicate holder ID",IF(OR(B72="",C72=""),"Missing required field",IF(F72=0,"No holdings",IF(AND(G72=0,A72&lt;&gt;"LKB-GROUP"),"No login (ok if not invited)","OK")))))</f>
        <v/>
      </c>
    </row>
    <row r="73">
      <c r="A73" s="26" t="n"/>
      <c r="B73" s="26" t="n"/>
      <c r="C73" s="26" t="n"/>
      <c r="D73" s="26" t="n"/>
      <c r="E73" s="26" t="n"/>
      <c r="F73" s="30">
        <f>IF(A73="","",COUNTIF('Holdings'!$A$4:$A$2503,A73))</f>
        <v/>
      </c>
      <c r="G73" s="30">
        <f>IF(A73="","",COUNTIF('Access'!$B$4:$B$1503,A73))</f>
        <v/>
      </c>
      <c r="H73" s="30">
        <f>IF(A73="","",IF(COUNTIF($A$4:$A$1003,A73)&gt;1,"Duplicate holder ID",IF(OR(B73="",C73=""),"Missing required field",IF(F73=0,"No holdings",IF(AND(G73=0,A73&lt;&gt;"LKB-GROUP"),"No login (ok if not invited)","OK")))))</f>
        <v/>
      </c>
    </row>
    <row r="74">
      <c r="A74" s="26" t="n"/>
      <c r="B74" s="26" t="n"/>
      <c r="C74" s="26" t="n"/>
      <c r="D74" s="26" t="n"/>
      <c r="E74" s="26" t="n"/>
      <c r="F74" s="30">
        <f>IF(A74="","",COUNTIF('Holdings'!$A$4:$A$2503,A74))</f>
        <v/>
      </c>
      <c r="G74" s="30">
        <f>IF(A74="","",COUNTIF('Access'!$B$4:$B$1503,A74))</f>
        <v/>
      </c>
      <c r="H74" s="30">
        <f>IF(A74="","",IF(COUNTIF($A$4:$A$1003,A74)&gt;1,"Duplicate holder ID",IF(OR(B74="",C74=""),"Missing required field",IF(F74=0,"No holdings",IF(AND(G74=0,A74&lt;&gt;"LKB-GROUP"),"No login (ok if not invited)","OK")))))</f>
        <v/>
      </c>
    </row>
    <row r="75">
      <c r="A75" s="26" t="n"/>
      <c r="B75" s="26" t="n"/>
      <c r="C75" s="26" t="n"/>
      <c r="D75" s="26" t="n"/>
      <c r="E75" s="26" t="n"/>
      <c r="F75" s="30">
        <f>IF(A75="","",COUNTIF('Holdings'!$A$4:$A$2503,A75))</f>
        <v/>
      </c>
      <c r="G75" s="30">
        <f>IF(A75="","",COUNTIF('Access'!$B$4:$B$1503,A75))</f>
        <v/>
      </c>
      <c r="H75" s="30">
        <f>IF(A75="","",IF(COUNTIF($A$4:$A$1003,A75)&gt;1,"Duplicate holder ID",IF(OR(B75="",C75=""),"Missing required field",IF(F75=0,"No holdings",IF(AND(G75=0,A75&lt;&gt;"LKB-GROUP"),"No login (ok if not invited)","OK")))))</f>
        <v/>
      </c>
    </row>
    <row r="76">
      <c r="A76" s="26" t="n"/>
      <c r="B76" s="26" t="n"/>
      <c r="C76" s="26" t="n"/>
      <c r="D76" s="26" t="n"/>
      <c r="E76" s="26" t="n"/>
      <c r="F76" s="30">
        <f>IF(A76="","",COUNTIF('Holdings'!$A$4:$A$2503,A76))</f>
        <v/>
      </c>
      <c r="G76" s="30">
        <f>IF(A76="","",COUNTIF('Access'!$B$4:$B$1503,A76))</f>
        <v/>
      </c>
      <c r="H76" s="30">
        <f>IF(A76="","",IF(COUNTIF($A$4:$A$1003,A76)&gt;1,"Duplicate holder ID",IF(OR(B76="",C76=""),"Missing required field",IF(F76=0,"No holdings",IF(AND(G76=0,A76&lt;&gt;"LKB-GROUP"),"No login (ok if not invited)","OK")))))</f>
        <v/>
      </c>
    </row>
    <row r="77">
      <c r="A77" s="26" t="n"/>
      <c r="B77" s="26" t="n"/>
      <c r="C77" s="26" t="n"/>
      <c r="D77" s="26" t="n"/>
      <c r="E77" s="26" t="n"/>
      <c r="F77" s="30">
        <f>IF(A77="","",COUNTIF('Holdings'!$A$4:$A$2503,A77))</f>
        <v/>
      </c>
      <c r="G77" s="30">
        <f>IF(A77="","",COUNTIF('Access'!$B$4:$B$1503,A77))</f>
        <v/>
      </c>
      <c r="H77" s="30">
        <f>IF(A77="","",IF(COUNTIF($A$4:$A$1003,A77)&gt;1,"Duplicate holder ID",IF(OR(B77="",C77=""),"Missing required field",IF(F77=0,"No holdings",IF(AND(G77=0,A77&lt;&gt;"LKB-GROUP"),"No login (ok if not invited)","OK")))))</f>
        <v/>
      </c>
    </row>
    <row r="78">
      <c r="A78" s="26" t="n"/>
      <c r="B78" s="26" t="n"/>
      <c r="C78" s="26" t="n"/>
      <c r="D78" s="26" t="n"/>
      <c r="E78" s="26" t="n"/>
      <c r="F78" s="30">
        <f>IF(A78="","",COUNTIF('Holdings'!$A$4:$A$2503,A78))</f>
        <v/>
      </c>
      <c r="G78" s="30">
        <f>IF(A78="","",COUNTIF('Access'!$B$4:$B$1503,A78))</f>
        <v/>
      </c>
      <c r="H78" s="30">
        <f>IF(A78="","",IF(COUNTIF($A$4:$A$1003,A78)&gt;1,"Duplicate holder ID",IF(OR(B78="",C78=""),"Missing required field",IF(F78=0,"No holdings",IF(AND(G78=0,A78&lt;&gt;"LKB-GROUP"),"No login (ok if not invited)","OK")))))</f>
        <v/>
      </c>
    </row>
    <row r="79">
      <c r="A79" s="26" t="n"/>
      <c r="B79" s="26" t="n"/>
      <c r="C79" s="26" t="n"/>
      <c r="D79" s="26" t="n"/>
      <c r="E79" s="26" t="n"/>
      <c r="F79" s="30">
        <f>IF(A79="","",COUNTIF('Holdings'!$A$4:$A$2503,A79))</f>
        <v/>
      </c>
      <c r="G79" s="30">
        <f>IF(A79="","",COUNTIF('Access'!$B$4:$B$1503,A79))</f>
        <v/>
      </c>
      <c r="H79" s="30">
        <f>IF(A79="","",IF(COUNTIF($A$4:$A$1003,A79)&gt;1,"Duplicate holder ID",IF(OR(B79="",C79=""),"Missing required field",IF(F79=0,"No holdings",IF(AND(G79=0,A79&lt;&gt;"LKB-GROUP"),"No login (ok if not invited)","OK")))))</f>
        <v/>
      </c>
    </row>
    <row r="80">
      <c r="A80" s="26" t="n"/>
      <c r="B80" s="26" t="n"/>
      <c r="C80" s="26" t="n"/>
      <c r="D80" s="26" t="n"/>
      <c r="E80" s="26" t="n"/>
      <c r="F80" s="30">
        <f>IF(A80="","",COUNTIF('Holdings'!$A$4:$A$2503,A80))</f>
        <v/>
      </c>
      <c r="G80" s="30">
        <f>IF(A80="","",COUNTIF('Access'!$B$4:$B$1503,A80))</f>
        <v/>
      </c>
      <c r="H80" s="30">
        <f>IF(A80="","",IF(COUNTIF($A$4:$A$1003,A80)&gt;1,"Duplicate holder ID",IF(OR(B80="",C80=""),"Missing required field",IF(F80=0,"No holdings",IF(AND(G80=0,A80&lt;&gt;"LKB-GROUP"),"No login (ok if not invited)","OK")))))</f>
        <v/>
      </c>
    </row>
    <row r="81">
      <c r="A81" s="26" t="n"/>
      <c r="B81" s="26" t="n"/>
      <c r="C81" s="26" t="n"/>
      <c r="D81" s="26" t="n"/>
      <c r="E81" s="26" t="n"/>
      <c r="F81" s="30">
        <f>IF(A81="","",COUNTIF('Holdings'!$A$4:$A$2503,A81))</f>
        <v/>
      </c>
      <c r="G81" s="30">
        <f>IF(A81="","",COUNTIF('Access'!$B$4:$B$1503,A81))</f>
        <v/>
      </c>
      <c r="H81" s="30">
        <f>IF(A81="","",IF(COUNTIF($A$4:$A$1003,A81)&gt;1,"Duplicate holder ID",IF(OR(B81="",C81=""),"Missing required field",IF(F81=0,"No holdings",IF(AND(G81=0,A81&lt;&gt;"LKB-GROUP"),"No login (ok if not invited)","OK")))))</f>
        <v/>
      </c>
    </row>
    <row r="82">
      <c r="A82" s="26" t="n"/>
      <c r="B82" s="26" t="n"/>
      <c r="C82" s="26" t="n"/>
      <c r="D82" s="26" t="n"/>
      <c r="E82" s="26" t="n"/>
      <c r="F82" s="30">
        <f>IF(A82="","",COUNTIF('Holdings'!$A$4:$A$2503,A82))</f>
        <v/>
      </c>
      <c r="G82" s="30">
        <f>IF(A82="","",COUNTIF('Access'!$B$4:$B$1503,A82))</f>
        <v/>
      </c>
      <c r="H82" s="30">
        <f>IF(A82="","",IF(COUNTIF($A$4:$A$1003,A82)&gt;1,"Duplicate holder ID",IF(OR(B82="",C82=""),"Missing required field",IF(F82=0,"No holdings",IF(AND(G82=0,A82&lt;&gt;"LKB-GROUP"),"No login (ok if not invited)","OK")))))</f>
        <v/>
      </c>
    </row>
    <row r="83">
      <c r="A83" s="26" t="n"/>
      <c r="B83" s="26" t="n"/>
      <c r="C83" s="26" t="n"/>
      <c r="D83" s="26" t="n"/>
      <c r="E83" s="26" t="n"/>
      <c r="F83" s="30">
        <f>IF(A83="","",COUNTIF('Holdings'!$A$4:$A$2503,A83))</f>
        <v/>
      </c>
      <c r="G83" s="30">
        <f>IF(A83="","",COUNTIF('Access'!$B$4:$B$1503,A83))</f>
        <v/>
      </c>
      <c r="H83" s="30">
        <f>IF(A83="","",IF(COUNTIF($A$4:$A$1003,A83)&gt;1,"Duplicate holder ID",IF(OR(B83="",C83=""),"Missing required field",IF(F83=0,"No holdings",IF(AND(G83=0,A83&lt;&gt;"LKB-GROUP"),"No login (ok if not invited)","OK")))))</f>
        <v/>
      </c>
    </row>
    <row r="84">
      <c r="A84" s="26" t="n"/>
      <c r="B84" s="26" t="n"/>
      <c r="C84" s="26" t="n"/>
      <c r="D84" s="26" t="n"/>
      <c r="E84" s="26" t="n"/>
      <c r="F84" s="30">
        <f>IF(A84="","",COUNTIF('Holdings'!$A$4:$A$2503,A84))</f>
        <v/>
      </c>
      <c r="G84" s="30">
        <f>IF(A84="","",COUNTIF('Access'!$B$4:$B$1503,A84))</f>
        <v/>
      </c>
      <c r="H84" s="30">
        <f>IF(A84="","",IF(COUNTIF($A$4:$A$1003,A84)&gt;1,"Duplicate holder ID",IF(OR(B84="",C84=""),"Missing required field",IF(F84=0,"No holdings",IF(AND(G84=0,A84&lt;&gt;"LKB-GROUP"),"No login (ok if not invited)","OK")))))</f>
        <v/>
      </c>
    </row>
    <row r="85">
      <c r="A85" s="26" t="n"/>
      <c r="B85" s="26" t="n"/>
      <c r="C85" s="26" t="n"/>
      <c r="D85" s="26" t="n"/>
      <c r="E85" s="26" t="n"/>
      <c r="F85" s="30">
        <f>IF(A85="","",COUNTIF('Holdings'!$A$4:$A$2503,A85))</f>
        <v/>
      </c>
      <c r="G85" s="30">
        <f>IF(A85="","",COUNTIF('Access'!$B$4:$B$1503,A85))</f>
        <v/>
      </c>
      <c r="H85" s="30">
        <f>IF(A85="","",IF(COUNTIF($A$4:$A$1003,A85)&gt;1,"Duplicate holder ID",IF(OR(B85="",C85=""),"Missing required field",IF(F85=0,"No holdings",IF(AND(G85=0,A85&lt;&gt;"LKB-GROUP"),"No login (ok if not invited)","OK")))))</f>
        <v/>
      </c>
    </row>
    <row r="86">
      <c r="A86" s="26" t="n"/>
      <c r="B86" s="26" t="n"/>
      <c r="C86" s="26" t="n"/>
      <c r="D86" s="26" t="n"/>
      <c r="E86" s="26" t="n"/>
      <c r="F86" s="30">
        <f>IF(A86="","",COUNTIF('Holdings'!$A$4:$A$2503,A86))</f>
        <v/>
      </c>
      <c r="G86" s="30">
        <f>IF(A86="","",COUNTIF('Access'!$B$4:$B$1503,A86))</f>
        <v/>
      </c>
      <c r="H86" s="30">
        <f>IF(A86="","",IF(COUNTIF($A$4:$A$1003,A86)&gt;1,"Duplicate holder ID",IF(OR(B86="",C86=""),"Missing required field",IF(F86=0,"No holdings",IF(AND(G86=0,A86&lt;&gt;"LKB-GROUP"),"No login (ok if not invited)","OK")))))</f>
        <v/>
      </c>
    </row>
    <row r="87">
      <c r="A87" s="26" t="n"/>
      <c r="B87" s="26" t="n"/>
      <c r="C87" s="26" t="n"/>
      <c r="D87" s="26" t="n"/>
      <c r="E87" s="26" t="n"/>
      <c r="F87" s="30">
        <f>IF(A87="","",COUNTIF('Holdings'!$A$4:$A$2503,A87))</f>
        <v/>
      </c>
      <c r="G87" s="30">
        <f>IF(A87="","",COUNTIF('Access'!$B$4:$B$1503,A87))</f>
        <v/>
      </c>
      <c r="H87" s="30">
        <f>IF(A87="","",IF(COUNTIF($A$4:$A$1003,A87)&gt;1,"Duplicate holder ID",IF(OR(B87="",C87=""),"Missing required field",IF(F87=0,"No holdings",IF(AND(G87=0,A87&lt;&gt;"LKB-GROUP"),"No login (ok if not invited)","OK")))))</f>
        <v/>
      </c>
    </row>
    <row r="88">
      <c r="A88" s="26" t="n"/>
      <c r="B88" s="26" t="n"/>
      <c r="C88" s="26" t="n"/>
      <c r="D88" s="26" t="n"/>
      <c r="E88" s="26" t="n"/>
      <c r="F88" s="30">
        <f>IF(A88="","",COUNTIF('Holdings'!$A$4:$A$2503,A88))</f>
        <v/>
      </c>
      <c r="G88" s="30">
        <f>IF(A88="","",COUNTIF('Access'!$B$4:$B$1503,A88))</f>
        <v/>
      </c>
      <c r="H88" s="30">
        <f>IF(A88="","",IF(COUNTIF($A$4:$A$1003,A88)&gt;1,"Duplicate holder ID",IF(OR(B88="",C88=""),"Missing required field",IF(F88=0,"No holdings",IF(AND(G88=0,A88&lt;&gt;"LKB-GROUP"),"No login (ok if not invited)","OK")))))</f>
        <v/>
      </c>
    </row>
    <row r="89">
      <c r="A89" s="26" t="n"/>
      <c r="B89" s="26" t="n"/>
      <c r="C89" s="26" t="n"/>
      <c r="D89" s="26" t="n"/>
      <c r="E89" s="26" t="n"/>
      <c r="F89" s="30">
        <f>IF(A89="","",COUNTIF('Holdings'!$A$4:$A$2503,A89))</f>
        <v/>
      </c>
      <c r="G89" s="30">
        <f>IF(A89="","",COUNTIF('Access'!$B$4:$B$1503,A89))</f>
        <v/>
      </c>
      <c r="H89" s="30">
        <f>IF(A89="","",IF(COUNTIF($A$4:$A$1003,A89)&gt;1,"Duplicate holder ID",IF(OR(B89="",C89=""),"Missing required field",IF(F89=0,"No holdings",IF(AND(G89=0,A89&lt;&gt;"LKB-GROUP"),"No login (ok if not invited)","OK")))))</f>
        <v/>
      </c>
    </row>
    <row r="90">
      <c r="A90" s="26" t="n"/>
      <c r="B90" s="26" t="n"/>
      <c r="C90" s="26" t="n"/>
      <c r="D90" s="26" t="n"/>
      <c r="E90" s="26" t="n"/>
      <c r="F90" s="30">
        <f>IF(A90="","",COUNTIF('Holdings'!$A$4:$A$2503,A90))</f>
        <v/>
      </c>
      <c r="G90" s="30">
        <f>IF(A90="","",COUNTIF('Access'!$B$4:$B$1503,A90))</f>
        <v/>
      </c>
      <c r="H90" s="30">
        <f>IF(A90="","",IF(COUNTIF($A$4:$A$1003,A90)&gt;1,"Duplicate holder ID",IF(OR(B90="",C90=""),"Missing required field",IF(F90=0,"No holdings",IF(AND(G90=0,A90&lt;&gt;"LKB-GROUP"),"No login (ok if not invited)","OK")))))</f>
        <v/>
      </c>
    </row>
    <row r="91">
      <c r="A91" s="26" t="n"/>
      <c r="B91" s="26" t="n"/>
      <c r="C91" s="26" t="n"/>
      <c r="D91" s="26" t="n"/>
      <c r="E91" s="26" t="n"/>
      <c r="F91" s="30">
        <f>IF(A91="","",COUNTIF('Holdings'!$A$4:$A$2503,A91))</f>
        <v/>
      </c>
      <c r="G91" s="30">
        <f>IF(A91="","",COUNTIF('Access'!$B$4:$B$1503,A91))</f>
        <v/>
      </c>
      <c r="H91" s="30">
        <f>IF(A91="","",IF(COUNTIF($A$4:$A$1003,A91)&gt;1,"Duplicate holder ID",IF(OR(B91="",C91=""),"Missing required field",IF(F91=0,"No holdings",IF(AND(G91=0,A91&lt;&gt;"LKB-GROUP"),"No login (ok if not invited)","OK")))))</f>
        <v/>
      </c>
    </row>
    <row r="92">
      <c r="A92" s="26" t="n"/>
      <c r="B92" s="26" t="n"/>
      <c r="C92" s="26" t="n"/>
      <c r="D92" s="26" t="n"/>
      <c r="E92" s="26" t="n"/>
      <c r="F92" s="30">
        <f>IF(A92="","",COUNTIF('Holdings'!$A$4:$A$2503,A92))</f>
        <v/>
      </c>
      <c r="G92" s="30">
        <f>IF(A92="","",COUNTIF('Access'!$B$4:$B$1503,A92))</f>
        <v/>
      </c>
      <c r="H92" s="30">
        <f>IF(A92="","",IF(COUNTIF($A$4:$A$1003,A92)&gt;1,"Duplicate holder ID",IF(OR(B92="",C92=""),"Missing required field",IF(F92=0,"No holdings",IF(AND(G92=0,A92&lt;&gt;"LKB-GROUP"),"No login (ok if not invited)","OK")))))</f>
        <v/>
      </c>
    </row>
    <row r="93">
      <c r="A93" s="26" t="n"/>
      <c r="B93" s="26" t="n"/>
      <c r="C93" s="26" t="n"/>
      <c r="D93" s="26" t="n"/>
      <c r="E93" s="26" t="n"/>
      <c r="F93" s="30">
        <f>IF(A93="","",COUNTIF('Holdings'!$A$4:$A$2503,A93))</f>
        <v/>
      </c>
      <c r="G93" s="30">
        <f>IF(A93="","",COUNTIF('Access'!$B$4:$B$1503,A93))</f>
        <v/>
      </c>
      <c r="H93" s="30">
        <f>IF(A93="","",IF(COUNTIF($A$4:$A$1003,A93)&gt;1,"Duplicate holder ID",IF(OR(B93="",C93=""),"Missing required field",IF(F93=0,"No holdings",IF(AND(G93=0,A93&lt;&gt;"LKB-GROUP"),"No login (ok if not invited)","OK")))))</f>
        <v/>
      </c>
    </row>
    <row r="94">
      <c r="A94" s="26" t="n"/>
      <c r="B94" s="26" t="n"/>
      <c r="C94" s="26" t="n"/>
      <c r="D94" s="26" t="n"/>
      <c r="E94" s="26" t="n"/>
      <c r="F94" s="30">
        <f>IF(A94="","",COUNTIF('Holdings'!$A$4:$A$2503,A94))</f>
        <v/>
      </c>
      <c r="G94" s="30">
        <f>IF(A94="","",COUNTIF('Access'!$B$4:$B$1503,A94))</f>
        <v/>
      </c>
      <c r="H94" s="30">
        <f>IF(A94="","",IF(COUNTIF($A$4:$A$1003,A94)&gt;1,"Duplicate holder ID",IF(OR(B94="",C94=""),"Missing required field",IF(F94=0,"No holdings",IF(AND(G94=0,A94&lt;&gt;"LKB-GROUP"),"No login (ok if not invited)","OK")))))</f>
        <v/>
      </c>
    </row>
    <row r="95">
      <c r="A95" s="26" t="n"/>
      <c r="B95" s="26" t="n"/>
      <c r="C95" s="26" t="n"/>
      <c r="D95" s="26" t="n"/>
      <c r="E95" s="26" t="n"/>
      <c r="F95" s="30">
        <f>IF(A95="","",COUNTIF('Holdings'!$A$4:$A$2503,A95))</f>
        <v/>
      </c>
      <c r="G95" s="30">
        <f>IF(A95="","",COUNTIF('Access'!$B$4:$B$1503,A95))</f>
        <v/>
      </c>
      <c r="H95" s="30">
        <f>IF(A95="","",IF(COUNTIF($A$4:$A$1003,A95)&gt;1,"Duplicate holder ID",IF(OR(B95="",C95=""),"Missing required field",IF(F95=0,"No holdings",IF(AND(G95=0,A95&lt;&gt;"LKB-GROUP"),"No login (ok if not invited)","OK")))))</f>
        <v/>
      </c>
    </row>
    <row r="96">
      <c r="A96" s="26" t="n"/>
      <c r="B96" s="26" t="n"/>
      <c r="C96" s="26" t="n"/>
      <c r="D96" s="26" t="n"/>
      <c r="E96" s="26" t="n"/>
      <c r="F96" s="30">
        <f>IF(A96="","",COUNTIF('Holdings'!$A$4:$A$2503,A96))</f>
        <v/>
      </c>
      <c r="G96" s="30">
        <f>IF(A96="","",COUNTIF('Access'!$B$4:$B$1503,A96))</f>
        <v/>
      </c>
      <c r="H96" s="30">
        <f>IF(A96="","",IF(COUNTIF($A$4:$A$1003,A96)&gt;1,"Duplicate holder ID",IF(OR(B96="",C96=""),"Missing required field",IF(F96=0,"No holdings",IF(AND(G96=0,A96&lt;&gt;"LKB-GROUP"),"No login (ok if not invited)","OK")))))</f>
        <v/>
      </c>
    </row>
    <row r="97">
      <c r="A97" s="26" t="n"/>
      <c r="B97" s="26" t="n"/>
      <c r="C97" s="26" t="n"/>
      <c r="D97" s="26" t="n"/>
      <c r="E97" s="26" t="n"/>
      <c r="F97" s="30">
        <f>IF(A97="","",COUNTIF('Holdings'!$A$4:$A$2503,A97))</f>
        <v/>
      </c>
      <c r="G97" s="30">
        <f>IF(A97="","",COUNTIF('Access'!$B$4:$B$1503,A97))</f>
        <v/>
      </c>
      <c r="H97" s="30">
        <f>IF(A97="","",IF(COUNTIF($A$4:$A$1003,A97)&gt;1,"Duplicate holder ID",IF(OR(B97="",C97=""),"Missing required field",IF(F97=0,"No holdings",IF(AND(G97=0,A97&lt;&gt;"LKB-GROUP"),"No login (ok if not invited)","OK")))))</f>
        <v/>
      </c>
    </row>
    <row r="98">
      <c r="A98" s="26" t="n"/>
      <c r="B98" s="26" t="n"/>
      <c r="C98" s="26" t="n"/>
      <c r="D98" s="26" t="n"/>
      <c r="E98" s="26" t="n"/>
      <c r="F98" s="30">
        <f>IF(A98="","",COUNTIF('Holdings'!$A$4:$A$2503,A98))</f>
        <v/>
      </c>
      <c r="G98" s="30">
        <f>IF(A98="","",COUNTIF('Access'!$B$4:$B$1503,A98))</f>
        <v/>
      </c>
      <c r="H98" s="30">
        <f>IF(A98="","",IF(COUNTIF($A$4:$A$1003,A98)&gt;1,"Duplicate holder ID",IF(OR(B98="",C98=""),"Missing required field",IF(F98=0,"No holdings",IF(AND(G98=0,A98&lt;&gt;"LKB-GROUP"),"No login (ok if not invited)","OK")))))</f>
        <v/>
      </c>
    </row>
    <row r="99">
      <c r="A99" s="26" t="n"/>
      <c r="B99" s="26" t="n"/>
      <c r="C99" s="26" t="n"/>
      <c r="D99" s="26" t="n"/>
      <c r="E99" s="26" t="n"/>
      <c r="F99" s="30">
        <f>IF(A99="","",COUNTIF('Holdings'!$A$4:$A$2503,A99))</f>
        <v/>
      </c>
      <c r="G99" s="30">
        <f>IF(A99="","",COUNTIF('Access'!$B$4:$B$1503,A99))</f>
        <v/>
      </c>
      <c r="H99" s="30">
        <f>IF(A99="","",IF(COUNTIF($A$4:$A$1003,A99)&gt;1,"Duplicate holder ID",IF(OR(B99="",C99=""),"Missing required field",IF(F99=0,"No holdings",IF(AND(G99=0,A99&lt;&gt;"LKB-GROUP"),"No login (ok if not invited)","OK")))))</f>
        <v/>
      </c>
    </row>
    <row r="100">
      <c r="A100" s="26" t="n"/>
      <c r="B100" s="26" t="n"/>
      <c r="C100" s="26" t="n"/>
      <c r="D100" s="26" t="n"/>
      <c r="E100" s="26" t="n"/>
      <c r="F100" s="30">
        <f>IF(A100="","",COUNTIF('Holdings'!$A$4:$A$2503,A100))</f>
        <v/>
      </c>
      <c r="G100" s="30">
        <f>IF(A100="","",COUNTIF('Access'!$B$4:$B$1503,A100))</f>
        <v/>
      </c>
      <c r="H100" s="30">
        <f>IF(A100="","",IF(COUNTIF($A$4:$A$1003,A100)&gt;1,"Duplicate holder ID",IF(OR(B100="",C100=""),"Missing required field",IF(F100=0,"No holdings",IF(AND(G100=0,A100&lt;&gt;"LKB-GROUP"),"No login (ok if not invited)","OK")))))</f>
        <v/>
      </c>
    </row>
    <row r="101">
      <c r="A101" s="26" t="n"/>
      <c r="B101" s="26" t="n"/>
      <c r="C101" s="26" t="n"/>
      <c r="D101" s="26" t="n"/>
      <c r="E101" s="26" t="n"/>
      <c r="F101" s="30">
        <f>IF(A101="","",COUNTIF('Holdings'!$A$4:$A$2503,A101))</f>
        <v/>
      </c>
      <c r="G101" s="30">
        <f>IF(A101="","",COUNTIF('Access'!$B$4:$B$1503,A101))</f>
        <v/>
      </c>
      <c r="H101" s="30">
        <f>IF(A101="","",IF(COUNTIF($A$4:$A$1003,A101)&gt;1,"Duplicate holder ID",IF(OR(B101="",C101=""),"Missing required field",IF(F101=0,"No holdings",IF(AND(G101=0,A101&lt;&gt;"LKB-GROUP"),"No login (ok if not invited)","OK")))))</f>
        <v/>
      </c>
    </row>
    <row r="102">
      <c r="A102" s="26" t="n"/>
      <c r="B102" s="26" t="n"/>
      <c r="C102" s="26" t="n"/>
      <c r="D102" s="26" t="n"/>
      <c r="E102" s="26" t="n"/>
      <c r="F102" s="30">
        <f>IF(A102="","",COUNTIF('Holdings'!$A$4:$A$2503,A102))</f>
        <v/>
      </c>
      <c r="G102" s="30">
        <f>IF(A102="","",COUNTIF('Access'!$B$4:$B$1503,A102))</f>
        <v/>
      </c>
      <c r="H102" s="30">
        <f>IF(A102="","",IF(COUNTIF($A$4:$A$1003,A102)&gt;1,"Duplicate holder ID",IF(OR(B102="",C102=""),"Missing required field",IF(F102=0,"No holdings",IF(AND(G102=0,A102&lt;&gt;"LKB-GROUP"),"No login (ok if not invited)","OK")))))</f>
        <v/>
      </c>
    </row>
    <row r="103">
      <c r="A103" s="26" t="n"/>
      <c r="B103" s="26" t="n"/>
      <c r="C103" s="26" t="n"/>
      <c r="D103" s="26" t="n"/>
      <c r="E103" s="26" t="n"/>
      <c r="F103" s="30">
        <f>IF(A103="","",COUNTIF('Holdings'!$A$4:$A$2503,A103))</f>
        <v/>
      </c>
      <c r="G103" s="30">
        <f>IF(A103="","",COUNTIF('Access'!$B$4:$B$1503,A103))</f>
        <v/>
      </c>
      <c r="H103" s="30">
        <f>IF(A103="","",IF(COUNTIF($A$4:$A$1003,A103)&gt;1,"Duplicate holder ID",IF(OR(B103="",C103=""),"Missing required field",IF(F103=0,"No holdings",IF(AND(G103=0,A103&lt;&gt;"LKB-GROUP"),"No login (ok if not invited)","OK")))))</f>
        <v/>
      </c>
    </row>
    <row r="104">
      <c r="A104" s="26" t="n"/>
      <c r="B104" s="26" t="n"/>
      <c r="C104" s="26" t="n"/>
      <c r="D104" s="26" t="n"/>
      <c r="E104" s="26" t="n"/>
      <c r="F104" s="30">
        <f>IF(A104="","",COUNTIF('Holdings'!$A$4:$A$2503,A104))</f>
        <v/>
      </c>
      <c r="G104" s="30">
        <f>IF(A104="","",COUNTIF('Access'!$B$4:$B$1503,A104))</f>
        <v/>
      </c>
      <c r="H104" s="30">
        <f>IF(A104="","",IF(COUNTIF($A$4:$A$1003,A104)&gt;1,"Duplicate holder ID",IF(OR(B104="",C104=""),"Missing required field",IF(F104=0,"No holdings",IF(AND(G104=0,A104&lt;&gt;"LKB-GROUP"),"No login (ok if not invited)","OK")))))</f>
        <v/>
      </c>
    </row>
    <row r="105">
      <c r="A105" s="26" t="n"/>
      <c r="B105" s="26" t="n"/>
      <c r="C105" s="26" t="n"/>
      <c r="D105" s="26" t="n"/>
      <c r="E105" s="26" t="n"/>
      <c r="F105" s="30">
        <f>IF(A105="","",COUNTIF('Holdings'!$A$4:$A$2503,A105))</f>
        <v/>
      </c>
      <c r="G105" s="30">
        <f>IF(A105="","",COUNTIF('Access'!$B$4:$B$1503,A105))</f>
        <v/>
      </c>
      <c r="H105" s="30">
        <f>IF(A105="","",IF(COUNTIF($A$4:$A$1003,A105)&gt;1,"Duplicate holder ID",IF(OR(B105="",C105=""),"Missing required field",IF(F105=0,"No holdings",IF(AND(G105=0,A105&lt;&gt;"LKB-GROUP"),"No login (ok if not invited)","OK")))))</f>
        <v/>
      </c>
    </row>
    <row r="106">
      <c r="A106" s="26" t="n"/>
      <c r="B106" s="26" t="n"/>
      <c r="C106" s="26" t="n"/>
      <c r="D106" s="26" t="n"/>
      <c r="E106" s="26" t="n"/>
      <c r="F106" s="30">
        <f>IF(A106="","",COUNTIF('Holdings'!$A$4:$A$2503,A106))</f>
        <v/>
      </c>
      <c r="G106" s="30">
        <f>IF(A106="","",COUNTIF('Access'!$B$4:$B$1503,A106))</f>
        <v/>
      </c>
      <c r="H106" s="30">
        <f>IF(A106="","",IF(COUNTIF($A$4:$A$1003,A106)&gt;1,"Duplicate holder ID",IF(OR(B106="",C106=""),"Missing required field",IF(F106=0,"No holdings",IF(AND(G106=0,A106&lt;&gt;"LKB-GROUP"),"No login (ok if not invited)","OK")))))</f>
        <v/>
      </c>
    </row>
    <row r="107">
      <c r="A107" s="26" t="n"/>
      <c r="B107" s="26" t="n"/>
      <c r="C107" s="26" t="n"/>
      <c r="D107" s="26" t="n"/>
      <c r="E107" s="26" t="n"/>
      <c r="F107" s="30">
        <f>IF(A107="","",COUNTIF('Holdings'!$A$4:$A$2503,A107))</f>
        <v/>
      </c>
      <c r="G107" s="30">
        <f>IF(A107="","",COUNTIF('Access'!$B$4:$B$1503,A107))</f>
        <v/>
      </c>
      <c r="H107" s="30">
        <f>IF(A107="","",IF(COUNTIF($A$4:$A$1003,A107)&gt;1,"Duplicate holder ID",IF(OR(B107="",C107=""),"Missing required field",IF(F107=0,"No holdings",IF(AND(G107=0,A107&lt;&gt;"LKB-GROUP"),"No login (ok if not invited)","OK")))))</f>
        <v/>
      </c>
    </row>
    <row r="108">
      <c r="A108" s="26" t="n"/>
      <c r="B108" s="26" t="n"/>
      <c r="C108" s="26" t="n"/>
      <c r="D108" s="26" t="n"/>
      <c r="E108" s="26" t="n"/>
      <c r="F108" s="30">
        <f>IF(A108="","",COUNTIF('Holdings'!$A$4:$A$2503,A108))</f>
        <v/>
      </c>
      <c r="G108" s="30">
        <f>IF(A108="","",COUNTIF('Access'!$B$4:$B$1503,A108))</f>
        <v/>
      </c>
      <c r="H108" s="30">
        <f>IF(A108="","",IF(COUNTIF($A$4:$A$1003,A108)&gt;1,"Duplicate holder ID",IF(OR(B108="",C108=""),"Missing required field",IF(F108=0,"No holdings",IF(AND(G108=0,A108&lt;&gt;"LKB-GROUP"),"No login (ok if not invited)","OK")))))</f>
        <v/>
      </c>
    </row>
    <row r="109">
      <c r="A109" s="26" t="n"/>
      <c r="B109" s="26" t="n"/>
      <c r="C109" s="26" t="n"/>
      <c r="D109" s="26" t="n"/>
      <c r="E109" s="26" t="n"/>
      <c r="F109" s="30">
        <f>IF(A109="","",COUNTIF('Holdings'!$A$4:$A$2503,A109))</f>
        <v/>
      </c>
      <c r="G109" s="30">
        <f>IF(A109="","",COUNTIF('Access'!$B$4:$B$1503,A109))</f>
        <v/>
      </c>
      <c r="H109" s="30">
        <f>IF(A109="","",IF(COUNTIF($A$4:$A$1003,A109)&gt;1,"Duplicate holder ID",IF(OR(B109="",C109=""),"Missing required field",IF(F109=0,"No holdings",IF(AND(G109=0,A109&lt;&gt;"LKB-GROUP"),"No login (ok if not invited)","OK")))))</f>
        <v/>
      </c>
    </row>
    <row r="110">
      <c r="A110" s="26" t="n"/>
      <c r="B110" s="26" t="n"/>
      <c r="C110" s="26" t="n"/>
      <c r="D110" s="26" t="n"/>
      <c r="E110" s="26" t="n"/>
      <c r="F110" s="30">
        <f>IF(A110="","",COUNTIF('Holdings'!$A$4:$A$2503,A110))</f>
        <v/>
      </c>
      <c r="G110" s="30">
        <f>IF(A110="","",COUNTIF('Access'!$B$4:$B$1503,A110))</f>
        <v/>
      </c>
      <c r="H110" s="30">
        <f>IF(A110="","",IF(COUNTIF($A$4:$A$1003,A110)&gt;1,"Duplicate holder ID",IF(OR(B110="",C110=""),"Missing required field",IF(F110=0,"No holdings",IF(AND(G110=0,A110&lt;&gt;"LKB-GROUP"),"No login (ok if not invited)","OK")))))</f>
        <v/>
      </c>
    </row>
    <row r="111">
      <c r="A111" s="26" t="n"/>
      <c r="B111" s="26" t="n"/>
      <c r="C111" s="26" t="n"/>
      <c r="D111" s="26" t="n"/>
      <c r="E111" s="26" t="n"/>
      <c r="F111" s="30">
        <f>IF(A111="","",COUNTIF('Holdings'!$A$4:$A$2503,A111))</f>
        <v/>
      </c>
      <c r="G111" s="30">
        <f>IF(A111="","",COUNTIF('Access'!$B$4:$B$1503,A111))</f>
        <v/>
      </c>
      <c r="H111" s="30">
        <f>IF(A111="","",IF(COUNTIF($A$4:$A$1003,A111)&gt;1,"Duplicate holder ID",IF(OR(B111="",C111=""),"Missing required field",IF(F111=0,"No holdings",IF(AND(G111=0,A111&lt;&gt;"LKB-GROUP"),"No login (ok if not invited)","OK")))))</f>
        <v/>
      </c>
    </row>
    <row r="112">
      <c r="A112" s="26" t="n"/>
      <c r="B112" s="26" t="n"/>
      <c r="C112" s="26" t="n"/>
      <c r="D112" s="26" t="n"/>
      <c r="E112" s="26" t="n"/>
      <c r="F112" s="30">
        <f>IF(A112="","",COUNTIF('Holdings'!$A$4:$A$2503,A112))</f>
        <v/>
      </c>
      <c r="G112" s="30">
        <f>IF(A112="","",COUNTIF('Access'!$B$4:$B$1503,A112))</f>
        <v/>
      </c>
      <c r="H112" s="30">
        <f>IF(A112="","",IF(COUNTIF($A$4:$A$1003,A112)&gt;1,"Duplicate holder ID",IF(OR(B112="",C112=""),"Missing required field",IF(F112=0,"No holdings",IF(AND(G112=0,A112&lt;&gt;"LKB-GROUP"),"No login (ok if not invited)","OK")))))</f>
        <v/>
      </c>
    </row>
    <row r="113">
      <c r="A113" s="26" t="n"/>
      <c r="B113" s="26" t="n"/>
      <c r="C113" s="26" t="n"/>
      <c r="D113" s="26" t="n"/>
      <c r="E113" s="26" t="n"/>
      <c r="F113" s="30">
        <f>IF(A113="","",COUNTIF('Holdings'!$A$4:$A$2503,A113))</f>
        <v/>
      </c>
      <c r="G113" s="30">
        <f>IF(A113="","",COUNTIF('Access'!$B$4:$B$1503,A113))</f>
        <v/>
      </c>
      <c r="H113" s="30">
        <f>IF(A113="","",IF(COUNTIF($A$4:$A$1003,A113)&gt;1,"Duplicate holder ID",IF(OR(B113="",C113=""),"Missing required field",IF(F113=0,"No holdings",IF(AND(G113=0,A113&lt;&gt;"LKB-GROUP"),"No login (ok if not invited)","OK")))))</f>
        <v/>
      </c>
    </row>
    <row r="114">
      <c r="A114" s="26" t="n"/>
      <c r="B114" s="26" t="n"/>
      <c r="C114" s="26" t="n"/>
      <c r="D114" s="26" t="n"/>
      <c r="E114" s="26" t="n"/>
      <c r="F114" s="30">
        <f>IF(A114="","",COUNTIF('Holdings'!$A$4:$A$2503,A114))</f>
        <v/>
      </c>
      <c r="G114" s="30">
        <f>IF(A114="","",COUNTIF('Access'!$B$4:$B$1503,A114))</f>
        <v/>
      </c>
      <c r="H114" s="30">
        <f>IF(A114="","",IF(COUNTIF($A$4:$A$1003,A114)&gt;1,"Duplicate holder ID",IF(OR(B114="",C114=""),"Missing required field",IF(F114=0,"No holdings",IF(AND(G114=0,A114&lt;&gt;"LKB-GROUP"),"No login (ok if not invited)","OK")))))</f>
        <v/>
      </c>
    </row>
    <row r="115">
      <c r="A115" s="26" t="n"/>
      <c r="B115" s="26" t="n"/>
      <c r="C115" s="26" t="n"/>
      <c r="D115" s="26" t="n"/>
      <c r="E115" s="26" t="n"/>
      <c r="F115" s="30">
        <f>IF(A115="","",COUNTIF('Holdings'!$A$4:$A$2503,A115))</f>
        <v/>
      </c>
      <c r="G115" s="30">
        <f>IF(A115="","",COUNTIF('Access'!$B$4:$B$1503,A115))</f>
        <v/>
      </c>
      <c r="H115" s="30">
        <f>IF(A115="","",IF(COUNTIF($A$4:$A$1003,A115)&gt;1,"Duplicate holder ID",IF(OR(B115="",C115=""),"Missing required field",IF(F115=0,"No holdings",IF(AND(G115=0,A115&lt;&gt;"LKB-GROUP"),"No login (ok if not invited)","OK")))))</f>
        <v/>
      </c>
    </row>
    <row r="116">
      <c r="A116" s="26" t="n"/>
      <c r="B116" s="26" t="n"/>
      <c r="C116" s="26" t="n"/>
      <c r="D116" s="26" t="n"/>
      <c r="E116" s="26" t="n"/>
      <c r="F116" s="30">
        <f>IF(A116="","",COUNTIF('Holdings'!$A$4:$A$2503,A116))</f>
        <v/>
      </c>
      <c r="G116" s="30">
        <f>IF(A116="","",COUNTIF('Access'!$B$4:$B$1503,A116))</f>
        <v/>
      </c>
      <c r="H116" s="30">
        <f>IF(A116="","",IF(COUNTIF($A$4:$A$1003,A116)&gt;1,"Duplicate holder ID",IF(OR(B116="",C116=""),"Missing required field",IF(F116=0,"No holdings",IF(AND(G116=0,A116&lt;&gt;"LKB-GROUP"),"No login (ok if not invited)","OK")))))</f>
        <v/>
      </c>
    </row>
    <row r="117">
      <c r="A117" s="26" t="n"/>
      <c r="B117" s="26" t="n"/>
      <c r="C117" s="26" t="n"/>
      <c r="D117" s="26" t="n"/>
      <c r="E117" s="26" t="n"/>
      <c r="F117" s="30">
        <f>IF(A117="","",COUNTIF('Holdings'!$A$4:$A$2503,A117))</f>
        <v/>
      </c>
      <c r="G117" s="30">
        <f>IF(A117="","",COUNTIF('Access'!$B$4:$B$1503,A117))</f>
        <v/>
      </c>
      <c r="H117" s="30">
        <f>IF(A117="","",IF(COUNTIF($A$4:$A$1003,A117)&gt;1,"Duplicate holder ID",IF(OR(B117="",C117=""),"Missing required field",IF(F117=0,"No holdings",IF(AND(G117=0,A117&lt;&gt;"LKB-GROUP"),"No login (ok if not invited)","OK")))))</f>
        <v/>
      </c>
    </row>
    <row r="118">
      <c r="A118" s="26" t="n"/>
      <c r="B118" s="26" t="n"/>
      <c r="C118" s="26" t="n"/>
      <c r="D118" s="26" t="n"/>
      <c r="E118" s="26" t="n"/>
      <c r="F118" s="30">
        <f>IF(A118="","",COUNTIF('Holdings'!$A$4:$A$2503,A118))</f>
        <v/>
      </c>
      <c r="G118" s="30">
        <f>IF(A118="","",COUNTIF('Access'!$B$4:$B$1503,A118))</f>
        <v/>
      </c>
      <c r="H118" s="30">
        <f>IF(A118="","",IF(COUNTIF($A$4:$A$1003,A118)&gt;1,"Duplicate holder ID",IF(OR(B118="",C118=""),"Missing required field",IF(F118=0,"No holdings",IF(AND(G118=0,A118&lt;&gt;"LKB-GROUP"),"No login (ok if not invited)","OK")))))</f>
        <v/>
      </c>
    </row>
    <row r="119">
      <c r="A119" s="26" t="n"/>
      <c r="B119" s="26" t="n"/>
      <c r="C119" s="26" t="n"/>
      <c r="D119" s="26" t="n"/>
      <c r="E119" s="26" t="n"/>
      <c r="F119" s="30">
        <f>IF(A119="","",COUNTIF('Holdings'!$A$4:$A$2503,A119))</f>
        <v/>
      </c>
      <c r="G119" s="30">
        <f>IF(A119="","",COUNTIF('Access'!$B$4:$B$1503,A119))</f>
        <v/>
      </c>
      <c r="H119" s="30">
        <f>IF(A119="","",IF(COUNTIF($A$4:$A$1003,A119)&gt;1,"Duplicate holder ID",IF(OR(B119="",C119=""),"Missing required field",IF(F119=0,"No holdings",IF(AND(G119=0,A119&lt;&gt;"LKB-GROUP"),"No login (ok if not invited)","OK")))))</f>
        <v/>
      </c>
    </row>
    <row r="120">
      <c r="A120" s="26" t="n"/>
      <c r="B120" s="26" t="n"/>
      <c r="C120" s="26" t="n"/>
      <c r="D120" s="26" t="n"/>
      <c r="E120" s="26" t="n"/>
      <c r="F120" s="30">
        <f>IF(A120="","",COUNTIF('Holdings'!$A$4:$A$2503,A120))</f>
        <v/>
      </c>
      <c r="G120" s="30">
        <f>IF(A120="","",COUNTIF('Access'!$B$4:$B$1503,A120))</f>
        <v/>
      </c>
      <c r="H120" s="30">
        <f>IF(A120="","",IF(COUNTIF($A$4:$A$1003,A120)&gt;1,"Duplicate holder ID",IF(OR(B120="",C120=""),"Missing required field",IF(F120=0,"No holdings",IF(AND(G120=0,A120&lt;&gt;"LKB-GROUP"),"No login (ok if not invited)","OK")))))</f>
        <v/>
      </c>
    </row>
    <row r="121">
      <c r="A121" s="26" t="n"/>
      <c r="B121" s="26" t="n"/>
      <c r="C121" s="26" t="n"/>
      <c r="D121" s="26" t="n"/>
      <c r="E121" s="26" t="n"/>
      <c r="F121" s="30">
        <f>IF(A121="","",COUNTIF('Holdings'!$A$4:$A$2503,A121))</f>
        <v/>
      </c>
      <c r="G121" s="30">
        <f>IF(A121="","",COUNTIF('Access'!$B$4:$B$1503,A121))</f>
        <v/>
      </c>
      <c r="H121" s="30">
        <f>IF(A121="","",IF(COUNTIF($A$4:$A$1003,A121)&gt;1,"Duplicate holder ID",IF(OR(B121="",C121=""),"Missing required field",IF(F121=0,"No holdings",IF(AND(G121=0,A121&lt;&gt;"LKB-GROUP"),"No login (ok if not invited)","OK")))))</f>
        <v/>
      </c>
    </row>
    <row r="122">
      <c r="A122" s="26" t="n"/>
      <c r="B122" s="26" t="n"/>
      <c r="C122" s="26" t="n"/>
      <c r="D122" s="26" t="n"/>
      <c r="E122" s="26" t="n"/>
      <c r="F122" s="30">
        <f>IF(A122="","",COUNTIF('Holdings'!$A$4:$A$2503,A122))</f>
        <v/>
      </c>
      <c r="G122" s="30">
        <f>IF(A122="","",COUNTIF('Access'!$B$4:$B$1503,A122))</f>
        <v/>
      </c>
      <c r="H122" s="30">
        <f>IF(A122="","",IF(COUNTIF($A$4:$A$1003,A122)&gt;1,"Duplicate holder ID",IF(OR(B122="",C122=""),"Missing required field",IF(F122=0,"No holdings",IF(AND(G122=0,A122&lt;&gt;"LKB-GROUP"),"No login (ok if not invited)","OK")))))</f>
        <v/>
      </c>
    </row>
    <row r="123">
      <c r="A123" s="26" t="n"/>
      <c r="B123" s="26" t="n"/>
      <c r="C123" s="26" t="n"/>
      <c r="D123" s="26" t="n"/>
      <c r="E123" s="26" t="n"/>
      <c r="F123" s="30">
        <f>IF(A123="","",COUNTIF('Holdings'!$A$4:$A$2503,A123))</f>
        <v/>
      </c>
      <c r="G123" s="30">
        <f>IF(A123="","",COUNTIF('Access'!$B$4:$B$1503,A123))</f>
        <v/>
      </c>
      <c r="H123" s="30">
        <f>IF(A123="","",IF(COUNTIF($A$4:$A$1003,A123)&gt;1,"Duplicate holder ID",IF(OR(B123="",C123=""),"Missing required field",IF(F123=0,"No holdings",IF(AND(G123=0,A123&lt;&gt;"LKB-GROUP"),"No login (ok if not invited)","OK")))))</f>
        <v/>
      </c>
    </row>
    <row r="124">
      <c r="A124" s="26" t="n"/>
      <c r="B124" s="26" t="n"/>
      <c r="C124" s="26" t="n"/>
      <c r="D124" s="26" t="n"/>
      <c r="E124" s="26" t="n"/>
      <c r="F124" s="30">
        <f>IF(A124="","",COUNTIF('Holdings'!$A$4:$A$2503,A124))</f>
        <v/>
      </c>
      <c r="G124" s="30">
        <f>IF(A124="","",COUNTIF('Access'!$B$4:$B$1503,A124))</f>
        <v/>
      </c>
      <c r="H124" s="30">
        <f>IF(A124="","",IF(COUNTIF($A$4:$A$1003,A124)&gt;1,"Duplicate holder ID",IF(OR(B124="",C124=""),"Missing required field",IF(F124=0,"No holdings",IF(AND(G124=0,A124&lt;&gt;"LKB-GROUP"),"No login (ok if not invited)","OK")))))</f>
        <v/>
      </c>
    </row>
    <row r="125">
      <c r="A125" s="26" t="n"/>
      <c r="B125" s="26" t="n"/>
      <c r="C125" s="26" t="n"/>
      <c r="D125" s="26" t="n"/>
      <c r="E125" s="26" t="n"/>
      <c r="F125" s="30">
        <f>IF(A125="","",COUNTIF('Holdings'!$A$4:$A$2503,A125))</f>
        <v/>
      </c>
      <c r="G125" s="30">
        <f>IF(A125="","",COUNTIF('Access'!$B$4:$B$1503,A125))</f>
        <v/>
      </c>
      <c r="H125" s="30">
        <f>IF(A125="","",IF(COUNTIF($A$4:$A$1003,A125)&gt;1,"Duplicate holder ID",IF(OR(B125="",C125=""),"Missing required field",IF(F125=0,"No holdings",IF(AND(G125=0,A125&lt;&gt;"LKB-GROUP"),"No login (ok if not invited)","OK")))))</f>
        <v/>
      </c>
    </row>
    <row r="126">
      <c r="A126" s="26" t="n"/>
      <c r="B126" s="26" t="n"/>
      <c r="C126" s="26" t="n"/>
      <c r="D126" s="26" t="n"/>
      <c r="E126" s="26" t="n"/>
      <c r="F126" s="30">
        <f>IF(A126="","",COUNTIF('Holdings'!$A$4:$A$2503,A126))</f>
        <v/>
      </c>
      <c r="G126" s="30">
        <f>IF(A126="","",COUNTIF('Access'!$B$4:$B$1503,A126))</f>
        <v/>
      </c>
      <c r="H126" s="30">
        <f>IF(A126="","",IF(COUNTIF($A$4:$A$1003,A126)&gt;1,"Duplicate holder ID",IF(OR(B126="",C126=""),"Missing required field",IF(F126=0,"No holdings",IF(AND(G126=0,A126&lt;&gt;"LKB-GROUP"),"No login (ok if not invited)","OK")))))</f>
        <v/>
      </c>
    </row>
    <row r="127">
      <c r="A127" s="26" t="n"/>
      <c r="B127" s="26" t="n"/>
      <c r="C127" s="26" t="n"/>
      <c r="D127" s="26" t="n"/>
      <c r="E127" s="26" t="n"/>
      <c r="F127" s="30">
        <f>IF(A127="","",COUNTIF('Holdings'!$A$4:$A$2503,A127))</f>
        <v/>
      </c>
      <c r="G127" s="30">
        <f>IF(A127="","",COUNTIF('Access'!$B$4:$B$1503,A127))</f>
        <v/>
      </c>
      <c r="H127" s="30">
        <f>IF(A127="","",IF(COUNTIF($A$4:$A$1003,A127)&gt;1,"Duplicate holder ID",IF(OR(B127="",C127=""),"Missing required field",IF(F127=0,"No holdings",IF(AND(G127=0,A127&lt;&gt;"LKB-GROUP"),"No login (ok if not invited)","OK")))))</f>
        <v/>
      </c>
    </row>
    <row r="128">
      <c r="A128" s="26" t="n"/>
      <c r="B128" s="26" t="n"/>
      <c r="C128" s="26" t="n"/>
      <c r="D128" s="26" t="n"/>
      <c r="E128" s="26" t="n"/>
      <c r="F128" s="30">
        <f>IF(A128="","",COUNTIF('Holdings'!$A$4:$A$2503,A128))</f>
        <v/>
      </c>
      <c r="G128" s="30">
        <f>IF(A128="","",COUNTIF('Access'!$B$4:$B$1503,A128))</f>
        <v/>
      </c>
      <c r="H128" s="30">
        <f>IF(A128="","",IF(COUNTIF($A$4:$A$1003,A128)&gt;1,"Duplicate holder ID",IF(OR(B128="",C128=""),"Missing required field",IF(F128=0,"No holdings",IF(AND(G128=0,A128&lt;&gt;"LKB-GROUP"),"No login (ok if not invited)","OK")))))</f>
        <v/>
      </c>
    </row>
    <row r="129">
      <c r="A129" s="26" t="n"/>
      <c r="B129" s="26" t="n"/>
      <c r="C129" s="26" t="n"/>
      <c r="D129" s="26" t="n"/>
      <c r="E129" s="26" t="n"/>
      <c r="F129" s="30">
        <f>IF(A129="","",COUNTIF('Holdings'!$A$4:$A$2503,A129))</f>
        <v/>
      </c>
      <c r="G129" s="30">
        <f>IF(A129="","",COUNTIF('Access'!$B$4:$B$1503,A129))</f>
        <v/>
      </c>
      <c r="H129" s="30">
        <f>IF(A129="","",IF(COUNTIF($A$4:$A$1003,A129)&gt;1,"Duplicate holder ID",IF(OR(B129="",C129=""),"Missing required field",IF(F129=0,"No holdings",IF(AND(G129=0,A129&lt;&gt;"LKB-GROUP"),"No login (ok if not invited)","OK")))))</f>
        <v/>
      </c>
    </row>
    <row r="130">
      <c r="A130" s="26" t="n"/>
      <c r="B130" s="26" t="n"/>
      <c r="C130" s="26" t="n"/>
      <c r="D130" s="26" t="n"/>
      <c r="E130" s="26" t="n"/>
      <c r="F130" s="30">
        <f>IF(A130="","",COUNTIF('Holdings'!$A$4:$A$2503,A130))</f>
        <v/>
      </c>
      <c r="G130" s="30">
        <f>IF(A130="","",COUNTIF('Access'!$B$4:$B$1503,A130))</f>
        <v/>
      </c>
      <c r="H130" s="30">
        <f>IF(A130="","",IF(COUNTIF($A$4:$A$1003,A130)&gt;1,"Duplicate holder ID",IF(OR(B130="",C130=""),"Missing required field",IF(F130=0,"No holdings",IF(AND(G130=0,A130&lt;&gt;"LKB-GROUP"),"No login (ok if not invited)","OK")))))</f>
        <v/>
      </c>
    </row>
    <row r="131">
      <c r="A131" s="26" t="n"/>
      <c r="B131" s="26" t="n"/>
      <c r="C131" s="26" t="n"/>
      <c r="D131" s="26" t="n"/>
      <c r="E131" s="26" t="n"/>
      <c r="F131" s="30">
        <f>IF(A131="","",COUNTIF('Holdings'!$A$4:$A$2503,A131))</f>
        <v/>
      </c>
      <c r="G131" s="30">
        <f>IF(A131="","",COUNTIF('Access'!$B$4:$B$1503,A131))</f>
        <v/>
      </c>
      <c r="H131" s="30">
        <f>IF(A131="","",IF(COUNTIF($A$4:$A$1003,A131)&gt;1,"Duplicate holder ID",IF(OR(B131="",C131=""),"Missing required field",IF(F131=0,"No holdings",IF(AND(G131=0,A131&lt;&gt;"LKB-GROUP"),"No login (ok if not invited)","OK")))))</f>
        <v/>
      </c>
    </row>
    <row r="132">
      <c r="A132" s="26" t="n"/>
      <c r="B132" s="26" t="n"/>
      <c r="C132" s="26" t="n"/>
      <c r="D132" s="26" t="n"/>
      <c r="E132" s="26" t="n"/>
      <c r="F132" s="30">
        <f>IF(A132="","",COUNTIF('Holdings'!$A$4:$A$2503,A132))</f>
        <v/>
      </c>
      <c r="G132" s="30">
        <f>IF(A132="","",COUNTIF('Access'!$B$4:$B$1503,A132))</f>
        <v/>
      </c>
      <c r="H132" s="30">
        <f>IF(A132="","",IF(COUNTIF($A$4:$A$1003,A132)&gt;1,"Duplicate holder ID",IF(OR(B132="",C132=""),"Missing required field",IF(F132=0,"No holdings",IF(AND(G132=0,A132&lt;&gt;"LKB-GROUP"),"No login (ok if not invited)","OK")))))</f>
        <v/>
      </c>
    </row>
    <row r="133">
      <c r="A133" s="26" t="n"/>
      <c r="B133" s="26" t="n"/>
      <c r="C133" s="26" t="n"/>
      <c r="D133" s="26" t="n"/>
      <c r="E133" s="26" t="n"/>
      <c r="F133" s="30">
        <f>IF(A133="","",COUNTIF('Holdings'!$A$4:$A$2503,A133))</f>
        <v/>
      </c>
      <c r="G133" s="30">
        <f>IF(A133="","",COUNTIF('Access'!$B$4:$B$1503,A133))</f>
        <v/>
      </c>
      <c r="H133" s="30">
        <f>IF(A133="","",IF(COUNTIF($A$4:$A$1003,A133)&gt;1,"Duplicate holder ID",IF(OR(B133="",C133=""),"Missing required field",IF(F133=0,"No holdings",IF(AND(G133=0,A133&lt;&gt;"LKB-GROUP"),"No login (ok if not invited)","OK")))))</f>
        <v/>
      </c>
    </row>
    <row r="134">
      <c r="A134" s="26" t="n"/>
      <c r="B134" s="26" t="n"/>
      <c r="C134" s="26" t="n"/>
      <c r="D134" s="26" t="n"/>
      <c r="E134" s="26" t="n"/>
      <c r="F134" s="30">
        <f>IF(A134="","",COUNTIF('Holdings'!$A$4:$A$2503,A134))</f>
        <v/>
      </c>
      <c r="G134" s="30">
        <f>IF(A134="","",COUNTIF('Access'!$B$4:$B$1503,A134))</f>
        <v/>
      </c>
      <c r="H134" s="30">
        <f>IF(A134="","",IF(COUNTIF($A$4:$A$1003,A134)&gt;1,"Duplicate holder ID",IF(OR(B134="",C134=""),"Missing required field",IF(F134=0,"No holdings",IF(AND(G134=0,A134&lt;&gt;"LKB-GROUP"),"No login (ok if not invited)","OK")))))</f>
        <v/>
      </c>
    </row>
    <row r="135">
      <c r="A135" s="26" t="n"/>
      <c r="B135" s="26" t="n"/>
      <c r="C135" s="26" t="n"/>
      <c r="D135" s="26" t="n"/>
      <c r="E135" s="26" t="n"/>
      <c r="F135" s="30">
        <f>IF(A135="","",COUNTIF('Holdings'!$A$4:$A$2503,A135))</f>
        <v/>
      </c>
      <c r="G135" s="30">
        <f>IF(A135="","",COUNTIF('Access'!$B$4:$B$1503,A135))</f>
        <v/>
      </c>
      <c r="H135" s="30">
        <f>IF(A135="","",IF(COUNTIF($A$4:$A$1003,A135)&gt;1,"Duplicate holder ID",IF(OR(B135="",C135=""),"Missing required field",IF(F135=0,"No holdings",IF(AND(G135=0,A135&lt;&gt;"LKB-GROUP"),"No login (ok if not invited)","OK")))))</f>
        <v/>
      </c>
    </row>
    <row r="136">
      <c r="A136" s="26" t="n"/>
      <c r="B136" s="26" t="n"/>
      <c r="C136" s="26" t="n"/>
      <c r="D136" s="26" t="n"/>
      <c r="E136" s="26" t="n"/>
      <c r="F136" s="30">
        <f>IF(A136="","",COUNTIF('Holdings'!$A$4:$A$2503,A136))</f>
        <v/>
      </c>
      <c r="G136" s="30">
        <f>IF(A136="","",COUNTIF('Access'!$B$4:$B$1503,A136))</f>
        <v/>
      </c>
      <c r="H136" s="30">
        <f>IF(A136="","",IF(COUNTIF($A$4:$A$1003,A136)&gt;1,"Duplicate holder ID",IF(OR(B136="",C136=""),"Missing required field",IF(F136=0,"No holdings",IF(AND(G136=0,A136&lt;&gt;"LKB-GROUP"),"No login (ok if not invited)","OK")))))</f>
        <v/>
      </c>
    </row>
    <row r="137">
      <c r="A137" s="26" t="n"/>
      <c r="B137" s="26" t="n"/>
      <c r="C137" s="26" t="n"/>
      <c r="D137" s="26" t="n"/>
      <c r="E137" s="26" t="n"/>
      <c r="F137" s="30">
        <f>IF(A137="","",COUNTIF('Holdings'!$A$4:$A$2503,A137))</f>
        <v/>
      </c>
      <c r="G137" s="30">
        <f>IF(A137="","",COUNTIF('Access'!$B$4:$B$1503,A137))</f>
        <v/>
      </c>
      <c r="H137" s="30">
        <f>IF(A137="","",IF(COUNTIF($A$4:$A$1003,A137)&gt;1,"Duplicate holder ID",IF(OR(B137="",C137=""),"Missing required field",IF(F137=0,"No holdings",IF(AND(G137=0,A137&lt;&gt;"LKB-GROUP"),"No login (ok if not invited)","OK")))))</f>
        <v/>
      </c>
    </row>
    <row r="138">
      <c r="A138" s="26" t="n"/>
      <c r="B138" s="26" t="n"/>
      <c r="C138" s="26" t="n"/>
      <c r="D138" s="26" t="n"/>
      <c r="E138" s="26" t="n"/>
      <c r="F138" s="30">
        <f>IF(A138="","",COUNTIF('Holdings'!$A$4:$A$2503,A138))</f>
        <v/>
      </c>
      <c r="G138" s="30">
        <f>IF(A138="","",COUNTIF('Access'!$B$4:$B$1503,A138))</f>
        <v/>
      </c>
      <c r="H138" s="30">
        <f>IF(A138="","",IF(COUNTIF($A$4:$A$1003,A138)&gt;1,"Duplicate holder ID",IF(OR(B138="",C138=""),"Missing required field",IF(F138=0,"No holdings",IF(AND(G138=0,A138&lt;&gt;"LKB-GROUP"),"No login (ok if not invited)","OK")))))</f>
        <v/>
      </c>
    </row>
    <row r="139">
      <c r="A139" s="26" t="n"/>
      <c r="B139" s="26" t="n"/>
      <c r="C139" s="26" t="n"/>
      <c r="D139" s="26" t="n"/>
      <c r="E139" s="26" t="n"/>
      <c r="F139" s="30">
        <f>IF(A139="","",COUNTIF('Holdings'!$A$4:$A$2503,A139))</f>
        <v/>
      </c>
      <c r="G139" s="30">
        <f>IF(A139="","",COUNTIF('Access'!$B$4:$B$1503,A139))</f>
        <v/>
      </c>
      <c r="H139" s="30">
        <f>IF(A139="","",IF(COUNTIF($A$4:$A$1003,A139)&gt;1,"Duplicate holder ID",IF(OR(B139="",C139=""),"Missing required field",IF(F139=0,"No holdings",IF(AND(G139=0,A139&lt;&gt;"LKB-GROUP"),"No login (ok if not invited)","OK")))))</f>
        <v/>
      </c>
    </row>
    <row r="140">
      <c r="A140" s="26" t="n"/>
      <c r="B140" s="26" t="n"/>
      <c r="C140" s="26" t="n"/>
      <c r="D140" s="26" t="n"/>
      <c r="E140" s="26" t="n"/>
      <c r="F140" s="30">
        <f>IF(A140="","",COUNTIF('Holdings'!$A$4:$A$2503,A140))</f>
        <v/>
      </c>
      <c r="G140" s="30">
        <f>IF(A140="","",COUNTIF('Access'!$B$4:$B$1503,A140))</f>
        <v/>
      </c>
      <c r="H140" s="30">
        <f>IF(A140="","",IF(COUNTIF($A$4:$A$1003,A140)&gt;1,"Duplicate holder ID",IF(OR(B140="",C140=""),"Missing required field",IF(F140=0,"No holdings",IF(AND(G140=0,A140&lt;&gt;"LKB-GROUP"),"No login (ok if not invited)","OK")))))</f>
        <v/>
      </c>
    </row>
    <row r="141">
      <c r="A141" s="26" t="n"/>
      <c r="B141" s="26" t="n"/>
      <c r="C141" s="26" t="n"/>
      <c r="D141" s="26" t="n"/>
      <c r="E141" s="26" t="n"/>
      <c r="F141" s="30">
        <f>IF(A141="","",COUNTIF('Holdings'!$A$4:$A$2503,A141))</f>
        <v/>
      </c>
      <c r="G141" s="30">
        <f>IF(A141="","",COUNTIF('Access'!$B$4:$B$1503,A141))</f>
        <v/>
      </c>
      <c r="H141" s="30">
        <f>IF(A141="","",IF(COUNTIF($A$4:$A$1003,A141)&gt;1,"Duplicate holder ID",IF(OR(B141="",C141=""),"Missing required field",IF(F141=0,"No holdings",IF(AND(G141=0,A141&lt;&gt;"LKB-GROUP"),"No login (ok if not invited)","OK")))))</f>
        <v/>
      </c>
    </row>
    <row r="142">
      <c r="A142" s="26" t="n"/>
      <c r="B142" s="26" t="n"/>
      <c r="C142" s="26" t="n"/>
      <c r="D142" s="26" t="n"/>
      <c r="E142" s="26" t="n"/>
      <c r="F142" s="30">
        <f>IF(A142="","",COUNTIF('Holdings'!$A$4:$A$2503,A142))</f>
        <v/>
      </c>
      <c r="G142" s="30">
        <f>IF(A142="","",COUNTIF('Access'!$B$4:$B$1503,A142))</f>
        <v/>
      </c>
      <c r="H142" s="30">
        <f>IF(A142="","",IF(COUNTIF($A$4:$A$1003,A142)&gt;1,"Duplicate holder ID",IF(OR(B142="",C142=""),"Missing required field",IF(F142=0,"No holdings",IF(AND(G142=0,A142&lt;&gt;"LKB-GROUP"),"No login (ok if not invited)","OK")))))</f>
        <v/>
      </c>
    </row>
    <row r="143">
      <c r="A143" s="26" t="n"/>
      <c r="B143" s="26" t="n"/>
      <c r="C143" s="26" t="n"/>
      <c r="D143" s="26" t="n"/>
      <c r="E143" s="26" t="n"/>
      <c r="F143" s="30">
        <f>IF(A143="","",COUNTIF('Holdings'!$A$4:$A$2503,A143))</f>
        <v/>
      </c>
      <c r="G143" s="30">
        <f>IF(A143="","",COUNTIF('Access'!$B$4:$B$1503,A143))</f>
        <v/>
      </c>
      <c r="H143" s="30">
        <f>IF(A143="","",IF(COUNTIF($A$4:$A$1003,A143)&gt;1,"Duplicate holder ID",IF(OR(B143="",C143=""),"Missing required field",IF(F143=0,"No holdings",IF(AND(G143=0,A143&lt;&gt;"LKB-GROUP"),"No login (ok if not invited)","OK")))))</f>
        <v/>
      </c>
    </row>
    <row r="144">
      <c r="A144" s="26" t="n"/>
      <c r="B144" s="26" t="n"/>
      <c r="C144" s="26" t="n"/>
      <c r="D144" s="26" t="n"/>
      <c r="E144" s="26" t="n"/>
      <c r="F144" s="30">
        <f>IF(A144="","",COUNTIF('Holdings'!$A$4:$A$2503,A144))</f>
        <v/>
      </c>
      <c r="G144" s="30">
        <f>IF(A144="","",COUNTIF('Access'!$B$4:$B$1503,A144))</f>
        <v/>
      </c>
      <c r="H144" s="30">
        <f>IF(A144="","",IF(COUNTIF($A$4:$A$1003,A144)&gt;1,"Duplicate holder ID",IF(OR(B144="",C144=""),"Missing required field",IF(F144=0,"No holdings",IF(AND(G144=0,A144&lt;&gt;"LKB-GROUP"),"No login (ok if not invited)","OK")))))</f>
        <v/>
      </c>
    </row>
    <row r="145">
      <c r="A145" s="26" t="n"/>
      <c r="B145" s="26" t="n"/>
      <c r="C145" s="26" t="n"/>
      <c r="D145" s="26" t="n"/>
      <c r="E145" s="26" t="n"/>
      <c r="F145" s="30">
        <f>IF(A145="","",COUNTIF('Holdings'!$A$4:$A$2503,A145))</f>
        <v/>
      </c>
      <c r="G145" s="30">
        <f>IF(A145="","",COUNTIF('Access'!$B$4:$B$1503,A145))</f>
        <v/>
      </c>
      <c r="H145" s="30">
        <f>IF(A145="","",IF(COUNTIF($A$4:$A$1003,A145)&gt;1,"Duplicate holder ID",IF(OR(B145="",C145=""),"Missing required field",IF(F145=0,"No holdings",IF(AND(G145=0,A145&lt;&gt;"LKB-GROUP"),"No login (ok if not invited)","OK")))))</f>
        <v/>
      </c>
    </row>
    <row r="146">
      <c r="A146" s="26" t="n"/>
      <c r="B146" s="26" t="n"/>
      <c r="C146" s="26" t="n"/>
      <c r="D146" s="26" t="n"/>
      <c r="E146" s="26" t="n"/>
      <c r="F146" s="30">
        <f>IF(A146="","",COUNTIF('Holdings'!$A$4:$A$2503,A146))</f>
        <v/>
      </c>
      <c r="G146" s="30">
        <f>IF(A146="","",COUNTIF('Access'!$B$4:$B$1503,A146))</f>
        <v/>
      </c>
      <c r="H146" s="30">
        <f>IF(A146="","",IF(COUNTIF($A$4:$A$1003,A146)&gt;1,"Duplicate holder ID",IF(OR(B146="",C146=""),"Missing required field",IF(F146=0,"No holdings",IF(AND(G146=0,A146&lt;&gt;"LKB-GROUP"),"No login (ok if not invited)","OK")))))</f>
        <v/>
      </c>
    </row>
    <row r="147">
      <c r="A147" s="26" t="n"/>
      <c r="B147" s="26" t="n"/>
      <c r="C147" s="26" t="n"/>
      <c r="D147" s="26" t="n"/>
      <c r="E147" s="26" t="n"/>
      <c r="F147" s="30">
        <f>IF(A147="","",COUNTIF('Holdings'!$A$4:$A$2503,A147))</f>
        <v/>
      </c>
      <c r="G147" s="30">
        <f>IF(A147="","",COUNTIF('Access'!$B$4:$B$1503,A147))</f>
        <v/>
      </c>
      <c r="H147" s="30">
        <f>IF(A147="","",IF(COUNTIF($A$4:$A$1003,A147)&gt;1,"Duplicate holder ID",IF(OR(B147="",C147=""),"Missing required field",IF(F147=0,"No holdings",IF(AND(G147=0,A147&lt;&gt;"LKB-GROUP"),"No login (ok if not invited)","OK")))))</f>
        <v/>
      </c>
    </row>
    <row r="148">
      <c r="A148" s="26" t="n"/>
      <c r="B148" s="26" t="n"/>
      <c r="C148" s="26" t="n"/>
      <c r="D148" s="26" t="n"/>
      <c r="E148" s="26" t="n"/>
      <c r="F148" s="30">
        <f>IF(A148="","",COUNTIF('Holdings'!$A$4:$A$2503,A148))</f>
        <v/>
      </c>
      <c r="G148" s="30">
        <f>IF(A148="","",COUNTIF('Access'!$B$4:$B$1503,A148))</f>
        <v/>
      </c>
      <c r="H148" s="30">
        <f>IF(A148="","",IF(COUNTIF($A$4:$A$1003,A148)&gt;1,"Duplicate holder ID",IF(OR(B148="",C148=""),"Missing required field",IF(F148=0,"No holdings",IF(AND(G148=0,A148&lt;&gt;"LKB-GROUP"),"No login (ok if not invited)","OK")))))</f>
        <v/>
      </c>
    </row>
    <row r="149">
      <c r="A149" s="26" t="n"/>
      <c r="B149" s="26" t="n"/>
      <c r="C149" s="26" t="n"/>
      <c r="D149" s="26" t="n"/>
      <c r="E149" s="26" t="n"/>
      <c r="F149" s="30">
        <f>IF(A149="","",COUNTIF('Holdings'!$A$4:$A$2503,A149))</f>
        <v/>
      </c>
      <c r="G149" s="30">
        <f>IF(A149="","",COUNTIF('Access'!$B$4:$B$1503,A149))</f>
        <v/>
      </c>
      <c r="H149" s="30">
        <f>IF(A149="","",IF(COUNTIF($A$4:$A$1003,A149)&gt;1,"Duplicate holder ID",IF(OR(B149="",C149=""),"Missing required field",IF(F149=0,"No holdings",IF(AND(G149=0,A149&lt;&gt;"LKB-GROUP"),"No login (ok if not invited)","OK")))))</f>
        <v/>
      </c>
    </row>
    <row r="150">
      <c r="A150" s="26" t="n"/>
      <c r="B150" s="26" t="n"/>
      <c r="C150" s="26" t="n"/>
      <c r="D150" s="26" t="n"/>
      <c r="E150" s="26" t="n"/>
      <c r="F150" s="30">
        <f>IF(A150="","",COUNTIF('Holdings'!$A$4:$A$2503,A150))</f>
        <v/>
      </c>
      <c r="G150" s="30">
        <f>IF(A150="","",COUNTIF('Access'!$B$4:$B$1503,A150))</f>
        <v/>
      </c>
      <c r="H150" s="30">
        <f>IF(A150="","",IF(COUNTIF($A$4:$A$1003,A150)&gt;1,"Duplicate holder ID",IF(OR(B150="",C150=""),"Missing required field",IF(F150=0,"No holdings",IF(AND(G150=0,A150&lt;&gt;"LKB-GROUP"),"No login (ok if not invited)","OK")))))</f>
        <v/>
      </c>
    </row>
    <row r="151">
      <c r="A151" s="26" t="n"/>
      <c r="B151" s="26" t="n"/>
      <c r="C151" s="26" t="n"/>
      <c r="D151" s="26" t="n"/>
      <c r="E151" s="26" t="n"/>
      <c r="F151" s="30">
        <f>IF(A151="","",COUNTIF('Holdings'!$A$4:$A$2503,A151))</f>
        <v/>
      </c>
      <c r="G151" s="30">
        <f>IF(A151="","",COUNTIF('Access'!$B$4:$B$1503,A151))</f>
        <v/>
      </c>
      <c r="H151" s="30">
        <f>IF(A151="","",IF(COUNTIF($A$4:$A$1003,A151)&gt;1,"Duplicate holder ID",IF(OR(B151="",C151=""),"Missing required field",IF(F151=0,"No holdings",IF(AND(G151=0,A151&lt;&gt;"LKB-GROUP"),"No login (ok if not invited)","OK")))))</f>
        <v/>
      </c>
    </row>
    <row r="152">
      <c r="A152" s="26" t="n"/>
      <c r="B152" s="26" t="n"/>
      <c r="C152" s="26" t="n"/>
      <c r="D152" s="26" t="n"/>
      <c r="E152" s="26" t="n"/>
      <c r="F152" s="30">
        <f>IF(A152="","",COUNTIF('Holdings'!$A$4:$A$2503,A152))</f>
        <v/>
      </c>
      <c r="G152" s="30">
        <f>IF(A152="","",COUNTIF('Access'!$B$4:$B$1503,A152))</f>
        <v/>
      </c>
      <c r="H152" s="30">
        <f>IF(A152="","",IF(COUNTIF($A$4:$A$1003,A152)&gt;1,"Duplicate holder ID",IF(OR(B152="",C152=""),"Missing required field",IF(F152=0,"No holdings",IF(AND(G152=0,A152&lt;&gt;"LKB-GROUP"),"No login (ok if not invited)","OK")))))</f>
        <v/>
      </c>
    </row>
    <row r="153">
      <c r="A153" s="26" t="n"/>
      <c r="B153" s="26" t="n"/>
      <c r="C153" s="26" t="n"/>
      <c r="D153" s="26" t="n"/>
      <c r="E153" s="26" t="n"/>
      <c r="F153" s="30">
        <f>IF(A153="","",COUNTIF('Holdings'!$A$4:$A$2503,A153))</f>
        <v/>
      </c>
      <c r="G153" s="30">
        <f>IF(A153="","",COUNTIF('Access'!$B$4:$B$1503,A153))</f>
        <v/>
      </c>
      <c r="H153" s="30">
        <f>IF(A153="","",IF(COUNTIF($A$4:$A$1003,A153)&gt;1,"Duplicate holder ID",IF(OR(B153="",C153=""),"Missing required field",IF(F153=0,"No holdings",IF(AND(G153=0,A153&lt;&gt;"LKB-GROUP"),"No login (ok if not invited)","OK")))))</f>
        <v/>
      </c>
    </row>
    <row r="154">
      <c r="A154" s="26" t="n"/>
      <c r="B154" s="26" t="n"/>
      <c r="C154" s="26" t="n"/>
      <c r="D154" s="26" t="n"/>
      <c r="E154" s="26" t="n"/>
      <c r="F154" s="30">
        <f>IF(A154="","",COUNTIF('Holdings'!$A$4:$A$2503,A154))</f>
        <v/>
      </c>
      <c r="G154" s="30">
        <f>IF(A154="","",COUNTIF('Access'!$B$4:$B$1503,A154))</f>
        <v/>
      </c>
      <c r="H154" s="30">
        <f>IF(A154="","",IF(COUNTIF($A$4:$A$1003,A154)&gt;1,"Duplicate holder ID",IF(OR(B154="",C154=""),"Missing required field",IF(F154=0,"No holdings",IF(AND(G154=0,A154&lt;&gt;"LKB-GROUP"),"No login (ok if not invited)","OK")))))</f>
        <v/>
      </c>
    </row>
    <row r="155">
      <c r="A155" s="26" t="n"/>
      <c r="B155" s="26" t="n"/>
      <c r="C155" s="26" t="n"/>
      <c r="D155" s="26" t="n"/>
      <c r="E155" s="26" t="n"/>
      <c r="F155" s="30">
        <f>IF(A155="","",COUNTIF('Holdings'!$A$4:$A$2503,A155))</f>
        <v/>
      </c>
      <c r="G155" s="30">
        <f>IF(A155="","",COUNTIF('Access'!$B$4:$B$1503,A155))</f>
        <v/>
      </c>
      <c r="H155" s="30">
        <f>IF(A155="","",IF(COUNTIF($A$4:$A$1003,A155)&gt;1,"Duplicate holder ID",IF(OR(B155="",C155=""),"Missing required field",IF(F155=0,"No holdings",IF(AND(G155=0,A155&lt;&gt;"LKB-GROUP"),"No login (ok if not invited)","OK")))))</f>
        <v/>
      </c>
    </row>
    <row r="156">
      <c r="A156" s="26" t="n"/>
      <c r="B156" s="26" t="n"/>
      <c r="C156" s="26" t="n"/>
      <c r="D156" s="26" t="n"/>
      <c r="E156" s="26" t="n"/>
      <c r="F156" s="30">
        <f>IF(A156="","",COUNTIF('Holdings'!$A$4:$A$2503,A156))</f>
        <v/>
      </c>
      <c r="G156" s="30">
        <f>IF(A156="","",COUNTIF('Access'!$B$4:$B$1503,A156))</f>
        <v/>
      </c>
      <c r="H156" s="30">
        <f>IF(A156="","",IF(COUNTIF($A$4:$A$1003,A156)&gt;1,"Duplicate holder ID",IF(OR(B156="",C156=""),"Missing required field",IF(F156=0,"No holdings",IF(AND(G156=0,A156&lt;&gt;"LKB-GROUP"),"No login (ok if not invited)","OK")))))</f>
        <v/>
      </c>
    </row>
    <row r="157">
      <c r="A157" s="26" t="n"/>
      <c r="B157" s="26" t="n"/>
      <c r="C157" s="26" t="n"/>
      <c r="D157" s="26" t="n"/>
      <c r="E157" s="26" t="n"/>
      <c r="F157" s="30">
        <f>IF(A157="","",COUNTIF('Holdings'!$A$4:$A$2503,A157))</f>
        <v/>
      </c>
      <c r="G157" s="30">
        <f>IF(A157="","",COUNTIF('Access'!$B$4:$B$1503,A157))</f>
        <v/>
      </c>
      <c r="H157" s="30">
        <f>IF(A157="","",IF(COUNTIF($A$4:$A$1003,A157)&gt;1,"Duplicate holder ID",IF(OR(B157="",C157=""),"Missing required field",IF(F157=0,"No holdings",IF(AND(G157=0,A157&lt;&gt;"LKB-GROUP"),"No login (ok if not invited)","OK")))))</f>
        <v/>
      </c>
    </row>
    <row r="158">
      <c r="A158" s="26" t="n"/>
      <c r="B158" s="26" t="n"/>
      <c r="C158" s="26" t="n"/>
      <c r="D158" s="26" t="n"/>
      <c r="E158" s="26" t="n"/>
      <c r="F158" s="30">
        <f>IF(A158="","",COUNTIF('Holdings'!$A$4:$A$2503,A158))</f>
        <v/>
      </c>
      <c r="G158" s="30">
        <f>IF(A158="","",COUNTIF('Access'!$B$4:$B$1503,A158))</f>
        <v/>
      </c>
      <c r="H158" s="30">
        <f>IF(A158="","",IF(COUNTIF($A$4:$A$1003,A158)&gt;1,"Duplicate holder ID",IF(OR(B158="",C158=""),"Missing required field",IF(F158=0,"No holdings",IF(AND(G158=0,A158&lt;&gt;"LKB-GROUP"),"No login (ok if not invited)","OK")))))</f>
        <v/>
      </c>
    </row>
    <row r="159">
      <c r="A159" s="26" t="n"/>
      <c r="B159" s="26" t="n"/>
      <c r="C159" s="26" t="n"/>
      <c r="D159" s="26" t="n"/>
      <c r="E159" s="26" t="n"/>
      <c r="F159" s="30">
        <f>IF(A159="","",COUNTIF('Holdings'!$A$4:$A$2503,A159))</f>
        <v/>
      </c>
      <c r="G159" s="30">
        <f>IF(A159="","",COUNTIF('Access'!$B$4:$B$1503,A159))</f>
        <v/>
      </c>
      <c r="H159" s="30">
        <f>IF(A159="","",IF(COUNTIF($A$4:$A$1003,A159)&gt;1,"Duplicate holder ID",IF(OR(B159="",C159=""),"Missing required field",IF(F159=0,"No holdings",IF(AND(G159=0,A159&lt;&gt;"LKB-GROUP"),"No login (ok if not invited)","OK")))))</f>
        <v/>
      </c>
    </row>
    <row r="160">
      <c r="A160" s="26" t="n"/>
      <c r="B160" s="26" t="n"/>
      <c r="C160" s="26" t="n"/>
      <c r="D160" s="26" t="n"/>
      <c r="E160" s="26" t="n"/>
      <c r="F160" s="30">
        <f>IF(A160="","",COUNTIF('Holdings'!$A$4:$A$2503,A160))</f>
        <v/>
      </c>
      <c r="G160" s="30">
        <f>IF(A160="","",COUNTIF('Access'!$B$4:$B$1503,A160))</f>
        <v/>
      </c>
      <c r="H160" s="30">
        <f>IF(A160="","",IF(COUNTIF($A$4:$A$1003,A160)&gt;1,"Duplicate holder ID",IF(OR(B160="",C160=""),"Missing required field",IF(F160=0,"No holdings",IF(AND(G160=0,A160&lt;&gt;"LKB-GROUP"),"No login (ok if not invited)","OK")))))</f>
        <v/>
      </c>
    </row>
    <row r="161">
      <c r="A161" s="26" t="n"/>
      <c r="B161" s="26" t="n"/>
      <c r="C161" s="26" t="n"/>
      <c r="D161" s="26" t="n"/>
      <c r="E161" s="26" t="n"/>
      <c r="F161" s="30">
        <f>IF(A161="","",COUNTIF('Holdings'!$A$4:$A$2503,A161))</f>
        <v/>
      </c>
      <c r="G161" s="30">
        <f>IF(A161="","",COUNTIF('Access'!$B$4:$B$1503,A161))</f>
        <v/>
      </c>
      <c r="H161" s="30">
        <f>IF(A161="","",IF(COUNTIF($A$4:$A$1003,A161)&gt;1,"Duplicate holder ID",IF(OR(B161="",C161=""),"Missing required field",IF(F161=0,"No holdings",IF(AND(G161=0,A161&lt;&gt;"LKB-GROUP"),"No login (ok if not invited)","OK")))))</f>
        <v/>
      </c>
    </row>
    <row r="162">
      <c r="A162" s="26" t="n"/>
      <c r="B162" s="26" t="n"/>
      <c r="C162" s="26" t="n"/>
      <c r="D162" s="26" t="n"/>
      <c r="E162" s="26" t="n"/>
      <c r="F162" s="30">
        <f>IF(A162="","",COUNTIF('Holdings'!$A$4:$A$2503,A162))</f>
        <v/>
      </c>
      <c r="G162" s="30">
        <f>IF(A162="","",COUNTIF('Access'!$B$4:$B$1503,A162))</f>
        <v/>
      </c>
      <c r="H162" s="30">
        <f>IF(A162="","",IF(COUNTIF($A$4:$A$1003,A162)&gt;1,"Duplicate holder ID",IF(OR(B162="",C162=""),"Missing required field",IF(F162=0,"No holdings",IF(AND(G162=0,A162&lt;&gt;"LKB-GROUP"),"No login (ok if not invited)","OK")))))</f>
        <v/>
      </c>
    </row>
    <row r="163">
      <c r="A163" s="26" t="n"/>
      <c r="B163" s="26" t="n"/>
      <c r="C163" s="26" t="n"/>
      <c r="D163" s="26" t="n"/>
      <c r="E163" s="26" t="n"/>
      <c r="F163" s="30">
        <f>IF(A163="","",COUNTIF('Holdings'!$A$4:$A$2503,A163))</f>
        <v/>
      </c>
      <c r="G163" s="30">
        <f>IF(A163="","",COUNTIF('Access'!$B$4:$B$1503,A163))</f>
        <v/>
      </c>
      <c r="H163" s="30">
        <f>IF(A163="","",IF(COUNTIF($A$4:$A$1003,A163)&gt;1,"Duplicate holder ID",IF(OR(B163="",C163=""),"Missing required field",IF(F163=0,"No holdings",IF(AND(G163=0,A163&lt;&gt;"LKB-GROUP"),"No login (ok if not invited)","OK")))))</f>
        <v/>
      </c>
    </row>
    <row r="164">
      <c r="A164" s="26" t="n"/>
      <c r="B164" s="26" t="n"/>
      <c r="C164" s="26" t="n"/>
      <c r="D164" s="26" t="n"/>
      <c r="E164" s="26" t="n"/>
      <c r="F164" s="30">
        <f>IF(A164="","",COUNTIF('Holdings'!$A$4:$A$2503,A164))</f>
        <v/>
      </c>
      <c r="G164" s="30">
        <f>IF(A164="","",COUNTIF('Access'!$B$4:$B$1503,A164))</f>
        <v/>
      </c>
      <c r="H164" s="30">
        <f>IF(A164="","",IF(COUNTIF($A$4:$A$1003,A164)&gt;1,"Duplicate holder ID",IF(OR(B164="",C164=""),"Missing required field",IF(F164=0,"No holdings",IF(AND(G164=0,A164&lt;&gt;"LKB-GROUP"),"No login (ok if not invited)","OK")))))</f>
        <v/>
      </c>
    </row>
    <row r="165">
      <c r="A165" s="26" t="n"/>
      <c r="B165" s="26" t="n"/>
      <c r="C165" s="26" t="n"/>
      <c r="D165" s="26" t="n"/>
      <c r="E165" s="26" t="n"/>
      <c r="F165" s="30">
        <f>IF(A165="","",COUNTIF('Holdings'!$A$4:$A$2503,A165))</f>
        <v/>
      </c>
      <c r="G165" s="30">
        <f>IF(A165="","",COUNTIF('Access'!$B$4:$B$1503,A165))</f>
        <v/>
      </c>
      <c r="H165" s="30">
        <f>IF(A165="","",IF(COUNTIF($A$4:$A$1003,A165)&gt;1,"Duplicate holder ID",IF(OR(B165="",C165=""),"Missing required field",IF(F165=0,"No holdings",IF(AND(G165=0,A165&lt;&gt;"LKB-GROUP"),"No login (ok if not invited)","OK")))))</f>
        <v/>
      </c>
    </row>
    <row r="166">
      <c r="A166" s="26" t="n"/>
      <c r="B166" s="26" t="n"/>
      <c r="C166" s="26" t="n"/>
      <c r="D166" s="26" t="n"/>
      <c r="E166" s="26" t="n"/>
      <c r="F166" s="30">
        <f>IF(A166="","",COUNTIF('Holdings'!$A$4:$A$2503,A166))</f>
        <v/>
      </c>
      <c r="G166" s="30">
        <f>IF(A166="","",COUNTIF('Access'!$B$4:$B$1503,A166))</f>
        <v/>
      </c>
      <c r="H166" s="30">
        <f>IF(A166="","",IF(COUNTIF($A$4:$A$1003,A166)&gt;1,"Duplicate holder ID",IF(OR(B166="",C166=""),"Missing required field",IF(F166=0,"No holdings",IF(AND(G166=0,A166&lt;&gt;"LKB-GROUP"),"No login (ok if not invited)","OK")))))</f>
        <v/>
      </c>
    </row>
    <row r="167">
      <c r="A167" s="26" t="n"/>
      <c r="B167" s="26" t="n"/>
      <c r="C167" s="26" t="n"/>
      <c r="D167" s="26" t="n"/>
      <c r="E167" s="26" t="n"/>
      <c r="F167" s="30">
        <f>IF(A167="","",COUNTIF('Holdings'!$A$4:$A$2503,A167))</f>
        <v/>
      </c>
      <c r="G167" s="30">
        <f>IF(A167="","",COUNTIF('Access'!$B$4:$B$1503,A167))</f>
        <v/>
      </c>
      <c r="H167" s="30">
        <f>IF(A167="","",IF(COUNTIF($A$4:$A$1003,A167)&gt;1,"Duplicate holder ID",IF(OR(B167="",C167=""),"Missing required field",IF(F167=0,"No holdings",IF(AND(G167=0,A167&lt;&gt;"LKB-GROUP"),"No login (ok if not invited)","OK")))))</f>
        <v/>
      </c>
    </row>
    <row r="168">
      <c r="A168" s="26" t="n"/>
      <c r="B168" s="26" t="n"/>
      <c r="C168" s="26" t="n"/>
      <c r="D168" s="26" t="n"/>
      <c r="E168" s="26" t="n"/>
      <c r="F168" s="30">
        <f>IF(A168="","",COUNTIF('Holdings'!$A$4:$A$2503,A168))</f>
        <v/>
      </c>
      <c r="G168" s="30">
        <f>IF(A168="","",COUNTIF('Access'!$B$4:$B$1503,A168))</f>
        <v/>
      </c>
      <c r="H168" s="30">
        <f>IF(A168="","",IF(COUNTIF($A$4:$A$1003,A168)&gt;1,"Duplicate holder ID",IF(OR(B168="",C168=""),"Missing required field",IF(F168=0,"No holdings",IF(AND(G168=0,A168&lt;&gt;"LKB-GROUP"),"No login (ok if not invited)","OK")))))</f>
        <v/>
      </c>
    </row>
    <row r="169">
      <c r="A169" s="26" t="n"/>
      <c r="B169" s="26" t="n"/>
      <c r="C169" s="26" t="n"/>
      <c r="D169" s="26" t="n"/>
      <c r="E169" s="26" t="n"/>
      <c r="F169" s="30">
        <f>IF(A169="","",COUNTIF('Holdings'!$A$4:$A$2503,A169))</f>
        <v/>
      </c>
      <c r="G169" s="30">
        <f>IF(A169="","",COUNTIF('Access'!$B$4:$B$1503,A169))</f>
        <v/>
      </c>
      <c r="H169" s="30">
        <f>IF(A169="","",IF(COUNTIF($A$4:$A$1003,A169)&gt;1,"Duplicate holder ID",IF(OR(B169="",C169=""),"Missing required field",IF(F169=0,"No holdings",IF(AND(G169=0,A169&lt;&gt;"LKB-GROUP"),"No login (ok if not invited)","OK")))))</f>
        <v/>
      </c>
    </row>
    <row r="170">
      <c r="A170" s="26" t="n"/>
      <c r="B170" s="26" t="n"/>
      <c r="C170" s="26" t="n"/>
      <c r="D170" s="26" t="n"/>
      <c r="E170" s="26" t="n"/>
      <c r="F170" s="30">
        <f>IF(A170="","",COUNTIF('Holdings'!$A$4:$A$2503,A170))</f>
        <v/>
      </c>
      <c r="G170" s="30">
        <f>IF(A170="","",COUNTIF('Access'!$B$4:$B$1503,A170))</f>
        <v/>
      </c>
      <c r="H170" s="30">
        <f>IF(A170="","",IF(COUNTIF($A$4:$A$1003,A170)&gt;1,"Duplicate holder ID",IF(OR(B170="",C170=""),"Missing required field",IF(F170=0,"No holdings",IF(AND(G170=0,A170&lt;&gt;"LKB-GROUP"),"No login (ok if not invited)","OK")))))</f>
        <v/>
      </c>
    </row>
    <row r="171">
      <c r="A171" s="26" t="n"/>
      <c r="B171" s="26" t="n"/>
      <c r="C171" s="26" t="n"/>
      <c r="D171" s="26" t="n"/>
      <c r="E171" s="26" t="n"/>
      <c r="F171" s="30">
        <f>IF(A171="","",COUNTIF('Holdings'!$A$4:$A$2503,A171))</f>
        <v/>
      </c>
      <c r="G171" s="30">
        <f>IF(A171="","",COUNTIF('Access'!$B$4:$B$1503,A171))</f>
        <v/>
      </c>
      <c r="H171" s="30">
        <f>IF(A171="","",IF(COUNTIF($A$4:$A$1003,A171)&gt;1,"Duplicate holder ID",IF(OR(B171="",C171=""),"Missing required field",IF(F171=0,"No holdings",IF(AND(G171=0,A171&lt;&gt;"LKB-GROUP"),"No login (ok if not invited)","OK")))))</f>
        <v/>
      </c>
    </row>
    <row r="172">
      <c r="A172" s="26" t="n"/>
      <c r="B172" s="26" t="n"/>
      <c r="C172" s="26" t="n"/>
      <c r="D172" s="26" t="n"/>
      <c r="E172" s="26" t="n"/>
      <c r="F172" s="30">
        <f>IF(A172="","",COUNTIF('Holdings'!$A$4:$A$2503,A172))</f>
        <v/>
      </c>
      <c r="G172" s="30">
        <f>IF(A172="","",COUNTIF('Access'!$B$4:$B$1503,A172))</f>
        <v/>
      </c>
      <c r="H172" s="30">
        <f>IF(A172="","",IF(COUNTIF($A$4:$A$1003,A172)&gt;1,"Duplicate holder ID",IF(OR(B172="",C172=""),"Missing required field",IF(F172=0,"No holdings",IF(AND(G172=0,A172&lt;&gt;"LKB-GROUP"),"No login (ok if not invited)","OK")))))</f>
        <v/>
      </c>
    </row>
    <row r="173">
      <c r="A173" s="26" t="n"/>
      <c r="B173" s="26" t="n"/>
      <c r="C173" s="26" t="n"/>
      <c r="D173" s="26" t="n"/>
      <c r="E173" s="26" t="n"/>
      <c r="F173" s="30">
        <f>IF(A173="","",COUNTIF('Holdings'!$A$4:$A$2503,A173))</f>
        <v/>
      </c>
      <c r="G173" s="30">
        <f>IF(A173="","",COUNTIF('Access'!$B$4:$B$1503,A173))</f>
        <v/>
      </c>
      <c r="H173" s="30">
        <f>IF(A173="","",IF(COUNTIF($A$4:$A$1003,A173)&gt;1,"Duplicate holder ID",IF(OR(B173="",C173=""),"Missing required field",IF(F173=0,"No holdings",IF(AND(G173=0,A173&lt;&gt;"LKB-GROUP"),"No login (ok if not invited)","OK")))))</f>
        <v/>
      </c>
    </row>
    <row r="174">
      <c r="A174" s="26" t="n"/>
      <c r="B174" s="26" t="n"/>
      <c r="C174" s="26" t="n"/>
      <c r="D174" s="26" t="n"/>
      <c r="E174" s="26" t="n"/>
      <c r="F174" s="30">
        <f>IF(A174="","",COUNTIF('Holdings'!$A$4:$A$2503,A174))</f>
        <v/>
      </c>
      <c r="G174" s="30">
        <f>IF(A174="","",COUNTIF('Access'!$B$4:$B$1503,A174))</f>
        <v/>
      </c>
      <c r="H174" s="30">
        <f>IF(A174="","",IF(COUNTIF($A$4:$A$1003,A174)&gt;1,"Duplicate holder ID",IF(OR(B174="",C174=""),"Missing required field",IF(F174=0,"No holdings",IF(AND(G174=0,A174&lt;&gt;"LKB-GROUP"),"No login (ok if not invited)","OK")))))</f>
        <v/>
      </c>
    </row>
    <row r="175">
      <c r="A175" s="26" t="n"/>
      <c r="B175" s="26" t="n"/>
      <c r="C175" s="26" t="n"/>
      <c r="D175" s="26" t="n"/>
      <c r="E175" s="26" t="n"/>
      <c r="F175" s="30">
        <f>IF(A175="","",COUNTIF('Holdings'!$A$4:$A$2503,A175))</f>
        <v/>
      </c>
      <c r="G175" s="30">
        <f>IF(A175="","",COUNTIF('Access'!$B$4:$B$1503,A175))</f>
        <v/>
      </c>
      <c r="H175" s="30">
        <f>IF(A175="","",IF(COUNTIF($A$4:$A$1003,A175)&gt;1,"Duplicate holder ID",IF(OR(B175="",C175=""),"Missing required field",IF(F175=0,"No holdings",IF(AND(G175=0,A175&lt;&gt;"LKB-GROUP"),"No login (ok if not invited)","OK")))))</f>
        <v/>
      </c>
    </row>
    <row r="176">
      <c r="A176" s="26" t="n"/>
      <c r="B176" s="26" t="n"/>
      <c r="C176" s="26" t="n"/>
      <c r="D176" s="26" t="n"/>
      <c r="E176" s="26" t="n"/>
      <c r="F176" s="30">
        <f>IF(A176="","",COUNTIF('Holdings'!$A$4:$A$2503,A176))</f>
        <v/>
      </c>
      <c r="G176" s="30">
        <f>IF(A176="","",COUNTIF('Access'!$B$4:$B$1503,A176))</f>
        <v/>
      </c>
      <c r="H176" s="30">
        <f>IF(A176="","",IF(COUNTIF($A$4:$A$1003,A176)&gt;1,"Duplicate holder ID",IF(OR(B176="",C176=""),"Missing required field",IF(F176=0,"No holdings",IF(AND(G176=0,A176&lt;&gt;"LKB-GROUP"),"No login (ok if not invited)","OK")))))</f>
        <v/>
      </c>
    </row>
    <row r="177">
      <c r="A177" s="26" t="n"/>
      <c r="B177" s="26" t="n"/>
      <c r="C177" s="26" t="n"/>
      <c r="D177" s="26" t="n"/>
      <c r="E177" s="26" t="n"/>
      <c r="F177" s="30">
        <f>IF(A177="","",COUNTIF('Holdings'!$A$4:$A$2503,A177))</f>
        <v/>
      </c>
      <c r="G177" s="30">
        <f>IF(A177="","",COUNTIF('Access'!$B$4:$B$1503,A177))</f>
        <v/>
      </c>
      <c r="H177" s="30">
        <f>IF(A177="","",IF(COUNTIF($A$4:$A$1003,A177)&gt;1,"Duplicate holder ID",IF(OR(B177="",C177=""),"Missing required field",IF(F177=0,"No holdings",IF(AND(G177=0,A177&lt;&gt;"LKB-GROUP"),"No login (ok if not invited)","OK")))))</f>
        <v/>
      </c>
    </row>
    <row r="178">
      <c r="A178" s="26" t="n"/>
      <c r="B178" s="26" t="n"/>
      <c r="C178" s="26" t="n"/>
      <c r="D178" s="26" t="n"/>
      <c r="E178" s="26" t="n"/>
      <c r="F178" s="30">
        <f>IF(A178="","",COUNTIF('Holdings'!$A$4:$A$2503,A178))</f>
        <v/>
      </c>
      <c r="G178" s="30">
        <f>IF(A178="","",COUNTIF('Access'!$B$4:$B$1503,A178))</f>
        <v/>
      </c>
      <c r="H178" s="30">
        <f>IF(A178="","",IF(COUNTIF($A$4:$A$1003,A178)&gt;1,"Duplicate holder ID",IF(OR(B178="",C178=""),"Missing required field",IF(F178=0,"No holdings",IF(AND(G178=0,A178&lt;&gt;"LKB-GROUP"),"No login (ok if not invited)","OK")))))</f>
        <v/>
      </c>
    </row>
    <row r="179">
      <c r="A179" s="26" t="n"/>
      <c r="B179" s="26" t="n"/>
      <c r="C179" s="26" t="n"/>
      <c r="D179" s="26" t="n"/>
      <c r="E179" s="26" t="n"/>
      <c r="F179" s="30">
        <f>IF(A179="","",COUNTIF('Holdings'!$A$4:$A$2503,A179))</f>
        <v/>
      </c>
      <c r="G179" s="30">
        <f>IF(A179="","",COUNTIF('Access'!$B$4:$B$1503,A179))</f>
        <v/>
      </c>
      <c r="H179" s="30">
        <f>IF(A179="","",IF(COUNTIF($A$4:$A$1003,A179)&gt;1,"Duplicate holder ID",IF(OR(B179="",C179=""),"Missing required field",IF(F179=0,"No holdings",IF(AND(G179=0,A179&lt;&gt;"LKB-GROUP"),"No login (ok if not invited)","OK")))))</f>
        <v/>
      </c>
    </row>
    <row r="180">
      <c r="A180" s="26" t="n"/>
      <c r="B180" s="26" t="n"/>
      <c r="C180" s="26" t="n"/>
      <c r="D180" s="26" t="n"/>
      <c r="E180" s="26" t="n"/>
      <c r="F180" s="30">
        <f>IF(A180="","",COUNTIF('Holdings'!$A$4:$A$2503,A180))</f>
        <v/>
      </c>
      <c r="G180" s="30">
        <f>IF(A180="","",COUNTIF('Access'!$B$4:$B$1503,A180))</f>
        <v/>
      </c>
      <c r="H180" s="30">
        <f>IF(A180="","",IF(COUNTIF($A$4:$A$1003,A180)&gt;1,"Duplicate holder ID",IF(OR(B180="",C180=""),"Missing required field",IF(F180=0,"No holdings",IF(AND(G180=0,A180&lt;&gt;"LKB-GROUP"),"No login (ok if not invited)","OK")))))</f>
        <v/>
      </c>
    </row>
    <row r="181">
      <c r="A181" s="26" t="n"/>
      <c r="B181" s="26" t="n"/>
      <c r="C181" s="26" t="n"/>
      <c r="D181" s="26" t="n"/>
      <c r="E181" s="26" t="n"/>
      <c r="F181" s="30">
        <f>IF(A181="","",COUNTIF('Holdings'!$A$4:$A$2503,A181))</f>
        <v/>
      </c>
      <c r="G181" s="30">
        <f>IF(A181="","",COUNTIF('Access'!$B$4:$B$1503,A181))</f>
        <v/>
      </c>
      <c r="H181" s="30">
        <f>IF(A181="","",IF(COUNTIF($A$4:$A$1003,A181)&gt;1,"Duplicate holder ID",IF(OR(B181="",C181=""),"Missing required field",IF(F181=0,"No holdings",IF(AND(G181=0,A181&lt;&gt;"LKB-GROUP"),"No login (ok if not invited)","OK")))))</f>
        <v/>
      </c>
    </row>
    <row r="182">
      <c r="A182" s="26" t="n"/>
      <c r="B182" s="26" t="n"/>
      <c r="C182" s="26" t="n"/>
      <c r="D182" s="26" t="n"/>
      <c r="E182" s="26" t="n"/>
      <c r="F182" s="30">
        <f>IF(A182="","",COUNTIF('Holdings'!$A$4:$A$2503,A182))</f>
        <v/>
      </c>
      <c r="G182" s="30">
        <f>IF(A182="","",COUNTIF('Access'!$B$4:$B$1503,A182))</f>
        <v/>
      </c>
      <c r="H182" s="30">
        <f>IF(A182="","",IF(COUNTIF($A$4:$A$1003,A182)&gt;1,"Duplicate holder ID",IF(OR(B182="",C182=""),"Missing required field",IF(F182=0,"No holdings",IF(AND(G182=0,A182&lt;&gt;"LKB-GROUP"),"No login (ok if not invited)","OK")))))</f>
        <v/>
      </c>
    </row>
    <row r="183">
      <c r="A183" s="26" t="n"/>
      <c r="B183" s="26" t="n"/>
      <c r="C183" s="26" t="n"/>
      <c r="D183" s="26" t="n"/>
      <c r="E183" s="26" t="n"/>
      <c r="F183" s="30">
        <f>IF(A183="","",COUNTIF('Holdings'!$A$4:$A$2503,A183))</f>
        <v/>
      </c>
      <c r="G183" s="30">
        <f>IF(A183="","",COUNTIF('Access'!$B$4:$B$1503,A183))</f>
        <v/>
      </c>
      <c r="H183" s="30">
        <f>IF(A183="","",IF(COUNTIF($A$4:$A$1003,A183)&gt;1,"Duplicate holder ID",IF(OR(B183="",C183=""),"Missing required field",IF(F183=0,"No holdings",IF(AND(G183=0,A183&lt;&gt;"LKB-GROUP"),"No login (ok if not invited)","OK")))))</f>
        <v/>
      </c>
    </row>
    <row r="184">
      <c r="A184" s="26" t="n"/>
      <c r="B184" s="26" t="n"/>
      <c r="C184" s="26" t="n"/>
      <c r="D184" s="26" t="n"/>
      <c r="E184" s="26" t="n"/>
      <c r="F184" s="30">
        <f>IF(A184="","",COUNTIF('Holdings'!$A$4:$A$2503,A184))</f>
        <v/>
      </c>
      <c r="G184" s="30">
        <f>IF(A184="","",COUNTIF('Access'!$B$4:$B$1503,A184))</f>
        <v/>
      </c>
      <c r="H184" s="30">
        <f>IF(A184="","",IF(COUNTIF($A$4:$A$1003,A184)&gt;1,"Duplicate holder ID",IF(OR(B184="",C184=""),"Missing required field",IF(F184=0,"No holdings",IF(AND(G184=0,A184&lt;&gt;"LKB-GROUP"),"No login (ok if not invited)","OK")))))</f>
        <v/>
      </c>
    </row>
    <row r="185">
      <c r="A185" s="26" t="n"/>
      <c r="B185" s="26" t="n"/>
      <c r="C185" s="26" t="n"/>
      <c r="D185" s="26" t="n"/>
      <c r="E185" s="26" t="n"/>
      <c r="F185" s="30">
        <f>IF(A185="","",COUNTIF('Holdings'!$A$4:$A$2503,A185))</f>
        <v/>
      </c>
      <c r="G185" s="30">
        <f>IF(A185="","",COUNTIF('Access'!$B$4:$B$1503,A185))</f>
        <v/>
      </c>
      <c r="H185" s="30">
        <f>IF(A185="","",IF(COUNTIF($A$4:$A$1003,A185)&gt;1,"Duplicate holder ID",IF(OR(B185="",C185=""),"Missing required field",IF(F185=0,"No holdings",IF(AND(G185=0,A185&lt;&gt;"LKB-GROUP"),"No login (ok if not invited)","OK")))))</f>
        <v/>
      </c>
    </row>
    <row r="186">
      <c r="A186" s="26" t="n"/>
      <c r="B186" s="26" t="n"/>
      <c r="C186" s="26" t="n"/>
      <c r="D186" s="26" t="n"/>
      <c r="E186" s="26" t="n"/>
      <c r="F186" s="30">
        <f>IF(A186="","",COUNTIF('Holdings'!$A$4:$A$2503,A186))</f>
        <v/>
      </c>
      <c r="G186" s="30">
        <f>IF(A186="","",COUNTIF('Access'!$B$4:$B$1503,A186))</f>
        <v/>
      </c>
      <c r="H186" s="30">
        <f>IF(A186="","",IF(COUNTIF($A$4:$A$1003,A186)&gt;1,"Duplicate holder ID",IF(OR(B186="",C186=""),"Missing required field",IF(F186=0,"No holdings",IF(AND(G186=0,A186&lt;&gt;"LKB-GROUP"),"No login (ok if not invited)","OK")))))</f>
        <v/>
      </c>
    </row>
    <row r="187">
      <c r="A187" s="26" t="n"/>
      <c r="B187" s="26" t="n"/>
      <c r="C187" s="26" t="n"/>
      <c r="D187" s="26" t="n"/>
      <c r="E187" s="26" t="n"/>
      <c r="F187" s="30">
        <f>IF(A187="","",COUNTIF('Holdings'!$A$4:$A$2503,A187))</f>
        <v/>
      </c>
      <c r="G187" s="30">
        <f>IF(A187="","",COUNTIF('Access'!$B$4:$B$1503,A187))</f>
        <v/>
      </c>
      <c r="H187" s="30">
        <f>IF(A187="","",IF(COUNTIF($A$4:$A$1003,A187)&gt;1,"Duplicate holder ID",IF(OR(B187="",C187=""),"Missing required field",IF(F187=0,"No holdings",IF(AND(G187=0,A187&lt;&gt;"LKB-GROUP"),"No login (ok if not invited)","OK")))))</f>
        <v/>
      </c>
    </row>
    <row r="188">
      <c r="A188" s="26" t="n"/>
      <c r="B188" s="26" t="n"/>
      <c r="C188" s="26" t="n"/>
      <c r="D188" s="26" t="n"/>
      <c r="E188" s="26" t="n"/>
      <c r="F188" s="30">
        <f>IF(A188="","",COUNTIF('Holdings'!$A$4:$A$2503,A188))</f>
        <v/>
      </c>
      <c r="G188" s="30">
        <f>IF(A188="","",COUNTIF('Access'!$B$4:$B$1503,A188))</f>
        <v/>
      </c>
      <c r="H188" s="30">
        <f>IF(A188="","",IF(COUNTIF($A$4:$A$1003,A188)&gt;1,"Duplicate holder ID",IF(OR(B188="",C188=""),"Missing required field",IF(F188=0,"No holdings",IF(AND(G188=0,A188&lt;&gt;"LKB-GROUP"),"No login (ok if not invited)","OK")))))</f>
        <v/>
      </c>
    </row>
    <row r="189">
      <c r="A189" s="26" t="n"/>
      <c r="B189" s="26" t="n"/>
      <c r="C189" s="26" t="n"/>
      <c r="D189" s="26" t="n"/>
      <c r="E189" s="26" t="n"/>
      <c r="F189" s="30">
        <f>IF(A189="","",COUNTIF('Holdings'!$A$4:$A$2503,A189))</f>
        <v/>
      </c>
      <c r="G189" s="30">
        <f>IF(A189="","",COUNTIF('Access'!$B$4:$B$1503,A189))</f>
        <v/>
      </c>
      <c r="H189" s="30">
        <f>IF(A189="","",IF(COUNTIF($A$4:$A$1003,A189)&gt;1,"Duplicate holder ID",IF(OR(B189="",C189=""),"Missing required field",IF(F189=0,"No holdings",IF(AND(G189=0,A189&lt;&gt;"LKB-GROUP"),"No login (ok if not invited)","OK")))))</f>
        <v/>
      </c>
    </row>
    <row r="190">
      <c r="A190" s="26" t="n"/>
      <c r="B190" s="26" t="n"/>
      <c r="C190" s="26" t="n"/>
      <c r="D190" s="26" t="n"/>
      <c r="E190" s="26" t="n"/>
      <c r="F190" s="30">
        <f>IF(A190="","",COUNTIF('Holdings'!$A$4:$A$2503,A190))</f>
        <v/>
      </c>
      <c r="G190" s="30">
        <f>IF(A190="","",COUNTIF('Access'!$B$4:$B$1503,A190))</f>
        <v/>
      </c>
      <c r="H190" s="30">
        <f>IF(A190="","",IF(COUNTIF($A$4:$A$1003,A190)&gt;1,"Duplicate holder ID",IF(OR(B190="",C190=""),"Missing required field",IF(F190=0,"No holdings",IF(AND(G190=0,A190&lt;&gt;"LKB-GROUP"),"No login (ok if not invited)","OK")))))</f>
        <v/>
      </c>
    </row>
    <row r="191">
      <c r="A191" s="26" t="n"/>
      <c r="B191" s="26" t="n"/>
      <c r="C191" s="26" t="n"/>
      <c r="D191" s="26" t="n"/>
      <c r="E191" s="26" t="n"/>
      <c r="F191" s="30">
        <f>IF(A191="","",COUNTIF('Holdings'!$A$4:$A$2503,A191))</f>
        <v/>
      </c>
      <c r="G191" s="30">
        <f>IF(A191="","",COUNTIF('Access'!$B$4:$B$1503,A191))</f>
        <v/>
      </c>
      <c r="H191" s="30">
        <f>IF(A191="","",IF(COUNTIF($A$4:$A$1003,A191)&gt;1,"Duplicate holder ID",IF(OR(B191="",C191=""),"Missing required field",IF(F191=0,"No holdings",IF(AND(G191=0,A191&lt;&gt;"LKB-GROUP"),"No login (ok if not invited)","OK")))))</f>
        <v/>
      </c>
    </row>
    <row r="192">
      <c r="A192" s="26" t="n"/>
      <c r="B192" s="26" t="n"/>
      <c r="C192" s="26" t="n"/>
      <c r="D192" s="26" t="n"/>
      <c r="E192" s="26" t="n"/>
      <c r="F192" s="30">
        <f>IF(A192="","",COUNTIF('Holdings'!$A$4:$A$2503,A192))</f>
        <v/>
      </c>
      <c r="G192" s="30">
        <f>IF(A192="","",COUNTIF('Access'!$B$4:$B$1503,A192))</f>
        <v/>
      </c>
      <c r="H192" s="30">
        <f>IF(A192="","",IF(COUNTIF($A$4:$A$1003,A192)&gt;1,"Duplicate holder ID",IF(OR(B192="",C192=""),"Missing required field",IF(F192=0,"No holdings",IF(AND(G192=0,A192&lt;&gt;"LKB-GROUP"),"No login (ok if not invited)","OK")))))</f>
        <v/>
      </c>
    </row>
    <row r="193">
      <c r="A193" s="26" t="n"/>
      <c r="B193" s="26" t="n"/>
      <c r="C193" s="26" t="n"/>
      <c r="D193" s="26" t="n"/>
      <c r="E193" s="26" t="n"/>
      <c r="F193" s="30">
        <f>IF(A193="","",COUNTIF('Holdings'!$A$4:$A$2503,A193))</f>
        <v/>
      </c>
      <c r="G193" s="30">
        <f>IF(A193="","",COUNTIF('Access'!$B$4:$B$1503,A193))</f>
        <v/>
      </c>
      <c r="H193" s="30">
        <f>IF(A193="","",IF(COUNTIF($A$4:$A$1003,A193)&gt;1,"Duplicate holder ID",IF(OR(B193="",C193=""),"Missing required field",IF(F193=0,"No holdings",IF(AND(G193=0,A193&lt;&gt;"LKB-GROUP"),"No login (ok if not invited)","OK")))))</f>
        <v/>
      </c>
    </row>
    <row r="194">
      <c r="A194" s="26" t="n"/>
      <c r="B194" s="26" t="n"/>
      <c r="C194" s="26" t="n"/>
      <c r="D194" s="26" t="n"/>
      <c r="E194" s="26" t="n"/>
      <c r="F194" s="30">
        <f>IF(A194="","",COUNTIF('Holdings'!$A$4:$A$2503,A194))</f>
        <v/>
      </c>
      <c r="G194" s="30">
        <f>IF(A194="","",COUNTIF('Access'!$B$4:$B$1503,A194))</f>
        <v/>
      </c>
      <c r="H194" s="30">
        <f>IF(A194="","",IF(COUNTIF($A$4:$A$1003,A194)&gt;1,"Duplicate holder ID",IF(OR(B194="",C194=""),"Missing required field",IF(F194=0,"No holdings",IF(AND(G194=0,A194&lt;&gt;"LKB-GROUP"),"No login (ok if not invited)","OK")))))</f>
        <v/>
      </c>
    </row>
    <row r="195">
      <c r="A195" s="26" t="n"/>
      <c r="B195" s="26" t="n"/>
      <c r="C195" s="26" t="n"/>
      <c r="D195" s="26" t="n"/>
      <c r="E195" s="26" t="n"/>
      <c r="F195" s="30">
        <f>IF(A195="","",COUNTIF('Holdings'!$A$4:$A$2503,A195))</f>
        <v/>
      </c>
      <c r="G195" s="30">
        <f>IF(A195="","",COUNTIF('Access'!$B$4:$B$1503,A195))</f>
        <v/>
      </c>
      <c r="H195" s="30">
        <f>IF(A195="","",IF(COUNTIF($A$4:$A$1003,A195)&gt;1,"Duplicate holder ID",IF(OR(B195="",C195=""),"Missing required field",IF(F195=0,"No holdings",IF(AND(G195=0,A195&lt;&gt;"LKB-GROUP"),"No login (ok if not invited)","OK")))))</f>
        <v/>
      </c>
    </row>
    <row r="196">
      <c r="A196" s="26" t="n"/>
      <c r="B196" s="26" t="n"/>
      <c r="C196" s="26" t="n"/>
      <c r="D196" s="26" t="n"/>
      <c r="E196" s="26" t="n"/>
      <c r="F196" s="30">
        <f>IF(A196="","",COUNTIF('Holdings'!$A$4:$A$2503,A196))</f>
        <v/>
      </c>
      <c r="G196" s="30">
        <f>IF(A196="","",COUNTIF('Access'!$B$4:$B$1503,A196))</f>
        <v/>
      </c>
      <c r="H196" s="30">
        <f>IF(A196="","",IF(COUNTIF($A$4:$A$1003,A196)&gt;1,"Duplicate holder ID",IF(OR(B196="",C196=""),"Missing required field",IF(F196=0,"No holdings",IF(AND(G196=0,A196&lt;&gt;"LKB-GROUP"),"No login (ok if not invited)","OK")))))</f>
        <v/>
      </c>
    </row>
    <row r="197">
      <c r="A197" s="26" t="n"/>
      <c r="B197" s="26" t="n"/>
      <c r="C197" s="26" t="n"/>
      <c r="D197" s="26" t="n"/>
      <c r="E197" s="26" t="n"/>
      <c r="F197" s="30">
        <f>IF(A197="","",COUNTIF('Holdings'!$A$4:$A$2503,A197))</f>
        <v/>
      </c>
      <c r="G197" s="30">
        <f>IF(A197="","",COUNTIF('Access'!$B$4:$B$1503,A197))</f>
        <v/>
      </c>
      <c r="H197" s="30">
        <f>IF(A197="","",IF(COUNTIF($A$4:$A$1003,A197)&gt;1,"Duplicate holder ID",IF(OR(B197="",C197=""),"Missing required field",IF(F197=0,"No holdings",IF(AND(G197=0,A197&lt;&gt;"LKB-GROUP"),"No login (ok if not invited)","OK")))))</f>
        <v/>
      </c>
    </row>
    <row r="198">
      <c r="A198" s="26" t="n"/>
      <c r="B198" s="26" t="n"/>
      <c r="C198" s="26" t="n"/>
      <c r="D198" s="26" t="n"/>
      <c r="E198" s="26" t="n"/>
      <c r="F198" s="30">
        <f>IF(A198="","",COUNTIF('Holdings'!$A$4:$A$2503,A198))</f>
        <v/>
      </c>
      <c r="G198" s="30">
        <f>IF(A198="","",COUNTIF('Access'!$B$4:$B$1503,A198))</f>
        <v/>
      </c>
      <c r="H198" s="30">
        <f>IF(A198="","",IF(COUNTIF($A$4:$A$1003,A198)&gt;1,"Duplicate holder ID",IF(OR(B198="",C198=""),"Missing required field",IF(F198=0,"No holdings",IF(AND(G198=0,A198&lt;&gt;"LKB-GROUP"),"No login (ok if not invited)","OK")))))</f>
        <v/>
      </c>
    </row>
    <row r="199">
      <c r="A199" s="26" t="n"/>
      <c r="B199" s="26" t="n"/>
      <c r="C199" s="26" t="n"/>
      <c r="D199" s="26" t="n"/>
      <c r="E199" s="26" t="n"/>
      <c r="F199" s="30">
        <f>IF(A199="","",COUNTIF('Holdings'!$A$4:$A$2503,A199))</f>
        <v/>
      </c>
      <c r="G199" s="30">
        <f>IF(A199="","",COUNTIF('Access'!$B$4:$B$1503,A199))</f>
        <v/>
      </c>
      <c r="H199" s="30">
        <f>IF(A199="","",IF(COUNTIF($A$4:$A$1003,A199)&gt;1,"Duplicate holder ID",IF(OR(B199="",C199=""),"Missing required field",IF(F199=0,"No holdings",IF(AND(G199=0,A199&lt;&gt;"LKB-GROUP"),"No login (ok if not invited)","OK")))))</f>
        <v/>
      </c>
    </row>
    <row r="200">
      <c r="A200" s="26" t="n"/>
      <c r="B200" s="26" t="n"/>
      <c r="C200" s="26" t="n"/>
      <c r="D200" s="26" t="n"/>
      <c r="E200" s="26" t="n"/>
      <c r="F200" s="30">
        <f>IF(A200="","",COUNTIF('Holdings'!$A$4:$A$2503,A200))</f>
        <v/>
      </c>
      <c r="G200" s="30">
        <f>IF(A200="","",COUNTIF('Access'!$B$4:$B$1503,A200))</f>
        <v/>
      </c>
      <c r="H200" s="30">
        <f>IF(A200="","",IF(COUNTIF($A$4:$A$1003,A200)&gt;1,"Duplicate holder ID",IF(OR(B200="",C200=""),"Missing required field",IF(F200=0,"No holdings",IF(AND(G200=0,A200&lt;&gt;"LKB-GROUP"),"No login (ok if not invited)","OK")))))</f>
        <v/>
      </c>
    </row>
    <row r="201">
      <c r="A201" s="26" t="n"/>
      <c r="B201" s="26" t="n"/>
      <c r="C201" s="26" t="n"/>
      <c r="D201" s="26" t="n"/>
      <c r="E201" s="26" t="n"/>
      <c r="F201" s="30">
        <f>IF(A201="","",COUNTIF('Holdings'!$A$4:$A$2503,A201))</f>
        <v/>
      </c>
      <c r="G201" s="30">
        <f>IF(A201="","",COUNTIF('Access'!$B$4:$B$1503,A201))</f>
        <v/>
      </c>
      <c r="H201" s="30">
        <f>IF(A201="","",IF(COUNTIF($A$4:$A$1003,A201)&gt;1,"Duplicate holder ID",IF(OR(B201="",C201=""),"Missing required field",IF(F201=0,"No holdings",IF(AND(G201=0,A201&lt;&gt;"LKB-GROUP"),"No login (ok if not invited)","OK")))))</f>
        <v/>
      </c>
    </row>
    <row r="202">
      <c r="A202" s="26" t="n"/>
      <c r="B202" s="26" t="n"/>
      <c r="C202" s="26" t="n"/>
      <c r="D202" s="26" t="n"/>
      <c r="E202" s="26" t="n"/>
      <c r="F202" s="30">
        <f>IF(A202="","",COUNTIF('Holdings'!$A$4:$A$2503,A202))</f>
        <v/>
      </c>
      <c r="G202" s="30">
        <f>IF(A202="","",COUNTIF('Access'!$B$4:$B$1503,A202))</f>
        <v/>
      </c>
      <c r="H202" s="30">
        <f>IF(A202="","",IF(COUNTIF($A$4:$A$1003,A202)&gt;1,"Duplicate holder ID",IF(OR(B202="",C202=""),"Missing required field",IF(F202=0,"No holdings",IF(AND(G202=0,A202&lt;&gt;"LKB-GROUP"),"No login (ok if not invited)","OK")))))</f>
        <v/>
      </c>
    </row>
    <row r="203">
      <c r="A203" s="26" t="n"/>
      <c r="B203" s="26" t="n"/>
      <c r="C203" s="26" t="n"/>
      <c r="D203" s="26" t="n"/>
      <c r="E203" s="26" t="n"/>
      <c r="F203" s="30">
        <f>IF(A203="","",COUNTIF('Holdings'!$A$4:$A$2503,A203))</f>
        <v/>
      </c>
      <c r="G203" s="30">
        <f>IF(A203="","",COUNTIF('Access'!$B$4:$B$1503,A203))</f>
        <v/>
      </c>
      <c r="H203" s="30">
        <f>IF(A203="","",IF(COUNTIF($A$4:$A$1003,A203)&gt;1,"Duplicate holder ID",IF(OR(B203="",C203=""),"Missing required field",IF(F203=0,"No holdings",IF(AND(G203=0,A203&lt;&gt;"LKB-GROUP"),"No login (ok if not invited)","OK")))))</f>
        <v/>
      </c>
    </row>
    <row r="204">
      <c r="A204" s="26" t="n"/>
      <c r="B204" s="26" t="n"/>
      <c r="C204" s="26" t="n"/>
      <c r="D204" s="26" t="n"/>
      <c r="E204" s="26" t="n"/>
      <c r="F204" s="30">
        <f>IF(A204="","",COUNTIF('Holdings'!$A$4:$A$2503,A204))</f>
        <v/>
      </c>
      <c r="G204" s="30">
        <f>IF(A204="","",COUNTIF('Access'!$B$4:$B$1503,A204))</f>
        <v/>
      </c>
      <c r="H204" s="30">
        <f>IF(A204="","",IF(COUNTIF($A$4:$A$1003,A204)&gt;1,"Duplicate holder ID",IF(OR(B204="",C204=""),"Missing required field",IF(F204=0,"No holdings",IF(AND(G204=0,A204&lt;&gt;"LKB-GROUP"),"No login (ok if not invited)","OK")))))</f>
        <v/>
      </c>
    </row>
    <row r="205">
      <c r="A205" s="26" t="n"/>
      <c r="B205" s="26" t="n"/>
      <c r="C205" s="26" t="n"/>
      <c r="D205" s="26" t="n"/>
      <c r="E205" s="26" t="n"/>
      <c r="F205" s="30">
        <f>IF(A205="","",COUNTIF('Holdings'!$A$4:$A$2503,A205))</f>
        <v/>
      </c>
      <c r="G205" s="30">
        <f>IF(A205="","",COUNTIF('Access'!$B$4:$B$1503,A205))</f>
        <v/>
      </c>
      <c r="H205" s="30">
        <f>IF(A205="","",IF(COUNTIF($A$4:$A$1003,A205)&gt;1,"Duplicate holder ID",IF(OR(B205="",C205=""),"Missing required field",IF(F205=0,"No holdings",IF(AND(G205=0,A205&lt;&gt;"LKB-GROUP"),"No login (ok if not invited)","OK")))))</f>
        <v/>
      </c>
    </row>
    <row r="206">
      <c r="A206" s="26" t="n"/>
      <c r="B206" s="26" t="n"/>
      <c r="C206" s="26" t="n"/>
      <c r="D206" s="26" t="n"/>
      <c r="E206" s="26" t="n"/>
      <c r="F206" s="30">
        <f>IF(A206="","",COUNTIF('Holdings'!$A$4:$A$2503,A206))</f>
        <v/>
      </c>
      <c r="G206" s="30">
        <f>IF(A206="","",COUNTIF('Access'!$B$4:$B$1503,A206))</f>
        <v/>
      </c>
      <c r="H206" s="30">
        <f>IF(A206="","",IF(COUNTIF($A$4:$A$1003,A206)&gt;1,"Duplicate holder ID",IF(OR(B206="",C206=""),"Missing required field",IF(F206=0,"No holdings",IF(AND(G206=0,A206&lt;&gt;"LKB-GROUP"),"No login (ok if not invited)","OK")))))</f>
        <v/>
      </c>
    </row>
    <row r="207">
      <c r="A207" s="26" t="n"/>
      <c r="B207" s="26" t="n"/>
      <c r="C207" s="26" t="n"/>
      <c r="D207" s="26" t="n"/>
      <c r="E207" s="26" t="n"/>
      <c r="F207" s="30">
        <f>IF(A207="","",COUNTIF('Holdings'!$A$4:$A$2503,A207))</f>
        <v/>
      </c>
      <c r="G207" s="30">
        <f>IF(A207="","",COUNTIF('Access'!$B$4:$B$1503,A207))</f>
        <v/>
      </c>
      <c r="H207" s="30">
        <f>IF(A207="","",IF(COUNTIF($A$4:$A$1003,A207)&gt;1,"Duplicate holder ID",IF(OR(B207="",C207=""),"Missing required field",IF(F207=0,"No holdings",IF(AND(G207=0,A207&lt;&gt;"LKB-GROUP"),"No login (ok if not invited)","OK")))))</f>
        <v/>
      </c>
    </row>
    <row r="208">
      <c r="A208" s="26" t="n"/>
      <c r="B208" s="26" t="n"/>
      <c r="C208" s="26" t="n"/>
      <c r="D208" s="26" t="n"/>
      <c r="E208" s="26" t="n"/>
      <c r="F208" s="30">
        <f>IF(A208="","",COUNTIF('Holdings'!$A$4:$A$2503,A208))</f>
        <v/>
      </c>
      <c r="G208" s="30">
        <f>IF(A208="","",COUNTIF('Access'!$B$4:$B$1503,A208))</f>
        <v/>
      </c>
      <c r="H208" s="30">
        <f>IF(A208="","",IF(COUNTIF($A$4:$A$1003,A208)&gt;1,"Duplicate holder ID",IF(OR(B208="",C208=""),"Missing required field",IF(F208=0,"No holdings",IF(AND(G208=0,A208&lt;&gt;"LKB-GROUP"),"No login (ok if not invited)","OK")))))</f>
        <v/>
      </c>
    </row>
    <row r="209">
      <c r="A209" s="26" t="n"/>
      <c r="B209" s="26" t="n"/>
      <c r="C209" s="26" t="n"/>
      <c r="D209" s="26" t="n"/>
      <c r="E209" s="26" t="n"/>
      <c r="F209" s="30">
        <f>IF(A209="","",COUNTIF('Holdings'!$A$4:$A$2503,A209))</f>
        <v/>
      </c>
      <c r="G209" s="30">
        <f>IF(A209="","",COUNTIF('Access'!$B$4:$B$1503,A209))</f>
        <v/>
      </c>
      <c r="H209" s="30">
        <f>IF(A209="","",IF(COUNTIF($A$4:$A$1003,A209)&gt;1,"Duplicate holder ID",IF(OR(B209="",C209=""),"Missing required field",IF(F209=0,"No holdings",IF(AND(G209=0,A209&lt;&gt;"LKB-GROUP"),"No login (ok if not invited)","OK")))))</f>
        <v/>
      </c>
    </row>
    <row r="210">
      <c r="A210" s="26" t="n"/>
      <c r="B210" s="26" t="n"/>
      <c r="C210" s="26" t="n"/>
      <c r="D210" s="26" t="n"/>
      <c r="E210" s="26" t="n"/>
      <c r="F210" s="30">
        <f>IF(A210="","",COUNTIF('Holdings'!$A$4:$A$2503,A210))</f>
        <v/>
      </c>
      <c r="G210" s="30">
        <f>IF(A210="","",COUNTIF('Access'!$B$4:$B$1503,A210))</f>
        <v/>
      </c>
      <c r="H210" s="30">
        <f>IF(A210="","",IF(COUNTIF($A$4:$A$1003,A210)&gt;1,"Duplicate holder ID",IF(OR(B210="",C210=""),"Missing required field",IF(F210=0,"No holdings",IF(AND(G210=0,A210&lt;&gt;"LKB-GROUP"),"No login (ok if not invited)","OK")))))</f>
        <v/>
      </c>
    </row>
    <row r="211">
      <c r="A211" s="26" t="n"/>
      <c r="B211" s="26" t="n"/>
      <c r="C211" s="26" t="n"/>
      <c r="D211" s="26" t="n"/>
      <c r="E211" s="26" t="n"/>
      <c r="F211" s="30">
        <f>IF(A211="","",COUNTIF('Holdings'!$A$4:$A$2503,A211))</f>
        <v/>
      </c>
      <c r="G211" s="30">
        <f>IF(A211="","",COUNTIF('Access'!$B$4:$B$1503,A211))</f>
        <v/>
      </c>
      <c r="H211" s="30">
        <f>IF(A211="","",IF(COUNTIF($A$4:$A$1003,A211)&gt;1,"Duplicate holder ID",IF(OR(B211="",C211=""),"Missing required field",IF(F211=0,"No holdings",IF(AND(G211=0,A211&lt;&gt;"LKB-GROUP"),"No login (ok if not invited)","OK")))))</f>
        <v/>
      </c>
    </row>
    <row r="212">
      <c r="A212" s="26" t="n"/>
      <c r="B212" s="26" t="n"/>
      <c r="C212" s="26" t="n"/>
      <c r="D212" s="26" t="n"/>
      <c r="E212" s="26" t="n"/>
      <c r="F212" s="30">
        <f>IF(A212="","",COUNTIF('Holdings'!$A$4:$A$2503,A212))</f>
        <v/>
      </c>
      <c r="G212" s="30">
        <f>IF(A212="","",COUNTIF('Access'!$B$4:$B$1503,A212))</f>
        <v/>
      </c>
      <c r="H212" s="30">
        <f>IF(A212="","",IF(COUNTIF($A$4:$A$1003,A212)&gt;1,"Duplicate holder ID",IF(OR(B212="",C212=""),"Missing required field",IF(F212=0,"No holdings",IF(AND(G212=0,A212&lt;&gt;"LKB-GROUP"),"No login (ok if not invited)","OK")))))</f>
        <v/>
      </c>
    </row>
    <row r="213">
      <c r="A213" s="26" t="n"/>
      <c r="B213" s="26" t="n"/>
      <c r="C213" s="26" t="n"/>
      <c r="D213" s="26" t="n"/>
      <c r="E213" s="26" t="n"/>
      <c r="F213" s="30">
        <f>IF(A213="","",COUNTIF('Holdings'!$A$4:$A$2503,A213))</f>
        <v/>
      </c>
      <c r="G213" s="30">
        <f>IF(A213="","",COUNTIF('Access'!$B$4:$B$1503,A213))</f>
        <v/>
      </c>
      <c r="H213" s="30">
        <f>IF(A213="","",IF(COUNTIF($A$4:$A$1003,A213)&gt;1,"Duplicate holder ID",IF(OR(B213="",C213=""),"Missing required field",IF(F213=0,"No holdings",IF(AND(G213=0,A213&lt;&gt;"LKB-GROUP"),"No login (ok if not invited)","OK")))))</f>
        <v/>
      </c>
    </row>
    <row r="214">
      <c r="A214" s="26" t="n"/>
      <c r="B214" s="26" t="n"/>
      <c r="C214" s="26" t="n"/>
      <c r="D214" s="26" t="n"/>
      <c r="E214" s="26" t="n"/>
      <c r="F214" s="30">
        <f>IF(A214="","",COUNTIF('Holdings'!$A$4:$A$2503,A214))</f>
        <v/>
      </c>
      <c r="G214" s="30">
        <f>IF(A214="","",COUNTIF('Access'!$B$4:$B$1503,A214))</f>
        <v/>
      </c>
      <c r="H214" s="30">
        <f>IF(A214="","",IF(COUNTIF($A$4:$A$1003,A214)&gt;1,"Duplicate holder ID",IF(OR(B214="",C214=""),"Missing required field",IF(F214=0,"No holdings",IF(AND(G214=0,A214&lt;&gt;"LKB-GROUP"),"No login (ok if not invited)","OK")))))</f>
        <v/>
      </c>
    </row>
    <row r="215">
      <c r="A215" s="26" t="n"/>
      <c r="B215" s="26" t="n"/>
      <c r="C215" s="26" t="n"/>
      <c r="D215" s="26" t="n"/>
      <c r="E215" s="26" t="n"/>
      <c r="F215" s="30">
        <f>IF(A215="","",COUNTIF('Holdings'!$A$4:$A$2503,A215))</f>
        <v/>
      </c>
      <c r="G215" s="30">
        <f>IF(A215="","",COUNTIF('Access'!$B$4:$B$1503,A215))</f>
        <v/>
      </c>
      <c r="H215" s="30">
        <f>IF(A215="","",IF(COUNTIF($A$4:$A$1003,A215)&gt;1,"Duplicate holder ID",IF(OR(B215="",C215=""),"Missing required field",IF(F215=0,"No holdings",IF(AND(G215=0,A215&lt;&gt;"LKB-GROUP"),"No login (ok if not invited)","OK")))))</f>
        <v/>
      </c>
    </row>
    <row r="216">
      <c r="A216" s="26" t="n"/>
      <c r="B216" s="26" t="n"/>
      <c r="C216" s="26" t="n"/>
      <c r="D216" s="26" t="n"/>
      <c r="E216" s="26" t="n"/>
      <c r="F216" s="30">
        <f>IF(A216="","",COUNTIF('Holdings'!$A$4:$A$2503,A216))</f>
        <v/>
      </c>
      <c r="G216" s="30">
        <f>IF(A216="","",COUNTIF('Access'!$B$4:$B$1503,A216))</f>
        <v/>
      </c>
      <c r="H216" s="30">
        <f>IF(A216="","",IF(COUNTIF($A$4:$A$1003,A216)&gt;1,"Duplicate holder ID",IF(OR(B216="",C216=""),"Missing required field",IF(F216=0,"No holdings",IF(AND(G216=0,A216&lt;&gt;"LKB-GROUP"),"No login (ok if not invited)","OK")))))</f>
        <v/>
      </c>
    </row>
    <row r="217">
      <c r="A217" s="26" t="n"/>
      <c r="B217" s="26" t="n"/>
      <c r="C217" s="26" t="n"/>
      <c r="D217" s="26" t="n"/>
      <c r="E217" s="26" t="n"/>
      <c r="F217" s="30">
        <f>IF(A217="","",COUNTIF('Holdings'!$A$4:$A$2503,A217))</f>
        <v/>
      </c>
      <c r="G217" s="30">
        <f>IF(A217="","",COUNTIF('Access'!$B$4:$B$1503,A217))</f>
        <v/>
      </c>
      <c r="H217" s="30">
        <f>IF(A217="","",IF(COUNTIF($A$4:$A$1003,A217)&gt;1,"Duplicate holder ID",IF(OR(B217="",C217=""),"Missing required field",IF(F217=0,"No holdings",IF(AND(G217=0,A217&lt;&gt;"LKB-GROUP"),"No login (ok if not invited)","OK")))))</f>
        <v/>
      </c>
    </row>
    <row r="218">
      <c r="A218" s="26" t="n"/>
      <c r="B218" s="26" t="n"/>
      <c r="C218" s="26" t="n"/>
      <c r="D218" s="26" t="n"/>
      <c r="E218" s="26" t="n"/>
      <c r="F218" s="30">
        <f>IF(A218="","",COUNTIF('Holdings'!$A$4:$A$2503,A218))</f>
        <v/>
      </c>
      <c r="G218" s="30">
        <f>IF(A218="","",COUNTIF('Access'!$B$4:$B$1503,A218))</f>
        <v/>
      </c>
      <c r="H218" s="30">
        <f>IF(A218="","",IF(COUNTIF($A$4:$A$1003,A218)&gt;1,"Duplicate holder ID",IF(OR(B218="",C218=""),"Missing required field",IF(F218=0,"No holdings",IF(AND(G218=0,A218&lt;&gt;"LKB-GROUP"),"No login (ok if not invited)","OK")))))</f>
        <v/>
      </c>
    </row>
    <row r="219">
      <c r="A219" s="26" t="n"/>
      <c r="B219" s="26" t="n"/>
      <c r="C219" s="26" t="n"/>
      <c r="D219" s="26" t="n"/>
      <c r="E219" s="26" t="n"/>
      <c r="F219" s="30">
        <f>IF(A219="","",COUNTIF('Holdings'!$A$4:$A$2503,A219))</f>
        <v/>
      </c>
      <c r="G219" s="30">
        <f>IF(A219="","",COUNTIF('Access'!$B$4:$B$1503,A219))</f>
        <v/>
      </c>
      <c r="H219" s="30">
        <f>IF(A219="","",IF(COUNTIF($A$4:$A$1003,A219)&gt;1,"Duplicate holder ID",IF(OR(B219="",C219=""),"Missing required field",IF(F219=0,"No holdings",IF(AND(G219=0,A219&lt;&gt;"LKB-GROUP"),"No login (ok if not invited)","OK")))))</f>
        <v/>
      </c>
    </row>
    <row r="220">
      <c r="A220" s="26" t="n"/>
      <c r="B220" s="26" t="n"/>
      <c r="C220" s="26" t="n"/>
      <c r="D220" s="26" t="n"/>
      <c r="E220" s="26" t="n"/>
      <c r="F220" s="30">
        <f>IF(A220="","",COUNTIF('Holdings'!$A$4:$A$2503,A220))</f>
        <v/>
      </c>
      <c r="G220" s="30">
        <f>IF(A220="","",COUNTIF('Access'!$B$4:$B$1503,A220))</f>
        <v/>
      </c>
      <c r="H220" s="30">
        <f>IF(A220="","",IF(COUNTIF($A$4:$A$1003,A220)&gt;1,"Duplicate holder ID",IF(OR(B220="",C220=""),"Missing required field",IF(F220=0,"No holdings",IF(AND(G220=0,A220&lt;&gt;"LKB-GROUP"),"No login (ok if not invited)","OK")))))</f>
        <v/>
      </c>
    </row>
    <row r="221">
      <c r="A221" s="26" t="n"/>
      <c r="B221" s="26" t="n"/>
      <c r="C221" s="26" t="n"/>
      <c r="D221" s="26" t="n"/>
      <c r="E221" s="26" t="n"/>
      <c r="F221" s="30">
        <f>IF(A221="","",COUNTIF('Holdings'!$A$4:$A$2503,A221))</f>
        <v/>
      </c>
      <c r="G221" s="30">
        <f>IF(A221="","",COUNTIF('Access'!$B$4:$B$1503,A221))</f>
        <v/>
      </c>
      <c r="H221" s="30">
        <f>IF(A221="","",IF(COUNTIF($A$4:$A$1003,A221)&gt;1,"Duplicate holder ID",IF(OR(B221="",C221=""),"Missing required field",IF(F221=0,"No holdings",IF(AND(G221=0,A221&lt;&gt;"LKB-GROUP"),"No login (ok if not invited)","OK")))))</f>
        <v/>
      </c>
    </row>
    <row r="222">
      <c r="A222" s="26" t="n"/>
      <c r="B222" s="26" t="n"/>
      <c r="C222" s="26" t="n"/>
      <c r="D222" s="26" t="n"/>
      <c r="E222" s="26" t="n"/>
      <c r="F222" s="30">
        <f>IF(A222="","",COUNTIF('Holdings'!$A$4:$A$2503,A222))</f>
        <v/>
      </c>
      <c r="G222" s="30">
        <f>IF(A222="","",COUNTIF('Access'!$B$4:$B$1503,A222))</f>
        <v/>
      </c>
      <c r="H222" s="30">
        <f>IF(A222="","",IF(COUNTIF($A$4:$A$1003,A222)&gt;1,"Duplicate holder ID",IF(OR(B222="",C222=""),"Missing required field",IF(F222=0,"No holdings",IF(AND(G222=0,A222&lt;&gt;"LKB-GROUP"),"No login (ok if not invited)","OK")))))</f>
        <v/>
      </c>
    </row>
    <row r="223">
      <c r="A223" s="26" t="n"/>
      <c r="B223" s="26" t="n"/>
      <c r="C223" s="26" t="n"/>
      <c r="D223" s="26" t="n"/>
      <c r="E223" s="26" t="n"/>
      <c r="F223" s="30">
        <f>IF(A223="","",COUNTIF('Holdings'!$A$4:$A$2503,A223))</f>
        <v/>
      </c>
      <c r="G223" s="30">
        <f>IF(A223="","",COUNTIF('Access'!$B$4:$B$1503,A223))</f>
        <v/>
      </c>
      <c r="H223" s="30">
        <f>IF(A223="","",IF(COUNTIF($A$4:$A$1003,A223)&gt;1,"Duplicate holder ID",IF(OR(B223="",C223=""),"Missing required field",IF(F223=0,"No holdings",IF(AND(G223=0,A223&lt;&gt;"LKB-GROUP"),"No login (ok if not invited)","OK")))))</f>
        <v/>
      </c>
    </row>
    <row r="224">
      <c r="A224" s="26" t="n"/>
      <c r="B224" s="26" t="n"/>
      <c r="C224" s="26" t="n"/>
      <c r="D224" s="26" t="n"/>
      <c r="E224" s="26" t="n"/>
      <c r="F224" s="30">
        <f>IF(A224="","",COUNTIF('Holdings'!$A$4:$A$2503,A224))</f>
        <v/>
      </c>
      <c r="G224" s="30">
        <f>IF(A224="","",COUNTIF('Access'!$B$4:$B$1503,A224))</f>
        <v/>
      </c>
      <c r="H224" s="30">
        <f>IF(A224="","",IF(COUNTIF($A$4:$A$1003,A224)&gt;1,"Duplicate holder ID",IF(OR(B224="",C224=""),"Missing required field",IF(F224=0,"No holdings",IF(AND(G224=0,A224&lt;&gt;"LKB-GROUP"),"No login (ok if not invited)","OK")))))</f>
        <v/>
      </c>
    </row>
    <row r="225">
      <c r="A225" s="26" t="n"/>
      <c r="B225" s="26" t="n"/>
      <c r="C225" s="26" t="n"/>
      <c r="D225" s="26" t="n"/>
      <c r="E225" s="26" t="n"/>
      <c r="F225" s="30">
        <f>IF(A225="","",COUNTIF('Holdings'!$A$4:$A$2503,A225))</f>
        <v/>
      </c>
      <c r="G225" s="30">
        <f>IF(A225="","",COUNTIF('Access'!$B$4:$B$1503,A225))</f>
        <v/>
      </c>
      <c r="H225" s="30">
        <f>IF(A225="","",IF(COUNTIF($A$4:$A$1003,A225)&gt;1,"Duplicate holder ID",IF(OR(B225="",C225=""),"Missing required field",IF(F225=0,"No holdings",IF(AND(G225=0,A225&lt;&gt;"LKB-GROUP"),"No login (ok if not invited)","OK")))))</f>
        <v/>
      </c>
    </row>
    <row r="226">
      <c r="A226" s="26" t="n"/>
      <c r="B226" s="26" t="n"/>
      <c r="C226" s="26" t="n"/>
      <c r="D226" s="26" t="n"/>
      <c r="E226" s="26" t="n"/>
      <c r="F226" s="30">
        <f>IF(A226="","",COUNTIF('Holdings'!$A$4:$A$2503,A226))</f>
        <v/>
      </c>
      <c r="G226" s="30">
        <f>IF(A226="","",COUNTIF('Access'!$B$4:$B$1503,A226))</f>
        <v/>
      </c>
      <c r="H226" s="30">
        <f>IF(A226="","",IF(COUNTIF($A$4:$A$1003,A226)&gt;1,"Duplicate holder ID",IF(OR(B226="",C226=""),"Missing required field",IF(F226=0,"No holdings",IF(AND(G226=0,A226&lt;&gt;"LKB-GROUP"),"No login (ok if not invited)","OK")))))</f>
        <v/>
      </c>
    </row>
    <row r="227">
      <c r="A227" s="26" t="n"/>
      <c r="B227" s="26" t="n"/>
      <c r="C227" s="26" t="n"/>
      <c r="D227" s="26" t="n"/>
      <c r="E227" s="26" t="n"/>
      <c r="F227" s="30">
        <f>IF(A227="","",COUNTIF('Holdings'!$A$4:$A$2503,A227))</f>
        <v/>
      </c>
      <c r="G227" s="30">
        <f>IF(A227="","",COUNTIF('Access'!$B$4:$B$1503,A227))</f>
        <v/>
      </c>
      <c r="H227" s="30">
        <f>IF(A227="","",IF(COUNTIF($A$4:$A$1003,A227)&gt;1,"Duplicate holder ID",IF(OR(B227="",C227=""),"Missing required field",IF(F227=0,"No holdings",IF(AND(G227=0,A227&lt;&gt;"LKB-GROUP"),"No login (ok if not invited)","OK")))))</f>
        <v/>
      </c>
    </row>
    <row r="228">
      <c r="A228" s="26" t="n"/>
      <c r="B228" s="26" t="n"/>
      <c r="C228" s="26" t="n"/>
      <c r="D228" s="26" t="n"/>
      <c r="E228" s="26" t="n"/>
      <c r="F228" s="30">
        <f>IF(A228="","",COUNTIF('Holdings'!$A$4:$A$2503,A228))</f>
        <v/>
      </c>
      <c r="G228" s="30">
        <f>IF(A228="","",COUNTIF('Access'!$B$4:$B$1503,A228))</f>
        <v/>
      </c>
      <c r="H228" s="30">
        <f>IF(A228="","",IF(COUNTIF($A$4:$A$1003,A228)&gt;1,"Duplicate holder ID",IF(OR(B228="",C228=""),"Missing required field",IF(F228=0,"No holdings",IF(AND(G228=0,A228&lt;&gt;"LKB-GROUP"),"No login (ok if not invited)","OK")))))</f>
        <v/>
      </c>
    </row>
    <row r="229">
      <c r="A229" s="26" t="n"/>
      <c r="B229" s="26" t="n"/>
      <c r="C229" s="26" t="n"/>
      <c r="D229" s="26" t="n"/>
      <c r="E229" s="26" t="n"/>
      <c r="F229" s="30">
        <f>IF(A229="","",COUNTIF('Holdings'!$A$4:$A$2503,A229))</f>
        <v/>
      </c>
      <c r="G229" s="30">
        <f>IF(A229="","",COUNTIF('Access'!$B$4:$B$1503,A229))</f>
        <v/>
      </c>
      <c r="H229" s="30">
        <f>IF(A229="","",IF(COUNTIF($A$4:$A$1003,A229)&gt;1,"Duplicate holder ID",IF(OR(B229="",C229=""),"Missing required field",IF(F229=0,"No holdings",IF(AND(G229=0,A229&lt;&gt;"LKB-GROUP"),"No login (ok if not invited)","OK")))))</f>
        <v/>
      </c>
    </row>
    <row r="230">
      <c r="A230" s="26" t="n"/>
      <c r="B230" s="26" t="n"/>
      <c r="C230" s="26" t="n"/>
      <c r="D230" s="26" t="n"/>
      <c r="E230" s="26" t="n"/>
      <c r="F230" s="30">
        <f>IF(A230="","",COUNTIF('Holdings'!$A$4:$A$2503,A230))</f>
        <v/>
      </c>
      <c r="G230" s="30">
        <f>IF(A230="","",COUNTIF('Access'!$B$4:$B$1503,A230))</f>
        <v/>
      </c>
      <c r="H230" s="30">
        <f>IF(A230="","",IF(COUNTIF($A$4:$A$1003,A230)&gt;1,"Duplicate holder ID",IF(OR(B230="",C230=""),"Missing required field",IF(F230=0,"No holdings",IF(AND(G230=0,A230&lt;&gt;"LKB-GROUP"),"No login (ok if not invited)","OK")))))</f>
        <v/>
      </c>
    </row>
    <row r="231">
      <c r="A231" s="26" t="n"/>
      <c r="B231" s="26" t="n"/>
      <c r="C231" s="26" t="n"/>
      <c r="D231" s="26" t="n"/>
      <c r="E231" s="26" t="n"/>
      <c r="F231" s="30">
        <f>IF(A231="","",COUNTIF('Holdings'!$A$4:$A$2503,A231))</f>
        <v/>
      </c>
      <c r="G231" s="30">
        <f>IF(A231="","",COUNTIF('Access'!$B$4:$B$1503,A231))</f>
        <v/>
      </c>
      <c r="H231" s="30">
        <f>IF(A231="","",IF(COUNTIF($A$4:$A$1003,A231)&gt;1,"Duplicate holder ID",IF(OR(B231="",C231=""),"Missing required field",IF(F231=0,"No holdings",IF(AND(G231=0,A231&lt;&gt;"LKB-GROUP"),"No login (ok if not invited)","OK")))))</f>
        <v/>
      </c>
    </row>
    <row r="232">
      <c r="A232" s="26" t="n"/>
      <c r="B232" s="26" t="n"/>
      <c r="C232" s="26" t="n"/>
      <c r="D232" s="26" t="n"/>
      <c r="E232" s="26" t="n"/>
      <c r="F232" s="30">
        <f>IF(A232="","",COUNTIF('Holdings'!$A$4:$A$2503,A232))</f>
        <v/>
      </c>
      <c r="G232" s="30">
        <f>IF(A232="","",COUNTIF('Access'!$B$4:$B$1503,A232))</f>
        <v/>
      </c>
      <c r="H232" s="30">
        <f>IF(A232="","",IF(COUNTIF($A$4:$A$1003,A232)&gt;1,"Duplicate holder ID",IF(OR(B232="",C232=""),"Missing required field",IF(F232=0,"No holdings",IF(AND(G232=0,A232&lt;&gt;"LKB-GROUP"),"No login (ok if not invited)","OK")))))</f>
        <v/>
      </c>
    </row>
    <row r="233">
      <c r="A233" s="26" t="n"/>
      <c r="B233" s="26" t="n"/>
      <c r="C233" s="26" t="n"/>
      <c r="D233" s="26" t="n"/>
      <c r="E233" s="26" t="n"/>
      <c r="F233" s="30">
        <f>IF(A233="","",COUNTIF('Holdings'!$A$4:$A$2503,A233))</f>
        <v/>
      </c>
      <c r="G233" s="30">
        <f>IF(A233="","",COUNTIF('Access'!$B$4:$B$1503,A233))</f>
        <v/>
      </c>
      <c r="H233" s="30">
        <f>IF(A233="","",IF(COUNTIF($A$4:$A$1003,A233)&gt;1,"Duplicate holder ID",IF(OR(B233="",C233=""),"Missing required field",IF(F233=0,"No holdings",IF(AND(G233=0,A233&lt;&gt;"LKB-GROUP"),"No login (ok if not invited)","OK")))))</f>
        <v/>
      </c>
    </row>
    <row r="234">
      <c r="A234" s="26" t="n"/>
      <c r="B234" s="26" t="n"/>
      <c r="C234" s="26" t="n"/>
      <c r="D234" s="26" t="n"/>
      <c r="E234" s="26" t="n"/>
      <c r="F234" s="30">
        <f>IF(A234="","",COUNTIF('Holdings'!$A$4:$A$2503,A234))</f>
        <v/>
      </c>
      <c r="G234" s="30">
        <f>IF(A234="","",COUNTIF('Access'!$B$4:$B$1503,A234))</f>
        <v/>
      </c>
      <c r="H234" s="30">
        <f>IF(A234="","",IF(COUNTIF($A$4:$A$1003,A234)&gt;1,"Duplicate holder ID",IF(OR(B234="",C234=""),"Missing required field",IF(F234=0,"No holdings",IF(AND(G234=0,A234&lt;&gt;"LKB-GROUP"),"No login (ok if not invited)","OK")))))</f>
        <v/>
      </c>
    </row>
    <row r="235">
      <c r="A235" s="26" t="n"/>
      <c r="B235" s="26" t="n"/>
      <c r="C235" s="26" t="n"/>
      <c r="D235" s="26" t="n"/>
      <c r="E235" s="26" t="n"/>
      <c r="F235" s="30">
        <f>IF(A235="","",COUNTIF('Holdings'!$A$4:$A$2503,A235))</f>
        <v/>
      </c>
      <c r="G235" s="30">
        <f>IF(A235="","",COUNTIF('Access'!$B$4:$B$1503,A235))</f>
        <v/>
      </c>
      <c r="H235" s="30">
        <f>IF(A235="","",IF(COUNTIF($A$4:$A$1003,A235)&gt;1,"Duplicate holder ID",IF(OR(B235="",C235=""),"Missing required field",IF(F235=0,"No holdings",IF(AND(G235=0,A235&lt;&gt;"LKB-GROUP"),"No login (ok if not invited)","OK")))))</f>
        <v/>
      </c>
    </row>
    <row r="236">
      <c r="A236" s="26" t="n"/>
      <c r="B236" s="26" t="n"/>
      <c r="C236" s="26" t="n"/>
      <c r="D236" s="26" t="n"/>
      <c r="E236" s="26" t="n"/>
      <c r="F236" s="30">
        <f>IF(A236="","",COUNTIF('Holdings'!$A$4:$A$2503,A236))</f>
        <v/>
      </c>
      <c r="G236" s="30">
        <f>IF(A236="","",COUNTIF('Access'!$B$4:$B$1503,A236))</f>
        <v/>
      </c>
      <c r="H236" s="30">
        <f>IF(A236="","",IF(COUNTIF($A$4:$A$1003,A236)&gt;1,"Duplicate holder ID",IF(OR(B236="",C236=""),"Missing required field",IF(F236=0,"No holdings",IF(AND(G236=0,A236&lt;&gt;"LKB-GROUP"),"No login (ok if not invited)","OK")))))</f>
        <v/>
      </c>
    </row>
    <row r="237">
      <c r="A237" s="26" t="n"/>
      <c r="B237" s="26" t="n"/>
      <c r="C237" s="26" t="n"/>
      <c r="D237" s="26" t="n"/>
      <c r="E237" s="26" t="n"/>
      <c r="F237" s="30">
        <f>IF(A237="","",COUNTIF('Holdings'!$A$4:$A$2503,A237))</f>
        <v/>
      </c>
      <c r="G237" s="30">
        <f>IF(A237="","",COUNTIF('Access'!$B$4:$B$1503,A237))</f>
        <v/>
      </c>
      <c r="H237" s="30">
        <f>IF(A237="","",IF(COUNTIF($A$4:$A$1003,A237)&gt;1,"Duplicate holder ID",IF(OR(B237="",C237=""),"Missing required field",IF(F237=0,"No holdings",IF(AND(G237=0,A237&lt;&gt;"LKB-GROUP"),"No login (ok if not invited)","OK")))))</f>
        <v/>
      </c>
    </row>
    <row r="238">
      <c r="A238" s="26" t="n"/>
      <c r="B238" s="26" t="n"/>
      <c r="C238" s="26" t="n"/>
      <c r="D238" s="26" t="n"/>
      <c r="E238" s="26" t="n"/>
      <c r="F238" s="30">
        <f>IF(A238="","",COUNTIF('Holdings'!$A$4:$A$2503,A238))</f>
        <v/>
      </c>
      <c r="G238" s="30">
        <f>IF(A238="","",COUNTIF('Access'!$B$4:$B$1503,A238))</f>
        <v/>
      </c>
      <c r="H238" s="30">
        <f>IF(A238="","",IF(COUNTIF($A$4:$A$1003,A238)&gt;1,"Duplicate holder ID",IF(OR(B238="",C238=""),"Missing required field",IF(F238=0,"No holdings",IF(AND(G238=0,A238&lt;&gt;"LKB-GROUP"),"No login (ok if not invited)","OK")))))</f>
        <v/>
      </c>
    </row>
    <row r="239">
      <c r="A239" s="26" t="n"/>
      <c r="B239" s="26" t="n"/>
      <c r="C239" s="26" t="n"/>
      <c r="D239" s="26" t="n"/>
      <c r="E239" s="26" t="n"/>
      <c r="F239" s="30">
        <f>IF(A239="","",COUNTIF('Holdings'!$A$4:$A$2503,A239))</f>
        <v/>
      </c>
      <c r="G239" s="30">
        <f>IF(A239="","",COUNTIF('Access'!$B$4:$B$1503,A239))</f>
        <v/>
      </c>
      <c r="H239" s="30">
        <f>IF(A239="","",IF(COUNTIF($A$4:$A$1003,A239)&gt;1,"Duplicate holder ID",IF(OR(B239="",C239=""),"Missing required field",IF(F239=0,"No holdings",IF(AND(G239=0,A239&lt;&gt;"LKB-GROUP"),"No login (ok if not invited)","OK")))))</f>
        <v/>
      </c>
    </row>
    <row r="240">
      <c r="A240" s="26" t="n"/>
      <c r="B240" s="26" t="n"/>
      <c r="C240" s="26" t="n"/>
      <c r="D240" s="26" t="n"/>
      <c r="E240" s="26" t="n"/>
      <c r="F240" s="30">
        <f>IF(A240="","",COUNTIF('Holdings'!$A$4:$A$2503,A240))</f>
        <v/>
      </c>
      <c r="G240" s="30">
        <f>IF(A240="","",COUNTIF('Access'!$B$4:$B$1503,A240))</f>
        <v/>
      </c>
      <c r="H240" s="30">
        <f>IF(A240="","",IF(COUNTIF($A$4:$A$1003,A240)&gt;1,"Duplicate holder ID",IF(OR(B240="",C240=""),"Missing required field",IF(F240=0,"No holdings",IF(AND(G240=0,A240&lt;&gt;"LKB-GROUP"),"No login (ok if not invited)","OK")))))</f>
        <v/>
      </c>
    </row>
    <row r="241">
      <c r="A241" s="26" t="n"/>
      <c r="B241" s="26" t="n"/>
      <c r="C241" s="26" t="n"/>
      <c r="D241" s="26" t="n"/>
      <c r="E241" s="26" t="n"/>
      <c r="F241" s="30">
        <f>IF(A241="","",COUNTIF('Holdings'!$A$4:$A$2503,A241))</f>
        <v/>
      </c>
      <c r="G241" s="30">
        <f>IF(A241="","",COUNTIF('Access'!$B$4:$B$1503,A241))</f>
        <v/>
      </c>
      <c r="H241" s="30">
        <f>IF(A241="","",IF(COUNTIF($A$4:$A$1003,A241)&gt;1,"Duplicate holder ID",IF(OR(B241="",C241=""),"Missing required field",IF(F241=0,"No holdings",IF(AND(G241=0,A241&lt;&gt;"LKB-GROUP"),"No login (ok if not invited)","OK")))))</f>
        <v/>
      </c>
    </row>
    <row r="242">
      <c r="A242" s="26" t="n"/>
      <c r="B242" s="26" t="n"/>
      <c r="C242" s="26" t="n"/>
      <c r="D242" s="26" t="n"/>
      <c r="E242" s="26" t="n"/>
      <c r="F242" s="30">
        <f>IF(A242="","",COUNTIF('Holdings'!$A$4:$A$2503,A242))</f>
        <v/>
      </c>
      <c r="G242" s="30">
        <f>IF(A242="","",COUNTIF('Access'!$B$4:$B$1503,A242))</f>
        <v/>
      </c>
      <c r="H242" s="30">
        <f>IF(A242="","",IF(COUNTIF($A$4:$A$1003,A242)&gt;1,"Duplicate holder ID",IF(OR(B242="",C242=""),"Missing required field",IF(F242=0,"No holdings",IF(AND(G242=0,A242&lt;&gt;"LKB-GROUP"),"No login (ok if not invited)","OK")))))</f>
        <v/>
      </c>
    </row>
    <row r="243">
      <c r="A243" s="26" t="n"/>
      <c r="B243" s="26" t="n"/>
      <c r="C243" s="26" t="n"/>
      <c r="D243" s="26" t="n"/>
      <c r="E243" s="26" t="n"/>
      <c r="F243" s="30">
        <f>IF(A243="","",COUNTIF('Holdings'!$A$4:$A$2503,A243))</f>
        <v/>
      </c>
      <c r="G243" s="30">
        <f>IF(A243="","",COUNTIF('Access'!$B$4:$B$1503,A243))</f>
        <v/>
      </c>
      <c r="H243" s="30">
        <f>IF(A243="","",IF(COUNTIF($A$4:$A$1003,A243)&gt;1,"Duplicate holder ID",IF(OR(B243="",C243=""),"Missing required field",IF(F243=0,"No holdings",IF(AND(G243=0,A243&lt;&gt;"LKB-GROUP"),"No login (ok if not invited)","OK")))))</f>
        <v/>
      </c>
    </row>
    <row r="244">
      <c r="A244" s="26" t="n"/>
      <c r="B244" s="26" t="n"/>
      <c r="C244" s="26" t="n"/>
      <c r="D244" s="26" t="n"/>
      <c r="E244" s="26" t="n"/>
      <c r="F244" s="30">
        <f>IF(A244="","",COUNTIF('Holdings'!$A$4:$A$2503,A244))</f>
        <v/>
      </c>
      <c r="G244" s="30">
        <f>IF(A244="","",COUNTIF('Access'!$B$4:$B$1503,A244))</f>
        <v/>
      </c>
      <c r="H244" s="30">
        <f>IF(A244="","",IF(COUNTIF($A$4:$A$1003,A244)&gt;1,"Duplicate holder ID",IF(OR(B244="",C244=""),"Missing required field",IF(F244=0,"No holdings",IF(AND(G244=0,A244&lt;&gt;"LKB-GROUP"),"No login (ok if not invited)","OK")))))</f>
        <v/>
      </c>
    </row>
    <row r="245">
      <c r="A245" s="26" t="n"/>
      <c r="B245" s="26" t="n"/>
      <c r="C245" s="26" t="n"/>
      <c r="D245" s="26" t="n"/>
      <c r="E245" s="26" t="n"/>
      <c r="F245" s="30">
        <f>IF(A245="","",COUNTIF('Holdings'!$A$4:$A$2503,A245))</f>
        <v/>
      </c>
      <c r="G245" s="30">
        <f>IF(A245="","",COUNTIF('Access'!$B$4:$B$1503,A245))</f>
        <v/>
      </c>
      <c r="H245" s="30">
        <f>IF(A245="","",IF(COUNTIF($A$4:$A$1003,A245)&gt;1,"Duplicate holder ID",IF(OR(B245="",C245=""),"Missing required field",IF(F245=0,"No holdings",IF(AND(G245=0,A245&lt;&gt;"LKB-GROUP"),"No login (ok if not invited)","OK")))))</f>
        <v/>
      </c>
    </row>
    <row r="246">
      <c r="A246" s="26" t="n"/>
      <c r="B246" s="26" t="n"/>
      <c r="C246" s="26" t="n"/>
      <c r="D246" s="26" t="n"/>
      <c r="E246" s="26" t="n"/>
      <c r="F246" s="30">
        <f>IF(A246="","",COUNTIF('Holdings'!$A$4:$A$2503,A246))</f>
        <v/>
      </c>
      <c r="G246" s="30">
        <f>IF(A246="","",COUNTIF('Access'!$B$4:$B$1503,A246))</f>
        <v/>
      </c>
      <c r="H246" s="30">
        <f>IF(A246="","",IF(COUNTIF($A$4:$A$1003,A246)&gt;1,"Duplicate holder ID",IF(OR(B246="",C246=""),"Missing required field",IF(F246=0,"No holdings",IF(AND(G246=0,A246&lt;&gt;"LKB-GROUP"),"No login (ok if not invited)","OK")))))</f>
        <v/>
      </c>
    </row>
    <row r="247">
      <c r="A247" s="26" t="n"/>
      <c r="B247" s="26" t="n"/>
      <c r="C247" s="26" t="n"/>
      <c r="D247" s="26" t="n"/>
      <c r="E247" s="26" t="n"/>
      <c r="F247" s="30">
        <f>IF(A247="","",COUNTIF('Holdings'!$A$4:$A$2503,A247))</f>
        <v/>
      </c>
      <c r="G247" s="30">
        <f>IF(A247="","",COUNTIF('Access'!$B$4:$B$1503,A247))</f>
        <v/>
      </c>
      <c r="H247" s="30">
        <f>IF(A247="","",IF(COUNTIF($A$4:$A$1003,A247)&gt;1,"Duplicate holder ID",IF(OR(B247="",C247=""),"Missing required field",IF(F247=0,"No holdings",IF(AND(G247=0,A247&lt;&gt;"LKB-GROUP"),"No login (ok if not invited)","OK")))))</f>
        <v/>
      </c>
    </row>
    <row r="248">
      <c r="A248" s="26" t="n"/>
      <c r="B248" s="26" t="n"/>
      <c r="C248" s="26" t="n"/>
      <c r="D248" s="26" t="n"/>
      <c r="E248" s="26" t="n"/>
      <c r="F248" s="30">
        <f>IF(A248="","",COUNTIF('Holdings'!$A$4:$A$2503,A248))</f>
        <v/>
      </c>
      <c r="G248" s="30">
        <f>IF(A248="","",COUNTIF('Access'!$B$4:$B$1503,A248))</f>
        <v/>
      </c>
      <c r="H248" s="30">
        <f>IF(A248="","",IF(COUNTIF($A$4:$A$1003,A248)&gt;1,"Duplicate holder ID",IF(OR(B248="",C248=""),"Missing required field",IF(F248=0,"No holdings",IF(AND(G248=0,A248&lt;&gt;"LKB-GROUP"),"No login (ok if not invited)","OK")))))</f>
        <v/>
      </c>
    </row>
    <row r="249">
      <c r="A249" s="26" t="n"/>
      <c r="B249" s="26" t="n"/>
      <c r="C249" s="26" t="n"/>
      <c r="D249" s="26" t="n"/>
      <c r="E249" s="26" t="n"/>
      <c r="F249" s="30">
        <f>IF(A249="","",COUNTIF('Holdings'!$A$4:$A$2503,A249))</f>
        <v/>
      </c>
      <c r="G249" s="30">
        <f>IF(A249="","",COUNTIF('Access'!$B$4:$B$1503,A249))</f>
        <v/>
      </c>
      <c r="H249" s="30">
        <f>IF(A249="","",IF(COUNTIF($A$4:$A$1003,A249)&gt;1,"Duplicate holder ID",IF(OR(B249="",C249=""),"Missing required field",IF(F249=0,"No holdings",IF(AND(G249=0,A249&lt;&gt;"LKB-GROUP"),"No login (ok if not invited)","OK")))))</f>
        <v/>
      </c>
    </row>
    <row r="250">
      <c r="A250" s="26" t="n"/>
      <c r="B250" s="26" t="n"/>
      <c r="C250" s="26" t="n"/>
      <c r="D250" s="26" t="n"/>
      <c r="E250" s="26" t="n"/>
      <c r="F250" s="30">
        <f>IF(A250="","",COUNTIF('Holdings'!$A$4:$A$2503,A250))</f>
        <v/>
      </c>
      <c r="G250" s="30">
        <f>IF(A250="","",COUNTIF('Access'!$B$4:$B$1503,A250))</f>
        <v/>
      </c>
      <c r="H250" s="30">
        <f>IF(A250="","",IF(COUNTIF($A$4:$A$1003,A250)&gt;1,"Duplicate holder ID",IF(OR(B250="",C250=""),"Missing required field",IF(F250=0,"No holdings",IF(AND(G250=0,A250&lt;&gt;"LKB-GROUP"),"No login (ok if not invited)","OK")))))</f>
        <v/>
      </c>
    </row>
    <row r="251">
      <c r="A251" s="26" t="n"/>
      <c r="B251" s="26" t="n"/>
      <c r="C251" s="26" t="n"/>
      <c r="D251" s="26" t="n"/>
      <c r="E251" s="26" t="n"/>
      <c r="F251" s="30">
        <f>IF(A251="","",COUNTIF('Holdings'!$A$4:$A$2503,A251))</f>
        <v/>
      </c>
      <c r="G251" s="30">
        <f>IF(A251="","",COUNTIF('Access'!$B$4:$B$1503,A251))</f>
        <v/>
      </c>
      <c r="H251" s="30">
        <f>IF(A251="","",IF(COUNTIF($A$4:$A$1003,A251)&gt;1,"Duplicate holder ID",IF(OR(B251="",C251=""),"Missing required field",IF(F251=0,"No holdings",IF(AND(G251=0,A251&lt;&gt;"LKB-GROUP"),"No login (ok if not invited)","OK")))))</f>
        <v/>
      </c>
    </row>
    <row r="252">
      <c r="A252" s="26" t="n"/>
      <c r="B252" s="26" t="n"/>
      <c r="C252" s="26" t="n"/>
      <c r="D252" s="26" t="n"/>
      <c r="E252" s="26" t="n"/>
      <c r="F252" s="30">
        <f>IF(A252="","",COUNTIF('Holdings'!$A$4:$A$2503,A252))</f>
        <v/>
      </c>
      <c r="G252" s="30">
        <f>IF(A252="","",COUNTIF('Access'!$B$4:$B$1503,A252))</f>
        <v/>
      </c>
      <c r="H252" s="30">
        <f>IF(A252="","",IF(COUNTIF($A$4:$A$1003,A252)&gt;1,"Duplicate holder ID",IF(OR(B252="",C252=""),"Missing required field",IF(F252=0,"No holdings",IF(AND(G252=0,A252&lt;&gt;"LKB-GROUP"),"No login (ok if not invited)","OK")))))</f>
        <v/>
      </c>
    </row>
    <row r="253">
      <c r="A253" s="26" t="n"/>
      <c r="B253" s="26" t="n"/>
      <c r="C253" s="26" t="n"/>
      <c r="D253" s="26" t="n"/>
      <c r="E253" s="26" t="n"/>
      <c r="F253" s="30">
        <f>IF(A253="","",COUNTIF('Holdings'!$A$4:$A$2503,A253))</f>
        <v/>
      </c>
      <c r="G253" s="30">
        <f>IF(A253="","",COUNTIF('Access'!$B$4:$B$1503,A253))</f>
        <v/>
      </c>
      <c r="H253" s="30">
        <f>IF(A253="","",IF(COUNTIF($A$4:$A$1003,A253)&gt;1,"Duplicate holder ID",IF(OR(B253="",C253=""),"Missing required field",IF(F253=0,"No holdings",IF(AND(G253=0,A253&lt;&gt;"LKB-GROUP"),"No login (ok if not invited)","OK")))))</f>
        <v/>
      </c>
    </row>
    <row r="254">
      <c r="A254" s="26" t="n"/>
      <c r="B254" s="26" t="n"/>
      <c r="C254" s="26" t="n"/>
      <c r="D254" s="26" t="n"/>
      <c r="E254" s="26" t="n"/>
      <c r="F254" s="30">
        <f>IF(A254="","",COUNTIF('Holdings'!$A$4:$A$2503,A254))</f>
        <v/>
      </c>
      <c r="G254" s="30">
        <f>IF(A254="","",COUNTIF('Access'!$B$4:$B$1503,A254))</f>
        <v/>
      </c>
      <c r="H254" s="30">
        <f>IF(A254="","",IF(COUNTIF($A$4:$A$1003,A254)&gt;1,"Duplicate holder ID",IF(OR(B254="",C254=""),"Missing required field",IF(F254=0,"No holdings",IF(AND(G254=0,A254&lt;&gt;"LKB-GROUP"),"No login (ok if not invited)","OK")))))</f>
        <v/>
      </c>
    </row>
    <row r="255">
      <c r="A255" s="26" t="n"/>
      <c r="B255" s="26" t="n"/>
      <c r="C255" s="26" t="n"/>
      <c r="D255" s="26" t="n"/>
      <c r="E255" s="26" t="n"/>
      <c r="F255" s="30">
        <f>IF(A255="","",COUNTIF('Holdings'!$A$4:$A$2503,A255))</f>
        <v/>
      </c>
      <c r="G255" s="30">
        <f>IF(A255="","",COUNTIF('Access'!$B$4:$B$1503,A255))</f>
        <v/>
      </c>
      <c r="H255" s="30">
        <f>IF(A255="","",IF(COUNTIF($A$4:$A$1003,A255)&gt;1,"Duplicate holder ID",IF(OR(B255="",C255=""),"Missing required field",IF(F255=0,"No holdings",IF(AND(G255=0,A255&lt;&gt;"LKB-GROUP"),"No login (ok if not invited)","OK")))))</f>
        <v/>
      </c>
    </row>
    <row r="256">
      <c r="A256" s="26" t="n"/>
      <c r="B256" s="26" t="n"/>
      <c r="C256" s="26" t="n"/>
      <c r="D256" s="26" t="n"/>
      <c r="E256" s="26" t="n"/>
      <c r="F256" s="30">
        <f>IF(A256="","",COUNTIF('Holdings'!$A$4:$A$2503,A256))</f>
        <v/>
      </c>
      <c r="G256" s="30">
        <f>IF(A256="","",COUNTIF('Access'!$B$4:$B$1503,A256))</f>
        <v/>
      </c>
      <c r="H256" s="30">
        <f>IF(A256="","",IF(COUNTIF($A$4:$A$1003,A256)&gt;1,"Duplicate holder ID",IF(OR(B256="",C256=""),"Missing required field",IF(F256=0,"No holdings",IF(AND(G256=0,A256&lt;&gt;"LKB-GROUP"),"No login (ok if not invited)","OK")))))</f>
        <v/>
      </c>
    </row>
    <row r="257">
      <c r="A257" s="26" t="n"/>
      <c r="B257" s="26" t="n"/>
      <c r="C257" s="26" t="n"/>
      <c r="D257" s="26" t="n"/>
      <c r="E257" s="26" t="n"/>
      <c r="F257" s="30">
        <f>IF(A257="","",COUNTIF('Holdings'!$A$4:$A$2503,A257))</f>
        <v/>
      </c>
      <c r="G257" s="30">
        <f>IF(A257="","",COUNTIF('Access'!$B$4:$B$1503,A257))</f>
        <v/>
      </c>
      <c r="H257" s="30">
        <f>IF(A257="","",IF(COUNTIF($A$4:$A$1003,A257)&gt;1,"Duplicate holder ID",IF(OR(B257="",C257=""),"Missing required field",IF(F257=0,"No holdings",IF(AND(G257=0,A257&lt;&gt;"LKB-GROUP"),"No login (ok if not invited)","OK")))))</f>
        <v/>
      </c>
    </row>
    <row r="258">
      <c r="A258" s="26" t="n"/>
      <c r="B258" s="26" t="n"/>
      <c r="C258" s="26" t="n"/>
      <c r="D258" s="26" t="n"/>
      <c r="E258" s="26" t="n"/>
      <c r="F258" s="30">
        <f>IF(A258="","",COUNTIF('Holdings'!$A$4:$A$2503,A258))</f>
        <v/>
      </c>
      <c r="G258" s="30">
        <f>IF(A258="","",COUNTIF('Access'!$B$4:$B$1503,A258))</f>
        <v/>
      </c>
      <c r="H258" s="30">
        <f>IF(A258="","",IF(COUNTIF($A$4:$A$1003,A258)&gt;1,"Duplicate holder ID",IF(OR(B258="",C258=""),"Missing required field",IF(F258=0,"No holdings",IF(AND(G258=0,A258&lt;&gt;"LKB-GROUP"),"No login (ok if not invited)","OK")))))</f>
        <v/>
      </c>
    </row>
    <row r="259">
      <c r="A259" s="26" t="n"/>
      <c r="B259" s="26" t="n"/>
      <c r="C259" s="26" t="n"/>
      <c r="D259" s="26" t="n"/>
      <c r="E259" s="26" t="n"/>
      <c r="F259" s="30">
        <f>IF(A259="","",COUNTIF('Holdings'!$A$4:$A$2503,A259))</f>
        <v/>
      </c>
      <c r="G259" s="30">
        <f>IF(A259="","",COUNTIF('Access'!$B$4:$B$1503,A259))</f>
        <v/>
      </c>
      <c r="H259" s="30">
        <f>IF(A259="","",IF(COUNTIF($A$4:$A$1003,A259)&gt;1,"Duplicate holder ID",IF(OR(B259="",C259=""),"Missing required field",IF(F259=0,"No holdings",IF(AND(G259=0,A259&lt;&gt;"LKB-GROUP"),"No login (ok if not invited)","OK")))))</f>
        <v/>
      </c>
    </row>
    <row r="260">
      <c r="A260" s="26" t="n"/>
      <c r="B260" s="26" t="n"/>
      <c r="C260" s="26" t="n"/>
      <c r="D260" s="26" t="n"/>
      <c r="E260" s="26" t="n"/>
      <c r="F260" s="30">
        <f>IF(A260="","",COUNTIF('Holdings'!$A$4:$A$2503,A260))</f>
        <v/>
      </c>
      <c r="G260" s="30">
        <f>IF(A260="","",COUNTIF('Access'!$B$4:$B$1503,A260))</f>
        <v/>
      </c>
      <c r="H260" s="30">
        <f>IF(A260="","",IF(COUNTIF($A$4:$A$1003,A260)&gt;1,"Duplicate holder ID",IF(OR(B260="",C260=""),"Missing required field",IF(F260=0,"No holdings",IF(AND(G260=0,A260&lt;&gt;"LKB-GROUP"),"No login (ok if not invited)","OK")))))</f>
        <v/>
      </c>
    </row>
    <row r="261">
      <c r="A261" s="26" t="n"/>
      <c r="B261" s="26" t="n"/>
      <c r="C261" s="26" t="n"/>
      <c r="D261" s="26" t="n"/>
      <c r="E261" s="26" t="n"/>
      <c r="F261" s="30">
        <f>IF(A261="","",COUNTIF('Holdings'!$A$4:$A$2503,A261))</f>
        <v/>
      </c>
      <c r="G261" s="30">
        <f>IF(A261="","",COUNTIF('Access'!$B$4:$B$1503,A261))</f>
        <v/>
      </c>
      <c r="H261" s="30">
        <f>IF(A261="","",IF(COUNTIF($A$4:$A$1003,A261)&gt;1,"Duplicate holder ID",IF(OR(B261="",C261=""),"Missing required field",IF(F261=0,"No holdings",IF(AND(G261=0,A261&lt;&gt;"LKB-GROUP"),"No login (ok if not invited)","OK")))))</f>
        <v/>
      </c>
    </row>
    <row r="262">
      <c r="A262" s="26" t="n"/>
      <c r="B262" s="26" t="n"/>
      <c r="C262" s="26" t="n"/>
      <c r="D262" s="26" t="n"/>
      <c r="E262" s="26" t="n"/>
      <c r="F262" s="30">
        <f>IF(A262="","",COUNTIF('Holdings'!$A$4:$A$2503,A262))</f>
        <v/>
      </c>
      <c r="G262" s="30">
        <f>IF(A262="","",COUNTIF('Access'!$B$4:$B$1503,A262))</f>
        <v/>
      </c>
      <c r="H262" s="30">
        <f>IF(A262="","",IF(COUNTIF($A$4:$A$1003,A262)&gt;1,"Duplicate holder ID",IF(OR(B262="",C262=""),"Missing required field",IF(F262=0,"No holdings",IF(AND(G262=0,A262&lt;&gt;"LKB-GROUP"),"No login (ok if not invited)","OK")))))</f>
        <v/>
      </c>
    </row>
    <row r="263">
      <c r="A263" s="26" t="n"/>
      <c r="B263" s="26" t="n"/>
      <c r="C263" s="26" t="n"/>
      <c r="D263" s="26" t="n"/>
      <c r="E263" s="26" t="n"/>
      <c r="F263" s="30">
        <f>IF(A263="","",COUNTIF('Holdings'!$A$4:$A$2503,A263))</f>
        <v/>
      </c>
      <c r="G263" s="30">
        <f>IF(A263="","",COUNTIF('Access'!$B$4:$B$1503,A263))</f>
        <v/>
      </c>
      <c r="H263" s="30">
        <f>IF(A263="","",IF(COUNTIF($A$4:$A$1003,A263)&gt;1,"Duplicate holder ID",IF(OR(B263="",C263=""),"Missing required field",IF(F263=0,"No holdings",IF(AND(G263=0,A263&lt;&gt;"LKB-GROUP"),"No login (ok if not invited)","OK")))))</f>
        <v/>
      </c>
    </row>
    <row r="264">
      <c r="A264" s="26" t="n"/>
      <c r="B264" s="26" t="n"/>
      <c r="C264" s="26" t="n"/>
      <c r="D264" s="26" t="n"/>
      <c r="E264" s="26" t="n"/>
      <c r="F264" s="30">
        <f>IF(A264="","",COUNTIF('Holdings'!$A$4:$A$2503,A264))</f>
        <v/>
      </c>
      <c r="G264" s="30">
        <f>IF(A264="","",COUNTIF('Access'!$B$4:$B$1503,A264))</f>
        <v/>
      </c>
      <c r="H264" s="30">
        <f>IF(A264="","",IF(COUNTIF($A$4:$A$1003,A264)&gt;1,"Duplicate holder ID",IF(OR(B264="",C264=""),"Missing required field",IF(F264=0,"No holdings",IF(AND(G264=0,A264&lt;&gt;"LKB-GROUP"),"No login (ok if not invited)","OK")))))</f>
        <v/>
      </c>
    </row>
    <row r="265">
      <c r="A265" s="26" t="n"/>
      <c r="B265" s="26" t="n"/>
      <c r="C265" s="26" t="n"/>
      <c r="D265" s="26" t="n"/>
      <c r="E265" s="26" t="n"/>
      <c r="F265" s="30">
        <f>IF(A265="","",COUNTIF('Holdings'!$A$4:$A$2503,A265))</f>
        <v/>
      </c>
      <c r="G265" s="30">
        <f>IF(A265="","",COUNTIF('Access'!$B$4:$B$1503,A265))</f>
        <v/>
      </c>
      <c r="H265" s="30">
        <f>IF(A265="","",IF(COUNTIF($A$4:$A$1003,A265)&gt;1,"Duplicate holder ID",IF(OR(B265="",C265=""),"Missing required field",IF(F265=0,"No holdings",IF(AND(G265=0,A265&lt;&gt;"LKB-GROUP"),"No login (ok if not invited)","OK")))))</f>
        <v/>
      </c>
    </row>
    <row r="266">
      <c r="A266" s="26" t="n"/>
      <c r="B266" s="26" t="n"/>
      <c r="C266" s="26" t="n"/>
      <c r="D266" s="26" t="n"/>
      <c r="E266" s="26" t="n"/>
      <c r="F266" s="30">
        <f>IF(A266="","",COUNTIF('Holdings'!$A$4:$A$2503,A266))</f>
        <v/>
      </c>
      <c r="G266" s="30">
        <f>IF(A266="","",COUNTIF('Access'!$B$4:$B$1503,A266))</f>
        <v/>
      </c>
      <c r="H266" s="30">
        <f>IF(A266="","",IF(COUNTIF($A$4:$A$1003,A266)&gt;1,"Duplicate holder ID",IF(OR(B266="",C266=""),"Missing required field",IF(F266=0,"No holdings",IF(AND(G266=0,A266&lt;&gt;"LKB-GROUP"),"No login (ok if not invited)","OK")))))</f>
        <v/>
      </c>
    </row>
    <row r="267">
      <c r="A267" s="26" t="n"/>
      <c r="B267" s="26" t="n"/>
      <c r="C267" s="26" t="n"/>
      <c r="D267" s="26" t="n"/>
      <c r="E267" s="26" t="n"/>
      <c r="F267" s="30">
        <f>IF(A267="","",COUNTIF('Holdings'!$A$4:$A$2503,A267))</f>
        <v/>
      </c>
      <c r="G267" s="30">
        <f>IF(A267="","",COUNTIF('Access'!$B$4:$B$1503,A267))</f>
        <v/>
      </c>
      <c r="H267" s="30">
        <f>IF(A267="","",IF(COUNTIF($A$4:$A$1003,A267)&gt;1,"Duplicate holder ID",IF(OR(B267="",C267=""),"Missing required field",IF(F267=0,"No holdings",IF(AND(G267=0,A267&lt;&gt;"LKB-GROUP"),"No login (ok if not invited)","OK")))))</f>
        <v/>
      </c>
    </row>
    <row r="268">
      <c r="A268" s="26" t="n"/>
      <c r="B268" s="26" t="n"/>
      <c r="C268" s="26" t="n"/>
      <c r="D268" s="26" t="n"/>
      <c r="E268" s="26" t="n"/>
      <c r="F268" s="30">
        <f>IF(A268="","",COUNTIF('Holdings'!$A$4:$A$2503,A268))</f>
        <v/>
      </c>
      <c r="G268" s="30">
        <f>IF(A268="","",COUNTIF('Access'!$B$4:$B$1503,A268))</f>
        <v/>
      </c>
      <c r="H268" s="30">
        <f>IF(A268="","",IF(COUNTIF($A$4:$A$1003,A268)&gt;1,"Duplicate holder ID",IF(OR(B268="",C268=""),"Missing required field",IF(F268=0,"No holdings",IF(AND(G268=0,A268&lt;&gt;"LKB-GROUP"),"No login (ok if not invited)","OK")))))</f>
        <v/>
      </c>
    </row>
    <row r="269">
      <c r="A269" s="26" t="n"/>
      <c r="B269" s="26" t="n"/>
      <c r="C269" s="26" t="n"/>
      <c r="D269" s="26" t="n"/>
      <c r="E269" s="26" t="n"/>
      <c r="F269" s="30">
        <f>IF(A269="","",COUNTIF('Holdings'!$A$4:$A$2503,A269))</f>
        <v/>
      </c>
      <c r="G269" s="30">
        <f>IF(A269="","",COUNTIF('Access'!$B$4:$B$1503,A269))</f>
        <v/>
      </c>
      <c r="H269" s="30">
        <f>IF(A269="","",IF(COUNTIF($A$4:$A$1003,A269)&gt;1,"Duplicate holder ID",IF(OR(B269="",C269=""),"Missing required field",IF(F269=0,"No holdings",IF(AND(G269=0,A269&lt;&gt;"LKB-GROUP"),"No login (ok if not invited)","OK")))))</f>
        <v/>
      </c>
    </row>
    <row r="270">
      <c r="A270" s="26" t="n"/>
      <c r="B270" s="26" t="n"/>
      <c r="C270" s="26" t="n"/>
      <c r="D270" s="26" t="n"/>
      <c r="E270" s="26" t="n"/>
      <c r="F270" s="30">
        <f>IF(A270="","",COUNTIF('Holdings'!$A$4:$A$2503,A270))</f>
        <v/>
      </c>
      <c r="G270" s="30">
        <f>IF(A270="","",COUNTIF('Access'!$B$4:$B$1503,A270))</f>
        <v/>
      </c>
      <c r="H270" s="30">
        <f>IF(A270="","",IF(COUNTIF($A$4:$A$1003,A270)&gt;1,"Duplicate holder ID",IF(OR(B270="",C270=""),"Missing required field",IF(F270=0,"No holdings",IF(AND(G270=0,A270&lt;&gt;"LKB-GROUP"),"No login (ok if not invited)","OK")))))</f>
        <v/>
      </c>
    </row>
    <row r="271">
      <c r="A271" s="26" t="n"/>
      <c r="B271" s="26" t="n"/>
      <c r="C271" s="26" t="n"/>
      <c r="D271" s="26" t="n"/>
      <c r="E271" s="26" t="n"/>
      <c r="F271" s="30">
        <f>IF(A271="","",COUNTIF('Holdings'!$A$4:$A$2503,A271))</f>
        <v/>
      </c>
      <c r="G271" s="30">
        <f>IF(A271="","",COUNTIF('Access'!$B$4:$B$1503,A271))</f>
        <v/>
      </c>
      <c r="H271" s="30">
        <f>IF(A271="","",IF(COUNTIF($A$4:$A$1003,A271)&gt;1,"Duplicate holder ID",IF(OR(B271="",C271=""),"Missing required field",IF(F271=0,"No holdings",IF(AND(G271=0,A271&lt;&gt;"LKB-GROUP"),"No login (ok if not invited)","OK")))))</f>
        <v/>
      </c>
    </row>
    <row r="272">
      <c r="A272" s="26" t="n"/>
      <c r="B272" s="26" t="n"/>
      <c r="C272" s="26" t="n"/>
      <c r="D272" s="26" t="n"/>
      <c r="E272" s="26" t="n"/>
      <c r="F272" s="30">
        <f>IF(A272="","",COUNTIF('Holdings'!$A$4:$A$2503,A272))</f>
        <v/>
      </c>
      <c r="G272" s="30">
        <f>IF(A272="","",COUNTIF('Access'!$B$4:$B$1503,A272))</f>
        <v/>
      </c>
      <c r="H272" s="30">
        <f>IF(A272="","",IF(COUNTIF($A$4:$A$1003,A272)&gt;1,"Duplicate holder ID",IF(OR(B272="",C272=""),"Missing required field",IF(F272=0,"No holdings",IF(AND(G272=0,A272&lt;&gt;"LKB-GROUP"),"No login (ok if not invited)","OK")))))</f>
        <v/>
      </c>
    </row>
    <row r="273">
      <c r="A273" s="26" t="n"/>
      <c r="B273" s="26" t="n"/>
      <c r="C273" s="26" t="n"/>
      <c r="D273" s="26" t="n"/>
      <c r="E273" s="26" t="n"/>
      <c r="F273" s="30">
        <f>IF(A273="","",COUNTIF('Holdings'!$A$4:$A$2503,A273))</f>
        <v/>
      </c>
      <c r="G273" s="30">
        <f>IF(A273="","",COUNTIF('Access'!$B$4:$B$1503,A273))</f>
        <v/>
      </c>
      <c r="H273" s="30">
        <f>IF(A273="","",IF(COUNTIF($A$4:$A$1003,A273)&gt;1,"Duplicate holder ID",IF(OR(B273="",C273=""),"Missing required field",IF(F273=0,"No holdings",IF(AND(G273=0,A273&lt;&gt;"LKB-GROUP"),"No login (ok if not invited)","OK")))))</f>
        <v/>
      </c>
    </row>
    <row r="274">
      <c r="A274" s="26" t="n"/>
      <c r="B274" s="26" t="n"/>
      <c r="C274" s="26" t="n"/>
      <c r="D274" s="26" t="n"/>
      <c r="E274" s="26" t="n"/>
      <c r="F274" s="30">
        <f>IF(A274="","",COUNTIF('Holdings'!$A$4:$A$2503,A274))</f>
        <v/>
      </c>
      <c r="G274" s="30">
        <f>IF(A274="","",COUNTIF('Access'!$B$4:$B$1503,A274))</f>
        <v/>
      </c>
      <c r="H274" s="30">
        <f>IF(A274="","",IF(COUNTIF($A$4:$A$1003,A274)&gt;1,"Duplicate holder ID",IF(OR(B274="",C274=""),"Missing required field",IF(F274=0,"No holdings",IF(AND(G274=0,A274&lt;&gt;"LKB-GROUP"),"No login (ok if not invited)","OK")))))</f>
        <v/>
      </c>
    </row>
    <row r="275">
      <c r="A275" s="26" t="n"/>
      <c r="B275" s="26" t="n"/>
      <c r="C275" s="26" t="n"/>
      <c r="D275" s="26" t="n"/>
      <c r="E275" s="26" t="n"/>
      <c r="F275" s="30">
        <f>IF(A275="","",COUNTIF('Holdings'!$A$4:$A$2503,A275))</f>
        <v/>
      </c>
      <c r="G275" s="30">
        <f>IF(A275="","",COUNTIF('Access'!$B$4:$B$1503,A275))</f>
        <v/>
      </c>
      <c r="H275" s="30">
        <f>IF(A275="","",IF(COUNTIF($A$4:$A$1003,A275)&gt;1,"Duplicate holder ID",IF(OR(B275="",C275=""),"Missing required field",IF(F275=0,"No holdings",IF(AND(G275=0,A275&lt;&gt;"LKB-GROUP"),"No login (ok if not invited)","OK")))))</f>
        <v/>
      </c>
    </row>
    <row r="276">
      <c r="A276" s="26" t="n"/>
      <c r="B276" s="26" t="n"/>
      <c r="C276" s="26" t="n"/>
      <c r="D276" s="26" t="n"/>
      <c r="E276" s="26" t="n"/>
      <c r="F276" s="30">
        <f>IF(A276="","",COUNTIF('Holdings'!$A$4:$A$2503,A276))</f>
        <v/>
      </c>
      <c r="G276" s="30">
        <f>IF(A276="","",COUNTIF('Access'!$B$4:$B$1503,A276))</f>
        <v/>
      </c>
      <c r="H276" s="30">
        <f>IF(A276="","",IF(COUNTIF($A$4:$A$1003,A276)&gt;1,"Duplicate holder ID",IF(OR(B276="",C276=""),"Missing required field",IF(F276=0,"No holdings",IF(AND(G276=0,A276&lt;&gt;"LKB-GROUP"),"No login (ok if not invited)","OK")))))</f>
        <v/>
      </c>
    </row>
    <row r="277">
      <c r="A277" s="26" t="n"/>
      <c r="B277" s="26" t="n"/>
      <c r="C277" s="26" t="n"/>
      <c r="D277" s="26" t="n"/>
      <c r="E277" s="26" t="n"/>
      <c r="F277" s="30">
        <f>IF(A277="","",COUNTIF('Holdings'!$A$4:$A$2503,A277))</f>
        <v/>
      </c>
      <c r="G277" s="30">
        <f>IF(A277="","",COUNTIF('Access'!$B$4:$B$1503,A277))</f>
        <v/>
      </c>
      <c r="H277" s="30">
        <f>IF(A277="","",IF(COUNTIF($A$4:$A$1003,A277)&gt;1,"Duplicate holder ID",IF(OR(B277="",C277=""),"Missing required field",IF(F277=0,"No holdings",IF(AND(G277=0,A277&lt;&gt;"LKB-GROUP"),"No login (ok if not invited)","OK")))))</f>
        <v/>
      </c>
    </row>
    <row r="278">
      <c r="A278" s="26" t="n"/>
      <c r="B278" s="26" t="n"/>
      <c r="C278" s="26" t="n"/>
      <c r="D278" s="26" t="n"/>
      <c r="E278" s="26" t="n"/>
      <c r="F278" s="30">
        <f>IF(A278="","",COUNTIF('Holdings'!$A$4:$A$2503,A278))</f>
        <v/>
      </c>
      <c r="G278" s="30">
        <f>IF(A278="","",COUNTIF('Access'!$B$4:$B$1503,A278))</f>
        <v/>
      </c>
      <c r="H278" s="30">
        <f>IF(A278="","",IF(COUNTIF($A$4:$A$1003,A278)&gt;1,"Duplicate holder ID",IF(OR(B278="",C278=""),"Missing required field",IF(F278=0,"No holdings",IF(AND(G278=0,A278&lt;&gt;"LKB-GROUP"),"No login (ok if not invited)","OK")))))</f>
        <v/>
      </c>
    </row>
    <row r="279">
      <c r="A279" s="26" t="n"/>
      <c r="B279" s="26" t="n"/>
      <c r="C279" s="26" t="n"/>
      <c r="D279" s="26" t="n"/>
      <c r="E279" s="26" t="n"/>
      <c r="F279" s="30">
        <f>IF(A279="","",COUNTIF('Holdings'!$A$4:$A$2503,A279))</f>
        <v/>
      </c>
      <c r="G279" s="30">
        <f>IF(A279="","",COUNTIF('Access'!$B$4:$B$1503,A279))</f>
        <v/>
      </c>
      <c r="H279" s="30">
        <f>IF(A279="","",IF(COUNTIF($A$4:$A$1003,A279)&gt;1,"Duplicate holder ID",IF(OR(B279="",C279=""),"Missing required field",IF(F279=0,"No holdings",IF(AND(G279=0,A279&lt;&gt;"LKB-GROUP"),"No login (ok if not invited)","OK")))))</f>
        <v/>
      </c>
    </row>
    <row r="280">
      <c r="A280" s="26" t="n"/>
      <c r="B280" s="26" t="n"/>
      <c r="C280" s="26" t="n"/>
      <c r="D280" s="26" t="n"/>
      <c r="E280" s="26" t="n"/>
      <c r="F280" s="30">
        <f>IF(A280="","",COUNTIF('Holdings'!$A$4:$A$2503,A280))</f>
        <v/>
      </c>
      <c r="G280" s="30">
        <f>IF(A280="","",COUNTIF('Access'!$B$4:$B$1503,A280))</f>
        <v/>
      </c>
      <c r="H280" s="30">
        <f>IF(A280="","",IF(COUNTIF($A$4:$A$1003,A280)&gt;1,"Duplicate holder ID",IF(OR(B280="",C280=""),"Missing required field",IF(F280=0,"No holdings",IF(AND(G280=0,A280&lt;&gt;"LKB-GROUP"),"No login (ok if not invited)","OK")))))</f>
        <v/>
      </c>
    </row>
    <row r="281">
      <c r="A281" s="26" t="n"/>
      <c r="B281" s="26" t="n"/>
      <c r="C281" s="26" t="n"/>
      <c r="D281" s="26" t="n"/>
      <c r="E281" s="26" t="n"/>
      <c r="F281" s="30">
        <f>IF(A281="","",COUNTIF('Holdings'!$A$4:$A$2503,A281))</f>
        <v/>
      </c>
      <c r="G281" s="30">
        <f>IF(A281="","",COUNTIF('Access'!$B$4:$B$1503,A281))</f>
        <v/>
      </c>
      <c r="H281" s="30">
        <f>IF(A281="","",IF(COUNTIF($A$4:$A$1003,A281)&gt;1,"Duplicate holder ID",IF(OR(B281="",C281=""),"Missing required field",IF(F281=0,"No holdings",IF(AND(G281=0,A281&lt;&gt;"LKB-GROUP"),"No login (ok if not invited)","OK")))))</f>
        <v/>
      </c>
    </row>
    <row r="282">
      <c r="A282" s="26" t="n"/>
      <c r="B282" s="26" t="n"/>
      <c r="C282" s="26" t="n"/>
      <c r="D282" s="26" t="n"/>
      <c r="E282" s="26" t="n"/>
      <c r="F282" s="30">
        <f>IF(A282="","",COUNTIF('Holdings'!$A$4:$A$2503,A282))</f>
        <v/>
      </c>
      <c r="G282" s="30">
        <f>IF(A282="","",COUNTIF('Access'!$B$4:$B$1503,A282))</f>
        <v/>
      </c>
      <c r="H282" s="30">
        <f>IF(A282="","",IF(COUNTIF($A$4:$A$1003,A282)&gt;1,"Duplicate holder ID",IF(OR(B282="",C282=""),"Missing required field",IF(F282=0,"No holdings",IF(AND(G282=0,A282&lt;&gt;"LKB-GROUP"),"No login (ok if not invited)","OK")))))</f>
        <v/>
      </c>
    </row>
    <row r="283">
      <c r="A283" s="26" t="n"/>
      <c r="B283" s="26" t="n"/>
      <c r="C283" s="26" t="n"/>
      <c r="D283" s="26" t="n"/>
      <c r="E283" s="26" t="n"/>
      <c r="F283" s="30">
        <f>IF(A283="","",COUNTIF('Holdings'!$A$4:$A$2503,A283))</f>
        <v/>
      </c>
      <c r="G283" s="30">
        <f>IF(A283="","",COUNTIF('Access'!$B$4:$B$1503,A283))</f>
        <v/>
      </c>
      <c r="H283" s="30">
        <f>IF(A283="","",IF(COUNTIF($A$4:$A$1003,A283)&gt;1,"Duplicate holder ID",IF(OR(B283="",C283=""),"Missing required field",IF(F283=0,"No holdings",IF(AND(G283=0,A283&lt;&gt;"LKB-GROUP"),"No login (ok if not invited)","OK")))))</f>
        <v/>
      </c>
    </row>
    <row r="284">
      <c r="A284" s="26" t="n"/>
      <c r="B284" s="26" t="n"/>
      <c r="C284" s="26" t="n"/>
      <c r="D284" s="26" t="n"/>
      <c r="E284" s="26" t="n"/>
      <c r="F284" s="30">
        <f>IF(A284="","",COUNTIF('Holdings'!$A$4:$A$2503,A284))</f>
        <v/>
      </c>
      <c r="G284" s="30">
        <f>IF(A284="","",COUNTIF('Access'!$B$4:$B$1503,A284))</f>
        <v/>
      </c>
      <c r="H284" s="30">
        <f>IF(A284="","",IF(COUNTIF($A$4:$A$1003,A284)&gt;1,"Duplicate holder ID",IF(OR(B284="",C284=""),"Missing required field",IF(F284=0,"No holdings",IF(AND(G284=0,A284&lt;&gt;"LKB-GROUP"),"No login (ok if not invited)","OK")))))</f>
        <v/>
      </c>
    </row>
    <row r="285">
      <c r="A285" s="26" t="n"/>
      <c r="B285" s="26" t="n"/>
      <c r="C285" s="26" t="n"/>
      <c r="D285" s="26" t="n"/>
      <c r="E285" s="26" t="n"/>
      <c r="F285" s="30">
        <f>IF(A285="","",COUNTIF('Holdings'!$A$4:$A$2503,A285))</f>
        <v/>
      </c>
      <c r="G285" s="30">
        <f>IF(A285="","",COUNTIF('Access'!$B$4:$B$1503,A285))</f>
        <v/>
      </c>
      <c r="H285" s="30">
        <f>IF(A285="","",IF(COUNTIF($A$4:$A$1003,A285)&gt;1,"Duplicate holder ID",IF(OR(B285="",C285=""),"Missing required field",IF(F285=0,"No holdings",IF(AND(G285=0,A285&lt;&gt;"LKB-GROUP"),"No login (ok if not invited)","OK")))))</f>
        <v/>
      </c>
    </row>
    <row r="286">
      <c r="A286" s="26" t="n"/>
      <c r="B286" s="26" t="n"/>
      <c r="C286" s="26" t="n"/>
      <c r="D286" s="26" t="n"/>
      <c r="E286" s="26" t="n"/>
      <c r="F286" s="30">
        <f>IF(A286="","",COUNTIF('Holdings'!$A$4:$A$2503,A286))</f>
        <v/>
      </c>
      <c r="G286" s="30">
        <f>IF(A286="","",COUNTIF('Access'!$B$4:$B$1503,A286))</f>
        <v/>
      </c>
      <c r="H286" s="30">
        <f>IF(A286="","",IF(COUNTIF($A$4:$A$1003,A286)&gt;1,"Duplicate holder ID",IF(OR(B286="",C286=""),"Missing required field",IF(F286=0,"No holdings",IF(AND(G286=0,A286&lt;&gt;"LKB-GROUP"),"No login (ok if not invited)","OK")))))</f>
        <v/>
      </c>
    </row>
    <row r="287">
      <c r="A287" s="26" t="n"/>
      <c r="B287" s="26" t="n"/>
      <c r="C287" s="26" t="n"/>
      <c r="D287" s="26" t="n"/>
      <c r="E287" s="26" t="n"/>
      <c r="F287" s="30">
        <f>IF(A287="","",COUNTIF('Holdings'!$A$4:$A$2503,A287))</f>
        <v/>
      </c>
      <c r="G287" s="30">
        <f>IF(A287="","",COUNTIF('Access'!$B$4:$B$1503,A287))</f>
        <v/>
      </c>
      <c r="H287" s="30">
        <f>IF(A287="","",IF(COUNTIF($A$4:$A$1003,A287)&gt;1,"Duplicate holder ID",IF(OR(B287="",C287=""),"Missing required field",IF(F287=0,"No holdings",IF(AND(G287=0,A287&lt;&gt;"LKB-GROUP"),"No login (ok if not invited)","OK")))))</f>
        <v/>
      </c>
    </row>
    <row r="288">
      <c r="A288" s="26" t="n"/>
      <c r="B288" s="26" t="n"/>
      <c r="C288" s="26" t="n"/>
      <c r="D288" s="26" t="n"/>
      <c r="E288" s="26" t="n"/>
      <c r="F288" s="30">
        <f>IF(A288="","",COUNTIF('Holdings'!$A$4:$A$2503,A288))</f>
        <v/>
      </c>
      <c r="G288" s="30">
        <f>IF(A288="","",COUNTIF('Access'!$B$4:$B$1503,A288))</f>
        <v/>
      </c>
      <c r="H288" s="30">
        <f>IF(A288="","",IF(COUNTIF($A$4:$A$1003,A288)&gt;1,"Duplicate holder ID",IF(OR(B288="",C288=""),"Missing required field",IF(F288=0,"No holdings",IF(AND(G288=0,A288&lt;&gt;"LKB-GROUP"),"No login (ok if not invited)","OK")))))</f>
        <v/>
      </c>
    </row>
    <row r="289">
      <c r="A289" s="26" t="n"/>
      <c r="B289" s="26" t="n"/>
      <c r="C289" s="26" t="n"/>
      <c r="D289" s="26" t="n"/>
      <c r="E289" s="26" t="n"/>
      <c r="F289" s="30">
        <f>IF(A289="","",COUNTIF('Holdings'!$A$4:$A$2503,A289))</f>
        <v/>
      </c>
      <c r="G289" s="30">
        <f>IF(A289="","",COUNTIF('Access'!$B$4:$B$1503,A289))</f>
        <v/>
      </c>
      <c r="H289" s="30">
        <f>IF(A289="","",IF(COUNTIF($A$4:$A$1003,A289)&gt;1,"Duplicate holder ID",IF(OR(B289="",C289=""),"Missing required field",IF(F289=0,"No holdings",IF(AND(G289=0,A289&lt;&gt;"LKB-GROUP"),"No login (ok if not invited)","OK")))))</f>
        <v/>
      </c>
    </row>
    <row r="290">
      <c r="A290" s="26" t="n"/>
      <c r="B290" s="26" t="n"/>
      <c r="C290" s="26" t="n"/>
      <c r="D290" s="26" t="n"/>
      <c r="E290" s="26" t="n"/>
      <c r="F290" s="30">
        <f>IF(A290="","",COUNTIF('Holdings'!$A$4:$A$2503,A290))</f>
        <v/>
      </c>
      <c r="G290" s="30">
        <f>IF(A290="","",COUNTIF('Access'!$B$4:$B$1503,A290))</f>
        <v/>
      </c>
      <c r="H290" s="30">
        <f>IF(A290="","",IF(COUNTIF($A$4:$A$1003,A290)&gt;1,"Duplicate holder ID",IF(OR(B290="",C290=""),"Missing required field",IF(F290=0,"No holdings",IF(AND(G290=0,A290&lt;&gt;"LKB-GROUP"),"No login (ok if not invited)","OK")))))</f>
        <v/>
      </c>
    </row>
    <row r="291">
      <c r="A291" s="26" t="n"/>
      <c r="B291" s="26" t="n"/>
      <c r="C291" s="26" t="n"/>
      <c r="D291" s="26" t="n"/>
      <c r="E291" s="26" t="n"/>
      <c r="F291" s="30">
        <f>IF(A291="","",COUNTIF('Holdings'!$A$4:$A$2503,A291))</f>
        <v/>
      </c>
      <c r="G291" s="30">
        <f>IF(A291="","",COUNTIF('Access'!$B$4:$B$1503,A291))</f>
        <v/>
      </c>
      <c r="H291" s="30">
        <f>IF(A291="","",IF(COUNTIF($A$4:$A$1003,A291)&gt;1,"Duplicate holder ID",IF(OR(B291="",C291=""),"Missing required field",IF(F291=0,"No holdings",IF(AND(G291=0,A291&lt;&gt;"LKB-GROUP"),"No login (ok if not invited)","OK")))))</f>
        <v/>
      </c>
    </row>
    <row r="292">
      <c r="A292" s="26" t="n"/>
      <c r="B292" s="26" t="n"/>
      <c r="C292" s="26" t="n"/>
      <c r="D292" s="26" t="n"/>
      <c r="E292" s="26" t="n"/>
      <c r="F292" s="30">
        <f>IF(A292="","",COUNTIF('Holdings'!$A$4:$A$2503,A292))</f>
        <v/>
      </c>
      <c r="G292" s="30">
        <f>IF(A292="","",COUNTIF('Access'!$B$4:$B$1503,A292))</f>
        <v/>
      </c>
      <c r="H292" s="30">
        <f>IF(A292="","",IF(COUNTIF($A$4:$A$1003,A292)&gt;1,"Duplicate holder ID",IF(OR(B292="",C292=""),"Missing required field",IF(F292=0,"No holdings",IF(AND(G292=0,A292&lt;&gt;"LKB-GROUP"),"No login (ok if not invited)","OK")))))</f>
        <v/>
      </c>
    </row>
    <row r="293">
      <c r="A293" s="26" t="n"/>
      <c r="B293" s="26" t="n"/>
      <c r="C293" s="26" t="n"/>
      <c r="D293" s="26" t="n"/>
      <c r="E293" s="26" t="n"/>
      <c r="F293" s="30">
        <f>IF(A293="","",COUNTIF('Holdings'!$A$4:$A$2503,A293))</f>
        <v/>
      </c>
      <c r="G293" s="30">
        <f>IF(A293="","",COUNTIF('Access'!$B$4:$B$1503,A293))</f>
        <v/>
      </c>
      <c r="H293" s="30">
        <f>IF(A293="","",IF(COUNTIF($A$4:$A$1003,A293)&gt;1,"Duplicate holder ID",IF(OR(B293="",C293=""),"Missing required field",IF(F293=0,"No holdings",IF(AND(G293=0,A293&lt;&gt;"LKB-GROUP"),"No login (ok if not invited)","OK")))))</f>
        <v/>
      </c>
    </row>
    <row r="294">
      <c r="A294" s="26" t="n"/>
      <c r="B294" s="26" t="n"/>
      <c r="C294" s="26" t="n"/>
      <c r="D294" s="26" t="n"/>
      <c r="E294" s="26" t="n"/>
      <c r="F294" s="30">
        <f>IF(A294="","",COUNTIF('Holdings'!$A$4:$A$2503,A294))</f>
        <v/>
      </c>
      <c r="G294" s="30">
        <f>IF(A294="","",COUNTIF('Access'!$B$4:$B$1503,A294))</f>
        <v/>
      </c>
      <c r="H294" s="30">
        <f>IF(A294="","",IF(COUNTIF($A$4:$A$1003,A294)&gt;1,"Duplicate holder ID",IF(OR(B294="",C294=""),"Missing required field",IF(F294=0,"No holdings",IF(AND(G294=0,A294&lt;&gt;"LKB-GROUP"),"No login (ok if not invited)","OK")))))</f>
        <v/>
      </c>
    </row>
    <row r="295">
      <c r="A295" s="26" t="n"/>
      <c r="B295" s="26" t="n"/>
      <c r="C295" s="26" t="n"/>
      <c r="D295" s="26" t="n"/>
      <c r="E295" s="26" t="n"/>
      <c r="F295" s="30">
        <f>IF(A295="","",COUNTIF('Holdings'!$A$4:$A$2503,A295))</f>
        <v/>
      </c>
      <c r="G295" s="30">
        <f>IF(A295="","",COUNTIF('Access'!$B$4:$B$1503,A295))</f>
        <v/>
      </c>
      <c r="H295" s="30">
        <f>IF(A295="","",IF(COUNTIF($A$4:$A$1003,A295)&gt;1,"Duplicate holder ID",IF(OR(B295="",C295=""),"Missing required field",IF(F295=0,"No holdings",IF(AND(G295=0,A295&lt;&gt;"LKB-GROUP"),"No login (ok if not invited)","OK")))))</f>
        <v/>
      </c>
    </row>
    <row r="296">
      <c r="A296" s="26" t="n"/>
      <c r="B296" s="26" t="n"/>
      <c r="C296" s="26" t="n"/>
      <c r="D296" s="26" t="n"/>
      <c r="E296" s="26" t="n"/>
      <c r="F296" s="30">
        <f>IF(A296="","",COUNTIF('Holdings'!$A$4:$A$2503,A296))</f>
        <v/>
      </c>
      <c r="G296" s="30">
        <f>IF(A296="","",COUNTIF('Access'!$B$4:$B$1503,A296))</f>
        <v/>
      </c>
      <c r="H296" s="30">
        <f>IF(A296="","",IF(COUNTIF($A$4:$A$1003,A296)&gt;1,"Duplicate holder ID",IF(OR(B296="",C296=""),"Missing required field",IF(F296=0,"No holdings",IF(AND(G296=0,A296&lt;&gt;"LKB-GROUP"),"No login (ok if not invited)","OK")))))</f>
        <v/>
      </c>
    </row>
    <row r="297">
      <c r="A297" s="26" t="n"/>
      <c r="B297" s="26" t="n"/>
      <c r="C297" s="26" t="n"/>
      <c r="D297" s="26" t="n"/>
      <c r="E297" s="26" t="n"/>
      <c r="F297" s="30">
        <f>IF(A297="","",COUNTIF('Holdings'!$A$4:$A$2503,A297))</f>
        <v/>
      </c>
      <c r="G297" s="30">
        <f>IF(A297="","",COUNTIF('Access'!$B$4:$B$1503,A297))</f>
        <v/>
      </c>
      <c r="H297" s="30">
        <f>IF(A297="","",IF(COUNTIF($A$4:$A$1003,A297)&gt;1,"Duplicate holder ID",IF(OR(B297="",C297=""),"Missing required field",IF(F297=0,"No holdings",IF(AND(G297=0,A297&lt;&gt;"LKB-GROUP"),"No login (ok if not invited)","OK")))))</f>
        <v/>
      </c>
    </row>
    <row r="298">
      <c r="A298" s="26" t="n"/>
      <c r="B298" s="26" t="n"/>
      <c r="C298" s="26" t="n"/>
      <c r="D298" s="26" t="n"/>
      <c r="E298" s="26" t="n"/>
      <c r="F298" s="30">
        <f>IF(A298="","",COUNTIF('Holdings'!$A$4:$A$2503,A298))</f>
        <v/>
      </c>
      <c r="G298" s="30">
        <f>IF(A298="","",COUNTIF('Access'!$B$4:$B$1503,A298))</f>
        <v/>
      </c>
      <c r="H298" s="30">
        <f>IF(A298="","",IF(COUNTIF($A$4:$A$1003,A298)&gt;1,"Duplicate holder ID",IF(OR(B298="",C298=""),"Missing required field",IF(F298=0,"No holdings",IF(AND(G298=0,A298&lt;&gt;"LKB-GROUP"),"No login (ok if not invited)","OK")))))</f>
        <v/>
      </c>
    </row>
    <row r="299">
      <c r="A299" s="26" t="n"/>
      <c r="B299" s="26" t="n"/>
      <c r="C299" s="26" t="n"/>
      <c r="D299" s="26" t="n"/>
      <c r="E299" s="26" t="n"/>
      <c r="F299" s="30">
        <f>IF(A299="","",COUNTIF('Holdings'!$A$4:$A$2503,A299))</f>
        <v/>
      </c>
      <c r="G299" s="30">
        <f>IF(A299="","",COUNTIF('Access'!$B$4:$B$1503,A299))</f>
        <v/>
      </c>
      <c r="H299" s="30">
        <f>IF(A299="","",IF(COUNTIF($A$4:$A$1003,A299)&gt;1,"Duplicate holder ID",IF(OR(B299="",C299=""),"Missing required field",IF(F299=0,"No holdings",IF(AND(G299=0,A299&lt;&gt;"LKB-GROUP"),"No login (ok if not invited)","OK")))))</f>
        <v/>
      </c>
    </row>
    <row r="300">
      <c r="A300" s="26" t="n"/>
      <c r="B300" s="26" t="n"/>
      <c r="C300" s="26" t="n"/>
      <c r="D300" s="26" t="n"/>
      <c r="E300" s="26" t="n"/>
      <c r="F300" s="30">
        <f>IF(A300="","",COUNTIF('Holdings'!$A$4:$A$2503,A300))</f>
        <v/>
      </c>
      <c r="G300" s="30">
        <f>IF(A300="","",COUNTIF('Access'!$B$4:$B$1503,A300))</f>
        <v/>
      </c>
      <c r="H300" s="30">
        <f>IF(A300="","",IF(COUNTIF($A$4:$A$1003,A300)&gt;1,"Duplicate holder ID",IF(OR(B300="",C300=""),"Missing required field",IF(F300=0,"No holdings",IF(AND(G300=0,A300&lt;&gt;"LKB-GROUP"),"No login (ok if not invited)","OK")))))</f>
        <v/>
      </c>
    </row>
    <row r="301">
      <c r="A301" s="26" t="n"/>
      <c r="B301" s="26" t="n"/>
      <c r="C301" s="26" t="n"/>
      <c r="D301" s="26" t="n"/>
      <c r="E301" s="26" t="n"/>
      <c r="F301" s="30">
        <f>IF(A301="","",COUNTIF('Holdings'!$A$4:$A$2503,A301))</f>
        <v/>
      </c>
      <c r="G301" s="30">
        <f>IF(A301="","",COUNTIF('Access'!$B$4:$B$1503,A301))</f>
        <v/>
      </c>
      <c r="H301" s="30">
        <f>IF(A301="","",IF(COUNTIF($A$4:$A$1003,A301)&gt;1,"Duplicate holder ID",IF(OR(B301="",C301=""),"Missing required field",IF(F301=0,"No holdings",IF(AND(G301=0,A301&lt;&gt;"LKB-GROUP"),"No login (ok if not invited)","OK")))))</f>
        <v/>
      </c>
    </row>
    <row r="302">
      <c r="A302" s="26" t="n"/>
      <c r="B302" s="26" t="n"/>
      <c r="C302" s="26" t="n"/>
      <c r="D302" s="26" t="n"/>
      <c r="E302" s="26" t="n"/>
      <c r="F302" s="30">
        <f>IF(A302="","",COUNTIF('Holdings'!$A$4:$A$2503,A302))</f>
        <v/>
      </c>
      <c r="G302" s="30">
        <f>IF(A302="","",COUNTIF('Access'!$B$4:$B$1503,A302))</f>
        <v/>
      </c>
      <c r="H302" s="30">
        <f>IF(A302="","",IF(COUNTIF($A$4:$A$1003,A302)&gt;1,"Duplicate holder ID",IF(OR(B302="",C302=""),"Missing required field",IF(F302=0,"No holdings",IF(AND(G302=0,A302&lt;&gt;"LKB-GROUP"),"No login (ok if not invited)","OK")))))</f>
        <v/>
      </c>
    </row>
    <row r="303">
      <c r="A303" s="26" t="n"/>
      <c r="B303" s="26" t="n"/>
      <c r="C303" s="26" t="n"/>
      <c r="D303" s="26" t="n"/>
      <c r="E303" s="26" t="n"/>
      <c r="F303" s="30">
        <f>IF(A303="","",COUNTIF('Holdings'!$A$4:$A$2503,A303))</f>
        <v/>
      </c>
      <c r="G303" s="30">
        <f>IF(A303="","",COUNTIF('Access'!$B$4:$B$1503,A303))</f>
        <v/>
      </c>
      <c r="H303" s="30">
        <f>IF(A303="","",IF(COUNTIF($A$4:$A$1003,A303)&gt;1,"Duplicate holder ID",IF(OR(B303="",C303=""),"Missing required field",IF(F303=0,"No holdings",IF(AND(G303=0,A303&lt;&gt;"LKB-GROUP"),"No login (ok if not invited)","OK")))))</f>
        <v/>
      </c>
    </row>
    <row r="304">
      <c r="A304" s="26" t="n"/>
      <c r="B304" s="26" t="n"/>
      <c r="C304" s="26" t="n"/>
      <c r="D304" s="26" t="n"/>
      <c r="E304" s="26" t="n"/>
      <c r="F304" s="30">
        <f>IF(A304="","",COUNTIF('Holdings'!$A$4:$A$2503,A304))</f>
        <v/>
      </c>
      <c r="G304" s="30">
        <f>IF(A304="","",COUNTIF('Access'!$B$4:$B$1503,A304))</f>
        <v/>
      </c>
      <c r="H304" s="30">
        <f>IF(A304="","",IF(COUNTIF($A$4:$A$1003,A304)&gt;1,"Duplicate holder ID",IF(OR(B304="",C304=""),"Missing required field",IF(F304=0,"No holdings",IF(AND(G304=0,A304&lt;&gt;"LKB-GROUP"),"No login (ok if not invited)","OK")))))</f>
        <v/>
      </c>
    </row>
    <row r="305">
      <c r="A305" s="26" t="n"/>
      <c r="B305" s="26" t="n"/>
      <c r="C305" s="26" t="n"/>
      <c r="D305" s="26" t="n"/>
      <c r="E305" s="26" t="n"/>
      <c r="F305" s="30">
        <f>IF(A305="","",COUNTIF('Holdings'!$A$4:$A$2503,A305))</f>
        <v/>
      </c>
      <c r="G305" s="30">
        <f>IF(A305="","",COUNTIF('Access'!$B$4:$B$1503,A305))</f>
        <v/>
      </c>
      <c r="H305" s="30">
        <f>IF(A305="","",IF(COUNTIF($A$4:$A$1003,A305)&gt;1,"Duplicate holder ID",IF(OR(B305="",C305=""),"Missing required field",IF(F305=0,"No holdings",IF(AND(G305=0,A305&lt;&gt;"LKB-GROUP"),"No login (ok if not invited)","OK")))))</f>
        <v/>
      </c>
    </row>
    <row r="306">
      <c r="A306" s="26" t="n"/>
      <c r="B306" s="26" t="n"/>
      <c r="C306" s="26" t="n"/>
      <c r="D306" s="26" t="n"/>
      <c r="E306" s="26" t="n"/>
      <c r="F306" s="30">
        <f>IF(A306="","",COUNTIF('Holdings'!$A$4:$A$2503,A306))</f>
        <v/>
      </c>
      <c r="G306" s="30">
        <f>IF(A306="","",COUNTIF('Access'!$B$4:$B$1503,A306))</f>
        <v/>
      </c>
      <c r="H306" s="30">
        <f>IF(A306="","",IF(COUNTIF($A$4:$A$1003,A306)&gt;1,"Duplicate holder ID",IF(OR(B306="",C306=""),"Missing required field",IF(F306=0,"No holdings",IF(AND(G306=0,A306&lt;&gt;"LKB-GROUP"),"No login (ok if not invited)","OK")))))</f>
        <v/>
      </c>
    </row>
    <row r="307">
      <c r="A307" s="26" t="n"/>
      <c r="B307" s="26" t="n"/>
      <c r="C307" s="26" t="n"/>
      <c r="D307" s="26" t="n"/>
      <c r="E307" s="26" t="n"/>
      <c r="F307" s="30">
        <f>IF(A307="","",COUNTIF('Holdings'!$A$4:$A$2503,A307))</f>
        <v/>
      </c>
      <c r="G307" s="30">
        <f>IF(A307="","",COUNTIF('Access'!$B$4:$B$1503,A307))</f>
        <v/>
      </c>
      <c r="H307" s="30">
        <f>IF(A307="","",IF(COUNTIF($A$4:$A$1003,A307)&gt;1,"Duplicate holder ID",IF(OR(B307="",C307=""),"Missing required field",IF(F307=0,"No holdings",IF(AND(G307=0,A307&lt;&gt;"LKB-GROUP"),"No login (ok if not invited)","OK")))))</f>
        <v/>
      </c>
    </row>
    <row r="308">
      <c r="A308" s="26" t="n"/>
      <c r="B308" s="26" t="n"/>
      <c r="C308" s="26" t="n"/>
      <c r="D308" s="26" t="n"/>
      <c r="E308" s="26" t="n"/>
      <c r="F308" s="30">
        <f>IF(A308="","",COUNTIF('Holdings'!$A$4:$A$2503,A308))</f>
        <v/>
      </c>
      <c r="G308" s="30">
        <f>IF(A308="","",COUNTIF('Access'!$B$4:$B$1503,A308))</f>
        <v/>
      </c>
      <c r="H308" s="30">
        <f>IF(A308="","",IF(COUNTIF($A$4:$A$1003,A308)&gt;1,"Duplicate holder ID",IF(OR(B308="",C308=""),"Missing required field",IF(F308=0,"No holdings",IF(AND(G308=0,A308&lt;&gt;"LKB-GROUP"),"No login (ok if not invited)","OK")))))</f>
        <v/>
      </c>
    </row>
    <row r="309">
      <c r="A309" s="26" t="n"/>
      <c r="B309" s="26" t="n"/>
      <c r="C309" s="26" t="n"/>
      <c r="D309" s="26" t="n"/>
      <c r="E309" s="26" t="n"/>
      <c r="F309" s="30">
        <f>IF(A309="","",COUNTIF('Holdings'!$A$4:$A$2503,A309))</f>
        <v/>
      </c>
      <c r="G309" s="30">
        <f>IF(A309="","",COUNTIF('Access'!$B$4:$B$1503,A309))</f>
        <v/>
      </c>
      <c r="H309" s="30">
        <f>IF(A309="","",IF(COUNTIF($A$4:$A$1003,A309)&gt;1,"Duplicate holder ID",IF(OR(B309="",C309=""),"Missing required field",IF(F309=0,"No holdings",IF(AND(G309=0,A309&lt;&gt;"LKB-GROUP"),"No login (ok if not invited)","OK")))))</f>
        <v/>
      </c>
    </row>
    <row r="310">
      <c r="A310" s="26" t="n"/>
      <c r="B310" s="26" t="n"/>
      <c r="C310" s="26" t="n"/>
      <c r="D310" s="26" t="n"/>
      <c r="E310" s="26" t="n"/>
      <c r="F310" s="30">
        <f>IF(A310="","",COUNTIF('Holdings'!$A$4:$A$2503,A310))</f>
        <v/>
      </c>
      <c r="G310" s="30">
        <f>IF(A310="","",COUNTIF('Access'!$B$4:$B$1503,A310))</f>
        <v/>
      </c>
      <c r="H310" s="30">
        <f>IF(A310="","",IF(COUNTIF($A$4:$A$1003,A310)&gt;1,"Duplicate holder ID",IF(OR(B310="",C310=""),"Missing required field",IF(F310=0,"No holdings",IF(AND(G310=0,A310&lt;&gt;"LKB-GROUP"),"No login (ok if not invited)","OK")))))</f>
        <v/>
      </c>
    </row>
    <row r="311">
      <c r="A311" s="26" t="n"/>
      <c r="B311" s="26" t="n"/>
      <c r="C311" s="26" t="n"/>
      <c r="D311" s="26" t="n"/>
      <c r="E311" s="26" t="n"/>
      <c r="F311" s="30">
        <f>IF(A311="","",COUNTIF('Holdings'!$A$4:$A$2503,A311))</f>
        <v/>
      </c>
      <c r="G311" s="30">
        <f>IF(A311="","",COUNTIF('Access'!$B$4:$B$1503,A311))</f>
        <v/>
      </c>
      <c r="H311" s="30">
        <f>IF(A311="","",IF(COUNTIF($A$4:$A$1003,A311)&gt;1,"Duplicate holder ID",IF(OR(B311="",C311=""),"Missing required field",IF(F311=0,"No holdings",IF(AND(G311=0,A311&lt;&gt;"LKB-GROUP"),"No login (ok if not invited)","OK")))))</f>
        <v/>
      </c>
    </row>
    <row r="312">
      <c r="A312" s="26" t="n"/>
      <c r="B312" s="26" t="n"/>
      <c r="C312" s="26" t="n"/>
      <c r="D312" s="26" t="n"/>
      <c r="E312" s="26" t="n"/>
      <c r="F312" s="30">
        <f>IF(A312="","",COUNTIF('Holdings'!$A$4:$A$2503,A312))</f>
        <v/>
      </c>
      <c r="G312" s="30">
        <f>IF(A312="","",COUNTIF('Access'!$B$4:$B$1503,A312))</f>
        <v/>
      </c>
      <c r="H312" s="30">
        <f>IF(A312="","",IF(COUNTIF($A$4:$A$1003,A312)&gt;1,"Duplicate holder ID",IF(OR(B312="",C312=""),"Missing required field",IF(F312=0,"No holdings",IF(AND(G312=0,A312&lt;&gt;"LKB-GROUP"),"No login (ok if not invited)","OK")))))</f>
        <v/>
      </c>
    </row>
    <row r="313">
      <c r="A313" s="26" t="n"/>
      <c r="B313" s="26" t="n"/>
      <c r="C313" s="26" t="n"/>
      <c r="D313" s="26" t="n"/>
      <c r="E313" s="26" t="n"/>
      <c r="F313" s="30">
        <f>IF(A313="","",COUNTIF('Holdings'!$A$4:$A$2503,A313))</f>
        <v/>
      </c>
      <c r="G313" s="30">
        <f>IF(A313="","",COUNTIF('Access'!$B$4:$B$1503,A313))</f>
        <v/>
      </c>
      <c r="H313" s="30">
        <f>IF(A313="","",IF(COUNTIF($A$4:$A$1003,A313)&gt;1,"Duplicate holder ID",IF(OR(B313="",C313=""),"Missing required field",IF(F313=0,"No holdings",IF(AND(G313=0,A313&lt;&gt;"LKB-GROUP"),"No login (ok if not invited)","OK")))))</f>
        <v/>
      </c>
    </row>
    <row r="314">
      <c r="A314" s="26" t="n"/>
      <c r="B314" s="26" t="n"/>
      <c r="C314" s="26" t="n"/>
      <c r="D314" s="26" t="n"/>
      <c r="E314" s="26" t="n"/>
      <c r="F314" s="30">
        <f>IF(A314="","",COUNTIF('Holdings'!$A$4:$A$2503,A314))</f>
        <v/>
      </c>
      <c r="G314" s="30">
        <f>IF(A314="","",COUNTIF('Access'!$B$4:$B$1503,A314))</f>
        <v/>
      </c>
      <c r="H314" s="30">
        <f>IF(A314="","",IF(COUNTIF($A$4:$A$1003,A314)&gt;1,"Duplicate holder ID",IF(OR(B314="",C314=""),"Missing required field",IF(F314=0,"No holdings",IF(AND(G314=0,A314&lt;&gt;"LKB-GROUP"),"No login (ok if not invited)","OK")))))</f>
        <v/>
      </c>
    </row>
    <row r="315">
      <c r="A315" s="26" t="n"/>
      <c r="B315" s="26" t="n"/>
      <c r="C315" s="26" t="n"/>
      <c r="D315" s="26" t="n"/>
      <c r="E315" s="26" t="n"/>
      <c r="F315" s="30">
        <f>IF(A315="","",COUNTIF('Holdings'!$A$4:$A$2503,A315))</f>
        <v/>
      </c>
      <c r="G315" s="30">
        <f>IF(A315="","",COUNTIF('Access'!$B$4:$B$1503,A315))</f>
        <v/>
      </c>
      <c r="H315" s="30">
        <f>IF(A315="","",IF(COUNTIF($A$4:$A$1003,A315)&gt;1,"Duplicate holder ID",IF(OR(B315="",C315=""),"Missing required field",IF(F315=0,"No holdings",IF(AND(G315=0,A315&lt;&gt;"LKB-GROUP"),"No login (ok if not invited)","OK")))))</f>
        <v/>
      </c>
    </row>
    <row r="316">
      <c r="A316" s="26" t="n"/>
      <c r="B316" s="26" t="n"/>
      <c r="C316" s="26" t="n"/>
      <c r="D316" s="26" t="n"/>
      <c r="E316" s="26" t="n"/>
      <c r="F316" s="30">
        <f>IF(A316="","",COUNTIF('Holdings'!$A$4:$A$2503,A316))</f>
        <v/>
      </c>
      <c r="G316" s="30">
        <f>IF(A316="","",COUNTIF('Access'!$B$4:$B$1503,A316))</f>
        <v/>
      </c>
      <c r="H316" s="30">
        <f>IF(A316="","",IF(COUNTIF($A$4:$A$1003,A316)&gt;1,"Duplicate holder ID",IF(OR(B316="",C316=""),"Missing required field",IF(F316=0,"No holdings",IF(AND(G316=0,A316&lt;&gt;"LKB-GROUP"),"No login (ok if not invited)","OK")))))</f>
        <v/>
      </c>
    </row>
    <row r="317">
      <c r="A317" s="26" t="n"/>
      <c r="B317" s="26" t="n"/>
      <c r="C317" s="26" t="n"/>
      <c r="D317" s="26" t="n"/>
      <c r="E317" s="26" t="n"/>
      <c r="F317" s="30">
        <f>IF(A317="","",COUNTIF('Holdings'!$A$4:$A$2503,A317))</f>
        <v/>
      </c>
      <c r="G317" s="30">
        <f>IF(A317="","",COUNTIF('Access'!$B$4:$B$1503,A317))</f>
        <v/>
      </c>
      <c r="H317" s="30">
        <f>IF(A317="","",IF(COUNTIF($A$4:$A$1003,A317)&gt;1,"Duplicate holder ID",IF(OR(B317="",C317=""),"Missing required field",IF(F317=0,"No holdings",IF(AND(G317=0,A317&lt;&gt;"LKB-GROUP"),"No login (ok if not invited)","OK")))))</f>
        <v/>
      </c>
    </row>
    <row r="318">
      <c r="A318" s="26" t="n"/>
      <c r="B318" s="26" t="n"/>
      <c r="C318" s="26" t="n"/>
      <c r="D318" s="26" t="n"/>
      <c r="E318" s="26" t="n"/>
      <c r="F318" s="30">
        <f>IF(A318="","",COUNTIF('Holdings'!$A$4:$A$2503,A318))</f>
        <v/>
      </c>
      <c r="G318" s="30">
        <f>IF(A318="","",COUNTIF('Access'!$B$4:$B$1503,A318))</f>
        <v/>
      </c>
      <c r="H318" s="30">
        <f>IF(A318="","",IF(COUNTIF($A$4:$A$1003,A318)&gt;1,"Duplicate holder ID",IF(OR(B318="",C318=""),"Missing required field",IF(F318=0,"No holdings",IF(AND(G318=0,A318&lt;&gt;"LKB-GROUP"),"No login (ok if not invited)","OK")))))</f>
        <v/>
      </c>
    </row>
    <row r="319">
      <c r="A319" s="26" t="n"/>
      <c r="B319" s="26" t="n"/>
      <c r="C319" s="26" t="n"/>
      <c r="D319" s="26" t="n"/>
      <c r="E319" s="26" t="n"/>
      <c r="F319" s="30">
        <f>IF(A319="","",COUNTIF('Holdings'!$A$4:$A$2503,A319))</f>
        <v/>
      </c>
      <c r="G319" s="30">
        <f>IF(A319="","",COUNTIF('Access'!$B$4:$B$1503,A319))</f>
        <v/>
      </c>
      <c r="H319" s="30">
        <f>IF(A319="","",IF(COUNTIF($A$4:$A$1003,A319)&gt;1,"Duplicate holder ID",IF(OR(B319="",C319=""),"Missing required field",IF(F319=0,"No holdings",IF(AND(G319=0,A319&lt;&gt;"LKB-GROUP"),"No login (ok if not invited)","OK")))))</f>
        <v/>
      </c>
    </row>
    <row r="320">
      <c r="A320" s="26" t="n"/>
      <c r="B320" s="26" t="n"/>
      <c r="C320" s="26" t="n"/>
      <c r="D320" s="26" t="n"/>
      <c r="E320" s="26" t="n"/>
      <c r="F320" s="30">
        <f>IF(A320="","",COUNTIF('Holdings'!$A$4:$A$2503,A320))</f>
        <v/>
      </c>
      <c r="G320" s="30">
        <f>IF(A320="","",COUNTIF('Access'!$B$4:$B$1503,A320))</f>
        <v/>
      </c>
      <c r="H320" s="30">
        <f>IF(A320="","",IF(COUNTIF($A$4:$A$1003,A320)&gt;1,"Duplicate holder ID",IF(OR(B320="",C320=""),"Missing required field",IF(F320=0,"No holdings",IF(AND(G320=0,A320&lt;&gt;"LKB-GROUP"),"No login (ok if not invited)","OK")))))</f>
        <v/>
      </c>
    </row>
    <row r="321">
      <c r="A321" s="26" t="n"/>
      <c r="B321" s="26" t="n"/>
      <c r="C321" s="26" t="n"/>
      <c r="D321" s="26" t="n"/>
      <c r="E321" s="26" t="n"/>
      <c r="F321" s="30">
        <f>IF(A321="","",COUNTIF('Holdings'!$A$4:$A$2503,A321))</f>
        <v/>
      </c>
      <c r="G321" s="30">
        <f>IF(A321="","",COUNTIF('Access'!$B$4:$B$1503,A321))</f>
        <v/>
      </c>
      <c r="H321" s="30">
        <f>IF(A321="","",IF(COUNTIF($A$4:$A$1003,A321)&gt;1,"Duplicate holder ID",IF(OR(B321="",C321=""),"Missing required field",IF(F321=0,"No holdings",IF(AND(G321=0,A321&lt;&gt;"LKB-GROUP"),"No login (ok if not invited)","OK")))))</f>
        <v/>
      </c>
    </row>
    <row r="322">
      <c r="A322" s="26" t="n"/>
      <c r="B322" s="26" t="n"/>
      <c r="C322" s="26" t="n"/>
      <c r="D322" s="26" t="n"/>
      <c r="E322" s="26" t="n"/>
      <c r="F322" s="30">
        <f>IF(A322="","",COUNTIF('Holdings'!$A$4:$A$2503,A322))</f>
        <v/>
      </c>
      <c r="G322" s="30">
        <f>IF(A322="","",COUNTIF('Access'!$B$4:$B$1503,A322))</f>
        <v/>
      </c>
      <c r="H322" s="30">
        <f>IF(A322="","",IF(COUNTIF($A$4:$A$1003,A322)&gt;1,"Duplicate holder ID",IF(OR(B322="",C322=""),"Missing required field",IF(F322=0,"No holdings",IF(AND(G322=0,A322&lt;&gt;"LKB-GROUP"),"No login (ok if not invited)","OK")))))</f>
        <v/>
      </c>
    </row>
    <row r="323">
      <c r="A323" s="26" t="n"/>
      <c r="B323" s="26" t="n"/>
      <c r="C323" s="26" t="n"/>
      <c r="D323" s="26" t="n"/>
      <c r="E323" s="26" t="n"/>
      <c r="F323" s="30">
        <f>IF(A323="","",COUNTIF('Holdings'!$A$4:$A$2503,A323))</f>
        <v/>
      </c>
      <c r="G323" s="30">
        <f>IF(A323="","",COUNTIF('Access'!$B$4:$B$1503,A323))</f>
        <v/>
      </c>
      <c r="H323" s="30">
        <f>IF(A323="","",IF(COUNTIF($A$4:$A$1003,A323)&gt;1,"Duplicate holder ID",IF(OR(B323="",C323=""),"Missing required field",IF(F323=0,"No holdings",IF(AND(G323=0,A323&lt;&gt;"LKB-GROUP"),"No login (ok if not invited)","OK")))))</f>
        <v/>
      </c>
    </row>
    <row r="324">
      <c r="A324" s="26" t="n"/>
      <c r="B324" s="26" t="n"/>
      <c r="C324" s="26" t="n"/>
      <c r="D324" s="26" t="n"/>
      <c r="E324" s="26" t="n"/>
      <c r="F324" s="30">
        <f>IF(A324="","",COUNTIF('Holdings'!$A$4:$A$2503,A324))</f>
        <v/>
      </c>
      <c r="G324" s="30">
        <f>IF(A324="","",COUNTIF('Access'!$B$4:$B$1503,A324))</f>
        <v/>
      </c>
      <c r="H324" s="30">
        <f>IF(A324="","",IF(COUNTIF($A$4:$A$1003,A324)&gt;1,"Duplicate holder ID",IF(OR(B324="",C324=""),"Missing required field",IF(F324=0,"No holdings",IF(AND(G324=0,A324&lt;&gt;"LKB-GROUP"),"No login (ok if not invited)","OK")))))</f>
        <v/>
      </c>
    </row>
    <row r="325">
      <c r="A325" s="26" t="n"/>
      <c r="B325" s="26" t="n"/>
      <c r="C325" s="26" t="n"/>
      <c r="D325" s="26" t="n"/>
      <c r="E325" s="26" t="n"/>
      <c r="F325" s="30">
        <f>IF(A325="","",COUNTIF('Holdings'!$A$4:$A$2503,A325))</f>
        <v/>
      </c>
      <c r="G325" s="30">
        <f>IF(A325="","",COUNTIF('Access'!$B$4:$B$1503,A325))</f>
        <v/>
      </c>
      <c r="H325" s="30">
        <f>IF(A325="","",IF(COUNTIF($A$4:$A$1003,A325)&gt;1,"Duplicate holder ID",IF(OR(B325="",C325=""),"Missing required field",IF(F325=0,"No holdings",IF(AND(G325=0,A325&lt;&gt;"LKB-GROUP"),"No login (ok if not invited)","OK")))))</f>
        <v/>
      </c>
    </row>
    <row r="326">
      <c r="A326" s="26" t="n"/>
      <c r="B326" s="26" t="n"/>
      <c r="C326" s="26" t="n"/>
      <c r="D326" s="26" t="n"/>
      <c r="E326" s="26" t="n"/>
      <c r="F326" s="30">
        <f>IF(A326="","",COUNTIF('Holdings'!$A$4:$A$2503,A326))</f>
        <v/>
      </c>
      <c r="G326" s="30">
        <f>IF(A326="","",COUNTIF('Access'!$B$4:$B$1503,A326))</f>
        <v/>
      </c>
      <c r="H326" s="30">
        <f>IF(A326="","",IF(COUNTIF($A$4:$A$1003,A326)&gt;1,"Duplicate holder ID",IF(OR(B326="",C326=""),"Missing required field",IF(F326=0,"No holdings",IF(AND(G326=0,A326&lt;&gt;"LKB-GROUP"),"No login (ok if not invited)","OK")))))</f>
        <v/>
      </c>
    </row>
    <row r="327">
      <c r="A327" s="26" t="n"/>
      <c r="B327" s="26" t="n"/>
      <c r="C327" s="26" t="n"/>
      <c r="D327" s="26" t="n"/>
      <c r="E327" s="26" t="n"/>
      <c r="F327" s="30">
        <f>IF(A327="","",COUNTIF('Holdings'!$A$4:$A$2503,A327))</f>
        <v/>
      </c>
      <c r="G327" s="30">
        <f>IF(A327="","",COUNTIF('Access'!$B$4:$B$1503,A327))</f>
        <v/>
      </c>
      <c r="H327" s="30">
        <f>IF(A327="","",IF(COUNTIF($A$4:$A$1003,A327)&gt;1,"Duplicate holder ID",IF(OR(B327="",C327=""),"Missing required field",IF(F327=0,"No holdings",IF(AND(G327=0,A327&lt;&gt;"LKB-GROUP"),"No login (ok if not invited)","OK")))))</f>
        <v/>
      </c>
    </row>
    <row r="328">
      <c r="A328" s="26" t="n"/>
      <c r="B328" s="26" t="n"/>
      <c r="C328" s="26" t="n"/>
      <c r="D328" s="26" t="n"/>
      <c r="E328" s="26" t="n"/>
      <c r="F328" s="30">
        <f>IF(A328="","",COUNTIF('Holdings'!$A$4:$A$2503,A328))</f>
        <v/>
      </c>
      <c r="G328" s="30">
        <f>IF(A328="","",COUNTIF('Access'!$B$4:$B$1503,A328))</f>
        <v/>
      </c>
      <c r="H328" s="30">
        <f>IF(A328="","",IF(COUNTIF($A$4:$A$1003,A328)&gt;1,"Duplicate holder ID",IF(OR(B328="",C328=""),"Missing required field",IF(F328=0,"No holdings",IF(AND(G328=0,A328&lt;&gt;"LKB-GROUP"),"No login (ok if not invited)","OK")))))</f>
        <v/>
      </c>
    </row>
    <row r="329">
      <c r="A329" s="26" t="n"/>
      <c r="B329" s="26" t="n"/>
      <c r="C329" s="26" t="n"/>
      <c r="D329" s="26" t="n"/>
      <c r="E329" s="26" t="n"/>
      <c r="F329" s="30">
        <f>IF(A329="","",COUNTIF('Holdings'!$A$4:$A$2503,A329))</f>
        <v/>
      </c>
      <c r="G329" s="30">
        <f>IF(A329="","",COUNTIF('Access'!$B$4:$B$1503,A329))</f>
        <v/>
      </c>
      <c r="H329" s="30">
        <f>IF(A329="","",IF(COUNTIF($A$4:$A$1003,A329)&gt;1,"Duplicate holder ID",IF(OR(B329="",C329=""),"Missing required field",IF(F329=0,"No holdings",IF(AND(G329=0,A329&lt;&gt;"LKB-GROUP"),"No login (ok if not invited)","OK")))))</f>
        <v/>
      </c>
    </row>
    <row r="330">
      <c r="A330" s="26" t="n"/>
      <c r="B330" s="26" t="n"/>
      <c r="C330" s="26" t="n"/>
      <c r="D330" s="26" t="n"/>
      <c r="E330" s="26" t="n"/>
      <c r="F330" s="30">
        <f>IF(A330="","",COUNTIF('Holdings'!$A$4:$A$2503,A330))</f>
        <v/>
      </c>
      <c r="G330" s="30">
        <f>IF(A330="","",COUNTIF('Access'!$B$4:$B$1503,A330))</f>
        <v/>
      </c>
      <c r="H330" s="30">
        <f>IF(A330="","",IF(COUNTIF($A$4:$A$1003,A330)&gt;1,"Duplicate holder ID",IF(OR(B330="",C330=""),"Missing required field",IF(F330=0,"No holdings",IF(AND(G330=0,A330&lt;&gt;"LKB-GROUP"),"No login (ok if not invited)","OK")))))</f>
        <v/>
      </c>
    </row>
    <row r="331">
      <c r="A331" s="26" t="n"/>
      <c r="B331" s="26" t="n"/>
      <c r="C331" s="26" t="n"/>
      <c r="D331" s="26" t="n"/>
      <c r="E331" s="26" t="n"/>
      <c r="F331" s="30">
        <f>IF(A331="","",COUNTIF('Holdings'!$A$4:$A$2503,A331))</f>
        <v/>
      </c>
      <c r="G331" s="30">
        <f>IF(A331="","",COUNTIF('Access'!$B$4:$B$1503,A331))</f>
        <v/>
      </c>
      <c r="H331" s="30">
        <f>IF(A331="","",IF(COUNTIF($A$4:$A$1003,A331)&gt;1,"Duplicate holder ID",IF(OR(B331="",C331=""),"Missing required field",IF(F331=0,"No holdings",IF(AND(G331=0,A331&lt;&gt;"LKB-GROUP"),"No login (ok if not invited)","OK")))))</f>
        <v/>
      </c>
    </row>
    <row r="332">
      <c r="A332" s="26" t="n"/>
      <c r="B332" s="26" t="n"/>
      <c r="C332" s="26" t="n"/>
      <c r="D332" s="26" t="n"/>
      <c r="E332" s="26" t="n"/>
      <c r="F332" s="30">
        <f>IF(A332="","",COUNTIF('Holdings'!$A$4:$A$2503,A332))</f>
        <v/>
      </c>
      <c r="G332" s="30">
        <f>IF(A332="","",COUNTIF('Access'!$B$4:$B$1503,A332))</f>
        <v/>
      </c>
      <c r="H332" s="30">
        <f>IF(A332="","",IF(COUNTIF($A$4:$A$1003,A332)&gt;1,"Duplicate holder ID",IF(OR(B332="",C332=""),"Missing required field",IF(F332=0,"No holdings",IF(AND(G332=0,A332&lt;&gt;"LKB-GROUP"),"No login (ok if not invited)","OK")))))</f>
        <v/>
      </c>
    </row>
    <row r="333">
      <c r="A333" s="26" t="n"/>
      <c r="B333" s="26" t="n"/>
      <c r="C333" s="26" t="n"/>
      <c r="D333" s="26" t="n"/>
      <c r="E333" s="26" t="n"/>
      <c r="F333" s="30">
        <f>IF(A333="","",COUNTIF('Holdings'!$A$4:$A$2503,A333))</f>
        <v/>
      </c>
      <c r="G333" s="30">
        <f>IF(A333="","",COUNTIF('Access'!$B$4:$B$1503,A333))</f>
        <v/>
      </c>
      <c r="H333" s="30">
        <f>IF(A333="","",IF(COUNTIF($A$4:$A$1003,A333)&gt;1,"Duplicate holder ID",IF(OR(B333="",C333=""),"Missing required field",IF(F333=0,"No holdings",IF(AND(G333=0,A333&lt;&gt;"LKB-GROUP"),"No login (ok if not invited)","OK")))))</f>
        <v/>
      </c>
    </row>
    <row r="334">
      <c r="A334" s="26" t="n"/>
      <c r="B334" s="26" t="n"/>
      <c r="C334" s="26" t="n"/>
      <c r="D334" s="26" t="n"/>
      <c r="E334" s="26" t="n"/>
      <c r="F334" s="30">
        <f>IF(A334="","",COUNTIF('Holdings'!$A$4:$A$2503,A334))</f>
        <v/>
      </c>
      <c r="G334" s="30">
        <f>IF(A334="","",COUNTIF('Access'!$B$4:$B$1503,A334))</f>
        <v/>
      </c>
      <c r="H334" s="30">
        <f>IF(A334="","",IF(COUNTIF($A$4:$A$1003,A334)&gt;1,"Duplicate holder ID",IF(OR(B334="",C334=""),"Missing required field",IF(F334=0,"No holdings",IF(AND(G334=0,A334&lt;&gt;"LKB-GROUP"),"No login (ok if not invited)","OK")))))</f>
        <v/>
      </c>
    </row>
    <row r="335">
      <c r="A335" s="26" t="n"/>
      <c r="B335" s="26" t="n"/>
      <c r="C335" s="26" t="n"/>
      <c r="D335" s="26" t="n"/>
      <c r="E335" s="26" t="n"/>
      <c r="F335" s="30">
        <f>IF(A335="","",COUNTIF('Holdings'!$A$4:$A$2503,A335))</f>
        <v/>
      </c>
      <c r="G335" s="30">
        <f>IF(A335="","",COUNTIF('Access'!$B$4:$B$1503,A335))</f>
        <v/>
      </c>
      <c r="H335" s="30">
        <f>IF(A335="","",IF(COUNTIF($A$4:$A$1003,A335)&gt;1,"Duplicate holder ID",IF(OR(B335="",C335=""),"Missing required field",IF(F335=0,"No holdings",IF(AND(G335=0,A335&lt;&gt;"LKB-GROUP"),"No login (ok if not invited)","OK")))))</f>
        <v/>
      </c>
    </row>
    <row r="336">
      <c r="A336" s="26" t="n"/>
      <c r="B336" s="26" t="n"/>
      <c r="C336" s="26" t="n"/>
      <c r="D336" s="26" t="n"/>
      <c r="E336" s="26" t="n"/>
      <c r="F336" s="30">
        <f>IF(A336="","",COUNTIF('Holdings'!$A$4:$A$2503,A336))</f>
        <v/>
      </c>
      <c r="G336" s="30">
        <f>IF(A336="","",COUNTIF('Access'!$B$4:$B$1503,A336))</f>
        <v/>
      </c>
      <c r="H336" s="30">
        <f>IF(A336="","",IF(COUNTIF($A$4:$A$1003,A336)&gt;1,"Duplicate holder ID",IF(OR(B336="",C336=""),"Missing required field",IF(F336=0,"No holdings",IF(AND(G336=0,A336&lt;&gt;"LKB-GROUP"),"No login (ok if not invited)","OK")))))</f>
        <v/>
      </c>
    </row>
    <row r="337">
      <c r="A337" s="26" t="n"/>
      <c r="B337" s="26" t="n"/>
      <c r="C337" s="26" t="n"/>
      <c r="D337" s="26" t="n"/>
      <c r="E337" s="26" t="n"/>
      <c r="F337" s="30">
        <f>IF(A337="","",COUNTIF('Holdings'!$A$4:$A$2503,A337))</f>
        <v/>
      </c>
      <c r="G337" s="30">
        <f>IF(A337="","",COUNTIF('Access'!$B$4:$B$1503,A337))</f>
        <v/>
      </c>
      <c r="H337" s="30">
        <f>IF(A337="","",IF(COUNTIF($A$4:$A$1003,A337)&gt;1,"Duplicate holder ID",IF(OR(B337="",C337=""),"Missing required field",IF(F337=0,"No holdings",IF(AND(G337=0,A337&lt;&gt;"LKB-GROUP"),"No login (ok if not invited)","OK")))))</f>
        <v/>
      </c>
    </row>
    <row r="338">
      <c r="A338" s="26" t="n"/>
      <c r="B338" s="26" t="n"/>
      <c r="C338" s="26" t="n"/>
      <c r="D338" s="26" t="n"/>
      <c r="E338" s="26" t="n"/>
      <c r="F338" s="30">
        <f>IF(A338="","",COUNTIF('Holdings'!$A$4:$A$2503,A338))</f>
        <v/>
      </c>
      <c r="G338" s="30">
        <f>IF(A338="","",COUNTIF('Access'!$B$4:$B$1503,A338))</f>
        <v/>
      </c>
      <c r="H338" s="30">
        <f>IF(A338="","",IF(COUNTIF($A$4:$A$1003,A338)&gt;1,"Duplicate holder ID",IF(OR(B338="",C338=""),"Missing required field",IF(F338=0,"No holdings",IF(AND(G338=0,A338&lt;&gt;"LKB-GROUP"),"No login (ok if not invited)","OK")))))</f>
        <v/>
      </c>
    </row>
    <row r="339">
      <c r="A339" s="26" t="n"/>
      <c r="B339" s="26" t="n"/>
      <c r="C339" s="26" t="n"/>
      <c r="D339" s="26" t="n"/>
      <c r="E339" s="26" t="n"/>
      <c r="F339" s="30">
        <f>IF(A339="","",COUNTIF('Holdings'!$A$4:$A$2503,A339))</f>
        <v/>
      </c>
      <c r="G339" s="30">
        <f>IF(A339="","",COUNTIF('Access'!$B$4:$B$1503,A339))</f>
        <v/>
      </c>
      <c r="H339" s="30">
        <f>IF(A339="","",IF(COUNTIF($A$4:$A$1003,A339)&gt;1,"Duplicate holder ID",IF(OR(B339="",C339=""),"Missing required field",IF(F339=0,"No holdings",IF(AND(G339=0,A339&lt;&gt;"LKB-GROUP"),"No login (ok if not invited)","OK")))))</f>
        <v/>
      </c>
    </row>
    <row r="340">
      <c r="A340" s="26" t="n"/>
      <c r="B340" s="26" t="n"/>
      <c r="C340" s="26" t="n"/>
      <c r="D340" s="26" t="n"/>
      <c r="E340" s="26" t="n"/>
      <c r="F340" s="30">
        <f>IF(A340="","",COUNTIF('Holdings'!$A$4:$A$2503,A340))</f>
        <v/>
      </c>
      <c r="G340" s="30">
        <f>IF(A340="","",COUNTIF('Access'!$B$4:$B$1503,A340))</f>
        <v/>
      </c>
      <c r="H340" s="30">
        <f>IF(A340="","",IF(COUNTIF($A$4:$A$1003,A340)&gt;1,"Duplicate holder ID",IF(OR(B340="",C340=""),"Missing required field",IF(F340=0,"No holdings",IF(AND(G340=0,A340&lt;&gt;"LKB-GROUP"),"No login (ok if not invited)","OK")))))</f>
        <v/>
      </c>
    </row>
    <row r="341">
      <c r="A341" s="26" t="n"/>
      <c r="B341" s="26" t="n"/>
      <c r="C341" s="26" t="n"/>
      <c r="D341" s="26" t="n"/>
      <c r="E341" s="26" t="n"/>
      <c r="F341" s="30">
        <f>IF(A341="","",COUNTIF('Holdings'!$A$4:$A$2503,A341))</f>
        <v/>
      </c>
      <c r="G341" s="30">
        <f>IF(A341="","",COUNTIF('Access'!$B$4:$B$1503,A341))</f>
        <v/>
      </c>
      <c r="H341" s="30">
        <f>IF(A341="","",IF(COUNTIF($A$4:$A$1003,A341)&gt;1,"Duplicate holder ID",IF(OR(B341="",C341=""),"Missing required field",IF(F341=0,"No holdings",IF(AND(G341=0,A341&lt;&gt;"LKB-GROUP"),"No login (ok if not invited)","OK")))))</f>
        <v/>
      </c>
    </row>
    <row r="342">
      <c r="A342" s="26" t="n"/>
      <c r="B342" s="26" t="n"/>
      <c r="C342" s="26" t="n"/>
      <c r="D342" s="26" t="n"/>
      <c r="E342" s="26" t="n"/>
      <c r="F342" s="30">
        <f>IF(A342="","",COUNTIF('Holdings'!$A$4:$A$2503,A342))</f>
        <v/>
      </c>
      <c r="G342" s="30">
        <f>IF(A342="","",COUNTIF('Access'!$B$4:$B$1503,A342))</f>
        <v/>
      </c>
      <c r="H342" s="30">
        <f>IF(A342="","",IF(COUNTIF($A$4:$A$1003,A342)&gt;1,"Duplicate holder ID",IF(OR(B342="",C342=""),"Missing required field",IF(F342=0,"No holdings",IF(AND(G342=0,A342&lt;&gt;"LKB-GROUP"),"No login (ok if not invited)","OK")))))</f>
        <v/>
      </c>
    </row>
    <row r="343">
      <c r="A343" s="26" t="n"/>
      <c r="B343" s="26" t="n"/>
      <c r="C343" s="26" t="n"/>
      <c r="D343" s="26" t="n"/>
      <c r="E343" s="26" t="n"/>
      <c r="F343" s="30">
        <f>IF(A343="","",COUNTIF('Holdings'!$A$4:$A$2503,A343))</f>
        <v/>
      </c>
      <c r="G343" s="30">
        <f>IF(A343="","",COUNTIF('Access'!$B$4:$B$1503,A343))</f>
        <v/>
      </c>
      <c r="H343" s="30">
        <f>IF(A343="","",IF(COUNTIF($A$4:$A$1003,A343)&gt;1,"Duplicate holder ID",IF(OR(B343="",C343=""),"Missing required field",IF(F343=0,"No holdings",IF(AND(G343=0,A343&lt;&gt;"LKB-GROUP"),"No login (ok if not invited)","OK")))))</f>
        <v/>
      </c>
    </row>
    <row r="344">
      <c r="A344" s="26" t="n"/>
      <c r="B344" s="26" t="n"/>
      <c r="C344" s="26" t="n"/>
      <c r="D344" s="26" t="n"/>
      <c r="E344" s="26" t="n"/>
      <c r="F344" s="30">
        <f>IF(A344="","",COUNTIF('Holdings'!$A$4:$A$2503,A344))</f>
        <v/>
      </c>
      <c r="G344" s="30">
        <f>IF(A344="","",COUNTIF('Access'!$B$4:$B$1503,A344))</f>
        <v/>
      </c>
      <c r="H344" s="30">
        <f>IF(A344="","",IF(COUNTIF($A$4:$A$1003,A344)&gt;1,"Duplicate holder ID",IF(OR(B344="",C344=""),"Missing required field",IF(F344=0,"No holdings",IF(AND(G344=0,A344&lt;&gt;"LKB-GROUP"),"No login (ok if not invited)","OK")))))</f>
        <v/>
      </c>
    </row>
    <row r="345">
      <c r="A345" s="26" t="n"/>
      <c r="B345" s="26" t="n"/>
      <c r="C345" s="26" t="n"/>
      <c r="D345" s="26" t="n"/>
      <c r="E345" s="26" t="n"/>
      <c r="F345" s="30">
        <f>IF(A345="","",COUNTIF('Holdings'!$A$4:$A$2503,A345))</f>
        <v/>
      </c>
      <c r="G345" s="30">
        <f>IF(A345="","",COUNTIF('Access'!$B$4:$B$1503,A345))</f>
        <v/>
      </c>
      <c r="H345" s="30">
        <f>IF(A345="","",IF(COUNTIF($A$4:$A$1003,A345)&gt;1,"Duplicate holder ID",IF(OR(B345="",C345=""),"Missing required field",IF(F345=0,"No holdings",IF(AND(G345=0,A345&lt;&gt;"LKB-GROUP"),"No login (ok if not invited)","OK")))))</f>
        <v/>
      </c>
    </row>
    <row r="346">
      <c r="A346" s="26" t="n"/>
      <c r="B346" s="26" t="n"/>
      <c r="C346" s="26" t="n"/>
      <c r="D346" s="26" t="n"/>
      <c r="E346" s="26" t="n"/>
      <c r="F346" s="30">
        <f>IF(A346="","",COUNTIF('Holdings'!$A$4:$A$2503,A346))</f>
        <v/>
      </c>
      <c r="G346" s="30">
        <f>IF(A346="","",COUNTIF('Access'!$B$4:$B$1503,A346))</f>
        <v/>
      </c>
      <c r="H346" s="30">
        <f>IF(A346="","",IF(COUNTIF($A$4:$A$1003,A346)&gt;1,"Duplicate holder ID",IF(OR(B346="",C346=""),"Missing required field",IF(F346=0,"No holdings",IF(AND(G346=0,A346&lt;&gt;"LKB-GROUP"),"No login (ok if not invited)","OK")))))</f>
        <v/>
      </c>
    </row>
    <row r="347">
      <c r="A347" s="26" t="n"/>
      <c r="B347" s="26" t="n"/>
      <c r="C347" s="26" t="n"/>
      <c r="D347" s="26" t="n"/>
      <c r="E347" s="26" t="n"/>
      <c r="F347" s="30">
        <f>IF(A347="","",COUNTIF('Holdings'!$A$4:$A$2503,A347))</f>
        <v/>
      </c>
      <c r="G347" s="30">
        <f>IF(A347="","",COUNTIF('Access'!$B$4:$B$1503,A347))</f>
        <v/>
      </c>
      <c r="H347" s="30">
        <f>IF(A347="","",IF(COUNTIF($A$4:$A$1003,A347)&gt;1,"Duplicate holder ID",IF(OR(B347="",C347=""),"Missing required field",IF(F347=0,"No holdings",IF(AND(G347=0,A347&lt;&gt;"LKB-GROUP"),"No login (ok if not invited)","OK")))))</f>
        <v/>
      </c>
    </row>
    <row r="348">
      <c r="A348" s="26" t="n"/>
      <c r="B348" s="26" t="n"/>
      <c r="C348" s="26" t="n"/>
      <c r="D348" s="26" t="n"/>
      <c r="E348" s="26" t="n"/>
      <c r="F348" s="30">
        <f>IF(A348="","",COUNTIF('Holdings'!$A$4:$A$2503,A348))</f>
        <v/>
      </c>
      <c r="G348" s="30">
        <f>IF(A348="","",COUNTIF('Access'!$B$4:$B$1503,A348))</f>
        <v/>
      </c>
      <c r="H348" s="30">
        <f>IF(A348="","",IF(COUNTIF($A$4:$A$1003,A348)&gt;1,"Duplicate holder ID",IF(OR(B348="",C348=""),"Missing required field",IF(F348=0,"No holdings",IF(AND(G348=0,A348&lt;&gt;"LKB-GROUP"),"No login (ok if not invited)","OK")))))</f>
        <v/>
      </c>
    </row>
    <row r="349">
      <c r="A349" s="26" t="n"/>
      <c r="B349" s="26" t="n"/>
      <c r="C349" s="26" t="n"/>
      <c r="D349" s="26" t="n"/>
      <c r="E349" s="26" t="n"/>
      <c r="F349" s="30">
        <f>IF(A349="","",COUNTIF('Holdings'!$A$4:$A$2503,A349))</f>
        <v/>
      </c>
      <c r="G349" s="30">
        <f>IF(A349="","",COUNTIF('Access'!$B$4:$B$1503,A349))</f>
        <v/>
      </c>
      <c r="H349" s="30">
        <f>IF(A349="","",IF(COUNTIF($A$4:$A$1003,A349)&gt;1,"Duplicate holder ID",IF(OR(B349="",C349=""),"Missing required field",IF(F349=0,"No holdings",IF(AND(G349=0,A349&lt;&gt;"LKB-GROUP"),"No login (ok if not invited)","OK")))))</f>
        <v/>
      </c>
    </row>
    <row r="350">
      <c r="A350" s="26" t="n"/>
      <c r="B350" s="26" t="n"/>
      <c r="C350" s="26" t="n"/>
      <c r="D350" s="26" t="n"/>
      <c r="E350" s="26" t="n"/>
      <c r="F350" s="30">
        <f>IF(A350="","",COUNTIF('Holdings'!$A$4:$A$2503,A350))</f>
        <v/>
      </c>
      <c r="G350" s="30">
        <f>IF(A350="","",COUNTIF('Access'!$B$4:$B$1503,A350))</f>
        <v/>
      </c>
      <c r="H350" s="30">
        <f>IF(A350="","",IF(COUNTIF($A$4:$A$1003,A350)&gt;1,"Duplicate holder ID",IF(OR(B350="",C350=""),"Missing required field",IF(F350=0,"No holdings",IF(AND(G350=0,A350&lt;&gt;"LKB-GROUP"),"No login (ok if not invited)","OK")))))</f>
        <v/>
      </c>
    </row>
    <row r="351">
      <c r="A351" s="26" t="n"/>
      <c r="B351" s="26" t="n"/>
      <c r="C351" s="26" t="n"/>
      <c r="D351" s="26" t="n"/>
      <c r="E351" s="26" t="n"/>
      <c r="F351" s="30">
        <f>IF(A351="","",COUNTIF('Holdings'!$A$4:$A$2503,A351))</f>
        <v/>
      </c>
      <c r="G351" s="30">
        <f>IF(A351="","",COUNTIF('Access'!$B$4:$B$1503,A351))</f>
        <v/>
      </c>
      <c r="H351" s="30">
        <f>IF(A351="","",IF(COUNTIF($A$4:$A$1003,A351)&gt;1,"Duplicate holder ID",IF(OR(B351="",C351=""),"Missing required field",IF(F351=0,"No holdings",IF(AND(G351=0,A351&lt;&gt;"LKB-GROUP"),"No login (ok if not invited)","OK")))))</f>
        <v/>
      </c>
    </row>
    <row r="352">
      <c r="A352" s="26" t="n"/>
      <c r="B352" s="26" t="n"/>
      <c r="C352" s="26" t="n"/>
      <c r="D352" s="26" t="n"/>
      <c r="E352" s="26" t="n"/>
      <c r="F352" s="30">
        <f>IF(A352="","",COUNTIF('Holdings'!$A$4:$A$2503,A352))</f>
        <v/>
      </c>
      <c r="G352" s="30">
        <f>IF(A352="","",COUNTIF('Access'!$B$4:$B$1503,A352))</f>
        <v/>
      </c>
      <c r="H352" s="30">
        <f>IF(A352="","",IF(COUNTIF($A$4:$A$1003,A352)&gt;1,"Duplicate holder ID",IF(OR(B352="",C352=""),"Missing required field",IF(F352=0,"No holdings",IF(AND(G352=0,A352&lt;&gt;"LKB-GROUP"),"No login (ok if not invited)","OK")))))</f>
        <v/>
      </c>
    </row>
    <row r="353">
      <c r="A353" s="26" t="n"/>
      <c r="B353" s="26" t="n"/>
      <c r="C353" s="26" t="n"/>
      <c r="D353" s="26" t="n"/>
      <c r="E353" s="26" t="n"/>
      <c r="F353" s="30">
        <f>IF(A353="","",COUNTIF('Holdings'!$A$4:$A$2503,A353))</f>
        <v/>
      </c>
      <c r="G353" s="30">
        <f>IF(A353="","",COUNTIF('Access'!$B$4:$B$1503,A353))</f>
        <v/>
      </c>
      <c r="H353" s="30">
        <f>IF(A353="","",IF(COUNTIF($A$4:$A$1003,A353)&gt;1,"Duplicate holder ID",IF(OR(B353="",C353=""),"Missing required field",IF(F353=0,"No holdings",IF(AND(G353=0,A353&lt;&gt;"LKB-GROUP"),"No login (ok if not invited)","OK")))))</f>
        <v/>
      </c>
    </row>
    <row r="354">
      <c r="A354" s="26" t="n"/>
      <c r="B354" s="26" t="n"/>
      <c r="C354" s="26" t="n"/>
      <c r="D354" s="26" t="n"/>
      <c r="E354" s="26" t="n"/>
      <c r="F354" s="30">
        <f>IF(A354="","",COUNTIF('Holdings'!$A$4:$A$2503,A354))</f>
        <v/>
      </c>
      <c r="G354" s="30">
        <f>IF(A354="","",COUNTIF('Access'!$B$4:$B$1503,A354))</f>
        <v/>
      </c>
      <c r="H354" s="30">
        <f>IF(A354="","",IF(COUNTIF($A$4:$A$1003,A354)&gt;1,"Duplicate holder ID",IF(OR(B354="",C354=""),"Missing required field",IF(F354=0,"No holdings",IF(AND(G354=0,A354&lt;&gt;"LKB-GROUP"),"No login (ok if not invited)","OK")))))</f>
        <v/>
      </c>
    </row>
    <row r="355">
      <c r="A355" s="26" t="n"/>
      <c r="B355" s="26" t="n"/>
      <c r="C355" s="26" t="n"/>
      <c r="D355" s="26" t="n"/>
      <c r="E355" s="26" t="n"/>
      <c r="F355" s="30">
        <f>IF(A355="","",COUNTIF('Holdings'!$A$4:$A$2503,A355))</f>
        <v/>
      </c>
      <c r="G355" s="30">
        <f>IF(A355="","",COUNTIF('Access'!$B$4:$B$1503,A355))</f>
        <v/>
      </c>
      <c r="H355" s="30">
        <f>IF(A355="","",IF(COUNTIF($A$4:$A$1003,A355)&gt;1,"Duplicate holder ID",IF(OR(B355="",C355=""),"Missing required field",IF(F355=0,"No holdings",IF(AND(G355=0,A355&lt;&gt;"LKB-GROUP"),"No login (ok if not invited)","OK")))))</f>
        <v/>
      </c>
    </row>
    <row r="356">
      <c r="A356" s="26" t="n"/>
      <c r="B356" s="26" t="n"/>
      <c r="C356" s="26" t="n"/>
      <c r="D356" s="26" t="n"/>
      <c r="E356" s="26" t="n"/>
      <c r="F356" s="30">
        <f>IF(A356="","",COUNTIF('Holdings'!$A$4:$A$2503,A356))</f>
        <v/>
      </c>
      <c r="G356" s="30">
        <f>IF(A356="","",COUNTIF('Access'!$B$4:$B$1503,A356))</f>
        <v/>
      </c>
      <c r="H356" s="30">
        <f>IF(A356="","",IF(COUNTIF($A$4:$A$1003,A356)&gt;1,"Duplicate holder ID",IF(OR(B356="",C356=""),"Missing required field",IF(F356=0,"No holdings",IF(AND(G356=0,A356&lt;&gt;"LKB-GROUP"),"No login (ok if not invited)","OK")))))</f>
        <v/>
      </c>
    </row>
    <row r="357">
      <c r="A357" s="26" t="n"/>
      <c r="B357" s="26" t="n"/>
      <c r="C357" s="26" t="n"/>
      <c r="D357" s="26" t="n"/>
      <c r="E357" s="26" t="n"/>
      <c r="F357" s="30">
        <f>IF(A357="","",COUNTIF('Holdings'!$A$4:$A$2503,A357))</f>
        <v/>
      </c>
      <c r="G357" s="30">
        <f>IF(A357="","",COUNTIF('Access'!$B$4:$B$1503,A357))</f>
        <v/>
      </c>
      <c r="H357" s="30">
        <f>IF(A357="","",IF(COUNTIF($A$4:$A$1003,A357)&gt;1,"Duplicate holder ID",IF(OR(B357="",C357=""),"Missing required field",IF(F357=0,"No holdings",IF(AND(G357=0,A357&lt;&gt;"LKB-GROUP"),"No login (ok if not invited)","OK")))))</f>
        <v/>
      </c>
    </row>
    <row r="358">
      <c r="A358" s="26" t="n"/>
      <c r="B358" s="26" t="n"/>
      <c r="C358" s="26" t="n"/>
      <c r="D358" s="26" t="n"/>
      <c r="E358" s="26" t="n"/>
      <c r="F358" s="30">
        <f>IF(A358="","",COUNTIF('Holdings'!$A$4:$A$2503,A358))</f>
        <v/>
      </c>
      <c r="G358" s="30">
        <f>IF(A358="","",COUNTIF('Access'!$B$4:$B$1503,A358))</f>
        <v/>
      </c>
      <c r="H358" s="30">
        <f>IF(A358="","",IF(COUNTIF($A$4:$A$1003,A358)&gt;1,"Duplicate holder ID",IF(OR(B358="",C358=""),"Missing required field",IF(F358=0,"No holdings",IF(AND(G358=0,A358&lt;&gt;"LKB-GROUP"),"No login (ok if not invited)","OK")))))</f>
        <v/>
      </c>
    </row>
    <row r="359">
      <c r="A359" s="26" t="n"/>
      <c r="B359" s="26" t="n"/>
      <c r="C359" s="26" t="n"/>
      <c r="D359" s="26" t="n"/>
      <c r="E359" s="26" t="n"/>
      <c r="F359" s="30">
        <f>IF(A359="","",COUNTIF('Holdings'!$A$4:$A$2503,A359))</f>
        <v/>
      </c>
      <c r="G359" s="30">
        <f>IF(A359="","",COUNTIF('Access'!$B$4:$B$1503,A359))</f>
        <v/>
      </c>
      <c r="H359" s="30">
        <f>IF(A359="","",IF(COUNTIF($A$4:$A$1003,A359)&gt;1,"Duplicate holder ID",IF(OR(B359="",C359=""),"Missing required field",IF(F359=0,"No holdings",IF(AND(G359=0,A359&lt;&gt;"LKB-GROUP"),"No login (ok if not invited)","OK")))))</f>
        <v/>
      </c>
    </row>
    <row r="360">
      <c r="A360" s="26" t="n"/>
      <c r="B360" s="26" t="n"/>
      <c r="C360" s="26" t="n"/>
      <c r="D360" s="26" t="n"/>
      <c r="E360" s="26" t="n"/>
      <c r="F360" s="30">
        <f>IF(A360="","",COUNTIF('Holdings'!$A$4:$A$2503,A360))</f>
        <v/>
      </c>
      <c r="G360" s="30">
        <f>IF(A360="","",COUNTIF('Access'!$B$4:$B$1503,A360))</f>
        <v/>
      </c>
      <c r="H360" s="30">
        <f>IF(A360="","",IF(COUNTIF($A$4:$A$1003,A360)&gt;1,"Duplicate holder ID",IF(OR(B360="",C360=""),"Missing required field",IF(F360=0,"No holdings",IF(AND(G360=0,A360&lt;&gt;"LKB-GROUP"),"No login (ok if not invited)","OK")))))</f>
        <v/>
      </c>
    </row>
    <row r="361">
      <c r="A361" s="26" t="n"/>
      <c r="B361" s="26" t="n"/>
      <c r="C361" s="26" t="n"/>
      <c r="D361" s="26" t="n"/>
      <c r="E361" s="26" t="n"/>
      <c r="F361" s="30">
        <f>IF(A361="","",COUNTIF('Holdings'!$A$4:$A$2503,A361))</f>
        <v/>
      </c>
      <c r="G361" s="30">
        <f>IF(A361="","",COUNTIF('Access'!$B$4:$B$1503,A361))</f>
        <v/>
      </c>
      <c r="H361" s="30">
        <f>IF(A361="","",IF(COUNTIF($A$4:$A$1003,A361)&gt;1,"Duplicate holder ID",IF(OR(B361="",C361=""),"Missing required field",IF(F361=0,"No holdings",IF(AND(G361=0,A361&lt;&gt;"LKB-GROUP"),"No login (ok if not invited)","OK")))))</f>
        <v/>
      </c>
    </row>
    <row r="362">
      <c r="A362" s="26" t="n"/>
      <c r="B362" s="26" t="n"/>
      <c r="C362" s="26" t="n"/>
      <c r="D362" s="26" t="n"/>
      <c r="E362" s="26" t="n"/>
      <c r="F362" s="30">
        <f>IF(A362="","",COUNTIF('Holdings'!$A$4:$A$2503,A362))</f>
        <v/>
      </c>
      <c r="G362" s="30">
        <f>IF(A362="","",COUNTIF('Access'!$B$4:$B$1503,A362))</f>
        <v/>
      </c>
      <c r="H362" s="30">
        <f>IF(A362="","",IF(COUNTIF($A$4:$A$1003,A362)&gt;1,"Duplicate holder ID",IF(OR(B362="",C362=""),"Missing required field",IF(F362=0,"No holdings",IF(AND(G362=0,A362&lt;&gt;"LKB-GROUP"),"No login (ok if not invited)","OK")))))</f>
        <v/>
      </c>
    </row>
    <row r="363">
      <c r="A363" s="26" t="n"/>
      <c r="B363" s="26" t="n"/>
      <c r="C363" s="26" t="n"/>
      <c r="D363" s="26" t="n"/>
      <c r="E363" s="26" t="n"/>
      <c r="F363" s="30">
        <f>IF(A363="","",COUNTIF('Holdings'!$A$4:$A$2503,A363))</f>
        <v/>
      </c>
      <c r="G363" s="30">
        <f>IF(A363="","",COUNTIF('Access'!$B$4:$B$1503,A363))</f>
        <v/>
      </c>
      <c r="H363" s="30">
        <f>IF(A363="","",IF(COUNTIF($A$4:$A$1003,A363)&gt;1,"Duplicate holder ID",IF(OR(B363="",C363=""),"Missing required field",IF(F363=0,"No holdings",IF(AND(G363=0,A363&lt;&gt;"LKB-GROUP"),"No login (ok if not invited)","OK")))))</f>
        <v/>
      </c>
    </row>
    <row r="364">
      <c r="A364" s="26" t="n"/>
      <c r="B364" s="26" t="n"/>
      <c r="C364" s="26" t="n"/>
      <c r="D364" s="26" t="n"/>
      <c r="E364" s="26" t="n"/>
      <c r="F364" s="30">
        <f>IF(A364="","",COUNTIF('Holdings'!$A$4:$A$2503,A364))</f>
        <v/>
      </c>
      <c r="G364" s="30">
        <f>IF(A364="","",COUNTIF('Access'!$B$4:$B$1503,A364))</f>
        <v/>
      </c>
      <c r="H364" s="30">
        <f>IF(A364="","",IF(COUNTIF($A$4:$A$1003,A364)&gt;1,"Duplicate holder ID",IF(OR(B364="",C364=""),"Missing required field",IF(F364=0,"No holdings",IF(AND(G364=0,A364&lt;&gt;"LKB-GROUP"),"No login (ok if not invited)","OK")))))</f>
        <v/>
      </c>
    </row>
    <row r="365">
      <c r="A365" s="26" t="n"/>
      <c r="B365" s="26" t="n"/>
      <c r="C365" s="26" t="n"/>
      <c r="D365" s="26" t="n"/>
      <c r="E365" s="26" t="n"/>
      <c r="F365" s="30">
        <f>IF(A365="","",COUNTIF('Holdings'!$A$4:$A$2503,A365))</f>
        <v/>
      </c>
      <c r="G365" s="30">
        <f>IF(A365="","",COUNTIF('Access'!$B$4:$B$1503,A365))</f>
        <v/>
      </c>
      <c r="H365" s="30">
        <f>IF(A365="","",IF(COUNTIF($A$4:$A$1003,A365)&gt;1,"Duplicate holder ID",IF(OR(B365="",C365=""),"Missing required field",IF(F365=0,"No holdings",IF(AND(G365=0,A365&lt;&gt;"LKB-GROUP"),"No login (ok if not invited)","OK")))))</f>
        <v/>
      </c>
    </row>
    <row r="366">
      <c r="A366" s="26" t="n"/>
      <c r="B366" s="26" t="n"/>
      <c r="C366" s="26" t="n"/>
      <c r="D366" s="26" t="n"/>
      <c r="E366" s="26" t="n"/>
      <c r="F366" s="30">
        <f>IF(A366="","",COUNTIF('Holdings'!$A$4:$A$2503,A366))</f>
        <v/>
      </c>
      <c r="G366" s="30">
        <f>IF(A366="","",COUNTIF('Access'!$B$4:$B$1503,A366))</f>
        <v/>
      </c>
      <c r="H366" s="30">
        <f>IF(A366="","",IF(COUNTIF($A$4:$A$1003,A366)&gt;1,"Duplicate holder ID",IF(OR(B366="",C366=""),"Missing required field",IF(F366=0,"No holdings",IF(AND(G366=0,A366&lt;&gt;"LKB-GROUP"),"No login (ok if not invited)","OK")))))</f>
        <v/>
      </c>
    </row>
    <row r="367">
      <c r="A367" s="26" t="n"/>
      <c r="B367" s="26" t="n"/>
      <c r="C367" s="26" t="n"/>
      <c r="D367" s="26" t="n"/>
      <c r="E367" s="26" t="n"/>
      <c r="F367" s="30">
        <f>IF(A367="","",COUNTIF('Holdings'!$A$4:$A$2503,A367))</f>
        <v/>
      </c>
      <c r="G367" s="30">
        <f>IF(A367="","",COUNTIF('Access'!$B$4:$B$1503,A367))</f>
        <v/>
      </c>
      <c r="H367" s="30">
        <f>IF(A367="","",IF(COUNTIF($A$4:$A$1003,A367)&gt;1,"Duplicate holder ID",IF(OR(B367="",C367=""),"Missing required field",IF(F367=0,"No holdings",IF(AND(G367=0,A367&lt;&gt;"LKB-GROUP"),"No login (ok if not invited)","OK")))))</f>
        <v/>
      </c>
    </row>
    <row r="368">
      <c r="A368" s="26" t="n"/>
      <c r="B368" s="26" t="n"/>
      <c r="C368" s="26" t="n"/>
      <c r="D368" s="26" t="n"/>
      <c r="E368" s="26" t="n"/>
      <c r="F368" s="30">
        <f>IF(A368="","",COUNTIF('Holdings'!$A$4:$A$2503,A368))</f>
        <v/>
      </c>
      <c r="G368" s="30">
        <f>IF(A368="","",COUNTIF('Access'!$B$4:$B$1503,A368))</f>
        <v/>
      </c>
      <c r="H368" s="30">
        <f>IF(A368="","",IF(COUNTIF($A$4:$A$1003,A368)&gt;1,"Duplicate holder ID",IF(OR(B368="",C368=""),"Missing required field",IF(F368=0,"No holdings",IF(AND(G368=0,A368&lt;&gt;"LKB-GROUP"),"No login (ok if not invited)","OK")))))</f>
        <v/>
      </c>
    </row>
    <row r="369">
      <c r="A369" s="26" t="n"/>
      <c r="B369" s="26" t="n"/>
      <c r="C369" s="26" t="n"/>
      <c r="D369" s="26" t="n"/>
      <c r="E369" s="26" t="n"/>
      <c r="F369" s="30">
        <f>IF(A369="","",COUNTIF('Holdings'!$A$4:$A$2503,A369))</f>
        <v/>
      </c>
      <c r="G369" s="30">
        <f>IF(A369="","",COUNTIF('Access'!$B$4:$B$1503,A369))</f>
        <v/>
      </c>
      <c r="H369" s="30">
        <f>IF(A369="","",IF(COUNTIF($A$4:$A$1003,A369)&gt;1,"Duplicate holder ID",IF(OR(B369="",C369=""),"Missing required field",IF(F369=0,"No holdings",IF(AND(G369=0,A369&lt;&gt;"LKB-GROUP"),"No login (ok if not invited)","OK")))))</f>
        <v/>
      </c>
    </row>
    <row r="370">
      <c r="A370" s="26" t="n"/>
      <c r="B370" s="26" t="n"/>
      <c r="C370" s="26" t="n"/>
      <c r="D370" s="26" t="n"/>
      <c r="E370" s="26" t="n"/>
      <c r="F370" s="30">
        <f>IF(A370="","",COUNTIF('Holdings'!$A$4:$A$2503,A370))</f>
        <v/>
      </c>
      <c r="G370" s="30">
        <f>IF(A370="","",COUNTIF('Access'!$B$4:$B$1503,A370))</f>
        <v/>
      </c>
      <c r="H370" s="30">
        <f>IF(A370="","",IF(COUNTIF($A$4:$A$1003,A370)&gt;1,"Duplicate holder ID",IF(OR(B370="",C370=""),"Missing required field",IF(F370=0,"No holdings",IF(AND(G370=0,A370&lt;&gt;"LKB-GROUP"),"No login (ok if not invited)","OK")))))</f>
        <v/>
      </c>
    </row>
    <row r="371">
      <c r="A371" s="26" t="n"/>
      <c r="B371" s="26" t="n"/>
      <c r="C371" s="26" t="n"/>
      <c r="D371" s="26" t="n"/>
      <c r="E371" s="26" t="n"/>
      <c r="F371" s="30">
        <f>IF(A371="","",COUNTIF('Holdings'!$A$4:$A$2503,A371))</f>
        <v/>
      </c>
      <c r="G371" s="30">
        <f>IF(A371="","",COUNTIF('Access'!$B$4:$B$1503,A371))</f>
        <v/>
      </c>
      <c r="H371" s="30">
        <f>IF(A371="","",IF(COUNTIF($A$4:$A$1003,A371)&gt;1,"Duplicate holder ID",IF(OR(B371="",C371=""),"Missing required field",IF(F371=0,"No holdings",IF(AND(G371=0,A371&lt;&gt;"LKB-GROUP"),"No login (ok if not invited)","OK")))))</f>
        <v/>
      </c>
    </row>
    <row r="372">
      <c r="A372" s="26" t="n"/>
      <c r="B372" s="26" t="n"/>
      <c r="C372" s="26" t="n"/>
      <c r="D372" s="26" t="n"/>
      <c r="E372" s="26" t="n"/>
      <c r="F372" s="30">
        <f>IF(A372="","",COUNTIF('Holdings'!$A$4:$A$2503,A372))</f>
        <v/>
      </c>
      <c r="G372" s="30">
        <f>IF(A372="","",COUNTIF('Access'!$B$4:$B$1503,A372))</f>
        <v/>
      </c>
      <c r="H372" s="30">
        <f>IF(A372="","",IF(COUNTIF($A$4:$A$1003,A372)&gt;1,"Duplicate holder ID",IF(OR(B372="",C372=""),"Missing required field",IF(F372=0,"No holdings",IF(AND(G372=0,A372&lt;&gt;"LKB-GROUP"),"No login (ok if not invited)","OK")))))</f>
        <v/>
      </c>
    </row>
    <row r="373">
      <c r="A373" s="26" t="n"/>
      <c r="B373" s="26" t="n"/>
      <c r="C373" s="26" t="n"/>
      <c r="D373" s="26" t="n"/>
      <c r="E373" s="26" t="n"/>
      <c r="F373" s="30">
        <f>IF(A373="","",COUNTIF('Holdings'!$A$4:$A$2503,A373))</f>
        <v/>
      </c>
      <c r="G373" s="30">
        <f>IF(A373="","",COUNTIF('Access'!$B$4:$B$1503,A373))</f>
        <v/>
      </c>
      <c r="H373" s="30">
        <f>IF(A373="","",IF(COUNTIF($A$4:$A$1003,A373)&gt;1,"Duplicate holder ID",IF(OR(B373="",C373=""),"Missing required field",IF(F373=0,"No holdings",IF(AND(G373=0,A373&lt;&gt;"LKB-GROUP"),"No login (ok if not invited)","OK")))))</f>
        <v/>
      </c>
    </row>
    <row r="374">
      <c r="A374" s="26" t="n"/>
      <c r="B374" s="26" t="n"/>
      <c r="C374" s="26" t="n"/>
      <c r="D374" s="26" t="n"/>
      <c r="E374" s="26" t="n"/>
      <c r="F374" s="30">
        <f>IF(A374="","",COUNTIF('Holdings'!$A$4:$A$2503,A374))</f>
        <v/>
      </c>
      <c r="G374" s="30">
        <f>IF(A374="","",COUNTIF('Access'!$B$4:$B$1503,A374))</f>
        <v/>
      </c>
      <c r="H374" s="30">
        <f>IF(A374="","",IF(COUNTIF($A$4:$A$1003,A374)&gt;1,"Duplicate holder ID",IF(OR(B374="",C374=""),"Missing required field",IF(F374=0,"No holdings",IF(AND(G374=0,A374&lt;&gt;"LKB-GROUP"),"No login (ok if not invited)","OK")))))</f>
        <v/>
      </c>
    </row>
    <row r="375">
      <c r="A375" s="26" t="n"/>
      <c r="B375" s="26" t="n"/>
      <c r="C375" s="26" t="n"/>
      <c r="D375" s="26" t="n"/>
      <c r="E375" s="26" t="n"/>
      <c r="F375" s="30">
        <f>IF(A375="","",COUNTIF('Holdings'!$A$4:$A$2503,A375))</f>
        <v/>
      </c>
      <c r="G375" s="30">
        <f>IF(A375="","",COUNTIF('Access'!$B$4:$B$1503,A375))</f>
        <v/>
      </c>
      <c r="H375" s="30">
        <f>IF(A375="","",IF(COUNTIF($A$4:$A$1003,A375)&gt;1,"Duplicate holder ID",IF(OR(B375="",C375=""),"Missing required field",IF(F375=0,"No holdings",IF(AND(G375=0,A375&lt;&gt;"LKB-GROUP"),"No login (ok if not invited)","OK")))))</f>
        <v/>
      </c>
    </row>
    <row r="376">
      <c r="A376" s="26" t="n"/>
      <c r="B376" s="26" t="n"/>
      <c r="C376" s="26" t="n"/>
      <c r="D376" s="26" t="n"/>
      <c r="E376" s="26" t="n"/>
      <c r="F376" s="30">
        <f>IF(A376="","",COUNTIF('Holdings'!$A$4:$A$2503,A376))</f>
        <v/>
      </c>
      <c r="G376" s="30">
        <f>IF(A376="","",COUNTIF('Access'!$B$4:$B$1503,A376))</f>
        <v/>
      </c>
      <c r="H376" s="30">
        <f>IF(A376="","",IF(COUNTIF($A$4:$A$1003,A376)&gt;1,"Duplicate holder ID",IF(OR(B376="",C376=""),"Missing required field",IF(F376=0,"No holdings",IF(AND(G376=0,A376&lt;&gt;"LKB-GROUP"),"No login (ok if not invited)","OK")))))</f>
        <v/>
      </c>
    </row>
    <row r="377">
      <c r="A377" s="26" t="n"/>
      <c r="B377" s="26" t="n"/>
      <c r="C377" s="26" t="n"/>
      <c r="D377" s="26" t="n"/>
      <c r="E377" s="26" t="n"/>
      <c r="F377" s="30">
        <f>IF(A377="","",COUNTIF('Holdings'!$A$4:$A$2503,A377))</f>
        <v/>
      </c>
      <c r="G377" s="30">
        <f>IF(A377="","",COUNTIF('Access'!$B$4:$B$1503,A377))</f>
        <v/>
      </c>
      <c r="H377" s="30">
        <f>IF(A377="","",IF(COUNTIF($A$4:$A$1003,A377)&gt;1,"Duplicate holder ID",IF(OR(B377="",C377=""),"Missing required field",IF(F377=0,"No holdings",IF(AND(G377=0,A377&lt;&gt;"LKB-GROUP"),"No login (ok if not invited)","OK")))))</f>
        <v/>
      </c>
    </row>
    <row r="378">
      <c r="A378" s="26" t="n"/>
      <c r="B378" s="26" t="n"/>
      <c r="C378" s="26" t="n"/>
      <c r="D378" s="26" t="n"/>
      <c r="E378" s="26" t="n"/>
      <c r="F378" s="30">
        <f>IF(A378="","",COUNTIF('Holdings'!$A$4:$A$2503,A378))</f>
        <v/>
      </c>
      <c r="G378" s="30">
        <f>IF(A378="","",COUNTIF('Access'!$B$4:$B$1503,A378))</f>
        <v/>
      </c>
      <c r="H378" s="30">
        <f>IF(A378="","",IF(COUNTIF($A$4:$A$1003,A378)&gt;1,"Duplicate holder ID",IF(OR(B378="",C378=""),"Missing required field",IF(F378=0,"No holdings",IF(AND(G378=0,A378&lt;&gt;"LKB-GROUP"),"No login (ok if not invited)","OK")))))</f>
        <v/>
      </c>
    </row>
    <row r="379">
      <c r="A379" s="26" t="n"/>
      <c r="B379" s="26" t="n"/>
      <c r="C379" s="26" t="n"/>
      <c r="D379" s="26" t="n"/>
      <c r="E379" s="26" t="n"/>
      <c r="F379" s="30">
        <f>IF(A379="","",COUNTIF('Holdings'!$A$4:$A$2503,A379))</f>
        <v/>
      </c>
      <c r="G379" s="30">
        <f>IF(A379="","",COUNTIF('Access'!$B$4:$B$1503,A379))</f>
        <v/>
      </c>
      <c r="H379" s="30">
        <f>IF(A379="","",IF(COUNTIF($A$4:$A$1003,A379)&gt;1,"Duplicate holder ID",IF(OR(B379="",C379=""),"Missing required field",IF(F379=0,"No holdings",IF(AND(G379=0,A379&lt;&gt;"LKB-GROUP"),"No login (ok if not invited)","OK")))))</f>
        <v/>
      </c>
    </row>
    <row r="380">
      <c r="A380" s="26" t="n"/>
      <c r="B380" s="26" t="n"/>
      <c r="C380" s="26" t="n"/>
      <c r="D380" s="26" t="n"/>
      <c r="E380" s="26" t="n"/>
      <c r="F380" s="30">
        <f>IF(A380="","",COUNTIF('Holdings'!$A$4:$A$2503,A380))</f>
        <v/>
      </c>
      <c r="G380" s="30">
        <f>IF(A380="","",COUNTIF('Access'!$B$4:$B$1503,A380))</f>
        <v/>
      </c>
      <c r="H380" s="30">
        <f>IF(A380="","",IF(COUNTIF($A$4:$A$1003,A380)&gt;1,"Duplicate holder ID",IF(OR(B380="",C380=""),"Missing required field",IF(F380=0,"No holdings",IF(AND(G380=0,A380&lt;&gt;"LKB-GROUP"),"No login (ok if not invited)","OK")))))</f>
        <v/>
      </c>
    </row>
    <row r="381">
      <c r="A381" s="26" t="n"/>
      <c r="B381" s="26" t="n"/>
      <c r="C381" s="26" t="n"/>
      <c r="D381" s="26" t="n"/>
      <c r="E381" s="26" t="n"/>
      <c r="F381" s="30">
        <f>IF(A381="","",COUNTIF('Holdings'!$A$4:$A$2503,A381))</f>
        <v/>
      </c>
      <c r="G381" s="30">
        <f>IF(A381="","",COUNTIF('Access'!$B$4:$B$1503,A381))</f>
        <v/>
      </c>
      <c r="H381" s="30">
        <f>IF(A381="","",IF(COUNTIF($A$4:$A$1003,A381)&gt;1,"Duplicate holder ID",IF(OR(B381="",C381=""),"Missing required field",IF(F381=0,"No holdings",IF(AND(G381=0,A381&lt;&gt;"LKB-GROUP"),"No login (ok if not invited)","OK")))))</f>
        <v/>
      </c>
    </row>
    <row r="382">
      <c r="A382" s="26" t="n"/>
      <c r="B382" s="26" t="n"/>
      <c r="C382" s="26" t="n"/>
      <c r="D382" s="26" t="n"/>
      <c r="E382" s="26" t="n"/>
      <c r="F382" s="30">
        <f>IF(A382="","",COUNTIF('Holdings'!$A$4:$A$2503,A382))</f>
        <v/>
      </c>
      <c r="G382" s="30">
        <f>IF(A382="","",COUNTIF('Access'!$B$4:$B$1503,A382))</f>
        <v/>
      </c>
      <c r="H382" s="30">
        <f>IF(A382="","",IF(COUNTIF($A$4:$A$1003,A382)&gt;1,"Duplicate holder ID",IF(OR(B382="",C382=""),"Missing required field",IF(F382=0,"No holdings",IF(AND(G382=0,A382&lt;&gt;"LKB-GROUP"),"No login (ok if not invited)","OK")))))</f>
        <v/>
      </c>
    </row>
    <row r="383">
      <c r="A383" s="26" t="n"/>
      <c r="B383" s="26" t="n"/>
      <c r="C383" s="26" t="n"/>
      <c r="D383" s="26" t="n"/>
      <c r="E383" s="26" t="n"/>
      <c r="F383" s="30">
        <f>IF(A383="","",COUNTIF('Holdings'!$A$4:$A$2503,A383))</f>
        <v/>
      </c>
      <c r="G383" s="30">
        <f>IF(A383="","",COUNTIF('Access'!$B$4:$B$1503,A383))</f>
        <v/>
      </c>
      <c r="H383" s="30">
        <f>IF(A383="","",IF(COUNTIF($A$4:$A$1003,A383)&gt;1,"Duplicate holder ID",IF(OR(B383="",C383=""),"Missing required field",IF(F383=0,"No holdings",IF(AND(G383=0,A383&lt;&gt;"LKB-GROUP"),"No login (ok if not invited)","OK")))))</f>
        <v/>
      </c>
    </row>
    <row r="384">
      <c r="A384" s="26" t="n"/>
      <c r="B384" s="26" t="n"/>
      <c r="C384" s="26" t="n"/>
      <c r="D384" s="26" t="n"/>
      <c r="E384" s="26" t="n"/>
      <c r="F384" s="30">
        <f>IF(A384="","",COUNTIF('Holdings'!$A$4:$A$2503,A384))</f>
        <v/>
      </c>
      <c r="G384" s="30">
        <f>IF(A384="","",COUNTIF('Access'!$B$4:$B$1503,A384))</f>
        <v/>
      </c>
      <c r="H384" s="30">
        <f>IF(A384="","",IF(COUNTIF($A$4:$A$1003,A384)&gt;1,"Duplicate holder ID",IF(OR(B384="",C384=""),"Missing required field",IF(F384=0,"No holdings",IF(AND(G384=0,A384&lt;&gt;"LKB-GROUP"),"No login (ok if not invited)","OK")))))</f>
        <v/>
      </c>
    </row>
    <row r="385">
      <c r="A385" s="26" t="n"/>
      <c r="B385" s="26" t="n"/>
      <c r="C385" s="26" t="n"/>
      <c r="D385" s="26" t="n"/>
      <c r="E385" s="26" t="n"/>
      <c r="F385" s="30">
        <f>IF(A385="","",COUNTIF('Holdings'!$A$4:$A$2503,A385))</f>
        <v/>
      </c>
      <c r="G385" s="30">
        <f>IF(A385="","",COUNTIF('Access'!$B$4:$B$1503,A385))</f>
        <v/>
      </c>
      <c r="H385" s="30">
        <f>IF(A385="","",IF(COUNTIF($A$4:$A$1003,A385)&gt;1,"Duplicate holder ID",IF(OR(B385="",C385=""),"Missing required field",IF(F385=0,"No holdings",IF(AND(G385=0,A385&lt;&gt;"LKB-GROUP"),"No login (ok if not invited)","OK")))))</f>
        <v/>
      </c>
    </row>
    <row r="386">
      <c r="A386" s="26" t="n"/>
      <c r="B386" s="26" t="n"/>
      <c r="C386" s="26" t="n"/>
      <c r="D386" s="26" t="n"/>
      <c r="E386" s="26" t="n"/>
      <c r="F386" s="30">
        <f>IF(A386="","",COUNTIF('Holdings'!$A$4:$A$2503,A386))</f>
        <v/>
      </c>
      <c r="G386" s="30">
        <f>IF(A386="","",COUNTIF('Access'!$B$4:$B$1503,A386))</f>
        <v/>
      </c>
      <c r="H386" s="30">
        <f>IF(A386="","",IF(COUNTIF($A$4:$A$1003,A386)&gt;1,"Duplicate holder ID",IF(OR(B386="",C386=""),"Missing required field",IF(F386=0,"No holdings",IF(AND(G386=0,A386&lt;&gt;"LKB-GROUP"),"No login (ok if not invited)","OK")))))</f>
        <v/>
      </c>
    </row>
    <row r="387">
      <c r="A387" s="26" t="n"/>
      <c r="B387" s="26" t="n"/>
      <c r="C387" s="26" t="n"/>
      <c r="D387" s="26" t="n"/>
      <c r="E387" s="26" t="n"/>
      <c r="F387" s="30">
        <f>IF(A387="","",COUNTIF('Holdings'!$A$4:$A$2503,A387))</f>
        <v/>
      </c>
      <c r="G387" s="30">
        <f>IF(A387="","",COUNTIF('Access'!$B$4:$B$1503,A387))</f>
        <v/>
      </c>
      <c r="H387" s="30">
        <f>IF(A387="","",IF(COUNTIF($A$4:$A$1003,A387)&gt;1,"Duplicate holder ID",IF(OR(B387="",C387=""),"Missing required field",IF(F387=0,"No holdings",IF(AND(G387=0,A387&lt;&gt;"LKB-GROUP"),"No login (ok if not invited)","OK")))))</f>
        <v/>
      </c>
    </row>
    <row r="388">
      <c r="A388" s="26" t="n"/>
      <c r="B388" s="26" t="n"/>
      <c r="C388" s="26" t="n"/>
      <c r="D388" s="26" t="n"/>
      <c r="E388" s="26" t="n"/>
      <c r="F388" s="30">
        <f>IF(A388="","",COUNTIF('Holdings'!$A$4:$A$2503,A388))</f>
        <v/>
      </c>
      <c r="G388" s="30">
        <f>IF(A388="","",COUNTIF('Access'!$B$4:$B$1503,A388))</f>
        <v/>
      </c>
      <c r="H388" s="30">
        <f>IF(A388="","",IF(COUNTIF($A$4:$A$1003,A388)&gt;1,"Duplicate holder ID",IF(OR(B388="",C388=""),"Missing required field",IF(F388=0,"No holdings",IF(AND(G388=0,A388&lt;&gt;"LKB-GROUP"),"No login (ok if not invited)","OK")))))</f>
        <v/>
      </c>
    </row>
    <row r="389">
      <c r="A389" s="26" t="n"/>
      <c r="B389" s="26" t="n"/>
      <c r="C389" s="26" t="n"/>
      <c r="D389" s="26" t="n"/>
      <c r="E389" s="26" t="n"/>
      <c r="F389" s="30">
        <f>IF(A389="","",COUNTIF('Holdings'!$A$4:$A$2503,A389))</f>
        <v/>
      </c>
      <c r="G389" s="30">
        <f>IF(A389="","",COUNTIF('Access'!$B$4:$B$1503,A389))</f>
        <v/>
      </c>
      <c r="H389" s="30">
        <f>IF(A389="","",IF(COUNTIF($A$4:$A$1003,A389)&gt;1,"Duplicate holder ID",IF(OR(B389="",C389=""),"Missing required field",IF(F389=0,"No holdings",IF(AND(G389=0,A389&lt;&gt;"LKB-GROUP"),"No login (ok if not invited)","OK")))))</f>
        <v/>
      </c>
    </row>
    <row r="390">
      <c r="A390" s="26" t="n"/>
      <c r="B390" s="26" t="n"/>
      <c r="C390" s="26" t="n"/>
      <c r="D390" s="26" t="n"/>
      <c r="E390" s="26" t="n"/>
      <c r="F390" s="30">
        <f>IF(A390="","",COUNTIF('Holdings'!$A$4:$A$2503,A390))</f>
        <v/>
      </c>
      <c r="G390" s="30">
        <f>IF(A390="","",COUNTIF('Access'!$B$4:$B$1503,A390))</f>
        <v/>
      </c>
      <c r="H390" s="30">
        <f>IF(A390="","",IF(COUNTIF($A$4:$A$1003,A390)&gt;1,"Duplicate holder ID",IF(OR(B390="",C390=""),"Missing required field",IF(F390=0,"No holdings",IF(AND(G390=0,A390&lt;&gt;"LKB-GROUP"),"No login (ok if not invited)","OK")))))</f>
        <v/>
      </c>
    </row>
    <row r="391">
      <c r="A391" s="26" t="n"/>
      <c r="B391" s="26" t="n"/>
      <c r="C391" s="26" t="n"/>
      <c r="D391" s="26" t="n"/>
      <c r="E391" s="26" t="n"/>
      <c r="F391" s="30">
        <f>IF(A391="","",COUNTIF('Holdings'!$A$4:$A$2503,A391))</f>
        <v/>
      </c>
      <c r="G391" s="30">
        <f>IF(A391="","",COUNTIF('Access'!$B$4:$B$1503,A391))</f>
        <v/>
      </c>
      <c r="H391" s="30">
        <f>IF(A391="","",IF(COUNTIF($A$4:$A$1003,A391)&gt;1,"Duplicate holder ID",IF(OR(B391="",C391=""),"Missing required field",IF(F391=0,"No holdings",IF(AND(G391=0,A391&lt;&gt;"LKB-GROUP"),"No login (ok if not invited)","OK")))))</f>
        <v/>
      </c>
    </row>
    <row r="392">
      <c r="A392" s="26" t="n"/>
      <c r="B392" s="26" t="n"/>
      <c r="C392" s="26" t="n"/>
      <c r="D392" s="26" t="n"/>
      <c r="E392" s="26" t="n"/>
      <c r="F392" s="30">
        <f>IF(A392="","",COUNTIF('Holdings'!$A$4:$A$2503,A392))</f>
        <v/>
      </c>
      <c r="G392" s="30">
        <f>IF(A392="","",COUNTIF('Access'!$B$4:$B$1503,A392))</f>
        <v/>
      </c>
      <c r="H392" s="30">
        <f>IF(A392="","",IF(COUNTIF($A$4:$A$1003,A392)&gt;1,"Duplicate holder ID",IF(OR(B392="",C392=""),"Missing required field",IF(F392=0,"No holdings",IF(AND(G392=0,A392&lt;&gt;"LKB-GROUP"),"No login (ok if not invited)","OK")))))</f>
        <v/>
      </c>
    </row>
    <row r="393">
      <c r="A393" s="26" t="n"/>
      <c r="B393" s="26" t="n"/>
      <c r="C393" s="26" t="n"/>
      <c r="D393" s="26" t="n"/>
      <c r="E393" s="26" t="n"/>
      <c r="F393" s="30">
        <f>IF(A393="","",COUNTIF('Holdings'!$A$4:$A$2503,A393))</f>
        <v/>
      </c>
      <c r="G393" s="30">
        <f>IF(A393="","",COUNTIF('Access'!$B$4:$B$1503,A393))</f>
        <v/>
      </c>
      <c r="H393" s="30">
        <f>IF(A393="","",IF(COUNTIF($A$4:$A$1003,A393)&gt;1,"Duplicate holder ID",IF(OR(B393="",C393=""),"Missing required field",IF(F393=0,"No holdings",IF(AND(G393=0,A393&lt;&gt;"LKB-GROUP"),"No login (ok if not invited)","OK")))))</f>
        <v/>
      </c>
    </row>
    <row r="394">
      <c r="A394" s="26" t="n"/>
      <c r="B394" s="26" t="n"/>
      <c r="C394" s="26" t="n"/>
      <c r="D394" s="26" t="n"/>
      <c r="E394" s="26" t="n"/>
      <c r="F394" s="30">
        <f>IF(A394="","",COUNTIF('Holdings'!$A$4:$A$2503,A394))</f>
        <v/>
      </c>
      <c r="G394" s="30">
        <f>IF(A394="","",COUNTIF('Access'!$B$4:$B$1503,A394))</f>
        <v/>
      </c>
      <c r="H394" s="30">
        <f>IF(A394="","",IF(COUNTIF($A$4:$A$1003,A394)&gt;1,"Duplicate holder ID",IF(OR(B394="",C394=""),"Missing required field",IF(F394=0,"No holdings",IF(AND(G394=0,A394&lt;&gt;"LKB-GROUP"),"No login (ok if not invited)","OK")))))</f>
        <v/>
      </c>
    </row>
    <row r="395">
      <c r="A395" s="26" t="n"/>
      <c r="B395" s="26" t="n"/>
      <c r="C395" s="26" t="n"/>
      <c r="D395" s="26" t="n"/>
      <c r="E395" s="26" t="n"/>
      <c r="F395" s="30">
        <f>IF(A395="","",COUNTIF('Holdings'!$A$4:$A$2503,A395))</f>
        <v/>
      </c>
      <c r="G395" s="30">
        <f>IF(A395="","",COUNTIF('Access'!$B$4:$B$1503,A395))</f>
        <v/>
      </c>
      <c r="H395" s="30">
        <f>IF(A395="","",IF(COUNTIF($A$4:$A$1003,A395)&gt;1,"Duplicate holder ID",IF(OR(B395="",C395=""),"Missing required field",IF(F395=0,"No holdings",IF(AND(G395=0,A395&lt;&gt;"LKB-GROUP"),"No login (ok if not invited)","OK")))))</f>
        <v/>
      </c>
    </row>
    <row r="396">
      <c r="A396" s="26" t="n"/>
      <c r="B396" s="26" t="n"/>
      <c r="C396" s="26" t="n"/>
      <c r="D396" s="26" t="n"/>
      <c r="E396" s="26" t="n"/>
      <c r="F396" s="30">
        <f>IF(A396="","",COUNTIF('Holdings'!$A$4:$A$2503,A396))</f>
        <v/>
      </c>
      <c r="G396" s="30">
        <f>IF(A396="","",COUNTIF('Access'!$B$4:$B$1503,A396))</f>
        <v/>
      </c>
      <c r="H396" s="30">
        <f>IF(A396="","",IF(COUNTIF($A$4:$A$1003,A396)&gt;1,"Duplicate holder ID",IF(OR(B396="",C396=""),"Missing required field",IF(F396=0,"No holdings",IF(AND(G396=0,A396&lt;&gt;"LKB-GROUP"),"No login (ok if not invited)","OK")))))</f>
        <v/>
      </c>
    </row>
    <row r="397">
      <c r="A397" s="26" t="n"/>
      <c r="B397" s="26" t="n"/>
      <c r="C397" s="26" t="n"/>
      <c r="D397" s="26" t="n"/>
      <c r="E397" s="26" t="n"/>
      <c r="F397" s="30">
        <f>IF(A397="","",COUNTIF('Holdings'!$A$4:$A$2503,A397))</f>
        <v/>
      </c>
      <c r="G397" s="30">
        <f>IF(A397="","",COUNTIF('Access'!$B$4:$B$1503,A397))</f>
        <v/>
      </c>
      <c r="H397" s="30">
        <f>IF(A397="","",IF(COUNTIF($A$4:$A$1003,A397)&gt;1,"Duplicate holder ID",IF(OR(B397="",C397=""),"Missing required field",IF(F397=0,"No holdings",IF(AND(G397=0,A397&lt;&gt;"LKB-GROUP"),"No login (ok if not invited)","OK")))))</f>
        <v/>
      </c>
    </row>
    <row r="398">
      <c r="A398" s="26" t="n"/>
      <c r="B398" s="26" t="n"/>
      <c r="C398" s="26" t="n"/>
      <c r="D398" s="26" t="n"/>
      <c r="E398" s="26" t="n"/>
      <c r="F398" s="30">
        <f>IF(A398="","",COUNTIF('Holdings'!$A$4:$A$2503,A398))</f>
        <v/>
      </c>
      <c r="G398" s="30">
        <f>IF(A398="","",COUNTIF('Access'!$B$4:$B$1503,A398))</f>
        <v/>
      </c>
      <c r="H398" s="30">
        <f>IF(A398="","",IF(COUNTIF($A$4:$A$1003,A398)&gt;1,"Duplicate holder ID",IF(OR(B398="",C398=""),"Missing required field",IF(F398=0,"No holdings",IF(AND(G398=0,A398&lt;&gt;"LKB-GROUP"),"No login (ok if not invited)","OK")))))</f>
        <v/>
      </c>
    </row>
    <row r="399">
      <c r="A399" s="26" t="n"/>
      <c r="B399" s="26" t="n"/>
      <c r="C399" s="26" t="n"/>
      <c r="D399" s="26" t="n"/>
      <c r="E399" s="26" t="n"/>
      <c r="F399" s="30">
        <f>IF(A399="","",COUNTIF('Holdings'!$A$4:$A$2503,A399))</f>
        <v/>
      </c>
      <c r="G399" s="30">
        <f>IF(A399="","",COUNTIF('Access'!$B$4:$B$1503,A399))</f>
        <v/>
      </c>
      <c r="H399" s="30">
        <f>IF(A399="","",IF(COUNTIF($A$4:$A$1003,A399)&gt;1,"Duplicate holder ID",IF(OR(B399="",C399=""),"Missing required field",IF(F399=0,"No holdings",IF(AND(G399=0,A399&lt;&gt;"LKB-GROUP"),"No login (ok if not invited)","OK")))))</f>
        <v/>
      </c>
    </row>
    <row r="400">
      <c r="A400" s="26" t="n"/>
      <c r="B400" s="26" t="n"/>
      <c r="C400" s="26" t="n"/>
      <c r="D400" s="26" t="n"/>
      <c r="E400" s="26" t="n"/>
      <c r="F400" s="30">
        <f>IF(A400="","",COUNTIF('Holdings'!$A$4:$A$2503,A400))</f>
        <v/>
      </c>
      <c r="G400" s="30">
        <f>IF(A400="","",COUNTIF('Access'!$B$4:$B$1503,A400))</f>
        <v/>
      </c>
      <c r="H400" s="30">
        <f>IF(A400="","",IF(COUNTIF($A$4:$A$1003,A400)&gt;1,"Duplicate holder ID",IF(OR(B400="",C400=""),"Missing required field",IF(F400=0,"No holdings",IF(AND(G400=0,A400&lt;&gt;"LKB-GROUP"),"No login (ok if not invited)","OK")))))</f>
        <v/>
      </c>
    </row>
    <row r="401">
      <c r="A401" s="26" t="n"/>
      <c r="B401" s="26" t="n"/>
      <c r="C401" s="26" t="n"/>
      <c r="D401" s="26" t="n"/>
      <c r="E401" s="26" t="n"/>
      <c r="F401" s="30">
        <f>IF(A401="","",COUNTIF('Holdings'!$A$4:$A$2503,A401))</f>
        <v/>
      </c>
      <c r="G401" s="30">
        <f>IF(A401="","",COUNTIF('Access'!$B$4:$B$1503,A401))</f>
        <v/>
      </c>
      <c r="H401" s="30">
        <f>IF(A401="","",IF(COUNTIF($A$4:$A$1003,A401)&gt;1,"Duplicate holder ID",IF(OR(B401="",C401=""),"Missing required field",IF(F401=0,"No holdings",IF(AND(G401=0,A401&lt;&gt;"LKB-GROUP"),"No login (ok if not invited)","OK")))))</f>
        <v/>
      </c>
    </row>
    <row r="402">
      <c r="A402" s="26" t="n"/>
      <c r="B402" s="26" t="n"/>
      <c r="C402" s="26" t="n"/>
      <c r="D402" s="26" t="n"/>
      <c r="E402" s="26" t="n"/>
      <c r="F402" s="30">
        <f>IF(A402="","",COUNTIF('Holdings'!$A$4:$A$2503,A402))</f>
        <v/>
      </c>
      <c r="G402" s="30">
        <f>IF(A402="","",COUNTIF('Access'!$B$4:$B$1503,A402))</f>
        <v/>
      </c>
      <c r="H402" s="30">
        <f>IF(A402="","",IF(COUNTIF($A$4:$A$1003,A402)&gt;1,"Duplicate holder ID",IF(OR(B402="",C402=""),"Missing required field",IF(F402=0,"No holdings",IF(AND(G402=0,A402&lt;&gt;"LKB-GROUP"),"No login (ok if not invited)","OK")))))</f>
        <v/>
      </c>
    </row>
    <row r="403">
      <c r="A403" s="26" t="n"/>
      <c r="B403" s="26" t="n"/>
      <c r="C403" s="26" t="n"/>
      <c r="D403" s="26" t="n"/>
      <c r="E403" s="26" t="n"/>
      <c r="F403" s="30">
        <f>IF(A403="","",COUNTIF('Holdings'!$A$4:$A$2503,A403))</f>
        <v/>
      </c>
      <c r="G403" s="30">
        <f>IF(A403="","",COUNTIF('Access'!$B$4:$B$1503,A403))</f>
        <v/>
      </c>
      <c r="H403" s="30">
        <f>IF(A403="","",IF(COUNTIF($A$4:$A$1003,A403)&gt;1,"Duplicate holder ID",IF(OR(B403="",C403=""),"Missing required field",IF(F403=0,"No holdings",IF(AND(G403=0,A403&lt;&gt;"LKB-GROUP"),"No login (ok if not invited)","OK")))))</f>
        <v/>
      </c>
    </row>
    <row r="404">
      <c r="A404" s="26" t="n"/>
      <c r="B404" s="26" t="n"/>
      <c r="C404" s="26" t="n"/>
      <c r="D404" s="26" t="n"/>
      <c r="E404" s="26" t="n"/>
      <c r="F404" s="30">
        <f>IF(A404="","",COUNTIF('Holdings'!$A$4:$A$2503,A404))</f>
        <v/>
      </c>
      <c r="G404" s="30">
        <f>IF(A404="","",COUNTIF('Access'!$B$4:$B$1503,A404))</f>
        <v/>
      </c>
      <c r="H404" s="30">
        <f>IF(A404="","",IF(COUNTIF($A$4:$A$1003,A404)&gt;1,"Duplicate holder ID",IF(OR(B404="",C404=""),"Missing required field",IF(F404=0,"No holdings",IF(AND(G404=0,A404&lt;&gt;"LKB-GROUP"),"No login (ok if not invited)","OK")))))</f>
        <v/>
      </c>
    </row>
    <row r="405">
      <c r="A405" s="26" t="n"/>
      <c r="B405" s="26" t="n"/>
      <c r="C405" s="26" t="n"/>
      <c r="D405" s="26" t="n"/>
      <c r="E405" s="26" t="n"/>
      <c r="F405" s="30">
        <f>IF(A405="","",COUNTIF('Holdings'!$A$4:$A$2503,A405))</f>
        <v/>
      </c>
      <c r="G405" s="30">
        <f>IF(A405="","",COUNTIF('Access'!$B$4:$B$1503,A405))</f>
        <v/>
      </c>
      <c r="H405" s="30">
        <f>IF(A405="","",IF(COUNTIF($A$4:$A$1003,A405)&gt;1,"Duplicate holder ID",IF(OR(B405="",C405=""),"Missing required field",IF(F405=0,"No holdings",IF(AND(G405=0,A405&lt;&gt;"LKB-GROUP"),"No login (ok if not invited)","OK")))))</f>
        <v/>
      </c>
    </row>
    <row r="406">
      <c r="A406" s="26" t="n"/>
      <c r="B406" s="26" t="n"/>
      <c r="C406" s="26" t="n"/>
      <c r="D406" s="26" t="n"/>
      <c r="E406" s="26" t="n"/>
      <c r="F406" s="30">
        <f>IF(A406="","",COUNTIF('Holdings'!$A$4:$A$2503,A406))</f>
        <v/>
      </c>
      <c r="G406" s="30">
        <f>IF(A406="","",COUNTIF('Access'!$B$4:$B$1503,A406))</f>
        <v/>
      </c>
      <c r="H406" s="30">
        <f>IF(A406="","",IF(COUNTIF($A$4:$A$1003,A406)&gt;1,"Duplicate holder ID",IF(OR(B406="",C406=""),"Missing required field",IF(F406=0,"No holdings",IF(AND(G406=0,A406&lt;&gt;"LKB-GROUP"),"No login (ok if not invited)","OK")))))</f>
        <v/>
      </c>
    </row>
    <row r="407">
      <c r="A407" s="26" t="n"/>
      <c r="B407" s="26" t="n"/>
      <c r="C407" s="26" t="n"/>
      <c r="D407" s="26" t="n"/>
      <c r="E407" s="26" t="n"/>
      <c r="F407" s="30">
        <f>IF(A407="","",COUNTIF('Holdings'!$A$4:$A$2503,A407))</f>
        <v/>
      </c>
      <c r="G407" s="30">
        <f>IF(A407="","",COUNTIF('Access'!$B$4:$B$1503,A407))</f>
        <v/>
      </c>
      <c r="H407" s="30">
        <f>IF(A407="","",IF(COUNTIF($A$4:$A$1003,A407)&gt;1,"Duplicate holder ID",IF(OR(B407="",C407=""),"Missing required field",IF(F407=0,"No holdings",IF(AND(G407=0,A407&lt;&gt;"LKB-GROUP"),"No login (ok if not invited)","OK")))))</f>
        <v/>
      </c>
    </row>
    <row r="408">
      <c r="A408" s="26" t="n"/>
      <c r="B408" s="26" t="n"/>
      <c r="C408" s="26" t="n"/>
      <c r="D408" s="26" t="n"/>
      <c r="E408" s="26" t="n"/>
      <c r="F408" s="30">
        <f>IF(A408="","",COUNTIF('Holdings'!$A$4:$A$2503,A408))</f>
        <v/>
      </c>
      <c r="G408" s="30">
        <f>IF(A408="","",COUNTIF('Access'!$B$4:$B$1503,A408))</f>
        <v/>
      </c>
      <c r="H408" s="30">
        <f>IF(A408="","",IF(COUNTIF($A$4:$A$1003,A408)&gt;1,"Duplicate holder ID",IF(OR(B408="",C408=""),"Missing required field",IF(F408=0,"No holdings",IF(AND(G408=0,A408&lt;&gt;"LKB-GROUP"),"No login (ok if not invited)","OK")))))</f>
        <v/>
      </c>
    </row>
    <row r="409">
      <c r="A409" s="26" t="n"/>
      <c r="B409" s="26" t="n"/>
      <c r="C409" s="26" t="n"/>
      <c r="D409" s="26" t="n"/>
      <c r="E409" s="26" t="n"/>
      <c r="F409" s="30">
        <f>IF(A409="","",COUNTIF('Holdings'!$A$4:$A$2503,A409))</f>
        <v/>
      </c>
      <c r="G409" s="30">
        <f>IF(A409="","",COUNTIF('Access'!$B$4:$B$1503,A409))</f>
        <v/>
      </c>
      <c r="H409" s="30">
        <f>IF(A409="","",IF(COUNTIF($A$4:$A$1003,A409)&gt;1,"Duplicate holder ID",IF(OR(B409="",C409=""),"Missing required field",IF(F409=0,"No holdings",IF(AND(G409=0,A409&lt;&gt;"LKB-GROUP"),"No login (ok if not invited)","OK")))))</f>
        <v/>
      </c>
    </row>
    <row r="410">
      <c r="A410" s="26" t="n"/>
      <c r="B410" s="26" t="n"/>
      <c r="C410" s="26" t="n"/>
      <c r="D410" s="26" t="n"/>
      <c r="E410" s="26" t="n"/>
      <c r="F410" s="30">
        <f>IF(A410="","",COUNTIF('Holdings'!$A$4:$A$2503,A410))</f>
        <v/>
      </c>
      <c r="G410" s="30">
        <f>IF(A410="","",COUNTIF('Access'!$B$4:$B$1503,A410))</f>
        <v/>
      </c>
      <c r="H410" s="30">
        <f>IF(A410="","",IF(COUNTIF($A$4:$A$1003,A410)&gt;1,"Duplicate holder ID",IF(OR(B410="",C410=""),"Missing required field",IF(F410=0,"No holdings",IF(AND(G410=0,A410&lt;&gt;"LKB-GROUP"),"No login (ok if not invited)","OK")))))</f>
        <v/>
      </c>
    </row>
    <row r="411">
      <c r="A411" s="26" t="n"/>
      <c r="B411" s="26" t="n"/>
      <c r="C411" s="26" t="n"/>
      <c r="D411" s="26" t="n"/>
      <c r="E411" s="26" t="n"/>
      <c r="F411" s="30">
        <f>IF(A411="","",COUNTIF('Holdings'!$A$4:$A$2503,A411))</f>
        <v/>
      </c>
      <c r="G411" s="30">
        <f>IF(A411="","",COUNTIF('Access'!$B$4:$B$1503,A411))</f>
        <v/>
      </c>
      <c r="H411" s="30">
        <f>IF(A411="","",IF(COUNTIF($A$4:$A$1003,A411)&gt;1,"Duplicate holder ID",IF(OR(B411="",C411=""),"Missing required field",IF(F411=0,"No holdings",IF(AND(G411=0,A411&lt;&gt;"LKB-GROUP"),"No login (ok if not invited)","OK")))))</f>
        <v/>
      </c>
    </row>
    <row r="412">
      <c r="A412" s="26" t="n"/>
      <c r="B412" s="26" t="n"/>
      <c r="C412" s="26" t="n"/>
      <c r="D412" s="26" t="n"/>
      <c r="E412" s="26" t="n"/>
      <c r="F412" s="30">
        <f>IF(A412="","",COUNTIF('Holdings'!$A$4:$A$2503,A412))</f>
        <v/>
      </c>
      <c r="G412" s="30">
        <f>IF(A412="","",COUNTIF('Access'!$B$4:$B$1503,A412))</f>
        <v/>
      </c>
      <c r="H412" s="30">
        <f>IF(A412="","",IF(COUNTIF($A$4:$A$1003,A412)&gt;1,"Duplicate holder ID",IF(OR(B412="",C412=""),"Missing required field",IF(F412=0,"No holdings",IF(AND(G412=0,A412&lt;&gt;"LKB-GROUP"),"No login (ok if not invited)","OK")))))</f>
        <v/>
      </c>
    </row>
    <row r="413">
      <c r="A413" s="26" t="n"/>
      <c r="B413" s="26" t="n"/>
      <c r="C413" s="26" t="n"/>
      <c r="D413" s="26" t="n"/>
      <c r="E413" s="26" t="n"/>
      <c r="F413" s="30">
        <f>IF(A413="","",COUNTIF('Holdings'!$A$4:$A$2503,A413))</f>
        <v/>
      </c>
      <c r="G413" s="30">
        <f>IF(A413="","",COUNTIF('Access'!$B$4:$B$1503,A413))</f>
        <v/>
      </c>
      <c r="H413" s="30">
        <f>IF(A413="","",IF(COUNTIF($A$4:$A$1003,A413)&gt;1,"Duplicate holder ID",IF(OR(B413="",C413=""),"Missing required field",IF(F413=0,"No holdings",IF(AND(G413=0,A413&lt;&gt;"LKB-GROUP"),"No login (ok if not invited)","OK")))))</f>
        <v/>
      </c>
    </row>
    <row r="414">
      <c r="A414" s="26" t="n"/>
      <c r="B414" s="26" t="n"/>
      <c r="C414" s="26" t="n"/>
      <c r="D414" s="26" t="n"/>
      <c r="E414" s="26" t="n"/>
      <c r="F414" s="30">
        <f>IF(A414="","",COUNTIF('Holdings'!$A$4:$A$2503,A414))</f>
        <v/>
      </c>
      <c r="G414" s="30">
        <f>IF(A414="","",COUNTIF('Access'!$B$4:$B$1503,A414))</f>
        <v/>
      </c>
      <c r="H414" s="30">
        <f>IF(A414="","",IF(COUNTIF($A$4:$A$1003,A414)&gt;1,"Duplicate holder ID",IF(OR(B414="",C414=""),"Missing required field",IF(F414=0,"No holdings",IF(AND(G414=0,A414&lt;&gt;"LKB-GROUP"),"No login (ok if not invited)","OK")))))</f>
        <v/>
      </c>
    </row>
    <row r="415">
      <c r="A415" s="26" t="n"/>
      <c r="B415" s="26" t="n"/>
      <c r="C415" s="26" t="n"/>
      <c r="D415" s="26" t="n"/>
      <c r="E415" s="26" t="n"/>
      <c r="F415" s="30">
        <f>IF(A415="","",COUNTIF('Holdings'!$A$4:$A$2503,A415))</f>
        <v/>
      </c>
      <c r="G415" s="30">
        <f>IF(A415="","",COUNTIF('Access'!$B$4:$B$1503,A415))</f>
        <v/>
      </c>
      <c r="H415" s="30">
        <f>IF(A415="","",IF(COUNTIF($A$4:$A$1003,A415)&gt;1,"Duplicate holder ID",IF(OR(B415="",C415=""),"Missing required field",IF(F415=0,"No holdings",IF(AND(G415=0,A415&lt;&gt;"LKB-GROUP"),"No login (ok if not invited)","OK")))))</f>
        <v/>
      </c>
    </row>
    <row r="416">
      <c r="A416" s="26" t="n"/>
      <c r="B416" s="26" t="n"/>
      <c r="C416" s="26" t="n"/>
      <c r="D416" s="26" t="n"/>
      <c r="E416" s="26" t="n"/>
      <c r="F416" s="30">
        <f>IF(A416="","",COUNTIF('Holdings'!$A$4:$A$2503,A416))</f>
        <v/>
      </c>
      <c r="G416" s="30">
        <f>IF(A416="","",COUNTIF('Access'!$B$4:$B$1503,A416))</f>
        <v/>
      </c>
      <c r="H416" s="30">
        <f>IF(A416="","",IF(COUNTIF($A$4:$A$1003,A416)&gt;1,"Duplicate holder ID",IF(OR(B416="",C416=""),"Missing required field",IF(F416=0,"No holdings",IF(AND(G416=0,A416&lt;&gt;"LKB-GROUP"),"No login (ok if not invited)","OK")))))</f>
        <v/>
      </c>
    </row>
    <row r="417">
      <c r="A417" s="26" t="n"/>
      <c r="B417" s="26" t="n"/>
      <c r="C417" s="26" t="n"/>
      <c r="D417" s="26" t="n"/>
      <c r="E417" s="26" t="n"/>
      <c r="F417" s="30">
        <f>IF(A417="","",COUNTIF('Holdings'!$A$4:$A$2503,A417))</f>
        <v/>
      </c>
      <c r="G417" s="30">
        <f>IF(A417="","",COUNTIF('Access'!$B$4:$B$1503,A417))</f>
        <v/>
      </c>
      <c r="H417" s="30">
        <f>IF(A417="","",IF(COUNTIF($A$4:$A$1003,A417)&gt;1,"Duplicate holder ID",IF(OR(B417="",C417=""),"Missing required field",IF(F417=0,"No holdings",IF(AND(G417=0,A417&lt;&gt;"LKB-GROUP"),"No login (ok if not invited)","OK")))))</f>
        <v/>
      </c>
    </row>
    <row r="418">
      <c r="A418" s="26" t="n"/>
      <c r="B418" s="26" t="n"/>
      <c r="C418" s="26" t="n"/>
      <c r="D418" s="26" t="n"/>
      <c r="E418" s="26" t="n"/>
      <c r="F418" s="30">
        <f>IF(A418="","",COUNTIF('Holdings'!$A$4:$A$2503,A418))</f>
        <v/>
      </c>
      <c r="G418" s="30">
        <f>IF(A418="","",COUNTIF('Access'!$B$4:$B$1503,A418))</f>
        <v/>
      </c>
      <c r="H418" s="30">
        <f>IF(A418="","",IF(COUNTIF($A$4:$A$1003,A418)&gt;1,"Duplicate holder ID",IF(OR(B418="",C418=""),"Missing required field",IF(F418=0,"No holdings",IF(AND(G418=0,A418&lt;&gt;"LKB-GROUP"),"No login (ok if not invited)","OK")))))</f>
        <v/>
      </c>
    </row>
    <row r="419">
      <c r="A419" s="26" t="n"/>
      <c r="B419" s="26" t="n"/>
      <c r="C419" s="26" t="n"/>
      <c r="D419" s="26" t="n"/>
      <c r="E419" s="26" t="n"/>
      <c r="F419" s="30">
        <f>IF(A419="","",COUNTIF('Holdings'!$A$4:$A$2503,A419))</f>
        <v/>
      </c>
      <c r="G419" s="30">
        <f>IF(A419="","",COUNTIF('Access'!$B$4:$B$1503,A419))</f>
        <v/>
      </c>
      <c r="H419" s="30">
        <f>IF(A419="","",IF(COUNTIF($A$4:$A$1003,A419)&gt;1,"Duplicate holder ID",IF(OR(B419="",C419=""),"Missing required field",IF(F419=0,"No holdings",IF(AND(G419=0,A419&lt;&gt;"LKB-GROUP"),"No login (ok if not invited)","OK")))))</f>
        <v/>
      </c>
    </row>
    <row r="420">
      <c r="A420" s="26" t="n"/>
      <c r="B420" s="26" t="n"/>
      <c r="C420" s="26" t="n"/>
      <c r="D420" s="26" t="n"/>
      <c r="E420" s="26" t="n"/>
      <c r="F420" s="30">
        <f>IF(A420="","",COUNTIF('Holdings'!$A$4:$A$2503,A420))</f>
        <v/>
      </c>
      <c r="G420" s="30">
        <f>IF(A420="","",COUNTIF('Access'!$B$4:$B$1503,A420))</f>
        <v/>
      </c>
      <c r="H420" s="30">
        <f>IF(A420="","",IF(COUNTIF($A$4:$A$1003,A420)&gt;1,"Duplicate holder ID",IF(OR(B420="",C420=""),"Missing required field",IF(F420=0,"No holdings",IF(AND(G420=0,A420&lt;&gt;"LKB-GROUP"),"No login (ok if not invited)","OK")))))</f>
        <v/>
      </c>
    </row>
    <row r="421">
      <c r="A421" s="26" t="n"/>
      <c r="B421" s="26" t="n"/>
      <c r="C421" s="26" t="n"/>
      <c r="D421" s="26" t="n"/>
      <c r="E421" s="26" t="n"/>
      <c r="F421" s="30">
        <f>IF(A421="","",COUNTIF('Holdings'!$A$4:$A$2503,A421))</f>
        <v/>
      </c>
      <c r="G421" s="30">
        <f>IF(A421="","",COUNTIF('Access'!$B$4:$B$1503,A421))</f>
        <v/>
      </c>
      <c r="H421" s="30">
        <f>IF(A421="","",IF(COUNTIF($A$4:$A$1003,A421)&gt;1,"Duplicate holder ID",IF(OR(B421="",C421=""),"Missing required field",IF(F421=0,"No holdings",IF(AND(G421=0,A421&lt;&gt;"LKB-GROUP"),"No login (ok if not invited)","OK")))))</f>
        <v/>
      </c>
    </row>
    <row r="422">
      <c r="A422" s="26" t="n"/>
      <c r="B422" s="26" t="n"/>
      <c r="C422" s="26" t="n"/>
      <c r="D422" s="26" t="n"/>
      <c r="E422" s="26" t="n"/>
      <c r="F422" s="30">
        <f>IF(A422="","",COUNTIF('Holdings'!$A$4:$A$2503,A422))</f>
        <v/>
      </c>
      <c r="G422" s="30">
        <f>IF(A422="","",COUNTIF('Access'!$B$4:$B$1503,A422))</f>
        <v/>
      </c>
      <c r="H422" s="30">
        <f>IF(A422="","",IF(COUNTIF($A$4:$A$1003,A422)&gt;1,"Duplicate holder ID",IF(OR(B422="",C422=""),"Missing required field",IF(F422=0,"No holdings",IF(AND(G422=0,A422&lt;&gt;"LKB-GROUP"),"No login (ok if not invited)","OK")))))</f>
        <v/>
      </c>
    </row>
    <row r="423">
      <c r="A423" s="26" t="n"/>
      <c r="B423" s="26" t="n"/>
      <c r="C423" s="26" t="n"/>
      <c r="D423" s="26" t="n"/>
      <c r="E423" s="26" t="n"/>
      <c r="F423" s="30">
        <f>IF(A423="","",COUNTIF('Holdings'!$A$4:$A$2503,A423))</f>
        <v/>
      </c>
      <c r="G423" s="30">
        <f>IF(A423="","",COUNTIF('Access'!$B$4:$B$1503,A423))</f>
        <v/>
      </c>
      <c r="H423" s="30">
        <f>IF(A423="","",IF(COUNTIF($A$4:$A$1003,A423)&gt;1,"Duplicate holder ID",IF(OR(B423="",C423=""),"Missing required field",IF(F423=0,"No holdings",IF(AND(G423=0,A423&lt;&gt;"LKB-GROUP"),"No login (ok if not invited)","OK")))))</f>
        <v/>
      </c>
    </row>
    <row r="424">
      <c r="A424" s="26" t="n"/>
      <c r="B424" s="26" t="n"/>
      <c r="C424" s="26" t="n"/>
      <c r="D424" s="26" t="n"/>
      <c r="E424" s="26" t="n"/>
      <c r="F424" s="30">
        <f>IF(A424="","",COUNTIF('Holdings'!$A$4:$A$2503,A424))</f>
        <v/>
      </c>
      <c r="G424" s="30">
        <f>IF(A424="","",COUNTIF('Access'!$B$4:$B$1503,A424))</f>
        <v/>
      </c>
      <c r="H424" s="30">
        <f>IF(A424="","",IF(COUNTIF($A$4:$A$1003,A424)&gt;1,"Duplicate holder ID",IF(OR(B424="",C424=""),"Missing required field",IF(F424=0,"No holdings",IF(AND(G424=0,A424&lt;&gt;"LKB-GROUP"),"No login (ok if not invited)","OK")))))</f>
        <v/>
      </c>
    </row>
    <row r="425">
      <c r="A425" s="26" t="n"/>
      <c r="B425" s="26" t="n"/>
      <c r="C425" s="26" t="n"/>
      <c r="D425" s="26" t="n"/>
      <c r="E425" s="26" t="n"/>
      <c r="F425" s="30">
        <f>IF(A425="","",COUNTIF('Holdings'!$A$4:$A$2503,A425))</f>
        <v/>
      </c>
      <c r="G425" s="30">
        <f>IF(A425="","",COUNTIF('Access'!$B$4:$B$1503,A425))</f>
        <v/>
      </c>
      <c r="H425" s="30">
        <f>IF(A425="","",IF(COUNTIF($A$4:$A$1003,A425)&gt;1,"Duplicate holder ID",IF(OR(B425="",C425=""),"Missing required field",IF(F425=0,"No holdings",IF(AND(G425=0,A425&lt;&gt;"LKB-GROUP"),"No login (ok if not invited)","OK")))))</f>
        <v/>
      </c>
    </row>
    <row r="426">
      <c r="A426" s="26" t="n"/>
      <c r="B426" s="26" t="n"/>
      <c r="C426" s="26" t="n"/>
      <c r="D426" s="26" t="n"/>
      <c r="E426" s="26" t="n"/>
      <c r="F426" s="30">
        <f>IF(A426="","",COUNTIF('Holdings'!$A$4:$A$2503,A426))</f>
        <v/>
      </c>
      <c r="G426" s="30">
        <f>IF(A426="","",COUNTIF('Access'!$B$4:$B$1503,A426))</f>
        <v/>
      </c>
      <c r="H426" s="30">
        <f>IF(A426="","",IF(COUNTIF($A$4:$A$1003,A426)&gt;1,"Duplicate holder ID",IF(OR(B426="",C426=""),"Missing required field",IF(F426=0,"No holdings",IF(AND(G426=0,A426&lt;&gt;"LKB-GROUP"),"No login (ok if not invited)","OK")))))</f>
        <v/>
      </c>
    </row>
    <row r="427">
      <c r="A427" s="26" t="n"/>
      <c r="B427" s="26" t="n"/>
      <c r="C427" s="26" t="n"/>
      <c r="D427" s="26" t="n"/>
      <c r="E427" s="26" t="n"/>
      <c r="F427" s="30">
        <f>IF(A427="","",COUNTIF('Holdings'!$A$4:$A$2503,A427))</f>
        <v/>
      </c>
      <c r="G427" s="30">
        <f>IF(A427="","",COUNTIF('Access'!$B$4:$B$1503,A427))</f>
        <v/>
      </c>
      <c r="H427" s="30">
        <f>IF(A427="","",IF(COUNTIF($A$4:$A$1003,A427)&gt;1,"Duplicate holder ID",IF(OR(B427="",C427=""),"Missing required field",IF(F427=0,"No holdings",IF(AND(G427=0,A427&lt;&gt;"LKB-GROUP"),"No login (ok if not invited)","OK")))))</f>
        <v/>
      </c>
    </row>
    <row r="428">
      <c r="A428" s="26" t="n"/>
      <c r="B428" s="26" t="n"/>
      <c r="C428" s="26" t="n"/>
      <c r="D428" s="26" t="n"/>
      <c r="E428" s="26" t="n"/>
      <c r="F428" s="30">
        <f>IF(A428="","",COUNTIF('Holdings'!$A$4:$A$2503,A428))</f>
        <v/>
      </c>
      <c r="G428" s="30">
        <f>IF(A428="","",COUNTIF('Access'!$B$4:$B$1503,A428))</f>
        <v/>
      </c>
      <c r="H428" s="30">
        <f>IF(A428="","",IF(COUNTIF($A$4:$A$1003,A428)&gt;1,"Duplicate holder ID",IF(OR(B428="",C428=""),"Missing required field",IF(F428=0,"No holdings",IF(AND(G428=0,A428&lt;&gt;"LKB-GROUP"),"No login (ok if not invited)","OK")))))</f>
        <v/>
      </c>
    </row>
    <row r="429">
      <c r="A429" s="26" t="n"/>
      <c r="B429" s="26" t="n"/>
      <c r="C429" s="26" t="n"/>
      <c r="D429" s="26" t="n"/>
      <c r="E429" s="26" t="n"/>
      <c r="F429" s="30">
        <f>IF(A429="","",COUNTIF('Holdings'!$A$4:$A$2503,A429))</f>
        <v/>
      </c>
      <c r="G429" s="30">
        <f>IF(A429="","",COUNTIF('Access'!$B$4:$B$1503,A429))</f>
        <v/>
      </c>
      <c r="H429" s="30">
        <f>IF(A429="","",IF(COUNTIF($A$4:$A$1003,A429)&gt;1,"Duplicate holder ID",IF(OR(B429="",C429=""),"Missing required field",IF(F429=0,"No holdings",IF(AND(G429=0,A429&lt;&gt;"LKB-GROUP"),"No login (ok if not invited)","OK")))))</f>
        <v/>
      </c>
    </row>
    <row r="430">
      <c r="A430" s="26" t="n"/>
      <c r="B430" s="26" t="n"/>
      <c r="C430" s="26" t="n"/>
      <c r="D430" s="26" t="n"/>
      <c r="E430" s="26" t="n"/>
      <c r="F430" s="30">
        <f>IF(A430="","",COUNTIF('Holdings'!$A$4:$A$2503,A430))</f>
        <v/>
      </c>
      <c r="G430" s="30">
        <f>IF(A430="","",COUNTIF('Access'!$B$4:$B$1503,A430))</f>
        <v/>
      </c>
      <c r="H430" s="30">
        <f>IF(A430="","",IF(COUNTIF($A$4:$A$1003,A430)&gt;1,"Duplicate holder ID",IF(OR(B430="",C430=""),"Missing required field",IF(F430=0,"No holdings",IF(AND(G430=0,A430&lt;&gt;"LKB-GROUP"),"No login (ok if not invited)","OK")))))</f>
        <v/>
      </c>
    </row>
    <row r="431">
      <c r="A431" s="26" t="n"/>
      <c r="B431" s="26" t="n"/>
      <c r="C431" s="26" t="n"/>
      <c r="D431" s="26" t="n"/>
      <c r="E431" s="26" t="n"/>
      <c r="F431" s="30">
        <f>IF(A431="","",COUNTIF('Holdings'!$A$4:$A$2503,A431))</f>
        <v/>
      </c>
      <c r="G431" s="30">
        <f>IF(A431="","",COUNTIF('Access'!$B$4:$B$1503,A431))</f>
        <v/>
      </c>
      <c r="H431" s="30">
        <f>IF(A431="","",IF(COUNTIF($A$4:$A$1003,A431)&gt;1,"Duplicate holder ID",IF(OR(B431="",C431=""),"Missing required field",IF(F431=0,"No holdings",IF(AND(G431=0,A431&lt;&gt;"LKB-GROUP"),"No login (ok if not invited)","OK")))))</f>
        <v/>
      </c>
    </row>
    <row r="432">
      <c r="A432" s="26" t="n"/>
      <c r="B432" s="26" t="n"/>
      <c r="C432" s="26" t="n"/>
      <c r="D432" s="26" t="n"/>
      <c r="E432" s="26" t="n"/>
      <c r="F432" s="30">
        <f>IF(A432="","",COUNTIF('Holdings'!$A$4:$A$2503,A432))</f>
        <v/>
      </c>
      <c r="G432" s="30">
        <f>IF(A432="","",COUNTIF('Access'!$B$4:$B$1503,A432))</f>
        <v/>
      </c>
      <c r="H432" s="30">
        <f>IF(A432="","",IF(COUNTIF($A$4:$A$1003,A432)&gt;1,"Duplicate holder ID",IF(OR(B432="",C432=""),"Missing required field",IF(F432=0,"No holdings",IF(AND(G432=0,A432&lt;&gt;"LKB-GROUP"),"No login (ok if not invited)","OK")))))</f>
        <v/>
      </c>
    </row>
    <row r="433">
      <c r="A433" s="26" t="n"/>
      <c r="B433" s="26" t="n"/>
      <c r="C433" s="26" t="n"/>
      <c r="D433" s="26" t="n"/>
      <c r="E433" s="26" t="n"/>
      <c r="F433" s="30">
        <f>IF(A433="","",COUNTIF('Holdings'!$A$4:$A$2503,A433))</f>
        <v/>
      </c>
      <c r="G433" s="30">
        <f>IF(A433="","",COUNTIF('Access'!$B$4:$B$1503,A433))</f>
        <v/>
      </c>
      <c r="H433" s="30">
        <f>IF(A433="","",IF(COUNTIF($A$4:$A$1003,A433)&gt;1,"Duplicate holder ID",IF(OR(B433="",C433=""),"Missing required field",IF(F433=0,"No holdings",IF(AND(G433=0,A433&lt;&gt;"LKB-GROUP"),"No login (ok if not invited)","OK")))))</f>
        <v/>
      </c>
    </row>
    <row r="434">
      <c r="A434" s="26" t="n"/>
      <c r="B434" s="26" t="n"/>
      <c r="C434" s="26" t="n"/>
      <c r="D434" s="26" t="n"/>
      <c r="E434" s="26" t="n"/>
      <c r="F434" s="30">
        <f>IF(A434="","",COUNTIF('Holdings'!$A$4:$A$2503,A434))</f>
        <v/>
      </c>
      <c r="G434" s="30">
        <f>IF(A434="","",COUNTIF('Access'!$B$4:$B$1503,A434))</f>
        <v/>
      </c>
      <c r="H434" s="30">
        <f>IF(A434="","",IF(COUNTIF($A$4:$A$1003,A434)&gt;1,"Duplicate holder ID",IF(OR(B434="",C434=""),"Missing required field",IF(F434=0,"No holdings",IF(AND(G434=0,A434&lt;&gt;"LKB-GROUP"),"No login (ok if not invited)","OK")))))</f>
        <v/>
      </c>
    </row>
    <row r="435">
      <c r="A435" s="26" t="n"/>
      <c r="B435" s="26" t="n"/>
      <c r="C435" s="26" t="n"/>
      <c r="D435" s="26" t="n"/>
      <c r="E435" s="26" t="n"/>
      <c r="F435" s="30">
        <f>IF(A435="","",COUNTIF('Holdings'!$A$4:$A$2503,A435))</f>
        <v/>
      </c>
      <c r="G435" s="30">
        <f>IF(A435="","",COUNTIF('Access'!$B$4:$B$1503,A435))</f>
        <v/>
      </c>
      <c r="H435" s="30">
        <f>IF(A435="","",IF(COUNTIF($A$4:$A$1003,A435)&gt;1,"Duplicate holder ID",IF(OR(B435="",C435=""),"Missing required field",IF(F435=0,"No holdings",IF(AND(G435=0,A435&lt;&gt;"LKB-GROUP"),"No login (ok if not invited)","OK")))))</f>
        <v/>
      </c>
    </row>
    <row r="436">
      <c r="A436" s="26" t="n"/>
      <c r="B436" s="26" t="n"/>
      <c r="C436" s="26" t="n"/>
      <c r="D436" s="26" t="n"/>
      <c r="E436" s="26" t="n"/>
      <c r="F436" s="30">
        <f>IF(A436="","",COUNTIF('Holdings'!$A$4:$A$2503,A436))</f>
        <v/>
      </c>
      <c r="G436" s="30">
        <f>IF(A436="","",COUNTIF('Access'!$B$4:$B$1503,A436))</f>
        <v/>
      </c>
      <c r="H436" s="30">
        <f>IF(A436="","",IF(COUNTIF($A$4:$A$1003,A436)&gt;1,"Duplicate holder ID",IF(OR(B436="",C436=""),"Missing required field",IF(F436=0,"No holdings",IF(AND(G436=0,A436&lt;&gt;"LKB-GROUP"),"No login (ok if not invited)","OK")))))</f>
        <v/>
      </c>
    </row>
    <row r="437">
      <c r="A437" s="26" t="n"/>
      <c r="B437" s="26" t="n"/>
      <c r="C437" s="26" t="n"/>
      <c r="D437" s="26" t="n"/>
      <c r="E437" s="26" t="n"/>
      <c r="F437" s="30">
        <f>IF(A437="","",COUNTIF('Holdings'!$A$4:$A$2503,A437))</f>
        <v/>
      </c>
      <c r="G437" s="30">
        <f>IF(A437="","",COUNTIF('Access'!$B$4:$B$1503,A437))</f>
        <v/>
      </c>
      <c r="H437" s="30">
        <f>IF(A437="","",IF(COUNTIF($A$4:$A$1003,A437)&gt;1,"Duplicate holder ID",IF(OR(B437="",C437=""),"Missing required field",IF(F437=0,"No holdings",IF(AND(G437=0,A437&lt;&gt;"LKB-GROUP"),"No login (ok if not invited)","OK")))))</f>
        <v/>
      </c>
    </row>
    <row r="438">
      <c r="A438" s="26" t="n"/>
      <c r="B438" s="26" t="n"/>
      <c r="C438" s="26" t="n"/>
      <c r="D438" s="26" t="n"/>
      <c r="E438" s="26" t="n"/>
      <c r="F438" s="30">
        <f>IF(A438="","",COUNTIF('Holdings'!$A$4:$A$2503,A438))</f>
        <v/>
      </c>
      <c r="G438" s="30">
        <f>IF(A438="","",COUNTIF('Access'!$B$4:$B$1503,A438))</f>
        <v/>
      </c>
      <c r="H438" s="30">
        <f>IF(A438="","",IF(COUNTIF($A$4:$A$1003,A438)&gt;1,"Duplicate holder ID",IF(OR(B438="",C438=""),"Missing required field",IF(F438=0,"No holdings",IF(AND(G438=0,A438&lt;&gt;"LKB-GROUP"),"No login (ok if not invited)","OK")))))</f>
        <v/>
      </c>
    </row>
    <row r="439">
      <c r="A439" s="26" t="n"/>
      <c r="B439" s="26" t="n"/>
      <c r="C439" s="26" t="n"/>
      <c r="D439" s="26" t="n"/>
      <c r="E439" s="26" t="n"/>
      <c r="F439" s="30">
        <f>IF(A439="","",COUNTIF('Holdings'!$A$4:$A$2503,A439))</f>
        <v/>
      </c>
      <c r="G439" s="30">
        <f>IF(A439="","",COUNTIF('Access'!$B$4:$B$1503,A439))</f>
        <v/>
      </c>
      <c r="H439" s="30">
        <f>IF(A439="","",IF(COUNTIF($A$4:$A$1003,A439)&gt;1,"Duplicate holder ID",IF(OR(B439="",C439=""),"Missing required field",IF(F439=0,"No holdings",IF(AND(G439=0,A439&lt;&gt;"LKB-GROUP"),"No login (ok if not invited)","OK")))))</f>
        <v/>
      </c>
    </row>
    <row r="440">
      <c r="A440" s="26" t="n"/>
      <c r="B440" s="26" t="n"/>
      <c r="C440" s="26" t="n"/>
      <c r="D440" s="26" t="n"/>
      <c r="E440" s="26" t="n"/>
      <c r="F440" s="30">
        <f>IF(A440="","",COUNTIF('Holdings'!$A$4:$A$2503,A440))</f>
        <v/>
      </c>
      <c r="G440" s="30">
        <f>IF(A440="","",COUNTIF('Access'!$B$4:$B$1503,A440))</f>
        <v/>
      </c>
      <c r="H440" s="30">
        <f>IF(A440="","",IF(COUNTIF($A$4:$A$1003,A440)&gt;1,"Duplicate holder ID",IF(OR(B440="",C440=""),"Missing required field",IF(F440=0,"No holdings",IF(AND(G440=0,A440&lt;&gt;"LKB-GROUP"),"No login (ok if not invited)","OK")))))</f>
        <v/>
      </c>
    </row>
    <row r="441">
      <c r="A441" s="26" t="n"/>
      <c r="B441" s="26" t="n"/>
      <c r="C441" s="26" t="n"/>
      <c r="D441" s="26" t="n"/>
      <c r="E441" s="26" t="n"/>
      <c r="F441" s="30">
        <f>IF(A441="","",COUNTIF('Holdings'!$A$4:$A$2503,A441))</f>
        <v/>
      </c>
      <c r="G441" s="30">
        <f>IF(A441="","",COUNTIF('Access'!$B$4:$B$1503,A441))</f>
        <v/>
      </c>
      <c r="H441" s="30">
        <f>IF(A441="","",IF(COUNTIF($A$4:$A$1003,A441)&gt;1,"Duplicate holder ID",IF(OR(B441="",C441=""),"Missing required field",IF(F441=0,"No holdings",IF(AND(G441=0,A441&lt;&gt;"LKB-GROUP"),"No login (ok if not invited)","OK")))))</f>
        <v/>
      </c>
    </row>
    <row r="442">
      <c r="A442" s="26" t="n"/>
      <c r="B442" s="26" t="n"/>
      <c r="C442" s="26" t="n"/>
      <c r="D442" s="26" t="n"/>
      <c r="E442" s="26" t="n"/>
      <c r="F442" s="30">
        <f>IF(A442="","",COUNTIF('Holdings'!$A$4:$A$2503,A442))</f>
        <v/>
      </c>
      <c r="G442" s="30">
        <f>IF(A442="","",COUNTIF('Access'!$B$4:$B$1503,A442))</f>
        <v/>
      </c>
      <c r="H442" s="30">
        <f>IF(A442="","",IF(COUNTIF($A$4:$A$1003,A442)&gt;1,"Duplicate holder ID",IF(OR(B442="",C442=""),"Missing required field",IF(F442=0,"No holdings",IF(AND(G442=0,A442&lt;&gt;"LKB-GROUP"),"No login (ok if not invited)","OK")))))</f>
        <v/>
      </c>
    </row>
    <row r="443">
      <c r="A443" s="26" t="n"/>
      <c r="B443" s="26" t="n"/>
      <c r="C443" s="26" t="n"/>
      <c r="D443" s="26" t="n"/>
      <c r="E443" s="26" t="n"/>
      <c r="F443" s="30">
        <f>IF(A443="","",COUNTIF('Holdings'!$A$4:$A$2503,A443))</f>
        <v/>
      </c>
      <c r="G443" s="30">
        <f>IF(A443="","",COUNTIF('Access'!$B$4:$B$1503,A443))</f>
        <v/>
      </c>
      <c r="H443" s="30">
        <f>IF(A443="","",IF(COUNTIF($A$4:$A$1003,A443)&gt;1,"Duplicate holder ID",IF(OR(B443="",C443=""),"Missing required field",IF(F443=0,"No holdings",IF(AND(G443=0,A443&lt;&gt;"LKB-GROUP"),"No login (ok if not invited)","OK")))))</f>
        <v/>
      </c>
    </row>
    <row r="444">
      <c r="A444" s="26" t="n"/>
      <c r="B444" s="26" t="n"/>
      <c r="C444" s="26" t="n"/>
      <c r="D444" s="26" t="n"/>
      <c r="E444" s="26" t="n"/>
      <c r="F444" s="30">
        <f>IF(A444="","",COUNTIF('Holdings'!$A$4:$A$2503,A444))</f>
        <v/>
      </c>
      <c r="G444" s="30">
        <f>IF(A444="","",COUNTIF('Access'!$B$4:$B$1503,A444))</f>
        <v/>
      </c>
      <c r="H444" s="30">
        <f>IF(A444="","",IF(COUNTIF($A$4:$A$1003,A444)&gt;1,"Duplicate holder ID",IF(OR(B444="",C444=""),"Missing required field",IF(F444=0,"No holdings",IF(AND(G444=0,A444&lt;&gt;"LKB-GROUP"),"No login (ok if not invited)","OK")))))</f>
        <v/>
      </c>
    </row>
    <row r="445">
      <c r="A445" s="26" t="n"/>
      <c r="B445" s="26" t="n"/>
      <c r="C445" s="26" t="n"/>
      <c r="D445" s="26" t="n"/>
      <c r="E445" s="26" t="n"/>
      <c r="F445" s="30">
        <f>IF(A445="","",COUNTIF('Holdings'!$A$4:$A$2503,A445))</f>
        <v/>
      </c>
      <c r="G445" s="30">
        <f>IF(A445="","",COUNTIF('Access'!$B$4:$B$1503,A445))</f>
        <v/>
      </c>
      <c r="H445" s="30">
        <f>IF(A445="","",IF(COUNTIF($A$4:$A$1003,A445)&gt;1,"Duplicate holder ID",IF(OR(B445="",C445=""),"Missing required field",IF(F445=0,"No holdings",IF(AND(G445=0,A445&lt;&gt;"LKB-GROUP"),"No login (ok if not invited)","OK")))))</f>
        <v/>
      </c>
    </row>
    <row r="446">
      <c r="A446" s="26" t="n"/>
      <c r="B446" s="26" t="n"/>
      <c r="C446" s="26" t="n"/>
      <c r="D446" s="26" t="n"/>
      <c r="E446" s="26" t="n"/>
      <c r="F446" s="30">
        <f>IF(A446="","",COUNTIF('Holdings'!$A$4:$A$2503,A446))</f>
        <v/>
      </c>
      <c r="G446" s="30">
        <f>IF(A446="","",COUNTIF('Access'!$B$4:$B$1503,A446))</f>
        <v/>
      </c>
      <c r="H446" s="30">
        <f>IF(A446="","",IF(COUNTIF($A$4:$A$1003,A446)&gt;1,"Duplicate holder ID",IF(OR(B446="",C446=""),"Missing required field",IF(F446=0,"No holdings",IF(AND(G446=0,A446&lt;&gt;"LKB-GROUP"),"No login (ok if not invited)","OK")))))</f>
        <v/>
      </c>
    </row>
    <row r="447">
      <c r="A447" s="26" t="n"/>
      <c r="B447" s="26" t="n"/>
      <c r="C447" s="26" t="n"/>
      <c r="D447" s="26" t="n"/>
      <c r="E447" s="26" t="n"/>
      <c r="F447" s="30">
        <f>IF(A447="","",COUNTIF('Holdings'!$A$4:$A$2503,A447))</f>
        <v/>
      </c>
      <c r="G447" s="30">
        <f>IF(A447="","",COUNTIF('Access'!$B$4:$B$1503,A447))</f>
        <v/>
      </c>
      <c r="H447" s="30">
        <f>IF(A447="","",IF(COUNTIF($A$4:$A$1003,A447)&gt;1,"Duplicate holder ID",IF(OR(B447="",C447=""),"Missing required field",IF(F447=0,"No holdings",IF(AND(G447=0,A447&lt;&gt;"LKB-GROUP"),"No login (ok if not invited)","OK")))))</f>
        <v/>
      </c>
    </row>
    <row r="448">
      <c r="A448" s="26" t="n"/>
      <c r="B448" s="26" t="n"/>
      <c r="C448" s="26" t="n"/>
      <c r="D448" s="26" t="n"/>
      <c r="E448" s="26" t="n"/>
      <c r="F448" s="30">
        <f>IF(A448="","",COUNTIF('Holdings'!$A$4:$A$2503,A448))</f>
        <v/>
      </c>
      <c r="G448" s="30">
        <f>IF(A448="","",COUNTIF('Access'!$B$4:$B$1503,A448))</f>
        <v/>
      </c>
      <c r="H448" s="30">
        <f>IF(A448="","",IF(COUNTIF($A$4:$A$1003,A448)&gt;1,"Duplicate holder ID",IF(OR(B448="",C448=""),"Missing required field",IF(F448=0,"No holdings",IF(AND(G448=0,A448&lt;&gt;"LKB-GROUP"),"No login (ok if not invited)","OK")))))</f>
        <v/>
      </c>
    </row>
    <row r="449">
      <c r="A449" s="26" t="n"/>
      <c r="B449" s="26" t="n"/>
      <c r="C449" s="26" t="n"/>
      <c r="D449" s="26" t="n"/>
      <c r="E449" s="26" t="n"/>
      <c r="F449" s="30">
        <f>IF(A449="","",COUNTIF('Holdings'!$A$4:$A$2503,A449))</f>
        <v/>
      </c>
      <c r="G449" s="30">
        <f>IF(A449="","",COUNTIF('Access'!$B$4:$B$1503,A449))</f>
        <v/>
      </c>
      <c r="H449" s="30">
        <f>IF(A449="","",IF(COUNTIF($A$4:$A$1003,A449)&gt;1,"Duplicate holder ID",IF(OR(B449="",C449=""),"Missing required field",IF(F449=0,"No holdings",IF(AND(G449=0,A449&lt;&gt;"LKB-GROUP"),"No login (ok if not invited)","OK")))))</f>
        <v/>
      </c>
    </row>
    <row r="450">
      <c r="A450" s="26" t="n"/>
      <c r="B450" s="26" t="n"/>
      <c r="C450" s="26" t="n"/>
      <c r="D450" s="26" t="n"/>
      <c r="E450" s="26" t="n"/>
      <c r="F450" s="30">
        <f>IF(A450="","",COUNTIF('Holdings'!$A$4:$A$2503,A450))</f>
        <v/>
      </c>
      <c r="G450" s="30">
        <f>IF(A450="","",COUNTIF('Access'!$B$4:$B$1503,A450))</f>
        <v/>
      </c>
      <c r="H450" s="30">
        <f>IF(A450="","",IF(COUNTIF($A$4:$A$1003,A450)&gt;1,"Duplicate holder ID",IF(OR(B450="",C450=""),"Missing required field",IF(F450=0,"No holdings",IF(AND(G450=0,A450&lt;&gt;"LKB-GROUP"),"No login (ok if not invited)","OK")))))</f>
        <v/>
      </c>
    </row>
    <row r="451">
      <c r="A451" s="26" t="n"/>
      <c r="B451" s="26" t="n"/>
      <c r="C451" s="26" t="n"/>
      <c r="D451" s="26" t="n"/>
      <c r="E451" s="26" t="n"/>
      <c r="F451" s="30">
        <f>IF(A451="","",COUNTIF('Holdings'!$A$4:$A$2503,A451))</f>
        <v/>
      </c>
      <c r="G451" s="30">
        <f>IF(A451="","",COUNTIF('Access'!$B$4:$B$1503,A451))</f>
        <v/>
      </c>
      <c r="H451" s="30">
        <f>IF(A451="","",IF(COUNTIF($A$4:$A$1003,A451)&gt;1,"Duplicate holder ID",IF(OR(B451="",C451=""),"Missing required field",IF(F451=0,"No holdings",IF(AND(G451=0,A451&lt;&gt;"LKB-GROUP"),"No login (ok if not invited)","OK")))))</f>
        <v/>
      </c>
    </row>
    <row r="452">
      <c r="A452" s="26" t="n"/>
      <c r="B452" s="26" t="n"/>
      <c r="C452" s="26" t="n"/>
      <c r="D452" s="26" t="n"/>
      <c r="E452" s="26" t="n"/>
      <c r="F452" s="30">
        <f>IF(A452="","",COUNTIF('Holdings'!$A$4:$A$2503,A452))</f>
        <v/>
      </c>
      <c r="G452" s="30">
        <f>IF(A452="","",COUNTIF('Access'!$B$4:$B$1503,A452))</f>
        <v/>
      </c>
      <c r="H452" s="30">
        <f>IF(A452="","",IF(COUNTIF($A$4:$A$1003,A452)&gt;1,"Duplicate holder ID",IF(OR(B452="",C452=""),"Missing required field",IF(F452=0,"No holdings",IF(AND(G452=0,A452&lt;&gt;"LKB-GROUP"),"No login (ok if not invited)","OK")))))</f>
        <v/>
      </c>
    </row>
    <row r="453">
      <c r="A453" s="26" t="n"/>
      <c r="B453" s="26" t="n"/>
      <c r="C453" s="26" t="n"/>
      <c r="D453" s="26" t="n"/>
      <c r="E453" s="26" t="n"/>
      <c r="F453" s="30">
        <f>IF(A453="","",COUNTIF('Holdings'!$A$4:$A$2503,A453))</f>
        <v/>
      </c>
      <c r="G453" s="30">
        <f>IF(A453="","",COUNTIF('Access'!$B$4:$B$1503,A453))</f>
        <v/>
      </c>
      <c r="H453" s="30">
        <f>IF(A453="","",IF(COUNTIF($A$4:$A$1003,A453)&gt;1,"Duplicate holder ID",IF(OR(B453="",C453=""),"Missing required field",IF(F453=0,"No holdings",IF(AND(G453=0,A453&lt;&gt;"LKB-GROUP"),"No login (ok if not invited)","OK")))))</f>
        <v/>
      </c>
    </row>
    <row r="454">
      <c r="A454" s="26" t="n"/>
      <c r="B454" s="26" t="n"/>
      <c r="C454" s="26" t="n"/>
      <c r="D454" s="26" t="n"/>
      <c r="E454" s="26" t="n"/>
      <c r="F454" s="30">
        <f>IF(A454="","",COUNTIF('Holdings'!$A$4:$A$2503,A454))</f>
        <v/>
      </c>
      <c r="G454" s="30">
        <f>IF(A454="","",COUNTIF('Access'!$B$4:$B$1503,A454))</f>
        <v/>
      </c>
      <c r="H454" s="30">
        <f>IF(A454="","",IF(COUNTIF($A$4:$A$1003,A454)&gt;1,"Duplicate holder ID",IF(OR(B454="",C454=""),"Missing required field",IF(F454=0,"No holdings",IF(AND(G454=0,A454&lt;&gt;"LKB-GROUP"),"No login (ok if not invited)","OK")))))</f>
        <v/>
      </c>
    </row>
    <row r="455">
      <c r="A455" s="26" t="n"/>
      <c r="B455" s="26" t="n"/>
      <c r="C455" s="26" t="n"/>
      <c r="D455" s="26" t="n"/>
      <c r="E455" s="26" t="n"/>
      <c r="F455" s="30">
        <f>IF(A455="","",COUNTIF('Holdings'!$A$4:$A$2503,A455))</f>
        <v/>
      </c>
      <c r="G455" s="30">
        <f>IF(A455="","",COUNTIF('Access'!$B$4:$B$1503,A455))</f>
        <v/>
      </c>
      <c r="H455" s="30">
        <f>IF(A455="","",IF(COUNTIF($A$4:$A$1003,A455)&gt;1,"Duplicate holder ID",IF(OR(B455="",C455=""),"Missing required field",IF(F455=0,"No holdings",IF(AND(G455=0,A455&lt;&gt;"LKB-GROUP"),"No login (ok if not invited)","OK")))))</f>
        <v/>
      </c>
    </row>
    <row r="456">
      <c r="A456" s="26" t="n"/>
      <c r="B456" s="26" t="n"/>
      <c r="C456" s="26" t="n"/>
      <c r="D456" s="26" t="n"/>
      <c r="E456" s="26" t="n"/>
      <c r="F456" s="30">
        <f>IF(A456="","",COUNTIF('Holdings'!$A$4:$A$2503,A456))</f>
        <v/>
      </c>
      <c r="G456" s="30">
        <f>IF(A456="","",COUNTIF('Access'!$B$4:$B$1503,A456))</f>
        <v/>
      </c>
      <c r="H456" s="30">
        <f>IF(A456="","",IF(COUNTIF($A$4:$A$1003,A456)&gt;1,"Duplicate holder ID",IF(OR(B456="",C456=""),"Missing required field",IF(F456=0,"No holdings",IF(AND(G456=0,A456&lt;&gt;"LKB-GROUP"),"No login (ok if not invited)","OK")))))</f>
        <v/>
      </c>
    </row>
    <row r="457">
      <c r="A457" s="26" t="n"/>
      <c r="B457" s="26" t="n"/>
      <c r="C457" s="26" t="n"/>
      <c r="D457" s="26" t="n"/>
      <c r="E457" s="26" t="n"/>
      <c r="F457" s="30">
        <f>IF(A457="","",COUNTIF('Holdings'!$A$4:$A$2503,A457))</f>
        <v/>
      </c>
      <c r="G457" s="30">
        <f>IF(A457="","",COUNTIF('Access'!$B$4:$B$1503,A457))</f>
        <v/>
      </c>
      <c r="H457" s="30">
        <f>IF(A457="","",IF(COUNTIF($A$4:$A$1003,A457)&gt;1,"Duplicate holder ID",IF(OR(B457="",C457=""),"Missing required field",IF(F457=0,"No holdings",IF(AND(G457=0,A457&lt;&gt;"LKB-GROUP"),"No login (ok if not invited)","OK")))))</f>
        <v/>
      </c>
    </row>
    <row r="458">
      <c r="A458" s="26" t="n"/>
      <c r="B458" s="26" t="n"/>
      <c r="C458" s="26" t="n"/>
      <c r="D458" s="26" t="n"/>
      <c r="E458" s="26" t="n"/>
      <c r="F458" s="30">
        <f>IF(A458="","",COUNTIF('Holdings'!$A$4:$A$2503,A458))</f>
        <v/>
      </c>
      <c r="G458" s="30">
        <f>IF(A458="","",COUNTIF('Access'!$B$4:$B$1503,A458))</f>
        <v/>
      </c>
      <c r="H458" s="30">
        <f>IF(A458="","",IF(COUNTIF($A$4:$A$1003,A458)&gt;1,"Duplicate holder ID",IF(OR(B458="",C458=""),"Missing required field",IF(F458=0,"No holdings",IF(AND(G458=0,A458&lt;&gt;"LKB-GROUP"),"No login (ok if not invited)","OK")))))</f>
        <v/>
      </c>
    </row>
    <row r="459">
      <c r="A459" s="26" t="n"/>
      <c r="B459" s="26" t="n"/>
      <c r="C459" s="26" t="n"/>
      <c r="D459" s="26" t="n"/>
      <c r="E459" s="26" t="n"/>
      <c r="F459" s="30">
        <f>IF(A459="","",COUNTIF('Holdings'!$A$4:$A$2503,A459))</f>
        <v/>
      </c>
      <c r="G459" s="30">
        <f>IF(A459="","",COUNTIF('Access'!$B$4:$B$1503,A459))</f>
        <v/>
      </c>
      <c r="H459" s="30">
        <f>IF(A459="","",IF(COUNTIF($A$4:$A$1003,A459)&gt;1,"Duplicate holder ID",IF(OR(B459="",C459=""),"Missing required field",IF(F459=0,"No holdings",IF(AND(G459=0,A459&lt;&gt;"LKB-GROUP"),"No login (ok if not invited)","OK")))))</f>
        <v/>
      </c>
    </row>
    <row r="460">
      <c r="A460" s="26" t="n"/>
      <c r="B460" s="26" t="n"/>
      <c r="C460" s="26" t="n"/>
      <c r="D460" s="26" t="n"/>
      <c r="E460" s="26" t="n"/>
      <c r="F460" s="30">
        <f>IF(A460="","",COUNTIF('Holdings'!$A$4:$A$2503,A460))</f>
        <v/>
      </c>
      <c r="G460" s="30">
        <f>IF(A460="","",COUNTIF('Access'!$B$4:$B$1503,A460))</f>
        <v/>
      </c>
      <c r="H460" s="30">
        <f>IF(A460="","",IF(COUNTIF($A$4:$A$1003,A460)&gt;1,"Duplicate holder ID",IF(OR(B460="",C460=""),"Missing required field",IF(F460=0,"No holdings",IF(AND(G460=0,A460&lt;&gt;"LKB-GROUP"),"No login (ok if not invited)","OK")))))</f>
        <v/>
      </c>
    </row>
    <row r="461">
      <c r="A461" s="26" t="n"/>
      <c r="B461" s="26" t="n"/>
      <c r="C461" s="26" t="n"/>
      <c r="D461" s="26" t="n"/>
      <c r="E461" s="26" t="n"/>
      <c r="F461" s="30">
        <f>IF(A461="","",COUNTIF('Holdings'!$A$4:$A$2503,A461))</f>
        <v/>
      </c>
      <c r="G461" s="30">
        <f>IF(A461="","",COUNTIF('Access'!$B$4:$B$1503,A461))</f>
        <v/>
      </c>
      <c r="H461" s="30">
        <f>IF(A461="","",IF(COUNTIF($A$4:$A$1003,A461)&gt;1,"Duplicate holder ID",IF(OR(B461="",C461=""),"Missing required field",IF(F461=0,"No holdings",IF(AND(G461=0,A461&lt;&gt;"LKB-GROUP"),"No login (ok if not invited)","OK")))))</f>
        <v/>
      </c>
    </row>
    <row r="462">
      <c r="A462" s="26" t="n"/>
      <c r="B462" s="26" t="n"/>
      <c r="C462" s="26" t="n"/>
      <c r="D462" s="26" t="n"/>
      <c r="E462" s="26" t="n"/>
      <c r="F462" s="30">
        <f>IF(A462="","",COUNTIF('Holdings'!$A$4:$A$2503,A462))</f>
        <v/>
      </c>
      <c r="G462" s="30">
        <f>IF(A462="","",COUNTIF('Access'!$B$4:$B$1503,A462))</f>
        <v/>
      </c>
      <c r="H462" s="30">
        <f>IF(A462="","",IF(COUNTIF($A$4:$A$1003,A462)&gt;1,"Duplicate holder ID",IF(OR(B462="",C462=""),"Missing required field",IF(F462=0,"No holdings",IF(AND(G462=0,A462&lt;&gt;"LKB-GROUP"),"No login (ok if not invited)","OK")))))</f>
        <v/>
      </c>
    </row>
    <row r="463">
      <c r="A463" s="26" t="n"/>
      <c r="B463" s="26" t="n"/>
      <c r="C463" s="26" t="n"/>
      <c r="D463" s="26" t="n"/>
      <c r="E463" s="26" t="n"/>
      <c r="F463" s="30">
        <f>IF(A463="","",COUNTIF('Holdings'!$A$4:$A$2503,A463))</f>
        <v/>
      </c>
      <c r="G463" s="30">
        <f>IF(A463="","",COUNTIF('Access'!$B$4:$B$1503,A463))</f>
        <v/>
      </c>
      <c r="H463" s="30">
        <f>IF(A463="","",IF(COUNTIF($A$4:$A$1003,A463)&gt;1,"Duplicate holder ID",IF(OR(B463="",C463=""),"Missing required field",IF(F463=0,"No holdings",IF(AND(G463=0,A463&lt;&gt;"LKB-GROUP"),"No login (ok if not invited)","OK")))))</f>
        <v/>
      </c>
    </row>
    <row r="464">
      <c r="A464" s="26" t="n"/>
      <c r="B464" s="26" t="n"/>
      <c r="C464" s="26" t="n"/>
      <c r="D464" s="26" t="n"/>
      <c r="E464" s="26" t="n"/>
      <c r="F464" s="30">
        <f>IF(A464="","",COUNTIF('Holdings'!$A$4:$A$2503,A464))</f>
        <v/>
      </c>
      <c r="G464" s="30">
        <f>IF(A464="","",COUNTIF('Access'!$B$4:$B$1503,A464))</f>
        <v/>
      </c>
      <c r="H464" s="30">
        <f>IF(A464="","",IF(COUNTIF($A$4:$A$1003,A464)&gt;1,"Duplicate holder ID",IF(OR(B464="",C464=""),"Missing required field",IF(F464=0,"No holdings",IF(AND(G464=0,A464&lt;&gt;"LKB-GROUP"),"No login (ok if not invited)","OK")))))</f>
        <v/>
      </c>
    </row>
    <row r="465">
      <c r="A465" s="26" t="n"/>
      <c r="B465" s="26" t="n"/>
      <c r="C465" s="26" t="n"/>
      <c r="D465" s="26" t="n"/>
      <c r="E465" s="26" t="n"/>
      <c r="F465" s="30">
        <f>IF(A465="","",COUNTIF('Holdings'!$A$4:$A$2503,A465))</f>
        <v/>
      </c>
      <c r="G465" s="30">
        <f>IF(A465="","",COUNTIF('Access'!$B$4:$B$1503,A465))</f>
        <v/>
      </c>
      <c r="H465" s="30">
        <f>IF(A465="","",IF(COUNTIF($A$4:$A$1003,A465)&gt;1,"Duplicate holder ID",IF(OR(B465="",C465=""),"Missing required field",IF(F465=0,"No holdings",IF(AND(G465=0,A465&lt;&gt;"LKB-GROUP"),"No login (ok if not invited)","OK")))))</f>
        <v/>
      </c>
    </row>
    <row r="466">
      <c r="A466" s="26" t="n"/>
      <c r="B466" s="26" t="n"/>
      <c r="C466" s="26" t="n"/>
      <c r="D466" s="26" t="n"/>
      <c r="E466" s="26" t="n"/>
      <c r="F466" s="30">
        <f>IF(A466="","",COUNTIF('Holdings'!$A$4:$A$2503,A466))</f>
        <v/>
      </c>
      <c r="G466" s="30">
        <f>IF(A466="","",COUNTIF('Access'!$B$4:$B$1503,A466))</f>
        <v/>
      </c>
      <c r="H466" s="30">
        <f>IF(A466="","",IF(COUNTIF($A$4:$A$1003,A466)&gt;1,"Duplicate holder ID",IF(OR(B466="",C466=""),"Missing required field",IF(F466=0,"No holdings",IF(AND(G466=0,A466&lt;&gt;"LKB-GROUP"),"No login (ok if not invited)","OK")))))</f>
        <v/>
      </c>
    </row>
    <row r="467">
      <c r="A467" s="26" t="n"/>
      <c r="B467" s="26" t="n"/>
      <c r="C467" s="26" t="n"/>
      <c r="D467" s="26" t="n"/>
      <c r="E467" s="26" t="n"/>
      <c r="F467" s="30">
        <f>IF(A467="","",COUNTIF('Holdings'!$A$4:$A$2503,A467))</f>
        <v/>
      </c>
      <c r="G467" s="30">
        <f>IF(A467="","",COUNTIF('Access'!$B$4:$B$1503,A467))</f>
        <v/>
      </c>
      <c r="H467" s="30">
        <f>IF(A467="","",IF(COUNTIF($A$4:$A$1003,A467)&gt;1,"Duplicate holder ID",IF(OR(B467="",C467=""),"Missing required field",IF(F467=0,"No holdings",IF(AND(G467=0,A467&lt;&gt;"LKB-GROUP"),"No login (ok if not invited)","OK")))))</f>
        <v/>
      </c>
    </row>
    <row r="468">
      <c r="A468" s="26" t="n"/>
      <c r="B468" s="26" t="n"/>
      <c r="C468" s="26" t="n"/>
      <c r="D468" s="26" t="n"/>
      <c r="E468" s="26" t="n"/>
      <c r="F468" s="30">
        <f>IF(A468="","",COUNTIF('Holdings'!$A$4:$A$2503,A468))</f>
        <v/>
      </c>
      <c r="G468" s="30">
        <f>IF(A468="","",COUNTIF('Access'!$B$4:$B$1503,A468))</f>
        <v/>
      </c>
      <c r="H468" s="30">
        <f>IF(A468="","",IF(COUNTIF($A$4:$A$1003,A468)&gt;1,"Duplicate holder ID",IF(OR(B468="",C468=""),"Missing required field",IF(F468=0,"No holdings",IF(AND(G468=0,A468&lt;&gt;"LKB-GROUP"),"No login (ok if not invited)","OK")))))</f>
        <v/>
      </c>
    </row>
    <row r="469">
      <c r="A469" s="26" t="n"/>
      <c r="B469" s="26" t="n"/>
      <c r="C469" s="26" t="n"/>
      <c r="D469" s="26" t="n"/>
      <c r="E469" s="26" t="n"/>
      <c r="F469" s="30">
        <f>IF(A469="","",COUNTIF('Holdings'!$A$4:$A$2503,A469))</f>
        <v/>
      </c>
      <c r="G469" s="30">
        <f>IF(A469="","",COUNTIF('Access'!$B$4:$B$1503,A469))</f>
        <v/>
      </c>
      <c r="H469" s="30">
        <f>IF(A469="","",IF(COUNTIF($A$4:$A$1003,A469)&gt;1,"Duplicate holder ID",IF(OR(B469="",C469=""),"Missing required field",IF(F469=0,"No holdings",IF(AND(G469=0,A469&lt;&gt;"LKB-GROUP"),"No login (ok if not invited)","OK")))))</f>
        <v/>
      </c>
    </row>
    <row r="470">
      <c r="A470" s="26" t="n"/>
      <c r="B470" s="26" t="n"/>
      <c r="C470" s="26" t="n"/>
      <c r="D470" s="26" t="n"/>
      <c r="E470" s="26" t="n"/>
      <c r="F470" s="30">
        <f>IF(A470="","",COUNTIF('Holdings'!$A$4:$A$2503,A470))</f>
        <v/>
      </c>
      <c r="G470" s="30">
        <f>IF(A470="","",COUNTIF('Access'!$B$4:$B$1503,A470))</f>
        <v/>
      </c>
      <c r="H470" s="30">
        <f>IF(A470="","",IF(COUNTIF($A$4:$A$1003,A470)&gt;1,"Duplicate holder ID",IF(OR(B470="",C470=""),"Missing required field",IF(F470=0,"No holdings",IF(AND(G470=0,A470&lt;&gt;"LKB-GROUP"),"No login (ok if not invited)","OK")))))</f>
        <v/>
      </c>
    </row>
    <row r="471">
      <c r="A471" s="26" t="n"/>
      <c r="B471" s="26" t="n"/>
      <c r="C471" s="26" t="n"/>
      <c r="D471" s="26" t="n"/>
      <c r="E471" s="26" t="n"/>
      <c r="F471" s="30">
        <f>IF(A471="","",COUNTIF('Holdings'!$A$4:$A$2503,A471))</f>
        <v/>
      </c>
      <c r="G471" s="30">
        <f>IF(A471="","",COUNTIF('Access'!$B$4:$B$1503,A471))</f>
        <v/>
      </c>
      <c r="H471" s="30">
        <f>IF(A471="","",IF(COUNTIF($A$4:$A$1003,A471)&gt;1,"Duplicate holder ID",IF(OR(B471="",C471=""),"Missing required field",IF(F471=0,"No holdings",IF(AND(G471=0,A471&lt;&gt;"LKB-GROUP"),"No login (ok if not invited)","OK")))))</f>
        <v/>
      </c>
    </row>
    <row r="472">
      <c r="A472" s="26" t="n"/>
      <c r="B472" s="26" t="n"/>
      <c r="C472" s="26" t="n"/>
      <c r="D472" s="26" t="n"/>
      <c r="E472" s="26" t="n"/>
      <c r="F472" s="30">
        <f>IF(A472="","",COUNTIF('Holdings'!$A$4:$A$2503,A472))</f>
        <v/>
      </c>
      <c r="G472" s="30">
        <f>IF(A472="","",COUNTIF('Access'!$B$4:$B$1503,A472))</f>
        <v/>
      </c>
      <c r="H472" s="30">
        <f>IF(A472="","",IF(COUNTIF($A$4:$A$1003,A472)&gt;1,"Duplicate holder ID",IF(OR(B472="",C472=""),"Missing required field",IF(F472=0,"No holdings",IF(AND(G472=0,A472&lt;&gt;"LKB-GROUP"),"No login (ok if not invited)","OK")))))</f>
        <v/>
      </c>
    </row>
    <row r="473">
      <c r="A473" s="26" t="n"/>
      <c r="B473" s="26" t="n"/>
      <c r="C473" s="26" t="n"/>
      <c r="D473" s="26" t="n"/>
      <c r="E473" s="26" t="n"/>
      <c r="F473" s="30">
        <f>IF(A473="","",COUNTIF('Holdings'!$A$4:$A$2503,A473))</f>
        <v/>
      </c>
      <c r="G473" s="30">
        <f>IF(A473="","",COUNTIF('Access'!$B$4:$B$1503,A473))</f>
        <v/>
      </c>
      <c r="H473" s="30">
        <f>IF(A473="","",IF(COUNTIF($A$4:$A$1003,A473)&gt;1,"Duplicate holder ID",IF(OR(B473="",C473=""),"Missing required field",IF(F473=0,"No holdings",IF(AND(G473=0,A473&lt;&gt;"LKB-GROUP"),"No login (ok if not invited)","OK")))))</f>
        <v/>
      </c>
    </row>
    <row r="474">
      <c r="A474" s="26" t="n"/>
      <c r="B474" s="26" t="n"/>
      <c r="C474" s="26" t="n"/>
      <c r="D474" s="26" t="n"/>
      <c r="E474" s="26" t="n"/>
      <c r="F474" s="30">
        <f>IF(A474="","",COUNTIF('Holdings'!$A$4:$A$2503,A474))</f>
        <v/>
      </c>
      <c r="G474" s="30">
        <f>IF(A474="","",COUNTIF('Access'!$B$4:$B$1503,A474))</f>
        <v/>
      </c>
      <c r="H474" s="30">
        <f>IF(A474="","",IF(COUNTIF($A$4:$A$1003,A474)&gt;1,"Duplicate holder ID",IF(OR(B474="",C474=""),"Missing required field",IF(F474=0,"No holdings",IF(AND(G474=0,A474&lt;&gt;"LKB-GROUP"),"No login (ok if not invited)","OK")))))</f>
        <v/>
      </c>
    </row>
    <row r="475">
      <c r="A475" s="26" t="n"/>
      <c r="B475" s="26" t="n"/>
      <c r="C475" s="26" t="n"/>
      <c r="D475" s="26" t="n"/>
      <c r="E475" s="26" t="n"/>
      <c r="F475" s="30">
        <f>IF(A475="","",COUNTIF('Holdings'!$A$4:$A$2503,A475))</f>
        <v/>
      </c>
      <c r="G475" s="30">
        <f>IF(A475="","",COUNTIF('Access'!$B$4:$B$1503,A475))</f>
        <v/>
      </c>
      <c r="H475" s="30">
        <f>IF(A475="","",IF(COUNTIF($A$4:$A$1003,A475)&gt;1,"Duplicate holder ID",IF(OR(B475="",C475=""),"Missing required field",IF(F475=0,"No holdings",IF(AND(G475=0,A475&lt;&gt;"LKB-GROUP"),"No login (ok if not invited)","OK")))))</f>
        <v/>
      </c>
    </row>
    <row r="476">
      <c r="A476" s="26" t="n"/>
      <c r="B476" s="26" t="n"/>
      <c r="C476" s="26" t="n"/>
      <c r="D476" s="26" t="n"/>
      <c r="E476" s="26" t="n"/>
      <c r="F476" s="30">
        <f>IF(A476="","",COUNTIF('Holdings'!$A$4:$A$2503,A476))</f>
        <v/>
      </c>
      <c r="G476" s="30">
        <f>IF(A476="","",COUNTIF('Access'!$B$4:$B$1503,A476))</f>
        <v/>
      </c>
      <c r="H476" s="30">
        <f>IF(A476="","",IF(COUNTIF($A$4:$A$1003,A476)&gt;1,"Duplicate holder ID",IF(OR(B476="",C476=""),"Missing required field",IF(F476=0,"No holdings",IF(AND(G476=0,A476&lt;&gt;"LKB-GROUP"),"No login (ok if not invited)","OK")))))</f>
        <v/>
      </c>
    </row>
    <row r="477">
      <c r="A477" s="26" t="n"/>
      <c r="B477" s="26" t="n"/>
      <c r="C477" s="26" t="n"/>
      <c r="D477" s="26" t="n"/>
      <c r="E477" s="26" t="n"/>
      <c r="F477" s="30">
        <f>IF(A477="","",COUNTIF('Holdings'!$A$4:$A$2503,A477))</f>
        <v/>
      </c>
      <c r="G477" s="30">
        <f>IF(A477="","",COUNTIF('Access'!$B$4:$B$1503,A477))</f>
        <v/>
      </c>
      <c r="H477" s="30">
        <f>IF(A477="","",IF(COUNTIF($A$4:$A$1003,A477)&gt;1,"Duplicate holder ID",IF(OR(B477="",C477=""),"Missing required field",IF(F477=0,"No holdings",IF(AND(G477=0,A477&lt;&gt;"LKB-GROUP"),"No login (ok if not invited)","OK")))))</f>
        <v/>
      </c>
    </row>
    <row r="478">
      <c r="A478" s="26" t="n"/>
      <c r="B478" s="26" t="n"/>
      <c r="C478" s="26" t="n"/>
      <c r="D478" s="26" t="n"/>
      <c r="E478" s="26" t="n"/>
      <c r="F478" s="30">
        <f>IF(A478="","",COUNTIF('Holdings'!$A$4:$A$2503,A478))</f>
        <v/>
      </c>
      <c r="G478" s="30">
        <f>IF(A478="","",COUNTIF('Access'!$B$4:$B$1503,A478))</f>
        <v/>
      </c>
      <c r="H478" s="30">
        <f>IF(A478="","",IF(COUNTIF($A$4:$A$1003,A478)&gt;1,"Duplicate holder ID",IF(OR(B478="",C478=""),"Missing required field",IF(F478=0,"No holdings",IF(AND(G478=0,A478&lt;&gt;"LKB-GROUP"),"No login (ok if not invited)","OK")))))</f>
        <v/>
      </c>
    </row>
    <row r="479">
      <c r="A479" s="26" t="n"/>
      <c r="B479" s="26" t="n"/>
      <c r="C479" s="26" t="n"/>
      <c r="D479" s="26" t="n"/>
      <c r="E479" s="26" t="n"/>
      <c r="F479" s="30">
        <f>IF(A479="","",COUNTIF('Holdings'!$A$4:$A$2503,A479))</f>
        <v/>
      </c>
      <c r="G479" s="30">
        <f>IF(A479="","",COUNTIF('Access'!$B$4:$B$1503,A479))</f>
        <v/>
      </c>
      <c r="H479" s="30">
        <f>IF(A479="","",IF(COUNTIF($A$4:$A$1003,A479)&gt;1,"Duplicate holder ID",IF(OR(B479="",C479=""),"Missing required field",IF(F479=0,"No holdings",IF(AND(G479=0,A479&lt;&gt;"LKB-GROUP"),"No login (ok if not invited)","OK")))))</f>
        <v/>
      </c>
    </row>
    <row r="480">
      <c r="A480" s="26" t="n"/>
      <c r="B480" s="26" t="n"/>
      <c r="C480" s="26" t="n"/>
      <c r="D480" s="26" t="n"/>
      <c r="E480" s="26" t="n"/>
      <c r="F480" s="30">
        <f>IF(A480="","",COUNTIF('Holdings'!$A$4:$A$2503,A480))</f>
        <v/>
      </c>
      <c r="G480" s="30">
        <f>IF(A480="","",COUNTIF('Access'!$B$4:$B$1503,A480))</f>
        <v/>
      </c>
      <c r="H480" s="30">
        <f>IF(A480="","",IF(COUNTIF($A$4:$A$1003,A480)&gt;1,"Duplicate holder ID",IF(OR(B480="",C480=""),"Missing required field",IF(F480=0,"No holdings",IF(AND(G480=0,A480&lt;&gt;"LKB-GROUP"),"No login (ok if not invited)","OK")))))</f>
        <v/>
      </c>
    </row>
    <row r="481">
      <c r="A481" s="26" t="n"/>
      <c r="B481" s="26" t="n"/>
      <c r="C481" s="26" t="n"/>
      <c r="D481" s="26" t="n"/>
      <c r="E481" s="26" t="n"/>
      <c r="F481" s="30">
        <f>IF(A481="","",COUNTIF('Holdings'!$A$4:$A$2503,A481))</f>
        <v/>
      </c>
      <c r="G481" s="30">
        <f>IF(A481="","",COUNTIF('Access'!$B$4:$B$1503,A481))</f>
        <v/>
      </c>
      <c r="H481" s="30">
        <f>IF(A481="","",IF(COUNTIF($A$4:$A$1003,A481)&gt;1,"Duplicate holder ID",IF(OR(B481="",C481=""),"Missing required field",IF(F481=0,"No holdings",IF(AND(G481=0,A481&lt;&gt;"LKB-GROUP"),"No login (ok if not invited)","OK")))))</f>
        <v/>
      </c>
    </row>
    <row r="482">
      <c r="A482" s="26" t="n"/>
      <c r="B482" s="26" t="n"/>
      <c r="C482" s="26" t="n"/>
      <c r="D482" s="26" t="n"/>
      <c r="E482" s="26" t="n"/>
      <c r="F482" s="30">
        <f>IF(A482="","",COUNTIF('Holdings'!$A$4:$A$2503,A482))</f>
        <v/>
      </c>
      <c r="G482" s="30">
        <f>IF(A482="","",COUNTIF('Access'!$B$4:$B$1503,A482))</f>
        <v/>
      </c>
      <c r="H482" s="30">
        <f>IF(A482="","",IF(COUNTIF($A$4:$A$1003,A482)&gt;1,"Duplicate holder ID",IF(OR(B482="",C482=""),"Missing required field",IF(F482=0,"No holdings",IF(AND(G482=0,A482&lt;&gt;"LKB-GROUP"),"No login (ok if not invited)","OK")))))</f>
        <v/>
      </c>
    </row>
    <row r="483">
      <c r="A483" s="26" t="n"/>
      <c r="B483" s="26" t="n"/>
      <c r="C483" s="26" t="n"/>
      <c r="D483" s="26" t="n"/>
      <c r="E483" s="26" t="n"/>
      <c r="F483" s="30">
        <f>IF(A483="","",COUNTIF('Holdings'!$A$4:$A$2503,A483))</f>
        <v/>
      </c>
      <c r="G483" s="30">
        <f>IF(A483="","",COUNTIF('Access'!$B$4:$B$1503,A483))</f>
        <v/>
      </c>
      <c r="H483" s="30">
        <f>IF(A483="","",IF(COUNTIF($A$4:$A$1003,A483)&gt;1,"Duplicate holder ID",IF(OR(B483="",C483=""),"Missing required field",IF(F483=0,"No holdings",IF(AND(G483=0,A483&lt;&gt;"LKB-GROUP"),"No login (ok if not invited)","OK")))))</f>
        <v/>
      </c>
    </row>
    <row r="484">
      <c r="A484" s="26" t="n"/>
      <c r="B484" s="26" t="n"/>
      <c r="C484" s="26" t="n"/>
      <c r="D484" s="26" t="n"/>
      <c r="E484" s="26" t="n"/>
      <c r="F484" s="30">
        <f>IF(A484="","",COUNTIF('Holdings'!$A$4:$A$2503,A484))</f>
        <v/>
      </c>
      <c r="G484" s="30">
        <f>IF(A484="","",COUNTIF('Access'!$B$4:$B$1503,A484))</f>
        <v/>
      </c>
      <c r="H484" s="30">
        <f>IF(A484="","",IF(COUNTIF($A$4:$A$1003,A484)&gt;1,"Duplicate holder ID",IF(OR(B484="",C484=""),"Missing required field",IF(F484=0,"No holdings",IF(AND(G484=0,A484&lt;&gt;"LKB-GROUP"),"No login (ok if not invited)","OK")))))</f>
        <v/>
      </c>
    </row>
    <row r="485">
      <c r="A485" s="26" t="n"/>
      <c r="B485" s="26" t="n"/>
      <c r="C485" s="26" t="n"/>
      <c r="D485" s="26" t="n"/>
      <c r="E485" s="26" t="n"/>
      <c r="F485" s="30">
        <f>IF(A485="","",COUNTIF('Holdings'!$A$4:$A$2503,A485))</f>
        <v/>
      </c>
      <c r="G485" s="30">
        <f>IF(A485="","",COUNTIF('Access'!$B$4:$B$1503,A485))</f>
        <v/>
      </c>
      <c r="H485" s="30">
        <f>IF(A485="","",IF(COUNTIF($A$4:$A$1003,A485)&gt;1,"Duplicate holder ID",IF(OR(B485="",C485=""),"Missing required field",IF(F485=0,"No holdings",IF(AND(G485=0,A485&lt;&gt;"LKB-GROUP"),"No login (ok if not invited)","OK")))))</f>
        <v/>
      </c>
    </row>
    <row r="486">
      <c r="A486" s="26" t="n"/>
      <c r="B486" s="26" t="n"/>
      <c r="C486" s="26" t="n"/>
      <c r="D486" s="26" t="n"/>
      <c r="E486" s="26" t="n"/>
      <c r="F486" s="30">
        <f>IF(A486="","",COUNTIF('Holdings'!$A$4:$A$2503,A486))</f>
        <v/>
      </c>
      <c r="G486" s="30">
        <f>IF(A486="","",COUNTIF('Access'!$B$4:$B$1503,A486))</f>
        <v/>
      </c>
      <c r="H486" s="30">
        <f>IF(A486="","",IF(COUNTIF($A$4:$A$1003,A486)&gt;1,"Duplicate holder ID",IF(OR(B486="",C486=""),"Missing required field",IF(F486=0,"No holdings",IF(AND(G486=0,A486&lt;&gt;"LKB-GROUP"),"No login (ok if not invited)","OK")))))</f>
        <v/>
      </c>
    </row>
    <row r="487">
      <c r="A487" s="26" t="n"/>
      <c r="B487" s="26" t="n"/>
      <c r="C487" s="26" t="n"/>
      <c r="D487" s="26" t="n"/>
      <c r="E487" s="26" t="n"/>
      <c r="F487" s="30">
        <f>IF(A487="","",COUNTIF('Holdings'!$A$4:$A$2503,A487))</f>
        <v/>
      </c>
      <c r="G487" s="30">
        <f>IF(A487="","",COUNTIF('Access'!$B$4:$B$1503,A487))</f>
        <v/>
      </c>
      <c r="H487" s="30">
        <f>IF(A487="","",IF(COUNTIF($A$4:$A$1003,A487)&gt;1,"Duplicate holder ID",IF(OR(B487="",C487=""),"Missing required field",IF(F487=0,"No holdings",IF(AND(G487=0,A487&lt;&gt;"LKB-GROUP"),"No login (ok if not invited)","OK")))))</f>
        <v/>
      </c>
    </row>
    <row r="488">
      <c r="A488" s="26" t="n"/>
      <c r="B488" s="26" t="n"/>
      <c r="C488" s="26" t="n"/>
      <c r="D488" s="26" t="n"/>
      <c r="E488" s="26" t="n"/>
      <c r="F488" s="30">
        <f>IF(A488="","",COUNTIF('Holdings'!$A$4:$A$2503,A488))</f>
        <v/>
      </c>
      <c r="G488" s="30">
        <f>IF(A488="","",COUNTIF('Access'!$B$4:$B$1503,A488))</f>
        <v/>
      </c>
      <c r="H488" s="30">
        <f>IF(A488="","",IF(COUNTIF($A$4:$A$1003,A488)&gt;1,"Duplicate holder ID",IF(OR(B488="",C488=""),"Missing required field",IF(F488=0,"No holdings",IF(AND(G488=0,A488&lt;&gt;"LKB-GROUP"),"No login (ok if not invited)","OK")))))</f>
        <v/>
      </c>
    </row>
    <row r="489">
      <c r="A489" s="26" t="n"/>
      <c r="B489" s="26" t="n"/>
      <c r="C489" s="26" t="n"/>
      <c r="D489" s="26" t="n"/>
      <c r="E489" s="26" t="n"/>
      <c r="F489" s="30">
        <f>IF(A489="","",COUNTIF('Holdings'!$A$4:$A$2503,A489))</f>
        <v/>
      </c>
      <c r="G489" s="30">
        <f>IF(A489="","",COUNTIF('Access'!$B$4:$B$1503,A489))</f>
        <v/>
      </c>
      <c r="H489" s="30">
        <f>IF(A489="","",IF(COUNTIF($A$4:$A$1003,A489)&gt;1,"Duplicate holder ID",IF(OR(B489="",C489=""),"Missing required field",IF(F489=0,"No holdings",IF(AND(G489=0,A489&lt;&gt;"LKB-GROUP"),"No login (ok if not invited)","OK")))))</f>
        <v/>
      </c>
    </row>
    <row r="490">
      <c r="A490" s="26" t="n"/>
      <c r="B490" s="26" t="n"/>
      <c r="C490" s="26" t="n"/>
      <c r="D490" s="26" t="n"/>
      <c r="E490" s="26" t="n"/>
      <c r="F490" s="30">
        <f>IF(A490="","",COUNTIF('Holdings'!$A$4:$A$2503,A490))</f>
        <v/>
      </c>
      <c r="G490" s="30">
        <f>IF(A490="","",COUNTIF('Access'!$B$4:$B$1503,A490))</f>
        <v/>
      </c>
      <c r="H490" s="30">
        <f>IF(A490="","",IF(COUNTIF($A$4:$A$1003,A490)&gt;1,"Duplicate holder ID",IF(OR(B490="",C490=""),"Missing required field",IF(F490=0,"No holdings",IF(AND(G490=0,A490&lt;&gt;"LKB-GROUP"),"No login (ok if not invited)","OK")))))</f>
        <v/>
      </c>
    </row>
    <row r="491">
      <c r="A491" s="26" t="n"/>
      <c r="B491" s="26" t="n"/>
      <c r="C491" s="26" t="n"/>
      <c r="D491" s="26" t="n"/>
      <c r="E491" s="26" t="n"/>
      <c r="F491" s="30">
        <f>IF(A491="","",COUNTIF('Holdings'!$A$4:$A$2503,A491))</f>
        <v/>
      </c>
      <c r="G491" s="30">
        <f>IF(A491="","",COUNTIF('Access'!$B$4:$B$1503,A491))</f>
        <v/>
      </c>
      <c r="H491" s="30">
        <f>IF(A491="","",IF(COUNTIF($A$4:$A$1003,A491)&gt;1,"Duplicate holder ID",IF(OR(B491="",C491=""),"Missing required field",IF(F491=0,"No holdings",IF(AND(G491=0,A491&lt;&gt;"LKB-GROUP"),"No login (ok if not invited)","OK")))))</f>
        <v/>
      </c>
    </row>
    <row r="492">
      <c r="A492" s="26" t="n"/>
      <c r="B492" s="26" t="n"/>
      <c r="C492" s="26" t="n"/>
      <c r="D492" s="26" t="n"/>
      <c r="E492" s="26" t="n"/>
      <c r="F492" s="30">
        <f>IF(A492="","",COUNTIF('Holdings'!$A$4:$A$2503,A492))</f>
        <v/>
      </c>
      <c r="G492" s="30">
        <f>IF(A492="","",COUNTIF('Access'!$B$4:$B$1503,A492))</f>
        <v/>
      </c>
      <c r="H492" s="30">
        <f>IF(A492="","",IF(COUNTIF($A$4:$A$1003,A492)&gt;1,"Duplicate holder ID",IF(OR(B492="",C492=""),"Missing required field",IF(F492=0,"No holdings",IF(AND(G492=0,A492&lt;&gt;"LKB-GROUP"),"No login (ok if not invited)","OK")))))</f>
        <v/>
      </c>
    </row>
    <row r="493">
      <c r="A493" s="26" t="n"/>
      <c r="B493" s="26" t="n"/>
      <c r="C493" s="26" t="n"/>
      <c r="D493" s="26" t="n"/>
      <c r="E493" s="26" t="n"/>
      <c r="F493" s="30">
        <f>IF(A493="","",COUNTIF('Holdings'!$A$4:$A$2503,A493))</f>
        <v/>
      </c>
      <c r="G493" s="30">
        <f>IF(A493="","",COUNTIF('Access'!$B$4:$B$1503,A493))</f>
        <v/>
      </c>
      <c r="H493" s="30">
        <f>IF(A493="","",IF(COUNTIF($A$4:$A$1003,A493)&gt;1,"Duplicate holder ID",IF(OR(B493="",C493=""),"Missing required field",IF(F493=0,"No holdings",IF(AND(G493=0,A493&lt;&gt;"LKB-GROUP"),"No login (ok if not invited)","OK")))))</f>
        <v/>
      </c>
    </row>
    <row r="494">
      <c r="A494" s="26" t="n"/>
      <c r="B494" s="26" t="n"/>
      <c r="C494" s="26" t="n"/>
      <c r="D494" s="26" t="n"/>
      <c r="E494" s="26" t="n"/>
      <c r="F494" s="30">
        <f>IF(A494="","",COUNTIF('Holdings'!$A$4:$A$2503,A494))</f>
        <v/>
      </c>
      <c r="G494" s="30">
        <f>IF(A494="","",COUNTIF('Access'!$B$4:$B$1503,A494))</f>
        <v/>
      </c>
      <c r="H494" s="30">
        <f>IF(A494="","",IF(COUNTIF($A$4:$A$1003,A494)&gt;1,"Duplicate holder ID",IF(OR(B494="",C494=""),"Missing required field",IF(F494=0,"No holdings",IF(AND(G494=0,A494&lt;&gt;"LKB-GROUP"),"No login (ok if not invited)","OK")))))</f>
        <v/>
      </c>
    </row>
    <row r="495">
      <c r="A495" s="26" t="n"/>
      <c r="B495" s="26" t="n"/>
      <c r="C495" s="26" t="n"/>
      <c r="D495" s="26" t="n"/>
      <c r="E495" s="26" t="n"/>
      <c r="F495" s="30">
        <f>IF(A495="","",COUNTIF('Holdings'!$A$4:$A$2503,A495))</f>
        <v/>
      </c>
      <c r="G495" s="30">
        <f>IF(A495="","",COUNTIF('Access'!$B$4:$B$1503,A495))</f>
        <v/>
      </c>
      <c r="H495" s="30">
        <f>IF(A495="","",IF(COUNTIF($A$4:$A$1003,A495)&gt;1,"Duplicate holder ID",IF(OR(B495="",C495=""),"Missing required field",IF(F495=0,"No holdings",IF(AND(G495=0,A495&lt;&gt;"LKB-GROUP"),"No login (ok if not invited)","OK")))))</f>
        <v/>
      </c>
    </row>
    <row r="496">
      <c r="A496" s="26" t="n"/>
      <c r="B496" s="26" t="n"/>
      <c r="C496" s="26" t="n"/>
      <c r="D496" s="26" t="n"/>
      <c r="E496" s="26" t="n"/>
      <c r="F496" s="30">
        <f>IF(A496="","",COUNTIF('Holdings'!$A$4:$A$2503,A496))</f>
        <v/>
      </c>
      <c r="G496" s="30">
        <f>IF(A496="","",COUNTIF('Access'!$B$4:$B$1503,A496))</f>
        <v/>
      </c>
      <c r="H496" s="30">
        <f>IF(A496="","",IF(COUNTIF($A$4:$A$1003,A496)&gt;1,"Duplicate holder ID",IF(OR(B496="",C496=""),"Missing required field",IF(F496=0,"No holdings",IF(AND(G496=0,A496&lt;&gt;"LKB-GROUP"),"No login (ok if not invited)","OK")))))</f>
        <v/>
      </c>
    </row>
    <row r="497">
      <c r="A497" s="26" t="n"/>
      <c r="B497" s="26" t="n"/>
      <c r="C497" s="26" t="n"/>
      <c r="D497" s="26" t="n"/>
      <c r="E497" s="26" t="n"/>
      <c r="F497" s="30">
        <f>IF(A497="","",COUNTIF('Holdings'!$A$4:$A$2503,A497))</f>
        <v/>
      </c>
      <c r="G497" s="30">
        <f>IF(A497="","",COUNTIF('Access'!$B$4:$B$1503,A497))</f>
        <v/>
      </c>
      <c r="H497" s="30">
        <f>IF(A497="","",IF(COUNTIF($A$4:$A$1003,A497)&gt;1,"Duplicate holder ID",IF(OR(B497="",C497=""),"Missing required field",IF(F497=0,"No holdings",IF(AND(G497=0,A497&lt;&gt;"LKB-GROUP"),"No login (ok if not invited)","OK")))))</f>
        <v/>
      </c>
    </row>
    <row r="498">
      <c r="A498" s="26" t="n"/>
      <c r="B498" s="26" t="n"/>
      <c r="C498" s="26" t="n"/>
      <c r="D498" s="26" t="n"/>
      <c r="E498" s="26" t="n"/>
      <c r="F498" s="30">
        <f>IF(A498="","",COUNTIF('Holdings'!$A$4:$A$2503,A498))</f>
        <v/>
      </c>
      <c r="G498" s="30">
        <f>IF(A498="","",COUNTIF('Access'!$B$4:$B$1503,A498))</f>
        <v/>
      </c>
      <c r="H498" s="30">
        <f>IF(A498="","",IF(COUNTIF($A$4:$A$1003,A498)&gt;1,"Duplicate holder ID",IF(OR(B498="",C498=""),"Missing required field",IF(F498=0,"No holdings",IF(AND(G498=0,A498&lt;&gt;"LKB-GROUP"),"No login (ok if not invited)","OK")))))</f>
        <v/>
      </c>
    </row>
    <row r="499">
      <c r="A499" s="26" t="n"/>
      <c r="B499" s="26" t="n"/>
      <c r="C499" s="26" t="n"/>
      <c r="D499" s="26" t="n"/>
      <c r="E499" s="26" t="n"/>
      <c r="F499" s="30">
        <f>IF(A499="","",COUNTIF('Holdings'!$A$4:$A$2503,A499))</f>
        <v/>
      </c>
      <c r="G499" s="30">
        <f>IF(A499="","",COUNTIF('Access'!$B$4:$B$1503,A499))</f>
        <v/>
      </c>
      <c r="H499" s="30">
        <f>IF(A499="","",IF(COUNTIF($A$4:$A$1003,A499)&gt;1,"Duplicate holder ID",IF(OR(B499="",C499=""),"Missing required field",IF(F499=0,"No holdings",IF(AND(G499=0,A499&lt;&gt;"LKB-GROUP"),"No login (ok if not invited)","OK")))))</f>
        <v/>
      </c>
    </row>
    <row r="500">
      <c r="A500" s="26" t="n"/>
      <c r="B500" s="26" t="n"/>
      <c r="C500" s="26" t="n"/>
      <c r="D500" s="26" t="n"/>
      <c r="E500" s="26" t="n"/>
      <c r="F500" s="30">
        <f>IF(A500="","",COUNTIF('Holdings'!$A$4:$A$2503,A500))</f>
        <v/>
      </c>
      <c r="G500" s="30">
        <f>IF(A500="","",COUNTIF('Access'!$B$4:$B$1503,A500))</f>
        <v/>
      </c>
      <c r="H500" s="30">
        <f>IF(A500="","",IF(COUNTIF($A$4:$A$1003,A500)&gt;1,"Duplicate holder ID",IF(OR(B500="",C500=""),"Missing required field",IF(F500=0,"No holdings",IF(AND(G500=0,A500&lt;&gt;"LKB-GROUP"),"No login (ok if not invited)","OK")))))</f>
        <v/>
      </c>
    </row>
    <row r="501">
      <c r="A501" s="26" t="n"/>
      <c r="B501" s="26" t="n"/>
      <c r="C501" s="26" t="n"/>
      <c r="D501" s="26" t="n"/>
      <c r="E501" s="26" t="n"/>
      <c r="F501" s="30">
        <f>IF(A501="","",COUNTIF('Holdings'!$A$4:$A$2503,A501))</f>
        <v/>
      </c>
      <c r="G501" s="30">
        <f>IF(A501="","",COUNTIF('Access'!$B$4:$B$1503,A501))</f>
        <v/>
      </c>
      <c r="H501" s="30">
        <f>IF(A501="","",IF(COUNTIF($A$4:$A$1003,A501)&gt;1,"Duplicate holder ID",IF(OR(B501="",C501=""),"Missing required field",IF(F501=0,"No holdings",IF(AND(G501=0,A501&lt;&gt;"LKB-GROUP"),"No login (ok if not invited)","OK")))))</f>
        <v/>
      </c>
    </row>
    <row r="502">
      <c r="A502" s="26" t="n"/>
      <c r="B502" s="26" t="n"/>
      <c r="C502" s="26" t="n"/>
      <c r="D502" s="26" t="n"/>
      <c r="E502" s="26" t="n"/>
      <c r="F502" s="30">
        <f>IF(A502="","",COUNTIF('Holdings'!$A$4:$A$2503,A502))</f>
        <v/>
      </c>
      <c r="G502" s="30">
        <f>IF(A502="","",COUNTIF('Access'!$B$4:$B$1503,A502))</f>
        <v/>
      </c>
      <c r="H502" s="30">
        <f>IF(A502="","",IF(COUNTIF($A$4:$A$1003,A502)&gt;1,"Duplicate holder ID",IF(OR(B502="",C502=""),"Missing required field",IF(F502=0,"No holdings",IF(AND(G502=0,A502&lt;&gt;"LKB-GROUP"),"No login (ok if not invited)","OK")))))</f>
        <v/>
      </c>
    </row>
    <row r="503">
      <c r="A503" s="26" t="n"/>
      <c r="B503" s="26" t="n"/>
      <c r="C503" s="26" t="n"/>
      <c r="D503" s="26" t="n"/>
      <c r="E503" s="26" t="n"/>
      <c r="F503" s="30">
        <f>IF(A503="","",COUNTIF('Holdings'!$A$4:$A$2503,A503))</f>
        <v/>
      </c>
      <c r="G503" s="30">
        <f>IF(A503="","",COUNTIF('Access'!$B$4:$B$1503,A503))</f>
        <v/>
      </c>
      <c r="H503" s="30">
        <f>IF(A503="","",IF(COUNTIF($A$4:$A$1003,A503)&gt;1,"Duplicate holder ID",IF(OR(B503="",C503=""),"Missing required field",IF(F503=0,"No holdings",IF(AND(G503=0,A503&lt;&gt;"LKB-GROUP"),"No login (ok if not invited)","OK")))))</f>
        <v/>
      </c>
    </row>
    <row r="504">
      <c r="A504" s="26" t="n"/>
      <c r="B504" s="26" t="n"/>
      <c r="C504" s="26" t="n"/>
      <c r="D504" s="26" t="n"/>
      <c r="E504" s="26" t="n"/>
      <c r="F504" s="30">
        <f>IF(A504="","",COUNTIF('Holdings'!$A$4:$A$2503,A504))</f>
        <v/>
      </c>
      <c r="G504" s="30">
        <f>IF(A504="","",COUNTIF('Access'!$B$4:$B$1503,A504))</f>
        <v/>
      </c>
      <c r="H504" s="30">
        <f>IF(A504="","",IF(COUNTIF($A$4:$A$1003,A504)&gt;1,"Duplicate holder ID",IF(OR(B504="",C504=""),"Missing required field",IF(F504=0,"No holdings",IF(AND(G504=0,A504&lt;&gt;"LKB-GROUP"),"No login (ok if not invited)","OK")))))</f>
        <v/>
      </c>
    </row>
    <row r="505">
      <c r="A505" s="26" t="n"/>
      <c r="B505" s="26" t="n"/>
      <c r="C505" s="26" t="n"/>
      <c r="D505" s="26" t="n"/>
      <c r="E505" s="26" t="n"/>
      <c r="F505" s="30">
        <f>IF(A505="","",COUNTIF('Holdings'!$A$4:$A$2503,A505))</f>
        <v/>
      </c>
      <c r="G505" s="30">
        <f>IF(A505="","",COUNTIF('Access'!$B$4:$B$1503,A505))</f>
        <v/>
      </c>
      <c r="H505" s="30">
        <f>IF(A505="","",IF(COUNTIF($A$4:$A$1003,A505)&gt;1,"Duplicate holder ID",IF(OR(B505="",C505=""),"Missing required field",IF(F505=0,"No holdings",IF(AND(G505=0,A505&lt;&gt;"LKB-GROUP"),"No login (ok if not invited)","OK")))))</f>
        <v/>
      </c>
    </row>
    <row r="506">
      <c r="A506" s="26" t="n"/>
      <c r="B506" s="26" t="n"/>
      <c r="C506" s="26" t="n"/>
      <c r="D506" s="26" t="n"/>
      <c r="E506" s="26" t="n"/>
      <c r="F506" s="30">
        <f>IF(A506="","",COUNTIF('Holdings'!$A$4:$A$2503,A506))</f>
        <v/>
      </c>
      <c r="G506" s="30">
        <f>IF(A506="","",COUNTIF('Access'!$B$4:$B$1503,A506))</f>
        <v/>
      </c>
      <c r="H506" s="30">
        <f>IF(A506="","",IF(COUNTIF($A$4:$A$1003,A506)&gt;1,"Duplicate holder ID",IF(OR(B506="",C506=""),"Missing required field",IF(F506=0,"No holdings",IF(AND(G506=0,A506&lt;&gt;"LKB-GROUP"),"No login (ok if not invited)","OK")))))</f>
        <v/>
      </c>
    </row>
    <row r="507">
      <c r="A507" s="26" t="n"/>
      <c r="B507" s="26" t="n"/>
      <c r="C507" s="26" t="n"/>
      <c r="D507" s="26" t="n"/>
      <c r="E507" s="26" t="n"/>
      <c r="F507" s="30">
        <f>IF(A507="","",COUNTIF('Holdings'!$A$4:$A$2503,A507))</f>
        <v/>
      </c>
      <c r="G507" s="30">
        <f>IF(A507="","",COUNTIF('Access'!$B$4:$B$1503,A507))</f>
        <v/>
      </c>
      <c r="H507" s="30">
        <f>IF(A507="","",IF(COUNTIF($A$4:$A$1003,A507)&gt;1,"Duplicate holder ID",IF(OR(B507="",C507=""),"Missing required field",IF(F507=0,"No holdings",IF(AND(G507=0,A507&lt;&gt;"LKB-GROUP"),"No login (ok if not invited)","OK")))))</f>
        <v/>
      </c>
    </row>
    <row r="508">
      <c r="A508" s="26" t="n"/>
      <c r="B508" s="26" t="n"/>
      <c r="C508" s="26" t="n"/>
      <c r="D508" s="26" t="n"/>
      <c r="E508" s="26" t="n"/>
      <c r="F508" s="30">
        <f>IF(A508="","",COUNTIF('Holdings'!$A$4:$A$2503,A508))</f>
        <v/>
      </c>
      <c r="G508" s="30">
        <f>IF(A508="","",COUNTIF('Access'!$B$4:$B$1503,A508))</f>
        <v/>
      </c>
      <c r="H508" s="30">
        <f>IF(A508="","",IF(COUNTIF($A$4:$A$1003,A508)&gt;1,"Duplicate holder ID",IF(OR(B508="",C508=""),"Missing required field",IF(F508=0,"No holdings",IF(AND(G508=0,A508&lt;&gt;"LKB-GROUP"),"No login (ok if not invited)","OK")))))</f>
        <v/>
      </c>
    </row>
    <row r="509">
      <c r="A509" s="26" t="n"/>
      <c r="B509" s="26" t="n"/>
      <c r="C509" s="26" t="n"/>
      <c r="D509" s="26" t="n"/>
      <c r="E509" s="26" t="n"/>
      <c r="F509" s="30">
        <f>IF(A509="","",COUNTIF('Holdings'!$A$4:$A$2503,A509))</f>
        <v/>
      </c>
      <c r="G509" s="30">
        <f>IF(A509="","",COUNTIF('Access'!$B$4:$B$1503,A509))</f>
        <v/>
      </c>
      <c r="H509" s="30">
        <f>IF(A509="","",IF(COUNTIF($A$4:$A$1003,A509)&gt;1,"Duplicate holder ID",IF(OR(B509="",C509=""),"Missing required field",IF(F509=0,"No holdings",IF(AND(G509=0,A509&lt;&gt;"LKB-GROUP"),"No login (ok if not invited)","OK")))))</f>
        <v/>
      </c>
    </row>
    <row r="510">
      <c r="A510" s="26" t="n"/>
      <c r="B510" s="26" t="n"/>
      <c r="C510" s="26" t="n"/>
      <c r="D510" s="26" t="n"/>
      <c r="E510" s="26" t="n"/>
      <c r="F510" s="30">
        <f>IF(A510="","",COUNTIF('Holdings'!$A$4:$A$2503,A510))</f>
        <v/>
      </c>
      <c r="G510" s="30">
        <f>IF(A510="","",COUNTIF('Access'!$B$4:$B$1503,A510))</f>
        <v/>
      </c>
      <c r="H510" s="30">
        <f>IF(A510="","",IF(COUNTIF($A$4:$A$1003,A510)&gt;1,"Duplicate holder ID",IF(OR(B510="",C510=""),"Missing required field",IF(F510=0,"No holdings",IF(AND(G510=0,A510&lt;&gt;"LKB-GROUP"),"No login (ok if not invited)","OK")))))</f>
        <v/>
      </c>
    </row>
    <row r="511">
      <c r="A511" s="26" t="n"/>
      <c r="B511" s="26" t="n"/>
      <c r="C511" s="26" t="n"/>
      <c r="D511" s="26" t="n"/>
      <c r="E511" s="26" t="n"/>
      <c r="F511" s="30">
        <f>IF(A511="","",COUNTIF('Holdings'!$A$4:$A$2503,A511))</f>
        <v/>
      </c>
      <c r="G511" s="30">
        <f>IF(A511="","",COUNTIF('Access'!$B$4:$B$1503,A511))</f>
        <v/>
      </c>
      <c r="H511" s="30">
        <f>IF(A511="","",IF(COUNTIF($A$4:$A$1003,A511)&gt;1,"Duplicate holder ID",IF(OR(B511="",C511=""),"Missing required field",IF(F511=0,"No holdings",IF(AND(G511=0,A511&lt;&gt;"LKB-GROUP"),"No login (ok if not invited)","OK")))))</f>
        <v/>
      </c>
    </row>
    <row r="512">
      <c r="A512" s="26" t="n"/>
      <c r="B512" s="26" t="n"/>
      <c r="C512" s="26" t="n"/>
      <c r="D512" s="26" t="n"/>
      <c r="E512" s="26" t="n"/>
      <c r="F512" s="30">
        <f>IF(A512="","",COUNTIF('Holdings'!$A$4:$A$2503,A512))</f>
        <v/>
      </c>
      <c r="G512" s="30">
        <f>IF(A512="","",COUNTIF('Access'!$B$4:$B$1503,A512))</f>
        <v/>
      </c>
      <c r="H512" s="30">
        <f>IF(A512="","",IF(COUNTIF($A$4:$A$1003,A512)&gt;1,"Duplicate holder ID",IF(OR(B512="",C512=""),"Missing required field",IF(F512=0,"No holdings",IF(AND(G512=0,A512&lt;&gt;"LKB-GROUP"),"No login (ok if not invited)","OK")))))</f>
        <v/>
      </c>
    </row>
    <row r="513">
      <c r="A513" s="26" t="n"/>
      <c r="B513" s="26" t="n"/>
      <c r="C513" s="26" t="n"/>
      <c r="D513" s="26" t="n"/>
      <c r="E513" s="26" t="n"/>
      <c r="F513" s="30">
        <f>IF(A513="","",COUNTIF('Holdings'!$A$4:$A$2503,A513))</f>
        <v/>
      </c>
      <c r="G513" s="30">
        <f>IF(A513="","",COUNTIF('Access'!$B$4:$B$1503,A513))</f>
        <v/>
      </c>
      <c r="H513" s="30">
        <f>IF(A513="","",IF(COUNTIF($A$4:$A$1003,A513)&gt;1,"Duplicate holder ID",IF(OR(B513="",C513=""),"Missing required field",IF(F513=0,"No holdings",IF(AND(G513=0,A513&lt;&gt;"LKB-GROUP"),"No login (ok if not invited)","OK")))))</f>
        <v/>
      </c>
    </row>
    <row r="514">
      <c r="A514" s="26" t="n"/>
      <c r="B514" s="26" t="n"/>
      <c r="C514" s="26" t="n"/>
      <c r="D514" s="26" t="n"/>
      <c r="E514" s="26" t="n"/>
      <c r="F514" s="30">
        <f>IF(A514="","",COUNTIF('Holdings'!$A$4:$A$2503,A514))</f>
        <v/>
      </c>
      <c r="G514" s="30">
        <f>IF(A514="","",COUNTIF('Access'!$B$4:$B$1503,A514))</f>
        <v/>
      </c>
      <c r="H514" s="30">
        <f>IF(A514="","",IF(COUNTIF($A$4:$A$1003,A514)&gt;1,"Duplicate holder ID",IF(OR(B514="",C514=""),"Missing required field",IF(F514=0,"No holdings",IF(AND(G514=0,A514&lt;&gt;"LKB-GROUP"),"No login (ok if not invited)","OK")))))</f>
        <v/>
      </c>
    </row>
    <row r="515">
      <c r="A515" s="26" t="n"/>
      <c r="B515" s="26" t="n"/>
      <c r="C515" s="26" t="n"/>
      <c r="D515" s="26" t="n"/>
      <c r="E515" s="26" t="n"/>
      <c r="F515" s="30">
        <f>IF(A515="","",COUNTIF('Holdings'!$A$4:$A$2503,A515))</f>
        <v/>
      </c>
      <c r="G515" s="30">
        <f>IF(A515="","",COUNTIF('Access'!$B$4:$B$1503,A515))</f>
        <v/>
      </c>
      <c r="H515" s="30">
        <f>IF(A515="","",IF(COUNTIF($A$4:$A$1003,A515)&gt;1,"Duplicate holder ID",IF(OR(B515="",C515=""),"Missing required field",IF(F515=0,"No holdings",IF(AND(G515=0,A515&lt;&gt;"LKB-GROUP"),"No login (ok if not invited)","OK")))))</f>
        <v/>
      </c>
    </row>
    <row r="516">
      <c r="A516" s="26" t="n"/>
      <c r="B516" s="26" t="n"/>
      <c r="C516" s="26" t="n"/>
      <c r="D516" s="26" t="n"/>
      <c r="E516" s="26" t="n"/>
      <c r="F516" s="30">
        <f>IF(A516="","",COUNTIF('Holdings'!$A$4:$A$2503,A516))</f>
        <v/>
      </c>
      <c r="G516" s="30">
        <f>IF(A516="","",COUNTIF('Access'!$B$4:$B$1503,A516))</f>
        <v/>
      </c>
      <c r="H516" s="30">
        <f>IF(A516="","",IF(COUNTIF($A$4:$A$1003,A516)&gt;1,"Duplicate holder ID",IF(OR(B516="",C516=""),"Missing required field",IF(F516=0,"No holdings",IF(AND(G516=0,A516&lt;&gt;"LKB-GROUP"),"No login (ok if not invited)","OK")))))</f>
        <v/>
      </c>
    </row>
    <row r="517">
      <c r="A517" s="26" t="n"/>
      <c r="B517" s="26" t="n"/>
      <c r="C517" s="26" t="n"/>
      <c r="D517" s="26" t="n"/>
      <c r="E517" s="26" t="n"/>
      <c r="F517" s="30">
        <f>IF(A517="","",COUNTIF('Holdings'!$A$4:$A$2503,A517))</f>
        <v/>
      </c>
      <c r="G517" s="30">
        <f>IF(A517="","",COUNTIF('Access'!$B$4:$B$1503,A517))</f>
        <v/>
      </c>
      <c r="H517" s="30">
        <f>IF(A517="","",IF(COUNTIF($A$4:$A$1003,A517)&gt;1,"Duplicate holder ID",IF(OR(B517="",C517=""),"Missing required field",IF(F517=0,"No holdings",IF(AND(G517=0,A517&lt;&gt;"LKB-GROUP"),"No login (ok if not invited)","OK")))))</f>
        <v/>
      </c>
    </row>
    <row r="518">
      <c r="A518" s="26" t="n"/>
      <c r="B518" s="26" t="n"/>
      <c r="C518" s="26" t="n"/>
      <c r="D518" s="26" t="n"/>
      <c r="E518" s="26" t="n"/>
      <c r="F518" s="30">
        <f>IF(A518="","",COUNTIF('Holdings'!$A$4:$A$2503,A518))</f>
        <v/>
      </c>
      <c r="G518" s="30">
        <f>IF(A518="","",COUNTIF('Access'!$B$4:$B$1503,A518))</f>
        <v/>
      </c>
      <c r="H518" s="30">
        <f>IF(A518="","",IF(COUNTIF($A$4:$A$1003,A518)&gt;1,"Duplicate holder ID",IF(OR(B518="",C518=""),"Missing required field",IF(F518=0,"No holdings",IF(AND(G518=0,A518&lt;&gt;"LKB-GROUP"),"No login (ok if not invited)","OK")))))</f>
        <v/>
      </c>
    </row>
    <row r="519">
      <c r="A519" s="26" t="n"/>
      <c r="B519" s="26" t="n"/>
      <c r="C519" s="26" t="n"/>
      <c r="D519" s="26" t="n"/>
      <c r="E519" s="26" t="n"/>
      <c r="F519" s="30">
        <f>IF(A519="","",COUNTIF('Holdings'!$A$4:$A$2503,A519))</f>
        <v/>
      </c>
      <c r="G519" s="30">
        <f>IF(A519="","",COUNTIF('Access'!$B$4:$B$1503,A519))</f>
        <v/>
      </c>
      <c r="H519" s="30">
        <f>IF(A519="","",IF(COUNTIF($A$4:$A$1003,A519)&gt;1,"Duplicate holder ID",IF(OR(B519="",C519=""),"Missing required field",IF(F519=0,"No holdings",IF(AND(G519=0,A519&lt;&gt;"LKB-GROUP"),"No login (ok if not invited)","OK")))))</f>
        <v/>
      </c>
    </row>
    <row r="520">
      <c r="A520" s="26" t="n"/>
      <c r="B520" s="26" t="n"/>
      <c r="C520" s="26" t="n"/>
      <c r="D520" s="26" t="n"/>
      <c r="E520" s="26" t="n"/>
      <c r="F520" s="30">
        <f>IF(A520="","",COUNTIF('Holdings'!$A$4:$A$2503,A520))</f>
        <v/>
      </c>
      <c r="G520" s="30">
        <f>IF(A520="","",COUNTIF('Access'!$B$4:$B$1503,A520))</f>
        <v/>
      </c>
      <c r="H520" s="30">
        <f>IF(A520="","",IF(COUNTIF($A$4:$A$1003,A520)&gt;1,"Duplicate holder ID",IF(OR(B520="",C520=""),"Missing required field",IF(F520=0,"No holdings",IF(AND(G520=0,A520&lt;&gt;"LKB-GROUP"),"No login (ok if not invited)","OK")))))</f>
        <v/>
      </c>
    </row>
    <row r="521">
      <c r="A521" s="26" t="n"/>
      <c r="B521" s="26" t="n"/>
      <c r="C521" s="26" t="n"/>
      <c r="D521" s="26" t="n"/>
      <c r="E521" s="26" t="n"/>
      <c r="F521" s="30">
        <f>IF(A521="","",COUNTIF('Holdings'!$A$4:$A$2503,A521))</f>
        <v/>
      </c>
      <c r="G521" s="30">
        <f>IF(A521="","",COUNTIF('Access'!$B$4:$B$1503,A521))</f>
        <v/>
      </c>
      <c r="H521" s="30">
        <f>IF(A521="","",IF(COUNTIF($A$4:$A$1003,A521)&gt;1,"Duplicate holder ID",IF(OR(B521="",C521=""),"Missing required field",IF(F521=0,"No holdings",IF(AND(G521=0,A521&lt;&gt;"LKB-GROUP"),"No login (ok if not invited)","OK")))))</f>
        <v/>
      </c>
    </row>
    <row r="522">
      <c r="A522" s="26" t="n"/>
      <c r="B522" s="26" t="n"/>
      <c r="C522" s="26" t="n"/>
      <c r="D522" s="26" t="n"/>
      <c r="E522" s="26" t="n"/>
      <c r="F522" s="30">
        <f>IF(A522="","",COUNTIF('Holdings'!$A$4:$A$2503,A522))</f>
        <v/>
      </c>
      <c r="G522" s="30">
        <f>IF(A522="","",COUNTIF('Access'!$B$4:$B$1503,A522))</f>
        <v/>
      </c>
      <c r="H522" s="30">
        <f>IF(A522="","",IF(COUNTIF($A$4:$A$1003,A522)&gt;1,"Duplicate holder ID",IF(OR(B522="",C522=""),"Missing required field",IF(F522=0,"No holdings",IF(AND(G522=0,A522&lt;&gt;"LKB-GROUP"),"No login (ok if not invited)","OK")))))</f>
        <v/>
      </c>
    </row>
    <row r="523">
      <c r="A523" s="26" t="n"/>
      <c r="B523" s="26" t="n"/>
      <c r="C523" s="26" t="n"/>
      <c r="D523" s="26" t="n"/>
      <c r="E523" s="26" t="n"/>
      <c r="F523" s="30">
        <f>IF(A523="","",COUNTIF('Holdings'!$A$4:$A$2503,A523))</f>
        <v/>
      </c>
      <c r="G523" s="30">
        <f>IF(A523="","",COUNTIF('Access'!$B$4:$B$1503,A523))</f>
        <v/>
      </c>
      <c r="H523" s="30">
        <f>IF(A523="","",IF(COUNTIF($A$4:$A$1003,A523)&gt;1,"Duplicate holder ID",IF(OR(B523="",C523=""),"Missing required field",IF(F523=0,"No holdings",IF(AND(G523=0,A523&lt;&gt;"LKB-GROUP"),"No login (ok if not invited)","OK")))))</f>
        <v/>
      </c>
    </row>
    <row r="524">
      <c r="A524" s="26" t="n"/>
      <c r="B524" s="26" t="n"/>
      <c r="C524" s="26" t="n"/>
      <c r="D524" s="26" t="n"/>
      <c r="E524" s="26" t="n"/>
      <c r="F524" s="30">
        <f>IF(A524="","",COUNTIF('Holdings'!$A$4:$A$2503,A524))</f>
        <v/>
      </c>
      <c r="G524" s="30">
        <f>IF(A524="","",COUNTIF('Access'!$B$4:$B$1503,A524))</f>
        <v/>
      </c>
      <c r="H524" s="30">
        <f>IF(A524="","",IF(COUNTIF($A$4:$A$1003,A524)&gt;1,"Duplicate holder ID",IF(OR(B524="",C524=""),"Missing required field",IF(F524=0,"No holdings",IF(AND(G524=0,A524&lt;&gt;"LKB-GROUP"),"No login (ok if not invited)","OK")))))</f>
        <v/>
      </c>
    </row>
    <row r="525">
      <c r="A525" s="26" t="n"/>
      <c r="B525" s="26" t="n"/>
      <c r="C525" s="26" t="n"/>
      <c r="D525" s="26" t="n"/>
      <c r="E525" s="26" t="n"/>
      <c r="F525" s="30">
        <f>IF(A525="","",COUNTIF('Holdings'!$A$4:$A$2503,A525))</f>
        <v/>
      </c>
      <c r="G525" s="30">
        <f>IF(A525="","",COUNTIF('Access'!$B$4:$B$1503,A525))</f>
        <v/>
      </c>
      <c r="H525" s="30">
        <f>IF(A525="","",IF(COUNTIF($A$4:$A$1003,A525)&gt;1,"Duplicate holder ID",IF(OR(B525="",C525=""),"Missing required field",IF(F525=0,"No holdings",IF(AND(G525=0,A525&lt;&gt;"LKB-GROUP"),"No login (ok if not invited)","OK")))))</f>
        <v/>
      </c>
    </row>
    <row r="526">
      <c r="A526" s="26" t="n"/>
      <c r="B526" s="26" t="n"/>
      <c r="C526" s="26" t="n"/>
      <c r="D526" s="26" t="n"/>
      <c r="E526" s="26" t="n"/>
      <c r="F526" s="30">
        <f>IF(A526="","",COUNTIF('Holdings'!$A$4:$A$2503,A526))</f>
        <v/>
      </c>
      <c r="G526" s="30">
        <f>IF(A526="","",COUNTIF('Access'!$B$4:$B$1503,A526))</f>
        <v/>
      </c>
      <c r="H526" s="30">
        <f>IF(A526="","",IF(COUNTIF($A$4:$A$1003,A526)&gt;1,"Duplicate holder ID",IF(OR(B526="",C526=""),"Missing required field",IF(F526=0,"No holdings",IF(AND(G526=0,A526&lt;&gt;"LKB-GROUP"),"No login (ok if not invited)","OK")))))</f>
        <v/>
      </c>
    </row>
    <row r="527">
      <c r="A527" s="26" t="n"/>
      <c r="B527" s="26" t="n"/>
      <c r="C527" s="26" t="n"/>
      <c r="D527" s="26" t="n"/>
      <c r="E527" s="26" t="n"/>
      <c r="F527" s="30">
        <f>IF(A527="","",COUNTIF('Holdings'!$A$4:$A$2503,A527))</f>
        <v/>
      </c>
      <c r="G527" s="30">
        <f>IF(A527="","",COUNTIF('Access'!$B$4:$B$1503,A527))</f>
        <v/>
      </c>
      <c r="H527" s="30">
        <f>IF(A527="","",IF(COUNTIF($A$4:$A$1003,A527)&gt;1,"Duplicate holder ID",IF(OR(B527="",C527=""),"Missing required field",IF(F527=0,"No holdings",IF(AND(G527=0,A527&lt;&gt;"LKB-GROUP"),"No login (ok if not invited)","OK")))))</f>
        <v/>
      </c>
    </row>
    <row r="528">
      <c r="A528" s="26" t="n"/>
      <c r="B528" s="26" t="n"/>
      <c r="C528" s="26" t="n"/>
      <c r="D528" s="26" t="n"/>
      <c r="E528" s="26" t="n"/>
      <c r="F528" s="30">
        <f>IF(A528="","",COUNTIF('Holdings'!$A$4:$A$2503,A528))</f>
        <v/>
      </c>
      <c r="G528" s="30">
        <f>IF(A528="","",COUNTIF('Access'!$B$4:$B$1503,A528))</f>
        <v/>
      </c>
      <c r="H528" s="30">
        <f>IF(A528="","",IF(COUNTIF($A$4:$A$1003,A528)&gt;1,"Duplicate holder ID",IF(OR(B528="",C528=""),"Missing required field",IF(F528=0,"No holdings",IF(AND(G528=0,A528&lt;&gt;"LKB-GROUP"),"No login (ok if not invited)","OK")))))</f>
        <v/>
      </c>
    </row>
    <row r="529">
      <c r="A529" s="26" t="n"/>
      <c r="B529" s="26" t="n"/>
      <c r="C529" s="26" t="n"/>
      <c r="D529" s="26" t="n"/>
      <c r="E529" s="26" t="n"/>
      <c r="F529" s="30">
        <f>IF(A529="","",COUNTIF('Holdings'!$A$4:$A$2503,A529))</f>
        <v/>
      </c>
      <c r="G529" s="30">
        <f>IF(A529="","",COUNTIF('Access'!$B$4:$B$1503,A529))</f>
        <v/>
      </c>
      <c r="H529" s="30">
        <f>IF(A529="","",IF(COUNTIF($A$4:$A$1003,A529)&gt;1,"Duplicate holder ID",IF(OR(B529="",C529=""),"Missing required field",IF(F529=0,"No holdings",IF(AND(G529=0,A529&lt;&gt;"LKB-GROUP"),"No login (ok if not invited)","OK")))))</f>
        <v/>
      </c>
    </row>
    <row r="530">
      <c r="A530" s="26" t="n"/>
      <c r="B530" s="26" t="n"/>
      <c r="C530" s="26" t="n"/>
      <c r="D530" s="26" t="n"/>
      <c r="E530" s="26" t="n"/>
      <c r="F530" s="30">
        <f>IF(A530="","",COUNTIF('Holdings'!$A$4:$A$2503,A530))</f>
        <v/>
      </c>
      <c r="G530" s="30">
        <f>IF(A530="","",COUNTIF('Access'!$B$4:$B$1503,A530))</f>
        <v/>
      </c>
      <c r="H530" s="30">
        <f>IF(A530="","",IF(COUNTIF($A$4:$A$1003,A530)&gt;1,"Duplicate holder ID",IF(OR(B530="",C530=""),"Missing required field",IF(F530=0,"No holdings",IF(AND(G530=0,A530&lt;&gt;"LKB-GROUP"),"No login (ok if not invited)","OK")))))</f>
        <v/>
      </c>
    </row>
    <row r="531">
      <c r="A531" s="26" t="n"/>
      <c r="B531" s="26" t="n"/>
      <c r="C531" s="26" t="n"/>
      <c r="D531" s="26" t="n"/>
      <c r="E531" s="26" t="n"/>
      <c r="F531" s="30">
        <f>IF(A531="","",COUNTIF('Holdings'!$A$4:$A$2503,A531))</f>
        <v/>
      </c>
      <c r="G531" s="30">
        <f>IF(A531="","",COUNTIF('Access'!$B$4:$B$1503,A531))</f>
        <v/>
      </c>
      <c r="H531" s="30">
        <f>IF(A531="","",IF(COUNTIF($A$4:$A$1003,A531)&gt;1,"Duplicate holder ID",IF(OR(B531="",C531=""),"Missing required field",IF(F531=0,"No holdings",IF(AND(G531=0,A531&lt;&gt;"LKB-GROUP"),"No login (ok if not invited)","OK")))))</f>
        <v/>
      </c>
    </row>
    <row r="532">
      <c r="A532" s="26" t="n"/>
      <c r="B532" s="26" t="n"/>
      <c r="C532" s="26" t="n"/>
      <c r="D532" s="26" t="n"/>
      <c r="E532" s="26" t="n"/>
      <c r="F532" s="30">
        <f>IF(A532="","",COUNTIF('Holdings'!$A$4:$A$2503,A532))</f>
        <v/>
      </c>
      <c r="G532" s="30">
        <f>IF(A532="","",COUNTIF('Access'!$B$4:$B$1503,A532))</f>
        <v/>
      </c>
      <c r="H532" s="30">
        <f>IF(A532="","",IF(COUNTIF($A$4:$A$1003,A532)&gt;1,"Duplicate holder ID",IF(OR(B532="",C532=""),"Missing required field",IF(F532=0,"No holdings",IF(AND(G532=0,A532&lt;&gt;"LKB-GROUP"),"No login (ok if not invited)","OK")))))</f>
        <v/>
      </c>
    </row>
    <row r="533">
      <c r="A533" s="26" t="n"/>
      <c r="B533" s="26" t="n"/>
      <c r="C533" s="26" t="n"/>
      <c r="D533" s="26" t="n"/>
      <c r="E533" s="26" t="n"/>
      <c r="F533" s="30">
        <f>IF(A533="","",COUNTIF('Holdings'!$A$4:$A$2503,A533))</f>
        <v/>
      </c>
      <c r="G533" s="30">
        <f>IF(A533="","",COUNTIF('Access'!$B$4:$B$1503,A533))</f>
        <v/>
      </c>
      <c r="H533" s="30">
        <f>IF(A533="","",IF(COUNTIF($A$4:$A$1003,A533)&gt;1,"Duplicate holder ID",IF(OR(B533="",C533=""),"Missing required field",IF(F533=0,"No holdings",IF(AND(G533=0,A533&lt;&gt;"LKB-GROUP"),"No login (ok if not invited)","OK")))))</f>
        <v/>
      </c>
    </row>
    <row r="534">
      <c r="A534" s="26" t="n"/>
      <c r="B534" s="26" t="n"/>
      <c r="C534" s="26" t="n"/>
      <c r="D534" s="26" t="n"/>
      <c r="E534" s="26" t="n"/>
      <c r="F534" s="30">
        <f>IF(A534="","",COUNTIF('Holdings'!$A$4:$A$2503,A534))</f>
        <v/>
      </c>
      <c r="G534" s="30">
        <f>IF(A534="","",COUNTIF('Access'!$B$4:$B$1503,A534))</f>
        <v/>
      </c>
      <c r="H534" s="30">
        <f>IF(A534="","",IF(COUNTIF($A$4:$A$1003,A534)&gt;1,"Duplicate holder ID",IF(OR(B534="",C534=""),"Missing required field",IF(F534=0,"No holdings",IF(AND(G534=0,A534&lt;&gt;"LKB-GROUP"),"No login (ok if not invited)","OK")))))</f>
        <v/>
      </c>
    </row>
    <row r="535">
      <c r="A535" s="26" t="n"/>
      <c r="B535" s="26" t="n"/>
      <c r="C535" s="26" t="n"/>
      <c r="D535" s="26" t="n"/>
      <c r="E535" s="26" t="n"/>
      <c r="F535" s="30">
        <f>IF(A535="","",COUNTIF('Holdings'!$A$4:$A$2503,A535))</f>
        <v/>
      </c>
      <c r="G535" s="30">
        <f>IF(A535="","",COUNTIF('Access'!$B$4:$B$1503,A535))</f>
        <v/>
      </c>
      <c r="H535" s="30">
        <f>IF(A535="","",IF(COUNTIF($A$4:$A$1003,A535)&gt;1,"Duplicate holder ID",IF(OR(B535="",C535=""),"Missing required field",IF(F535=0,"No holdings",IF(AND(G535=0,A535&lt;&gt;"LKB-GROUP"),"No login (ok if not invited)","OK")))))</f>
        <v/>
      </c>
    </row>
    <row r="536">
      <c r="A536" s="26" t="n"/>
      <c r="B536" s="26" t="n"/>
      <c r="C536" s="26" t="n"/>
      <c r="D536" s="26" t="n"/>
      <c r="E536" s="26" t="n"/>
      <c r="F536" s="30">
        <f>IF(A536="","",COUNTIF('Holdings'!$A$4:$A$2503,A536))</f>
        <v/>
      </c>
      <c r="G536" s="30">
        <f>IF(A536="","",COUNTIF('Access'!$B$4:$B$1503,A536))</f>
        <v/>
      </c>
      <c r="H536" s="30">
        <f>IF(A536="","",IF(COUNTIF($A$4:$A$1003,A536)&gt;1,"Duplicate holder ID",IF(OR(B536="",C536=""),"Missing required field",IF(F536=0,"No holdings",IF(AND(G536=0,A536&lt;&gt;"LKB-GROUP"),"No login (ok if not invited)","OK")))))</f>
        <v/>
      </c>
    </row>
    <row r="537">
      <c r="A537" s="26" t="n"/>
      <c r="B537" s="26" t="n"/>
      <c r="C537" s="26" t="n"/>
      <c r="D537" s="26" t="n"/>
      <c r="E537" s="26" t="n"/>
      <c r="F537" s="30">
        <f>IF(A537="","",COUNTIF('Holdings'!$A$4:$A$2503,A537))</f>
        <v/>
      </c>
      <c r="G537" s="30">
        <f>IF(A537="","",COUNTIF('Access'!$B$4:$B$1503,A537))</f>
        <v/>
      </c>
      <c r="H537" s="30">
        <f>IF(A537="","",IF(COUNTIF($A$4:$A$1003,A537)&gt;1,"Duplicate holder ID",IF(OR(B537="",C537=""),"Missing required field",IF(F537=0,"No holdings",IF(AND(G537=0,A537&lt;&gt;"LKB-GROUP"),"No login (ok if not invited)","OK")))))</f>
        <v/>
      </c>
    </row>
    <row r="538">
      <c r="A538" s="26" t="n"/>
      <c r="B538" s="26" t="n"/>
      <c r="C538" s="26" t="n"/>
      <c r="D538" s="26" t="n"/>
      <c r="E538" s="26" t="n"/>
      <c r="F538" s="30">
        <f>IF(A538="","",COUNTIF('Holdings'!$A$4:$A$2503,A538))</f>
        <v/>
      </c>
      <c r="G538" s="30">
        <f>IF(A538="","",COUNTIF('Access'!$B$4:$B$1503,A538))</f>
        <v/>
      </c>
      <c r="H538" s="30">
        <f>IF(A538="","",IF(COUNTIF($A$4:$A$1003,A538)&gt;1,"Duplicate holder ID",IF(OR(B538="",C538=""),"Missing required field",IF(F538=0,"No holdings",IF(AND(G538=0,A538&lt;&gt;"LKB-GROUP"),"No login (ok if not invited)","OK")))))</f>
        <v/>
      </c>
    </row>
    <row r="539">
      <c r="A539" s="26" t="n"/>
      <c r="B539" s="26" t="n"/>
      <c r="C539" s="26" t="n"/>
      <c r="D539" s="26" t="n"/>
      <c r="E539" s="26" t="n"/>
      <c r="F539" s="30">
        <f>IF(A539="","",COUNTIF('Holdings'!$A$4:$A$2503,A539))</f>
        <v/>
      </c>
      <c r="G539" s="30">
        <f>IF(A539="","",COUNTIF('Access'!$B$4:$B$1503,A539))</f>
        <v/>
      </c>
      <c r="H539" s="30">
        <f>IF(A539="","",IF(COUNTIF($A$4:$A$1003,A539)&gt;1,"Duplicate holder ID",IF(OR(B539="",C539=""),"Missing required field",IF(F539=0,"No holdings",IF(AND(G539=0,A539&lt;&gt;"LKB-GROUP"),"No login (ok if not invited)","OK")))))</f>
        <v/>
      </c>
    </row>
    <row r="540">
      <c r="A540" s="26" t="n"/>
      <c r="B540" s="26" t="n"/>
      <c r="C540" s="26" t="n"/>
      <c r="D540" s="26" t="n"/>
      <c r="E540" s="26" t="n"/>
      <c r="F540" s="30">
        <f>IF(A540="","",COUNTIF('Holdings'!$A$4:$A$2503,A540))</f>
        <v/>
      </c>
      <c r="G540" s="30">
        <f>IF(A540="","",COUNTIF('Access'!$B$4:$B$1503,A540))</f>
        <v/>
      </c>
      <c r="H540" s="30">
        <f>IF(A540="","",IF(COUNTIF($A$4:$A$1003,A540)&gt;1,"Duplicate holder ID",IF(OR(B540="",C540=""),"Missing required field",IF(F540=0,"No holdings",IF(AND(G540=0,A540&lt;&gt;"LKB-GROUP"),"No login (ok if not invited)","OK")))))</f>
        <v/>
      </c>
    </row>
    <row r="541">
      <c r="A541" s="26" t="n"/>
      <c r="B541" s="26" t="n"/>
      <c r="C541" s="26" t="n"/>
      <c r="D541" s="26" t="n"/>
      <c r="E541" s="26" t="n"/>
      <c r="F541" s="30">
        <f>IF(A541="","",COUNTIF('Holdings'!$A$4:$A$2503,A541))</f>
        <v/>
      </c>
      <c r="G541" s="30">
        <f>IF(A541="","",COUNTIF('Access'!$B$4:$B$1503,A541))</f>
        <v/>
      </c>
      <c r="H541" s="30">
        <f>IF(A541="","",IF(COUNTIF($A$4:$A$1003,A541)&gt;1,"Duplicate holder ID",IF(OR(B541="",C541=""),"Missing required field",IF(F541=0,"No holdings",IF(AND(G541=0,A541&lt;&gt;"LKB-GROUP"),"No login (ok if not invited)","OK")))))</f>
        <v/>
      </c>
    </row>
    <row r="542">
      <c r="A542" s="26" t="n"/>
      <c r="B542" s="26" t="n"/>
      <c r="C542" s="26" t="n"/>
      <c r="D542" s="26" t="n"/>
      <c r="E542" s="26" t="n"/>
      <c r="F542" s="30">
        <f>IF(A542="","",COUNTIF('Holdings'!$A$4:$A$2503,A542))</f>
        <v/>
      </c>
      <c r="G542" s="30">
        <f>IF(A542="","",COUNTIF('Access'!$B$4:$B$1503,A542))</f>
        <v/>
      </c>
      <c r="H542" s="30">
        <f>IF(A542="","",IF(COUNTIF($A$4:$A$1003,A542)&gt;1,"Duplicate holder ID",IF(OR(B542="",C542=""),"Missing required field",IF(F542=0,"No holdings",IF(AND(G542=0,A542&lt;&gt;"LKB-GROUP"),"No login (ok if not invited)","OK")))))</f>
        <v/>
      </c>
    </row>
    <row r="543">
      <c r="A543" s="26" t="n"/>
      <c r="B543" s="26" t="n"/>
      <c r="C543" s="26" t="n"/>
      <c r="D543" s="26" t="n"/>
      <c r="E543" s="26" t="n"/>
      <c r="F543" s="30">
        <f>IF(A543="","",COUNTIF('Holdings'!$A$4:$A$2503,A543))</f>
        <v/>
      </c>
      <c r="G543" s="30">
        <f>IF(A543="","",COUNTIF('Access'!$B$4:$B$1503,A543))</f>
        <v/>
      </c>
      <c r="H543" s="30">
        <f>IF(A543="","",IF(COUNTIF($A$4:$A$1003,A543)&gt;1,"Duplicate holder ID",IF(OR(B543="",C543=""),"Missing required field",IF(F543=0,"No holdings",IF(AND(G543=0,A543&lt;&gt;"LKB-GROUP"),"No login (ok if not invited)","OK")))))</f>
        <v/>
      </c>
    </row>
    <row r="544">
      <c r="A544" s="26" t="n"/>
      <c r="B544" s="26" t="n"/>
      <c r="C544" s="26" t="n"/>
      <c r="D544" s="26" t="n"/>
      <c r="E544" s="26" t="n"/>
      <c r="F544" s="30">
        <f>IF(A544="","",COUNTIF('Holdings'!$A$4:$A$2503,A544))</f>
        <v/>
      </c>
      <c r="G544" s="30">
        <f>IF(A544="","",COUNTIF('Access'!$B$4:$B$1503,A544))</f>
        <v/>
      </c>
      <c r="H544" s="30">
        <f>IF(A544="","",IF(COUNTIF($A$4:$A$1003,A544)&gt;1,"Duplicate holder ID",IF(OR(B544="",C544=""),"Missing required field",IF(F544=0,"No holdings",IF(AND(G544=0,A544&lt;&gt;"LKB-GROUP"),"No login (ok if not invited)","OK")))))</f>
        <v/>
      </c>
    </row>
    <row r="545">
      <c r="A545" s="26" t="n"/>
      <c r="B545" s="26" t="n"/>
      <c r="C545" s="26" t="n"/>
      <c r="D545" s="26" t="n"/>
      <c r="E545" s="26" t="n"/>
      <c r="F545" s="30">
        <f>IF(A545="","",COUNTIF('Holdings'!$A$4:$A$2503,A545))</f>
        <v/>
      </c>
      <c r="G545" s="30">
        <f>IF(A545="","",COUNTIF('Access'!$B$4:$B$1503,A545))</f>
        <v/>
      </c>
      <c r="H545" s="30">
        <f>IF(A545="","",IF(COUNTIF($A$4:$A$1003,A545)&gt;1,"Duplicate holder ID",IF(OR(B545="",C545=""),"Missing required field",IF(F545=0,"No holdings",IF(AND(G545=0,A545&lt;&gt;"LKB-GROUP"),"No login (ok if not invited)","OK")))))</f>
        <v/>
      </c>
    </row>
    <row r="546">
      <c r="A546" s="26" t="n"/>
      <c r="B546" s="26" t="n"/>
      <c r="C546" s="26" t="n"/>
      <c r="D546" s="26" t="n"/>
      <c r="E546" s="26" t="n"/>
      <c r="F546" s="30">
        <f>IF(A546="","",COUNTIF('Holdings'!$A$4:$A$2503,A546))</f>
        <v/>
      </c>
      <c r="G546" s="30">
        <f>IF(A546="","",COUNTIF('Access'!$B$4:$B$1503,A546))</f>
        <v/>
      </c>
      <c r="H546" s="30">
        <f>IF(A546="","",IF(COUNTIF($A$4:$A$1003,A546)&gt;1,"Duplicate holder ID",IF(OR(B546="",C546=""),"Missing required field",IF(F546=0,"No holdings",IF(AND(G546=0,A546&lt;&gt;"LKB-GROUP"),"No login (ok if not invited)","OK")))))</f>
        <v/>
      </c>
    </row>
    <row r="547">
      <c r="A547" s="26" t="n"/>
      <c r="B547" s="26" t="n"/>
      <c r="C547" s="26" t="n"/>
      <c r="D547" s="26" t="n"/>
      <c r="E547" s="26" t="n"/>
      <c r="F547" s="30">
        <f>IF(A547="","",COUNTIF('Holdings'!$A$4:$A$2503,A547))</f>
        <v/>
      </c>
      <c r="G547" s="30">
        <f>IF(A547="","",COUNTIF('Access'!$B$4:$B$1503,A547))</f>
        <v/>
      </c>
      <c r="H547" s="30">
        <f>IF(A547="","",IF(COUNTIF($A$4:$A$1003,A547)&gt;1,"Duplicate holder ID",IF(OR(B547="",C547=""),"Missing required field",IF(F547=0,"No holdings",IF(AND(G547=0,A547&lt;&gt;"LKB-GROUP"),"No login (ok if not invited)","OK")))))</f>
        <v/>
      </c>
    </row>
    <row r="548">
      <c r="A548" s="26" t="n"/>
      <c r="B548" s="26" t="n"/>
      <c r="C548" s="26" t="n"/>
      <c r="D548" s="26" t="n"/>
      <c r="E548" s="26" t="n"/>
      <c r="F548" s="30">
        <f>IF(A548="","",COUNTIF('Holdings'!$A$4:$A$2503,A548))</f>
        <v/>
      </c>
      <c r="G548" s="30">
        <f>IF(A548="","",COUNTIF('Access'!$B$4:$B$1503,A548))</f>
        <v/>
      </c>
      <c r="H548" s="30">
        <f>IF(A548="","",IF(COUNTIF($A$4:$A$1003,A548)&gt;1,"Duplicate holder ID",IF(OR(B548="",C548=""),"Missing required field",IF(F548=0,"No holdings",IF(AND(G548=0,A548&lt;&gt;"LKB-GROUP"),"No login (ok if not invited)","OK")))))</f>
        <v/>
      </c>
    </row>
    <row r="549">
      <c r="A549" s="26" t="n"/>
      <c r="B549" s="26" t="n"/>
      <c r="C549" s="26" t="n"/>
      <c r="D549" s="26" t="n"/>
      <c r="E549" s="26" t="n"/>
      <c r="F549" s="30">
        <f>IF(A549="","",COUNTIF('Holdings'!$A$4:$A$2503,A549))</f>
        <v/>
      </c>
      <c r="G549" s="30">
        <f>IF(A549="","",COUNTIF('Access'!$B$4:$B$1503,A549))</f>
        <v/>
      </c>
      <c r="H549" s="30">
        <f>IF(A549="","",IF(COUNTIF($A$4:$A$1003,A549)&gt;1,"Duplicate holder ID",IF(OR(B549="",C549=""),"Missing required field",IF(F549=0,"No holdings",IF(AND(G549=0,A549&lt;&gt;"LKB-GROUP"),"No login (ok if not invited)","OK")))))</f>
        <v/>
      </c>
    </row>
    <row r="550">
      <c r="A550" s="26" t="n"/>
      <c r="B550" s="26" t="n"/>
      <c r="C550" s="26" t="n"/>
      <c r="D550" s="26" t="n"/>
      <c r="E550" s="26" t="n"/>
      <c r="F550" s="30">
        <f>IF(A550="","",COUNTIF('Holdings'!$A$4:$A$2503,A550))</f>
        <v/>
      </c>
      <c r="G550" s="30">
        <f>IF(A550="","",COUNTIF('Access'!$B$4:$B$1503,A550))</f>
        <v/>
      </c>
      <c r="H550" s="30">
        <f>IF(A550="","",IF(COUNTIF($A$4:$A$1003,A550)&gt;1,"Duplicate holder ID",IF(OR(B550="",C550=""),"Missing required field",IF(F550=0,"No holdings",IF(AND(G550=0,A550&lt;&gt;"LKB-GROUP"),"No login (ok if not invited)","OK")))))</f>
        <v/>
      </c>
    </row>
    <row r="551">
      <c r="A551" s="26" t="n"/>
      <c r="B551" s="26" t="n"/>
      <c r="C551" s="26" t="n"/>
      <c r="D551" s="26" t="n"/>
      <c r="E551" s="26" t="n"/>
      <c r="F551" s="30">
        <f>IF(A551="","",COUNTIF('Holdings'!$A$4:$A$2503,A551))</f>
        <v/>
      </c>
      <c r="G551" s="30">
        <f>IF(A551="","",COUNTIF('Access'!$B$4:$B$1503,A551))</f>
        <v/>
      </c>
      <c r="H551" s="30">
        <f>IF(A551="","",IF(COUNTIF($A$4:$A$1003,A551)&gt;1,"Duplicate holder ID",IF(OR(B551="",C551=""),"Missing required field",IF(F551=0,"No holdings",IF(AND(G551=0,A551&lt;&gt;"LKB-GROUP"),"No login (ok if not invited)","OK")))))</f>
        <v/>
      </c>
    </row>
    <row r="552">
      <c r="A552" s="26" t="n"/>
      <c r="B552" s="26" t="n"/>
      <c r="C552" s="26" t="n"/>
      <c r="D552" s="26" t="n"/>
      <c r="E552" s="26" t="n"/>
      <c r="F552" s="30">
        <f>IF(A552="","",COUNTIF('Holdings'!$A$4:$A$2503,A552))</f>
        <v/>
      </c>
      <c r="G552" s="30">
        <f>IF(A552="","",COUNTIF('Access'!$B$4:$B$1503,A552))</f>
        <v/>
      </c>
      <c r="H552" s="30">
        <f>IF(A552="","",IF(COUNTIF($A$4:$A$1003,A552)&gt;1,"Duplicate holder ID",IF(OR(B552="",C552=""),"Missing required field",IF(F552=0,"No holdings",IF(AND(G552=0,A552&lt;&gt;"LKB-GROUP"),"No login (ok if not invited)","OK")))))</f>
        <v/>
      </c>
    </row>
    <row r="553">
      <c r="A553" s="26" t="n"/>
      <c r="B553" s="26" t="n"/>
      <c r="C553" s="26" t="n"/>
      <c r="D553" s="26" t="n"/>
      <c r="E553" s="26" t="n"/>
      <c r="F553" s="30">
        <f>IF(A553="","",COUNTIF('Holdings'!$A$4:$A$2503,A553))</f>
        <v/>
      </c>
      <c r="G553" s="30">
        <f>IF(A553="","",COUNTIF('Access'!$B$4:$B$1503,A553))</f>
        <v/>
      </c>
      <c r="H553" s="30">
        <f>IF(A553="","",IF(COUNTIF($A$4:$A$1003,A553)&gt;1,"Duplicate holder ID",IF(OR(B553="",C553=""),"Missing required field",IF(F553=0,"No holdings",IF(AND(G553=0,A553&lt;&gt;"LKB-GROUP"),"No login (ok if not invited)","OK")))))</f>
        <v/>
      </c>
    </row>
    <row r="554">
      <c r="A554" s="26" t="n"/>
      <c r="B554" s="26" t="n"/>
      <c r="C554" s="26" t="n"/>
      <c r="D554" s="26" t="n"/>
      <c r="E554" s="26" t="n"/>
      <c r="F554" s="30">
        <f>IF(A554="","",COUNTIF('Holdings'!$A$4:$A$2503,A554))</f>
        <v/>
      </c>
      <c r="G554" s="30">
        <f>IF(A554="","",COUNTIF('Access'!$B$4:$B$1503,A554))</f>
        <v/>
      </c>
      <c r="H554" s="30">
        <f>IF(A554="","",IF(COUNTIF($A$4:$A$1003,A554)&gt;1,"Duplicate holder ID",IF(OR(B554="",C554=""),"Missing required field",IF(F554=0,"No holdings",IF(AND(G554=0,A554&lt;&gt;"LKB-GROUP"),"No login (ok if not invited)","OK")))))</f>
        <v/>
      </c>
    </row>
    <row r="555">
      <c r="A555" s="26" t="n"/>
      <c r="B555" s="26" t="n"/>
      <c r="C555" s="26" t="n"/>
      <c r="D555" s="26" t="n"/>
      <c r="E555" s="26" t="n"/>
      <c r="F555" s="30">
        <f>IF(A555="","",COUNTIF('Holdings'!$A$4:$A$2503,A555))</f>
        <v/>
      </c>
      <c r="G555" s="30">
        <f>IF(A555="","",COUNTIF('Access'!$B$4:$B$1503,A555))</f>
        <v/>
      </c>
      <c r="H555" s="30">
        <f>IF(A555="","",IF(COUNTIF($A$4:$A$1003,A555)&gt;1,"Duplicate holder ID",IF(OR(B555="",C555=""),"Missing required field",IF(F555=0,"No holdings",IF(AND(G555=0,A555&lt;&gt;"LKB-GROUP"),"No login (ok if not invited)","OK")))))</f>
        <v/>
      </c>
    </row>
    <row r="556">
      <c r="A556" s="26" t="n"/>
      <c r="B556" s="26" t="n"/>
      <c r="C556" s="26" t="n"/>
      <c r="D556" s="26" t="n"/>
      <c r="E556" s="26" t="n"/>
      <c r="F556" s="30">
        <f>IF(A556="","",COUNTIF('Holdings'!$A$4:$A$2503,A556))</f>
        <v/>
      </c>
      <c r="G556" s="30">
        <f>IF(A556="","",COUNTIF('Access'!$B$4:$B$1503,A556))</f>
        <v/>
      </c>
      <c r="H556" s="30">
        <f>IF(A556="","",IF(COUNTIF($A$4:$A$1003,A556)&gt;1,"Duplicate holder ID",IF(OR(B556="",C556=""),"Missing required field",IF(F556=0,"No holdings",IF(AND(G556=0,A556&lt;&gt;"LKB-GROUP"),"No login (ok if not invited)","OK")))))</f>
        <v/>
      </c>
    </row>
    <row r="557">
      <c r="A557" s="26" t="n"/>
      <c r="B557" s="26" t="n"/>
      <c r="C557" s="26" t="n"/>
      <c r="D557" s="26" t="n"/>
      <c r="E557" s="26" t="n"/>
      <c r="F557" s="30">
        <f>IF(A557="","",COUNTIF('Holdings'!$A$4:$A$2503,A557))</f>
        <v/>
      </c>
      <c r="G557" s="30">
        <f>IF(A557="","",COUNTIF('Access'!$B$4:$B$1503,A557))</f>
        <v/>
      </c>
      <c r="H557" s="30">
        <f>IF(A557="","",IF(COUNTIF($A$4:$A$1003,A557)&gt;1,"Duplicate holder ID",IF(OR(B557="",C557=""),"Missing required field",IF(F557=0,"No holdings",IF(AND(G557=0,A557&lt;&gt;"LKB-GROUP"),"No login (ok if not invited)","OK")))))</f>
        <v/>
      </c>
    </row>
    <row r="558">
      <c r="A558" s="26" t="n"/>
      <c r="B558" s="26" t="n"/>
      <c r="C558" s="26" t="n"/>
      <c r="D558" s="26" t="n"/>
      <c r="E558" s="26" t="n"/>
      <c r="F558" s="30">
        <f>IF(A558="","",COUNTIF('Holdings'!$A$4:$A$2503,A558))</f>
        <v/>
      </c>
      <c r="G558" s="30">
        <f>IF(A558="","",COUNTIF('Access'!$B$4:$B$1503,A558))</f>
        <v/>
      </c>
      <c r="H558" s="30">
        <f>IF(A558="","",IF(COUNTIF($A$4:$A$1003,A558)&gt;1,"Duplicate holder ID",IF(OR(B558="",C558=""),"Missing required field",IF(F558=0,"No holdings",IF(AND(G558=0,A558&lt;&gt;"LKB-GROUP"),"No login (ok if not invited)","OK")))))</f>
        <v/>
      </c>
    </row>
    <row r="559">
      <c r="A559" s="26" t="n"/>
      <c r="B559" s="26" t="n"/>
      <c r="C559" s="26" t="n"/>
      <c r="D559" s="26" t="n"/>
      <c r="E559" s="26" t="n"/>
      <c r="F559" s="30">
        <f>IF(A559="","",COUNTIF('Holdings'!$A$4:$A$2503,A559))</f>
        <v/>
      </c>
      <c r="G559" s="30">
        <f>IF(A559="","",COUNTIF('Access'!$B$4:$B$1503,A559))</f>
        <v/>
      </c>
      <c r="H559" s="30">
        <f>IF(A559="","",IF(COUNTIF($A$4:$A$1003,A559)&gt;1,"Duplicate holder ID",IF(OR(B559="",C559=""),"Missing required field",IF(F559=0,"No holdings",IF(AND(G559=0,A559&lt;&gt;"LKB-GROUP"),"No login (ok if not invited)","OK")))))</f>
        <v/>
      </c>
    </row>
    <row r="560">
      <c r="A560" s="26" t="n"/>
      <c r="B560" s="26" t="n"/>
      <c r="C560" s="26" t="n"/>
      <c r="D560" s="26" t="n"/>
      <c r="E560" s="26" t="n"/>
      <c r="F560" s="30">
        <f>IF(A560="","",COUNTIF('Holdings'!$A$4:$A$2503,A560))</f>
        <v/>
      </c>
      <c r="G560" s="30">
        <f>IF(A560="","",COUNTIF('Access'!$B$4:$B$1503,A560))</f>
        <v/>
      </c>
      <c r="H560" s="30">
        <f>IF(A560="","",IF(COUNTIF($A$4:$A$1003,A560)&gt;1,"Duplicate holder ID",IF(OR(B560="",C560=""),"Missing required field",IF(F560=0,"No holdings",IF(AND(G560=0,A560&lt;&gt;"LKB-GROUP"),"No login (ok if not invited)","OK")))))</f>
        <v/>
      </c>
    </row>
    <row r="561">
      <c r="A561" s="26" t="n"/>
      <c r="B561" s="26" t="n"/>
      <c r="C561" s="26" t="n"/>
      <c r="D561" s="26" t="n"/>
      <c r="E561" s="26" t="n"/>
      <c r="F561" s="30">
        <f>IF(A561="","",COUNTIF('Holdings'!$A$4:$A$2503,A561))</f>
        <v/>
      </c>
      <c r="G561" s="30">
        <f>IF(A561="","",COUNTIF('Access'!$B$4:$B$1503,A561))</f>
        <v/>
      </c>
      <c r="H561" s="30">
        <f>IF(A561="","",IF(COUNTIF($A$4:$A$1003,A561)&gt;1,"Duplicate holder ID",IF(OR(B561="",C561=""),"Missing required field",IF(F561=0,"No holdings",IF(AND(G561=0,A561&lt;&gt;"LKB-GROUP"),"No login (ok if not invited)","OK")))))</f>
        <v/>
      </c>
    </row>
    <row r="562">
      <c r="A562" s="26" t="n"/>
      <c r="B562" s="26" t="n"/>
      <c r="C562" s="26" t="n"/>
      <c r="D562" s="26" t="n"/>
      <c r="E562" s="26" t="n"/>
      <c r="F562" s="30">
        <f>IF(A562="","",COUNTIF('Holdings'!$A$4:$A$2503,A562))</f>
        <v/>
      </c>
      <c r="G562" s="30">
        <f>IF(A562="","",COUNTIF('Access'!$B$4:$B$1503,A562))</f>
        <v/>
      </c>
      <c r="H562" s="30">
        <f>IF(A562="","",IF(COUNTIF($A$4:$A$1003,A562)&gt;1,"Duplicate holder ID",IF(OR(B562="",C562=""),"Missing required field",IF(F562=0,"No holdings",IF(AND(G562=0,A562&lt;&gt;"LKB-GROUP"),"No login (ok if not invited)","OK")))))</f>
        <v/>
      </c>
    </row>
    <row r="563">
      <c r="A563" s="26" t="n"/>
      <c r="B563" s="26" t="n"/>
      <c r="C563" s="26" t="n"/>
      <c r="D563" s="26" t="n"/>
      <c r="E563" s="26" t="n"/>
      <c r="F563" s="30">
        <f>IF(A563="","",COUNTIF('Holdings'!$A$4:$A$2503,A563))</f>
        <v/>
      </c>
      <c r="G563" s="30">
        <f>IF(A563="","",COUNTIF('Access'!$B$4:$B$1503,A563))</f>
        <v/>
      </c>
      <c r="H563" s="30">
        <f>IF(A563="","",IF(COUNTIF($A$4:$A$1003,A563)&gt;1,"Duplicate holder ID",IF(OR(B563="",C563=""),"Missing required field",IF(F563=0,"No holdings",IF(AND(G563=0,A563&lt;&gt;"LKB-GROUP"),"No login (ok if not invited)","OK")))))</f>
        <v/>
      </c>
    </row>
    <row r="564">
      <c r="A564" s="26" t="n"/>
      <c r="B564" s="26" t="n"/>
      <c r="C564" s="26" t="n"/>
      <c r="D564" s="26" t="n"/>
      <c r="E564" s="26" t="n"/>
      <c r="F564" s="30">
        <f>IF(A564="","",COUNTIF('Holdings'!$A$4:$A$2503,A564))</f>
        <v/>
      </c>
      <c r="G564" s="30">
        <f>IF(A564="","",COUNTIF('Access'!$B$4:$B$1503,A564))</f>
        <v/>
      </c>
      <c r="H564" s="30">
        <f>IF(A564="","",IF(COUNTIF($A$4:$A$1003,A564)&gt;1,"Duplicate holder ID",IF(OR(B564="",C564=""),"Missing required field",IF(F564=0,"No holdings",IF(AND(G564=0,A564&lt;&gt;"LKB-GROUP"),"No login (ok if not invited)","OK")))))</f>
        <v/>
      </c>
    </row>
    <row r="565">
      <c r="A565" s="26" t="n"/>
      <c r="B565" s="26" t="n"/>
      <c r="C565" s="26" t="n"/>
      <c r="D565" s="26" t="n"/>
      <c r="E565" s="26" t="n"/>
      <c r="F565" s="30">
        <f>IF(A565="","",COUNTIF('Holdings'!$A$4:$A$2503,A565))</f>
        <v/>
      </c>
      <c r="G565" s="30">
        <f>IF(A565="","",COUNTIF('Access'!$B$4:$B$1503,A565))</f>
        <v/>
      </c>
      <c r="H565" s="30">
        <f>IF(A565="","",IF(COUNTIF($A$4:$A$1003,A565)&gt;1,"Duplicate holder ID",IF(OR(B565="",C565=""),"Missing required field",IF(F565=0,"No holdings",IF(AND(G565=0,A565&lt;&gt;"LKB-GROUP"),"No login (ok if not invited)","OK")))))</f>
        <v/>
      </c>
    </row>
    <row r="566">
      <c r="A566" s="26" t="n"/>
      <c r="B566" s="26" t="n"/>
      <c r="C566" s="26" t="n"/>
      <c r="D566" s="26" t="n"/>
      <c r="E566" s="26" t="n"/>
      <c r="F566" s="30">
        <f>IF(A566="","",COUNTIF('Holdings'!$A$4:$A$2503,A566))</f>
        <v/>
      </c>
      <c r="G566" s="30">
        <f>IF(A566="","",COUNTIF('Access'!$B$4:$B$1503,A566))</f>
        <v/>
      </c>
      <c r="H566" s="30">
        <f>IF(A566="","",IF(COUNTIF($A$4:$A$1003,A566)&gt;1,"Duplicate holder ID",IF(OR(B566="",C566=""),"Missing required field",IF(F566=0,"No holdings",IF(AND(G566=0,A566&lt;&gt;"LKB-GROUP"),"No login (ok if not invited)","OK")))))</f>
        <v/>
      </c>
    </row>
    <row r="567">
      <c r="A567" s="26" t="n"/>
      <c r="B567" s="26" t="n"/>
      <c r="C567" s="26" t="n"/>
      <c r="D567" s="26" t="n"/>
      <c r="E567" s="26" t="n"/>
      <c r="F567" s="30">
        <f>IF(A567="","",COUNTIF('Holdings'!$A$4:$A$2503,A567))</f>
        <v/>
      </c>
      <c r="G567" s="30">
        <f>IF(A567="","",COUNTIF('Access'!$B$4:$B$1503,A567))</f>
        <v/>
      </c>
      <c r="H567" s="30">
        <f>IF(A567="","",IF(COUNTIF($A$4:$A$1003,A567)&gt;1,"Duplicate holder ID",IF(OR(B567="",C567=""),"Missing required field",IF(F567=0,"No holdings",IF(AND(G567=0,A567&lt;&gt;"LKB-GROUP"),"No login (ok if not invited)","OK")))))</f>
        <v/>
      </c>
    </row>
    <row r="568">
      <c r="A568" s="26" t="n"/>
      <c r="B568" s="26" t="n"/>
      <c r="C568" s="26" t="n"/>
      <c r="D568" s="26" t="n"/>
      <c r="E568" s="26" t="n"/>
      <c r="F568" s="30">
        <f>IF(A568="","",COUNTIF('Holdings'!$A$4:$A$2503,A568))</f>
        <v/>
      </c>
      <c r="G568" s="30">
        <f>IF(A568="","",COUNTIF('Access'!$B$4:$B$1503,A568))</f>
        <v/>
      </c>
      <c r="H568" s="30">
        <f>IF(A568="","",IF(COUNTIF($A$4:$A$1003,A568)&gt;1,"Duplicate holder ID",IF(OR(B568="",C568=""),"Missing required field",IF(F568=0,"No holdings",IF(AND(G568=0,A568&lt;&gt;"LKB-GROUP"),"No login (ok if not invited)","OK")))))</f>
        <v/>
      </c>
    </row>
    <row r="569">
      <c r="A569" s="26" t="n"/>
      <c r="B569" s="26" t="n"/>
      <c r="C569" s="26" t="n"/>
      <c r="D569" s="26" t="n"/>
      <c r="E569" s="26" t="n"/>
      <c r="F569" s="30">
        <f>IF(A569="","",COUNTIF('Holdings'!$A$4:$A$2503,A569))</f>
        <v/>
      </c>
      <c r="G569" s="30">
        <f>IF(A569="","",COUNTIF('Access'!$B$4:$B$1503,A569))</f>
        <v/>
      </c>
      <c r="H569" s="30">
        <f>IF(A569="","",IF(COUNTIF($A$4:$A$1003,A569)&gt;1,"Duplicate holder ID",IF(OR(B569="",C569=""),"Missing required field",IF(F569=0,"No holdings",IF(AND(G569=0,A569&lt;&gt;"LKB-GROUP"),"No login (ok if not invited)","OK")))))</f>
        <v/>
      </c>
    </row>
    <row r="570">
      <c r="A570" s="26" t="n"/>
      <c r="B570" s="26" t="n"/>
      <c r="C570" s="26" t="n"/>
      <c r="D570" s="26" t="n"/>
      <c r="E570" s="26" t="n"/>
      <c r="F570" s="30">
        <f>IF(A570="","",COUNTIF('Holdings'!$A$4:$A$2503,A570))</f>
        <v/>
      </c>
      <c r="G570" s="30">
        <f>IF(A570="","",COUNTIF('Access'!$B$4:$B$1503,A570))</f>
        <v/>
      </c>
      <c r="H570" s="30">
        <f>IF(A570="","",IF(COUNTIF($A$4:$A$1003,A570)&gt;1,"Duplicate holder ID",IF(OR(B570="",C570=""),"Missing required field",IF(F570=0,"No holdings",IF(AND(G570=0,A570&lt;&gt;"LKB-GROUP"),"No login (ok if not invited)","OK")))))</f>
        <v/>
      </c>
    </row>
    <row r="571">
      <c r="A571" s="26" t="n"/>
      <c r="B571" s="26" t="n"/>
      <c r="C571" s="26" t="n"/>
      <c r="D571" s="26" t="n"/>
      <c r="E571" s="26" t="n"/>
      <c r="F571" s="30">
        <f>IF(A571="","",COUNTIF('Holdings'!$A$4:$A$2503,A571))</f>
        <v/>
      </c>
      <c r="G571" s="30">
        <f>IF(A571="","",COUNTIF('Access'!$B$4:$B$1503,A571))</f>
        <v/>
      </c>
      <c r="H571" s="30">
        <f>IF(A571="","",IF(COUNTIF($A$4:$A$1003,A571)&gt;1,"Duplicate holder ID",IF(OR(B571="",C571=""),"Missing required field",IF(F571=0,"No holdings",IF(AND(G571=0,A571&lt;&gt;"LKB-GROUP"),"No login (ok if not invited)","OK")))))</f>
        <v/>
      </c>
    </row>
    <row r="572">
      <c r="A572" s="26" t="n"/>
      <c r="B572" s="26" t="n"/>
      <c r="C572" s="26" t="n"/>
      <c r="D572" s="26" t="n"/>
      <c r="E572" s="26" t="n"/>
      <c r="F572" s="30">
        <f>IF(A572="","",COUNTIF('Holdings'!$A$4:$A$2503,A572))</f>
        <v/>
      </c>
      <c r="G572" s="30">
        <f>IF(A572="","",COUNTIF('Access'!$B$4:$B$1503,A572))</f>
        <v/>
      </c>
      <c r="H572" s="30">
        <f>IF(A572="","",IF(COUNTIF($A$4:$A$1003,A572)&gt;1,"Duplicate holder ID",IF(OR(B572="",C572=""),"Missing required field",IF(F572=0,"No holdings",IF(AND(G572=0,A572&lt;&gt;"LKB-GROUP"),"No login (ok if not invited)","OK")))))</f>
        <v/>
      </c>
    </row>
    <row r="573">
      <c r="A573" s="26" t="n"/>
      <c r="B573" s="26" t="n"/>
      <c r="C573" s="26" t="n"/>
      <c r="D573" s="26" t="n"/>
      <c r="E573" s="26" t="n"/>
      <c r="F573" s="30">
        <f>IF(A573="","",COUNTIF('Holdings'!$A$4:$A$2503,A573))</f>
        <v/>
      </c>
      <c r="G573" s="30">
        <f>IF(A573="","",COUNTIF('Access'!$B$4:$B$1503,A573))</f>
        <v/>
      </c>
      <c r="H573" s="30">
        <f>IF(A573="","",IF(COUNTIF($A$4:$A$1003,A573)&gt;1,"Duplicate holder ID",IF(OR(B573="",C573=""),"Missing required field",IF(F573=0,"No holdings",IF(AND(G573=0,A573&lt;&gt;"LKB-GROUP"),"No login (ok if not invited)","OK")))))</f>
        <v/>
      </c>
    </row>
    <row r="574">
      <c r="A574" s="26" t="n"/>
      <c r="B574" s="26" t="n"/>
      <c r="C574" s="26" t="n"/>
      <c r="D574" s="26" t="n"/>
      <c r="E574" s="26" t="n"/>
      <c r="F574" s="30">
        <f>IF(A574="","",COUNTIF('Holdings'!$A$4:$A$2503,A574))</f>
        <v/>
      </c>
      <c r="G574" s="30">
        <f>IF(A574="","",COUNTIF('Access'!$B$4:$B$1503,A574))</f>
        <v/>
      </c>
      <c r="H574" s="30">
        <f>IF(A574="","",IF(COUNTIF($A$4:$A$1003,A574)&gt;1,"Duplicate holder ID",IF(OR(B574="",C574=""),"Missing required field",IF(F574=0,"No holdings",IF(AND(G574=0,A574&lt;&gt;"LKB-GROUP"),"No login (ok if not invited)","OK")))))</f>
        <v/>
      </c>
    </row>
    <row r="575">
      <c r="A575" s="26" t="n"/>
      <c r="B575" s="26" t="n"/>
      <c r="C575" s="26" t="n"/>
      <c r="D575" s="26" t="n"/>
      <c r="E575" s="26" t="n"/>
      <c r="F575" s="30">
        <f>IF(A575="","",COUNTIF('Holdings'!$A$4:$A$2503,A575))</f>
        <v/>
      </c>
      <c r="G575" s="30">
        <f>IF(A575="","",COUNTIF('Access'!$B$4:$B$1503,A575))</f>
        <v/>
      </c>
      <c r="H575" s="30">
        <f>IF(A575="","",IF(COUNTIF($A$4:$A$1003,A575)&gt;1,"Duplicate holder ID",IF(OR(B575="",C575=""),"Missing required field",IF(F575=0,"No holdings",IF(AND(G575=0,A575&lt;&gt;"LKB-GROUP"),"No login (ok if not invited)","OK")))))</f>
        <v/>
      </c>
    </row>
    <row r="576">
      <c r="A576" s="26" t="n"/>
      <c r="B576" s="26" t="n"/>
      <c r="C576" s="26" t="n"/>
      <c r="D576" s="26" t="n"/>
      <c r="E576" s="26" t="n"/>
      <c r="F576" s="30">
        <f>IF(A576="","",COUNTIF('Holdings'!$A$4:$A$2503,A576))</f>
        <v/>
      </c>
      <c r="G576" s="30">
        <f>IF(A576="","",COUNTIF('Access'!$B$4:$B$1503,A576))</f>
        <v/>
      </c>
      <c r="H576" s="30">
        <f>IF(A576="","",IF(COUNTIF($A$4:$A$1003,A576)&gt;1,"Duplicate holder ID",IF(OR(B576="",C576=""),"Missing required field",IF(F576=0,"No holdings",IF(AND(G576=0,A576&lt;&gt;"LKB-GROUP"),"No login (ok if not invited)","OK")))))</f>
        <v/>
      </c>
    </row>
    <row r="577">
      <c r="A577" s="26" t="n"/>
      <c r="B577" s="26" t="n"/>
      <c r="C577" s="26" t="n"/>
      <c r="D577" s="26" t="n"/>
      <c r="E577" s="26" t="n"/>
      <c r="F577" s="30">
        <f>IF(A577="","",COUNTIF('Holdings'!$A$4:$A$2503,A577))</f>
        <v/>
      </c>
      <c r="G577" s="30">
        <f>IF(A577="","",COUNTIF('Access'!$B$4:$B$1503,A577))</f>
        <v/>
      </c>
      <c r="H577" s="30">
        <f>IF(A577="","",IF(COUNTIF($A$4:$A$1003,A577)&gt;1,"Duplicate holder ID",IF(OR(B577="",C577=""),"Missing required field",IF(F577=0,"No holdings",IF(AND(G577=0,A577&lt;&gt;"LKB-GROUP"),"No login (ok if not invited)","OK")))))</f>
        <v/>
      </c>
    </row>
    <row r="578">
      <c r="A578" s="26" t="n"/>
      <c r="B578" s="26" t="n"/>
      <c r="C578" s="26" t="n"/>
      <c r="D578" s="26" t="n"/>
      <c r="E578" s="26" t="n"/>
      <c r="F578" s="30">
        <f>IF(A578="","",COUNTIF('Holdings'!$A$4:$A$2503,A578))</f>
        <v/>
      </c>
      <c r="G578" s="30">
        <f>IF(A578="","",COUNTIF('Access'!$B$4:$B$1503,A578))</f>
        <v/>
      </c>
      <c r="H578" s="30">
        <f>IF(A578="","",IF(COUNTIF($A$4:$A$1003,A578)&gt;1,"Duplicate holder ID",IF(OR(B578="",C578=""),"Missing required field",IF(F578=0,"No holdings",IF(AND(G578=0,A578&lt;&gt;"LKB-GROUP"),"No login (ok if not invited)","OK")))))</f>
        <v/>
      </c>
    </row>
    <row r="579">
      <c r="A579" s="26" t="n"/>
      <c r="B579" s="26" t="n"/>
      <c r="C579" s="26" t="n"/>
      <c r="D579" s="26" t="n"/>
      <c r="E579" s="26" t="n"/>
      <c r="F579" s="30">
        <f>IF(A579="","",COUNTIF('Holdings'!$A$4:$A$2503,A579))</f>
        <v/>
      </c>
      <c r="G579" s="30">
        <f>IF(A579="","",COUNTIF('Access'!$B$4:$B$1503,A579))</f>
        <v/>
      </c>
      <c r="H579" s="30">
        <f>IF(A579="","",IF(COUNTIF($A$4:$A$1003,A579)&gt;1,"Duplicate holder ID",IF(OR(B579="",C579=""),"Missing required field",IF(F579=0,"No holdings",IF(AND(G579=0,A579&lt;&gt;"LKB-GROUP"),"No login (ok if not invited)","OK")))))</f>
        <v/>
      </c>
    </row>
    <row r="580">
      <c r="A580" s="26" t="n"/>
      <c r="B580" s="26" t="n"/>
      <c r="C580" s="26" t="n"/>
      <c r="D580" s="26" t="n"/>
      <c r="E580" s="26" t="n"/>
      <c r="F580" s="30">
        <f>IF(A580="","",COUNTIF('Holdings'!$A$4:$A$2503,A580))</f>
        <v/>
      </c>
      <c r="G580" s="30">
        <f>IF(A580="","",COUNTIF('Access'!$B$4:$B$1503,A580))</f>
        <v/>
      </c>
      <c r="H580" s="30">
        <f>IF(A580="","",IF(COUNTIF($A$4:$A$1003,A580)&gt;1,"Duplicate holder ID",IF(OR(B580="",C580=""),"Missing required field",IF(F580=0,"No holdings",IF(AND(G580=0,A580&lt;&gt;"LKB-GROUP"),"No login (ok if not invited)","OK")))))</f>
        <v/>
      </c>
    </row>
    <row r="581">
      <c r="A581" s="26" t="n"/>
      <c r="B581" s="26" t="n"/>
      <c r="C581" s="26" t="n"/>
      <c r="D581" s="26" t="n"/>
      <c r="E581" s="26" t="n"/>
      <c r="F581" s="30">
        <f>IF(A581="","",COUNTIF('Holdings'!$A$4:$A$2503,A581))</f>
        <v/>
      </c>
      <c r="G581" s="30">
        <f>IF(A581="","",COUNTIF('Access'!$B$4:$B$1503,A581))</f>
        <v/>
      </c>
      <c r="H581" s="30">
        <f>IF(A581="","",IF(COUNTIF($A$4:$A$1003,A581)&gt;1,"Duplicate holder ID",IF(OR(B581="",C581=""),"Missing required field",IF(F581=0,"No holdings",IF(AND(G581=0,A581&lt;&gt;"LKB-GROUP"),"No login (ok if not invited)","OK")))))</f>
        <v/>
      </c>
    </row>
    <row r="582">
      <c r="A582" s="26" t="n"/>
      <c r="B582" s="26" t="n"/>
      <c r="C582" s="26" t="n"/>
      <c r="D582" s="26" t="n"/>
      <c r="E582" s="26" t="n"/>
      <c r="F582" s="30">
        <f>IF(A582="","",COUNTIF('Holdings'!$A$4:$A$2503,A582))</f>
        <v/>
      </c>
      <c r="G582" s="30">
        <f>IF(A582="","",COUNTIF('Access'!$B$4:$B$1503,A582))</f>
        <v/>
      </c>
      <c r="H582" s="30">
        <f>IF(A582="","",IF(COUNTIF($A$4:$A$1003,A582)&gt;1,"Duplicate holder ID",IF(OR(B582="",C582=""),"Missing required field",IF(F582=0,"No holdings",IF(AND(G582=0,A582&lt;&gt;"LKB-GROUP"),"No login (ok if not invited)","OK")))))</f>
        <v/>
      </c>
    </row>
    <row r="583">
      <c r="A583" s="26" t="n"/>
      <c r="B583" s="26" t="n"/>
      <c r="C583" s="26" t="n"/>
      <c r="D583" s="26" t="n"/>
      <c r="E583" s="26" t="n"/>
      <c r="F583" s="30">
        <f>IF(A583="","",COUNTIF('Holdings'!$A$4:$A$2503,A583))</f>
        <v/>
      </c>
      <c r="G583" s="30">
        <f>IF(A583="","",COUNTIF('Access'!$B$4:$B$1503,A583))</f>
        <v/>
      </c>
      <c r="H583" s="30">
        <f>IF(A583="","",IF(COUNTIF($A$4:$A$1003,A583)&gt;1,"Duplicate holder ID",IF(OR(B583="",C583=""),"Missing required field",IF(F583=0,"No holdings",IF(AND(G583=0,A583&lt;&gt;"LKB-GROUP"),"No login (ok if not invited)","OK")))))</f>
        <v/>
      </c>
    </row>
    <row r="584">
      <c r="A584" s="26" t="n"/>
      <c r="B584" s="26" t="n"/>
      <c r="C584" s="26" t="n"/>
      <c r="D584" s="26" t="n"/>
      <c r="E584" s="26" t="n"/>
      <c r="F584" s="30">
        <f>IF(A584="","",COUNTIF('Holdings'!$A$4:$A$2503,A584))</f>
        <v/>
      </c>
      <c r="G584" s="30">
        <f>IF(A584="","",COUNTIF('Access'!$B$4:$B$1503,A584))</f>
        <v/>
      </c>
      <c r="H584" s="30">
        <f>IF(A584="","",IF(COUNTIF($A$4:$A$1003,A584)&gt;1,"Duplicate holder ID",IF(OR(B584="",C584=""),"Missing required field",IF(F584=0,"No holdings",IF(AND(G584=0,A584&lt;&gt;"LKB-GROUP"),"No login (ok if not invited)","OK")))))</f>
        <v/>
      </c>
    </row>
    <row r="585">
      <c r="A585" s="26" t="n"/>
      <c r="B585" s="26" t="n"/>
      <c r="C585" s="26" t="n"/>
      <c r="D585" s="26" t="n"/>
      <c r="E585" s="26" t="n"/>
      <c r="F585" s="30">
        <f>IF(A585="","",COUNTIF('Holdings'!$A$4:$A$2503,A585))</f>
        <v/>
      </c>
      <c r="G585" s="30">
        <f>IF(A585="","",COUNTIF('Access'!$B$4:$B$1503,A585))</f>
        <v/>
      </c>
      <c r="H585" s="30">
        <f>IF(A585="","",IF(COUNTIF($A$4:$A$1003,A585)&gt;1,"Duplicate holder ID",IF(OR(B585="",C585=""),"Missing required field",IF(F585=0,"No holdings",IF(AND(G585=0,A585&lt;&gt;"LKB-GROUP"),"No login (ok if not invited)","OK")))))</f>
        <v/>
      </c>
    </row>
    <row r="586">
      <c r="A586" s="26" t="n"/>
      <c r="B586" s="26" t="n"/>
      <c r="C586" s="26" t="n"/>
      <c r="D586" s="26" t="n"/>
      <c r="E586" s="26" t="n"/>
      <c r="F586" s="30">
        <f>IF(A586="","",COUNTIF('Holdings'!$A$4:$A$2503,A586))</f>
        <v/>
      </c>
      <c r="G586" s="30">
        <f>IF(A586="","",COUNTIF('Access'!$B$4:$B$1503,A586))</f>
        <v/>
      </c>
      <c r="H586" s="30">
        <f>IF(A586="","",IF(COUNTIF($A$4:$A$1003,A586)&gt;1,"Duplicate holder ID",IF(OR(B586="",C586=""),"Missing required field",IF(F586=0,"No holdings",IF(AND(G586=0,A586&lt;&gt;"LKB-GROUP"),"No login (ok if not invited)","OK")))))</f>
        <v/>
      </c>
    </row>
    <row r="587">
      <c r="A587" s="26" t="n"/>
      <c r="B587" s="26" t="n"/>
      <c r="C587" s="26" t="n"/>
      <c r="D587" s="26" t="n"/>
      <c r="E587" s="26" t="n"/>
      <c r="F587" s="30">
        <f>IF(A587="","",COUNTIF('Holdings'!$A$4:$A$2503,A587))</f>
        <v/>
      </c>
      <c r="G587" s="30">
        <f>IF(A587="","",COUNTIF('Access'!$B$4:$B$1503,A587))</f>
        <v/>
      </c>
      <c r="H587" s="30">
        <f>IF(A587="","",IF(COUNTIF($A$4:$A$1003,A587)&gt;1,"Duplicate holder ID",IF(OR(B587="",C587=""),"Missing required field",IF(F587=0,"No holdings",IF(AND(G587=0,A587&lt;&gt;"LKB-GROUP"),"No login (ok if not invited)","OK")))))</f>
        <v/>
      </c>
    </row>
    <row r="588">
      <c r="A588" s="26" t="n"/>
      <c r="B588" s="26" t="n"/>
      <c r="C588" s="26" t="n"/>
      <c r="D588" s="26" t="n"/>
      <c r="E588" s="26" t="n"/>
      <c r="F588" s="30">
        <f>IF(A588="","",COUNTIF('Holdings'!$A$4:$A$2503,A588))</f>
        <v/>
      </c>
      <c r="G588" s="30">
        <f>IF(A588="","",COUNTIF('Access'!$B$4:$B$1503,A588))</f>
        <v/>
      </c>
      <c r="H588" s="30">
        <f>IF(A588="","",IF(COUNTIF($A$4:$A$1003,A588)&gt;1,"Duplicate holder ID",IF(OR(B588="",C588=""),"Missing required field",IF(F588=0,"No holdings",IF(AND(G588=0,A588&lt;&gt;"LKB-GROUP"),"No login (ok if not invited)","OK")))))</f>
        <v/>
      </c>
    </row>
    <row r="589">
      <c r="A589" s="26" t="n"/>
      <c r="B589" s="26" t="n"/>
      <c r="C589" s="26" t="n"/>
      <c r="D589" s="26" t="n"/>
      <c r="E589" s="26" t="n"/>
      <c r="F589" s="30">
        <f>IF(A589="","",COUNTIF('Holdings'!$A$4:$A$2503,A589))</f>
        <v/>
      </c>
      <c r="G589" s="30">
        <f>IF(A589="","",COUNTIF('Access'!$B$4:$B$1503,A589))</f>
        <v/>
      </c>
      <c r="H589" s="30">
        <f>IF(A589="","",IF(COUNTIF($A$4:$A$1003,A589)&gt;1,"Duplicate holder ID",IF(OR(B589="",C589=""),"Missing required field",IF(F589=0,"No holdings",IF(AND(G589=0,A589&lt;&gt;"LKB-GROUP"),"No login (ok if not invited)","OK")))))</f>
        <v/>
      </c>
    </row>
    <row r="590">
      <c r="A590" s="26" t="n"/>
      <c r="B590" s="26" t="n"/>
      <c r="C590" s="26" t="n"/>
      <c r="D590" s="26" t="n"/>
      <c r="E590" s="26" t="n"/>
      <c r="F590" s="30">
        <f>IF(A590="","",COUNTIF('Holdings'!$A$4:$A$2503,A590))</f>
        <v/>
      </c>
      <c r="G590" s="30">
        <f>IF(A590="","",COUNTIF('Access'!$B$4:$B$1503,A590))</f>
        <v/>
      </c>
      <c r="H590" s="30">
        <f>IF(A590="","",IF(COUNTIF($A$4:$A$1003,A590)&gt;1,"Duplicate holder ID",IF(OR(B590="",C590=""),"Missing required field",IF(F590=0,"No holdings",IF(AND(G590=0,A590&lt;&gt;"LKB-GROUP"),"No login (ok if not invited)","OK")))))</f>
        <v/>
      </c>
    </row>
    <row r="591">
      <c r="A591" s="26" t="n"/>
      <c r="B591" s="26" t="n"/>
      <c r="C591" s="26" t="n"/>
      <c r="D591" s="26" t="n"/>
      <c r="E591" s="26" t="n"/>
      <c r="F591" s="30">
        <f>IF(A591="","",COUNTIF('Holdings'!$A$4:$A$2503,A591))</f>
        <v/>
      </c>
      <c r="G591" s="30">
        <f>IF(A591="","",COUNTIF('Access'!$B$4:$B$1503,A591))</f>
        <v/>
      </c>
      <c r="H591" s="30">
        <f>IF(A591="","",IF(COUNTIF($A$4:$A$1003,A591)&gt;1,"Duplicate holder ID",IF(OR(B591="",C591=""),"Missing required field",IF(F591=0,"No holdings",IF(AND(G591=0,A591&lt;&gt;"LKB-GROUP"),"No login (ok if not invited)","OK")))))</f>
        <v/>
      </c>
    </row>
    <row r="592">
      <c r="A592" s="26" t="n"/>
      <c r="B592" s="26" t="n"/>
      <c r="C592" s="26" t="n"/>
      <c r="D592" s="26" t="n"/>
      <c r="E592" s="26" t="n"/>
      <c r="F592" s="30">
        <f>IF(A592="","",COUNTIF('Holdings'!$A$4:$A$2503,A592))</f>
        <v/>
      </c>
      <c r="G592" s="30">
        <f>IF(A592="","",COUNTIF('Access'!$B$4:$B$1503,A592))</f>
        <v/>
      </c>
      <c r="H592" s="30">
        <f>IF(A592="","",IF(COUNTIF($A$4:$A$1003,A592)&gt;1,"Duplicate holder ID",IF(OR(B592="",C592=""),"Missing required field",IF(F592=0,"No holdings",IF(AND(G592=0,A592&lt;&gt;"LKB-GROUP"),"No login (ok if not invited)","OK")))))</f>
        <v/>
      </c>
    </row>
    <row r="593">
      <c r="A593" s="26" t="n"/>
      <c r="B593" s="26" t="n"/>
      <c r="C593" s="26" t="n"/>
      <c r="D593" s="26" t="n"/>
      <c r="E593" s="26" t="n"/>
      <c r="F593" s="30">
        <f>IF(A593="","",COUNTIF('Holdings'!$A$4:$A$2503,A593))</f>
        <v/>
      </c>
      <c r="G593" s="30">
        <f>IF(A593="","",COUNTIF('Access'!$B$4:$B$1503,A593))</f>
        <v/>
      </c>
      <c r="H593" s="30">
        <f>IF(A593="","",IF(COUNTIF($A$4:$A$1003,A593)&gt;1,"Duplicate holder ID",IF(OR(B593="",C593=""),"Missing required field",IF(F593=0,"No holdings",IF(AND(G593=0,A593&lt;&gt;"LKB-GROUP"),"No login (ok if not invited)","OK")))))</f>
        <v/>
      </c>
    </row>
    <row r="594">
      <c r="A594" s="26" t="n"/>
      <c r="B594" s="26" t="n"/>
      <c r="C594" s="26" t="n"/>
      <c r="D594" s="26" t="n"/>
      <c r="E594" s="26" t="n"/>
      <c r="F594" s="30">
        <f>IF(A594="","",COUNTIF('Holdings'!$A$4:$A$2503,A594))</f>
        <v/>
      </c>
      <c r="G594" s="30">
        <f>IF(A594="","",COUNTIF('Access'!$B$4:$B$1503,A594))</f>
        <v/>
      </c>
      <c r="H594" s="30">
        <f>IF(A594="","",IF(COUNTIF($A$4:$A$1003,A594)&gt;1,"Duplicate holder ID",IF(OR(B594="",C594=""),"Missing required field",IF(F594=0,"No holdings",IF(AND(G594=0,A594&lt;&gt;"LKB-GROUP"),"No login (ok if not invited)","OK")))))</f>
        <v/>
      </c>
    </row>
    <row r="595">
      <c r="A595" s="26" t="n"/>
      <c r="B595" s="26" t="n"/>
      <c r="C595" s="26" t="n"/>
      <c r="D595" s="26" t="n"/>
      <c r="E595" s="26" t="n"/>
      <c r="F595" s="30">
        <f>IF(A595="","",COUNTIF('Holdings'!$A$4:$A$2503,A595))</f>
        <v/>
      </c>
      <c r="G595" s="30">
        <f>IF(A595="","",COUNTIF('Access'!$B$4:$B$1503,A595))</f>
        <v/>
      </c>
      <c r="H595" s="30">
        <f>IF(A595="","",IF(COUNTIF($A$4:$A$1003,A595)&gt;1,"Duplicate holder ID",IF(OR(B595="",C595=""),"Missing required field",IF(F595=0,"No holdings",IF(AND(G595=0,A595&lt;&gt;"LKB-GROUP"),"No login (ok if not invited)","OK")))))</f>
        <v/>
      </c>
    </row>
    <row r="596">
      <c r="A596" s="26" t="n"/>
      <c r="B596" s="26" t="n"/>
      <c r="C596" s="26" t="n"/>
      <c r="D596" s="26" t="n"/>
      <c r="E596" s="26" t="n"/>
      <c r="F596" s="30">
        <f>IF(A596="","",COUNTIF('Holdings'!$A$4:$A$2503,A596))</f>
        <v/>
      </c>
      <c r="G596" s="30">
        <f>IF(A596="","",COUNTIF('Access'!$B$4:$B$1503,A596))</f>
        <v/>
      </c>
      <c r="H596" s="30">
        <f>IF(A596="","",IF(COUNTIF($A$4:$A$1003,A596)&gt;1,"Duplicate holder ID",IF(OR(B596="",C596=""),"Missing required field",IF(F596=0,"No holdings",IF(AND(G596=0,A596&lt;&gt;"LKB-GROUP"),"No login (ok if not invited)","OK")))))</f>
        <v/>
      </c>
    </row>
    <row r="597">
      <c r="A597" s="26" t="n"/>
      <c r="B597" s="26" t="n"/>
      <c r="C597" s="26" t="n"/>
      <c r="D597" s="26" t="n"/>
      <c r="E597" s="26" t="n"/>
      <c r="F597" s="30">
        <f>IF(A597="","",COUNTIF('Holdings'!$A$4:$A$2503,A597))</f>
        <v/>
      </c>
      <c r="G597" s="30">
        <f>IF(A597="","",COUNTIF('Access'!$B$4:$B$1503,A597))</f>
        <v/>
      </c>
      <c r="H597" s="30">
        <f>IF(A597="","",IF(COUNTIF($A$4:$A$1003,A597)&gt;1,"Duplicate holder ID",IF(OR(B597="",C597=""),"Missing required field",IF(F597=0,"No holdings",IF(AND(G597=0,A597&lt;&gt;"LKB-GROUP"),"No login (ok if not invited)","OK")))))</f>
        <v/>
      </c>
    </row>
    <row r="598">
      <c r="A598" s="26" t="n"/>
      <c r="B598" s="26" t="n"/>
      <c r="C598" s="26" t="n"/>
      <c r="D598" s="26" t="n"/>
      <c r="E598" s="26" t="n"/>
      <c r="F598" s="30">
        <f>IF(A598="","",COUNTIF('Holdings'!$A$4:$A$2503,A598))</f>
        <v/>
      </c>
      <c r="G598" s="30">
        <f>IF(A598="","",COUNTIF('Access'!$B$4:$B$1503,A598))</f>
        <v/>
      </c>
      <c r="H598" s="30">
        <f>IF(A598="","",IF(COUNTIF($A$4:$A$1003,A598)&gt;1,"Duplicate holder ID",IF(OR(B598="",C598=""),"Missing required field",IF(F598=0,"No holdings",IF(AND(G598=0,A598&lt;&gt;"LKB-GROUP"),"No login (ok if not invited)","OK")))))</f>
        <v/>
      </c>
    </row>
    <row r="599">
      <c r="A599" s="26" t="n"/>
      <c r="B599" s="26" t="n"/>
      <c r="C599" s="26" t="n"/>
      <c r="D599" s="26" t="n"/>
      <c r="E599" s="26" t="n"/>
      <c r="F599" s="30">
        <f>IF(A599="","",COUNTIF('Holdings'!$A$4:$A$2503,A599))</f>
        <v/>
      </c>
      <c r="G599" s="30">
        <f>IF(A599="","",COUNTIF('Access'!$B$4:$B$1503,A599))</f>
        <v/>
      </c>
      <c r="H599" s="30">
        <f>IF(A599="","",IF(COUNTIF($A$4:$A$1003,A599)&gt;1,"Duplicate holder ID",IF(OR(B599="",C599=""),"Missing required field",IF(F599=0,"No holdings",IF(AND(G599=0,A599&lt;&gt;"LKB-GROUP"),"No login (ok if not invited)","OK")))))</f>
        <v/>
      </c>
    </row>
    <row r="600">
      <c r="A600" s="26" t="n"/>
      <c r="B600" s="26" t="n"/>
      <c r="C600" s="26" t="n"/>
      <c r="D600" s="26" t="n"/>
      <c r="E600" s="26" t="n"/>
      <c r="F600" s="30">
        <f>IF(A600="","",COUNTIF('Holdings'!$A$4:$A$2503,A600))</f>
        <v/>
      </c>
      <c r="G600" s="30">
        <f>IF(A600="","",COUNTIF('Access'!$B$4:$B$1503,A600))</f>
        <v/>
      </c>
      <c r="H600" s="30">
        <f>IF(A600="","",IF(COUNTIF($A$4:$A$1003,A600)&gt;1,"Duplicate holder ID",IF(OR(B600="",C600=""),"Missing required field",IF(F600=0,"No holdings",IF(AND(G600=0,A600&lt;&gt;"LKB-GROUP"),"No login (ok if not invited)","OK")))))</f>
        <v/>
      </c>
    </row>
    <row r="601">
      <c r="A601" s="26" t="n"/>
      <c r="B601" s="26" t="n"/>
      <c r="C601" s="26" t="n"/>
      <c r="D601" s="26" t="n"/>
      <c r="E601" s="26" t="n"/>
      <c r="F601" s="30">
        <f>IF(A601="","",COUNTIF('Holdings'!$A$4:$A$2503,A601))</f>
        <v/>
      </c>
      <c r="G601" s="30">
        <f>IF(A601="","",COUNTIF('Access'!$B$4:$B$1503,A601))</f>
        <v/>
      </c>
      <c r="H601" s="30">
        <f>IF(A601="","",IF(COUNTIF($A$4:$A$1003,A601)&gt;1,"Duplicate holder ID",IF(OR(B601="",C601=""),"Missing required field",IF(F601=0,"No holdings",IF(AND(G601=0,A601&lt;&gt;"LKB-GROUP"),"No login (ok if not invited)","OK")))))</f>
        <v/>
      </c>
    </row>
    <row r="602">
      <c r="A602" s="26" t="n"/>
      <c r="B602" s="26" t="n"/>
      <c r="C602" s="26" t="n"/>
      <c r="D602" s="26" t="n"/>
      <c r="E602" s="26" t="n"/>
      <c r="F602" s="30">
        <f>IF(A602="","",COUNTIF('Holdings'!$A$4:$A$2503,A602))</f>
        <v/>
      </c>
      <c r="G602" s="30">
        <f>IF(A602="","",COUNTIF('Access'!$B$4:$B$1503,A602))</f>
        <v/>
      </c>
      <c r="H602" s="30">
        <f>IF(A602="","",IF(COUNTIF($A$4:$A$1003,A602)&gt;1,"Duplicate holder ID",IF(OR(B602="",C602=""),"Missing required field",IF(F602=0,"No holdings",IF(AND(G602=0,A602&lt;&gt;"LKB-GROUP"),"No login (ok if not invited)","OK")))))</f>
        <v/>
      </c>
    </row>
    <row r="603">
      <c r="A603" s="26" t="n"/>
      <c r="B603" s="26" t="n"/>
      <c r="C603" s="26" t="n"/>
      <c r="D603" s="26" t="n"/>
      <c r="E603" s="26" t="n"/>
      <c r="F603" s="30">
        <f>IF(A603="","",COUNTIF('Holdings'!$A$4:$A$2503,A603))</f>
        <v/>
      </c>
      <c r="G603" s="30">
        <f>IF(A603="","",COUNTIF('Access'!$B$4:$B$1503,A603))</f>
        <v/>
      </c>
      <c r="H603" s="30">
        <f>IF(A603="","",IF(COUNTIF($A$4:$A$1003,A603)&gt;1,"Duplicate holder ID",IF(OR(B603="",C603=""),"Missing required field",IF(F603=0,"No holdings",IF(AND(G603=0,A603&lt;&gt;"LKB-GROUP"),"No login (ok if not invited)","OK")))))</f>
        <v/>
      </c>
    </row>
    <row r="604">
      <c r="A604" s="26" t="n"/>
      <c r="B604" s="26" t="n"/>
      <c r="C604" s="26" t="n"/>
      <c r="D604" s="26" t="n"/>
      <c r="E604" s="26" t="n"/>
      <c r="F604" s="30">
        <f>IF(A604="","",COUNTIF('Holdings'!$A$4:$A$2503,A604))</f>
        <v/>
      </c>
      <c r="G604" s="30">
        <f>IF(A604="","",COUNTIF('Access'!$B$4:$B$1503,A604))</f>
        <v/>
      </c>
      <c r="H604" s="30">
        <f>IF(A604="","",IF(COUNTIF($A$4:$A$1003,A604)&gt;1,"Duplicate holder ID",IF(OR(B604="",C604=""),"Missing required field",IF(F604=0,"No holdings",IF(AND(G604=0,A604&lt;&gt;"LKB-GROUP"),"No login (ok if not invited)","OK")))))</f>
        <v/>
      </c>
    </row>
    <row r="605">
      <c r="A605" s="26" t="n"/>
      <c r="B605" s="26" t="n"/>
      <c r="C605" s="26" t="n"/>
      <c r="D605" s="26" t="n"/>
      <c r="E605" s="26" t="n"/>
      <c r="F605" s="30">
        <f>IF(A605="","",COUNTIF('Holdings'!$A$4:$A$2503,A605))</f>
        <v/>
      </c>
      <c r="G605" s="30">
        <f>IF(A605="","",COUNTIF('Access'!$B$4:$B$1503,A605))</f>
        <v/>
      </c>
      <c r="H605" s="30">
        <f>IF(A605="","",IF(COUNTIF($A$4:$A$1003,A605)&gt;1,"Duplicate holder ID",IF(OR(B605="",C605=""),"Missing required field",IF(F605=0,"No holdings",IF(AND(G605=0,A605&lt;&gt;"LKB-GROUP"),"No login (ok if not invited)","OK")))))</f>
        <v/>
      </c>
    </row>
    <row r="606">
      <c r="A606" s="26" t="n"/>
      <c r="B606" s="26" t="n"/>
      <c r="C606" s="26" t="n"/>
      <c r="D606" s="26" t="n"/>
      <c r="E606" s="26" t="n"/>
      <c r="F606" s="30">
        <f>IF(A606="","",COUNTIF('Holdings'!$A$4:$A$2503,A606))</f>
        <v/>
      </c>
      <c r="G606" s="30">
        <f>IF(A606="","",COUNTIF('Access'!$B$4:$B$1503,A606))</f>
        <v/>
      </c>
      <c r="H606" s="30">
        <f>IF(A606="","",IF(COUNTIF($A$4:$A$1003,A606)&gt;1,"Duplicate holder ID",IF(OR(B606="",C606=""),"Missing required field",IF(F606=0,"No holdings",IF(AND(G606=0,A606&lt;&gt;"LKB-GROUP"),"No login (ok if not invited)","OK")))))</f>
        <v/>
      </c>
    </row>
    <row r="607">
      <c r="A607" s="26" t="n"/>
      <c r="B607" s="26" t="n"/>
      <c r="C607" s="26" t="n"/>
      <c r="D607" s="26" t="n"/>
      <c r="E607" s="26" t="n"/>
      <c r="F607" s="30">
        <f>IF(A607="","",COUNTIF('Holdings'!$A$4:$A$2503,A607))</f>
        <v/>
      </c>
      <c r="G607" s="30">
        <f>IF(A607="","",COUNTIF('Access'!$B$4:$B$1503,A607))</f>
        <v/>
      </c>
      <c r="H607" s="30">
        <f>IF(A607="","",IF(COUNTIF($A$4:$A$1003,A607)&gt;1,"Duplicate holder ID",IF(OR(B607="",C607=""),"Missing required field",IF(F607=0,"No holdings",IF(AND(G607=0,A607&lt;&gt;"LKB-GROUP"),"No login (ok if not invited)","OK")))))</f>
        <v/>
      </c>
    </row>
    <row r="608">
      <c r="A608" s="26" t="n"/>
      <c r="B608" s="26" t="n"/>
      <c r="C608" s="26" t="n"/>
      <c r="D608" s="26" t="n"/>
      <c r="E608" s="26" t="n"/>
      <c r="F608" s="30">
        <f>IF(A608="","",COUNTIF('Holdings'!$A$4:$A$2503,A608))</f>
        <v/>
      </c>
      <c r="G608" s="30">
        <f>IF(A608="","",COUNTIF('Access'!$B$4:$B$1503,A608))</f>
        <v/>
      </c>
      <c r="H608" s="30">
        <f>IF(A608="","",IF(COUNTIF($A$4:$A$1003,A608)&gt;1,"Duplicate holder ID",IF(OR(B608="",C608=""),"Missing required field",IF(F608=0,"No holdings",IF(AND(G608=0,A608&lt;&gt;"LKB-GROUP"),"No login (ok if not invited)","OK")))))</f>
        <v/>
      </c>
    </row>
    <row r="609">
      <c r="A609" s="26" t="n"/>
      <c r="B609" s="26" t="n"/>
      <c r="C609" s="26" t="n"/>
      <c r="D609" s="26" t="n"/>
      <c r="E609" s="26" t="n"/>
      <c r="F609" s="30">
        <f>IF(A609="","",COUNTIF('Holdings'!$A$4:$A$2503,A609))</f>
        <v/>
      </c>
      <c r="G609" s="30">
        <f>IF(A609="","",COUNTIF('Access'!$B$4:$B$1503,A609))</f>
        <v/>
      </c>
      <c r="H609" s="30">
        <f>IF(A609="","",IF(COUNTIF($A$4:$A$1003,A609)&gt;1,"Duplicate holder ID",IF(OR(B609="",C609=""),"Missing required field",IF(F609=0,"No holdings",IF(AND(G609=0,A609&lt;&gt;"LKB-GROUP"),"No login (ok if not invited)","OK")))))</f>
        <v/>
      </c>
    </row>
    <row r="610">
      <c r="A610" s="26" t="n"/>
      <c r="B610" s="26" t="n"/>
      <c r="C610" s="26" t="n"/>
      <c r="D610" s="26" t="n"/>
      <c r="E610" s="26" t="n"/>
      <c r="F610" s="30">
        <f>IF(A610="","",COUNTIF('Holdings'!$A$4:$A$2503,A610))</f>
        <v/>
      </c>
      <c r="G610" s="30">
        <f>IF(A610="","",COUNTIF('Access'!$B$4:$B$1503,A610))</f>
        <v/>
      </c>
      <c r="H610" s="30">
        <f>IF(A610="","",IF(COUNTIF($A$4:$A$1003,A610)&gt;1,"Duplicate holder ID",IF(OR(B610="",C610=""),"Missing required field",IF(F610=0,"No holdings",IF(AND(G610=0,A610&lt;&gt;"LKB-GROUP"),"No login (ok if not invited)","OK")))))</f>
        <v/>
      </c>
    </row>
    <row r="611">
      <c r="A611" s="26" t="n"/>
      <c r="B611" s="26" t="n"/>
      <c r="C611" s="26" t="n"/>
      <c r="D611" s="26" t="n"/>
      <c r="E611" s="26" t="n"/>
      <c r="F611" s="30">
        <f>IF(A611="","",COUNTIF('Holdings'!$A$4:$A$2503,A611))</f>
        <v/>
      </c>
      <c r="G611" s="30">
        <f>IF(A611="","",COUNTIF('Access'!$B$4:$B$1503,A611))</f>
        <v/>
      </c>
      <c r="H611" s="30">
        <f>IF(A611="","",IF(COUNTIF($A$4:$A$1003,A611)&gt;1,"Duplicate holder ID",IF(OR(B611="",C611=""),"Missing required field",IF(F611=0,"No holdings",IF(AND(G611=0,A611&lt;&gt;"LKB-GROUP"),"No login (ok if not invited)","OK")))))</f>
        <v/>
      </c>
    </row>
    <row r="612">
      <c r="A612" s="26" t="n"/>
      <c r="B612" s="26" t="n"/>
      <c r="C612" s="26" t="n"/>
      <c r="D612" s="26" t="n"/>
      <c r="E612" s="26" t="n"/>
      <c r="F612" s="30">
        <f>IF(A612="","",COUNTIF('Holdings'!$A$4:$A$2503,A612))</f>
        <v/>
      </c>
      <c r="G612" s="30">
        <f>IF(A612="","",COUNTIF('Access'!$B$4:$B$1503,A612))</f>
        <v/>
      </c>
      <c r="H612" s="30">
        <f>IF(A612="","",IF(COUNTIF($A$4:$A$1003,A612)&gt;1,"Duplicate holder ID",IF(OR(B612="",C612=""),"Missing required field",IF(F612=0,"No holdings",IF(AND(G612=0,A612&lt;&gt;"LKB-GROUP"),"No login (ok if not invited)","OK")))))</f>
        <v/>
      </c>
    </row>
    <row r="613">
      <c r="A613" s="26" t="n"/>
      <c r="B613" s="26" t="n"/>
      <c r="C613" s="26" t="n"/>
      <c r="D613" s="26" t="n"/>
      <c r="E613" s="26" t="n"/>
      <c r="F613" s="30">
        <f>IF(A613="","",COUNTIF('Holdings'!$A$4:$A$2503,A613))</f>
        <v/>
      </c>
      <c r="G613" s="30">
        <f>IF(A613="","",COUNTIF('Access'!$B$4:$B$1503,A613))</f>
        <v/>
      </c>
      <c r="H613" s="30">
        <f>IF(A613="","",IF(COUNTIF($A$4:$A$1003,A613)&gt;1,"Duplicate holder ID",IF(OR(B613="",C613=""),"Missing required field",IF(F613=0,"No holdings",IF(AND(G613=0,A613&lt;&gt;"LKB-GROUP"),"No login (ok if not invited)","OK")))))</f>
        <v/>
      </c>
    </row>
    <row r="614">
      <c r="A614" s="26" t="n"/>
      <c r="B614" s="26" t="n"/>
      <c r="C614" s="26" t="n"/>
      <c r="D614" s="26" t="n"/>
      <c r="E614" s="26" t="n"/>
      <c r="F614" s="30">
        <f>IF(A614="","",COUNTIF('Holdings'!$A$4:$A$2503,A614))</f>
        <v/>
      </c>
      <c r="G614" s="30">
        <f>IF(A614="","",COUNTIF('Access'!$B$4:$B$1503,A614))</f>
        <v/>
      </c>
      <c r="H614" s="30">
        <f>IF(A614="","",IF(COUNTIF($A$4:$A$1003,A614)&gt;1,"Duplicate holder ID",IF(OR(B614="",C614=""),"Missing required field",IF(F614=0,"No holdings",IF(AND(G614=0,A614&lt;&gt;"LKB-GROUP"),"No login (ok if not invited)","OK")))))</f>
        <v/>
      </c>
    </row>
    <row r="615">
      <c r="A615" s="26" t="n"/>
      <c r="B615" s="26" t="n"/>
      <c r="C615" s="26" t="n"/>
      <c r="D615" s="26" t="n"/>
      <c r="E615" s="26" t="n"/>
      <c r="F615" s="30">
        <f>IF(A615="","",COUNTIF('Holdings'!$A$4:$A$2503,A615))</f>
        <v/>
      </c>
      <c r="G615" s="30">
        <f>IF(A615="","",COUNTIF('Access'!$B$4:$B$1503,A615))</f>
        <v/>
      </c>
      <c r="H615" s="30">
        <f>IF(A615="","",IF(COUNTIF($A$4:$A$1003,A615)&gt;1,"Duplicate holder ID",IF(OR(B615="",C615=""),"Missing required field",IF(F615=0,"No holdings",IF(AND(G615=0,A615&lt;&gt;"LKB-GROUP"),"No login (ok if not invited)","OK")))))</f>
        <v/>
      </c>
    </row>
    <row r="616">
      <c r="A616" s="26" t="n"/>
      <c r="B616" s="26" t="n"/>
      <c r="C616" s="26" t="n"/>
      <c r="D616" s="26" t="n"/>
      <c r="E616" s="26" t="n"/>
      <c r="F616" s="30">
        <f>IF(A616="","",COUNTIF('Holdings'!$A$4:$A$2503,A616))</f>
        <v/>
      </c>
      <c r="G616" s="30">
        <f>IF(A616="","",COUNTIF('Access'!$B$4:$B$1503,A616))</f>
        <v/>
      </c>
      <c r="H616" s="30">
        <f>IF(A616="","",IF(COUNTIF($A$4:$A$1003,A616)&gt;1,"Duplicate holder ID",IF(OR(B616="",C616=""),"Missing required field",IF(F616=0,"No holdings",IF(AND(G616=0,A616&lt;&gt;"LKB-GROUP"),"No login (ok if not invited)","OK")))))</f>
        <v/>
      </c>
    </row>
    <row r="617">
      <c r="A617" s="26" t="n"/>
      <c r="B617" s="26" t="n"/>
      <c r="C617" s="26" t="n"/>
      <c r="D617" s="26" t="n"/>
      <c r="E617" s="26" t="n"/>
      <c r="F617" s="30">
        <f>IF(A617="","",COUNTIF('Holdings'!$A$4:$A$2503,A617))</f>
        <v/>
      </c>
      <c r="G617" s="30">
        <f>IF(A617="","",COUNTIF('Access'!$B$4:$B$1503,A617))</f>
        <v/>
      </c>
      <c r="H617" s="30">
        <f>IF(A617="","",IF(COUNTIF($A$4:$A$1003,A617)&gt;1,"Duplicate holder ID",IF(OR(B617="",C617=""),"Missing required field",IF(F617=0,"No holdings",IF(AND(G617=0,A617&lt;&gt;"LKB-GROUP"),"No login (ok if not invited)","OK")))))</f>
        <v/>
      </c>
    </row>
    <row r="618">
      <c r="A618" s="26" t="n"/>
      <c r="B618" s="26" t="n"/>
      <c r="C618" s="26" t="n"/>
      <c r="D618" s="26" t="n"/>
      <c r="E618" s="26" t="n"/>
      <c r="F618" s="30">
        <f>IF(A618="","",COUNTIF('Holdings'!$A$4:$A$2503,A618))</f>
        <v/>
      </c>
      <c r="G618" s="30">
        <f>IF(A618="","",COUNTIF('Access'!$B$4:$B$1503,A618))</f>
        <v/>
      </c>
      <c r="H618" s="30">
        <f>IF(A618="","",IF(COUNTIF($A$4:$A$1003,A618)&gt;1,"Duplicate holder ID",IF(OR(B618="",C618=""),"Missing required field",IF(F618=0,"No holdings",IF(AND(G618=0,A618&lt;&gt;"LKB-GROUP"),"No login (ok if not invited)","OK")))))</f>
        <v/>
      </c>
    </row>
    <row r="619">
      <c r="A619" s="26" t="n"/>
      <c r="B619" s="26" t="n"/>
      <c r="C619" s="26" t="n"/>
      <c r="D619" s="26" t="n"/>
      <c r="E619" s="26" t="n"/>
      <c r="F619" s="30">
        <f>IF(A619="","",COUNTIF('Holdings'!$A$4:$A$2503,A619))</f>
        <v/>
      </c>
      <c r="G619" s="30">
        <f>IF(A619="","",COUNTIF('Access'!$B$4:$B$1503,A619))</f>
        <v/>
      </c>
      <c r="H619" s="30">
        <f>IF(A619="","",IF(COUNTIF($A$4:$A$1003,A619)&gt;1,"Duplicate holder ID",IF(OR(B619="",C619=""),"Missing required field",IF(F619=0,"No holdings",IF(AND(G619=0,A619&lt;&gt;"LKB-GROUP"),"No login (ok if not invited)","OK")))))</f>
        <v/>
      </c>
    </row>
    <row r="620">
      <c r="A620" s="26" t="n"/>
      <c r="B620" s="26" t="n"/>
      <c r="C620" s="26" t="n"/>
      <c r="D620" s="26" t="n"/>
      <c r="E620" s="26" t="n"/>
      <c r="F620" s="30">
        <f>IF(A620="","",COUNTIF('Holdings'!$A$4:$A$2503,A620))</f>
        <v/>
      </c>
      <c r="G620" s="30">
        <f>IF(A620="","",COUNTIF('Access'!$B$4:$B$1503,A620))</f>
        <v/>
      </c>
      <c r="H620" s="30">
        <f>IF(A620="","",IF(COUNTIF($A$4:$A$1003,A620)&gt;1,"Duplicate holder ID",IF(OR(B620="",C620=""),"Missing required field",IF(F620=0,"No holdings",IF(AND(G620=0,A620&lt;&gt;"LKB-GROUP"),"No login (ok if not invited)","OK")))))</f>
        <v/>
      </c>
    </row>
    <row r="621">
      <c r="A621" s="26" t="n"/>
      <c r="B621" s="26" t="n"/>
      <c r="C621" s="26" t="n"/>
      <c r="D621" s="26" t="n"/>
      <c r="E621" s="26" t="n"/>
      <c r="F621" s="30">
        <f>IF(A621="","",COUNTIF('Holdings'!$A$4:$A$2503,A621))</f>
        <v/>
      </c>
      <c r="G621" s="30">
        <f>IF(A621="","",COUNTIF('Access'!$B$4:$B$1503,A621))</f>
        <v/>
      </c>
      <c r="H621" s="30">
        <f>IF(A621="","",IF(COUNTIF($A$4:$A$1003,A621)&gt;1,"Duplicate holder ID",IF(OR(B621="",C621=""),"Missing required field",IF(F621=0,"No holdings",IF(AND(G621=0,A621&lt;&gt;"LKB-GROUP"),"No login (ok if not invited)","OK")))))</f>
        <v/>
      </c>
    </row>
    <row r="622">
      <c r="A622" s="26" t="n"/>
      <c r="B622" s="26" t="n"/>
      <c r="C622" s="26" t="n"/>
      <c r="D622" s="26" t="n"/>
      <c r="E622" s="26" t="n"/>
      <c r="F622" s="30">
        <f>IF(A622="","",COUNTIF('Holdings'!$A$4:$A$2503,A622))</f>
        <v/>
      </c>
      <c r="G622" s="30">
        <f>IF(A622="","",COUNTIF('Access'!$B$4:$B$1503,A622))</f>
        <v/>
      </c>
      <c r="H622" s="30">
        <f>IF(A622="","",IF(COUNTIF($A$4:$A$1003,A622)&gt;1,"Duplicate holder ID",IF(OR(B622="",C622=""),"Missing required field",IF(F622=0,"No holdings",IF(AND(G622=0,A622&lt;&gt;"LKB-GROUP"),"No login (ok if not invited)","OK")))))</f>
        <v/>
      </c>
    </row>
    <row r="623">
      <c r="A623" s="26" t="n"/>
      <c r="B623" s="26" t="n"/>
      <c r="C623" s="26" t="n"/>
      <c r="D623" s="26" t="n"/>
      <c r="E623" s="26" t="n"/>
      <c r="F623" s="30">
        <f>IF(A623="","",COUNTIF('Holdings'!$A$4:$A$2503,A623))</f>
        <v/>
      </c>
      <c r="G623" s="30">
        <f>IF(A623="","",COUNTIF('Access'!$B$4:$B$1503,A623))</f>
        <v/>
      </c>
      <c r="H623" s="30">
        <f>IF(A623="","",IF(COUNTIF($A$4:$A$1003,A623)&gt;1,"Duplicate holder ID",IF(OR(B623="",C623=""),"Missing required field",IF(F623=0,"No holdings",IF(AND(G623=0,A623&lt;&gt;"LKB-GROUP"),"No login (ok if not invited)","OK")))))</f>
        <v/>
      </c>
    </row>
    <row r="624">
      <c r="A624" s="26" t="n"/>
      <c r="B624" s="26" t="n"/>
      <c r="C624" s="26" t="n"/>
      <c r="D624" s="26" t="n"/>
      <c r="E624" s="26" t="n"/>
      <c r="F624" s="30">
        <f>IF(A624="","",COUNTIF('Holdings'!$A$4:$A$2503,A624))</f>
        <v/>
      </c>
      <c r="G624" s="30">
        <f>IF(A624="","",COUNTIF('Access'!$B$4:$B$1503,A624))</f>
        <v/>
      </c>
      <c r="H624" s="30">
        <f>IF(A624="","",IF(COUNTIF($A$4:$A$1003,A624)&gt;1,"Duplicate holder ID",IF(OR(B624="",C624=""),"Missing required field",IF(F624=0,"No holdings",IF(AND(G624=0,A624&lt;&gt;"LKB-GROUP"),"No login (ok if not invited)","OK")))))</f>
        <v/>
      </c>
    </row>
    <row r="625">
      <c r="A625" s="26" t="n"/>
      <c r="B625" s="26" t="n"/>
      <c r="C625" s="26" t="n"/>
      <c r="D625" s="26" t="n"/>
      <c r="E625" s="26" t="n"/>
      <c r="F625" s="30">
        <f>IF(A625="","",COUNTIF('Holdings'!$A$4:$A$2503,A625))</f>
        <v/>
      </c>
      <c r="G625" s="30">
        <f>IF(A625="","",COUNTIF('Access'!$B$4:$B$1503,A625))</f>
        <v/>
      </c>
      <c r="H625" s="30">
        <f>IF(A625="","",IF(COUNTIF($A$4:$A$1003,A625)&gt;1,"Duplicate holder ID",IF(OR(B625="",C625=""),"Missing required field",IF(F625=0,"No holdings",IF(AND(G625=0,A625&lt;&gt;"LKB-GROUP"),"No login (ok if not invited)","OK")))))</f>
        <v/>
      </c>
    </row>
    <row r="626">
      <c r="A626" s="26" t="n"/>
      <c r="B626" s="26" t="n"/>
      <c r="C626" s="26" t="n"/>
      <c r="D626" s="26" t="n"/>
      <c r="E626" s="26" t="n"/>
      <c r="F626" s="30">
        <f>IF(A626="","",COUNTIF('Holdings'!$A$4:$A$2503,A626))</f>
        <v/>
      </c>
      <c r="G626" s="30">
        <f>IF(A626="","",COUNTIF('Access'!$B$4:$B$1503,A626))</f>
        <v/>
      </c>
      <c r="H626" s="30">
        <f>IF(A626="","",IF(COUNTIF($A$4:$A$1003,A626)&gt;1,"Duplicate holder ID",IF(OR(B626="",C626=""),"Missing required field",IF(F626=0,"No holdings",IF(AND(G626=0,A626&lt;&gt;"LKB-GROUP"),"No login (ok if not invited)","OK")))))</f>
        <v/>
      </c>
    </row>
    <row r="627">
      <c r="A627" s="26" t="n"/>
      <c r="B627" s="26" t="n"/>
      <c r="C627" s="26" t="n"/>
      <c r="D627" s="26" t="n"/>
      <c r="E627" s="26" t="n"/>
      <c r="F627" s="30">
        <f>IF(A627="","",COUNTIF('Holdings'!$A$4:$A$2503,A627))</f>
        <v/>
      </c>
      <c r="G627" s="30">
        <f>IF(A627="","",COUNTIF('Access'!$B$4:$B$1503,A627))</f>
        <v/>
      </c>
      <c r="H627" s="30">
        <f>IF(A627="","",IF(COUNTIF($A$4:$A$1003,A627)&gt;1,"Duplicate holder ID",IF(OR(B627="",C627=""),"Missing required field",IF(F627=0,"No holdings",IF(AND(G627=0,A627&lt;&gt;"LKB-GROUP"),"No login (ok if not invited)","OK")))))</f>
        <v/>
      </c>
    </row>
    <row r="628">
      <c r="A628" s="26" t="n"/>
      <c r="B628" s="26" t="n"/>
      <c r="C628" s="26" t="n"/>
      <c r="D628" s="26" t="n"/>
      <c r="E628" s="26" t="n"/>
      <c r="F628" s="30">
        <f>IF(A628="","",COUNTIF('Holdings'!$A$4:$A$2503,A628))</f>
        <v/>
      </c>
      <c r="G628" s="30">
        <f>IF(A628="","",COUNTIF('Access'!$B$4:$B$1503,A628))</f>
        <v/>
      </c>
      <c r="H628" s="30">
        <f>IF(A628="","",IF(COUNTIF($A$4:$A$1003,A628)&gt;1,"Duplicate holder ID",IF(OR(B628="",C628=""),"Missing required field",IF(F628=0,"No holdings",IF(AND(G628=0,A628&lt;&gt;"LKB-GROUP"),"No login (ok if not invited)","OK")))))</f>
        <v/>
      </c>
    </row>
    <row r="629">
      <c r="A629" s="26" t="n"/>
      <c r="B629" s="26" t="n"/>
      <c r="C629" s="26" t="n"/>
      <c r="D629" s="26" t="n"/>
      <c r="E629" s="26" t="n"/>
      <c r="F629" s="30">
        <f>IF(A629="","",COUNTIF('Holdings'!$A$4:$A$2503,A629))</f>
        <v/>
      </c>
      <c r="G629" s="30">
        <f>IF(A629="","",COUNTIF('Access'!$B$4:$B$1503,A629))</f>
        <v/>
      </c>
      <c r="H629" s="30">
        <f>IF(A629="","",IF(COUNTIF($A$4:$A$1003,A629)&gt;1,"Duplicate holder ID",IF(OR(B629="",C629=""),"Missing required field",IF(F629=0,"No holdings",IF(AND(G629=0,A629&lt;&gt;"LKB-GROUP"),"No login (ok if not invited)","OK")))))</f>
        <v/>
      </c>
    </row>
    <row r="630">
      <c r="A630" s="26" t="n"/>
      <c r="B630" s="26" t="n"/>
      <c r="C630" s="26" t="n"/>
      <c r="D630" s="26" t="n"/>
      <c r="E630" s="26" t="n"/>
      <c r="F630" s="30">
        <f>IF(A630="","",COUNTIF('Holdings'!$A$4:$A$2503,A630))</f>
        <v/>
      </c>
      <c r="G630" s="30">
        <f>IF(A630="","",COUNTIF('Access'!$B$4:$B$1503,A630))</f>
        <v/>
      </c>
      <c r="H630" s="30">
        <f>IF(A630="","",IF(COUNTIF($A$4:$A$1003,A630)&gt;1,"Duplicate holder ID",IF(OR(B630="",C630=""),"Missing required field",IF(F630=0,"No holdings",IF(AND(G630=0,A630&lt;&gt;"LKB-GROUP"),"No login (ok if not invited)","OK")))))</f>
        <v/>
      </c>
    </row>
    <row r="631">
      <c r="A631" s="26" t="n"/>
      <c r="B631" s="26" t="n"/>
      <c r="C631" s="26" t="n"/>
      <c r="D631" s="26" t="n"/>
      <c r="E631" s="26" t="n"/>
      <c r="F631" s="30">
        <f>IF(A631="","",COUNTIF('Holdings'!$A$4:$A$2503,A631))</f>
        <v/>
      </c>
      <c r="G631" s="30">
        <f>IF(A631="","",COUNTIF('Access'!$B$4:$B$1503,A631))</f>
        <v/>
      </c>
      <c r="H631" s="30">
        <f>IF(A631="","",IF(COUNTIF($A$4:$A$1003,A631)&gt;1,"Duplicate holder ID",IF(OR(B631="",C631=""),"Missing required field",IF(F631=0,"No holdings",IF(AND(G631=0,A631&lt;&gt;"LKB-GROUP"),"No login (ok if not invited)","OK")))))</f>
        <v/>
      </c>
    </row>
    <row r="632">
      <c r="A632" s="26" t="n"/>
      <c r="B632" s="26" t="n"/>
      <c r="C632" s="26" t="n"/>
      <c r="D632" s="26" t="n"/>
      <c r="E632" s="26" t="n"/>
      <c r="F632" s="30">
        <f>IF(A632="","",COUNTIF('Holdings'!$A$4:$A$2503,A632))</f>
        <v/>
      </c>
      <c r="G632" s="30">
        <f>IF(A632="","",COUNTIF('Access'!$B$4:$B$1503,A632))</f>
        <v/>
      </c>
      <c r="H632" s="30">
        <f>IF(A632="","",IF(COUNTIF($A$4:$A$1003,A632)&gt;1,"Duplicate holder ID",IF(OR(B632="",C632=""),"Missing required field",IF(F632=0,"No holdings",IF(AND(G632=0,A632&lt;&gt;"LKB-GROUP"),"No login (ok if not invited)","OK")))))</f>
        <v/>
      </c>
    </row>
    <row r="633">
      <c r="A633" s="26" t="n"/>
      <c r="B633" s="26" t="n"/>
      <c r="C633" s="26" t="n"/>
      <c r="D633" s="26" t="n"/>
      <c r="E633" s="26" t="n"/>
      <c r="F633" s="30">
        <f>IF(A633="","",COUNTIF('Holdings'!$A$4:$A$2503,A633))</f>
        <v/>
      </c>
      <c r="G633" s="30">
        <f>IF(A633="","",COUNTIF('Access'!$B$4:$B$1503,A633))</f>
        <v/>
      </c>
      <c r="H633" s="30">
        <f>IF(A633="","",IF(COUNTIF($A$4:$A$1003,A633)&gt;1,"Duplicate holder ID",IF(OR(B633="",C633=""),"Missing required field",IF(F633=0,"No holdings",IF(AND(G633=0,A633&lt;&gt;"LKB-GROUP"),"No login (ok if not invited)","OK")))))</f>
        <v/>
      </c>
    </row>
    <row r="634">
      <c r="A634" s="26" t="n"/>
      <c r="B634" s="26" t="n"/>
      <c r="C634" s="26" t="n"/>
      <c r="D634" s="26" t="n"/>
      <c r="E634" s="26" t="n"/>
      <c r="F634" s="30">
        <f>IF(A634="","",COUNTIF('Holdings'!$A$4:$A$2503,A634))</f>
        <v/>
      </c>
      <c r="G634" s="30">
        <f>IF(A634="","",COUNTIF('Access'!$B$4:$B$1503,A634))</f>
        <v/>
      </c>
      <c r="H634" s="30">
        <f>IF(A634="","",IF(COUNTIF($A$4:$A$1003,A634)&gt;1,"Duplicate holder ID",IF(OR(B634="",C634=""),"Missing required field",IF(F634=0,"No holdings",IF(AND(G634=0,A634&lt;&gt;"LKB-GROUP"),"No login (ok if not invited)","OK")))))</f>
        <v/>
      </c>
    </row>
    <row r="635">
      <c r="A635" s="26" t="n"/>
      <c r="B635" s="26" t="n"/>
      <c r="C635" s="26" t="n"/>
      <c r="D635" s="26" t="n"/>
      <c r="E635" s="26" t="n"/>
      <c r="F635" s="30">
        <f>IF(A635="","",COUNTIF('Holdings'!$A$4:$A$2503,A635))</f>
        <v/>
      </c>
      <c r="G635" s="30">
        <f>IF(A635="","",COUNTIF('Access'!$B$4:$B$1503,A635))</f>
        <v/>
      </c>
      <c r="H635" s="30">
        <f>IF(A635="","",IF(COUNTIF($A$4:$A$1003,A635)&gt;1,"Duplicate holder ID",IF(OR(B635="",C635=""),"Missing required field",IF(F635=0,"No holdings",IF(AND(G635=0,A635&lt;&gt;"LKB-GROUP"),"No login (ok if not invited)","OK")))))</f>
        <v/>
      </c>
    </row>
    <row r="636">
      <c r="A636" s="26" t="n"/>
      <c r="B636" s="26" t="n"/>
      <c r="C636" s="26" t="n"/>
      <c r="D636" s="26" t="n"/>
      <c r="E636" s="26" t="n"/>
      <c r="F636" s="30">
        <f>IF(A636="","",COUNTIF('Holdings'!$A$4:$A$2503,A636))</f>
        <v/>
      </c>
      <c r="G636" s="30">
        <f>IF(A636="","",COUNTIF('Access'!$B$4:$B$1503,A636))</f>
        <v/>
      </c>
      <c r="H636" s="30">
        <f>IF(A636="","",IF(COUNTIF($A$4:$A$1003,A636)&gt;1,"Duplicate holder ID",IF(OR(B636="",C636=""),"Missing required field",IF(F636=0,"No holdings",IF(AND(G636=0,A636&lt;&gt;"LKB-GROUP"),"No login (ok if not invited)","OK")))))</f>
        <v/>
      </c>
    </row>
    <row r="637">
      <c r="A637" s="26" t="n"/>
      <c r="B637" s="26" t="n"/>
      <c r="C637" s="26" t="n"/>
      <c r="D637" s="26" t="n"/>
      <c r="E637" s="26" t="n"/>
      <c r="F637" s="30">
        <f>IF(A637="","",COUNTIF('Holdings'!$A$4:$A$2503,A637))</f>
        <v/>
      </c>
      <c r="G637" s="30">
        <f>IF(A637="","",COUNTIF('Access'!$B$4:$B$1503,A637))</f>
        <v/>
      </c>
      <c r="H637" s="30">
        <f>IF(A637="","",IF(COUNTIF($A$4:$A$1003,A637)&gt;1,"Duplicate holder ID",IF(OR(B637="",C637=""),"Missing required field",IF(F637=0,"No holdings",IF(AND(G637=0,A637&lt;&gt;"LKB-GROUP"),"No login (ok if not invited)","OK")))))</f>
        <v/>
      </c>
    </row>
    <row r="638">
      <c r="A638" s="26" t="n"/>
      <c r="B638" s="26" t="n"/>
      <c r="C638" s="26" t="n"/>
      <c r="D638" s="26" t="n"/>
      <c r="E638" s="26" t="n"/>
      <c r="F638" s="30">
        <f>IF(A638="","",COUNTIF('Holdings'!$A$4:$A$2503,A638))</f>
        <v/>
      </c>
      <c r="G638" s="30">
        <f>IF(A638="","",COUNTIF('Access'!$B$4:$B$1503,A638))</f>
        <v/>
      </c>
      <c r="H638" s="30">
        <f>IF(A638="","",IF(COUNTIF($A$4:$A$1003,A638)&gt;1,"Duplicate holder ID",IF(OR(B638="",C638=""),"Missing required field",IF(F638=0,"No holdings",IF(AND(G638=0,A638&lt;&gt;"LKB-GROUP"),"No login (ok if not invited)","OK")))))</f>
        <v/>
      </c>
    </row>
    <row r="639">
      <c r="A639" s="26" t="n"/>
      <c r="B639" s="26" t="n"/>
      <c r="C639" s="26" t="n"/>
      <c r="D639" s="26" t="n"/>
      <c r="E639" s="26" t="n"/>
      <c r="F639" s="30">
        <f>IF(A639="","",COUNTIF('Holdings'!$A$4:$A$2503,A639))</f>
        <v/>
      </c>
      <c r="G639" s="30">
        <f>IF(A639="","",COUNTIF('Access'!$B$4:$B$1503,A639))</f>
        <v/>
      </c>
      <c r="H639" s="30">
        <f>IF(A639="","",IF(COUNTIF($A$4:$A$1003,A639)&gt;1,"Duplicate holder ID",IF(OR(B639="",C639=""),"Missing required field",IF(F639=0,"No holdings",IF(AND(G639=0,A639&lt;&gt;"LKB-GROUP"),"No login (ok if not invited)","OK")))))</f>
        <v/>
      </c>
    </row>
    <row r="640">
      <c r="A640" s="26" t="n"/>
      <c r="B640" s="26" t="n"/>
      <c r="C640" s="26" t="n"/>
      <c r="D640" s="26" t="n"/>
      <c r="E640" s="26" t="n"/>
      <c r="F640" s="30">
        <f>IF(A640="","",COUNTIF('Holdings'!$A$4:$A$2503,A640))</f>
        <v/>
      </c>
      <c r="G640" s="30">
        <f>IF(A640="","",COUNTIF('Access'!$B$4:$B$1503,A640))</f>
        <v/>
      </c>
      <c r="H640" s="30">
        <f>IF(A640="","",IF(COUNTIF($A$4:$A$1003,A640)&gt;1,"Duplicate holder ID",IF(OR(B640="",C640=""),"Missing required field",IF(F640=0,"No holdings",IF(AND(G640=0,A640&lt;&gt;"LKB-GROUP"),"No login (ok if not invited)","OK")))))</f>
        <v/>
      </c>
    </row>
    <row r="641">
      <c r="A641" s="26" t="n"/>
      <c r="B641" s="26" t="n"/>
      <c r="C641" s="26" t="n"/>
      <c r="D641" s="26" t="n"/>
      <c r="E641" s="26" t="n"/>
      <c r="F641" s="30">
        <f>IF(A641="","",COUNTIF('Holdings'!$A$4:$A$2503,A641))</f>
        <v/>
      </c>
      <c r="G641" s="30">
        <f>IF(A641="","",COUNTIF('Access'!$B$4:$B$1503,A641))</f>
        <v/>
      </c>
      <c r="H641" s="30">
        <f>IF(A641="","",IF(COUNTIF($A$4:$A$1003,A641)&gt;1,"Duplicate holder ID",IF(OR(B641="",C641=""),"Missing required field",IF(F641=0,"No holdings",IF(AND(G641=0,A641&lt;&gt;"LKB-GROUP"),"No login (ok if not invited)","OK")))))</f>
        <v/>
      </c>
    </row>
    <row r="642">
      <c r="A642" s="26" t="n"/>
      <c r="B642" s="26" t="n"/>
      <c r="C642" s="26" t="n"/>
      <c r="D642" s="26" t="n"/>
      <c r="E642" s="26" t="n"/>
      <c r="F642" s="30">
        <f>IF(A642="","",COUNTIF('Holdings'!$A$4:$A$2503,A642))</f>
        <v/>
      </c>
      <c r="G642" s="30">
        <f>IF(A642="","",COUNTIF('Access'!$B$4:$B$1503,A642))</f>
        <v/>
      </c>
      <c r="H642" s="30">
        <f>IF(A642="","",IF(COUNTIF($A$4:$A$1003,A642)&gt;1,"Duplicate holder ID",IF(OR(B642="",C642=""),"Missing required field",IF(F642=0,"No holdings",IF(AND(G642=0,A642&lt;&gt;"LKB-GROUP"),"No login (ok if not invited)","OK")))))</f>
        <v/>
      </c>
    </row>
    <row r="643">
      <c r="A643" s="26" t="n"/>
      <c r="B643" s="26" t="n"/>
      <c r="C643" s="26" t="n"/>
      <c r="D643" s="26" t="n"/>
      <c r="E643" s="26" t="n"/>
      <c r="F643" s="30">
        <f>IF(A643="","",COUNTIF('Holdings'!$A$4:$A$2503,A643))</f>
        <v/>
      </c>
      <c r="G643" s="30">
        <f>IF(A643="","",COUNTIF('Access'!$B$4:$B$1503,A643))</f>
        <v/>
      </c>
      <c r="H643" s="30">
        <f>IF(A643="","",IF(COUNTIF($A$4:$A$1003,A643)&gt;1,"Duplicate holder ID",IF(OR(B643="",C643=""),"Missing required field",IF(F643=0,"No holdings",IF(AND(G643=0,A643&lt;&gt;"LKB-GROUP"),"No login (ok if not invited)","OK")))))</f>
        <v/>
      </c>
    </row>
    <row r="644">
      <c r="A644" s="26" t="n"/>
      <c r="B644" s="26" t="n"/>
      <c r="C644" s="26" t="n"/>
      <c r="D644" s="26" t="n"/>
      <c r="E644" s="26" t="n"/>
      <c r="F644" s="30">
        <f>IF(A644="","",COUNTIF('Holdings'!$A$4:$A$2503,A644))</f>
        <v/>
      </c>
      <c r="G644" s="30">
        <f>IF(A644="","",COUNTIF('Access'!$B$4:$B$1503,A644))</f>
        <v/>
      </c>
      <c r="H644" s="30">
        <f>IF(A644="","",IF(COUNTIF($A$4:$A$1003,A644)&gt;1,"Duplicate holder ID",IF(OR(B644="",C644=""),"Missing required field",IF(F644=0,"No holdings",IF(AND(G644=0,A644&lt;&gt;"LKB-GROUP"),"No login (ok if not invited)","OK")))))</f>
        <v/>
      </c>
    </row>
    <row r="645">
      <c r="A645" s="26" t="n"/>
      <c r="B645" s="26" t="n"/>
      <c r="C645" s="26" t="n"/>
      <c r="D645" s="26" t="n"/>
      <c r="E645" s="26" t="n"/>
      <c r="F645" s="30">
        <f>IF(A645="","",COUNTIF('Holdings'!$A$4:$A$2503,A645))</f>
        <v/>
      </c>
      <c r="G645" s="30">
        <f>IF(A645="","",COUNTIF('Access'!$B$4:$B$1503,A645))</f>
        <v/>
      </c>
      <c r="H645" s="30">
        <f>IF(A645="","",IF(COUNTIF($A$4:$A$1003,A645)&gt;1,"Duplicate holder ID",IF(OR(B645="",C645=""),"Missing required field",IF(F645=0,"No holdings",IF(AND(G645=0,A645&lt;&gt;"LKB-GROUP"),"No login (ok if not invited)","OK")))))</f>
        <v/>
      </c>
    </row>
    <row r="646">
      <c r="A646" s="26" t="n"/>
      <c r="B646" s="26" t="n"/>
      <c r="C646" s="26" t="n"/>
      <c r="D646" s="26" t="n"/>
      <c r="E646" s="26" t="n"/>
      <c r="F646" s="30">
        <f>IF(A646="","",COUNTIF('Holdings'!$A$4:$A$2503,A646))</f>
        <v/>
      </c>
      <c r="G646" s="30">
        <f>IF(A646="","",COUNTIF('Access'!$B$4:$B$1503,A646))</f>
        <v/>
      </c>
      <c r="H646" s="30">
        <f>IF(A646="","",IF(COUNTIF($A$4:$A$1003,A646)&gt;1,"Duplicate holder ID",IF(OR(B646="",C646=""),"Missing required field",IF(F646=0,"No holdings",IF(AND(G646=0,A646&lt;&gt;"LKB-GROUP"),"No login (ok if not invited)","OK")))))</f>
        <v/>
      </c>
    </row>
    <row r="647">
      <c r="A647" s="26" t="n"/>
      <c r="B647" s="26" t="n"/>
      <c r="C647" s="26" t="n"/>
      <c r="D647" s="26" t="n"/>
      <c r="E647" s="26" t="n"/>
      <c r="F647" s="30">
        <f>IF(A647="","",COUNTIF('Holdings'!$A$4:$A$2503,A647))</f>
        <v/>
      </c>
      <c r="G647" s="30">
        <f>IF(A647="","",COUNTIF('Access'!$B$4:$B$1503,A647))</f>
        <v/>
      </c>
      <c r="H647" s="30">
        <f>IF(A647="","",IF(COUNTIF($A$4:$A$1003,A647)&gt;1,"Duplicate holder ID",IF(OR(B647="",C647=""),"Missing required field",IF(F647=0,"No holdings",IF(AND(G647=0,A647&lt;&gt;"LKB-GROUP"),"No login (ok if not invited)","OK")))))</f>
        <v/>
      </c>
    </row>
    <row r="648">
      <c r="A648" s="26" t="n"/>
      <c r="B648" s="26" t="n"/>
      <c r="C648" s="26" t="n"/>
      <c r="D648" s="26" t="n"/>
      <c r="E648" s="26" t="n"/>
      <c r="F648" s="30">
        <f>IF(A648="","",COUNTIF('Holdings'!$A$4:$A$2503,A648))</f>
        <v/>
      </c>
      <c r="G648" s="30">
        <f>IF(A648="","",COUNTIF('Access'!$B$4:$B$1503,A648))</f>
        <v/>
      </c>
      <c r="H648" s="30">
        <f>IF(A648="","",IF(COUNTIF($A$4:$A$1003,A648)&gt;1,"Duplicate holder ID",IF(OR(B648="",C648=""),"Missing required field",IF(F648=0,"No holdings",IF(AND(G648=0,A648&lt;&gt;"LKB-GROUP"),"No login (ok if not invited)","OK")))))</f>
        <v/>
      </c>
    </row>
    <row r="649">
      <c r="A649" s="26" t="n"/>
      <c r="B649" s="26" t="n"/>
      <c r="C649" s="26" t="n"/>
      <c r="D649" s="26" t="n"/>
      <c r="E649" s="26" t="n"/>
      <c r="F649" s="30">
        <f>IF(A649="","",COUNTIF('Holdings'!$A$4:$A$2503,A649))</f>
        <v/>
      </c>
      <c r="G649" s="30">
        <f>IF(A649="","",COUNTIF('Access'!$B$4:$B$1503,A649))</f>
        <v/>
      </c>
      <c r="H649" s="30">
        <f>IF(A649="","",IF(COUNTIF($A$4:$A$1003,A649)&gt;1,"Duplicate holder ID",IF(OR(B649="",C649=""),"Missing required field",IF(F649=0,"No holdings",IF(AND(G649=0,A649&lt;&gt;"LKB-GROUP"),"No login (ok if not invited)","OK")))))</f>
        <v/>
      </c>
    </row>
    <row r="650">
      <c r="A650" s="26" t="n"/>
      <c r="B650" s="26" t="n"/>
      <c r="C650" s="26" t="n"/>
      <c r="D650" s="26" t="n"/>
      <c r="E650" s="26" t="n"/>
      <c r="F650" s="30">
        <f>IF(A650="","",COUNTIF('Holdings'!$A$4:$A$2503,A650))</f>
        <v/>
      </c>
      <c r="G650" s="30">
        <f>IF(A650="","",COUNTIF('Access'!$B$4:$B$1503,A650))</f>
        <v/>
      </c>
      <c r="H650" s="30">
        <f>IF(A650="","",IF(COUNTIF($A$4:$A$1003,A650)&gt;1,"Duplicate holder ID",IF(OR(B650="",C650=""),"Missing required field",IF(F650=0,"No holdings",IF(AND(G650=0,A650&lt;&gt;"LKB-GROUP"),"No login (ok if not invited)","OK")))))</f>
        <v/>
      </c>
    </row>
    <row r="651">
      <c r="A651" s="26" t="n"/>
      <c r="B651" s="26" t="n"/>
      <c r="C651" s="26" t="n"/>
      <c r="D651" s="26" t="n"/>
      <c r="E651" s="26" t="n"/>
      <c r="F651" s="30">
        <f>IF(A651="","",COUNTIF('Holdings'!$A$4:$A$2503,A651))</f>
        <v/>
      </c>
      <c r="G651" s="30">
        <f>IF(A651="","",COUNTIF('Access'!$B$4:$B$1503,A651))</f>
        <v/>
      </c>
      <c r="H651" s="30">
        <f>IF(A651="","",IF(COUNTIF($A$4:$A$1003,A651)&gt;1,"Duplicate holder ID",IF(OR(B651="",C651=""),"Missing required field",IF(F651=0,"No holdings",IF(AND(G651=0,A651&lt;&gt;"LKB-GROUP"),"No login (ok if not invited)","OK")))))</f>
        <v/>
      </c>
    </row>
    <row r="652">
      <c r="A652" s="26" t="n"/>
      <c r="B652" s="26" t="n"/>
      <c r="C652" s="26" t="n"/>
      <c r="D652" s="26" t="n"/>
      <c r="E652" s="26" t="n"/>
      <c r="F652" s="30">
        <f>IF(A652="","",COUNTIF('Holdings'!$A$4:$A$2503,A652))</f>
        <v/>
      </c>
      <c r="G652" s="30">
        <f>IF(A652="","",COUNTIF('Access'!$B$4:$B$1503,A652))</f>
        <v/>
      </c>
      <c r="H652" s="30">
        <f>IF(A652="","",IF(COUNTIF($A$4:$A$1003,A652)&gt;1,"Duplicate holder ID",IF(OR(B652="",C652=""),"Missing required field",IF(F652=0,"No holdings",IF(AND(G652=0,A652&lt;&gt;"LKB-GROUP"),"No login (ok if not invited)","OK")))))</f>
        <v/>
      </c>
    </row>
    <row r="653">
      <c r="A653" s="26" t="n"/>
      <c r="B653" s="26" t="n"/>
      <c r="C653" s="26" t="n"/>
      <c r="D653" s="26" t="n"/>
      <c r="E653" s="26" t="n"/>
      <c r="F653" s="30">
        <f>IF(A653="","",COUNTIF('Holdings'!$A$4:$A$2503,A653))</f>
        <v/>
      </c>
      <c r="G653" s="30">
        <f>IF(A653="","",COUNTIF('Access'!$B$4:$B$1503,A653))</f>
        <v/>
      </c>
      <c r="H653" s="30">
        <f>IF(A653="","",IF(COUNTIF($A$4:$A$1003,A653)&gt;1,"Duplicate holder ID",IF(OR(B653="",C653=""),"Missing required field",IF(F653=0,"No holdings",IF(AND(G653=0,A653&lt;&gt;"LKB-GROUP"),"No login (ok if not invited)","OK")))))</f>
        <v/>
      </c>
    </row>
    <row r="654">
      <c r="A654" s="26" t="n"/>
      <c r="B654" s="26" t="n"/>
      <c r="C654" s="26" t="n"/>
      <c r="D654" s="26" t="n"/>
      <c r="E654" s="26" t="n"/>
      <c r="F654" s="30">
        <f>IF(A654="","",COUNTIF('Holdings'!$A$4:$A$2503,A654))</f>
        <v/>
      </c>
      <c r="G654" s="30">
        <f>IF(A654="","",COUNTIF('Access'!$B$4:$B$1503,A654))</f>
        <v/>
      </c>
      <c r="H654" s="30">
        <f>IF(A654="","",IF(COUNTIF($A$4:$A$1003,A654)&gt;1,"Duplicate holder ID",IF(OR(B654="",C654=""),"Missing required field",IF(F654=0,"No holdings",IF(AND(G654=0,A654&lt;&gt;"LKB-GROUP"),"No login (ok if not invited)","OK")))))</f>
        <v/>
      </c>
    </row>
    <row r="655">
      <c r="A655" s="26" t="n"/>
      <c r="B655" s="26" t="n"/>
      <c r="C655" s="26" t="n"/>
      <c r="D655" s="26" t="n"/>
      <c r="E655" s="26" t="n"/>
      <c r="F655" s="30">
        <f>IF(A655="","",COUNTIF('Holdings'!$A$4:$A$2503,A655))</f>
        <v/>
      </c>
      <c r="G655" s="30">
        <f>IF(A655="","",COUNTIF('Access'!$B$4:$B$1503,A655))</f>
        <v/>
      </c>
      <c r="H655" s="30">
        <f>IF(A655="","",IF(COUNTIF($A$4:$A$1003,A655)&gt;1,"Duplicate holder ID",IF(OR(B655="",C655=""),"Missing required field",IF(F655=0,"No holdings",IF(AND(G655=0,A655&lt;&gt;"LKB-GROUP"),"No login (ok if not invited)","OK")))))</f>
        <v/>
      </c>
    </row>
    <row r="656">
      <c r="A656" s="26" t="n"/>
      <c r="B656" s="26" t="n"/>
      <c r="C656" s="26" t="n"/>
      <c r="D656" s="26" t="n"/>
      <c r="E656" s="26" t="n"/>
      <c r="F656" s="30">
        <f>IF(A656="","",COUNTIF('Holdings'!$A$4:$A$2503,A656))</f>
        <v/>
      </c>
      <c r="G656" s="30">
        <f>IF(A656="","",COUNTIF('Access'!$B$4:$B$1503,A656))</f>
        <v/>
      </c>
      <c r="H656" s="30">
        <f>IF(A656="","",IF(COUNTIF($A$4:$A$1003,A656)&gt;1,"Duplicate holder ID",IF(OR(B656="",C656=""),"Missing required field",IF(F656=0,"No holdings",IF(AND(G656=0,A656&lt;&gt;"LKB-GROUP"),"No login (ok if not invited)","OK")))))</f>
        <v/>
      </c>
    </row>
    <row r="657">
      <c r="A657" s="26" t="n"/>
      <c r="B657" s="26" t="n"/>
      <c r="C657" s="26" t="n"/>
      <c r="D657" s="26" t="n"/>
      <c r="E657" s="26" t="n"/>
      <c r="F657" s="30">
        <f>IF(A657="","",COUNTIF('Holdings'!$A$4:$A$2503,A657))</f>
        <v/>
      </c>
      <c r="G657" s="30">
        <f>IF(A657="","",COUNTIF('Access'!$B$4:$B$1503,A657))</f>
        <v/>
      </c>
      <c r="H657" s="30">
        <f>IF(A657="","",IF(COUNTIF($A$4:$A$1003,A657)&gt;1,"Duplicate holder ID",IF(OR(B657="",C657=""),"Missing required field",IF(F657=0,"No holdings",IF(AND(G657=0,A657&lt;&gt;"LKB-GROUP"),"No login (ok if not invited)","OK")))))</f>
        <v/>
      </c>
    </row>
    <row r="658">
      <c r="A658" s="26" t="n"/>
      <c r="B658" s="26" t="n"/>
      <c r="C658" s="26" t="n"/>
      <c r="D658" s="26" t="n"/>
      <c r="E658" s="26" t="n"/>
      <c r="F658" s="30">
        <f>IF(A658="","",COUNTIF('Holdings'!$A$4:$A$2503,A658))</f>
        <v/>
      </c>
      <c r="G658" s="30">
        <f>IF(A658="","",COUNTIF('Access'!$B$4:$B$1503,A658))</f>
        <v/>
      </c>
      <c r="H658" s="30">
        <f>IF(A658="","",IF(COUNTIF($A$4:$A$1003,A658)&gt;1,"Duplicate holder ID",IF(OR(B658="",C658=""),"Missing required field",IF(F658=0,"No holdings",IF(AND(G658=0,A658&lt;&gt;"LKB-GROUP"),"No login (ok if not invited)","OK")))))</f>
        <v/>
      </c>
    </row>
    <row r="659">
      <c r="A659" s="26" t="n"/>
      <c r="B659" s="26" t="n"/>
      <c r="C659" s="26" t="n"/>
      <c r="D659" s="26" t="n"/>
      <c r="E659" s="26" t="n"/>
      <c r="F659" s="30">
        <f>IF(A659="","",COUNTIF('Holdings'!$A$4:$A$2503,A659))</f>
        <v/>
      </c>
      <c r="G659" s="30">
        <f>IF(A659="","",COUNTIF('Access'!$B$4:$B$1503,A659))</f>
        <v/>
      </c>
      <c r="H659" s="30">
        <f>IF(A659="","",IF(COUNTIF($A$4:$A$1003,A659)&gt;1,"Duplicate holder ID",IF(OR(B659="",C659=""),"Missing required field",IF(F659=0,"No holdings",IF(AND(G659=0,A659&lt;&gt;"LKB-GROUP"),"No login (ok if not invited)","OK")))))</f>
        <v/>
      </c>
    </row>
    <row r="660">
      <c r="A660" s="26" t="n"/>
      <c r="B660" s="26" t="n"/>
      <c r="C660" s="26" t="n"/>
      <c r="D660" s="26" t="n"/>
      <c r="E660" s="26" t="n"/>
      <c r="F660" s="30">
        <f>IF(A660="","",COUNTIF('Holdings'!$A$4:$A$2503,A660))</f>
        <v/>
      </c>
      <c r="G660" s="30">
        <f>IF(A660="","",COUNTIF('Access'!$B$4:$B$1503,A660))</f>
        <v/>
      </c>
      <c r="H660" s="30">
        <f>IF(A660="","",IF(COUNTIF($A$4:$A$1003,A660)&gt;1,"Duplicate holder ID",IF(OR(B660="",C660=""),"Missing required field",IF(F660=0,"No holdings",IF(AND(G660=0,A660&lt;&gt;"LKB-GROUP"),"No login (ok if not invited)","OK")))))</f>
        <v/>
      </c>
    </row>
    <row r="661">
      <c r="A661" s="26" t="n"/>
      <c r="B661" s="26" t="n"/>
      <c r="C661" s="26" t="n"/>
      <c r="D661" s="26" t="n"/>
      <c r="E661" s="26" t="n"/>
      <c r="F661" s="30">
        <f>IF(A661="","",COUNTIF('Holdings'!$A$4:$A$2503,A661))</f>
        <v/>
      </c>
      <c r="G661" s="30">
        <f>IF(A661="","",COUNTIF('Access'!$B$4:$B$1503,A661))</f>
        <v/>
      </c>
      <c r="H661" s="30">
        <f>IF(A661="","",IF(COUNTIF($A$4:$A$1003,A661)&gt;1,"Duplicate holder ID",IF(OR(B661="",C661=""),"Missing required field",IF(F661=0,"No holdings",IF(AND(G661=0,A661&lt;&gt;"LKB-GROUP"),"No login (ok if not invited)","OK")))))</f>
        <v/>
      </c>
    </row>
    <row r="662">
      <c r="A662" s="26" t="n"/>
      <c r="B662" s="26" t="n"/>
      <c r="C662" s="26" t="n"/>
      <c r="D662" s="26" t="n"/>
      <c r="E662" s="26" t="n"/>
      <c r="F662" s="30">
        <f>IF(A662="","",COUNTIF('Holdings'!$A$4:$A$2503,A662))</f>
        <v/>
      </c>
      <c r="G662" s="30">
        <f>IF(A662="","",COUNTIF('Access'!$B$4:$B$1503,A662))</f>
        <v/>
      </c>
      <c r="H662" s="30">
        <f>IF(A662="","",IF(COUNTIF($A$4:$A$1003,A662)&gt;1,"Duplicate holder ID",IF(OR(B662="",C662=""),"Missing required field",IF(F662=0,"No holdings",IF(AND(G662=0,A662&lt;&gt;"LKB-GROUP"),"No login (ok if not invited)","OK")))))</f>
        <v/>
      </c>
    </row>
    <row r="663">
      <c r="A663" s="26" t="n"/>
      <c r="B663" s="26" t="n"/>
      <c r="C663" s="26" t="n"/>
      <c r="D663" s="26" t="n"/>
      <c r="E663" s="26" t="n"/>
      <c r="F663" s="30">
        <f>IF(A663="","",COUNTIF('Holdings'!$A$4:$A$2503,A663))</f>
        <v/>
      </c>
      <c r="G663" s="30">
        <f>IF(A663="","",COUNTIF('Access'!$B$4:$B$1503,A663))</f>
        <v/>
      </c>
      <c r="H663" s="30">
        <f>IF(A663="","",IF(COUNTIF($A$4:$A$1003,A663)&gt;1,"Duplicate holder ID",IF(OR(B663="",C663=""),"Missing required field",IF(F663=0,"No holdings",IF(AND(G663=0,A663&lt;&gt;"LKB-GROUP"),"No login (ok if not invited)","OK")))))</f>
        <v/>
      </c>
    </row>
    <row r="664">
      <c r="A664" s="26" t="n"/>
      <c r="B664" s="26" t="n"/>
      <c r="C664" s="26" t="n"/>
      <c r="D664" s="26" t="n"/>
      <c r="E664" s="26" t="n"/>
      <c r="F664" s="30">
        <f>IF(A664="","",COUNTIF('Holdings'!$A$4:$A$2503,A664))</f>
        <v/>
      </c>
      <c r="G664" s="30">
        <f>IF(A664="","",COUNTIF('Access'!$B$4:$B$1503,A664))</f>
        <v/>
      </c>
      <c r="H664" s="30">
        <f>IF(A664="","",IF(COUNTIF($A$4:$A$1003,A664)&gt;1,"Duplicate holder ID",IF(OR(B664="",C664=""),"Missing required field",IF(F664=0,"No holdings",IF(AND(G664=0,A664&lt;&gt;"LKB-GROUP"),"No login (ok if not invited)","OK")))))</f>
        <v/>
      </c>
    </row>
    <row r="665">
      <c r="A665" s="26" t="n"/>
      <c r="B665" s="26" t="n"/>
      <c r="C665" s="26" t="n"/>
      <c r="D665" s="26" t="n"/>
      <c r="E665" s="26" t="n"/>
      <c r="F665" s="30">
        <f>IF(A665="","",COUNTIF('Holdings'!$A$4:$A$2503,A665))</f>
        <v/>
      </c>
      <c r="G665" s="30">
        <f>IF(A665="","",COUNTIF('Access'!$B$4:$B$1503,A665))</f>
        <v/>
      </c>
      <c r="H665" s="30">
        <f>IF(A665="","",IF(COUNTIF($A$4:$A$1003,A665)&gt;1,"Duplicate holder ID",IF(OR(B665="",C665=""),"Missing required field",IF(F665=0,"No holdings",IF(AND(G665=0,A665&lt;&gt;"LKB-GROUP"),"No login (ok if not invited)","OK")))))</f>
        <v/>
      </c>
    </row>
    <row r="666">
      <c r="A666" s="26" t="n"/>
      <c r="B666" s="26" t="n"/>
      <c r="C666" s="26" t="n"/>
      <c r="D666" s="26" t="n"/>
      <c r="E666" s="26" t="n"/>
      <c r="F666" s="30">
        <f>IF(A666="","",COUNTIF('Holdings'!$A$4:$A$2503,A666))</f>
        <v/>
      </c>
      <c r="G666" s="30">
        <f>IF(A666="","",COUNTIF('Access'!$B$4:$B$1503,A666))</f>
        <v/>
      </c>
      <c r="H666" s="30">
        <f>IF(A666="","",IF(COUNTIF($A$4:$A$1003,A666)&gt;1,"Duplicate holder ID",IF(OR(B666="",C666=""),"Missing required field",IF(F666=0,"No holdings",IF(AND(G666=0,A666&lt;&gt;"LKB-GROUP"),"No login (ok if not invited)","OK")))))</f>
        <v/>
      </c>
    </row>
    <row r="667">
      <c r="A667" s="26" t="n"/>
      <c r="B667" s="26" t="n"/>
      <c r="C667" s="26" t="n"/>
      <c r="D667" s="26" t="n"/>
      <c r="E667" s="26" t="n"/>
      <c r="F667" s="30">
        <f>IF(A667="","",COUNTIF('Holdings'!$A$4:$A$2503,A667))</f>
        <v/>
      </c>
      <c r="G667" s="30">
        <f>IF(A667="","",COUNTIF('Access'!$B$4:$B$1503,A667))</f>
        <v/>
      </c>
      <c r="H667" s="30">
        <f>IF(A667="","",IF(COUNTIF($A$4:$A$1003,A667)&gt;1,"Duplicate holder ID",IF(OR(B667="",C667=""),"Missing required field",IF(F667=0,"No holdings",IF(AND(G667=0,A667&lt;&gt;"LKB-GROUP"),"No login (ok if not invited)","OK")))))</f>
        <v/>
      </c>
    </row>
    <row r="668">
      <c r="A668" s="26" t="n"/>
      <c r="B668" s="26" t="n"/>
      <c r="C668" s="26" t="n"/>
      <c r="D668" s="26" t="n"/>
      <c r="E668" s="26" t="n"/>
      <c r="F668" s="30">
        <f>IF(A668="","",COUNTIF('Holdings'!$A$4:$A$2503,A668))</f>
        <v/>
      </c>
      <c r="G668" s="30">
        <f>IF(A668="","",COUNTIF('Access'!$B$4:$B$1503,A668))</f>
        <v/>
      </c>
      <c r="H668" s="30">
        <f>IF(A668="","",IF(COUNTIF($A$4:$A$1003,A668)&gt;1,"Duplicate holder ID",IF(OR(B668="",C668=""),"Missing required field",IF(F668=0,"No holdings",IF(AND(G668=0,A668&lt;&gt;"LKB-GROUP"),"No login (ok if not invited)","OK")))))</f>
        <v/>
      </c>
    </row>
    <row r="669">
      <c r="A669" s="26" t="n"/>
      <c r="B669" s="26" t="n"/>
      <c r="C669" s="26" t="n"/>
      <c r="D669" s="26" t="n"/>
      <c r="E669" s="26" t="n"/>
      <c r="F669" s="30">
        <f>IF(A669="","",COUNTIF('Holdings'!$A$4:$A$2503,A669))</f>
        <v/>
      </c>
      <c r="G669" s="30">
        <f>IF(A669="","",COUNTIF('Access'!$B$4:$B$1503,A669))</f>
        <v/>
      </c>
      <c r="H669" s="30">
        <f>IF(A669="","",IF(COUNTIF($A$4:$A$1003,A669)&gt;1,"Duplicate holder ID",IF(OR(B669="",C669=""),"Missing required field",IF(F669=0,"No holdings",IF(AND(G669=0,A669&lt;&gt;"LKB-GROUP"),"No login (ok if not invited)","OK")))))</f>
        <v/>
      </c>
    </row>
    <row r="670">
      <c r="A670" s="26" t="n"/>
      <c r="B670" s="26" t="n"/>
      <c r="C670" s="26" t="n"/>
      <c r="D670" s="26" t="n"/>
      <c r="E670" s="26" t="n"/>
      <c r="F670" s="30">
        <f>IF(A670="","",COUNTIF('Holdings'!$A$4:$A$2503,A670))</f>
        <v/>
      </c>
      <c r="G670" s="30">
        <f>IF(A670="","",COUNTIF('Access'!$B$4:$B$1503,A670))</f>
        <v/>
      </c>
      <c r="H670" s="30">
        <f>IF(A670="","",IF(COUNTIF($A$4:$A$1003,A670)&gt;1,"Duplicate holder ID",IF(OR(B670="",C670=""),"Missing required field",IF(F670=0,"No holdings",IF(AND(G670=0,A670&lt;&gt;"LKB-GROUP"),"No login (ok if not invited)","OK")))))</f>
        <v/>
      </c>
    </row>
    <row r="671">
      <c r="A671" s="26" t="n"/>
      <c r="B671" s="26" t="n"/>
      <c r="C671" s="26" t="n"/>
      <c r="D671" s="26" t="n"/>
      <c r="E671" s="26" t="n"/>
      <c r="F671" s="30">
        <f>IF(A671="","",COUNTIF('Holdings'!$A$4:$A$2503,A671))</f>
        <v/>
      </c>
      <c r="G671" s="30">
        <f>IF(A671="","",COUNTIF('Access'!$B$4:$B$1503,A671))</f>
        <v/>
      </c>
      <c r="H671" s="30">
        <f>IF(A671="","",IF(COUNTIF($A$4:$A$1003,A671)&gt;1,"Duplicate holder ID",IF(OR(B671="",C671=""),"Missing required field",IF(F671=0,"No holdings",IF(AND(G671=0,A671&lt;&gt;"LKB-GROUP"),"No login (ok if not invited)","OK")))))</f>
        <v/>
      </c>
    </row>
    <row r="672">
      <c r="A672" s="26" t="n"/>
      <c r="B672" s="26" t="n"/>
      <c r="C672" s="26" t="n"/>
      <c r="D672" s="26" t="n"/>
      <c r="E672" s="26" t="n"/>
      <c r="F672" s="30">
        <f>IF(A672="","",COUNTIF('Holdings'!$A$4:$A$2503,A672))</f>
        <v/>
      </c>
      <c r="G672" s="30">
        <f>IF(A672="","",COUNTIF('Access'!$B$4:$B$1503,A672))</f>
        <v/>
      </c>
      <c r="H672" s="30">
        <f>IF(A672="","",IF(COUNTIF($A$4:$A$1003,A672)&gt;1,"Duplicate holder ID",IF(OR(B672="",C672=""),"Missing required field",IF(F672=0,"No holdings",IF(AND(G672=0,A672&lt;&gt;"LKB-GROUP"),"No login (ok if not invited)","OK")))))</f>
        <v/>
      </c>
    </row>
    <row r="673">
      <c r="A673" s="26" t="n"/>
      <c r="B673" s="26" t="n"/>
      <c r="C673" s="26" t="n"/>
      <c r="D673" s="26" t="n"/>
      <c r="E673" s="26" t="n"/>
      <c r="F673" s="30">
        <f>IF(A673="","",COUNTIF('Holdings'!$A$4:$A$2503,A673))</f>
        <v/>
      </c>
      <c r="G673" s="30">
        <f>IF(A673="","",COUNTIF('Access'!$B$4:$B$1503,A673))</f>
        <v/>
      </c>
      <c r="H673" s="30">
        <f>IF(A673="","",IF(COUNTIF($A$4:$A$1003,A673)&gt;1,"Duplicate holder ID",IF(OR(B673="",C673=""),"Missing required field",IF(F673=0,"No holdings",IF(AND(G673=0,A673&lt;&gt;"LKB-GROUP"),"No login (ok if not invited)","OK")))))</f>
        <v/>
      </c>
    </row>
    <row r="674">
      <c r="A674" s="26" t="n"/>
      <c r="B674" s="26" t="n"/>
      <c r="C674" s="26" t="n"/>
      <c r="D674" s="26" t="n"/>
      <c r="E674" s="26" t="n"/>
      <c r="F674" s="30">
        <f>IF(A674="","",COUNTIF('Holdings'!$A$4:$A$2503,A674))</f>
        <v/>
      </c>
      <c r="G674" s="30">
        <f>IF(A674="","",COUNTIF('Access'!$B$4:$B$1503,A674))</f>
        <v/>
      </c>
      <c r="H674" s="30">
        <f>IF(A674="","",IF(COUNTIF($A$4:$A$1003,A674)&gt;1,"Duplicate holder ID",IF(OR(B674="",C674=""),"Missing required field",IF(F674=0,"No holdings",IF(AND(G674=0,A674&lt;&gt;"LKB-GROUP"),"No login (ok if not invited)","OK")))))</f>
        <v/>
      </c>
    </row>
    <row r="675">
      <c r="A675" s="26" t="n"/>
      <c r="B675" s="26" t="n"/>
      <c r="C675" s="26" t="n"/>
      <c r="D675" s="26" t="n"/>
      <c r="E675" s="26" t="n"/>
      <c r="F675" s="30">
        <f>IF(A675="","",COUNTIF('Holdings'!$A$4:$A$2503,A675))</f>
        <v/>
      </c>
      <c r="G675" s="30">
        <f>IF(A675="","",COUNTIF('Access'!$B$4:$B$1503,A675))</f>
        <v/>
      </c>
      <c r="H675" s="30">
        <f>IF(A675="","",IF(COUNTIF($A$4:$A$1003,A675)&gt;1,"Duplicate holder ID",IF(OR(B675="",C675=""),"Missing required field",IF(F675=0,"No holdings",IF(AND(G675=0,A675&lt;&gt;"LKB-GROUP"),"No login (ok if not invited)","OK")))))</f>
        <v/>
      </c>
    </row>
    <row r="676">
      <c r="A676" s="26" t="n"/>
      <c r="B676" s="26" t="n"/>
      <c r="C676" s="26" t="n"/>
      <c r="D676" s="26" t="n"/>
      <c r="E676" s="26" t="n"/>
      <c r="F676" s="30">
        <f>IF(A676="","",COUNTIF('Holdings'!$A$4:$A$2503,A676))</f>
        <v/>
      </c>
      <c r="G676" s="30">
        <f>IF(A676="","",COUNTIF('Access'!$B$4:$B$1503,A676))</f>
        <v/>
      </c>
      <c r="H676" s="30">
        <f>IF(A676="","",IF(COUNTIF($A$4:$A$1003,A676)&gt;1,"Duplicate holder ID",IF(OR(B676="",C676=""),"Missing required field",IF(F676=0,"No holdings",IF(AND(G676=0,A676&lt;&gt;"LKB-GROUP"),"No login (ok if not invited)","OK")))))</f>
        <v/>
      </c>
    </row>
    <row r="677">
      <c r="A677" s="26" t="n"/>
      <c r="B677" s="26" t="n"/>
      <c r="C677" s="26" t="n"/>
      <c r="D677" s="26" t="n"/>
      <c r="E677" s="26" t="n"/>
      <c r="F677" s="30">
        <f>IF(A677="","",COUNTIF('Holdings'!$A$4:$A$2503,A677))</f>
        <v/>
      </c>
      <c r="G677" s="30">
        <f>IF(A677="","",COUNTIF('Access'!$B$4:$B$1503,A677))</f>
        <v/>
      </c>
      <c r="H677" s="30">
        <f>IF(A677="","",IF(COUNTIF($A$4:$A$1003,A677)&gt;1,"Duplicate holder ID",IF(OR(B677="",C677=""),"Missing required field",IF(F677=0,"No holdings",IF(AND(G677=0,A677&lt;&gt;"LKB-GROUP"),"No login (ok if not invited)","OK")))))</f>
        <v/>
      </c>
    </row>
    <row r="678">
      <c r="A678" s="26" t="n"/>
      <c r="B678" s="26" t="n"/>
      <c r="C678" s="26" t="n"/>
      <c r="D678" s="26" t="n"/>
      <c r="E678" s="26" t="n"/>
      <c r="F678" s="30">
        <f>IF(A678="","",COUNTIF('Holdings'!$A$4:$A$2503,A678))</f>
        <v/>
      </c>
      <c r="G678" s="30">
        <f>IF(A678="","",COUNTIF('Access'!$B$4:$B$1503,A678))</f>
        <v/>
      </c>
      <c r="H678" s="30">
        <f>IF(A678="","",IF(COUNTIF($A$4:$A$1003,A678)&gt;1,"Duplicate holder ID",IF(OR(B678="",C678=""),"Missing required field",IF(F678=0,"No holdings",IF(AND(G678=0,A678&lt;&gt;"LKB-GROUP"),"No login (ok if not invited)","OK")))))</f>
        <v/>
      </c>
    </row>
    <row r="679">
      <c r="A679" s="26" t="n"/>
      <c r="B679" s="26" t="n"/>
      <c r="C679" s="26" t="n"/>
      <c r="D679" s="26" t="n"/>
      <c r="E679" s="26" t="n"/>
      <c r="F679" s="30">
        <f>IF(A679="","",COUNTIF('Holdings'!$A$4:$A$2503,A679))</f>
        <v/>
      </c>
      <c r="G679" s="30">
        <f>IF(A679="","",COUNTIF('Access'!$B$4:$B$1503,A679))</f>
        <v/>
      </c>
      <c r="H679" s="30">
        <f>IF(A679="","",IF(COUNTIF($A$4:$A$1003,A679)&gt;1,"Duplicate holder ID",IF(OR(B679="",C679=""),"Missing required field",IF(F679=0,"No holdings",IF(AND(G679=0,A679&lt;&gt;"LKB-GROUP"),"No login (ok if not invited)","OK")))))</f>
        <v/>
      </c>
    </row>
    <row r="680">
      <c r="A680" s="26" t="n"/>
      <c r="B680" s="26" t="n"/>
      <c r="C680" s="26" t="n"/>
      <c r="D680" s="26" t="n"/>
      <c r="E680" s="26" t="n"/>
      <c r="F680" s="30">
        <f>IF(A680="","",COUNTIF('Holdings'!$A$4:$A$2503,A680))</f>
        <v/>
      </c>
      <c r="G680" s="30">
        <f>IF(A680="","",COUNTIF('Access'!$B$4:$B$1503,A680))</f>
        <v/>
      </c>
      <c r="H680" s="30">
        <f>IF(A680="","",IF(COUNTIF($A$4:$A$1003,A680)&gt;1,"Duplicate holder ID",IF(OR(B680="",C680=""),"Missing required field",IF(F680=0,"No holdings",IF(AND(G680=0,A680&lt;&gt;"LKB-GROUP"),"No login (ok if not invited)","OK")))))</f>
        <v/>
      </c>
    </row>
    <row r="681">
      <c r="A681" s="26" t="n"/>
      <c r="B681" s="26" t="n"/>
      <c r="C681" s="26" t="n"/>
      <c r="D681" s="26" t="n"/>
      <c r="E681" s="26" t="n"/>
      <c r="F681" s="30">
        <f>IF(A681="","",COUNTIF('Holdings'!$A$4:$A$2503,A681))</f>
        <v/>
      </c>
      <c r="G681" s="30">
        <f>IF(A681="","",COUNTIF('Access'!$B$4:$B$1503,A681))</f>
        <v/>
      </c>
      <c r="H681" s="30">
        <f>IF(A681="","",IF(COUNTIF($A$4:$A$1003,A681)&gt;1,"Duplicate holder ID",IF(OR(B681="",C681=""),"Missing required field",IF(F681=0,"No holdings",IF(AND(G681=0,A681&lt;&gt;"LKB-GROUP"),"No login (ok if not invited)","OK")))))</f>
        <v/>
      </c>
    </row>
    <row r="682">
      <c r="A682" s="26" t="n"/>
      <c r="B682" s="26" t="n"/>
      <c r="C682" s="26" t="n"/>
      <c r="D682" s="26" t="n"/>
      <c r="E682" s="26" t="n"/>
      <c r="F682" s="30">
        <f>IF(A682="","",COUNTIF('Holdings'!$A$4:$A$2503,A682))</f>
        <v/>
      </c>
      <c r="G682" s="30">
        <f>IF(A682="","",COUNTIF('Access'!$B$4:$B$1503,A682))</f>
        <v/>
      </c>
      <c r="H682" s="30">
        <f>IF(A682="","",IF(COUNTIF($A$4:$A$1003,A682)&gt;1,"Duplicate holder ID",IF(OR(B682="",C682=""),"Missing required field",IF(F682=0,"No holdings",IF(AND(G682=0,A682&lt;&gt;"LKB-GROUP"),"No login (ok if not invited)","OK")))))</f>
        <v/>
      </c>
    </row>
    <row r="683">
      <c r="A683" s="26" t="n"/>
      <c r="B683" s="26" t="n"/>
      <c r="C683" s="26" t="n"/>
      <c r="D683" s="26" t="n"/>
      <c r="E683" s="26" t="n"/>
      <c r="F683" s="30">
        <f>IF(A683="","",COUNTIF('Holdings'!$A$4:$A$2503,A683))</f>
        <v/>
      </c>
      <c r="G683" s="30">
        <f>IF(A683="","",COUNTIF('Access'!$B$4:$B$1503,A683))</f>
        <v/>
      </c>
      <c r="H683" s="30">
        <f>IF(A683="","",IF(COUNTIF($A$4:$A$1003,A683)&gt;1,"Duplicate holder ID",IF(OR(B683="",C683=""),"Missing required field",IF(F683=0,"No holdings",IF(AND(G683=0,A683&lt;&gt;"LKB-GROUP"),"No login (ok if not invited)","OK")))))</f>
        <v/>
      </c>
    </row>
    <row r="684">
      <c r="A684" s="26" t="n"/>
      <c r="B684" s="26" t="n"/>
      <c r="C684" s="26" t="n"/>
      <c r="D684" s="26" t="n"/>
      <c r="E684" s="26" t="n"/>
      <c r="F684" s="30">
        <f>IF(A684="","",COUNTIF('Holdings'!$A$4:$A$2503,A684))</f>
        <v/>
      </c>
      <c r="G684" s="30">
        <f>IF(A684="","",COUNTIF('Access'!$B$4:$B$1503,A684))</f>
        <v/>
      </c>
      <c r="H684" s="30">
        <f>IF(A684="","",IF(COUNTIF($A$4:$A$1003,A684)&gt;1,"Duplicate holder ID",IF(OR(B684="",C684=""),"Missing required field",IF(F684=0,"No holdings",IF(AND(G684=0,A684&lt;&gt;"LKB-GROUP"),"No login (ok if not invited)","OK")))))</f>
        <v/>
      </c>
    </row>
    <row r="685">
      <c r="A685" s="26" t="n"/>
      <c r="B685" s="26" t="n"/>
      <c r="C685" s="26" t="n"/>
      <c r="D685" s="26" t="n"/>
      <c r="E685" s="26" t="n"/>
      <c r="F685" s="30">
        <f>IF(A685="","",COUNTIF('Holdings'!$A$4:$A$2503,A685))</f>
        <v/>
      </c>
      <c r="G685" s="30">
        <f>IF(A685="","",COUNTIF('Access'!$B$4:$B$1503,A685))</f>
        <v/>
      </c>
      <c r="H685" s="30">
        <f>IF(A685="","",IF(COUNTIF($A$4:$A$1003,A685)&gt;1,"Duplicate holder ID",IF(OR(B685="",C685=""),"Missing required field",IF(F685=0,"No holdings",IF(AND(G685=0,A685&lt;&gt;"LKB-GROUP"),"No login (ok if not invited)","OK")))))</f>
        <v/>
      </c>
    </row>
    <row r="686">
      <c r="A686" s="26" t="n"/>
      <c r="B686" s="26" t="n"/>
      <c r="C686" s="26" t="n"/>
      <c r="D686" s="26" t="n"/>
      <c r="E686" s="26" t="n"/>
      <c r="F686" s="30">
        <f>IF(A686="","",COUNTIF('Holdings'!$A$4:$A$2503,A686))</f>
        <v/>
      </c>
      <c r="G686" s="30">
        <f>IF(A686="","",COUNTIF('Access'!$B$4:$B$1503,A686))</f>
        <v/>
      </c>
      <c r="H686" s="30">
        <f>IF(A686="","",IF(COUNTIF($A$4:$A$1003,A686)&gt;1,"Duplicate holder ID",IF(OR(B686="",C686=""),"Missing required field",IF(F686=0,"No holdings",IF(AND(G686=0,A686&lt;&gt;"LKB-GROUP"),"No login (ok if not invited)","OK")))))</f>
        <v/>
      </c>
    </row>
    <row r="687">
      <c r="A687" s="26" t="n"/>
      <c r="B687" s="26" t="n"/>
      <c r="C687" s="26" t="n"/>
      <c r="D687" s="26" t="n"/>
      <c r="E687" s="26" t="n"/>
      <c r="F687" s="30">
        <f>IF(A687="","",COUNTIF('Holdings'!$A$4:$A$2503,A687))</f>
        <v/>
      </c>
      <c r="G687" s="30">
        <f>IF(A687="","",COUNTIF('Access'!$B$4:$B$1503,A687))</f>
        <v/>
      </c>
      <c r="H687" s="30">
        <f>IF(A687="","",IF(COUNTIF($A$4:$A$1003,A687)&gt;1,"Duplicate holder ID",IF(OR(B687="",C687=""),"Missing required field",IF(F687=0,"No holdings",IF(AND(G687=0,A687&lt;&gt;"LKB-GROUP"),"No login (ok if not invited)","OK")))))</f>
        <v/>
      </c>
    </row>
    <row r="688">
      <c r="A688" s="26" t="n"/>
      <c r="B688" s="26" t="n"/>
      <c r="C688" s="26" t="n"/>
      <c r="D688" s="26" t="n"/>
      <c r="E688" s="26" t="n"/>
      <c r="F688" s="30">
        <f>IF(A688="","",COUNTIF('Holdings'!$A$4:$A$2503,A688))</f>
        <v/>
      </c>
      <c r="G688" s="30">
        <f>IF(A688="","",COUNTIF('Access'!$B$4:$B$1503,A688))</f>
        <v/>
      </c>
      <c r="H688" s="30">
        <f>IF(A688="","",IF(COUNTIF($A$4:$A$1003,A688)&gt;1,"Duplicate holder ID",IF(OR(B688="",C688=""),"Missing required field",IF(F688=0,"No holdings",IF(AND(G688=0,A688&lt;&gt;"LKB-GROUP"),"No login (ok if not invited)","OK")))))</f>
        <v/>
      </c>
    </row>
    <row r="689">
      <c r="A689" s="26" t="n"/>
      <c r="B689" s="26" t="n"/>
      <c r="C689" s="26" t="n"/>
      <c r="D689" s="26" t="n"/>
      <c r="E689" s="26" t="n"/>
      <c r="F689" s="30">
        <f>IF(A689="","",COUNTIF('Holdings'!$A$4:$A$2503,A689))</f>
        <v/>
      </c>
      <c r="G689" s="30">
        <f>IF(A689="","",COUNTIF('Access'!$B$4:$B$1503,A689))</f>
        <v/>
      </c>
      <c r="H689" s="30">
        <f>IF(A689="","",IF(COUNTIF($A$4:$A$1003,A689)&gt;1,"Duplicate holder ID",IF(OR(B689="",C689=""),"Missing required field",IF(F689=0,"No holdings",IF(AND(G689=0,A689&lt;&gt;"LKB-GROUP"),"No login (ok if not invited)","OK")))))</f>
        <v/>
      </c>
    </row>
    <row r="690">
      <c r="A690" s="26" t="n"/>
      <c r="B690" s="26" t="n"/>
      <c r="C690" s="26" t="n"/>
      <c r="D690" s="26" t="n"/>
      <c r="E690" s="26" t="n"/>
      <c r="F690" s="30">
        <f>IF(A690="","",COUNTIF('Holdings'!$A$4:$A$2503,A690))</f>
        <v/>
      </c>
      <c r="G690" s="30">
        <f>IF(A690="","",COUNTIF('Access'!$B$4:$B$1503,A690))</f>
        <v/>
      </c>
      <c r="H690" s="30">
        <f>IF(A690="","",IF(COUNTIF($A$4:$A$1003,A690)&gt;1,"Duplicate holder ID",IF(OR(B690="",C690=""),"Missing required field",IF(F690=0,"No holdings",IF(AND(G690=0,A690&lt;&gt;"LKB-GROUP"),"No login (ok if not invited)","OK")))))</f>
        <v/>
      </c>
    </row>
    <row r="691">
      <c r="A691" s="26" t="n"/>
      <c r="B691" s="26" t="n"/>
      <c r="C691" s="26" t="n"/>
      <c r="D691" s="26" t="n"/>
      <c r="E691" s="26" t="n"/>
      <c r="F691" s="30">
        <f>IF(A691="","",COUNTIF('Holdings'!$A$4:$A$2503,A691))</f>
        <v/>
      </c>
      <c r="G691" s="30">
        <f>IF(A691="","",COUNTIF('Access'!$B$4:$B$1503,A691))</f>
        <v/>
      </c>
      <c r="H691" s="30">
        <f>IF(A691="","",IF(COUNTIF($A$4:$A$1003,A691)&gt;1,"Duplicate holder ID",IF(OR(B691="",C691=""),"Missing required field",IF(F691=0,"No holdings",IF(AND(G691=0,A691&lt;&gt;"LKB-GROUP"),"No login (ok if not invited)","OK")))))</f>
        <v/>
      </c>
    </row>
    <row r="692">
      <c r="A692" s="26" t="n"/>
      <c r="B692" s="26" t="n"/>
      <c r="C692" s="26" t="n"/>
      <c r="D692" s="26" t="n"/>
      <c r="E692" s="26" t="n"/>
      <c r="F692" s="30">
        <f>IF(A692="","",COUNTIF('Holdings'!$A$4:$A$2503,A692))</f>
        <v/>
      </c>
      <c r="G692" s="30">
        <f>IF(A692="","",COUNTIF('Access'!$B$4:$B$1503,A692))</f>
        <v/>
      </c>
      <c r="H692" s="30">
        <f>IF(A692="","",IF(COUNTIF($A$4:$A$1003,A692)&gt;1,"Duplicate holder ID",IF(OR(B692="",C692=""),"Missing required field",IF(F692=0,"No holdings",IF(AND(G692=0,A692&lt;&gt;"LKB-GROUP"),"No login (ok if not invited)","OK")))))</f>
        <v/>
      </c>
    </row>
    <row r="693">
      <c r="A693" s="26" t="n"/>
      <c r="B693" s="26" t="n"/>
      <c r="C693" s="26" t="n"/>
      <c r="D693" s="26" t="n"/>
      <c r="E693" s="26" t="n"/>
      <c r="F693" s="30">
        <f>IF(A693="","",COUNTIF('Holdings'!$A$4:$A$2503,A693))</f>
        <v/>
      </c>
      <c r="G693" s="30">
        <f>IF(A693="","",COUNTIF('Access'!$B$4:$B$1503,A693))</f>
        <v/>
      </c>
      <c r="H693" s="30">
        <f>IF(A693="","",IF(COUNTIF($A$4:$A$1003,A693)&gt;1,"Duplicate holder ID",IF(OR(B693="",C693=""),"Missing required field",IF(F693=0,"No holdings",IF(AND(G693=0,A693&lt;&gt;"LKB-GROUP"),"No login (ok if not invited)","OK")))))</f>
        <v/>
      </c>
    </row>
    <row r="694">
      <c r="A694" s="26" t="n"/>
      <c r="B694" s="26" t="n"/>
      <c r="C694" s="26" t="n"/>
      <c r="D694" s="26" t="n"/>
      <c r="E694" s="26" t="n"/>
      <c r="F694" s="30">
        <f>IF(A694="","",COUNTIF('Holdings'!$A$4:$A$2503,A694))</f>
        <v/>
      </c>
      <c r="G694" s="30">
        <f>IF(A694="","",COUNTIF('Access'!$B$4:$B$1503,A694))</f>
        <v/>
      </c>
      <c r="H694" s="30">
        <f>IF(A694="","",IF(COUNTIF($A$4:$A$1003,A694)&gt;1,"Duplicate holder ID",IF(OR(B694="",C694=""),"Missing required field",IF(F694=0,"No holdings",IF(AND(G694=0,A694&lt;&gt;"LKB-GROUP"),"No login (ok if not invited)","OK")))))</f>
        <v/>
      </c>
    </row>
    <row r="695">
      <c r="A695" s="26" t="n"/>
      <c r="B695" s="26" t="n"/>
      <c r="C695" s="26" t="n"/>
      <c r="D695" s="26" t="n"/>
      <c r="E695" s="26" t="n"/>
      <c r="F695" s="30">
        <f>IF(A695="","",COUNTIF('Holdings'!$A$4:$A$2503,A695))</f>
        <v/>
      </c>
      <c r="G695" s="30">
        <f>IF(A695="","",COUNTIF('Access'!$B$4:$B$1503,A695))</f>
        <v/>
      </c>
      <c r="H695" s="30">
        <f>IF(A695="","",IF(COUNTIF($A$4:$A$1003,A695)&gt;1,"Duplicate holder ID",IF(OR(B695="",C695=""),"Missing required field",IF(F695=0,"No holdings",IF(AND(G695=0,A695&lt;&gt;"LKB-GROUP"),"No login (ok if not invited)","OK")))))</f>
        <v/>
      </c>
    </row>
    <row r="696">
      <c r="A696" s="26" t="n"/>
      <c r="B696" s="26" t="n"/>
      <c r="C696" s="26" t="n"/>
      <c r="D696" s="26" t="n"/>
      <c r="E696" s="26" t="n"/>
      <c r="F696" s="30">
        <f>IF(A696="","",COUNTIF('Holdings'!$A$4:$A$2503,A696))</f>
        <v/>
      </c>
      <c r="G696" s="30">
        <f>IF(A696="","",COUNTIF('Access'!$B$4:$B$1503,A696))</f>
        <v/>
      </c>
      <c r="H696" s="30">
        <f>IF(A696="","",IF(COUNTIF($A$4:$A$1003,A696)&gt;1,"Duplicate holder ID",IF(OR(B696="",C696=""),"Missing required field",IF(F696=0,"No holdings",IF(AND(G696=0,A696&lt;&gt;"LKB-GROUP"),"No login (ok if not invited)","OK")))))</f>
        <v/>
      </c>
    </row>
    <row r="697">
      <c r="A697" s="26" t="n"/>
      <c r="B697" s="26" t="n"/>
      <c r="C697" s="26" t="n"/>
      <c r="D697" s="26" t="n"/>
      <c r="E697" s="26" t="n"/>
      <c r="F697" s="30">
        <f>IF(A697="","",COUNTIF('Holdings'!$A$4:$A$2503,A697))</f>
        <v/>
      </c>
      <c r="G697" s="30">
        <f>IF(A697="","",COUNTIF('Access'!$B$4:$B$1503,A697))</f>
        <v/>
      </c>
      <c r="H697" s="30">
        <f>IF(A697="","",IF(COUNTIF($A$4:$A$1003,A697)&gt;1,"Duplicate holder ID",IF(OR(B697="",C697=""),"Missing required field",IF(F697=0,"No holdings",IF(AND(G697=0,A697&lt;&gt;"LKB-GROUP"),"No login (ok if not invited)","OK")))))</f>
        <v/>
      </c>
    </row>
    <row r="698">
      <c r="A698" s="26" t="n"/>
      <c r="B698" s="26" t="n"/>
      <c r="C698" s="26" t="n"/>
      <c r="D698" s="26" t="n"/>
      <c r="E698" s="26" t="n"/>
      <c r="F698" s="30">
        <f>IF(A698="","",COUNTIF('Holdings'!$A$4:$A$2503,A698))</f>
        <v/>
      </c>
      <c r="G698" s="30">
        <f>IF(A698="","",COUNTIF('Access'!$B$4:$B$1503,A698))</f>
        <v/>
      </c>
      <c r="H698" s="30">
        <f>IF(A698="","",IF(COUNTIF($A$4:$A$1003,A698)&gt;1,"Duplicate holder ID",IF(OR(B698="",C698=""),"Missing required field",IF(F698=0,"No holdings",IF(AND(G698=0,A698&lt;&gt;"LKB-GROUP"),"No login (ok if not invited)","OK")))))</f>
        <v/>
      </c>
    </row>
    <row r="699">
      <c r="A699" s="26" t="n"/>
      <c r="B699" s="26" t="n"/>
      <c r="C699" s="26" t="n"/>
      <c r="D699" s="26" t="n"/>
      <c r="E699" s="26" t="n"/>
      <c r="F699" s="30">
        <f>IF(A699="","",COUNTIF('Holdings'!$A$4:$A$2503,A699))</f>
        <v/>
      </c>
      <c r="G699" s="30">
        <f>IF(A699="","",COUNTIF('Access'!$B$4:$B$1503,A699))</f>
        <v/>
      </c>
      <c r="H699" s="30">
        <f>IF(A699="","",IF(COUNTIF($A$4:$A$1003,A699)&gt;1,"Duplicate holder ID",IF(OR(B699="",C699=""),"Missing required field",IF(F699=0,"No holdings",IF(AND(G699=0,A699&lt;&gt;"LKB-GROUP"),"No login (ok if not invited)","OK")))))</f>
        <v/>
      </c>
    </row>
    <row r="700">
      <c r="A700" s="26" t="n"/>
      <c r="B700" s="26" t="n"/>
      <c r="C700" s="26" t="n"/>
      <c r="D700" s="26" t="n"/>
      <c r="E700" s="26" t="n"/>
      <c r="F700" s="30">
        <f>IF(A700="","",COUNTIF('Holdings'!$A$4:$A$2503,A700))</f>
        <v/>
      </c>
      <c r="G700" s="30">
        <f>IF(A700="","",COUNTIF('Access'!$B$4:$B$1503,A700))</f>
        <v/>
      </c>
      <c r="H700" s="30">
        <f>IF(A700="","",IF(COUNTIF($A$4:$A$1003,A700)&gt;1,"Duplicate holder ID",IF(OR(B700="",C700=""),"Missing required field",IF(F700=0,"No holdings",IF(AND(G700=0,A700&lt;&gt;"LKB-GROUP"),"No login (ok if not invited)","OK")))))</f>
        <v/>
      </c>
    </row>
    <row r="701">
      <c r="A701" s="26" t="n"/>
      <c r="B701" s="26" t="n"/>
      <c r="C701" s="26" t="n"/>
      <c r="D701" s="26" t="n"/>
      <c r="E701" s="26" t="n"/>
      <c r="F701" s="30">
        <f>IF(A701="","",COUNTIF('Holdings'!$A$4:$A$2503,A701))</f>
        <v/>
      </c>
      <c r="G701" s="30">
        <f>IF(A701="","",COUNTIF('Access'!$B$4:$B$1503,A701))</f>
        <v/>
      </c>
      <c r="H701" s="30">
        <f>IF(A701="","",IF(COUNTIF($A$4:$A$1003,A701)&gt;1,"Duplicate holder ID",IF(OR(B701="",C701=""),"Missing required field",IF(F701=0,"No holdings",IF(AND(G701=0,A701&lt;&gt;"LKB-GROUP"),"No login (ok if not invited)","OK")))))</f>
        <v/>
      </c>
    </row>
    <row r="702">
      <c r="A702" s="26" t="n"/>
      <c r="B702" s="26" t="n"/>
      <c r="C702" s="26" t="n"/>
      <c r="D702" s="26" t="n"/>
      <c r="E702" s="26" t="n"/>
      <c r="F702" s="30">
        <f>IF(A702="","",COUNTIF('Holdings'!$A$4:$A$2503,A702))</f>
        <v/>
      </c>
      <c r="G702" s="30">
        <f>IF(A702="","",COUNTIF('Access'!$B$4:$B$1503,A702))</f>
        <v/>
      </c>
      <c r="H702" s="30">
        <f>IF(A702="","",IF(COUNTIF($A$4:$A$1003,A702)&gt;1,"Duplicate holder ID",IF(OR(B702="",C702=""),"Missing required field",IF(F702=0,"No holdings",IF(AND(G702=0,A702&lt;&gt;"LKB-GROUP"),"No login (ok if not invited)","OK")))))</f>
        <v/>
      </c>
    </row>
    <row r="703">
      <c r="A703" s="26" t="n"/>
      <c r="B703" s="26" t="n"/>
      <c r="C703" s="26" t="n"/>
      <c r="D703" s="26" t="n"/>
      <c r="E703" s="26" t="n"/>
      <c r="F703" s="30">
        <f>IF(A703="","",COUNTIF('Holdings'!$A$4:$A$2503,A703))</f>
        <v/>
      </c>
      <c r="G703" s="30">
        <f>IF(A703="","",COUNTIF('Access'!$B$4:$B$1503,A703))</f>
        <v/>
      </c>
      <c r="H703" s="30">
        <f>IF(A703="","",IF(COUNTIF($A$4:$A$1003,A703)&gt;1,"Duplicate holder ID",IF(OR(B703="",C703=""),"Missing required field",IF(F703=0,"No holdings",IF(AND(G703=0,A703&lt;&gt;"LKB-GROUP"),"No login (ok if not invited)","OK")))))</f>
        <v/>
      </c>
    </row>
    <row r="704">
      <c r="A704" s="26" t="n"/>
      <c r="B704" s="26" t="n"/>
      <c r="C704" s="26" t="n"/>
      <c r="D704" s="26" t="n"/>
      <c r="E704" s="26" t="n"/>
      <c r="F704" s="30">
        <f>IF(A704="","",COUNTIF('Holdings'!$A$4:$A$2503,A704))</f>
        <v/>
      </c>
      <c r="G704" s="30">
        <f>IF(A704="","",COUNTIF('Access'!$B$4:$B$1503,A704))</f>
        <v/>
      </c>
      <c r="H704" s="30">
        <f>IF(A704="","",IF(COUNTIF($A$4:$A$1003,A704)&gt;1,"Duplicate holder ID",IF(OR(B704="",C704=""),"Missing required field",IF(F704=0,"No holdings",IF(AND(G704=0,A704&lt;&gt;"LKB-GROUP"),"No login (ok if not invited)","OK")))))</f>
        <v/>
      </c>
    </row>
    <row r="705">
      <c r="A705" s="26" t="n"/>
      <c r="B705" s="26" t="n"/>
      <c r="C705" s="26" t="n"/>
      <c r="D705" s="26" t="n"/>
      <c r="E705" s="26" t="n"/>
      <c r="F705" s="30">
        <f>IF(A705="","",COUNTIF('Holdings'!$A$4:$A$2503,A705))</f>
        <v/>
      </c>
      <c r="G705" s="30">
        <f>IF(A705="","",COUNTIF('Access'!$B$4:$B$1503,A705))</f>
        <v/>
      </c>
      <c r="H705" s="30">
        <f>IF(A705="","",IF(COUNTIF($A$4:$A$1003,A705)&gt;1,"Duplicate holder ID",IF(OR(B705="",C705=""),"Missing required field",IF(F705=0,"No holdings",IF(AND(G705=0,A705&lt;&gt;"LKB-GROUP"),"No login (ok if not invited)","OK")))))</f>
        <v/>
      </c>
    </row>
    <row r="706">
      <c r="A706" s="26" t="n"/>
      <c r="B706" s="26" t="n"/>
      <c r="C706" s="26" t="n"/>
      <c r="D706" s="26" t="n"/>
      <c r="E706" s="26" t="n"/>
      <c r="F706" s="30">
        <f>IF(A706="","",COUNTIF('Holdings'!$A$4:$A$2503,A706))</f>
        <v/>
      </c>
      <c r="G706" s="30">
        <f>IF(A706="","",COUNTIF('Access'!$B$4:$B$1503,A706))</f>
        <v/>
      </c>
      <c r="H706" s="30">
        <f>IF(A706="","",IF(COUNTIF($A$4:$A$1003,A706)&gt;1,"Duplicate holder ID",IF(OR(B706="",C706=""),"Missing required field",IF(F706=0,"No holdings",IF(AND(G706=0,A706&lt;&gt;"LKB-GROUP"),"No login (ok if not invited)","OK")))))</f>
        <v/>
      </c>
    </row>
    <row r="707">
      <c r="A707" s="26" t="n"/>
      <c r="B707" s="26" t="n"/>
      <c r="C707" s="26" t="n"/>
      <c r="D707" s="26" t="n"/>
      <c r="E707" s="26" t="n"/>
      <c r="F707" s="30">
        <f>IF(A707="","",COUNTIF('Holdings'!$A$4:$A$2503,A707))</f>
        <v/>
      </c>
      <c r="G707" s="30">
        <f>IF(A707="","",COUNTIF('Access'!$B$4:$B$1503,A707))</f>
        <v/>
      </c>
      <c r="H707" s="30">
        <f>IF(A707="","",IF(COUNTIF($A$4:$A$1003,A707)&gt;1,"Duplicate holder ID",IF(OR(B707="",C707=""),"Missing required field",IF(F707=0,"No holdings",IF(AND(G707=0,A707&lt;&gt;"LKB-GROUP"),"No login (ok if not invited)","OK")))))</f>
        <v/>
      </c>
    </row>
    <row r="708">
      <c r="A708" s="26" t="n"/>
      <c r="B708" s="26" t="n"/>
      <c r="C708" s="26" t="n"/>
      <c r="D708" s="26" t="n"/>
      <c r="E708" s="26" t="n"/>
      <c r="F708" s="30">
        <f>IF(A708="","",COUNTIF('Holdings'!$A$4:$A$2503,A708))</f>
        <v/>
      </c>
      <c r="G708" s="30">
        <f>IF(A708="","",COUNTIF('Access'!$B$4:$B$1503,A708))</f>
        <v/>
      </c>
      <c r="H708" s="30">
        <f>IF(A708="","",IF(COUNTIF($A$4:$A$1003,A708)&gt;1,"Duplicate holder ID",IF(OR(B708="",C708=""),"Missing required field",IF(F708=0,"No holdings",IF(AND(G708=0,A708&lt;&gt;"LKB-GROUP"),"No login (ok if not invited)","OK")))))</f>
        <v/>
      </c>
    </row>
    <row r="709">
      <c r="A709" s="26" t="n"/>
      <c r="B709" s="26" t="n"/>
      <c r="C709" s="26" t="n"/>
      <c r="D709" s="26" t="n"/>
      <c r="E709" s="26" t="n"/>
      <c r="F709" s="30">
        <f>IF(A709="","",COUNTIF('Holdings'!$A$4:$A$2503,A709))</f>
        <v/>
      </c>
      <c r="G709" s="30">
        <f>IF(A709="","",COUNTIF('Access'!$B$4:$B$1503,A709))</f>
        <v/>
      </c>
      <c r="H709" s="30">
        <f>IF(A709="","",IF(COUNTIF($A$4:$A$1003,A709)&gt;1,"Duplicate holder ID",IF(OR(B709="",C709=""),"Missing required field",IF(F709=0,"No holdings",IF(AND(G709=0,A709&lt;&gt;"LKB-GROUP"),"No login (ok if not invited)","OK")))))</f>
        <v/>
      </c>
    </row>
    <row r="710">
      <c r="A710" s="26" t="n"/>
      <c r="B710" s="26" t="n"/>
      <c r="C710" s="26" t="n"/>
      <c r="D710" s="26" t="n"/>
      <c r="E710" s="26" t="n"/>
      <c r="F710" s="30">
        <f>IF(A710="","",COUNTIF('Holdings'!$A$4:$A$2503,A710))</f>
        <v/>
      </c>
      <c r="G710" s="30">
        <f>IF(A710="","",COUNTIF('Access'!$B$4:$B$1503,A710))</f>
        <v/>
      </c>
      <c r="H710" s="30">
        <f>IF(A710="","",IF(COUNTIF($A$4:$A$1003,A710)&gt;1,"Duplicate holder ID",IF(OR(B710="",C710=""),"Missing required field",IF(F710=0,"No holdings",IF(AND(G710=0,A710&lt;&gt;"LKB-GROUP"),"No login (ok if not invited)","OK")))))</f>
        <v/>
      </c>
    </row>
    <row r="711">
      <c r="A711" s="26" t="n"/>
      <c r="B711" s="26" t="n"/>
      <c r="C711" s="26" t="n"/>
      <c r="D711" s="26" t="n"/>
      <c r="E711" s="26" t="n"/>
      <c r="F711" s="30">
        <f>IF(A711="","",COUNTIF('Holdings'!$A$4:$A$2503,A711))</f>
        <v/>
      </c>
      <c r="G711" s="30">
        <f>IF(A711="","",COUNTIF('Access'!$B$4:$B$1503,A711))</f>
        <v/>
      </c>
      <c r="H711" s="30">
        <f>IF(A711="","",IF(COUNTIF($A$4:$A$1003,A711)&gt;1,"Duplicate holder ID",IF(OR(B711="",C711=""),"Missing required field",IF(F711=0,"No holdings",IF(AND(G711=0,A711&lt;&gt;"LKB-GROUP"),"No login (ok if not invited)","OK")))))</f>
        <v/>
      </c>
    </row>
    <row r="712">
      <c r="A712" s="26" t="n"/>
      <c r="B712" s="26" t="n"/>
      <c r="C712" s="26" t="n"/>
      <c r="D712" s="26" t="n"/>
      <c r="E712" s="26" t="n"/>
      <c r="F712" s="30">
        <f>IF(A712="","",COUNTIF('Holdings'!$A$4:$A$2503,A712))</f>
        <v/>
      </c>
      <c r="G712" s="30">
        <f>IF(A712="","",COUNTIF('Access'!$B$4:$B$1503,A712))</f>
        <v/>
      </c>
      <c r="H712" s="30">
        <f>IF(A712="","",IF(COUNTIF($A$4:$A$1003,A712)&gt;1,"Duplicate holder ID",IF(OR(B712="",C712=""),"Missing required field",IF(F712=0,"No holdings",IF(AND(G712=0,A712&lt;&gt;"LKB-GROUP"),"No login (ok if not invited)","OK")))))</f>
        <v/>
      </c>
    </row>
    <row r="713">
      <c r="A713" s="26" t="n"/>
      <c r="B713" s="26" t="n"/>
      <c r="C713" s="26" t="n"/>
      <c r="D713" s="26" t="n"/>
      <c r="E713" s="26" t="n"/>
      <c r="F713" s="30">
        <f>IF(A713="","",COUNTIF('Holdings'!$A$4:$A$2503,A713))</f>
        <v/>
      </c>
      <c r="G713" s="30">
        <f>IF(A713="","",COUNTIF('Access'!$B$4:$B$1503,A713))</f>
        <v/>
      </c>
      <c r="H713" s="30">
        <f>IF(A713="","",IF(COUNTIF($A$4:$A$1003,A713)&gt;1,"Duplicate holder ID",IF(OR(B713="",C713=""),"Missing required field",IF(F713=0,"No holdings",IF(AND(G713=0,A713&lt;&gt;"LKB-GROUP"),"No login (ok if not invited)","OK")))))</f>
        <v/>
      </c>
    </row>
    <row r="714">
      <c r="A714" s="26" t="n"/>
      <c r="B714" s="26" t="n"/>
      <c r="C714" s="26" t="n"/>
      <c r="D714" s="26" t="n"/>
      <c r="E714" s="26" t="n"/>
      <c r="F714" s="30">
        <f>IF(A714="","",COUNTIF('Holdings'!$A$4:$A$2503,A714))</f>
        <v/>
      </c>
      <c r="G714" s="30">
        <f>IF(A714="","",COUNTIF('Access'!$B$4:$B$1503,A714))</f>
        <v/>
      </c>
      <c r="H714" s="30">
        <f>IF(A714="","",IF(COUNTIF($A$4:$A$1003,A714)&gt;1,"Duplicate holder ID",IF(OR(B714="",C714=""),"Missing required field",IF(F714=0,"No holdings",IF(AND(G714=0,A714&lt;&gt;"LKB-GROUP"),"No login (ok if not invited)","OK")))))</f>
        <v/>
      </c>
    </row>
    <row r="715">
      <c r="A715" s="26" t="n"/>
      <c r="B715" s="26" t="n"/>
      <c r="C715" s="26" t="n"/>
      <c r="D715" s="26" t="n"/>
      <c r="E715" s="26" t="n"/>
      <c r="F715" s="30">
        <f>IF(A715="","",COUNTIF('Holdings'!$A$4:$A$2503,A715))</f>
        <v/>
      </c>
      <c r="G715" s="30">
        <f>IF(A715="","",COUNTIF('Access'!$B$4:$B$1503,A715))</f>
        <v/>
      </c>
      <c r="H715" s="30">
        <f>IF(A715="","",IF(COUNTIF($A$4:$A$1003,A715)&gt;1,"Duplicate holder ID",IF(OR(B715="",C715=""),"Missing required field",IF(F715=0,"No holdings",IF(AND(G715=0,A715&lt;&gt;"LKB-GROUP"),"No login (ok if not invited)","OK")))))</f>
        <v/>
      </c>
    </row>
    <row r="716">
      <c r="A716" s="26" t="n"/>
      <c r="B716" s="26" t="n"/>
      <c r="C716" s="26" t="n"/>
      <c r="D716" s="26" t="n"/>
      <c r="E716" s="26" t="n"/>
      <c r="F716" s="30">
        <f>IF(A716="","",COUNTIF('Holdings'!$A$4:$A$2503,A716))</f>
        <v/>
      </c>
      <c r="G716" s="30">
        <f>IF(A716="","",COUNTIF('Access'!$B$4:$B$1503,A716))</f>
        <v/>
      </c>
      <c r="H716" s="30">
        <f>IF(A716="","",IF(COUNTIF($A$4:$A$1003,A716)&gt;1,"Duplicate holder ID",IF(OR(B716="",C716=""),"Missing required field",IF(F716=0,"No holdings",IF(AND(G716=0,A716&lt;&gt;"LKB-GROUP"),"No login (ok if not invited)","OK")))))</f>
        <v/>
      </c>
    </row>
    <row r="717">
      <c r="A717" s="26" t="n"/>
      <c r="B717" s="26" t="n"/>
      <c r="C717" s="26" t="n"/>
      <c r="D717" s="26" t="n"/>
      <c r="E717" s="26" t="n"/>
      <c r="F717" s="30">
        <f>IF(A717="","",COUNTIF('Holdings'!$A$4:$A$2503,A717))</f>
        <v/>
      </c>
      <c r="G717" s="30">
        <f>IF(A717="","",COUNTIF('Access'!$B$4:$B$1503,A717))</f>
        <v/>
      </c>
      <c r="H717" s="30">
        <f>IF(A717="","",IF(COUNTIF($A$4:$A$1003,A717)&gt;1,"Duplicate holder ID",IF(OR(B717="",C717=""),"Missing required field",IF(F717=0,"No holdings",IF(AND(G717=0,A717&lt;&gt;"LKB-GROUP"),"No login (ok if not invited)","OK")))))</f>
        <v/>
      </c>
    </row>
    <row r="718">
      <c r="A718" s="26" t="n"/>
      <c r="B718" s="26" t="n"/>
      <c r="C718" s="26" t="n"/>
      <c r="D718" s="26" t="n"/>
      <c r="E718" s="26" t="n"/>
      <c r="F718" s="30">
        <f>IF(A718="","",COUNTIF('Holdings'!$A$4:$A$2503,A718))</f>
        <v/>
      </c>
      <c r="G718" s="30">
        <f>IF(A718="","",COUNTIF('Access'!$B$4:$B$1503,A718))</f>
        <v/>
      </c>
      <c r="H718" s="30">
        <f>IF(A718="","",IF(COUNTIF($A$4:$A$1003,A718)&gt;1,"Duplicate holder ID",IF(OR(B718="",C718=""),"Missing required field",IF(F718=0,"No holdings",IF(AND(G718=0,A718&lt;&gt;"LKB-GROUP"),"No login (ok if not invited)","OK")))))</f>
        <v/>
      </c>
    </row>
    <row r="719">
      <c r="A719" s="26" t="n"/>
      <c r="B719" s="26" t="n"/>
      <c r="C719" s="26" t="n"/>
      <c r="D719" s="26" t="n"/>
      <c r="E719" s="26" t="n"/>
      <c r="F719" s="30">
        <f>IF(A719="","",COUNTIF('Holdings'!$A$4:$A$2503,A719))</f>
        <v/>
      </c>
      <c r="G719" s="30">
        <f>IF(A719="","",COUNTIF('Access'!$B$4:$B$1503,A719))</f>
        <v/>
      </c>
      <c r="H719" s="30">
        <f>IF(A719="","",IF(COUNTIF($A$4:$A$1003,A719)&gt;1,"Duplicate holder ID",IF(OR(B719="",C719=""),"Missing required field",IF(F719=0,"No holdings",IF(AND(G719=0,A719&lt;&gt;"LKB-GROUP"),"No login (ok if not invited)","OK")))))</f>
        <v/>
      </c>
    </row>
    <row r="720">
      <c r="A720" s="26" t="n"/>
      <c r="B720" s="26" t="n"/>
      <c r="C720" s="26" t="n"/>
      <c r="D720" s="26" t="n"/>
      <c r="E720" s="26" t="n"/>
      <c r="F720" s="30">
        <f>IF(A720="","",COUNTIF('Holdings'!$A$4:$A$2503,A720))</f>
        <v/>
      </c>
      <c r="G720" s="30">
        <f>IF(A720="","",COUNTIF('Access'!$B$4:$B$1503,A720))</f>
        <v/>
      </c>
      <c r="H720" s="30">
        <f>IF(A720="","",IF(COUNTIF($A$4:$A$1003,A720)&gt;1,"Duplicate holder ID",IF(OR(B720="",C720=""),"Missing required field",IF(F720=0,"No holdings",IF(AND(G720=0,A720&lt;&gt;"LKB-GROUP"),"No login (ok if not invited)","OK")))))</f>
        <v/>
      </c>
    </row>
    <row r="721">
      <c r="A721" s="26" t="n"/>
      <c r="B721" s="26" t="n"/>
      <c r="C721" s="26" t="n"/>
      <c r="D721" s="26" t="n"/>
      <c r="E721" s="26" t="n"/>
      <c r="F721" s="30">
        <f>IF(A721="","",COUNTIF('Holdings'!$A$4:$A$2503,A721))</f>
        <v/>
      </c>
      <c r="G721" s="30">
        <f>IF(A721="","",COUNTIF('Access'!$B$4:$B$1503,A721))</f>
        <v/>
      </c>
      <c r="H721" s="30">
        <f>IF(A721="","",IF(COUNTIF($A$4:$A$1003,A721)&gt;1,"Duplicate holder ID",IF(OR(B721="",C721=""),"Missing required field",IF(F721=0,"No holdings",IF(AND(G721=0,A721&lt;&gt;"LKB-GROUP"),"No login (ok if not invited)","OK")))))</f>
        <v/>
      </c>
    </row>
    <row r="722">
      <c r="A722" s="26" t="n"/>
      <c r="B722" s="26" t="n"/>
      <c r="C722" s="26" t="n"/>
      <c r="D722" s="26" t="n"/>
      <c r="E722" s="26" t="n"/>
      <c r="F722" s="30">
        <f>IF(A722="","",COUNTIF('Holdings'!$A$4:$A$2503,A722))</f>
        <v/>
      </c>
      <c r="G722" s="30">
        <f>IF(A722="","",COUNTIF('Access'!$B$4:$B$1503,A722))</f>
        <v/>
      </c>
      <c r="H722" s="30">
        <f>IF(A722="","",IF(COUNTIF($A$4:$A$1003,A722)&gt;1,"Duplicate holder ID",IF(OR(B722="",C722=""),"Missing required field",IF(F722=0,"No holdings",IF(AND(G722=0,A722&lt;&gt;"LKB-GROUP"),"No login (ok if not invited)","OK")))))</f>
        <v/>
      </c>
    </row>
    <row r="723">
      <c r="A723" s="26" t="n"/>
      <c r="B723" s="26" t="n"/>
      <c r="C723" s="26" t="n"/>
      <c r="D723" s="26" t="n"/>
      <c r="E723" s="26" t="n"/>
      <c r="F723" s="30">
        <f>IF(A723="","",COUNTIF('Holdings'!$A$4:$A$2503,A723))</f>
        <v/>
      </c>
      <c r="G723" s="30">
        <f>IF(A723="","",COUNTIF('Access'!$B$4:$B$1503,A723))</f>
        <v/>
      </c>
      <c r="H723" s="30">
        <f>IF(A723="","",IF(COUNTIF($A$4:$A$1003,A723)&gt;1,"Duplicate holder ID",IF(OR(B723="",C723=""),"Missing required field",IF(F723=0,"No holdings",IF(AND(G723=0,A723&lt;&gt;"LKB-GROUP"),"No login (ok if not invited)","OK")))))</f>
        <v/>
      </c>
    </row>
    <row r="724">
      <c r="A724" s="26" t="n"/>
      <c r="B724" s="26" t="n"/>
      <c r="C724" s="26" t="n"/>
      <c r="D724" s="26" t="n"/>
      <c r="E724" s="26" t="n"/>
      <c r="F724" s="30">
        <f>IF(A724="","",COUNTIF('Holdings'!$A$4:$A$2503,A724))</f>
        <v/>
      </c>
      <c r="G724" s="30">
        <f>IF(A724="","",COUNTIF('Access'!$B$4:$B$1503,A724))</f>
        <v/>
      </c>
      <c r="H724" s="30">
        <f>IF(A724="","",IF(COUNTIF($A$4:$A$1003,A724)&gt;1,"Duplicate holder ID",IF(OR(B724="",C724=""),"Missing required field",IF(F724=0,"No holdings",IF(AND(G724=0,A724&lt;&gt;"LKB-GROUP"),"No login (ok if not invited)","OK")))))</f>
        <v/>
      </c>
    </row>
    <row r="725">
      <c r="A725" s="26" t="n"/>
      <c r="B725" s="26" t="n"/>
      <c r="C725" s="26" t="n"/>
      <c r="D725" s="26" t="n"/>
      <c r="E725" s="26" t="n"/>
      <c r="F725" s="30">
        <f>IF(A725="","",COUNTIF('Holdings'!$A$4:$A$2503,A725))</f>
        <v/>
      </c>
      <c r="G725" s="30">
        <f>IF(A725="","",COUNTIF('Access'!$B$4:$B$1503,A725))</f>
        <v/>
      </c>
      <c r="H725" s="30">
        <f>IF(A725="","",IF(COUNTIF($A$4:$A$1003,A725)&gt;1,"Duplicate holder ID",IF(OR(B725="",C725=""),"Missing required field",IF(F725=0,"No holdings",IF(AND(G725=0,A725&lt;&gt;"LKB-GROUP"),"No login (ok if not invited)","OK")))))</f>
        <v/>
      </c>
    </row>
    <row r="726">
      <c r="A726" s="26" t="n"/>
      <c r="B726" s="26" t="n"/>
      <c r="C726" s="26" t="n"/>
      <c r="D726" s="26" t="n"/>
      <c r="E726" s="26" t="n"/>
      <c r="F726" s="30">
        <f>IF(A726="","",COUNTIF('Holdings'!$A$4:$A$2503,A726))</f>
        <v/>
      </c>
      <c r="G726" s="30">
        <f>IF(A726="","",COUNTIF('Access'!$B$4:$B$1503,A726))</f>
        <v/>
      </c>
      <c r="H726" s="30">
        <f>IF(A726="","",IF(COUNTIF($A$4:$A$1003,A726)&gt;1,"Duplicate holder ID",IF(OR(B726="",C726=""),"Missing required field",IF(F726=0,"No holdings",IF(AND(G726=0,A726&lt;&gt;"LKB-GROUP"),"No login (ok if not invited)","OK")))))</f>
        <v/>
      </c>
    </row>
    <row r="727">
      <c r="A727" s="26" t="n"/>
      <c r="B727" s="26" t="n"/>
      <c r="C727" s="26" t="n"/>
      <c r="D727" s="26" t="n"/>
      <c r="E727" s="26" t="n"/>
      <c r="F727" s="30">
        <f>IF(A727="","",COUNTIF('Holdings'!$A$4:$A$2503,A727))</f>
        <v/>
      </c>
      <c r="G727" s="30">
        <f>IF(A727="","",COUNTIF('Access'!$B$4:$B$1503,A727))</f>
        <v/>
      </c>
      <c r="H727" s="30">
        <f>IF(A727="","",IF(COUNTIF($A$4:$A$1003,A727)&gt;1,"Duplicate holder ID",IF(OR(B727="",C727=""),"Missing required field",IF(F727=0,"No holdings",IF(AND(G727=0,A727&lt;&gt;"LKB-GROUP"),"No login (ok if not invited)","OK")))))</f>
        <v/>
      </c>
    </row>
    <row r="728">
      <c r="A728" s="26" t="n"/>
      <c r="B728" s="26" t="n"/>
      <c r="C728" s="26" t="n"/>
      <c r="D728" s="26" t="n"/>
      <c r="E728" s="26" t="n"/>
      <c r="F728" s="30">
        <f>IF(A728="","",COUNTIF('Holdings'!$A$4:$A$2503,A728))</f>
        <v/>
      </c>
      <c r="G728" s="30">
        <f>IF(A728="","",COUNTIF('Access'!$B$4:$B$1503,A728))</f>
        <v/>
      </c>
      <c r="H728" s="30">
        <f>IF(A728="","",IF(COUNTIF($A$4:$A$1003,A728)&gt;1,"Duplicate holder ID",IF(OR(B728="",C728=""),"Missing required field",IF(F728=0,"No holdings",IF(AND(G728=0,A728&lt;&gt;"LKB-GROUP"),"No login (ok if not invited)","OK")))))</f>
        <v/>
      </c>
    </row>
    <row r="729">
      <c r="A729" s="26" t="n"/>
      <c r="B729" s="26" t="n"/>
      <c r="C729" s="26" t="n"/>
      <c r="D729" s="26" t="n"/>
      <c r="E729" s="26" t="n"/>
      <c r="F729" s="30">
        <f>IF(A729="","",COUNTIF('Holdings'!$A$4:$A$2503,A729))</f>
        <v/>
      </c>
      <c r="G729" s="30">
        <f>IF(A729="","",COUNTIF('Access'!$B$4:$B$1503,A729))</f>
        <v/>
      </c>
      <c r="H729" s="30">
        <f>IF(A729="","",IF(COUNTIF($A$4:$A$1003,A729)&gt;1,"Duplicate holder ID",IF(OR(B729="",C729=""),"Missing required field",IF(F729=0,"No holdings",IF(AND(G729=0,A729&lt;&gt;"LKB-GROUP"),"No login (ok if not invited)","OK")))))</f>
        <v/>
      </c>
    </row>
    <row r="730">
      <c r="A730" s="26" t="n"/>
      <c r="B730" s="26" t="n"/>
      <c r="C730" s="26" t="n"/>
      <c r="D730" s="26" t="n"/>
      <c r="E730" s="26" t="n"/>
      <c r="F730" s="30">
        <f>IF(A730="","",COUNTIF('Holdings'!$A$4:$A$2503,A730))</f>
        <v/>
      </c>
      <c r="G730" s="30">
        <f>IF(A730="","",COUNTIF('Access'!$B$4:$B$1503,A730))</f>
        <v/>
      </c>
      <c r="H730" s="30">
        <f>IF(A730="","",IF(COUNTIF($A$4:$A$1003,A730)&gt;1,"Duplicate holder ID",IF(OR(B730="",C730=""),"Missing required field",IF(F730=0,"No holdings",IF(AND(G730=0,A730&lt;&gt;"LKB-GROUP"),"No login (ok if not invited)","OK")))))</f>
        <v/>
      </c>
    </row>
    <row r="731">
      <c r="A731" s="26" t="n"/>
      <c r="B731" s="26" t="n"/>
      <c r="C731" s="26" t="n"/>
      <c r="D731" s="26" t="n"/>
      <c r="E731" s="26" t="n"/>
      <c r="F731" s="30">
        <f>IF(A731="","",COUNTIF('Holdings'!$A$4:$A$2503,A731))</f>
        <v/>
      </c>
      <c r="G731" s="30">
        <f>IF(A731="","",COUNTIF('Access'!$B$4:$B$1503,A731))</f>
        <v/>
      </c>
      <c r="H731" s="30">
        <f>IF(A731="","",IF(COUNTIF($A$4:$A$1003,A731)&gt;1,"Duplicate holder ID",IF(OR(B731="",C731=""),"Missing required field",IF(F731=0,"No holdings",IF(AND(G731=0,A731&lt;&gt;"LKB-GROUP"),"No login (ok if not invited)","OK")))))</f>
        <v/>
      </c>
    </row>
    <row r="732">
      <c r="A732" s="26" t="n"/>
      <c r="B732" s="26" t="n"/>
      <c r="C732" s="26" t="n"/>
      <c r="D732" s="26" t="n"/>
      <c r="E732" s="26" t="n"/>
      <c r="F732" s="30">
        <f>IF(A732="","",COUNTIF('Holdings'!$A$4:$A$2503,A732))</f>
        <v/>
      </c>
      <c r="G732" s="30">
        <f>IF(A732="","",COUNTIF('Access'!$B$4:$B$1503,A732))</f>
        <v/>
      </c>
      <c r="H732" s="30">
        <f>IF(A732="","",IF(COUNTIF($A$4:$A$1003,A732)&gt;1,"Duplicate holder ID",IF(OR(B732="",C732=""),"Missing required field",IF(F732=0,"No holdings",IF(AND(G732=0,A732&lt;&gt;"LKB-GROUP"),"No login (ok if not invited)","OK")))))</f>
        <v/>
      </c>
    </row>
    <row r="733">
      <c r="A733" s="26" t="n"/>
      <c r="B733" s="26" t="n"/>
      <c r="C733" s="26" t="n"/>
      <c r="D733" s="26" t="n"/>
      <c r="E733" s="26" t="n"/>
      <c r="F733" s="30">
        <f>IF(A733="","",COUNTIF('Holdings'!$A$4:$A$2503,A733))</f>
        <v/>
      </c>
      <c r="G733" s="30">
        <f>IF(A733="","",COUNTIF('Access'!$B$4:$B$1503,A733))</f>
        <v/>
      </c>
      <c r="H733" s="30">
        <f>IF(A733="","",IF(COUNTIF($A$4:$A$1003,A733)&gt;1,"Duplicate holder ID",IF(OR(B733="",C733=""),"Missing required field",IF(F733=0,"No holdings",IF(AND(G733=0,A733&lt;&gt;"LKB-GROUP"),"No login (ok if not invited)","OK")))))</f>
        <v/>
      </c>
    </row>
    <row r="734">
      <c r="A734" s="26" t="n"/>
      <c r="B734" s="26" t="n"/>
      <c r="C734" s="26" t="n"/>
      <c r="D734" s="26" t="n"/>
      <c r="E734" s="26" t="n"/>
      <c r="F734" s="30">
        <f>IF(A734="","",COUNTIF('Holdings'!$A$4:$A$2503,A734))</f>
        <v/>
      </c>
      <c r="G734" s="30">
        <f>IF(A734="","",COUNTIF('Access'!$B$4:$B$1503,A734))</f>
        <v/>
      </c>
      <c r="H734" s="30">
        <f>IF(A734="","",IF(COUNTIF($A$4:$A$1003,A734)&gt;1,"Duplicate holder ID",IF(OR(B734="",C734=""),"Missing required field",IF(F734=0,"No holdings",IF(AND(G734=0,A734&lt;&gt;"LKB-GROUP"),"No login (ok if not invited)","OK")))))</f>
        <v/>
      </c>
    </row>
    <row r="735">
      <c r="A735" s="26" t="n"/>
      <c r="B735" s="26" t="n"/>
      <c r="C735" s="26" t="n"/>
      <c r="D735" s="26" t="n"/>
      <c r="E735" s="26" t="n"/>
      <c r="F735" s="30">
        <f>IF(A735="","",COUNTIF('Holdings'!$A$4:$A$2503,A735))</f>
        <v/>
      </c>
      <c r="G735" s="30">
        <f>IF(A735="","",COUNTIF('Access'!$B$4:$B$1503,A735))</f>
        <v/>
      </c>
      <c r="H735" s="30">
        <f>IF(A735="","",IF(COUNTIF($A$4:$A$1003,A735)&gt;1,"Duplicate holder ID",IF(OR(B735="",C735=""),"Missing required field",IF(F735=0,"No holdings",IF(AND(G735=0,A735&lt;&gt;"LKB-GROUP"),"No login (ok if not invited)","OK")))))</f>
        <v/>
      </c>
    </row>
    <row r="736">
      <c r="A736" s="26" t="n"/>
      <c r="B736" s="26" t="n"/>
      <c r="C736" s="26" t="n"/>
      <c r="D736" s="26" t="n"/>
      <c r="E736" s="26" t="n"/>
      <c r="F736" s="30">
        <f>IF(A736="","",COUNTIF('Holdings'!$A$4:$A$2503,A736))</f>
        <v/>
      </c>
      <c r="G736" s="30">
        <f>IF(A736="","",COUNTIF('Access'!$B$4:$B$1503,A736))</f>
        <v/>
      </c>
      <c r="H736" s="30">
        <f>IF(A736="","",IF(COUNTIF($A$4:$A$1003,A736)&gt;1,"Duplicate holder ID",IF(OR(B736="",C736=""),"Missing required field",IF(F736=0,"No holdings",IF(AND(G736=0,A736&lt;&gt;"LKB-GROUP"),"No login (ok if not invited)","OK")))))</f>
        <v/>
      </c>
    </row>
    <row r="737">
      <c r="A737" s="26" t="n"/>
      <c r="B737" s="26" t="n"/>
      <c r="C737" s="26" t="n"/>
      <c r="D737" s="26" t="n"/>
      <c r="E737" s="26" t="n"/>
      <c r="F737" s="30">
        <f>IF(A737="","",COUNTIF('Holdings'!$A$4:$A$2503,A737))</f>
        <v/>
      </c>
      <c r="G737" s="30">
        <f>IF(A737="","",COUNTIF('Access'!$B$4:$B$1503,A737))</f>
        <v/>
      </c>
      <c r="H737" s="30">
        <f>IF(A737="","",IF(COUNTIF($A$4:$A$1003,A737)&gt;1,"Duplicate holder ID",IF(OR(B737="",C737=""),"Missing required field",IF(F737=0,"No holdings",IF(AND(G737=0,A737&lt;&gt;"LKB-GROUP"),"No login (ok if not invited)","OK")))))</f>
        <v/>
      </c>
    </row>
    <row r="738">
      <c r="A738" s="26" t="n"/>
      <c r="B738" s="26" t="n"/>
      <c r="C738" s="26" t="n"/>
      <c r="D738" s="26" t="n"/>
      <c r="E738" s="26" t="n"/>
      <c r="F738" s="30">
        <f>IF(A738="","",COUNTIF('Holdings'!$A$4:$A$2503,A738))</f>
        <v/>
      </c>
      <c r="G738" s="30">
        <f>IF(A738="","",COUNTIF('Access'!$B$4:$B$1503,A738))</f>
        <v/>
      </c>
      <c r="H738" s="30">
        <f>IF(A738="","",IF(COUNTIF($A$4:$A$1003,A738)&gt;1,"Duplicate holder ID",IF(OR(B738="",C738=""),"Missing required field",IF(F738=0,"No holdings",IF(AND(G738=0,A738&lt;&gt;"LKB-GROUP"),"No login (ok if not invited)","OK")))))</f>
        <v/>
      </c>
    </row>
    <row r="739">
      <c r="A739" s="26" t="n"/>
      <c r="B739" s="26" t="n"/>
      <c r="C739" s="26" t="n"/>
      <c r="D739" s="26" t="n"/>
      <c r="E739" s="26" t="n"/>
      <c r="F739" s="30">
        <f>IF(A739="","",COUNTIF('Holdings'!$A$4:$A$2503,A739))</f>
        <v/>
      </c>
      <c r="G739" s="30">
        <f>IF(A739="","",COUNTIF('Access'!$B$4:$B$1503,A739))</f>
        <v/>
      </c>
      <c r="H739" s="30">
        <f>IF(A739="","",IF(COUNTIF($A$4:$A$1003,A739)&gt;1,"Duplicate holder ID",IF(OR(B739="",C739=""),"Missing required field",IF(F739=0,"No holdings",IF(AND(G739=0,A739&lt;&gt;"LKB-GROUP"),"No login (ok if not invited)","OK")))))</f>
        <v/>
      </c>
    </row>
    <row r="740">
      <c r="A740" s="26" t="n"/>
      <c r="B740" s="26" t="n"/>
      <c r="C740" s="26" t="n"/>
      <c r="D740" s="26" t="n"/>
      <c r="E740" s="26" t="n"/>
      <c r="F740" s="30">
        <f>IF(A740="","",COUNTIF('Holdings'!$A$4:$A$2503,A740))</f>
        <v/>
      </c>
      <c r="G740" s="30">
        <f>IF(A740="","",COUNTIF('Access'!$B$4:$B$1503,A740))</f>
        <v/>
      </c>
      <c r="H740" s="30">
        <f>IF(A740="","",IF(COUNTIF($A$4:$A$1003,A740)&gt;1,"Duplicate holder ID",IF(OR(B740="",C740=""),"Missing required field",IF(F740=0,"No holdings",IF(AND(G740=0,A740&lt;&gt;"LKB-GROUP"),"No login (ok if not invited)","OK")))))</f>
        <v/>
      </c>
    </row>
    <row r="741">
      <c r="A741" s="26" t="n"/>
      <c r="B741" s="26" t="n"/>
      <c r="C741" s="26" t="n"/>
      <c r="D741" s="26" t="n"/>
      <c r="E741" s="26" t="n"/>
      <c r="F741" s="30">
        <f>IF(A741="","",COUNTIF('Holdings'!$A$4:$A$2503,A741))</f>
        <v/>
      </c>
      <c r="G741" s="30">
        <f>IF(A741="","",COUNTIF('Access'!$B$4:$B$1503,A741))</f>
        <v/>
      </c>
      <c r="H741" s="30">
        <f>IF(A741="","",IF(COUNTIF($A$4:$A$1003,A741)&gt;1,"Duplicate holder ID",IF(OR(B741="",C741=""),"Missing required field",IF(F741=0,"No holdings",IF(AND(G741=0,A741&lt;&gt;"LKB-GROUP"),"No login (ok if not invited)","OK")))))</f>
        <v/>
      </c>
    </row>
    <row r="742">
      <c r="A742" s="26" t="n"/>
      <c r="B742" s="26" t="n"/>
      <c r="C742" s="26" t="n"/>
      <c r="D742" s="26" t="n"/>
      <c r="E742" s="26" t="n"/>
      <c r="F742" s="30">
        <f>IF(A742="","",COUNTIF('Holdings'!$A$4:$A$2503,A742))</f>
        <v/>
      </c>
      <c r="G742" s="30">
        <f>IF(A742="","",COUNTIF('Access'!$B$4:$B$1503,A742))</f>
        <v/>
      </c>
      <c r="H742" s="30">
        <f>IF(A742="","",IF(COUNTIF($A$4:$A$1003,A742)&gt;1,"Duplicate holder ID",IF(OR(B742="",C742=""),"Missing required field",IF(F742=0,"No holdings",IF(AND(G742=0,A742&lt;&gt;"LKB-GROUP"),"No login (ok if not invited)","OK")))))</f>
        <v/>
      </c>
    </row>
    <row r="743">
      <c r="A743" s="26" t="n"/>
      <c r="B743" s="26" t="n"/>
      <c r="C743" s="26" t="n"/>
      <c r="D743" s="26" t="n"/>
      <c r="E743" s="26" t="n"/>
      <c r="F743" s="30">
        <f>IF(A743="","",COUNTIF('Holdings'!$A$4:$A$2503,A743))</f>
        <v/>
      </c>
      <c r="G743" s="30">
        <f>IF(A743="","",COUNTIF('Access'!$B$4:$B$1503,A743))</f>
        <v/>
      </c>
      <c r="H743" s="30">
        <f>IF(A743="","",IF(COUNTIF($A$4:$A$1003,A743)&gt;1,"Duplicate holder ID",IF(OR(B743="",C743=""),"Missing required field",IF(F743=0,"No holdings",IF(AND(G743=0,A743&lt;&gt;"LKB-GROUP"),"No login (ok if not invited)","OK")))))</f>
        <v/>
      </c>
    </row>
    <row r="744">
      <c r="A744" s="26" t="n"/>
      <c r="B744" s="26" t="n"/>
      <c r="C744" s="26" t="n"/>
      <c r="D744" s="26" t="n"/>
      <c r="E744" s="26" t="n"/>
      <c r="F744" s="30">
        <f>IF(A744="","",COUNTIF('Holdings'!$A$4:$A$2503,A744))</f>
        <v/>
      </c>
      <c r="G744" s="30">
        <f>IF(A744="","",COUNTIF('Access'!$B$4:$B$1503,A744))</f>
        <v/>
      </c>
      <c r="H744" s="30">
        <f>IF(A744="","",IF(COUNTIF($A$4:$A$1003,A744)&gt;1,"Duplicate holder ID",IF(OR(B744="",C744=""),"Missing required field",IF(F744=0,"No holdings",IF(AND(G744=0,A744&lt;&gt;"LKB-GROUP"),"No login (ok if not invited)","OK")))))</f>
        <v/>
      </c>
    </row>
    <row r="745">
      <c r="A745" s="26" t="n"/>
      <c r="B745" s="26" t="n"/>
      <c r="C745" s="26" t="n"/>
      <c r="D745" s="26" t="n"/>
      <c r="E745" s="26" t="n"/>
      <c r="F745" s="30">
        <f>IF(A745="","",COUNTIF('Holdings'!$A$4:$A$2503,A745))</f>
        <v/>
      </c>
      <c r="G745" s="30">
        <f>IF(A745="","",COUNTIF('Access'!$B$4:$B$1503,A745))</f>
        <v/>
      </c>
      <c r="H745" s="30">
        <f>IF(A745="","",IF(COUNTIF($A$4:$A$1003,A745)&gt;1,"Duplicate holder ID",IF(OR(B745="",C745=""),"Missing required field",IF(F745=0,"No holdings",IF(AND(G745=0,A745&lt;&gt;"LKB-GROUP"),"No login (ok if not invited)","OK")))))</f>
        <v/>
      </c>
    </row>
    <row r="746">
      <c r="A746" s="26" t="n"/>
      <c r="B746" s="26" t="n"/>
      <c r="C746" s="26" t="n"/>
      <c r="D746" s="26" t="n"/>
      <c r="E746" s="26" t="n"/>
      <c r="F746" s="30">
        <f>IF(A746="","",COUNTIF('Holdings'!$A$4:$A$2503,A746))</f>
        <v/>
      </c>
      <c r="G746" s="30">
        <f>IF(A746="","",COUNTIF('Access'!$B$4:$B$1503,A746))</f>
        <v/>
      </c>
      <c r="H746" s="30">
        <f>IF(A746="","",IF(COUNTIF($A$4:$A$1003,A746)&gt;1,"Duplicate holder ID",IF(OR(B746="",C746=""),"Missing required field",IF(F746=0,"No holdings",IF(AND(G746=0,A746&lt;&gt;"LKB-GROUP"),"No login (ok if not invited)","OK")))))</f>
        <v/>
      </c>
    </row>
    <row r="747">
      <c r="A747" s="26" t="n"/>
      <c r="B747" s="26" t="n"/>
      <c r="C747" s="26" t="n"/>
      <c r="D747" s="26" t="n"/>
      <c r="E747" s="26" t="n"/>
      <c r="F747" s="30">
        <f>IF(A747="","",COUNTIF('Holdings'!$A$4:$A$2503,A747))</f>
        <v/>
      </c>
      <c r="G747" s="30">
        <f>IF(A747="","",COUNTIF('Access'!$B$4:$B$1503,A747))</f>
        <v/>
      </c>
      <c r="H747" s="30">
        <f>IF(A747="","",IF(COUNTIF($A$4:$A$1003,A747)&gt;1,"Duplicate holder ID",IF(OR(B747="",C747=""),"Missing required field",IF(F747=0,"No holdings",IF(AND(G747=0,A747&lt;&gt;"LKB-GROUP"),"No login (ok if not invited)","OK")))))</f>
        <v/>
      </c>
    </row>
    <row r="748">
      <c r="A748" s="26" t="n"/>
      <c r="B748" s="26" t="n"/>
      <c r="C748" s="26" t="n"/>
      <c r="D748" s="26" t="n"/>
      <c r="E748" s="26" t="n"/>
      <c r="F748" s="30">
        <f>IF(A748="","",COUNTIF('Holdings'!$A$4:$A$2503,A748))</f>
        <v/>
      </c>
      <c r="G748" s="30">
        <f>IF(A748="","",COUNTIF('Access'!$B$4:$B$1503,A748))</f>
        <v/>
      </c>
      <c r="H748" s="30">
        <f>IF(A748="","",IF(COUNTIF($A$4:$A$1003,A748)&gt;1,"Duplicate holder ID",IF(OR(B748="",C748=""),"Missing required field",IF(F748=0,"No holdings",IF(AND(G748=0,A748&lt;&gt;"LKB-GROUP"),"No login (ok if not invited)","OK")))))</f>
        <v/>
      </c>
    </row>
    <row r="749">
      <c r="A749" s="26" t="n"/>
      <c r="B749" s="26" t="n"/>
      <c r="C749" s="26" t="n"/>
      <c r="D749" s="26" t="n"/>
      <c r="E749" s="26" t="n"/>
      <c r="F749" s="30">
        <f>IF(A749="","",COUNTIF('Holdings'!$A$4:$A$2503,A749))</f>
        <v/>
      </c>
      <c r="G749" s="30">
        <f>IF(A749="","",COUNTIF('Access'!$B$4:$B$1503,A749))</f>
        <v/>
      </c>
      <c r="H749" s="30">
        <f>IF(A749="","",IF(COUNTIF($A$4:$A$1003,A749)&gt;1,"Duplicate holder ID",IF(OR(B749="",C749=""),"Missing required field",IF(F749=0,"No holdings",IF(AND(G749=0,A749&lt;&gt;"LKB-GROUP"),"No login (ok if not invited)","OK")))))</f>
        <v/>
      </c>
    </row>
    <row r="750">
      <c r="A750" s="26" t="n"/>
      <c r="B750" s="26" t="n"/>
      <c r="C750" s="26" t="n"/>
      <c r="D750" s="26" t="n"/>
      <c r="E750" s="26" t="n"/>
      <c r="F750" s="30">
        <f>IF(A750="","",COUNTIF('Holdings'!$A$4:$A$2503,A750))</f>
        <v/>
      </c>
      <c r="G750" s="30">
        <f>IF(A750="","",COUNTIF('Access'!$B$4:$B$1503,A750))</f>
        <v/>
      </c>
      <c r="H750" s="30">
        <f>IF(A750="","",IF(COUNTIF($A$4:$A$1003,A750)&gt;1,"Duplicate holder ID",IF(OR(B750="",C750=""),"Missing required field",IF(F750=0,"No holdings",IF(AND(G750=0,A750&lt;&gt;"LKB-GROUP"),"No login (ok if not invited)","OK")))))</f>
        <v/>
      </c>
    </row>
    <row r="751">
      <c r="A751" s="26" t="n"/>
      <c r="B751" s="26" t="n"/>
      <c r="C751" s="26" t="n"/>
      <c r="D751" s="26" t="n"/>
      <c r="E751" s="26" t="n"/>
      <c r="F751" s="30">
        <f>IF(A751="","",COUNTIF('Holdings'!$A$4:$A$2503,A751))</f>
        <v/>
      </c>
      <c r="G751" s="30">
        <f>IF(A751="","",COUNTIF('Access'!$B$4:$B$1503,A751))</f>
        <v/>
      </c>
      <c r="H751" s="30">
        <f>IF(A751="","",IF(COUNTIF($A$4:$A$1003,A751)&gt;1,"Duplicate holder ID",IF(OR(B751="",C751=""),"Missing required field",IF(F751=0,"No holdings",IF(AND(G751=0,A751&lt;&gt;"LKB-GROUP"),"No login (ok if not invited)","OK")))))</f>
        <v/>
      </c>
    </row>
    <row r="752">
      <c r="A752" s="26" t="n"/>
      <c r="B752" s="26" t="n"/>
      <c r="C752" s="26" t="n"/>
      <c r="D752" s="26" t="n"/>
      <c r="E752" s="26" t="n"/>
      <c r="F752" s="30">
        <f>IF(A752="","",COUNTIF('Holdings'!$A$4:$A$2503,A752))</f>
        <v/>
      </c>
      <c r="G752" s="30">
        <f>IF(A752="","",COUNTIF('Access'!$B$4:$B$1503,A752))</f>
        <v/>
      </c>
      <c r="H752" s="30">
        <f>IF(A752="","",IF(COUNTIF($A$4:$A$1003,A752)&gt;1,"Duplicate holder ID",IF(OR(B752="",C752=""),"Missing required field",IF(F752=0,"No holdings",IF(AND(G752=0,A752&lt;&gt;"LKB-GROUP"),"No login (ok if not invited)","OK")))))</f>
        <v/>
      </c>
    </row>
    <row r="753">
      <c r="A753" s="26" t="n"/>
      <c r="B753" s="26" t="n"/>
      <c r="C753" s="26" t="n"/>
      <c r="D753" s="26" t="n"/>
      <c r="E753" s="26" t="n"/>
      <c r="F753" s="30">
        <f>IF(A753="","",COUNTIF('Holdings'!$A$4:$A$2503,A753))</f>
        <v/>
      </c>
      <c r="G753" s="30">
        <f>IF(A753="","",COUNTIF('Access'!$B$4:$B$1503,A753))</f>
        <v/>
      </c>
      <c r="H753" s="30">
        <f>IF(A753="","",IF(COUNTIF($A$4:$A$1003,A753)&gt;1,"Duplicate holder ID",IF(OR(B753="",C753=""),"Missing required field",IF(F753=0,"No holdings",IF(AND(G753=0,A753&lt;&gt;"LKB-GROUP"),"No login (ok if not invited)","OK")))))</f>
        <v/>
      </c>
    </row>
    <row r="754">
      <c r="A754" s="26" t="n"/>
      <c r="B754" s="26" t="n"/>
      <c r="C754" s="26" t="n"/>
      <c r="D754" s="26" t="n"/>
      <c r="E754" s="26" t="n"/>
      <c r="F754" s="30">
        <f>IF(A754="","",COUNTIF('Holdings'!$A$4:$A$2503,A754))</f>
        <v/>
      </c>
      <c r="G754" s="30">
        <f>IF(A754="","",COUNTIF('Access'!$B$4:$B$1503,A754))</f>
        <v/>
      </c>
      <c r="H754" s="30">
        <f>IF(A754="","",IF(COUNTIF($A$4:$A$1003,A754)&gt;1,"Duplicate holder ID",IF(OR(B754="",C754=""),"Missing required field",IF(F754=0,"No holdings",IF(AND(G754=0,A754&lt;&gt;"LKB-GROUP"),"No login (ok if not invited)","OK")))))</f>
        <v/>
      </c>
    </row>
    <row r="755">
      <c r="A755" s="26" t="n"/>
      <c r="B755" s="26" t="n"/>
      <c r="C755" s="26" t="n"/>
      <c r="D755" s="26" t="n"/>
      <c r="E755" s="26" t="n"/>
      <c r="F755" s="30">
        <f>IF(A755="","",COUNTIF('Holdings'!$A$4:$A$2503,A755))</f>
        <v/>
      </c>
      <c r="G755" s="30">
        <f>IF(A755="","",COUNTIF('Access'!$B$4:$B$1503,A755))</f>
        <v/>
      </c>
      <c r="H755" s="30">
        <f>IF(A755="","",IF(COUNTIF($A$4:$A$1003,A755)&gt;1,"Duplicate holder ID",IF(OR(B755="",C755=""),"Missing required field",IF(F755=0,"No holdings",IF(AND(G755=0,A755&lt;&gt;"LKB-GROUP"),"No login (ok if not invited)","OK")))))</f>
        <v/>
      </c>
    </row>
    <row r="756">
      <c r="A756" s="26" t="n"/>
      <c r="B756" s="26" t="n"/>
      <c r="C756" s="26" t="n"/>
      <c r="D756" s="26" t="n"/>
      <c r="E756" s="26" t="n"/>
      <c r="F756" s="30">
        <f>IF(A756="","",COUNTIF('Holdings'!$A$4:$A$2503,A756))</f>
        <v/>
      </c>
      <c r="G756" s="30">
        <f>IF(A756="","",COUNTIF('Access'!$B$4:$B$1503,A756))</f>
        <v/>
      </c>
      <c r="H756" s="30">
        <f>IF(A756="","",IF(COUNTIF($A$4:$A$1003,A756)&gt;1,"Duplicate holder ID",IF(OR(B756="",C756=""),"Missing required field",IF(F756=0,"No holdings",IF(AND(G756=0,A756&lt;&gt;"LKB-GROUP"),"No login (ok if not invited)","OK")))))</f>
        <v/>
      </c>
    </row>
    <row r="757">
      <c r="A757" s="26" t="n"/>
      <c r="B757" s="26" t="n"/>
      <c r="C757" s="26" t="n"/>
      <c r="D757" s="26" t="n"/>
      <c r="E757" s="26" t="n"/>
      <c r="F757" s="30">
        <f>IF(A757="","",COUNTIF('Holdings'!$A$4:$A$2503,A757))</f>
        <v/>
      </c>
      <c r="G757" s="30">
        <f>IF(A757="","",COUNTIF('Access'!$B$4:$B$1503,A757))</f>
        <v/>
      </c>
      <c r="H757" s="30">
        <f>IF(A757="","",IF(COUNTIF($A$4:$A$1003,A757)&gt;1,"Duplicate holder ID",IF(OR(B757="",C757=""),"Missing required field",IF(F757=0,"No holdings",IF(AND(G757=0,A757&lt;&gt;"LKB-GROUP"),"No login (ok if not invited)","OK")))))</f>
        <v/>
      </c>
    </row>
    <row r="758">
      <c r="A758" s="26" t="n"/>
      <c r="B758" s="26" t="n"/>
      <c r="C758" s="26" t="n"/>
      <c r="D758" s="26" t="n"/>
      <c r="E758" s="26" t="n"/>
      <c r="F758" s="30">
        <f>IF(A758="","",COUNTIF('Holdings'!$A$4:$A$2503,A758))</f>
        <v/>
      </c>
      <c r="G758" s="30">
        <f>IF(A758="","",COUNTIF('Access'!$B$4:$B$1503,A758))</f>
        <v/>
      </c>
      <c r="H758" s="30">
        <f>IF(A758="","",IF(COUNTIF($A$4:$A$1003,A758)&gt;1,"Duplicate holder ID",IF(OR(B758="",C758=""),"Missing required field",IF(F758=0,"No holdings",IF(AND(G758=0,A758&lt;&gt;"LKB-GROUP"),"No login (ok if not invited)","OK")))))</f>
        <v/>
      </c>
    </row>
    <row r="759">
      <c r="A759" s="26" t="n"/>
      <c r="B759" s="26" t="n"/>
      <c r="C759" s="26" t="n"/>
      <c r="D759" s="26" t="n"/>
      <c r="E759" s="26" t="n"/>
      <c r="F759" s="30">
        <f>IF(A759="","",COUNTIF('Holdings'!$A$4:$A$2503,A759))</f>
        <v/>
      </c>
      <c r="G759" s="30">
        <f>IF(A759="","",COUNTIF('Access'!$B$4:$B$1503,A759))</f>
        <v/>
      </c>
      <c r="H759" s="30">
        <f>IF(A759="","",IF(COUNTIF($A$4:$A$1003,A759)&gt;1,"Duplicate holder ID",IF(OR(B759="",C759=""),"Missing required field",IF(F759=0,"No holdings",IF(AND(G759=0,A759&lt;&gt;"LKB-GROUP"),"No login (ok if not invited)","OK")))))</f>
        <v/>
      </c>
    </row>
    <row r="760">
      <c r="A760" s="26" t="n"/>
      <c r="B760" s="26" t="n"/>
      <c r="C760" s="26" t="n"/>
      <c r="D760" s="26" t="n"/>
      <c r="E760" s="26" t="n"/>
      <c r="F760" s="30">
        <f>IF(A760="","",COUNTIF('Holdings'!$A$4:$A$2503,A760))</f>
        <v/>
      </c>
      <c r="G760" s="30">
        <f>IF(A760="","",COUNTIF('Access'!$B$4:$B$1503,A760))</f>
        <v/>
      </c>
      <c r="H760" s="30">
        <f>IF(A760="","",IF(COUNTIF($A$4:$A$1003,A760)&gt;1,"Duplicate holder ID",IF(OR(B760="",C760=""),"Missing required field",IF(F760=0,"No holdings",IF(AND(G760=0,A760&lt;&gt;"LKB-GROUP"),"No login (ok if not invited)","OK")))))</f>
        <v/>
      </c>
    </row>
    <row r="761">
      <c r="A761" s="26" t="n"/>
      <c r="B761" s="26" t="n"/>
      <c r="C761" s="26" t="n"/>
      <c r="D761" s="26" t="n"/>
      <c r="E761" s="26" t="n"/>
      <c r="F761" s="30">
        <f>IF(A761="","",COUNTIF('Holdings'!$A$4:$A$2503,A761))</f>
        <v/>
      </c>
      <c r="G761" s="30">
        <f>IF(A761="","",COUNTIF('Access'!$B$4:$B$1503,A761))</f>
        <v/>
      </c>
      <c r="H761" s="30">
        <f>IF(A761="","",IF(COUNTIF($A$4:$A$1003,A761)&gt;1,"Duplicate holder ID",IF(OR(B761="",C761=""),"Missing required field",IF(F761=0,"No holdings",IF(AND(G761=0,A761&lt;&gt;"LKB-GROUP"),"No login (ok if not invited)","OK")))))</f>
        <v/>
      </c>
    </row>
    <row r="762">
      <c r="A762" s="26" t="n"/>
      <c r="B762" s="26" t="n"/>
      <c r="C762" s="26" t="n"/>
      <c r="D762" s="26" t="n"/>
      <c r="E762" s="26" t="n"/>
      <c r="F762" s="30">
        <f>IF(A762="","",COUNTIF('Holdings'!$A$4:$A$2503,A762))</f>
        <v/>
      </c>
      <c r="G762" s="30">
        <f>IF(A762="","",COUNTIF('Access'!$B$4:$B$1503,A762))</f>
        <v/>
      </c>
      <c r="H762" s="30">
        <f>IF(A762="","",IF(COUNTIF($A$4:$A$1003,A762)&gt;1,"Duplicate holder ID",IF(OR(B762="",C762=""),"Missing required field",IF(F762=0,"No holdings",IF(AND(G762=0,A762&lt;&gt;"LKB-GROUP"),"No login (ok if not invited)","OK")))))</f>
        <v/>
      </c>
    </row>
    <row r="763">
      <c r="A763" s="26" t="n"/>
      <c r="B763" s="26" t="n"/>
      <c r="C763" s="26" t="n"/>
      <c r="D763" s="26" t="n"/>
      <c r="E763" s="26" t="n"/>
      <c r="F763" s="30">
        <f>IF(A763="","",COUNTIF('Holdings'!$A$4:$A$2503,A763))</f>
        <v/>
      </c>
      <c r="G763" s="30">
        <f>IF(A763="","",COUNTIF('Access'!$B$4:$B$1503,A763))</f>
        <v/>
      </c>
      <c r="H763" s="30">
        <f>IF(A763="","",IF(COUNTIF($A$4:$A$1003,A763)&gt;1,"Duplicate holder ID",IF(OR(B763="",C763=""),"Missing required field",IF(F763=0,"No holdings",IF(AND(G763=0,A763&lt;&gt;"LKB-GROUP"),"No login (ok if not invited)","OK")))))</f>
        <v/>
      </c>
    </row>
    <row r="764">
      <c r="A764" s="26" t="n"/>
      <c r="B764" s="26" t="n"/>
      <c r="C764" s="26" t="n"/>
      <c r="D764" s="26" t="n"/>
      <c r="E764" s="26" t="n"/>
      <c r="F764" s="30">
        <f>IF(A764="","",COUNTIF('Holdings'!$A$4:$A$2503,A764))</f>
        <v/>
      </c>
      <c r="G764" s="30">
        <f>IF(A764="","",COUNTIF('Access'!$B$4:$B$1503,A764))</f>
        <v/>
      </c>
      <c r="H764" s="30">
        <f>IF(A764="","",IF(COUNTIF($A$4:$A$1003,A764)&gt;1,"Duplicate holder ID",IF(OR(B764="",C764=""),"Missing required field",IF(F764=0,"No holdings",IF(AND(G764=0,A764&lt;&gt;"LKB-GROUP"),"No login (ok if not invited)","OK")))))</f>
        <v/>
      </c>
    </row>
    <row r="765">
      <c r="A765" s="26" t="n"/>
      <c r="B765" s="26" t="n"/>
      <c r="C765" s="26" t="n"/>
      <c r="D765" s="26" t="n"/>
      <c r="E765" s="26" t="n"/>
      <c r="F765" s="30">
        <f>IF(A765="","",COUNTIF('Holdings'!$A$4:$A$2503,A765))</f>
        <v/>
      </c>
      <c r="G765" s="30">
        <f>IF(A765="","",COUNTIF('Access'!$B$4:$B$1503,A765))</f>
        <v/>
      </c>
      <c r="H765" s="30">
        <f>IF(A765="","",IF(COUNTIF($A$4:$A$1003,A765)&gt;1,"Duplicate holder ID",IF(OR(B765="",C765=""),"Missing required field",IF(F765=0,"No holdings",IF(AND(G765=0,A765&lt;&gt;"LKB-GROUP"),"No login (ok if not invited)","OK")))))</f>
        <v/>
      </c>
    </row>
    <row r="766">
      <c r="A766" s="26" t="n"/>
      <c r="B766" s="26" t="n"/>
      <c r="C766" s="26" t="n"/>
      <c r="D766" s="26" t="n"/>
      <c r="E766" s="26" t="n"/>
      <c r="F766" s="30">
        <f>IF(A766="","",COUNTIF('Holdings'!$A$4:$A$2503,A766))</f>
        <v/>
      </c>
      <c r="G766" s="30">
        <f>IF(A766="","",COUNTIF('Access'!$B$4:$B$1503,A766))</f>
        <v/>
      </c>
      <c r="H766" s="30">
        <f>IF(A766="","",IF(COUNTIF($A$4:$A$1003,A766)&gt;1,"Duplicate holder ID",IF(OR(B766="",C766=""),"Missing required field",IF(F766=0,"No holdings",IF(AND(G766=0,A766&lt;&gt;"LKB-GROUP"),"No login (ok if not invited)","OK")))))</f>
        <v/>
      </c>
    </row>
    <row r="767">
      <c r="A767" s="26" t="n"/>
      <c r="B767" s="26" t="n"/>
      <c r="C767" s="26" t="n"/>
      <c r="D767" s="26" t="n"/>
      <c r="E767" s="26" t="n"/>
      <c r="F767" s="30">
        <f>IF(A767="","",COUNTIF('Holdings'!$A$4:$A$2503,A767))</f>
        <v/>
      </c>
      <c r="G767" s="30">
        <f>IF(A767="","",COUNTIF('Access'!$B$4:$B$1503,A767))</f>
        <v/>
      </c>
      <c r="H767" s="30">
        <f>IF(A767="","",IF(COUNTIF($A$4:$A$1003,A767)&gt;1,"Duplicate holder ID",IF(OR(B767="",C767=""),"Missing required field",IF(F767=0,"No holdings",IF(AND(G767=0,A767&lt;&gt;"LKB-GROUP"),"No login (ok if not invited)","OK")))))</f>
        <v/>
      </c>
    </row>
    <row r="768">
      <c r="A768" s="26" t="n"/>
      <c r="B768" s="26" t="n"/>
      <c r="C768" s="26" t="n"/>
      <c r="D768" s="26" t="n"/>
      <c r="E768" s="26" t="n"/>
      <c r="F768" s="30">
        <f>IF(A768="","",COUNTIF('Holdings'!$A$4:$A$2503,A768))</f>
        <v/>
      </c>
      <c r="G768" s="30">
        <f>IF(A768="","",COUNTIF('Access'!$B$4:$B$1503,A768))</f>
        <v/>
      </c>
      <c r="H768" s="30">
        <f>IF(A768="","",IF(COUNTIF($A$4:$A$1003,A768)&gt;1,"Duplicate holder ID",IF(OR(B768="",C768=""),"Missing required field",IF(F768=0,"No holdings",IF(AND(G768=0,A768&lt;&gt;"LKB-GROUP"),"No login (ok if not invited)","OK")))))</f>
        <v/>
      </c>
    </row>
    <row r="769">
      <c r="A769" s="26" t="n"/>
      <c r="B769" s="26" t="n"/>
      <c r="C769" s="26" t="n"/>
      <c r="D769" s="26" t="n"/>
      <c r="E769" s="26" t="n"/>
      <c r="F769" s="30">
        <f>IF(A769="","",COUNTIF('Holdings'!$A$4:$A$2503,A769))</f>
        <v/>
      </c>
      <c r="G769" s="30">
        <f>IF(A769="","",COUNTIF('Access'!$B$4:$B$1503,A769))</f>
        <v/>
      </c>
      <c r="H769" s="30">
        <f>IF(A769="","",IF(COUNTIF($A$4:$A$1003,A769)&gt;1,"Duplicate holder ID",IF(OR(B769="",C769=""),"Missing required field",IF(F769=0,"No holdings",IF(AND(G769=0,A769&lt;&gt;"LKB-GROUP"),"No login (ok if not invited)","OK")))))</f>
        <v/>
      </c>
    </row>
    <row r="770">
      <c r="A770" s="26" t="n"/>
      <c r="B770" s="26" t="n"/>
      <c r="C770" s="26" t="n"/>
      <c r="D770" s="26" t="n"/>
      <c r="E770" s="26" t="n"/>
      <c r="F770" s="30">
        <f>IF(A770="","",COUNTIF('Holdings'!$A$4:$A$2503,A770))</f>
        <v/>
      </c>
      <c r="G770" s="30">
        <f>IF(A770="","",COUNTIF('Access'!$B$4:$B$1503,A770))</f>
        <v/>
      </c>
      <c r="H770" s="30">
        <f>IF(A770="","",IF(COUNTIF($A$4:$A$1003,A770)&gt;1,"Duplicate holder ID",IF(OR(B770="",C770=""),"Missing required field",IF(F770=0,"No holdings",IF(AND(G770=0,A770&lt;&gt;"LKB-GROUP"),"No login (ok if not invited)","OK")))))</f>
        <v/>
      </c>
    </row>
    <row r="771">
      <c r="A771" s="26" t="n"/>
      <c r="B771" s="26" t="n"/>
      <c r="C771" s="26" t="n"/>
      <c r="D771" s="26" t="n"/>
      <c r="E771" s="26" t="n"/>
      <c r="F771" s="30">
        <f>IF(A771="","",COUNTIF('Holdings'!$A$4:$A$2503,A771))</f>
        <v/>
      </c>
      <c r="G771" s="30">
        <f>IF(A771="","",COUNTIF('Access'!$B$4:$B$1503,A771))</f>
        <v/>
      </c>
      <c r="H771" s="30">
        <f>IF(A771="","",IF(COUNTIF($A$4:$A$1003,A771)&gt;1,"Duplicate holder ID",IF(OR(B771="",C771=""),"Missing required field",IF(F771=0,"No holdings",IF(AND(G771=0,A771&lt;&gt;"LKB-GROUP"),"No login (ok if not invited)","OK")))))</f>
        <v/>
      </c>
    </row>
    <row r="772">
      <c r="A772" s="26" t="n"/>
      <c r="B772" s="26" t="n"/>
      <c r="C772" s="26" t="n"/>
      <c r="D772" s="26" t="n"/>
      <c r="E772" s="26" t="n"/>
      <c r="F772" s="30">
        <f>IF(A772="","",COUNTIF('Holdings'!$A$4:$A$2503,A772))</f>
        <v/>
      </c>
      <c r="G772" s="30">
        <f>IF(A772="","",COUNTIF('Access'!$B$4:$B$1503,A772))</f>
        <v/>
      </c>
      <c r="H772" s="30">
        <f>IF(A772="","",IF(COUNTIF($A$4:$A$1003,A772)&gt;1,"Duplicate holder ID",IF(OR(B772="",C772=""),"Missing required field",IF(F772=0,"No holdings",IF(AND(G772=0,A772&lt;&gt;"LKB-GROUP"),"No login (ok if not invited)","OK")))))</f>
        <v/>
      </c>
    </row>
    <row r="773">
      <c r="A773" s="26" t="n"/>
      <c r="B773" s="26" t="n"/>
      <c r="C773" s="26" t="n"/>
      <c r="D773" s="26" t="n"/>
      <c r="E773" s="26" t="n"/>
      <c r="F773" s="30">
        <f>IF(A773="","",COUNTIF('Holdings'!$A$4:$A$2503,A773))</f>
        <v/>
      </c>
      <c r="G773" s="30">
        <f>IF(A773="","",COUNTIF('Access'!$B$4:$B$1503,A773))</f>
        <v/>
      </c>
      <c r="H773" s="30">
        <f>IF(A773="","",IF(COUNTIF($A$4:$A$1003,A773)&gt;1,"Duplicate holder ID",IF(OR(B773="",C773=""),"Missing required field",IF(F773=0,"No holdings",IF(AND(G773=0,A773&lt;&gt;"LKB-GROUP"),"No login (ok if not invited)","OK")))))</f>
        <v/>
      </c>
    </row>
    <row r="774">
      <c r="A774" s="26" t="n"/>
      <c r="B774" s="26" t="n"/>
      <c r="C774" s="26" t="n"/>
      <c r="D774" s="26" t="n"/>
      <c r="E774" s="26" t="n"/>
      <c r="F774" s="30">
        <f>IF(A774="","",COUNTIF('Holdings'!$A$4:$A$2503,A774))</f>
        <v/>
      </c>
      <c r="G774" s="30">
        <f>IF(A774="","",COUNTIF('Access'!$B$4:$B$1503,A774))</f>
        <v/>
      </c>
      <c r="H774" s="30">
        <f>IF(A774="","",IF(COUNTIF($A$4:$A$1003,A774)&gt;1,"Duplicate holder ID",IF(OR(B774="",C774=""),"Missing required field",IF(F774=0,"No holdings",IF(AND(G774=0,A774&lt;&gt;"LKB-GROUP"),"No login (ok if not invited)","OK")))))</f>
        <v/>
      </c>
    </row>
    <row r="775">
      <c r="A775" s="26" t="n"/>
      <c r="B775" s="26" t="n"/>
      <c r="C775" s="26" t="n"/>
      <c r="D775" s="26" t="n"/>
      <c r="E775" s="26" t="n"/>
      <c r="F775" s="30">
        <f>IF(A775="","",COUNTIF('Holdings'!$A$4:$A$2503,A775))</f>
        <v/>
      </c>
      <c r="G775" s="30">
        <f>IF(A775="","",COUNTIF('Access'!$B$4:$B$1503,A775))</f>
        <v/>
      </c>
      <c r="H775" s="30">
        <f>IF(A775="","",IF(COUNTIF($A$4:$A$1003,A775)&gt;1,"Duplicate holder ID",IF(OR(B775="",C775=""),"Missing required field",IF(F775=0,"No holdings",IF(AND(G775=0,A775&lt;&gt;"LKB-GROUP"),"No login (ok if not invited)","OK")))))</f>
        <v/>
      </c>
    </row>
    <row r="776">
      <c r="A776" s="26" t="n"/>
      <c r="B776" s="26" t="n"/>
      <c r="C776" s="26" t="n"/>
      <c r="D776" s="26" t="n"/>
      <c r="E776" s="26" t="n"/>
      <c r="F776" s="30">
        <f>IF(A776="","",COUNTIF('Holdings'!$A$4:$A$2503,A776))</f>
        <v/>
      </c>
      <c r="G776" s="30">
        <f>IF(A776="","",COUNTIF('Access'!$B$4:$B$1503,A776))</f>
        <v/>
      </c>
      <c r="H776" s="30">
        <f>IF(A776="","",IF(COUNTIF($A$4:$A$1003,A776)&gt;1,"Duplicate holder ID",IF(OR(B776="",C776=""),"Missing required field",IF(F776=0,"No holdings",IF(AND(G776=0,A776&lt;&gt;"LKB-GROUP"),"No login (ok if not invited)","OK")))))</f>
        <v/>
      </c>
    </row>
    <row r="777">
      <c r="A777" s="26" t="n"/>
      <c r="B777" s="26" t="n"/>
      <c r="C777" s="26" t="n"/>
      <c r="D777" s="26" t="n"/>
      <c r="E777" s="26" t="n"/>
      <c r="F777" s="30">
        <f>IF(A777="","",COUNTIF('Holdings'!$A$4:$A$2503,A777))</f>
        <v/>
      </c>
      <c r="G777" s="30">
        <f>IF(A777="","",COUNTIF('Access'!$B$4:$B$1503,A777))</f>
        <v/>
      </c>
      <c r="H777" s="30">
        <f>IF(A777="","",IF(COUNTIF($A$4:$A$1003,A777)&gt;1,"Duplicate holder ID",IF(OR(B777="",C777=""),"Missing required field",IF(F777=0,"No holdings",IF(AND(G777=0,A777&lt;&gt;"LKB-GROUP"),"No login (ok if not invited)","OK")))))</f>
        <v/>
      </c>
    </row>
    <row r="778">
      <c r="A778" s="26" t="n"/>
      <c r="B778" s="26" t="n"/>
      <c r="C778" s="26" t="n"/>
      <c r="D778" s="26" t="n"/>
      <c r="E778" s="26" t="n"/>
      <c r="F778" s="30">
        <f>IF(A778="","",COUNTIF('Holdings'!$A$4:$A$2503,A778))</f>
        <v/>
      </c>
      <c r="G778" s="30">
        <f>IF(A778="","",COUNTIF('Access'!$B$4:$B$1503,A778))</f>
        <v/>
      </c>
      <c r="H778" s="30">
        <f>IF(A778="","",IF(COUNTIF($A$4:$A$1003,A778)&gt;1,"Duplicate holder ID",IF(OR(B778="",C778=""),"Missing required field",IF(F778=0,"No holdings",IF(AND(G778=0,A778&lt;&gt;"LKB-GROUP"),"No login (ok if not invited)","OK")))))</f>
        <v/>
      </c>
    </row>
    <row r="779">
      <c r="A779" s="26" t="n"/>
      <c r="B779" s="26" t="n"/>
      <c r="C779" s="26" t="n"/>
      <c r="D779" s="26" t="n"/>
      <c r="E779" s="26" t="n"/>
      <c r="F779" s="30">
        <f>IF(A779="","",COUNTIF('Holdings'!$A$4:$A$2503,A779))</f>
        <v/>
      </c>
      <c r="G779" s="30">
        <f>IF(A779="","",COUNTIF('Access'!$B$4:$B$1503,A779))</f>
        <v/>
      </c>
      <c r="H779" s="30">
        <f>IF(A779="","",IF(COUNTIF($A$4:$A$1003,A779)&gt;1,"Duplicate holder ID",IF(OR(B779="",C779=""),"Missing required field",IF(F779=0,"No holdings",IF(AND(G779=0,A779&lt;&gt;"LKB-GROUP"),"No login (ok if not invited)","OK")))))</f>
        <v/>
      </c>
    </row>
    <row r="780">
      <c r="A780" s="26" t="n"/>
      <c r="B780" s="26" t="n"/>
      <c r="C780" s="26" t="n"/>
      <c r="D780" s="26" t="n"/>
      <c r="E780" s="26" t="n"/>
      <c r="F780" s="30">
        <f>IF(A780="","",COUNTIF('Holdings'!$A$4:$A$2503,A780))</f>
        <v/>
      </c>
      <c r="G780" s="30">
        <f>IF(A780="","",COUNTIF('Access'!$B$4:$B$1503,A780))</f>
        <v/>
      </c>
      <c r="H780" s="30">
        <f>IF(A780="","",IF(COUNTIF($A$4:$A$1003,A780)&gt;1,"Duplicate holder ID",IF(OR(B780="",C780=""),"Missing required field",IF(F780=0,"No holdings",IF(AND(G780=0,A780&lt;&gt;"LKB-GROUP"),"No login (ok if not invited)","OK")))))</f>
        <v/>
      </c>
    </row>
    <row r="781">
      <c r="A781" s="26" t="n"/>
      <c r="B781" s="26" t="n"/>
      <c r="C781" s="26" t="n"/>
      <c r="D781" s="26" t="n"/>
      <c r="E781" s="26" t="n"/>
      <c r="F781" s="30">
        <f>IF(A781="","",COUNTIF('Holdings'!$A$4:$A$2503,A781))</f>
        <v/>
      </c>
      <c r="G781" s="30">
        <f>IF(A781="","",COUNTIF('Access'!$B$4:$B$1503,A781))</f>
        <v/>
      </c>
      <c r="H781" s="30">
        <f>IF(A781="","",IF(COUNTIF($A$4:$A$1003,A781)&gt;1,"Duplicate holder ID",IF(OR(B781="",C781=""),"Missing required field",IF(F781=0,"No holdings",IF(AND(G781=0,A781&lt;&gt;"LKB-GROUP"),"No login (ok if not invited)","OK")))))</f>
        <v/>
      </c>
    </row>
    <row r="782">
      <c r="A782" s="26" t="n"/>
      <c r="B782" s="26" t="n"/>
      <c r="C782" s="26" t="n"/>
      <c r="D782" s="26" t="n"/>
      <c r="E782" s="26" t="n"/>
      <c r="F782" s="30">
        <f>IF(A782="","",COUNTIF('Holdings'!$A$4:$A$2503,A782))</f>
        <v/>
      </c>
      <c r="G782" s="30">
        <f>IF(A782="","",COUNTIF('Access'!$B$4:$B$1503,A782))</f>
        <v/>
      </c>
      <c r="H782" s="30">
        <f>IF(A782="","",IF(COUNTIF($A$4:$A$1003,A782)&gt;1,"Duplicate holder ID",IF(OR(B782="",C782=""),"Missing required field",IF(F782=0,"No holdings",IF(AND(G782=0,A782&lt;&gt;"LKB-GROUP"),"No login (ok if not invited)","OK")))))</f>
        <v/>
      </c>
    </row>
    <row r="783">
      <c r="A783" s="26" t="n"/>
      <c r="B783" s="26" t="n"/>
      <c r="C783" s="26" t="n"/>
      <c r="D783" s="26" t="n"/>
      <c r="E783" s="26" t="n"/>
      <c r="F783" s="30">
        <f>IF(A783="","",COUNTIF('Holdings'!$A$4:$A$2503,A783))</f>
        <v/>
      </c>
      <c r="G783" s="30">
        <f>IF(A783="","",COUNTIF('Access'!$B$4:$B$1503,A783))</f>
        <v/>
      </c>
      <c r="H783" s="30">
        <f>IF(A783="","",IF(COUNTIF($A$4:$A$1003,A783)&gt;1,"Duplicate holder ID",IF(OR(B783="",C783=""),"Missing required field",IF(F783=0,"No holdings",IF(AND(G783=0,A783&lt;&gt;"LKB-GROUP"),"No login (ok if not invited)","OK")))))</f>
        <v/>
      </c>
    </row>
    <row r="784">
      <c r="A784" s="26" t="n"/>
      <c r="B784" s="26" t="n"/>
      <c r="C784" s="26" t="n"/>
      <c r="D784" s="26" t="n"/>
      <c r="E784" s="26" t="n"/>
      <c r="F784" s="30">
        <f>IF(A784="","",COUNTIF('Holdings'!$A$4:$A$2503,A784))</f>
        <v/>
      </c>
      <c r="G784" s="30">
        <f>IF(A784="","",COUNTIF('Access'!$B$4:$B$1503,A784))</f>
        <v/>
      </c>
      <c r="H784" s="30">
        <f>IF(A784="","",IF(COUNTIF($A$4:$A$1003,A784)&gt;1,"Duplicate holder ID",IF(OR(B784="",C784=""),"Missing required field",IF(F784=0,"No holdings",IF(AND(G784=0,A784&lt;&gt;"LKB-GROUP"),"No login (ok if not invited)","OK")))))</f>
        <v/>
      </c>
    </row>
    <row r="785">
      <c r="A785" s="26" t="n"/>
      <c r="B785" s="26" t="n"/>
      <c r="C785" s="26" t="n"/>
      <c r="D785" s="26" t="n"/>
      <c r="E785" s="26" t="n"/>
      <c r="F785" s="30">
        <f>IF(A785="","",COUNTIF('Holdings'!$A$4:$A$2503,A785))</f>
        <v/>
      </c>
      <c r="G785" s="30">
        <f>IF(A785="","",COUNTIF('Access'!$B$4:$B$1503,A785))</f>
        <v/>
      </c>
      <c r="H785" s="30">
        <f>IF(A785="","",IF(COUNTIF($A$4:$A$1003,A785)&gt;1,"Duplicate holder ID",IF(OR(B785="",C785=""),"Missing required field",IF(F785=0,"No holdings",IF(AND(G785=0,A785&lt;&gt;"LKB-GROUP"),"No login (ok if not invited)","OK")))))</f>
        <v/>
      </c>
    </row>
    <row r="786">
      <c r="A786" s="26" t="n"/>
      <c r="B786" s="26" t="n"/>
      <c r="C786" s="26" t="n"/>
      <c r="D786" s="26" t="n"/>
      <c r="E786" s="26" t="n"/>
      <c r="F786" s="30">
        <f>IF(A786="","",COUNTIF('Holdings'!$A$4:$A$2503,A786))</f>
        <v/>
      </c>
      <c r="G786" s="30">
        <f>IF(A786="","",COUNTIF('Access'!$B$4:$B$1503,A786))</f>
        <v/>
      </c>
      <c r="H786" s="30">
        <f>IF(A786="","",IF(COUNTIF($A$4:$A$1003,A786)&gt;1,"Duplicate holder ID",IF(OR(B786="",C786=""),"Missing required field",IF(F786=0,"No holdings",IF(AND(G786=0,A786&lt;&gt;"LKB-GROUP"),"No login (ok if not invited)","OK")))))</f>
        <v/>
      </c>
    </row>
    <row r="787">
      <c r="A787" s="26" t="n"/>
      <c r="B787" s="26" t="n"/>
      <c r="C787" s="26" t="n"/>
      <c r="D787" s="26" t="n"/>
      <c r="E787" s="26" t="n"/>
      <c r="F787" s="30">
        <f>IF(A787="","",COUNTIF('Holdings'!$A$4:$A$2503,A787))</f>
        <v/>
      </c>
      <c r="G787" s="30">
        <f>IF(A787="","",COUNTIF('Access'!$B$4:$B$1503,A787))</f>
        <v/>
      </c>
      <c r="H787" s="30">
        <f>IF(A787="","",IF(COUNTIF($A$4:$A$1003,A787)&gt;1,"Duplicate holder ID",IF(OR(B787="",C787=""),"Missing required field",IF(F787=0,"No holdings",IF(AND(G787=0,A787&lt;&gt;"LKB-GROUP"),"No login (ok if not invited)","OK")))))</f>
        <v/>
      </c>
    </row>
    <row r="788">
      <c r="A788" s="26" t="n"/>
      <c r="B788" s="26" t="n"/>
      <c r="C788" s="26" t="n"/>
      <c r="D788" s="26" t="n"/>
      <c r="E788" s="26" t="n"/>
      <c r="F788" s="30">
        <f>IF(A788="","",COUNTIF('Holdings'!$A$4:$A$2503,A788))</f>
        <v/>
      </c>
      <c r="G788" s="30">
        <f>IF(A788="","",COUNTIF('Access'!$B$4:$B$1503,A788))</f>
        <v/>
      </c>
      <c r="H788" s="30">
        <f>IF(A788="","",IF(COUNTIF($A$4:$A$1003,A788)&gt;1,"Duplicate holder ID",IF(OR(B788="",C788=""),"Missing required field",IF(F788=0,"No holdings",IF(AND(G788=0,A788&lt;&gt;"LKB-GROUP"),"No login (ok if not invited)","OK")))))</f>
        <v/>
      </c>
    </row>
    <row r="789">
      <c r="A789" s="26" t="n"/>
      <c r="B789" s="26" t="n"/>
      <c r="C789" s="26" t="n"/>
      <c r="D789" s="26" t="n"/>
      <c r="E789" s="26" t="n"/>
      <c r="F789" s="30">
        <f>IF(A789="","",COUNTIF('Holdings'!$A$4:$A$2503,A789))</f>
        <v/>
      </c>
      <c r="G789" s="30">
        <f>IF(A789="","",COUNTIF('Access'!$B$4:$B$1503,A789))</f>
        <v/>
      </c>
      <c r="H789" s="30">
        <f>IF(A789="","",IF(COUNTIF($A$4:$A$1003,A789)&gt;1,"Duplicate holder ID",IF(OR(B789="",C789=""),"Missing required field",IF(F789=0,"No holdings",IF(AND(G789=0,A789&lt;&gt;"LKB-GROUP"),"No login (ok if not invited)","OK")))))</f>
        <v/>
      </c>
    </row>
    <row r="790">
      <c r="A790" s="26" t="n"/>
      <c r="B790" s="26" t="n"/>
      <c r="C790" s="26" t="n"/>
      <c r="D790" s="26" t="n"/>
      <c r="E790" s="26" t="n"/>
      <c r="F790" s="30">
        <f>IF(A790="","",COUNTIF('Holdings'!$A$4:$A$2503,A790))</f>
        <v/>
      </c>
      <c r="G790" s="30">
        <f>IF(A790="","",COUNTIF('Access'!$B$4:$B$1503,A790))</f>
        <v/>
      </c>
      <c r="H790" s="30">
        <f>IF(A790="","",IF(COUNTIF($A$4:$A$1003,A790)&gt;1,"Duplicate holder ID",IF(OR(B790="",C790=""),"Missing required field",IF(F790=0,"No holdings",IF(AND(G790=0,A790&lt;&gt;"LKB-GROUP"),"No login (ok if not invited)","OK")))))</f>
        <v/>
      </c>
    </row>
    <row r="791">
      <c r="A791" s="26" t="n"/>
      <c r="B791" s="26" t="n"/>
      <c r="C791" s="26" t="n"/>
      <c r="D791" s="26" t="n"/>
      <c r="E791" s="26" t="n"/>
      <c r="F791" s="30">
        <f>IF(A791="","",COUNTIF('Holdings'!$A$4:$A$2503,A791))</f>
        <v/>
      </c>
      <c r="G791" s="30">
        <f>IF(A791="","",COUNTIF('Access'!$B$4:$B$1503,A791))</f>
        <v/>
      </c>
      <c r="H791" s="30">
        <f>IF(A791="","",IF(COUNTIF($A$4:$A$1003,A791)&gt;1,"Duplicate holder ID",IF(OR(B791="",C791=""),"Missing required field",IF(F791=0,"No holdings",IF(AND(G791=0,A791&lt;&gt;"LKB-GROUP"),"No login (ok if not invited)","OK")))))</f>
        <v/>
      </c>
    </row>
    <row r="792">
      <c r="A792" s="26" t="n"/>
      <c r="B792" s="26" t="n"/>
      <c r="C792" s="26" t="n"/>
      <c r="D792" s="26" t="n"/>
      <c r="E792" s="26" t="n"/>
      <c r="F792" s="30">
        <f>IF(A792="","",COUNTIF('Holdings'!$A$4:$A$2503,A792))</f>
        <v/>
      </c>
      <c r="G792" s="30">
        <f>IF(A792="","",COUNTIF('Access'!$B$4:$B$1503,A792))</f>
        <v/>
      </c>
      <c r="H792" s="30">
        <f>IF(A792="","",IF(COUNTIF($A$4:$A$1003,A792)&gt;1,"Duplicate holder ID",IF(OR(B792="",C792=""),"Missing required field",IF(F792=0,"No holdings",IF(AND(G792=0,A792&lt;&gt;"LKB-GROUP"),"No login (ok if not invited)","OK")))))</f>
        <v/>
      </c>
    </row>
    <row r="793">
      <c r="A793" s="26" t="n"/>
      <c r="B793" s="26" t="n"/>
      <c r="C793" s="26" t="n"/>
      <c r="D793" s="26" t="n"/>
      <c r="E793" s="26" t="n"/>
      <c r="F793" s="30">
        <f>IF(A793="","",COUNTIF('Holdings'!$A$4:$A$2503,A793))</f>
        <v/>
      </c>
      <c r="G793" s="30">
        <f>IF(A793="","",COUNTIF('Access'!$B$4:$B$1503,A793))</f>
        <v/>
      </c>
      <c r="H793" s="30">
        <f>IF(A793="","",IF(COUNTIF($A$4:$A$1003,A793)&gt;1,"Duplicate holder ID",IF(OR(B793="",C793=""),"Missing required field",IF(F793=0,"No holdings",IF(AND(G793=0,A793&lt;&gt;"LKB-GROUP"),"No login (ok if not invited)","OK")))))</f>
        <v/>
      </c>
    </row>
    <row r="794">
      <c r="A794" s="26" t="n"/>
      <c r="B794" s="26" t="n"/>
      <c r="C794" s="26" t="n"/>
      <c r="D794" s="26" t="n"/>
      <c r="E794" s="26" t="n"/>
      <c r="F794" s="30">
        <f>IF(A794="","",COUNTIF('Holdings'!$A$4:$A$2503,A794))</f>
        <v/>
      </c>
      <c r="G794" s="30">
        <f>IF(A794="","",COUNTIF('Access'!$B$4:$B$1503,A794))</f>
        <v/>
      </c>
      <c r="H794" s="30">
        <f>IF(A794="","",IF(COUNTIF($A$4:$A$1003,A794)&gt;1,"Duplicate holder ID",IF(OR(B794="",C794=""),"Missing required field",IF(F794=0,"No holdings",IF(AND(G794=0,A794&lt;&gt;"LKB-GROUP"),"No login (ok if not invited)","OK")))))</f>
        <v/>
      </c>
    </row>
    <row r="795">
      <c r="A795" s="26" t="n"/>
      <c r="B795" s="26" t="n"/>
      <c r="C795" s="26" t="n"/>
      <c r="D795" s="26" t="n"/>
      <c r="E795" s="26" t="n"/>
      <c r="F795" s="30">
        <f>IF(A795="","",COUNTIF('Holdings'!$A$4:$A$2503,A795))</f>
        <v/>
      </c>
      <c r="G795" s="30">
        <f>IF(A795="","",COUNTIF('Access'!$B$4:$B$1503,A795))</f>
        <v/>
      </c>
      <c r="H795" s="30">
        <f>IF(A795="","",IF(COUNTIF($A$4:$A$1003,A795)&gt;1,"Duplicate holder ID",IF(OR(B795="",C795=""),"Missing required field",IF(F795=0,"No holdings",IF(AND(G795=0,A795&lt;&gt;"LKB-GROUP"),"No login (ok if not invited)","OK")))))</f>
        <v/>
      </c>
    </row>
    <row r="796">
      <c r="A796" s="26" t="n"/>
      <c r="B796" s="26" t="n"/>
      <c r="C796" s="26" t="n"/>
      <c r="D796" s="26" t="n"/>
      <c r="E796" s="26" t="n"/>
      <c r="F796" s="30">
        <f>IF(A796="","",COUNTIF('Holdings'!$A$4:$A$2503,A796))</f>
        <v/>
      </c>
      <c r="G796" s="30">
        <f>IF(A796="","",COUNTIF('Access'!$B$4:$B$1503,A796))</f>
        <v/>
      </c>
      <c r="H796" s="30">
        <f>IF(A796="","",IF(COUNTIF($A$4:$A$1003,A796)&gt;1,"Duplicate holder ID",IF(OR(B796="",C796=""),"Missing required field",IF(F796=0,"No holdings",IF(AND(G796=0,A796&lt;&gt;"LKB-GROUP"),"No login (ok if not invited)","OK")))))</f>
        <v/>
      </c>
    </row>
    <row r="797">
      <c r="A797" s="26" t="n"/>
      <c r="B797" s="26" t="n"/>
      <c r="C797" s="26" t="n"/>
      <c r="D797" s="26" t="n"/>
      <c r="E797" s="26" t="n"/>
      <c r="F797" s="30">
        <f>IF(A797="","",COUNTIF('Holdings'!$A$4:$A$2503,A797))</f>
        <v/>
      </c>
      <c r="G797" s="30">
        <f>IF(A797="","",COUNTIF('Access'!$B$4:$B$1503,A797))</f>
        <v/>
      </c>
      <c r="H797" s="30">
        <f>IF(A797="","",IF(COUNTIF($A$4:$A$1003,A797)&gt;1,"Duplicate holder ID",IF(OR(B797="",C797=""),"Missing required field",IF(F797=0,"No holdings",IF(AND(G797=0,A797&lt;&gt;"LKB-GROUP"),"No login (ok if not invited)","OK")))))</f>
        <v/>
      </c>
    </row>
    <row r="798">
      <c r="A798" s="26" t="n"/>
      <c r="B798" s="26" t="n"/>
      <c r="C798" s="26" t="n"/>
      <c r="D798" s="26" t="n"/>
      <c r="E798" s="26" t="n"/>
      <c r="F798" s="30">
        <f>IF(A798="","",COUNTIF('Holdings'!$A$4:$A$2503,A798))</f>
        <v/>
      </c>
      <c r="G798" s="30">
        <f>IF(A798="","",COUNTIF('Access'!$B$4:$B$1503,A798))</f>
        <v/>
      </c>
      <c r="H798" s="30">
        <f>IF(A798="","",IF(COUNTIF($A$4:$A$1003,A798)&gt;1,"Duplicate holder ID",IF(OR(B798="",C798=""),"Missing required field",IF(F798=0,"No holdings",IF(AND(G798=0,A798&lt;&gt;"LKB-GROUP"),"No login (ok if not invited)","OK")))))</f>
        <v/>
      </c>
    </row>
    <row r="799">
      <c r="A799" s="26" t="n"/>
      <c r="B799" s="26" t="n"/>
      <c r="C799" s="26" t="n"/>
      <c r="D799" s="26" t="n"/>
      <c r="E799" s="26" t="n"/>
      <c r="F799" s="30">
        <f>IF(A799="","",COUNTIF('Holdings'!$A$4:$A$2503,A799))</f>
        <v/>
      </c>
      <c r="G799" s="30">
        <f>IF(A799="","",COUNTIF('Access'!$B$4:$B$1503,A799))</f>
        <v/>
      </c>
      <c r="H799" s="30">
        <f>IF(A799="","",IF(COUNTIF($A$4:$A$1003,A799)&gt;1,"Duplicate holder ID",IF(OR(B799="",C799=""),"Missing required field",IF(F799=0,"No holdings",IF(AND(G799=0,A799&lt;&gt;"LKB-GROUP"),"No login (ok if not invited)","OK")))))</f>
        <v/>
      </c>
    </row>
    <row r="800">
      <c r="A800" s="26" t="n"/>
      <c r="B800" s="26" t="n"/>
      <c r="C800" s="26" t="n"/>
      <c r="D800" s="26" t="n"/>
      <c r="E800" s="26" t="n"/>
      <c r="F800" s="30">
        <f>IF(A800="","",COUNTIF('Holdings'!$A$4:$A$2503,A800))</f>
        <v/>
      </c>
      <c r="G800" s="30">
        <f>IF(A800="","",COUNTIF('Access'!$B$4:$B$1503,A800))</f>
        <v/>
      </c>
      <c r="H800" s="30">
        <f>IF(A800="","",IF(COUNTIF($A$4:$A$1003,A800)&gt;1,"Duplicate holder ID",IF(OR(B800="",C800=""),"Missing required field",IF(F800=0,"No holdings",IF(AND(G800=0,A800&lt;&gt;"LKB-GROUP"),"No login (ok if not invited)","OK")))))</f>
        <v/>
      </c>
    </row>
    <row r="801">
      <c r="A801" s="26" t="n"/>
      <c r="B801" s="26" t="n"/>
      <c r="C801" s="26" t="n"/>
      <c r="D801" s="26" t="n"/>
      <c r="E801" s="26" t="n"/>
      <c r="F801" s="30">
        <f>IF(A801="","",COUNTIF('Holdings'!$A$4:$A$2503,A801))</f>
        <v/>
      </c>
      <c r="G801" s="30">
        <f>IF(A801="","",COUNTIF('Access'!$B$4:$B$1503,A801))</f>
        <v/>
      </c>
      <c r="H801" s="30">
        <f>IF(A801="","",IF(COUNTIF($A$4:$A$1003,A801)&gt;1,"Duplicate holder ID",IF(OR(B801="",C801=""),"Missing required field",IF(F801=0,"No holdings",IF(AND(G801=0,A801&lt;&gt;"LKB-GROUP"),"No login (ok if not invited)","OK")))))</f>
        <v/>
      </c>
    </row>
    <row r="802">
      <c r="A802" s="26" t="n"/>
      <c r="B802" s="26" t="n"/>
      <c r="C802" s="26" t="n"/>
      <c r="D802" s="26" t="n"/>
      <c r="E802" s="26" t="n"/>
      <c r="F802" s="30">
        <f>IF(A802="","",COUNTIF('Holdings'!$A$4:$A$2503,A802))</f>
        <v/>
      </c>
      <c r="G802" s="30">
        <f>IF(A802="","",COUNTIF('Access'!$B$4:$B$1503,A802))</f>
        <v/>
      </c>
      <c r="H802" s="30">
        <f>IF(A802="","",IF(COUNTIF($A$4:$A$1003,A802)&gt;1,"Duplicate holder ID",IF(OR(B802="",C802=""),"Missing required field",IF(F802=0,"No holdings",IF(AND(G802=0,A802&lt;&gt;"LKB-GROUP"),"No login (ok if not invited)","OK")))))</f>
        <v/>
      </c>
    </row>
    <row r="803">
      <c r="A803" s="26" t="n"/>
      <c r="B803" s="26" t="n"/>
      <c r="C803" s="26" t="n"/>
      <c r="D803" s="26" t="n"/>
      <c r="E803" s="26" t="n"/>
      <c r="F803" s="30">
        <f>IF(A803="","",COUNTIF('Holdings'!$A$4:$A$2503,A803))</f>
        <v/>
      </c>
      <c r="G803" s="30">
        <f>IF(A803="","",COUNTIF('Access'!$B$4:$B$1503,A803))</f>
        <v/>
      </c>
      <c r="H803" s="30">
        <f>IF(A803="","",IF(COUNTIF($A$4:$A$1003,A803)&gt;1,"Duplicate holder ID",IF(OR(B803="",C803=""),"Missing required field",IF(F803=0,"No holdings",IF(AND(G803=0,A803&lt;&gt;"LKB-GROUP"),"No login (ok if not invited)","OK")))))</f>
        <v/>
      </c>
    </row>
    <row r="804">
      <c r="A804" s="26" t="n"/>
      <c r="B804" s="26" t="n"/>
      <c r="C804" s="26" t="n"/>
      <c r="D804" s="26" t="n"/>
      <c r="E804" s="26" t="n"/>
      <c r="F804" s="30">
        <f>IF(A804="","",COUNTIF('Holdings'!$A$4:$A$2503,A804))</f>
        <v/>
      </c>
      <c r="G804" s="30">
        <f>IF(A804="","",COUNTIF('Access'!$B$4:$B$1503,A804))</f>
        <v/>
      </c>
      <c r="H804" s="30">
        <f>IF(A804="","",IF(COUNTIF($A$4:$A$1003,A804)&gt;1,"Duplicate holder ID",IF(OR(B804="",C804=""),"Missing required field",IF(F804=0,"No holdings",IF(AND(G804=0,A804&lt;&gt;"LKB-GROUP"),"No login (ok if not invited)","OK")))))</f>
        <v/>
      </c>
    </row>
    <row r="805">
      <c r="A805" s="26" t="n"/>
      <c r="B805" s="26" t="n"/>
      <c r="C805" s="26" t="n"/>
      <c r="D805" s="26" t="n"/>
      <c r="E805" s="26" t="n"/>
      <c r="F805" s="30">
        <f>IF(A805="","",COUNTIF('Holdings'!$A$4:$A$2503,A805))</f>
        <v/>
      </c>
      <c r="G805" s="30">
        <f>IF(A805="","",COUNTIF('Access'!$B$4:$B$1503,A805))</f>
        <v/>
      </c>
      <c r="H805" s="30">
        <f>IF(A805="","",IF(COUNTIF($A$4:$A$1003,A805)&gt;1,"Duplicate holder ID",IF(OR(B805="",C805=""),"Missing required field",IF(F805=0,"No holdings",IF(AND(G805=0,A805&lt;&gt;"LKB-GROUP"),"No login (ok if not invited)","OK")))))</f>
        <v/>
      </c>
    </row>
    <row r="806">
      <c r="A806" s="26" t="n"/>
      <c r="B806" s="26" t="n"/>
      <c r="C806" s="26" t="n"/>
      <c r="D806" s="26" t="n"/>
      <c r="E806" s="26" t="n"/>
      <c r="F806" s="30">
        <f>IF(A806="","",COUNTIF('Holdings'!$A$4:$A$2503,A806))</f>
        <v/>
      </c>
      <c r="G806" s="30">
        <f>IF(A806="","",COUNTIF('Access'!$B$4:$B$1503,A806))</f>
        <v/>
      </c>
      <c r="H806" s="30">
        <f>IF(A806="","",IF(COUNTIF($A$4:$A$1003,A806)&gt;1,"Duplicate holder ID",IF(OR(B806="",C806=""),"Missing required field",IF(F806=0,"No holdings",IF(AND(G806=0,A806&lt;&gt;"LKB-GROUP"),"No login (ok if not invited)","OK")))))</f>
        <v/>
      </c>
    </row>
    <row r="807">
      <c r="A807" s="26" t="n"/>
      <c r="B807" s="26" t="n"/>
      <c r="C807" s="26" t="n"/>
      <c r="D807" s="26" t="n"/>
      <c r="E807" s="26" t="n"/>
      <c r="F807" s="30">
        <f>IF(A807="","",COUNTIF('Holdings'!$A$4:$A$2503,A807))</f>
        <v/>
      </c>
      <c r="G807" s="30">
        <f>IF(A807="","",COUNTIF('Access'!$B$4:$B$1503,A807))</f>
        <v/>
      </c>
      <c r="H807" s="30">
        <f>IF(A807="","",IF(COUNTIF($A$4:$A$1003,A807)&gt;1,"Duplicate holder ID",IF(OR(B807="",C807=""),"Missing required field",IF(F807=0,"No holdings",IF(AND(G807=0,A807&lt;&gt;"LKB-GROUP"),"No login (ok if not invited)","OK")))))</f>
        <v/>
      </c>
    </row>
    <row r="808">
      <c r="A808" s="26" t="n"/>
      <c r="B808" s="26" t="n"/>
      <c r="C808" s="26" t="n"/>
      <c r="D808" s="26" t="n"/>
      <c r="E808" s="26" t="n"/>
      <c r="F808" s="30">
        <f>IF(A808="","",COUNTIF('Holdings'!$A$4:$A$2503,A808))</f>
        <v/>
      </c>
      <c r="G808" s="30">
        <f>IF(A808="","",COUNTIF('Access'!$B$4:$B$1503,A808))</f>
        <v/>
      </c>
      <c r="H808" s="30">
        <f>IF(A808="","",IF(COUNTIF($A$4:$A$1003,A808)&gt;1,"Duplicate holder ID",IF(OR(B808="",C808=""),"Missing required field",IF(F808=0,"No holdings",IF(AND(G808=0,A808&lt;&gt;"LKB-GROUP"),"No login (ok if not invited)","OK")))))</f>
        <v/>
      </c>
    </row>
    <row r="809">
      <c r="A809" s="26" t="n"/>
      <c r="B809" s="26" t="n"/>
      <c r="C809" s="26" t="n"/>
      <c r="D809" s="26" t="n"/>
      <c r="E809" s="26" t="n"/>
      <c r="F809" s="30">
        <f>IF(A809="","",COUNTIF('Holdings'!$A$4:$A$2503,A809))</f>
        <v/>
      </c>
      <c r="G809" s="30">
        <f>IF(A809="","",COUNTIF('Access'!$B$4:$B$1503,A809))</f>
        <v/>
      </c>
      <c r="H809" s="30">
        <f>IF(A809="","",IF(COUNTIF($A$4:$A$1003,A809)&gt;1,"Duplicate holder ID",IF(OR(B809="",C809=""),"Missing required field",IF(F809=0,"No holdings",IF(AND(G809=0,A809&lt;&gt;"LKB-GROUP"),"No login (ok if not invited)","OK")))))</f>
        <v/>
      </c>
    </row>
    <row r="810">
      <c r="A810" s="26" t="n"/>
      <c r="B810" s="26" t="n"/>
      <c r="C810" s="26" t="n"/>
      <c r="D810" s="26" t="n"/>
      <c r="E810" s="26" t="n"/>
      <c r="F810" s="30">
        <f>IF(A810="","",COUNTIF('Holdings'!$A$4:$A$2503,A810))</f>
        <v/>
      </c>
      <c r="G810" s="30">
        <f>IF(A810="","",COUNTIF('Access'!$B$4:$B$1503,A810))</f>
        <v/>
      </c>
      <c r="H810" s="30">
        <f>IF(A810="","",IF(COUNTIF($A$4:$A$1003,A810)&gt;1,"Duplicate holder ID",IF(OR(B810="",C810=""),"Missing required field",IF(F810=0,"No holdings",IF(AND(G810=0,A810&lt;&gt;"LKB-GROUP"),"No login (ok if not invited)","OK")))))</f>
        <v/>
      </c>
    </row>
    <row r="811">
      <c r="A811" s="26" t="n"/>
      <c r="B811" s="26" t="n"/>
      <c r="C811" s="26" t="n"/>
      <c r="D811" s="26" t="n"/>
      <c r="E811" s="26" t="n"/>
      <c r="F811" s="30">
        <f>IF(A811="","",COUNTIF('Holdings'!$A$4:$A$2503,A811))</f>
        <v/>
      </c>
      <c r="G811" s="30">
        <f>IF(A811="","",COUNTIF('Access'!$B$4:$B$1503,A811))</f>
        <v/>
      </c>
      <c r="H811" s="30">
        <f>IF(A811="","",IF(COUNTIF($A$4:$A$1003,A811)&gt;1,"Duplicate holder ID",IF(OR(B811="",C811=""),"Missing required field",IF(F811=0,"No holdings",IF(AND(G811=0,A811&lt;&gt;"LKB-GROUP"),"No login (ok if not invited)","OK")))))</f>
        <v/>
      </c>
    </row>
    <row r="812">
      <c r="A812" s="26" t="n"/>
      <c r="B812" s="26" t="n"/>
      <c r="C812" s="26" t="n"/>
      <c r="D812" s="26" t="n"/>
      <c r="E812" s="26" t="n"/>
      <c r="F812" s="30">
        <f>IF(A812="","",COUNTIF('Holdings'!$A$4:$A$2503,A812))</f>
        <v/>
      </c>
      <c r="G812" s="30">
        <f>IF(A812="","",COUNTIF('Access'!$B$4:$B$1503,A812))</f>
        <v/>
      </c>
      <c r="H812" s="30">
        <f>IF(A812="","",IF(COUNTIF($A$4:$A$1003,A812)&gt;1,"Duplicate holder ID",IF(OR(B812="",C812=""),"Missing required field",IF(F812=0,"No holdings",IF(AND(G812=0,A812&lt;&gt;"LKB-GROUP"),"No login (ok if not invited)","OK")))))</f>
        <v/>
      </c>
    </row>
    <row r="813">
      <c r="A813" s="26" t="n"/>
      <c r="B813" s="26" t="n"/>
      <c r="C813" s="26" t="n"/>
      <c r="D813" s="26" t="n"/>
      <c r="E813" s="26" t="n"/>
      <c r="F813" s="30">
        <f>IF(A813="","",COUNTIF('Holdings'!$A$4:$A$2503,A813))</f>
        <v/>
      </c>
      <c r="G813" s="30">
        <f>IF(A813="","",COUNTIF('Access'!$B$4:$B$1503,A813))</f>
        <v/>
      </c>
      <c r="H813" s="30">
        <f>IF(A813="","",IF(COUNTIF($A$4:$A$1003,A813)&gt;1,"Duplicate holder ID",IF(OR(B813="",C813=""),"Missing required field",IF(F813=0,"No holdings",IF(AND(G813=0,A813&lt;&gt;"LKB-GROUP"),"No login (ok if not invited)","OK")))))</f>
        <v/>
      </c>
    </row>
    <row r="814">
      <c r="A814" s="26" t="n"/>
      <c r="B814" s="26" t="n"/>
      <c r="C814" s="26" t="n"/>
      <c r="D814" s="26" t="n"/>
      <c r="E814" s="26" t="n"/>
      <c r="F814" s="30">
        <f>IF(A814="","",COUNTIF('Holdings'!$A$4:$A$2503,A814))</f>
        <v/>
      </c>
      <c r="G814" s="30">
        <f>IF(A814="","",COUNTIF('Access'!$B$4:$B$1503,A814))</f>
        <v/>
      </c>
      <c r="H814" s="30">
        <f>IF(A814="","",IF(COUNTIF($A$4:$A$1003,A814)&gt;1,"Duplicate holder ID",IF(OR(B814="",C814=""),"Missing required field",IF(F814=0,"No holdings",IF(AND(G814=0,A814&lt;&gt;"LKB-GROUP"),"No login (ok if not invited)","OK")))))</f>
        <v/>
      </c>
    </row>
    <row r="815">
      <c r="A815" s="26" t="n"/>
      <c r="B815" s="26" t="n"/>
      <c r="C815" s="26" t="n"/>
      <c r="D815" s="26" t="n"/>
      <c r="E815" s="26" t="n"/>
      <c r="F815" s="30">
        <f>IF(A815="","",COUNTIF('Holdings'!$A$4:$A$2503,A815))</f>
        <v/>
      </c>
      <c r="G815" s="30">
        <f>IF(A815="","",COUNTIF('Access'!$B$4:$B$1503,A815))</f>
        <v/>
      </c>
      <c r="H815" s="30">
        <f>IF(A815="","",IF(COUNTIF($A$4:$A$1003,A815)&gt;1,"Duplicate holder ID",IF(OR(B815="",C815=""),"Missing required field",IF(F815=0,"No holdings",IF(AND(G815=0,A815&lt;&gt;"LKB-GROUP"),"No login (ok if not invited)","OK")))))</f>
        <v/>
      </c>
    </row>
    <row r="816">
      <c r="A816" s="26" t="n"/>
      <c r="B816" s="26" t="n"/>
      <c r="C816" s="26" t="n"/>
      <c r="D816" s="26" t="n"/>
      <c r="E816" s="26" t="n"/>
      <c r="F816" s="30">
        <f>IF(A816="","",COUNTIF('Holdings'!$A$4:$A$2503,A816))</f>
        <v/>
      </c>
      <c r="G816" s="30">
        <f>IF(A816="","",COUNTIF('Access'!$B$4:$B$1503,A816))</f>
        <v/>
      </c>
      <c r="H816" s="30">
        <f>IF(A816="","",IF(COUNTIF($A$4:$A$1003,A816)&gt;1,"Duplicate holder ID",IF(OR(B816="",C816=""),"Missing required field",IF(F816=0,"No holdings",IF(AND(G816=0,A816&lt;&gt;"LKB-GROUP"),"No login (ok if not invited)","OK")))))</f>
        <v/>
      </c>
    </row>
    <row r="817">
      <c r="A817" s="26" t="n"/>
      <c r="B817" s="26" t="n"/>
      <c r="C817" s="26" t="n"/>
      <c r="D817" s="26" t="n"/>
      <c r="E817" s="26" t="n"/>
      <c r="F817" s="30">
        <f>IF(A817="","",COUNTIF('Holdings'!$A$4:$A$2503,A817))</f>
        <v/>
      </c>
      <c r="G817" s="30">
        <f>IF(A817="","",COUNTIF('Access'!$B$4:$B$1503,A817))</f>
        <v/>
      </c>
      <c r="H817" s="30">
        <f>IF(A817="","",IF(COUNTIF($A$4:$A$1003,A817)&gt;1,"Duplicate holder ID",IF(OR(B817="",C817=""),"Missing required field",IF(F817=0,"No holdings",IF(AND(G817=0,A817&lt;&gt;"LKB-GROUP"),"No login (ok if not invited)","OK")))))</f>
        <v/>
      </c>
    </row>
    <row r="818">
      <c r="A818" s="26" t="n"/>
      <c r="B818" s="26" t="n"/>
      <c r="C818" s="26" t="n"/>
      <c r="D818" s="26" t="n"/>
      <c r="E818" s="26" t="n"/>
      <c r="F818" s="30">
        <f>IF(A818="","",COUNTIF('Holdings'!$A$4:$A$2503,A818))</f>
        <v/>
      </c>
      <c r="G818" s="30">
        <f>IF(A818="","",COUNTIF('Access'!$B$4:$B$1503,A818))</f>
        <v/>
      </c>
      <c r="H818" s="30">
        <f>IF(A818="","",IF(COUNTIF($A$4:$A$1003,A818)&gt;1,"Duplicate holder ID",IF(OR(B818="",C818=""),"Missing required field",IF(F818=0,"No holdings",IF(AND(G818=0,A818&lt;&gt;"LKB-GROUP"),"No login (ok if not invited)","OK")))))</f>
        <v/>
      </c>
    </row>
    <row r="819">
      <c r="A819" s="26" t="n"/>
      <c r="B819" s="26" t="n"/>
      <c r="C819" s="26" t="n"/>
      <c r="D819" s="26" t="n"/>
      <c r="E819" s="26" t="n"/>
      <c r="F819" s="30">
        <f>IF(A819="","",COUNTIF('Holdings'!$A$4:$A$2503,A819))</f>
        <v/>
      </c>
      <c r="G819" s="30">
        <f>IF(A819="","",COUNTIF('Access'!$B$4:$B$1503,A819))</f>
        <v/>
      </c>
      <c r="H819" s="30">
        <f>IF(A819="","",IF(COUNTIF($A$4:$A$1003,A819)&gt;1,"Duplicate holder ID",IF(OR(B819="",C819=""),"Missing required field",IF(F819=0,"No holdings",IF(AND(G819=0,A819&lt;&gt;"LKB-GROUP"),"No login (ok if not invited)","OK")))))</f>
        <v/>
      </c>
    </row>
    <row r="820">
      <c r="A820" s="26" t="n"/>
      <c r="B820" s="26" t="n"/>
      <c r="C820" s="26" t="n"/>
      <c r="D820" s="26" t="n"/>
      <c r="E820" s="26" t="n"/>
      <c r="F820" s="30">
        <f>IF(A820="","",COUNTIF('Holdings'!$A$4:$A$2503,A820))</f>
        <v/>
      </c>
      <c r="G820" s="30">
        <f>IF(A820="","",COUNTIF('Access'!$B$4:$B$1503,A820))</f>
        <v/>
      </c>
      <c r="H820" s="30">
        <f>IF(A820="","",IF(COUNTIF($A$4:$A$1003,A820)&gt;1,"Duplicate holder ID",IF(OR(B820="",C820=""),"Missing required field",IF(F820=0,"No holdings",IF(AND(G820=0,A820&lt;&gt;"LKB-GROUP"),"No login (ok if not invited)","OK")))))</f>
        <v/>
      </c>
    </row>
    <row r="821">
      <c r="A821" s="26" t="n"/>
      <c r="B821" s="26" t="n"/>
      <c r="C821" s="26" t="n"/>
      <c r="D821" s="26" t="n"/>
      <c r="E821" s="26" t="n"/>
      <c r="F821" s="30">
        <f>IF(A821="","",COUNTIF('Holdings'!$A$4:$A$2503,A821))</f>
        <v/>
      </c>
      <c r="G821" s="30">
        <f>IF(A821="","",COUNTIF('Access'!$B$4:$B$1503,A821))</f>
        <v/>
      </c>
      <c r="H821" s="30">
        <f>IF(A821="","",IF(COUNTIF($A$4:$A$1003,A821)&gt;1,"Duplicate holder ID",IF(OR(B821="",C821=""),"Missing required field",IF(F821=0,"No holdings",IF(AND(G821=0,A821&lt;&gt;"LKB-GROUP"),"No login (ok if not invited)","OK")))))</f>
        <v/>
      </c>
    </row>
    <row r="822">
      <c r="A822" s="26" t="n"/>
      <c r="B822" s="26" t="n"/>
      <c r="C822" s="26" t="n"/>
      <c r="D822" s="26" t="n"/>
      <c r="E822" s="26" t="n"/>
      <c r="F822" s="30">
        <f>IF(A822="","",COUNTIF('Holdings'!$A$4:$A$2503,A822))</f>
        <v/>
      </c>
      <c r="G822" s="30">
        <f>IF(A822="","",COUNTIF('Access'!$B$4:$B$1503,A822))</f>
        <v/>
      </c>
      <c r="H822" s="30">
        <f>IF(A822="","",IF(COUNTIF($A$4:$A$1003,A822)&gt;1,"Duplicate holder ID",IF(OR(B822="",C822=""),"Missing required field",IF(F822=0,"No holdings",IF(AND(G822=0,A822&lt;&gt;"LKB-GROUP"),"No login (ok if not invited)","OK")))))</f>
        <v/>
      </c>
    </row>
    <row r="823">
      <c r="A823" s="26" t="n"/>
      <c r="B823" s="26" t="n"/>
      <c r="C823" s="26" t="n"/>
      <c r="D823" s="26" t="n"/>
      <c r="E823" s="26" t="n"/>
      <c r="F823" s="30">
        <f>IF(A823="","",COUNTIF('Holdings'!$A$4:$A$2503,A823))</f>
        <v/>
      </c>
      <c r="G823" s="30">
        <f>IF(A823="","",COUNTIF('Access'!$B$4:$B$1503,A823))</f>
        <v/>
      </c>
      <c r="H823" s="30">
        <f>IF(A823="","",IF(COUNTIF($A$4:$A$1003,A823)&gt;1,"Duplicate holder ID",IF(OR(B823="",C823=""),"Missing required field",IF(F823=0,"No holdings",IF(AND(G823=0,A823&lt;&gt;"LKB-GROUP"),"No login (ok if not invited)","OK")))))</f>
        <v/>
      </c>
    </row>
    <row r="824">
      <c r="A824" s="26" t="n"/>
      <c r="B824" s="26" t="n"/>
      <c r="C824" s="26" t="n"/>
      <c r="D824" s="26" t="n"/>
      <c r="E824" s="26" t="n"/>
      <c r="F824" s="30">
        <f>IF(A824="","",COUNTIF('Holdings'!$A$4:$A$2503,A824))</f>
        <v/>
      </c>
      <c r="G824" s="30">
        <f>IF(A824="","",COUNTIF('Access'!$B$4:$B$1503,A824))</f>
        <v/>
      </c>
      <c r="H824" s="30">
        <f>IF(A824="","",IF(COUNTIF($A$4:$A$1003,A824)&gt;1,"Duplicate holder ID",IF(OR(B824="",C824=""),"Missing required field",IF(F824=0,"No holdings",IF(AND(G824=0,A824&lt;&gt;"LKB-GROUP"),"No login (ok if not invited)","OK")))))</f>
        <v/>
      </c>
    </row>
    <row r="825">
      <c r="A825" s="26" t="n"/>
      <c r="B825" s="26" t="n"/>
      <c r="C825" s="26" t="n"/>
      <c r="D825" s="26" t="n"/>
      <c r="E825" s="26" t="n"/>
      <c r="F825" s="30">
        <f>IF(A825="","",COUNTIF('Holdings'!$A$4:$A$2503,A825))</f>
        <v/>
      </c>
      <c r="G825" s="30">
        <f>IF(A825="","",COUNTIF('Access'!$B$4:$B$1503,A825))</f>
        <v/>
      </c>
      <c r="H825" s="30">
        <f>IF(A825="","",IF(COUNTIF($A$4:$A$1003,A825)&gt;1,"Duplicate holder ID",IF(OR(B825="",C825=""),"Missing required field",IF(F825=0,"No holdings",IF(AND(G825=0,A825&lt;&gt;"LKB-GROUP"),"No login (ok if not invited)","OK")))))</f>
        <v/>
      </c>
    </row>
    <row r="826">
      <c r="A826" s="26" t="n"/>
      <c r="B826" s="26" t="n"/>
      <c r="C826" s="26" t="n"/>
      <c r="D826" s="26" t="n"/>
      <c r="E826" s="26" t="n"/>
      <c r="F826" s="30">
        <f>IF(A826="","",COUNTIF('Holdings'!$A$4:$A$2503,A826))</f>
        <v/>
      </c>
      <c r="G826" s="30">
        <f>IF(A826="","",COUNTIF('Access'!$B$4:$B$1503,A826))</f>
        <v/>
      </c>
      <c r="H826" s="30">
        <f>IF(A826="","",IF(COUNTIF($A$4:$A$1003,A826)&gt;1,"Duplicate holder ID",IF(OR(B826="",C826=""),"Missing required field",IF(F826=0,"No holdings",IF(AND(G826=0,A826&lt;&gt;"LKB-GROUP"),"No login (ok if not invited)","OK")))))</f>
        <v/>
      </c>
    </row>
    <row r="827">
      <c r="A827" s="26" t="n"/>
      <c r="B827" s="26" t="n"/>
      <c r="C827" s="26" t="n"/>
      <c r="D827" s="26" t="n"/>
      <c r="E827" s="26" t="n"/>
      <c r="F827" s="30">
        <f>IF(A827="","",COUNTIF('Holdings'!$A$4:$A$2503,A827))</f>
        <v/>
      </c>
      <c r="G827" s="30">
        <f>IF(A827="","",COUNTIF('Access'!$B$4:$B$1503,A827))</f>
        <v/>
      </c>
      <c r="H827" s="30">
        <f>IF(A827="","",IF(COUNTIF($A$4:$A$1003,A827)&gt;1,"Duplicate holder ID",IF(OR(B827="",C827=""),"Missing required field",IF(F827=0,"No holdings",IF(AND(G827=0,A827&lt;&gt;"LKB-GROUP"),"No login (ok if not invited)","OK")))))</f>
        <v/>
      </c>
    </row>
    <row r="828">
      <c r="A828" s="26" t="n"/>
      <c r="B828" s="26" t="n"/>
      <c r="C828" s="26" t="n"/>
      <c r="D828" s="26" t="n"/>
      <c r="E828" s="26" t="n"/>
      <c r="F828" s="30">
        <f>IF(A828="","",COUNTIF('Holdings'!$A$4:$A$2503,A828))</f>
        <v/>
      </c>
      <c r="G828" s="30">
        <f>IF(A828="","",COUNTIF('Access'!$B$4:$B$1503,A828))</f>
        <v/>
      </c>
      <c r="H828" s="30">
        <f>IF(A828="","",IF(COUNTIF($A$4:$A$1003,A828)&gt;1,"Duplicate holder ID",IF(OR(B828="",C828=""),"Missing required field",IF(F828=0,"No holdings",IF(AND(G828=0,A828&lt;&gt;"LKB-GROUP"),"No login (ok if not invited)","OK")))))</f>
        <v/>
      </c>
    </row>
    <row r="829">
      <c r="A829" s="26" t="n"/>
      <c r="B829" s="26" t="n"/>
      <c r="C829" s="26" t="n"/>
      <c r="D829" s="26" t="n"/>
      <c r="E829" s="26" t="n"/>
      <c r="F829" s="30">
        <f>IF(A829="","",COUNTIF('Holdings'!$A$4:$A$2503,A829))</f>
        <v/>
      </c>
      <c r="G829" s="30">
        <f>IF(A829="","",COUNTIF('Access'!$B$4:$B$1503,A829))</f>
        <v/>
      </c>
      <c r="H829" s="30">
        <f>IF(A829="","",IF(COUNTIF($A$4:$A$1003,A829)&gt;1,"Duplicate holder ID",IF(OR(B829="",C829=""),"Missing required field",IF(F829=0,"No holdings",IF(AND(G829=0,A829&lt;&gt;"LKB-GROUP"),"No login (ok if not invited)","OK")))))</f>
        <v/>
      </c>
    </row>
    <row r="830">
      <c r="A830" s="26" t="n"/>
      <c r="B830" s="26" t="n"/>
      <c r="C830" s="26" t="n"/>
      <c r="D830" s="26" t="n"/>
      <c r="E830" s="26" t="n"/>
      <c r="F830" s="30">
        <f>IF(A830="","",COUNTIF('Holdings'!$A$4:$A$2503,A830))</f>
        <v/>
      </c>
      <c r="G830" s="30">
        <f>IF(A830="","",COUNTIF('Access'!$B$4:$B$1503,A830))</f>
        <v/>
      </c>
      <c r="H830" s="30">
        <f>IF(A830="","",IF(COUNTIF($A$4:$A$1003,A830)&gt;1,"Duplicate holder ID",IF(OR(B830="",C830=""),"Missing required field",IF(F830=0,"No holdings",IF(AND(G830=0,A830&lt;&gt;"LKB-GROUP"),"No login (ok if not invited)","OK")))))</f>
        <v/>
      </c>
    </row>
    <row r="831">
      <c r="A831" s="26" t="n"/>
      <c r="B831" s="26" t="n"/>
      <c r="C831" s="26" t="n"/>
      <c r="D831" s="26" t="n"/>
      <c r="E831" s="26" t="n"/>
      <c r="F831" s="30">
        <f>IF(A831="","",COUNTIF('Holdings'!$A$4:$A$2503,A831))</f>
        <v/>
      </c>
      <c r="G831" s="30">
        <f>IF(A831="","",COUNTIF('Access'!$B$4:$B$1503,A831))</f>
        <v/>
      </c>
      <c r="H831" s="30">
        <f>IF(A831="","",IF(COUNTIF($A$4:$A$1003,A831)&gt;1,"Duplicate holder ID",IF(OR(B831="",C831=""),"Missing required field",IF(F831=0,"No holdings",IF(AND(G831=0,A831&lt;&gt;"LKB-GROUP"),"No login (ok if not invited)","OK")))))</f>
        <v/>
      </c>
    </row>
    <row r="832">
      <c r="A832" s="26" t="n"/>
      <c r="B832" s="26" t="n"/>
      <c r="C832" s="26" t="n"/>
      <c r="D832" s="26" t="n"/>
      <c r="E832" s="26" t="n"/>
      <c r="F832" s="30">
        <f>IF(A832="","",COUNTIF('Holdings'!$A$4:$A$2503,A832))</f>
        <v/>
      </c>
      <c r="G832" s="30">
        <f>IF(A832="","",COUNTIF('Access'!$B$4:$B$1503,A832))</f>
        <v/>
      </c>
      <c r="H832" s="30">
        <f>IF(A832="","",IF(COUNTIF($A$4:$A$1003,A832)&gt;1,"Duplicate holder ID",IF(OR(B832="",C832=""),"Missing required field",IF(F832=0,"No holdings",IF(AND(G832=0,A832&lt;&gt;"LKB-GROUP"),"No login (ok if not invited)","OK")))))</f>
        <v/>
      </c>
    </row>
    <row r="833">
      <c r="A833" s="26" t="n"/>
      <c r="B833" s="26" t="n"/>
      <c r="C833" s="26" t="n"/>
      <c r="D833" s="26" t="n"/>
      <c r="E833" s="26" t="n"/>
      <c r="F833" s="30">
        <f>IF(A833="","",COUNTIF('Holdings'!$A$4:$A$2503,A833))</f>
        <v/>
      </c>
      <c r="G833" s="30">
        <f>IF(A833="","",COUNTIF('Access'!$B$4:$B$1503,A833))</f>
        <v/>
      </c>
      <c r="H833" s="30">
        <f>IF(A833="","",IF(COUNTIF($A$4:$A$1003,A833)&gt;1,"Duplicate holder ID",IF(OR(B833="",C833=""),"Missing required field",IF(F833=0,"No holdings",IF(AND(G833=0,A833&lt;&gt;"LKB-GROUP"),"No login (ok if not invited)","OK")))))</f>
        <v/>
      </c>
    </row>
    <row r="834">
      <c r="A834" s="26" t="n"/>
      <c r="B834" s="26" t="n"/>
      <c r="C834" s="26" t="n"/>
      <c r="D834" s="26" t="n"/>
      <c r="E834" s="26" t="n"/>
      <c r="F834" s="30">
        <f>IF(A834="","",COUNTIF('Holdings'!$A$4:$A$2503,A834))</f>
        <v/>
      </c>
      <c r="G834" s="30">
        <f>IF(A834="","",COUNTIF('Access'!$B$4:$B$1503,A834))</f>
        <v/>
      </c>
      <c r="H834" s="30">
        <f>IF(A834="","",IF(COUNTIF($A$4:$A$1003,A834)&gt;1,"Duplicate holder ID",IF(OR(B834="",C834=""),"Missing required field",IF(F834=0,"No holdings",IF(AND(G834=0,A834&lt;&gt;"LKB-GROUP"),"No login (ok if not invited)","OK")))))</f>
        <v/>
      </c>
    </row>
    <row r="835">
      <c r="A835" s="26" t="n"/>
      <c r="B835" s="26" t="n"/>
      <c r="C835" s="26" t="n"/>
      <c r="D835" s="26" t="n"/>
      <c r="E835" s="26" t="n"/>
      <c r="F835" s="30">
        <f>IF(A835="","",COUNTIF('Holdings'!$A$4:$A$2503,A835))</f>
        <v/>
      </c>
      <c r="G835" s="30">
        <f>IF(A835="","",COUNTIF('Access'!$B$4:$B$1503,A835))</f>
        <v/>
      </c>
      <c r="H835" s="30">
        <f>IF(A835="","",IF(COUNTIF($A$4:$A$1003,A835)&gt;1,"Duplicate holder ID",IF(OR(B835="",C835=""),"Missing required field",IF(F835=0,"No holdings",IF(AND(G835=0,A835&lt;&gt;"LKB-GROUP"),"No login (ok if not invited)","OK")))))</f>
        <v/>
      </c>
    </row>
    <row r="836">
      <c r="A836" s="26" t="n"/>
      <c r="B836" s="26" t="n"/>
      <c r="C836" s="26" t="n"/>
      <c r="D836" s="26" t="n"/>
      <c r="E836" s="26" t="n"/>
      <c r="F836" s="30">
        <f>IF(A836="","",COUNTIF('Holdings'!$A$4:$A$2503,A836))</f>
        <v/>
      </c>
      <c r="G836" s="30">
        <f>IF(A836="","",COUNTIF('Access'!$B$4:$B$1503,A836))</f>
        <v/>
      </c>
      <c r="H836" s="30">
        <f>IF(A836="","",IF(COUNTIF($A$4:$A$1003,A836)&gt;1,"Duplicate holder ID",IF(OR(B836="",C836=""),"Missing required field",IF(F836=0,"No holdings",IF(AND(G836=0,A836&lt;&gt;"LKB-GROUP"),"No login (ok if not invited)","OK")))))</f>
        <v/>
      </c>
    </row>
    <row r="837">
      <c r="A837" s="26" t="n"/>
      <c r="B837" s="26" t="n"/>
      <c r="C837" s="26" t="n"/>
      <c r="D837" s="26" t="n"/>
      <c r="E837" s="26" t="n"/>
      <c r="F837" s="30">
        <f>IF(A837="","",COUNTIF('Holdings'!$A$4:$A$2503,A837))</f>
        <v/>
      </c>
      <c r="G837" s="30">
        <f>IF(A837="","",COUNTIF('Access'!$B$4:$B$1503,A837))</f>
        <v/>
      </c>
      <c r="H837" s="30">
        <f>IF(A837="","",IF(COUNTIF($A$4:$A$1003,A837)&gt;1,"Duplicate holder ID",IF(OR(B837="",C837=""),"Missing required field",IF(F837=0,"No holdings",IF(AND(G837=0,A837&lt;&gt;"LKB-GROUP"),"No login (ok if not invited)","OK")))))</f>
        <v/>
      </c>
    </row>
    <row r="838">
      <c r="A838" s="26" t="n"/>
      <c r="B838" s="26" t="n"/>
      <c r="C838" s="26" t="n"/>
      <c r="D838" s="26" t="n"/>
      <c r="E838" s="26" t="n"/>
      <c r="F838" s="30">
        <f>IF(A838="","",COUNTIF('Holdings'!$A$4:$A$2503,A838))</f>
        <v/>
      </c>
      <c r="G838" s="30">
        <f>IF(A838="","",COUNTIF('Access'!$B$4:$B$1503,A838))</f>
        <v/>
      </c>
      <c r="H838" s="30">
        <f>IF(A838="","",IF(COUNTIF($A$4:$A$1003,A838)&gt;1,"Duplicate holder ID",IF(OR(B838="",C838=""),"Missing required field",IF(F838=0,"No holdings",IF(AND(G838=0,A838&lt;&gt;"LKB-GROUP"),"No login (ok if not invited)","OK")))))</f>
        <v/>
      </c>
    </row>
    <row r="839">
      <c r="A839" s="26" t="n"/>
      <c r="B839" s="26" t="n"/>
      <c r="C839" s="26" t="n"/>
      <c r="D839" s="26" t="n"/>
      <c r="E839" s="26" t="n"/>
      <c r="F839" s="30">
        <f>IF(A839="","",COUNTIF('Holdings'!$A$4:$A$2503,A839))</f>
        <v/>
      </c>
      <c r="G839" s="30">
        <f>IF(A839="","",COUNTIF('Access'!$B$4:$B$1503,A839))</f>
        <v/>
      </c>
      <c r="H839" s="30">
        <f>IF(A839="","",IF(COUNTIF($A$4:$A$1003,A839)&gt;1,"Duplicate holder ID",IF(OR(B839="",C839=""),"Missing required field",IF(F839=0,"No holdings",IF(AND(G839=0,A839&lt;&gt;"LKB-GROUP"),"No login (ok if not invited)","OK")))))</f>
        <v/>
      </c>
    </row>
    <row r="840">
      <c r="A840" s="26" t="n"/>
      <c r="B840" s="26" t="n"/>
      <c r="C840" s="26" t="n"/>
      <c r="D840" s="26" t="n"/>
      <c r="E840" s="26" t="n"/>
      <c r="F840" s="30">
        <f>IF(A840="","",COUNTIF('Holdings'!$A$4:$A$2503,A840))</f>
        <v/>
      </c>
      <c r="G840" s="30">
        <f>IF(A840="","",COUNTIF('Access'!$B$4:$B$1503,A840))</f>
        <v/>
      </c>
      <c r="H840" s="30">
        <f>IF(A840="","",IF(COUNTIF($A$4:$A$1003,A840)&gt;1,"Duplicate holder ID",IF(OR(B840="",C840=""),"Missing required field",IF(F840=0,"No holdings",IF(AND(G840=0,A840&lt;&gt;"LKB-GROUP"),"No login (ok if not invited)","OK")))))</f>
        <v/>
      </c>
    </row>
    <row r="841">
      <c r="A841" s="26" t="n"/>
      <c r="B841" s="26" t="n"/>
      <c r="C841" s="26" t="n"/>
      <c r="D841" s="26" t="n"/>
      <c r="E841" s="26" t="n"/>
      <c r="F841" s="30">
        <f>IF(A841="","",COUNTIF('Holdings'!$A$4:$A$2503,A841))</f>
        <v/>
      </c>
      <c r="G841" s="30">
        <f>IF(A841="","",COUNTIF('Access'!$B$4:$B$1503,A841))</f>
        <v/>
      </c>
      <c r="H841" s="30">
        <f>IF(A841="","",IF(COUNTIF($A$4:$A$1003,A841)&gt;1,"Duplicate holder ID",IF(OR(B841="",C841=""),"Missing required field",IF(F841=0,"No holdings",IF(AND(G841=0,A841&lt;&gt;"LKB-GROUP"),"No login (ok if not invited)","OK")))))</f>
        <v/>
      </c>
    </row>
    <row r="842">
      <c r="A842" s="26" t="n"/>
      <c r="B842" s="26" t="n"/>
      <c r="C842" s="26" t="n"/>
      <c r="D842" s="26" t="n"/>
      <c r="E842" s="26" t="n"/>
      <c r="F842" s="30">
        <f>IF(A842="","",COUNTIF('Holdings'!$A$4:$A$2503,A842))</f>
        <v/>
      </c>
      <c r="G842" s="30">
        <f>IF(A842="","",COUNTIF('Access'!$B$4:$B$1503,A842))</f>
        <v/>
      </c>
      <c r="H842" s="30">
        <f>IF(A842="","",IF(COUNTIF($A$4:$A$1003,A842)&gt;1,"Duplicate holder ID",IF(OR(B842="",C842=""),"Missing required field",IF(F842=0,"No holdings",IF(AND(G842=0,A842&lt;&gt;"LKB-GROUP"),"No login (ok if not invited)","OK")))))</f>
        <v/>
      </c>
    </row>
    <row r="843">
      <c r="A843" s="26" t="n"/>
      <c r="B843" s="26" t="n"/>
      <c r="C843" s="26" t="n"/>
      <c r="D843" s="26" t="n"/>
      <c r="E843" s="26" t="n"/>
      <c r="F843" s="30">
        <f>IF(A843="","",COUNTIF('Holdings'!$A$4:$A$2503,A843))</f>
        <v/>
      </c>
      <c r="G843" s="30">
        <f>IF(A843="","",COUNTIF('Access'!$B$4:$B$1503,A843))</f>
        <v/>
      </c>
      <c r="H843" s="30">
        <f>IF(A843="","",IF(COUNTIF($A$4:$A$1003,A843)&gt;1,"Duplicate holder ID",IF(OR(B843="",C843=""),"Missing required field",IF(F843=0,"No holdings",IF(AND(G843=0,A843&lt;&gt;"LKB-GROUP"),"No login (ok if not invited)","OK")))))</f>
        <v/>
      </c>
    </row>
    <row r="844">
      <c r="A844" s="26" t="n"/>
      <c r="B844" s="26" t="n"/>
      <c r="C844" s="26" t="n"/>
      <c r="D844" s="26" t="n"/>
      <c r="E844" s="26" t="n"/>
      <c r="F844" s="30">
        <f>IF(A844="","",COUNTIF('Holdings'!$A$4:$A$2503,A844))</f>
        <v/>
      </c>
      <c r="G844" s="30">
        <f>IF(A844="","",COUNTIF('Access'!$B$4:$B$1503,A844))</f>
        <v/>
      </c>
      <c r="H844" s="30">
        <f>IF(A844="","",IF(COUNTIF($A$4:$A$1003,A844)&gt;1,"Duplicate holder ID",IF(OR(B844="",C844=""),"Missing required field",IF(F844=0,"No holdings",IF(AND(G844=0,A844&lt;&gt;"LKB-GROUP"),"No login (ok if not invited)","OK")))))</f>
        <v/>
      </c>
    </row>
    <row r="845">
      <c r="A845" s="26" t="n"/>
      <c r="B845" s="26" t="n"/>
      <c r="C845" s="26" t="n"/>
      <c r="D845" s="26" t="n"/>
      <c r="E845" s="26" t="n"/>
      <c r="F845" s="30">
        <f>IF(A845="","",COUNTIF('Holdings'!$A$4:$A$2503,A845))</f>
        <v/>
      </c>
      <c r="G845" s="30">
        <f>IF(A845="","",COUNTIF('Access'!$B$4:$B$1503,A845))</f>
        <v/>
      </c>
      <c r="H845" s="30">
        <f>IF(A845="","",IF(COUNTIF($A$4:$A$1003,A845)&gt;1,"Duplicate holder ID",IF(OR(B845="",C845=""),"Missing required field",IF(F845=0,"No holdings",IF(AND(G845=0,A845&lt;&gt;"LKB-GROUP"),"No login (ok if not invited)","OK")))))</f>
        <v/>
      </c>
    </row>
    <row r="846">
      <c r="A846" s="26" t="n"/>
      <c r="B846" s="26" t="n"/>
      <c r="C846" s="26" t="n"/>
      <c r="D846" s="26" t="n"/>
      <c r="E846" s="26" t="n"/>
      <c r="F846" s="30">
        <f>IF(A846="","",COUNTIF('Holdings'!$A$4:$A$2503,A846))</f>
        <v/>
      </c>
      <c r="G846" s="30">
        <f>IF(A846="","",COUNTIF('Access'!$B$4:$B$1503,A846))</f>
        <v/>
      </c>
      <c r="H846" s="30">
        <f>IF(A846="","",IF(COUNTIF($A$4:$A$1003,A846)&gt;1,"Duplicate holder ID",IF(OR(B846="",C846=""),"Missing required field",IF(F846=0,"No holdings",IF(AND(G846=0,A846&lt;&gt;"LKB-GROUP"),"No login (ok if not invited)","OK")))))</f>
        <v/>
      </c>
    </row>
    <row r="847">
      <c r="A847" s="26" t="n"/>
      <c r="B847" s="26" t="n"/>
      <c r="C847" s="26" t="n"/>
      <c r="D847" s="26" t="n"/>
      <c r="E847" s="26" t="n"/>
      <c r="F847" s="30">
        <f>IF(A847="","",COUNTIF('Holdings'!$A$4:$A$2503,A847))</f>
        <v/>
      </c>
      <c r="G847" s="30">
        <f>IF(A847="","",COUNTIF('Access'!$B$4:$B$1503,A847))</f>
        <v/>
      </c>
      <c r="H847" s="30">
        <f>IF(A847="","",IF(COUNTIF($A$4:$A$1003,A847)&gt;1,"Duplicate holder ID",IF(OR(B847="",C847=""),"Missing required field",IF(F847=0,"No holdings",IF(AND(G847=0,A847&lt;&gt;"LKB-GROUP"),"No login (ok if not invited)","OK")))))</f>
        <v/>
      </c>
    </row>
    <row r="848">
      <c r="A848" s="26" t="n"/>
      <c r="B848" s="26" t="n"/>
      <c r="C848" s="26" t="n"/>
      <c r="D848" s="26" t="n"/>
      <c r="E848" s="26" t="n"/>
      <c r="F848" s="30">
        <f>IF(A848="","",COUNTIF('Holdings'!$A$4:$A$2503,A848))</f>
        <v/>
      </c>
      <c r="G848" s="30">
        <f>IF(A848="","",COUNTIF('Access'!$B$4:$B$1503,A848))</f>
        <v/>
      </c>
      <c r="H848" s="30">
        <f>IF(A848="","",IF(COUNTIF($A$4:$A$1003,A848)&gt;1,"Duplicate holder ID",IF(OR(B848="",C848=""),"Missing required field",IF(F848=0,"No holdings",IF(AND(G848=0,A848&lt;&gt;"LKB-GROUP"),"No login (ok if not invited)","OK")))))</f>
        <v/>
      </c>
    </row>
    <row r="849">
      <c r="A849" s="26" t="n"/>
      <c r="B849" s="26" t="n"/>
      <c r="C849" s="26" t="n"/>
      <c r="D849" s="26" t="n"/>
      <c r="E849" s="26" t="n"/>
      <c r="F849" s="30">
        <f>IF(A849="","",COUNTIF('Holdings'!$A$4:$A$2503,A849))</f>
        <v/>
      </c>
      <c r="G849" s="30">
        <f>IF(A849="","",COUNTIF('Access'!$B$4:$B$1503,A849))</f>
        <v/>
      </c>
      <c r="H849" s="30">
        <f>IF(A849="","",IF(COUNTIF($A$4:$A$1003,A849)&gt;1,"Duplicate holder ID",IF(OR(B849="",C849=""),"Missing required field",IF(F849=0,"No holdings",IF(AND(G849=0,A849&lt;&gt;"LKB-GROUP"),"No login (ok if not invited)","OK")))))</f>
        <v/>
      </c>
    </row>
    <row r="850">
      <c r="A850" s="26" t="n"/>
      <c r="B850" s="26" t="n"/>
      <c r="C850" s="26" t="n"/>
      <c r="D850" s="26" t="n"/>
      <c r="E850" s="26" t="n"/>
      <c r="F850" s="30">
        <f>IF(A850="","",COUNTIF('Holdings'!$A$4:$A$2503,A850))</f>
        <v/>
      </c>
      <c r="G850" s="30">
        <f>IF(A850="","",COUNTIF('Access'!$B$4:$B$1503,A850))</f>
        <v/>
      </c>
      <c r="H850" s="30">
        <f>IF(A850="","",IF(COUNTIF($A$4:$A$1003,A850)&gt;1,"Duplicate holder ID",IF(OR(B850="",C850=""),"Missing required field",IF(F850=0,"No holdings",IF(AND(G850=0,A850&lt;&gt;"LKB-GROUP"),"No login (ok if not invited)","OK")))))</f>
        <v/>
      </c>
    </row>
    <row r="851">
      <c r="A851" s="26" t="n"/>
      <c r="B851" s="26" t="n"/>
      <c r="C851" s="26" t="n"/>
      <c r="D851" s="26" t="n"/>
      <c r="E851" s="26" t="n"/>
      <c r="F851" s="30">
        <f>IF(A851="","",COUNTIF('Holdings'!$A$4:$A$2503,A851))</f>
        <v/>
      </c>
      <c r="G851" s="30">
        <f>IF(A851="","",COUNTIF('Access'!$B$4:$B$1503,A851))</f>
        <v/>
      </c>
      <c r="H851" s="30">
        <f>IF(A851="","",IF(COUNTIF($A$4:$A$1003,A851)&gt;1,"Duplicate holder ID",IF(OR(B851="",C851=""),"Missing required field",IF(F851=0,"No holdings",IF(AND(G851=0,A851&lt;&gt;"LKB-GROUP"),"No login (ok if not invited)","OK")))))</f>
        <v/>
      </c>
    </row>
    <row r="852">
      <c r="A852" s="26" t="n"/>
      <c r="B852" s="26" t="n"/>
      <c r="C852" s="26" t="n"/>
      <c r="D852" s="26" t="n"/>
      <c r="E852" s="26" t="n"/>
      <c r="F852" s="30">
        <f>IF(A852="","",COUNTIF('Holdings'!$A$4:$A$2503,A852))</f>
        <v/>
      </c>
      <c r="G852" s="30">
        <f>IF(A852="","",COUNTIF('Access'!$B$4:$B$1503,A852))</f>
        <v/>
      </c>
      <c r="H852" s="30">
        <f>IF(A852="","",IF(COUNTIF($A$4:$A$1003,A852)&gt;1,"Duplicate holder ID",IF(OR(B852="",C852=""),"Missing required field",IF(F852=0,"No holdings",IF(AND(G852=0,A852&lt;&gt;"LKB-GROUP"),"No login (ok if not invited)","OK")))))</f>
        <v/>
      </c>
    </row>
    <row r="853">
      <c r="A853" s="26" t="n"/>
      <c r="B853" s="26" t="n"/>
      <c r="C853" s="26" t="n"/>
      <c r="D853" s="26" t="n"/>
      <c r="E853" s="26" t="n"/>
      <c r="F853" s="30">
        <f>IF(A853="","",COUNTIF('Holdings'!$A$4:$A$2503,A853))</f>
        <v/>
      </c>
      <c r="G853" s="30">
        <f>IF(A853="","",COUNTIF('Access'!$B$4:$B$1503,A853))</f>
        <v/>
      </c>
      <c r="H853" s="30">
        <f>IF(A853="","",IF(COUNTIF($A$4:$A$1003,A853)&gt;1,"Duplicate holder ID",IF(OR(B853="",C853=""),"Missing required field",IF(F853=0,"No holdings",IF(AND(G853=0,A853&lt;&gt;"LKB-GROUP"),"No login (ok if not invited)","OK")))))</f>
        <v/>
      </c>
    </row>
    <row r="854">
      <c r="A854" s="26" t="n"/>
      <c r="B854" s="26" t="n"/>
      <c r="C854" s="26" t="n"/>
      <c r="D854" s="26" t="n"/>
      <c r="E854" s="26" t="n"/>
      <c r="F854" s="30">
        <f>IF(A854="","",COUNTIF('Holdings'!$A$4:$A$2503,A854))</f>
        <v/>
      </c>
      <c r="G854" s="30">
        <f>IF(A854="","",COUNTIF('Access'!$B$4:$B$1503,A854))</f>
        <v/>
      </c>
      <c r="H854" s="30">
        <f>IF(A854="","",IF(COUNTIF($A$4:$A$1003,A854)&gt;1,"Duplicate holder ID",IF(OR(B854="",C854=""),"Missing required field",IF(F854=0,"No holdings",IF(AND(G854=0,A854&lt;&gt;"LKB-GROUP"),"No login (ok if not invited)","OK")))))</f>
        <v/>
      </c>
    </row>
    <row r="855">
      <c r="A855" s="26" t="n"/>
      <c r="B855" s="26" t="n"/>
      <c r="C855" s="26" t="n"/>
      <c r="D855" s="26" t="n"/>
      <c r="E855" s="26" t="n"/>
      <c r="F855" s="30">
        <f>IF(A855="","",COUNTIF('Holdings'!$A$4:$A$2503,A855))</f>
        <v/>
      </c>
      <c r="G855" s="30">
        <f>IF(A855="","",COUNTIF('Access'!$B$4:$B$1503,A855))</f>
        <v/>
      </c>
      <c r="H855" s="30">
        <f>IF(A855="","",IF(COUNTIF($A$4:$A$1003,A855)&gt;1,"Duplicate holder ID",IF(OR(B855="",C855=""),"Missing required field",IF(F855=0,"No holdings",IF(AND(G855=0,A855&lt;&gt;"LKB-GROUP"),"No login (ok if not invited)","OK")))))</f>
        <v/>
      </c>
    </row>
    <row r="856">
      <c r="A856" s="26" t="n"/>
      <c r="B856" s="26" t="n"/>
      <c r="C856" s="26" t="n"/>
      <c r="D856" s="26" t="n"/>
      <c r="E856" s="26" t="n"/>
      <c r="F856" s="30">
        <f>IF(A856="","",COUNTIF('Holdings'!$A$4:$A$2503,A856))</f>
        <v/>
      </c>
      <c r="G856" s="30">
        <f>IF(A856="","",COUNTIF('Access'!$B$4:$B$1503,A856))</f>
        <v/>
      </c>
      <c r="H856" s="30">
        <f>IF(A856="","",IF(COUNTIF($A$4:$A$1003,A856)&gt;1,"Duplicate holder ID",IF(OR(B856="",C856=""),"Missing required field",IF(F856=0,"No holdings",IF(AND(G856=0,A856&lt;&gt;"LKB-GROUP"),"No login (ok if not invited)","OK")))))</f>
        <v/>
      </c>
    </row>
    <row r="857">
      <c r="A857" s="26" t="n"/>
      <c r="B857" s="26" t="n"/>
      <c r="C857" s="26" t="n"/>
      <c r="D857" s="26" t="n"/>
      <c r="E857" s="26" t="n"/>
      <c r="F857" s="30">
        <f>IF(A857="","",COUNTIF('Holdings'!$A$4:$A$2503,A857))</f>
        <v/>
      </c>
      <c r="G857" s="30">
        <f>IF(A857="","",COUNTIF('Access'!$B$4:$B$1503,A857))</f>
        <v/>
      </c>
      <c r="H857" s="30">
        <f>IF(A857="","",IF(COUNTIF($A$4:$A$1003,A857)&gt;1,"Duplicate holder ID",IF(OR(B857="",C857=""),"Missing required field",IF(F857=0,"No holdings",IF(AND(G857=0,A857&lt;&gt;"LKB-GROUP"),"No login (ok if not invited)","OK")))))</f>
        <v/>
      </c>
    </row>
    <row r="858">
      <c r="A858" s="26" t="n"/>
      <c r="B858" s="26" t="n"/>
      <c r="C858" s="26" t="n"/>
      <c r="D858" s="26" t="n"/>
      <c r="E858" s="26" t="n"/>
      <c r="F858" s="30">
        <f>IF(A858="","",COUNTIF('Holdings'!$A$4:$A$2503,A858))</f>
        <v/>
      </c>
      <c r="G858" s="30">
        <f>IF(A858="","",COUNTIF('Access'!$B$4:$B$1503,A858))</f>
        <v/>
      </c>
      <c r="H858" s="30">
        <f>IF(A858="","",IF(COUNTIF($A$4:$A$1003,A858)&gt;1,"Duplicate holder ID",IF(OR(B858="",C858=""),"Missing required field",IF(F858=0,"No holdings",IF(AND(G858=0,A858&lt;&gt;"LKB-GROUP"),"No login (ok if not invited)","OK")))))</f>
        <v/>
      </c>
    </row>
    <row r="859">
      <c r="A859" s="26" t="n"/>
      <c r="B859" s="26" t="n"/>
      <c r="C859" s="26" t="n"/>
      <c r="D859" s="26" t="n"/>
      <c r="E859" s="26" t="n"/>
      <c r="F859" s="30">
        <f>IF(A859="","",COUNTIF('Holdings'!$A$4:$A$2503,A859))</f>
        <v/>
      </c>
      <c r="G859" s="30">
        <f>IF(A859="","",COUNTIF('Access'!$B$4:$B$1503,A859))</f>
        <v/>
      </c>
      <c r="H859" s="30">
        <f>IF(A859="","",IF(COUNTIF($A$4:$A$1003,A859)&gt;1,"Duplicate holder ID",IF(OR(B859="",C859=""),"Missing required field",IF(F859=0,"No holdings",IF(AND(G859=0,A859&lt;&gt;"LKB-GROUP"),"No login (ok if not invited)","OK")))))</f>
        <v/>
      </c>
    </row>
    <row r="860">
      <c r="A860" s="26" t="n"/>
      <c r="B860" s="26" t="n"/>
      <c r="C860" s="26" t="n"/>
      <c r="D860" s="26" t="n"/>
      <c r="E860" s="26" t="n"/>
      <c r="F860" s="30">
        <f>IF(A860="","",COUNTIF('Holdings'!$A$4:$A$2503,A860))</f>
        <v/>
      </c>
      <c r="G860" s="30">
        <f>IF(A860="","",COUNTIF('Access'!$B$4:$B$1503,A860))</f>
        <v/>
      </c>
      <c r="H860" s="30">
        <f>IF(A860="","",IF(COUNTIF($A$4:$A$1003,A860)&gt;1,"Duplicate holder ID",IF(OR(B860="",C860=""),"Missing required field",IF(F860=0,"No holdings",IF(AND(G860=0,A860&lt;&gt;"LKB-GROUP"),"No login (ok if not invited)","OK")))))</f>
        <v/>
      </c>
    </row>
    <row r="861">
      <c r="A861" s="26" t="n"/>
      <c r="B861" s="26" t="n"/>
      <c r="C861" s="26" t="n"/>
      <c r="D861" s="26" t="n"/>
      <c r="E861" s="26" t="n"/>
      <c r="F861" s="30">
        <f>IF(A861="","",COUNTIF('Holdings'!$A$4:$A$2503,A861))</f>
        <v/>
      </c>
      <c r="G861" s="30">
        <f>IF(A861="","",COUNTIF('Access'!$B$4:$B$1503,A861))</f>
        <v/>
      </c>
      <c r="H861" s="30">
        <f>IF(A861="","",IF(COUNTIF($A$4:$A$1003,A861)&gt;1,"Duplicate holder ID",IF(OR(B861="",C861=""),"Missing required field",IF(F861=0,"No holdings",IF(AND(G861=0,A861&lt;&gt;"LKB-GROUP"),"No login (ok if not invited)","OK")))))</f>
        <v/>
      </c>
    </row>
    <row r="862">
      <c r="A862" s="26" t="n"/>
      <c r="B862" s="26" t="n"/>
      <c r="C862" s="26" t="n"/>
      <c r="D862" s="26" t="n"/>
      <c r="E862" s="26" t="n"/>
      <c r="F862" s="30">
        <f>IF(A862="","",COUNTIF('Holdings'!$A$4:$A$2503,A862))</f>
        <v/>
      </c>
      <c r="G862" s="30">
        <f>IF(A862="","",COUNTIF('Access'!$B$4:$B$1503,A862))</f>
        <v/>
      </c>
      <c r="H862" s="30">
        <f>IF(A862="","",IF(COUNTIF($A$4:$A$1003,A862)&gt;1,"Duplicate holder ID",IF(OR(B862="",C862=""),"Missing required field",IF(F862=0,"No holdings",IF(AND(G862=0,A862&lt;&gt;"LKB-GROUP"),"No login (ok if not invited)","OK")))))</f>
        <v/>
      </c>
    </row>
    <row r="863">
      <c r="A863" s="26" t="n"/>
      <c r="B863" s="26" t="n"/>
      <c r="C863" s="26" t="n"/>
      <c r="D863" s="26" t="n"/>
      <c r="E863" s="26" t="n"/>
      <c r="F863" s="30">
        <f>IF(A863="","",COUNTIF('Holdings'!$A$4:$A$2503,A863))</f>
        <v/>
      </c>
      <c r="G863" s="30">
        <f>IF(A863="","",COUNTIF('Access'!$B$4:$B$1503,A863))</f>
        <v/>
      </c>
      <c r="H863" s="30">
        <f>IF(A863="","",IF(COUNTIF($A$4:$A$1003,A863)&gt;1,"Duplicate holder ID",IF(OR(B863="",C863=""),"Missing required field",IF(F863=0,"No holdings",IF(AND(G863=0,A863&lt;&gt;"LKB-GROUP"),"No login (ok if not invited)","OK")))))</f>
        <v/>
      </c>
    </row>
    <row r="864">
      <c r="A864" s="26" t="n"/>
      <c r="B864" s="26" t="n"/>
      <c r="C864" s="26" t="n"/>
      <c r="D864" s="26" t="n"/>
      <c r="E864" s="26" t="n"/>
      <c r="F864" s="30">
        <f>IF(A864="","",COUNTIF('Holdings'!$A$4:$A$2503,A864))</f>
        <v/>
      </c>
      <c r="G864" s="30">
        <f>IF(A864="","",COUNTIF('Access'!$B$4:$B$1503,A864))</f>
        <v/>
      </c>
      <c r="H864" s="30">
        <f>IF(A864="","",IF(COUNTIF($A$4:$A$1003,A864)&gt;1,"Duplicate holder ID",IF(OR(B864="",C864=""),"Missing required field",IF(F864=0,"No holdings",IF(AND(G864=0,A864&lt;&gt;"LKB-GROUP"),"No login (ok if not invited)","OK")))))</f>
        <v/>
      </c>
    </row>
    <row r="865">
      <c r="A865" s="26" t="n"/>
      <c r="B865" s="26" t="n"/>
      <c r="C865" s="26" t="n"/>
      <c r="D865" s="26" t="n"/>
      <c r="E865" s="26" t="n"/>
      <c r="F865" s="30">
        <f>IF(A865="","",COUNTIF('Holdings'!$A$4:$A$2503,A865))</f>
        <v/>
      </c>
      <c r="G865" s="30">
        <f>IF(A865="","",COUNTIF('Access'!$B$4:$B$1503,A865))</f>
        <v/>
      </c>
      <c r="H865" s="30">
        <f>IF(A865="","",IF(COUNTIF($A$4:$A$1003,A865)&gt;1,"Duplicate holder ID",IF(OR(B865="",C865=""),"Missing required field",IF(F865=0,"No holdings",IF(AND(G865=0,A865&lt;&gt;"LKB-GROUP"),"No login (ok if not invited)","OK")))))</f>
        <v/>
      </c>
    </row>
    <row r="866">
      <c r="A866" s="26" t="n"/>
      <c r="B866" s="26" t="n"/>
      <c r="C866" s="26" t="n"/>
      <c r="D866" s="26" t="n"/>
      <c r="E866" s="26" t="n"/>
      <c r="F866" s="30">
        <f>IF(A866="","",COUNTIF('Holdings'!$A$4:$A$2503,A866))</f>
        <v/>
      </c>
      <c r="G866" s="30">
        <f>IF(A866="","",COUNTIF('Access'!$B$4:$B$1503,A866))</f>
        <v/>
      </c>
      <c r="H866" s="30">
        <f>IF(A866="","",IF(COUNTIF($A$4:$A$1003,A866)&gt;1,"Duplicate holder ID",IF(OR(B866="",C866=""),"Missing required field",IF(F866=0,"No holdings",IF(AND(G866=0,A866&lt;&gt;"LKB-GROUP"),"No login (ok if not invited)","OK")))))</f>
        <v/>
      </c>
    </row>
    <row r="867">
      <c r="A867" s="26" t="n"/>
      <c r="B867" s="26" t="n"/>
      <c r="C867" s="26" t="n"/>
      <c r="D867" s="26" t="n"/>
      <c r="E867" s="26" t="n"/>
      <c r="F867" s="30">
        <f>IF(A867="","",COUNTIF('Holdings'!$A$4:$A$2503,A867))</f>
        <v/>
      </c>
      <c r="G867" s="30">
        <f>IF(A867="","",COUNTIF('Access'!$B$4:$B$1503,A867))</f>
        <v/>
      </c>
      <c r="H867" s="30">
        <f>IF(A867="","",IF(COUNTIF($A$4:$A$1003,A867)&gt;1,"Duplicate holder ID",IF(OR(B867="",C867=""),"Missing required field",IF(F867=0,"No holdings",IF(AND(G867=0,A867&lt;&gt;"LKB-GROUP"),"No login (ok if not invited)","OK")))))</f>
        <v/>
      </c>
    </row>
    <row r="868">
      <c r="A868" s="26" t="n"/>
      <c r="B868" s="26" t="n"/>
      <c r="C868" s="26" t="n"/>
      <c r="D868" s="26" t="n"/>
      <c r="E868" s="26" t="n"/>
      <c r="F868" s="30">
        <f>IF(A868="","",COUNTIF('Holdings'!$A$4:$A$2503,A868))</f>
        <v/>
      </c>
      <c r="G868" s="30">
        <f>IF(A868="","",COUNTIF('Access'!$B$4:$B$1503,A868))</f>
        <v/>
      </c>
      <c r="H868" s="30">
        <f>IF(A868="","",IF(COUNTIF($A$4:$A$1003,A868)&gt;1,"Duplicate holder ID",IF(OR(B868="",C868=""),"Missing required field",IF(F868=0,"No holdings",IF(AND(G868=0,A868&lt;&gt;"LKB-GROUP"),"No login (ok if not invited)","OK")))))</f>
        <v/>
      </c>
    </row>
    <row r="869">
      <c r="A869" s="26" t="n"/>
      <c r="B869" s="26" t="n"/>
      <c r="C869" s="26" t="n"/>
      <c r="D869" s="26" t="n"/>
      <c r="E869" s="26" t="n"/>
      <c r="F869" s="30">
        <f>IF(A869="","",COUNTIF('Holdings'!$A$4:$A$2503,A869))</f>
        <v/>
      </c>
      <c r="G869" s="30">
        <f>IF(A869="","",COUNTIF('Access'!$B$4:$B$1503,A869))</f>
        <v/>
      </c>
      <c r="H869" s="30">
        <f>IF(A869="","",IF(COUNTIF($A$4:$A$1003,A869)&gt;1,"Duplicate holder ID",IF(OR(B869="",C869=""),"Missing required field",IF(F869=0,"No holdings",IF(AND(G869=0,A869&lt;&gt;"LKB-GROUP"),"No login (ok if not invited)","OK")))))</f>
        <v/>
      </c>
    </row>
    <row r="870">
      <c r="A870" s="26" t="n"/>
      <c r="B870" s="26" t="n"/>
      <c r="C870" s="26" t="n"/>
      <c r="D870" s="26" t="n"/>
      <c r="E870" s="26" t="n"/>
      <c r="F870" s="30">
        <f>IF(A870="","",COUNTIF('Holdings'!$A$4:$A$2503,A870))</f>
        <v/>
      </c>
      <c r="G870" s="30">
        <f>IF(A870="","",COUNTIF('Access'!$B$4:$B$1503,A870))</f>
        <v/>
      </c>
      <c r="H870" s="30">
        <f>IF(A870="","",IF(COUNTIF($A$4:$A$1003,A870)&gt;1,"Duplicate holder ID",IF(OR(B870="",C870=""),"Missing required field",IF(F870=0,"No holdings",IF(AND(G870=0,A870&lt;&gt;"LKB-GROUP"),"No login (ok if not invited)","OK")))))</f>
        <v/>
      </c>
    </row>
    <row r="871">
      <c r="A871" s="26" t="n"/>
      <c r="B871" s="26" t="n"/>
      <c r="C871" s="26" t="n"/>
      <c r="D871" s="26" t="n"/>
      <c r="E871" s="26" t="n"/>
      <c r="F871" s="30">
        <f>IF(A871="","",COUNTIF('Holdings'!$A$4:$A$2503,A871))</f>
        <v/>
      </c>
      <c r="G871" s="30">
        <f>IF(A871="","",COUNTIF('Access'!$B$4:$B$1503,A871))</f>
        <v/>
      </c>
      <c r="H871" s="30">
        <f>IF(A871="","",IF(COUNTIF($A$4:$A$1003,A871)&gt;1,"Duplicate holder ID",IF(OR(B871="",C871=""),"Missing required field",IF(F871=0,"No holdings",IF(AND(G871=0,A871&lt;&gt;"LKB-GROUP"),"No login (ok if not invited)","OK")))))</f>
        <v/>
      </c>
    </row>
    <row r="872">
      <c r="A872" s="26" t="n"/>
      <c r="B872" s="26" t="n"/>
      <c r="C872" s="26" t="n"/>
      <c r="D872" s="26" t="n"/>
      <c r="E872" s="26" t="n"/>
      <c r="F872" s="30">
        <f>IF(A872="","",COUNTIF('Holdings'!$A$4:$A$2503,A872))</f>
        <v/>
      </c>
      <c r="G872" s="30">
        <f>IF(A872="","",COUNTIF('Access'!$B$4:$B$1503,A872))</f>
        <v/>
      </c>
      <c r="H872" s="30">
        <f>IF(A872="","",IF(COUNTIF($A$4:$A$1003,A872)&gt;1,"Duplicate holder ID",IF(OR(B872="",C872=""),"Missing required field",IF(F872=0,"No holdings",IF(AND(G872=0,A872&lt;&gt;"LKB-GROUP"),"No login (ok if not invited)","OK")))))</f>
        <v/>
      </c>
    </row>
    <row r="873">
      <c r="A873" s="26" t="n"/>
      <c r="B873" s="26" t="n"/>
      <c r="C873" s="26" t="n"/>
      <c r="D873" s="26" t="n"/>
      <c r="E873" s="26" t="n"/>
      <c r="F873" s="30">
        <f>IF(A873="","",COUNTIF('Holdings'!$A$4:$A$2503,A873))</f>
        <v/>
      </c>
      <c r="G873" s="30">
        <f>IF(A873="","",COUNTIF('Access'!$B$4:$B$1503,A873))</f>
        <v/>
      </c>
      <c r="H873" s="30">
        <f>IF(A873="","",IF(COUNTIF($A$4:$A$1003,A873)&gt;1,"Duplicate holder ID",IF(OR(B873="",C873=""),"Missing required field",IF(F873=0,"No holdings",IF(AND(G873=0,A873&lt;&gt;"LKB-GROUP"),"No login (ok if not invited)","OK")))))</f>
        <v/>
      </c>
    </row>
    <row r="874">
      <c r="A874" s="26" t="n"/>
      <c r="B874" s="26" t="n"/>
      <c r="C874" s="26" t="n"/>
      <c r="D874" s="26" t="n"/>
      <c r="E874" s="26" t="n"/>
      <c r="F874" s="30">
        <f>IF(A874="","",COUNTIF('Holdings'!$A$4:$A$2503,A874))</f>
        <v/>
      </c>
      <c r="G874" s="30">
        <f>IF(A874="","",COUNTIF('Access'!$B$4:$B$1503,A874))</f>
        <v/>
      </c>
      <c r="H874" s="30">
        <f>IF(A874="","",IF(COUNTIF($A$4:$A$1003,A874)&gt;1,"Duplicate holder ID",IF(OR(B874="",C874=""),"Missing required field",IF(F874=0,"No holdings",IF(AND(G874=0,A874&lt;&gt;"LKB-GROUP"),"No login (ok if not invited)","OK")))))</f>
        <v/>
      </c>
    </row>
    <row r="875">
      <c r="A875" s="26" t="n"/>
      <c r="B875" s="26" t="n"/>
      <c r="C875" s="26" t="n"/>
      <c r="D875" s="26" t="n"/>
      <c r="E875" s="26" t="n"/>
      <c r="F875" s="30">
        <f>IF(A875="","",COUNTIF('Holdings'!$A$4:$A$2503,A875))</f>
        <v/>
      </c>
      <c r="G875" s="30">
        <f>IF(A875="","",COUNTIF('Access'!$B$4:$B$1503,A875))</f>
        <v/>
      </c>
      <c r="H875" s="30">
        <f>IF(A875="","",IF(COUNTIF($A$4:$A$1003,A875)&gt;1,"Duplicate holder ID",IF(OR(B875="",C875=""),"Missing required field",IF(F875=0,"No holdings",IF(AND(G875=0,A875&lt;&gt;"LKB-GROUP"),"No login (ok if not invited)","OK")))))</f>
        <v/>
      </c>
    </row>
    <row r="876">
      <c r="A876" s="26" t="n"/>
      <c r="B876" s="26" t="n"/>
      <c r="C876" s="26" t="n"/>
      <c r="D876" s="26" t="n"/>
      <c r="E876" s="26" t="n"/>
      <c r="F876" s="30">
        <f>IF(A876="","",COUNTIF('Holdings'!$A$4:$A$2503,A876))</f>
        <v/>
      </c>
      <c r="G876" s="30">
        <f>IF(A876="","",COUNTIF('Access'!$B$4:$B$1503,A876))</f>
        <v/>
      </c>
      <c r="H876" s="30">
        <f>IF(A876="","",IF(COUNTIF($A$4:$A$1003,A876)&gt;1,"Duplicate holder ID",IF(OR(B876="",C876=""),"Missing required field",IF(F876=0,"No holdings",IF(AND(G876=0,A876&lt;&gt;"LKB-GROUP"),"No login (ok if not invited)","OK")))))</f>
        <v/>
      </c>
    </row>
    <row r="877">
      <c r="A877" s="26" t="n"/>
      <c r="B877" s="26" t="n"/>
      <c r="C877" s="26" t="n"/>
      <c r="D877" s="26" t="n"/>
      <c r="E877" s="26" t="n"/>
      <c r="F877" s="30">
        <f>IF(A877="","",COUNTIF('Holdings'!$A$4:$A$2503,A877))</f>
        <v/>
      </c>
      <c r="G877" s="30">
        <f>IF(A877="","",COUNTIF('Access'!$B$4:$B$1503,A877))</f>
        <v/>
      </c>
      <c r="H877" s="30">
        <f>IF(A877="","",IF(COUNTIF($A$4:$A$1003,A877)&gt;1,"Duplicate holder ID",IF(OR(B877="",C877=""),"Missing required field",IF(F877=0,"No holdings",IF(AND(G877=0,A877&lt;&gt;"LKB-GROUP"),"No login (ok if not invited)","OK")))))</f>
        <v/>
      </c>
    </row>
    <row r="878">
      <c r="A878" s="26" t="n"/>
      <c r="B878" s="26" t="n"/>
      <c r="C878" s="26" t="n"/>
      <c r="D878" s="26" t="n"/>
      <c r="E878" s="26" t="n"/>
      <c r="F878" s="30">
        <f>IF(A878="","",COUNTIF('Holdings'!$A$4:$A$2503,A878))</f>
        <v/>
      </c>
      <c r="G878" s="30">
        <f>IF(A878="","",COUNTIF('Access'!$B$4:$B$1503,A878))</f>
        <v/>
      </c>
      <c r="H878" s="30">
        <f>IF(A878="","",IF(COUNTIF($A$4:$A$1003,A878)&gt;1,"Duplicate holder ID",IF(OR(B878="",C878=""),"Missing required field",IF(F878=0,"No holdings",IF(AND(G878=0,A878&lt;&gt;"LKB-GROUP"),"No login (ok if not invited)","OK")))))</f>
        <v/>
      </c>
    </row>
    <row r="879">
      <c r="A879" s="26" t="n"/>
      <c r="B879" s="26" t="n"/>
      <c r="C879" s="26" t="n"/>
      <c r="D879" s="26" t="n"/>
      <c r="E879" s="26" t="n"/>
      <c r="F879" s="30">
        <f>IF(A879="","",COUNTIF('Holdings'!$A$4:$A$2503,A879))</f>
        <v/>
      </c>
      <c r="G879" s="30">
        <f>IF(A879="","",COUNTIF('Access'!$B$4:$B$1503,A879))</f>
        <v/>
      </c>
      <c r="H879" s="30">
        <f>IF(A879="","",IF(COUNTIF($A$4:$A$1003,A879)&gt;1,"Duplicate holder ID",IF(OR(B879="",C879=""),"Missing required field",IF(F879=0,"No holdings",IF(AND(G879=0,A879&lt;&gt;"LKB-GROUP"),"No login (ok if not invited)","OK")))))</f>
        <v/>
      </c>
    </row>
    <row r="880">
      <c r="A880" s="26" t="n"/>
      <c r="B880" s="26" t="n"/>
      <c r="C880" s="26" t="n"/>
      <c r="D880" s="26" t="n"/>
      <c r="E880" s="26" t="n"/>
      <c r="F880" s="30">
        <f>IF(A880="","",COUNTIF('Holdings'!$A$4:$A$2503,A880))</f>
        <v/>
      </c>
      <c r="G880" s="30">
        <f>IF(A880="","",COUNTIF('Access'!$B$4:$B$1503,A880))</f>
        <v/>
      </c>
      <c r="H880" s="30">
        <f>IF(A880="","",IF(COUNTIF($A$4:$A$1003,A880)&gt;1,"Duplicate holder ID",IF(OR(B880="",C880=""),"Missing required field",IF(F880=0,"No holdings",IF(AND(G880=0,A880&lt;&gt;"LKB-GROUP"),"No login (ok if not invited)","OK")))))</f>
        <v/>
      </c>
    </row>
    <row r="881">
      <c r="A881" s="26" t="n"/>
      <c r="B881" s="26" t="n"/>
      <c r="C881" s="26" t="n"/>
      <c r="D881" s="26" t="n"/>
      <c r="E881" s="26" t="n"/>
      <c r="F881" s="30">
        <f>IF(A881="","",COUNTIF('Holdings'!$A$4:$A$2503,A881))</f>
        <v/>
      </c>
      <c r="G881" s="30">
        <f>IF(A881="","",COUNTIF('Access'!$B$4:$B$1503,A881))</f>
        <v/>
      </c>
      <c r="H881" s="30">
        <f>IF(A881="","",IF(COUNTIF($A$4:$A$1003,A881)&gt;1,"Duplicate holder ID",IF(OR(B881="",C881=""),"Missing required field",IF(F881=0,"No holdings",IF(AND(G881=0,A881&lt;&gt;"LKB-GROUP"),"No login (ok if not invited)","OK")))))</f>
        <v/>
      </c>
    </row>
    <row r="882">
      <c r="A882" s="26" t="n"/>
      <c r="B882" s="26" t="n"/>
      <c r="C882" s="26" t="n"/>
      <c r="D882" s="26" t="n"/>
      <c r="E882" s="26" t="n"/>
      <c r="F882" s="30">
        <f>IF(A882="","",COUNTIF('Holdings'!$A$4:$A$2503,A882))</f>
        <v/>
      </c>
      <c r="G882" s="30">
        <f>IF(A882="","",COUNTIF('Access'!$B$4:$B$1503,A882))</f>
        <v/>
      </c>
      <c r="H882" s="30">
        <f>IF(A882="","",IF(COUNTIF($A$4:$A$1003,A882)&gt;1,"Duplicate holder ID",IF(OR(B882="",C882=""),"Missing required field",IF(F882=0,"No holdings",IF(AND(G882=0,A882&lt;&gt;"LKB-GROUP"),"No login (ok if not invited)","OK")))))</f>
        <v/>
      </c>
    </row>
    <row r="883">
      <c r="A883" s="26" t="n"/>
      <c r="B883" s="26" t="n"/>
      <c r="C883" s="26" t="n"/>
      <c r="D883" s="26" t="n"/>
      <c r="E883" s="26" t="n"/>
      <c r="F883" s="30">
        <f>IF(A883="","",COUNTIF('Holdings'!$A$4:$A$2503,A883))</f>
        <v/>
      </c>
      <c r="G883" s="30">
        <f>IF(A883="","",COUNTIF('Access'!$B$4:$B$1503,A883))</f>
        <v/>
      </c>
      <c r="H883" s="30">
        <f>IF(A883="","",IF(COUNTIF($A$4:$A$1003,A883)&gt;1,"Duplicate holder ID",IF(OR(B883="",C883=""),"Missing required field",IF(F883=0,"No holdings",IF(AND(G883=0,A883&lt;&gt;"LKB-GROUP"),"No login (ok if not invited)","OK")))))</f>
        <v/>
      </c>
    </row>
    <row r="884">
      <c r="A884" s="26" t="n"/>
      <c r="B884" s="26" t="n"/>
      <c r="C884" s="26" t="n"/>
      <c r="D884" s="26" t="n"/>
      <c r="E884" s="26" t="n"/>
      <c r="F884" s="30">
        <f>IF(A884="","",COUNTIF('Holdings'!$A$4:$A$2503,A884))</f>
        <v/>
      </c>
      <c r="G884" s="30">
        <f>IF(A884="","",COUNTIF('Access'!$B$4:$B$1503,A884))</f>
        <v/>
      </c>
      <c r="H884" s="30">
        <f>IF(A884="","",IF(COUNTIF($A$4:$A$1003,A884)&gt;1,"Duplicate holder ID",IF(OR(B884="",C884=""),"Missing required field",IF(F884=0,"No holdings",IF(AND(G884=0,A884&lt;&gt;"LKB-GROUP"),"No login (ok if not invited)","OK")))))</f>
        <v/>
      </c>
    </row>
    <row r="885">
      <c r="A885" s="26" t="n"/>
      <c r="B885" s="26" t="n"/>
      <c r="C885" s="26" t="n"/>
      <c r="D885" s="26" t="n"/>
      <c r="E885" s="26" t="n"/>
      <c r="F885" s="30">
        <f>IF(A885="","",COUNTIF('Holdings'!$A$4:$A$2503,A885))</f>
        <v/>
      </c>
      <c r="G885" s="30">
        <f>IF(A885="","",COUNTIF('Access'!$B$4:$B$1503,A885))</f>
        <v/>
      </c>
      <c r="H885" s="30">
        <f>IF(A885="","",IF(COUNTIF($A$4:$A$1003,A885)&gt;1,"Duplicate holder ID",IF(OR(B885="",C885=""),"Missing required field",IF(F885=0,"No holdings",IF(AND(G885=0,A885&lt;&gt;"LKB-GROUP"),"No login (ok if not invited)","OK")))))</f>
        <v/>
      </c>
    </row>
    <row r="886">
      <c r="A886" s="26" t="n"/>
      <c r="B886" s="26" t="n"/>
      <c r="C886" s="26" t="n"/>
      <c r="D886" s="26" t="n"/>
      <c r="E886" s="26" t="n"/>
      <c r="F886" s="30">
        <f>IF(A886="","",COUNTIF('Holdings'!$A$4:$A$2503,A886))</f>
        <v/>
      </c>
      <c r="G886" s="30">
        <f>IF(A886="","",COUNTIF('Access'!$B$4:$B$1503,A886))</f>
        <v/>
      </c>
      <c r="H886" s="30">
        <f>IF(A886="","",IF(COUNTIF($A$4:$A$1003,A886)&gt;1,"Duplicate holder ID",IF(OR(B886="",C886=""),"Missing required field",IF(F886=0,"No holdings",IF(AND(G886=0,A886&lt;&gt;"LKB-GROUP"),"No login (ok if not invited)","OK")))))</f>
        <v/>
      </c>
    </row>
    <row r="887">
      <c r="A887" s="26" t="n"/>
      <c r="B887" s="26" t="n"/>
      <c r="C887" s="26" t="n"/>
      <c r="D887" s="26" t="n"/>
      <c r="E887" s="26" t="n"/>
      <c r="F887" s="30">
        <f>IF(A887="","",COUNTIF('Holdings'!$A$4:$A$2503,A887))</f>
        <v/>
      </c>
      <c r="G887" s="30">
        <f>IF(A887="","",COUNTIF('Access'!$B$4:$B$1503,A887))</f>
        <v/>
      </c>
      <c r="H887" s="30">
        <f>IF(A887="","",IF(COUNTIF($A$4:$A$1003,A887)&gt;1,"Duplicate holder ID",IF(OR(B887="",C887=""),"Missing required field",IF(F887=0,"No holdings",IF(AND(G887=0,A887&lt;&gt;"LKB-GROUP"),"No login (ok if not invited)","OK")))))</f>
        <v/>
      </c>
    </row>
    <row r="888">
      <c r="A888" s="26" t="n"/>
      <c r="B888" s="26" t="n"/>
      <c r="C888" s="26" t="n"/>
      <c r="D888" s="26" t="n"/>
      <c r="E888" s="26" t="n"/>
      <c r="F888" s="30">
        <f>IF(A888="","",COUNTIF('Holdings'!$A$4:$A$2503,A888))</f>
        <v/>
      </c>
      <c r="G888" s="30">
        <f>IF(A888="","",COUNTIF('Access'!$B$4:$B$1503,A888))</f>
        <v/>
      </c>
      <c r="H888" s="30">
        <f>IF(A888="","",IF(COUNTIF($A$4:$A$1003,A888)&gt;1,"Duplicate holder ID",IF(OR(B888="",C888=""),"Missing required field",IF(F888=0,"No holdings",IF(AND(G888=0,A888&lt;&gt;"LKB-GROUP"),"No login (ok if not invited)","OK")))))</f>
        <v/>
      </c>
    </row>
    <row r="889">
      <c r="A889" s="26" t="n"/>
      <c r="B889" s="26" t="n"/>
      <c r="C889" s="26" t="n"/>
      <c r="D889" s="26" t="n"/>
      <c r="E889" s="26" t="n"/>
      <c r="F889" s="30">
        <f>IF(A889="","",COUNTIF('Holdings'!$A$4:$A$2503,A889))</f>
        <v/>
      </c>
      <c r="G889" s="30">
        <f>IF(A889="","",COUNTIF('Access'!$B$4:$B$1503,A889))</f>
        <v/>
      </c>
      <c r="H889" s="30">
        <f>IF(A889="","",IF(COUNTIF($A$4:$A$1003,A889)&gt;1,"Duplicate holder ID",IF(OR(B889="",C889=""),"Missing required field",IF(F889=0,"No holdings",IF(AND(G889=0,A889&lt;&gt;"LKB-GROUP"),"No login (ok if not invited)","OK")))))</f>
        <v/>
      </c>
    </row>
    <row r="890">
      <c r="A890" s="26" t="n"/>
      <c r="B890" s="26" t="n"/>
      <c r="C890" s="26" t="n"/>
      <c r="D890" s="26" t="n"/>
      <c r="E890" s="26" t="n"/>
      <c r="F890" s="30">
        <f>IF(A890="","",COUNTIF('Holdings'!$A$4:$A$2503,A890))</f>
        <v/>
      </c>
      <c r="G890" s="30">
        <f>IF(A890="","",COUNTIF('Access'!$B$4:$B$1503,A890))</f>
        <v/>
      </c>
      <c r="H890" s="30">
        <f>IF(A890="","",IF(COUNTIF($A$4:$A$1003,A890)&gt;1,"Duplicate holder ID",IF(OR(B890="",C890=""),"Missing required field",IF(F890=0,"No holdings",IF(AND(G890=0,A890&lt;&gt;"LKB-GROUP"),"No login (ok if not invited)","OK")))))</f>
        <v/>
      </c>
    </row>
    <row r="891">
      <c r="A891" s="26" t="n"/>
      <c r="B891" s="26" t="n"/>
      <c r="C891" s="26" t="n"/>
      <c r="D891" s="26" t="n"/>
      <c r="E891" s="26" t="n"/>
      <c r="F891" s="30">
        <f>IF(A891="","",COUNTIF('Holdings'!$A$4:$A$2503,A891))</f>
        <v/>
      </c>
      <c r="G891" s="30">
        <f>IF(A891="","",COUNTIF('Access'!$B$4:$B$1503,A891))</f>
        <v/>
      </c>
      <c r="H891" s="30">
        <f>IF(A891="","",IF(COUNTIF($A$4:$A$1003,A891)&gt;1,"Duplicate holder ID",IF(OR(B891="",C891=""),"Missing required field",IF(F891=0,"No holdings",IF(AND(G891=0,A891&lt;&gt;"LKB-GROUP"),"No login (ok if not invited)","OK")))))</f>
        <v/>
      </c>
    </row>
    <row r="892">
      <c r="A892" s="26" t="n"/>
      <c r="B892" s="26" t="n"/>
      <c r="C892" s="26" t="n"/>
      <c r="D892" s="26" t="n"/>
      <c r="E892" s="26" t="n"/>
      <c r="F892" s="30">
        <f>IF(A892="","",COUNTIF('Holdings'!$A$4:$A$2503,A892))</f>
        <v/>
      </c>
      <c r="G892" s="30">
        <f>IF(A892="","",COUNTIF('Access'!$B$4:$B$1503,A892))</f>
        <v/>
      </c>
      <c r="H892" s="30">
        <f>IF(A892="","",IF(COUNTIF($A$4:$A$1003,A892)&gt;1,"Duplicate holder ID",IF(OR(B892="",C892=""),"Missing required field",IF(F892=0,"No holdings",IF(AND(G892=0,A892&lt;&gt;"LKB-GROUP"),"No login (ok if not invited)","OK")))))</f>
        <v/>
      </c>
    </row>
    <row r="893">
      <c r="A893" s="26" t="n"/>
      <c r="B893" s="26" t="n"/>
      <c r="C893" s="26" t="n"/>
      <c r="D893" s="26" t="n"/>
      <c r="E893" s="26" t="n"/>
      <c r="F893" s="30">
        <f>IF(A893="","",COUNTIF('Holdings'!$A$4:$A$2503,A893))</f>
        <v/>
      </c>
      <c r="G893" s="30">
        <f>IF(A893="","",COUNTIF('Access'!$B$4:$B$1503,A893))</f>
        <v/>
      </c>
      <c r="H893" s="30">
        <f>IF(A893="","",IF(COUNTIF($A$4:$A$1003,A893)&gt;1,"Duplicate holder ID",IF(OR(B893="",C893=""),"Missing required field",IF(F893=0,"No holdings",IF(AND(G893=0,A893&lt;&gt;"LKB-GROUP"),"No login (ok if not invited)","OK")))))</f>
        <v/>
      </c>
    </row>
    <row r="894">
      <c r="A894" s="26" t="n"/>
      <c r="B894" s="26" t="n"/>
      <c r="C894" s="26" t="n"/>
      <c r="D894" s="26" t="n"/>
      <c r="E894" s="26" t="n"/>
      <c r="F894" s="30">
        <f>IF(A894="","",COUNTIF('Holdings'!$A$4:$A$2503,A894))</f>
        <v/>
      </c>
      <c r="G894" s="30">
        <f>IF(A894="","",COUNTIF('Access'!$B$4:$B$1503,A894))</f>
        <v/>
      </c>
      <c r="H894" s="30">
        <f>IF(A894="","",IF(COUNTIF($A$4:$A$1003,A894)&gt;1,"Duplicate holder ID",IF(OR(B894="",C894=""),"Missing required field",IF(F894=0,"No holdings",IF(AND(G894=0,A894&lt;&gt;"LKB-GROUP"),"No login (ok if not invited)","OK")))))</f>
        <v/>
      </c>
    </row>
    <row r="895">
      <c r="A895" s="26" t="n"/>
      <c r="B895" s="26" t="n"/>
      <c r="C895" s="26" t="n"/>
      <c r="D895" s="26" t="n"/>
      <c r="E895" s="26" t="n"/>
      <c r="F895" s="30">
        <f>IF(A895="","",COUNTIF('Holdings'!$A$4:$A$2503,A895))</f>
        <v/>
      </c>
      <c r="G895" s="30">
        <f>IF(A895="","",COUNTIF('Access'!$B$4:$B$1503,A895))</f>
        <v/>
      </c>
      <c r="H895" s="30">
        <f>IF(A895="","",IF(COUNTIF($A$4:$A$1003,A895)&gt;1,"Duplicate holder ID",IF(OR(B895="",C895=""),"Missing required field",IF(F895=0,"No holdings",IF(AND(G895=0,A895&lt;&gt;"LKB-GROUP"),"No login (ok if not invited)","OK")))))</f>
        <v/>
      </c>
    </row>
    <row r="896">
      <c r="A896" s="26" t="n"/>
      <c r="B896" s="26" t="n"/>
      <c r="C896" s="26" t="n"/>
      <c r="D896" s="26" t="n"/>
      <c r="E896" s="26" t="n"/>
      <c r="F896" s="30">
        <f>IF(A896="","",COUNTIF('Holdings'!$A$4:$A$2503,A896))</f>
        <v/>
      </c>
      <c r="G896" s="30">
        <f>IF(A896="","",COUNTIF('Access'!$B$4:$B$1503,A896))</f>
        <v/>
      </c>
      <c r="H896" s="30">
        <f>IF(A896="","",IF(COUNTIF($A$4:$A$1003,A896)&gt;1,"Duplicate holder ID",IF(OR(B896="",C896=""),"Missing required field",IF(F896=0,"No holdings",IF(AND(G896=0,A896&lt;&gt;"LKB-GROUP"),"No login (ok if not invited)","OK")))))</f>
        <v/>
      </c>
    </row>
    <row r="897">
      <c r="A897" s="26" t="n"/>
      <c r="B897" s="26" t="n"/>
      <c r="C897" s="26" t="n"/>
      <c r="D897" s="26" t="n"/>
      <c r="E897" s="26" t="n"/>
      <c r="F897" s="30">
        <f>IF(A897="","",COUNTIF('Holdings'!$A$4:$A$2503,A897))</f>
        <v/>
      </c>
      <c r="G897" s="30">
        <f>IF(A897="","",COUNTIF('Access'!$B$4:$B$1503,A897))</f>
        <v/>
      </c>
      <c r="H897" s="30">
        <f>IF(A897="","",IF(COUNTIF($A$4:$A$1003,A897)&gt;1,"Duplicate holder ID",IF(OR(B897="",C897=""),"Missing required field",IF(F897=0,"No holdings",IF(AND(G897=0,A897&lt;&gt;"LKB-GROUP"),"No login (ok if not invited)","OK")))))</f>
        <v/>
      </c>
    </row>
    <row r="898">
      <c r="A898" s="26" t="n"/>
      <c r="B898" s="26" t="n"/>
      <c r="C898" s="26" t="n"/>
      <c r="D898" s="26" t="n"/>
      <c r="E898" s="26" t="n"/>
      <c r="F898" s="30">
        <f>IF(A898="","",COUNTIF('Holdings'!$A$4:$A$2503,A898))</f>
        <v/>
      </c>
      <c r="G898" s="30">
        <f>IF(A898="","",COUNTIF('Access'!$B$4:$B$1503,A898))</f>
        <v/>
      </c>
      <c r="H898" s="30">
        <f>IF(A898="","",IF(COUNTIF($A$4:$A$1003,A898)&gt;1,"Duplicate holder ID",IF(OR(B898="",C898=""),"Missing required field",IF(F898=0,"No holdings",IF(AND(G898=0,A898&lt;&gt;"LKB-GROUP"),"No login (ok if not invited)","OK")))))</f>
        <v/>
      </c>
    </row>
    <row r="899">
      <c r="A899" s="26" t="n"/>
      <c r="B899" s="26" t="n"/>
      <c r="C899" s="26" t="n"/>
      <c r="D899" s="26" t="n"/>
      <c r="E899" s="26" t="n"/>
      <c r="F899" s="30">
        <f>IF(A899="","",COUNTIF('Holdings'!$A$4:$A$2503,A899))</f>
        <v/>
      </c>
      <c r="G899" s="30">
        <f>IF(A899="","",COUNTIF('Access'!$B$4:$B$1503,A899))</f>
        <v/>
      </c>
      <c r="H899" s="30">
        <f>IF(A899="","",IF(COUNTIF($A$4:$A$1003,A899)&gt;1,"Duplicate holder ID",IF(OR(B899="",C899=""),"Missing required field",IF(F899=0,"No holdings",IF(AND(G899=0,A899&lt;&gt;"LKB-GROUP"),"No login (ok if not invited)","OK")))))</f>
        <v/>
      </c>
    </row>
    <row r="900">
      <c r="A900" s="26" t="n"/>
      <c r="B900" s="26" t="n"/>
      <c r="C900" s="26" t="n"/>
      <c r="D900" s="26" t="n"/>
      <c r="E900" s="26" t="n"/>
      <c r="F900" s="30">
        <f>IF(A900="","",COUNTIF('Holdings'!$A$4:$A$2503,A900))</f>
        <v/>
      </c>
      <c r="G900" s="30">
        <f>IF(A900="","",COUNTIF('Access'!$B$4:$B$1503,A900))</f>
        <v/>
      </c>
      <c r="H900" s="30">
        <f>IF(A900="","",IF(COUNTIF($A$4:$A$1003,A900)&gt;1,"Duplicate holder ID",IF(OR(B900="",C900=""),"Missing required field",IF(F900=0,"No holdings",IF(AND(G900=0,A900&lt;&gt;"LKB-GROUP"),"No login (ok if not invited)","OK")))))</f>
        <v/>
      </c>
    </row>
    <row r="901">
      <c r="A901" s="26" t="n"/>
      <c r="B901" s="26" t="n"/>
      <c r="C901" s="26" t="n"/>
      <c r="D901" s="26" t="n"/>
      <c r="E901" s="26" t="n"/>
      <c r="F901" s="30">
        <f>IF(A901="","",COUNTIF('Holdings'!$A$4:$A$2503,A901))</f>
        <v/>
      </c>
      <c r="G901" s="30">
        <f>IF(A901="","",COUNTIF('Access'!$B$4:$B$1503,A901))</f>
        <v/>
      </c>
      <c r="H901" s="30">
        <f>IF(A901="","",IF(COUNTIF($A$4:$A$1003,A901)&gt;1,"Duplicate holder ID",IF(OR(B901="",C901=""),"Missing required field",IF(F901=0,"No holdings",IF(AND(G901=0,A901&lt;&gt;"LKB-GROUP"),"No login (ok if not invited)","OK")))))</f>
        <v/>
      </c>
    </row>
    <row r="902">
      <c r="A902" s="26" t="n"/>
      <c r="B902" s="26" t="n"/>
      <c r="C902" s="26" t="n"/>
      <c r="D902" s="26" t="n"/>
      <c r="E902" s="26" t="n"/>
      <c r="F902" s="30">
        <f>IF(A902="","",COUNTIF('Holdings'!$A$4:$A$2503,A902))</f>
        <v/>
      </c>
      <c r="G902" s="30">
        <f>IF(A902="","",COUNTIF('Access'!$B$4:$B$1503,A902))</f>
        <v/>
      </c>
      <c r="H902" s="30">
        <f>IF(A902="","",IF(COUNTIF($A$4:$A$1003,A902)&gt;1,"Duplicate holder ID",IF(OR(B902="",C902=""),"Missing required field",IF(F902=0,"No holdings",IF(AND(G902=0,A902&lt;&gt;"LKB-GROUP"),"No login (ok if not invited)","OK")))))</f>
        <v/>
      </c>
    </row>
    <row r="903">
      <c r="A903" s="26" t="n"/>
      <c r="B903" s="26" t="n"/>
      <c r="C903" s="26" t="n"/>
      <c r="D903" s="26" t="n"/>
      <c r="E903" s="26" t="n"/>
      <c r="F903" s="30">
        <f>IF(A903="","",COUNTIF('Holdings'!$A$4:$A$2503,A903))</f>
        <v/>
      </c>
      <c r="G903" s="30">
        <f>IF(A903="","",COUNTIF('Access'!$B$4:$B$1503,A903))</f>
        <v/>
      </c>
      <c r="H903" s="30">
        <f>IF(A903="","",IF(COUNTIF($A$4:$A$1003,A903)&gt;1,"Duplicate holder ID",IF(OR(B903="",C903=""),"Missing required field",IF(F903=0,"No holdings",IF(AND(G903=0,A903&lt;&gt;"LKB-GROUP"),"No login (ok if not invited)","OK")))))</f>
        <v/>
      </c>
    </row>
    <row r="904">
      <c r="A904" s="26" t="n"/>
      <c r="B904" s="26" t="n"/>
      <c r="C904" s="26" t="n"/>
      <c r="D904" s="26" t="n"/>
      <c r="E904" s="26" t="n"/>
      <c r="F904" s="30">
        <f>IF(A904="","",COUNTIF('Holdings'!$A$4:$A$2503,A904))</f>
        <v/>
      </c>
      <c r="G904" s="30">
        <f>IF(A904="","",COUNTIF('Access'!$B$4:$B$1503,A904))</f>
        <v/>
      </c>
      <c r="H904" s="30">
        <f>IF(A904="","",IF(COUNTIF($A$4:$A$1003,A904)&gt;1,"Duplicate holder ID",IF(OR(B904="",C904=""),"Missing required field",IF(F904=0,"No holdings",IF(AND(G904=0,A904&lt;&gt;"LKB-GROUP"),"No login (ok if not invited)","OK")))))</f>
        <v/>
      </c>
    </row>
    <row r="905">
      <c r="A905" s="26" t="n"/>
      <c r="B905" s="26" t="n"/>
      <c r="C905" s="26" t="n"/>
      <c r="D905" s="26" t="n"/>
      <c r="E905" s="26" t="n"/>
      <c r="F905" s="30">
        <f>IF(A905="","",COUNTIF('Holdings'!$A$4:$A$2503,A905))</f>
        <v/>
      </c>
      <c r="G905" s="30">
        <f>IF(A905="","",COUNTIF('Access'!$B$4:$B$1503,A905))</f>
        <v/>
      </c>
      <c r="H905" s="30">
        <f>IF(A905="","",IF(COUNTIF($A$4:$A$1003,A905)&gt;1,"Duplicate holder ID",IF(OR(B905="",C905=""),"Missing required field",IF(F905=0,"No holdings",IF(AND(G905=0,A905&lt;&gt;"LKB-GROUP"),"No login (ok if not invited)","OK")))))</f>
        <v/>
      </c>
    </row>
    <row r="906">
      <c r="A906" s="26" t="n"/>
      <c r="B906" s="26" t="n"/>
      <c r="C906" s="26" t="n"/>
      <c r="D906" s="26" t="n"/>
      <c r="E906" s="26" t="n"/>
      <c r="F906" s="30">
        <f>IF(A906="","",COUNTIF('Holdings'!$A$4:$A$2503,A906))</f>
        <v/>
      </c>
      <c r="G906" s="30">
        <f>IF(A906="","",COUNTIF('Access'!$B$4:$B$1503,A906))</f>
        <v/>
      </c>
      <c r="H906" s="30">
        <f>IF(A906="","",IF(COUNTIF($A$4:$A$1003,A906)&gt;1,"Duplicate holder ID",IF(OR(B906="",C906=""),"Missing required field",IF(F906=0,"No holdings",IF(AND(G906=0,A906&lt;&gt;"LKB-GROUP"),"No login (ok if not invited)","OK")))))</f>
        <v/>
      </c>
    </row>
    <row r="907">
      <c r="A907" s="26" t="n"/>
      <c r="B907" s="26" t="n"/>
      <c r="C907" s="26" t="n"/>
      <c r="D907" s="26" t="n"/>
      <c r="E907" s="26" t="n"/>
      <c r="F907" s="30">
        <f>IF(A907="","",COUNTIF('Holdings'!$A$4:$A$2503,A907))</f>
        <v/>
      </c>
      <c r="G907" s="30">
        <f>IF(A907="","",COUNTIF('Access'!$B$4:$B$1503,A907))</f>
        <v/>
      </c>
      <c r="H907" s="30">
        <f>IF(A907="","",IF(COUNTIF($A$4:$A$1003,A907)&gt;1,"Duplicate holder ID",IF(OR(B907="",C907=""),"Missing required field",IF(F907=0,"No holdings",IF(AND(G907=0,A907&lt;&gt;"LKB-GROUP"),"No login (ok if not invited)","OK")))))</f>
        <v/>
      </c>
    </row>
    <row r="908">
      <c r="A908" s="26" t="n"/>
      <c r="B908" s="26" t="n"/>
      <c r="C908" s="26" t="n"/>
      <c r="D908" s="26" t="n"/>
      <c r="E908" s="26" t="n"/>
      <c r="F908" s="30">
        <f>IF(A908="","",COUNTIF('Holdings'!$A$4:$A$2503,A908))</f>
        <v/>
      </c>
      <c r="G908" s="30">
        <f>IF(A908="","",COUNTIF('Access'!$B$4:$B$1503,A908))</f>
        <v/>
      </c>
      <c r="H908" s="30">
        <f>IF(A908="","",IF(COUNTIF($A$4:$A$1003,A908)&gt;1,"Duplicate holder ID",IF(OR(B908="",C908=""),"Missing required field",IF(F908=0,"No holdings",IF(AND(G908=0,A908&lt;&gt;"LKB-GROUP"),"No login (ok if not invited)","OK")))))</f>
        <v/>
      </c>
    </row>
    <row r="909">
      <c r="A909" s="26" t="n"/>
      <c r="B909" s="26" t="n"/>
      <c r="C909" s="26" t="n"/>
      <c r="D909" s="26" t="n"/>
      <c r="E909" s="26" t="n"/>
      <c r="F909" s="30">
        <f>IF(A909="","",COUNTIF('Holdings'!$A$4:$A$2503,A909))</f>
        <v/>
      </c>
      <c r="G909" s="30">
        <f>IF(A909="","",COUNTIF('Access'!$B$4:$B$1503,A909))</f>
        <v/>
      </c>
      <c r="H909" s="30">
        <f>IF(A909="","",IF(COUNTIF($A$4:$A$1003,A909)&gt;1,"Duplicate holder ID",IF(OR(B909="",C909=""),"Missing required field",IF(F909=0,"No holdings",IF(AND(G909=0,A909&lt;&gt;"LKB-GROUP"),"No login (ok if not invited)","OK")))))</f>
        <v/>
      </c>
    </row>
    <row r="910">
      <c r="A910" s="26" t="n"/>
      <c r="B910" s="26" t="n"/>
      <c r="C910" s="26" t="n"/>
      <c r="D910" s="26" t="n"/>
      <c r="E910" s="26" t="n"/>
      <c r="F910" s="30">
        <f>IF(A910="","",COUNTIF('Holdings'!$A$4:$A$2503,A910))</f>
        <v/>
      </c>
      <c r="G910" s="30">
        <f>IF(A910="","",COUNTIF('Access'!$B$4:$B$1503,A910))</f>
        <v/>
      </c>
      <c r="H910" s="30">
        <f>IF(A910="","",IF(COUNTIF($A$4:$A$1003,A910)&gt;1,"Duplicate holder ID",IF(OR(B910="",C910=""),"Missing required field",IF(F910=0,"No holdings",IF(AND(G910=0,A910&lt;&gt;"LKB-GROUP"),"No login (ok if not invited)","OK")))))</f>
        <v/>
      </c>
    </row>
    <row r="911">
      <c r="A911" s="26" t="n"/>
      <c r="B911" s="26" t="n"/>
      <c r="C911" s="26" t="n"/>
      <c r="D911" s="26" t="n"/>
      <c r="E911" s="26" t="n"/>
      <c r="F911" s="30">
        <f>IF(A911="","",COUNTIF('Holdings'!$A$4:$A$2503,A911))</f>
        <v/>
      </c>
      <c r="G911" s="30">
        <f>IF(A911="","",COUNTIF('Access'!$B$4:$B$1503,A911))</f>
        <v/>
      </c>
      <c r="H911" s="30">
        <f>IF(A911="","",IF(COUNTIF($A$4:$A$1003,A911)&gt;1,"Duplicate holder ID",IF(OR(B911="",C911=""),"Missing required field",IF(F911=0,"No holdings",IF(AND(G911=0,A911&lt;&gt;"LKB-GROUP"),"No login (ok if not invited)","OK")))))</f>
        <v/>
      </c>
    </row>
    <row r="912">
      <c r="A912" s="26" t="n"/>
      <c r="B912" s="26" t="n"/>
      <c r="C912" s="26" t="n"/>
      <c r="D912" s="26" t="n"/>
      <c r="E912" s="26" t="n"/>
      <c r="F912" s="30">
        <f>IF(A912="","",COUNTIF('Holdings'!$A$4:$A$2503,A912))</f>
        <v/>
      </c>
      <c r="G912" s="30">
        <f>IF(A912="","",COUNTIF('Access'!$B$4:$B$1503,A912))</f>
        <v/>
      </c>
      <c r="H912" s="30">
        <f>IF(A912="","",IF(COUNTIF($A$4:$A$1003,A912)&gt;1,"Duplicate holder ID",IF(OR(B912="",C912=""),"Missing required field",IF(F912=0,"No holdings",IF(AND(G912=0,A912&lt;&gt;"LKB-GROUP"),"No login (ok if not invited)","OK")))))</f>
        <v/>
      </c>
    </row>
    <row r="913">
      <c r="A913" s="26" t="n"/>
      <c r="B913" s="26" t="n"/>
      <c r="C913" s="26" t="n"/>
      <c r="D913" s="26" t="n"/>
      <c r="E913" s="26" t="n"/>
      <c r="F913" s="30">
        <f>IF(A913="","",COUNTIF('Holdings'!$A$4:$A$2503,A913))</f>
        <v/>
      </c>
      <c r="G913" s="30">
        <f>IF(A913="","",COUNTIF('Access'!$B$4:$B$1503,A913))</f>
        <v/>
      </c>
      <c r="H913" s="30">
        <f>IF(A913="","",IF(COUNTIF($A$4:$A$1003,A913)&gt;1,"Duplicate holder ID",IF(OR(B913="",C913=""),"Missing required field",IF(F913=0,"No holdings",IF(AND(G913=0,A913&lt;&gt;"LKB-GROUP"),"No login (ok if not invited)","OK")))))</f>
        <v/>
      </c>
    </row>
    <row r="914">
      <c r="A914" s="26" t="n"/>
      <c r="B914" s="26" t="n"/>
      <c r="C914" s="26" t="n"/>
      <c r="D914" s="26" t="n"/>
      <c r="E914" s="26" t="n"/>
      <c r="F914" s="30">
        <f>IF(A914="","",COUNTIF('Holdings'!$A$4:$A$2503,A914))</f>
        <v/>
      </c>
      <c r="G914" s="30">
        <f>IF(A914="","",COUNTIF('Access'!$B$4:$B$1503,A914))</f>
        <v/>
      </c>
      <c r="H914" s="30">
        <f>IF(A914="","",IF(COUNTIF($A$4:$A$1003,A914)&gt;1,"Duplicate holder ID",IF(OR(B914="",C914=""),"Missing required field",IF(F914=0,"No holdings",IF(AND(G914=0,A914&lt;&gt;"LKB-GROUP"),"No login (ok if not invited)","OK")))))</f>
        <v/>
      </c>
    </row>
    <row r="915">
      <c r="A915" s="26" t="n"/>
      <c r="B915" s="26" t="n"/>
      <c r="C915" s="26" t="n"/>
      <c r="D915" s="26" t="n"/>
      <c r="E915" s="26" t="n"/>
      <c r="F915" s="30">
        <f>IF(A915="","",COUNTIF('Holdings'!$A$4:$A$2503,A915))</f>
        <v/>
      </c>
      <c r="G915" s="30">
        <f>IF(A915="","",COUNTIF('Access'!$B$4:$B$1503,A915))</f>
        <v/>
      </c>
      <c r="H915" s="30">
        <f>IF(A915="","",IF(COUNTIF($A$4:$A$1003,A915)&gt;1,"Duplicate holder ID",IF(OR(B915="",C915=""),"Missing required field",IF(F915=0,"No holdings",IF(AND(G915=0,A915&lt;&gt;"LKB-GROUP"),"No login (ok if not invited)","OK")))))</f>
        <v/>
      </c>
    </row>
    <row r="916">
      <c r="A916" s="26" t="n"/>
      <c r="B916" s="26" t="n"/>
      <c r="C916" s="26" t="n"/>
      <c r="D916" s="26" t="n"/>
      <c r="E916" s="26" t="n"/>
      <c r="F916" s="30">
        <f>IF(A916="","",COUNTIF('Holdings'!$A$4:$A$2503,A916))</f>
        <v/>
      </c>
      <c r="G916" s="30">
        <f>IF(A916="","",COUNTIF('Access'!$B$4:$B$1503,A916))</f>
        <v/>
      </c>
      <c r="H916" s="30">
        <f>IF(A916="","",IF(COUNTIF($A$4:$A$1003,A916)&gt;1,"Duplicate holder ID",IF(OR(B916="",C916=""),"Missing required field",IF(F916=0,"No holdings",IF(AND(G916=0,A916&lt;&gt;"LKB-GROUP"),"No login (ok if not invited)","OK")))))</f>
        <v/>
      </c>
    </row>
    <row r="917">
      <c r="A917" s="26" t="n"/>
      <c r="B917" s="26" t="n"/>
      <c r="C917" s="26" t="n"/>
      <c r="D917" s="26" t="n"/>
      <c r="E917" s="26" t="n"/>
      <c r="F917" s="30">
        <f>IF(A917="","",COUNTIF('Holdings'!$A$4:$A$2503,A917))</f>
        <v/>
      </c>
      <c r="G917" s="30">
        <f>IF(A917="","",COUNTIF('Access'!$B$4:$B$1503,A917))</f>
        <v/>
      </c>
      <c r="H917" s="30">
        <f>IF(A917="","",IF(COUNTIF($A$4:$A$1003,A917)&gt;1,"Duplicate holder ID",IF(OR(B917="",C917=""),"Missing required field",IF(F917=0,"No holdings",IF(AND(G917=0,A917&lt;&gt;"LKB-GROUP"),"No login (ok if not invited)","OK")))))</f>
        <v/>
      </c>
    </row>
    <row r="918">
      <c r="A918" s="26" t="n"/>
      <c r="B918" s="26" t="n"/>
      <c r="C918" s="26" t="n"/>
      <c r="D918" s="26" t="n"/>
      <c r="E918" s="26" t="n"/>
      <c r="F918" s="30">
        <f>IF(A918="","",COUNTIF('Holdings'!$A$4:$A$2503,A918))</f>
        <v/>
      </c>
      <c r="G918" s="30">
        <f>IF(A918="","",COUNTIF('Access'!$B$4:$B$1503,A918))</f>
        <v/>
      </c>
      <c r="H918" s="30">
        <f>IF(A918="","",IF(COUNTIF($A$4:$A$1003,A918)&gt;1,"Duplicate holder ID",IF(OR(B918="",C918=""),"Missing required field",IF(F918=0,"No holdings",IF(AND(G918=0,A918&lt;&gt;"LKB-GROUP"),"No login (ok if not invited)","OK")))))</f>
        <v/>
      </c>
    </row>
    <row r="919">
      <c r="A919" s="26" t="n"/>
      <c r="B919" s="26" t="n"/>
      <c r="C919" s="26" t="n"/>
      <c r="D919" s="26" t="n"/>
      <c r="E919" s="26" t="n"/>
      <c r="F919" s="30">
        <f>IF(A919="","",COUNTIF('Holdings'!$A$4:$A$2503,A919))</f>
        <v/>
      </c>
      <c r="G919" s="30">
        <f>IF(A919="","",COUNTIF('Access'!$B$4:$B$1503,A919))</f>
        <v/>
      </c>
      <c r="H919" s="30">
        <f>IF(A919="","",IF(COUNTIF($A$4:$A$1003,A919)&gt;1,"Duplicate holder ID",IF(OR(B919="",C919=""),"Missing required field",IF(F919=0,"No holdings",IF(AND(G919=0,A919&lt;&gt;"LKB-GROUP"),"No login (ok if not invited)","OK")))))</f>
        <v/>
      </c>
    </row>
    <row r="920">
      <c r="A920" s="26" t="n"/>
      <c r="B920" s="26" t="n"/>
      <c r="C920" s="26" t="n"/>
      <c r="D920" s="26" t="n"/>
      <c r="E920" s="26" t="n"/>
      <c r="F920" s="30">
        <f>IF(A920="","",COUNTIF('Holdings'!$A$4:$A$2503,A920))</f>
        <v/>
      </c>
      <c r="G920" s="30">
        <f>IF(A920="","",COUNTIF('Access'!$B$4:$B$1503,A920))</f>
        <v/>
      </c>
      <c r="H920" s="30">
        <f>IF(A920="","",IF(COUNTIF($A$4:$A$1003,A920)&gt;1,"Duplicate holder ID",IF(OR(B920="",C920=""),"Missing required field",IF(F920=0,"No holdings",IF(AND(G920=0,A920&lt;&gt;"LKB-GROUP"),"No login (ok if not invited)","OK")))))</f>
        <v/>
      </c>
    </row>
    <row r="921">
      <c r="A921" s="26" t="n"/>
      <c r="B921" s="26" t="n"/>
      <c r="C921" s="26" t="n"/>
      <c r="D921" s="26" t="n"/>
      <c r="E921" s="26" t="n"/>
      <c r="F921" s="30">
        <f>IF(A921="","",COUNTIF('Holdings'!$A$4:$A$2503,A921))</f>
        <v/>
      </c>
      <c r="G921" s="30">
        <f>IF(A921="","",COUNTIF('Access'!$B$4:$B$1503,A921))</f>
        <v/>
      </c>
      <c r="H921" s="30">
        <f>IF(A921="","",IF(COUNTIF($A$4:$A$1003,A921)&gt;1,"Duplicate holder ID",IF(OR(B921="",C921=""),"Missing required field",IF(F921=0,"No holdings",IF(AND(G921=0,A921&lt;&gt;"LKB-GROUP"),"No login (ok if not invited)","OK")))))</f>
        <v/>
      </c>
    </row>
    <row r="922">
      <c r="A922" s="26" t="n"/>
      <c r="B922" s="26" t="n"/>
      <c r="C922" s="26" t="n"/>
      <c r="D922" s="26" t="n"/>
      <c r="E922" s="26" t="n"/>
      <c r="F922" s="30">
        <f>IF(A922="","",COUNTIF('Holdings'!$A$4:$A$2503,A922))</f>
        <v/>
      </c>
      <c r="G922" s="30">
        <f>IF(A922="","",COUNTIF('Access'!$B$4:$B$1503,A922))</f>
        <v/>
      </c>
      <c r="H922" s="30">
        <f>IF(A922="","",IF(COUNTIF($A$4:$A$1003,A922)&gt;1,"Duplicate holder ID",IF(OR(B922="",C922=""),"Missing required field",IF(F922=0,"No holdings",IF(AND(G922=0,A922&lt;&gt;"LKB-GROUP"),"No login (ok if not invited)","OK")))))</f>
        <v/>
      </c>
    </row>
    <row r="923">
      <c r="A923" s="26" t="n"/>
      <c r="B923" s="26" t="n"/>
      <c r="C923" s="26" t="n"/>
      <c r="D923" s="26" t="n"/>
      <c r="E923" s="26" t="n"/>
      <c r="F923" s="30">
        <f>IF(A923="","",COUNTIF('Holdings'!$A$4:$A$2503,A923))</f>
        <v/>
      </c>
      <c r="G923" s="30">
        <f>IF(A923="","",COUNTIF('Access'!$B$4:$B$1503,A923))</f>
        <v/>
      </c>
      <c r="H923" s="30">
        <f>IF(A923="","",IF(COUNTIF($A$4:$A$1003,A923)&gt;1,"Duplicate holder ID",IF(OR(B923="",C923=""),"Missing required field",IF(F923=0,"No holdings",IF(AND(G923=0,A923&lt;&gt;"LKB-GROUP"),"No login (ok if not invited)","OK")))))</f>
        <v/>
      </c>
    </row>
    <row r="924">
      <c r="A924" s="26" t="n"/>
      <c r="B924" s="26" t="n"/>
      <c r="C924" s="26" t="n"/>
      <c r="D924" s="26" t="n"/>
      <c r="E924" s="26" t="n"/>
      <c r="F924" s="30">
        <f>IF(A924="","",COUNTIF('Holdings'!$A$4:$A$2503,A924))</f>
        <v/>
      </c>
      <c r="G924" s="30">
        <f>IF(A924="","",COUNTIF('Access'!$B$4:$B$1503,A924))</f>
        <v/>
      </c>
      <c r="H924" s="30">
        <f>IF(A924="","",IF(COUNTIF($A$4:$A$1003,A924)&gt;1,"Duplicate holder ID",IF(OR(B924="",C924=""),"Missing required field",IF(F924=0,"No holdings",IF(AND(G924=0,A924&lt;&gt;"LKB-GROUP"),"No login (ok if not invited)","OK")))))</f>
        <v/>
      </c>
    </row>
    <row r="925">
      <c r="A925" s="26" t="n"/>
      <c r="B925" s="26" t="n"/>
      <c r="C925" s="26" t="n"/>
      <c r="D925" s="26" t="n"/>
      <c r="E925" s="26" t="n"/>
      <c r="F925" s="30">
        <f>IF(A925="","",COUNTIF('Holdings'!$A$4:$A$2503,A925))</f>
        <v/>
      </c>
      <c r="G925" s="30">
        <f>IF(A925="","",COUNTIF('Access'!$B$4:$B$1503,A925))</f>
        <v/>
      </c>
      <c r="H925" s="30">
        <f>IF(A925="","",IF(COUNTIF($A$4:$A$1003,A925)&gt;1,"Duplicate holder ID",IF(OR(B925="",C925=""),"Missing required field",IF(F925=0,"No holdings",IF(AND(G925=0,A925&lt;&gt;"LKB-GROUP"),"No login (ok if not invited)","OK")))))</f>
        <v/>
      </c>
    </row>
    <row r="926">
      <c r="A926" s="26" t="n"/>
      <c r="B926" s="26" t="n"/>
      <c r="C926" s="26" t="n"/>
      <c r="D926" s="26" t="n"/>
      <c r="E926" s="26" t="n"/>
      <c r="F926" s="30">
        <f>IF(A926="","",COUNTIF('Holdings'!$A$4:$A$2503,A926))</f>
        <v/>
      </c>
      <c r="G926" s="30">
        <f>IF(A926="","",COUNTIF('Access'!$B$4:$B$1503,A926))</f>
        <v/>
      </c>
      <c r="H926" s="30">
        <f>IF(A926="","",IF(COUNTIF($A$4:$A$1003,A926)&gt;1,"Duplicate holder ID",IF(OR(B926="",C926=""),"Missing required field",IF(F926=0,"No holdings",IF(AND(G926=0,A926&lt;&gt;"LKB-GROUP"),"No login (ok if not invited)","OK")))))</f>
        <v/>
      </c>
    </row>
    <row r="927">
      <c r="A927" s="26" t="n"/>
      <c r="B927" s="26" t="n"/>
      <c r="C927" s="26" t="n"/>
      <c r="D927" s="26" t="n"/>
      <c r="E927" s="26" t="n"/>
      <c r="F927" s="30">
        <f>IF(A927="","",COUNTIF('Holdings'!$A$4:$A$2503,A927))</f>
        <v/>
      </c>
      <c r="G927" s="30">
        <f>IF(A927="","",COUNTIF('Access'!$B$4:$B$1503,A927))</f>
        <v/>
      </c>
      <c r="H927" s="30">
        <f>IF(A927="","",IF(COUNTIF($A$4:$A$1003,A927)&gt;1,"Duplicate holder ID",IF(OR(B927="",C927=""),"Missing required field",IF(F927=0,"No holdings",IF(AND(G927=0,A927&lt;&gt;"LKB-GROUP"),"No login (ok if not invited)","OK")))))</f>
        <v/>
      </c>
    </row>
    <row r="928">
      <c r="A928" s="26" t="n"/>
      <c r="B928" s="26" t="n"/>
      <c r="C928" s="26" t="n"/>
      <c r="D928" s="26" t="n"/>
      <c r="E928" s="26" t="n"/>
      <c r="F928" s="30">
        <f>IF(A928="","",COUNTIF('Holdings'!$A$4:$A$2503,A928))</f>
        <v/>
      </c>
      <c r="G928" s="30">
        <f>IF(A928="","",COUNTIF('Access'!$B$4:$B$1503,A928))</f>
        <v/>
      </c>
      <c r="H928" s="30">
        <f>IF(A928="","",IF(COUNTIF($A$4:$A$1003,A928)&gt;1,"Duplicate holder ID",IF(OR(B928="",C928=""),"Missing required field",IF(F928=0,"No holdings",IF(AND(G928=0,A928&lt;&gt;"LKB-GROUP"),"No login (ok if not invited)","OK")))))</f>
        <v/>
      </c>
    </row>
    <row r="929">
      <c r="A929" s="26" t="n"/>
      <c r="B929" s="26" t="n"/>
      <c r="C929" s="26" t="n"/>
      <c r="D929" s="26" t="n"/>
      <c r="E929" s="26" t="n"/>
      <c r="F929" s="30">
        <f>IF(A929="","",COUNTIF('Holdings'!$A$4:$A$2503,A929))</f>
        <v/>
      </c>
      <c r="G929" s="30">
        <f>IF(A929="","",COUNTIF('Access'!$B$4:$B$1503,A929))</f>
        <v/>
      </c>
      <c r="H929" s="30">
        <f>IF(A929="","",IF(COUNTIF($A$4:$A$1003,A929)&gt;1,"Duplicate holder ID",IF(OR(B929="",C929=""),"Missing required field",IF(F929=0,"No holdings",IF(AND(G929=0,A929&lt;&gt;"LKB-GROUP"),"No login (ok if not invited)","OK")))))</f>
        <v/>
      </c>
    </row>
    <row r="930">
      <c r="A930" s="26" t="n"/>
      <c r="B930" s="26" t="n"/>
      <c r="C930" s="26" t="n"/>
      <c r="D930" s="26" t="n"/>
      <c r="E930" s="26" t="n"/>
      <c r="F930" s="30">
        <f>IF(A930="","",COUNTIF('Holdings'!$A$4:$A$2503,A930))</f>
        <v/>
      </c>
      <c r="G930" s="30">
        <f>IF(A930="","",COUNTIF('Access'!$B$4:$B$1503,A930))</f>
        <v/>
      </c>
      <c r="H930" s="30">
        <f>IF(A930="","",IF(COUNTIF($A$4:$A$1003,A930)&gt;1,"Duplicate holder ID",IF(OR(B930="",C930=""),"Missing required field",IF(F930=0,"No holdings",IF(AND(G930=0,A930&lt;&gt;"LKB-GROUP"),"No login (ok if not invited)","OK")))))</f>
        <v/>
      </c>
    </row>
    <row r="931">
      <c r="A931" s="26" t="n"/>
      <c r="B931" s="26" t="n"/>
      <c r="C931" s="26" t="n"/>
      <c r="D931" s="26" t="n"/>
      <c r="E931" s="26" t="n"/>
      <c r="F931" s="30">
        <f>IF(A931="","",COUNTIF('Holdings'!$A$4:$A$2503,A931))</f>
        <v/>
      </c>
      <c r="G931" s="30">
        <f>IF(A931="","",COUNTIF('Access'!$B$4:$B$1503,A931))</f>
        <v/>
      </c>
      <c r="H931" s="30">
        <f>IF(A931="","",IF(COUNTIF($A$4:$A$1003,A931)&gt;1,"Duplicate holder ID",IF(OR(B931="",C931=""),"Missing required field",IF(F931=0,"No holdings",IF(AND(G931=0,A931&lt;&gt;"LKB-GROUP"),"No login (ok if not invited)","OK")))))</f>
        <v/>
      </c>
    </row>
    <row r="932">
      <c r="A932" s="26" t="n"/>
      <c r="B932" s="26" t="n"/>
      <c r="C932" s="26" t="n"/>
      <c r="D932" s="26" t="n"/>
      <c r="E932" s="26" t="n"/>
      <c r="F932" s="30">
        <f>IF(A932="","",COUNTIF('Holdings'!$A$4:$A$2503,A932))</f>
        <v/>
      </c>
      <c r="G932" s="30">
        <f>IF(A932="","",COUNTIF('Access'!$B$4:$B$1503,A932))</f>
        <v/>
      </c>
      <c r="H932" s="30">
        <f>IF(A932="","",IF(COUNTIF($A$4:$A$1003,A932)&gt;1,"Duplicate holder ID",IF(OR(B932="",C932=""),"Missing required field",IF(F932=0,"No holdings",IF(AND(G932=0,A932&lt;&gt;"LKB-GROUP"),"No login (ok if not invited)","OK")))))</f>
        <v/>
      </c>
    </row>
    <row r="933">
      <c r="A933" s="26" t="n"/>
      <c r="B933" s="26" t="n"/>
      <c r="C933" s="26" t="n"/>
      <c r="D933" s="26" t="n"/>
      <c r="E933" s="26" t="n"/>
      <c r="F933" s="30">
        <f>IF(A933="","",COUNTIF('Holdings'!$A$4:$A$2503,A933))</f>
        <v/>
      </c>
      <c r="G933" s="30">
        <f>IF(A933="","",COUNTIF('Access'!$B$4:$B$1503,A933))</f>
        <v/>
      </c>
      <c r="H933" s="30">
        <f>IF(A933="","",IF(COUNTIF($A$4:$A$1003,A933)&gt;1,"Duplicate holder ID",IF(OR(B933="",C933=""),"Missing required field",IF(F933=0,"No holdings",IF(AND(G933=0,A933&lt;&gt;"LKB-GROUP"),"No login (ok if not invited)","OK")))))</f>
        <v/>
      </c>
    </row>
    <row r="934">
      <c r="A934" s="26" t="n"/>
      <c r="B934" s="26" t="n"/>
      <c r="C934" s="26" t="n"/>
      <c r="D934" s="26" t="n"/>
      <c r="E934" s="26" t="n"/>
      <c r="F934" s="30">
        <f>IF(A934="","",COUNTIF('Holdings'!$A$4:$A$2503,A934))</f>
        <v/>
      </c>
      <c r="G934" s="30">
        <f>IF(A934="","",COUNTIF('Access'!$B$4:$B$1503,A934))</f>
        <v/>
      </c>
      <c r="H934" s="30">
        <f>IF(A934="","",IF(COUNTIF($A$4:$A$1003,A934)&gt;1,"Duplicate holder ID",IF(OR(B934="",C934=""),"Missing required field",IF(F934=0,"No holdings",IF(AND(G934=0,A934&lt;&gt;"LKB-GROUP"),"No login (ok if not invited)","OK")))))</f>
        <v/>
      </c>
    </row>
    <row r="935">
      <c r="A935" s="26" t="n"/>
      <c r="B935" s="26" t="n"/>
      <c r="C935" s="26" t="n"/>
      <c r="D935" s="26" t="n"/>
      <c r="E935" s="26" t="n"/>
      <c r="F935" s="30">
        <f>IF(A935="","",COUNTIF('Holdings'!$A$4:$A$2503,A935))</f>
        <v/>
      </c>
      <c r="G935" s="30">
        <f>IF(A935="","",COUNTIF('Access'!$B$4:$B$1503,A935))</f>
        <v/>
      </c>
      <c r="H935" s="30">
        <f>IF(A935="","",IF(COUNTIF($A$4:$A$1003,A935)&gt;1,"Duplicate holder ID",IF(OR(B935="",C935=""),"Missing required field",IF(F935=0,"No holdings",IF(AND(G935=0,A935&lt;&gt;"LKB-GROUP"),"No login (ok if not invited)","OK")))))</f>
        <v/>
      </c>
    </row>
    <row r="936">
      <c r="A936" s="26" t="n"/>
      <c r="B936" s="26" t="n"/>
      <c r="C936" s="26" t="n"/>
      <c r="D936" s="26" t="n"/>
      <c r="E936" s="26" t="n"/>
      <c r="F936" s="30">
        <f>IF(A936="","",COUNTIF('Holdings'!$A$4:$A$2503,A936))</f>
        <v/>
      </c>
      <c r="G936" s="30">
        <f>IF(A936="","",COUNTIF('Access'!$B$4:$B$1503,A936))</f>
        <v/>
      </c>
      <c r="H936" s="30">
        <f>IF(A936="","",IF(COUNTIF($A$4:$A$1003,A936)&gt;1,"Duplicate holder ID",IF(OR(B936="",C936=""),"Missing required field",IF(F936=0,"No holdings",IF(AND(G936=0,A936&lt;&gt;"LKB-GROUP"),"No login (ok if not invited)","OK")))))</f>
        <v/>
      </c>
    </row>
    <row r="937">
      <c r="A937" s="26" t="n"/>
      <c r="B937" s="26" t="n"/>
      <c r="C937" s="26" t="n"/>
      <c r="D937" s="26" t="n"/>
      <c r="E937" s="26" t="n"/>
      <c r="F937" s="30">
        <f>IF(A937="","",COUNTIF('Holdings'!$A$4:$A$2503,A937))</f>
        <v/>
      </c>
      <c r="G937" s="30">
        <f>IF(A937="","",COUNTIF('Access'!$B$4:$B$1503,A937))</f>
        <v/>
      </c>
      <c r="H937" s="30">
        <f>IF(A937="","",IF(COUNTIF($A$4:$A$1003,A937)&gt;1,"Duplicate holder ID",IF(OR(B937="",C937=""),"Missing required field",IF(F937=0,"No holdings",IF(AND(G937=0,A937&lt;&gt;"LKB-GROUP"),"No login (ok if not invited)","OK")))))</f>
        <v/>
      </c>
    </row>
    <row r="938">
      <c r="A938" s="26" t="n"/>
      <c r="B938" s="26" t="n"/>
      <c r="C938" s="26" t="n"/>
      <c r="D938" s="26" t="n"/>
      <c r="E938" s="26" t="n"/>
      <c r="F938" s="30">
        <f>IF(A938="","",COUNTIF('Holdings'!$A$4:$A$2503,A938))</f>
        <v/>
      </c>
      <c r="G938" s="30">
        <f>IF(A938="","",COUNTIF('Access'!$B$4:$B$1503,A938))</f>
        <v/>
      </c>
      <c r="H938" s="30">
        <f>IF(A938="","",IF(COUNTIF($A$4:$A$1003,A938)&gt;1,"Duplicate holder ID",IF(OR(B938="",C938=""),"Missing required field",IF(F938=0,"No holdings",IF(AND(G938=0,A938&lt;&gt;"LKB-GROUP"),"No login (ok if not invited)","OK")))))</f>
        <v/>
      </c>
    </row>
    <row r="939">
      <c r="A939" s="26" t="n"/>
      <c r="B939" s="26" t="n"/>
      <c r="C939" s="26" t="n"/>
      <c r="D939" s="26" t="n"/>
      <c r="E939" s="26" t="n"/>
      <c r="F939" s="30">
        <f>IF(A939="","",COUNTIF('Holdings'!$A$4:$A$2503,A939))</f>
        <v/>
      </c>
      <c r="G939" s="30">
        <f>IF(A939="","",COUNTIF('Access'!$B$4:$B$1503,A939))</f>
        <v/>
      </c>
      <c r="H939" s="30">
        <f>IF(A939="","",IF(COUNTIF($A$4:$A$1003,A939)&gt;1,"Duplicate holder ID",IF(OR(B939="",C939=""),"Missing required field",IF(F939=0,"No holdings",IF(AND(G939=0,A939&lt;&gt;"LKB-GROUP"),"No login (ok if not invited)","OK")))))</f>
        <v/>
      </c>
    </row>
    <row r="940">
      <c r="A940" s="26" t="n"/>
      <c r="B940" s="26" t="n"/>
      <c r="C940" s="26" t="n"/>
      <c r="D940" s="26" t="n"/>
      <c r="E940" s="26" t="n"/>
      <c r="F940" s="30">
        <f>IF(A940="","",COUNTIF('Holdings'!$A$4:$A$2503,A940))</f>
        <v/>
      </c>
      <c r="G940" s="30">
        <f>IF(A940="","",COUNTIF('Access'!$B$4:$B$1503,A940))</f>
        <v/>
      </c>
      <c r="H940" s="30">
        <f>IF(A940="","",IF(COUNTIF($A$4:$A$1003,A940)&gt;1,"Duplicate holder ID",IF(OR(B940="",C940=""),"Missing required field",IF(F940=0,"No holdings",IF(AND(G940=0,A940&lt;&gt;"LKB-GROUP"),"No login (ok if not invited)","OK")))))</f>
        <v/>
      </c>
    </row>
    <row r="941">
      <c r="A941" s="26" t="n"/>
      <c r="B941" s="26" t="n"/>
      <c r="C941" s="26" t="n"/>
      <c r="D941" s="26" t="n"/>
      <c r="E941" s="26" t="n"/>
      <c r="F941" s="30">
        <f>IF(A941="","",COUNTIF('Holdings'!$A$4:$A$2503,A941))</f>
        <v/>
      </c>
      <c r="G941" s="30">
        <f>IF(A941="","",COUNTIF('Access'!$B$4:$B$1503,A941))</f>
        <v/>
      </c>
      <c r="H941" s="30">
        <f>IF(A941="","",IF(COUNTIF($A$4:$A$1003,A941)&gt;1,"Duplicate holder ID",IF(OR(B941="",C941=""),"Missing required field",IF(F941=0,"No holdings",IF(AND(G941=0,A941&lt;&gt;"LKB-GROUP"),"No login (ok if not invited)","OK")))))</f>
        <v/>
      </c>
    </row>
    <row r="942">
      <c r="A942" s="26" t="n"/>
      <c r="B942" s="26" t="n"/>
      <c r="C942" s="26" t="n"/>
      <c r="D942" s="26" t="n"/>
      <c r="E942" s="26" t="n"/>
      <c r="F942" s="30">
        <f>IF(A942="","",COUNTIF('Holdings'!$A$4:$A$2503,A942))</f>
        <v/>
      </c>
      <c r="G942" s="30">
        <f>IF(A942="","",COUNTIF('Access'!$B$4:$B$1503,A942))</f>
        <v/>
      </c>
      <c r="H942" s="30">
        <f>IF(A942="","",IF(COUNTIF($A$4:$A$1003,A942)&gt;1,"Duplicate holder ID",IF(OR(B942="",C942=""),"Missing required field",IF(F942=0,"No holdings",IF(AND(G942=0,A942&lt;&gt;"LKB-GROUP"),"No login (ok if not invited)","OK")))))</f>
        <v/>
      </c>
    </row>
    <row r="943">
      <c r="A943" s="26" t="n"/>
      <c r="B943" s="26" t="n"/>
      <c r="C943" s="26" t="n"/>
      <c r="D943" s="26" t="n"/>
      <c r="E943" s="26" t="n"/>
      <c r="F943" s="30">
        <f>IF(A943="","",COUNTIF('Holdings'!$A$4:$A$2503,A943))</f>
        <v/>
      </c>
      <c r="G943" s="30">
        <f>IF(A943="","",COUNTIF('Access'!$B$4:$B$1503,A943))</f>
        <v/>
      </c>
      <c r="H943" s="30">
        <f>IF(A943="","",IF(COUNTIF($A$4:$A$1003,A943)&gt;1,"Duplicate holder ID",IF(OR(B943="",C943=""),"Missing required field",IF(F943=0,"No holdings",IF(AND(G943=0,A943&lt;&gt;"LKB-GROUP"),"No login (ok if not invited)","OK")))))</f>
        <v/>
      </c>
    </row>
    <row r="944">
      <c r="A944" s="26" t="n"/>
      <c r="B944" s="26" t="n"/>
      <c r="C944" s="26" t="n"/>
      <c r="D944" s="26" t="n"/>
      <c r="E944" s="26" t="n"/>
      <c r="F944" s="30">
        <f>IF(A944="","",COUNTIF('Holdings'!$A$4:$A$2503,A944))</f>
        <v/>
      </c>
      <c r="G944" s="30">
        <f>IF(A944="","",COUNTIF('Access'!$B$4:$B$1503,A944))</f>
        <v/>
      </c>
      <c r="H944" s="30">
        <f>IF(A944="","",IF(COUNTIF($A$4:$A$1003,A944)&gt;1,"Duplicate holder ID",IF(OR(B944="",C944=""),"Missing required field",IF(F944=0,"No holdings",IF(AND(G944=0,A944&lt;&gt;"LKB-GROUP"),"No login (ok if not invited)","OK")))))</f>
        <v/>
      </c>
    </row>
    <row r="945">
      <c r="A945" s="26" t="n"/>
      <c r="B945" s="26" t="n"/>
      <c r="C945" s="26" t="n"/>
      <c r="D945" s="26" t="n"/>
      <c r="E945" s="26" t="n"/>
      <c r="F945" s="30">
        <f>IF(A945="","",COUNTIF('Holdings'!$A$4:$A$2503,A945))</f>
        <v/>
      </c>
      <c r="G945" s="30">
        <f>IF(A945="","",COUNTIF('Access'!$B$4:$B$1503,A945))</f>
        <v/>
      </c>
      <c r="H945" s="30">
        <f>IF(A945="","",IF(COUNTIF($A$4:$A$1003,A945)&gt;1,"Duplicate holder ID",IF(OR(B945="",C945=""),"Missing required field",IF(F945=0,"No holdings",IF(AND(G945=0,A945&lt;&gt;"LKB-GROUP"),"No login (ok if not invited)","OK")))))</f>
        <v/>
      </c>
    </row>
    <row r="946">
      <c r="A946" s="26" t="n"/>
      <c r="B946" s="26" t="n"/>
      <c r="C946" s="26" t="n"/>
      <c r="D946" s="26" t="n"/>
      <c r="E946" s="26" t="n"/>
      <c r="F946" s="30">
        <f>IF(A946="","",COUNTIF('Holdings'!$A$4:$A$2503,A946))</f>
        <v/>
      </c>
      <c r="G946" s="30">
        <f>IF(A946="","",COUNTIF('Access'!$B$4:$B$1503,A946))</f>
        <v/>
      </c>
      <c r="H946" s="30">
        <f>IF(A946="","",IF(COUNTIF($A$4:$A$1003,A946)&gt;1,"Duplicate holder ID",IF(OR(B946="",C946=""),"Missing required field",IF(F946=0,"No holdings",IF(AND(G946=0,A946&lt;&gt;"LKB-GROUP"),"No login (ok if not invited)","OK")))))</f>
        <v/>
      </c>
    </row>
    <row r="947">
      <c r="A947" s="26" t="n"/>
      <c r="B947" s="26" t="n"/>
      <c r="C947" s="26" t="n"/>
      <c r="D947" s="26" t="n"/>
      <c r="E947" s="26" t="n"/>
      <c r="F947" s="30">
        <f>IF(A947="","",COUNTIF('Holdings'!$A$4:$A$2503,A947))</f>
        <v/>
      </c>
      <c r="G947" s="30">
        <f>IF(A947="","",COUNTIF('Access'!$B$4:$B$1503,A947))</f>
        <v/>
      </c>
      <c r="H947" s="30">
        <f>IF(A947="","",IF(COUNTIF($A$4:$A$1003,A947)&gt;1,"Duplicate holder ID",IF(OR(B947="",C947=""),"Missing required field",IF(F947=0,"No holdings",IF(AND(G947=0,A947&lt;&gt;"LKB-GROUP"),"No login (ok if not invited)","OK")))))</f>
        <v/>
      </c>
    </row>
    <row r="948">
      <c r="A948" s="26" t="n"/>
      <c r="B948" s="26" t="n"/>
      <c r="C948" s="26" t="n"/>
      <c r="D948" s="26" t="n"/>
      <c r="E948" s="26" t="n"/>
      <c r="F948" s="30">
        <f>IF(A948="","",COUNTIF('Holdings'!$A$4:$A$2503,A948))</f>
        <v/>
      </c>
      <c r="G948" s="30">
        <f>IF(A948="","",COUNTIF('Access'!$B$4:$B$1503,A948))</f>
        <v/>
      </c>
      <c r="H948" s="30">
        <f>IF(A948="","",IF(COUNTIF($A$4:$A$1003,A948)&gt;1,"Duplicate holder ID",IF(OR(B948="",C948=""),"Missing required field",IF(F948=0,"No holdings",IF(AND(G948=0,A948&lt;&gt;"LKB-GROUP"),"No login (ok if not invited)","OK")))))</f>
        <v/>
      </c>
    </row>
    <row r="949">
      <c r="A949" s="26" t="n"/>
      <c r="B949" s="26" t="n"/>
      <c r="C949" s="26" t="n"/>
      <c r="D949" s="26" t="n"/>
      <c r="E949" s="26" t="n"/>
      <c r="F949" s="30">
        <f>IF(A949="","",COUNTIF('Holdings'!$A$4:$A$2503,A949))</f>
        <v/>
      </c>
      <c r="G949" s="30">
        <f>IF(A949="","",COUNTIF('Access'!$B$4:$B$1503,A949))</f>
        <v/>
      </c>
      <c r="H949" s="30">
        <f>IF(A949="","",IF(COUNTIF($A$4:$A$1003,A949)&gt;1,"Duplicate holder ID",IF(OR(B949="",C949=""),"Missing required field",IF(F949=0,"No holdings",IF(AND(G949=0,A949&lt;&gt;"LKB-GROUP"),"No login (ok if not invited)","OK")))))</f>
        <v/>
      </c>
    </row>
    <row r="950">
      <c r="A950" s="26" t="n"/>
      <c r="B950" s="26" t="n"/>
      <c r="C950" s="26" t="n"/>
      <c r="D950" s="26" t="n"/>
      <c r="E950" s="26" t="n"/>
      <c r="F950" s="30">
        <f>IF(A950="","",COUNTIF('Holdings'!$A$4:$A$2503,A950))</f>
        <v/>
      </c>
      <c r="G950" s="30">
        <f>IF(A950="","",COUNTIF('Access'!$B$4:$B$1503,A950))</f>
        <v/>
      </c>
      <c r="H950" s="30">
        <f>IF(A950="","",IF(COUNTIF($A$4:$A$1003,A950)&gt;1,"Duplicate holder ID",IF(OR(B950="",C950=""),"Missing required field",IF(F950=0,"No holdings",IF(AND(G950=0,A950&lt;&gt;"LKB-GROUP"),"No login (ok if not invited)","OK")))))</f>
        <v/>
      </c>
    </row>
    <row r="951">
      <c r="A951" s="26" t="n"/>
      <c r="B951" s="26" t="n"/>
      <c r="C951" s="26" t="n"/>
      <c r="D951" s="26" t="n"/>
      <c r="E951" s="26" t="n"/>
      <c r="F951" s="30">
        <f>IF(A951="","",COUNTIF('Holdings'!$A$4:$A$2503,A951))</f>
        <v/>
      </c>
      <c r="G951" s="30">
        <f>IF(A951="","",COUNTIF('Access'!$B$4:$B$1503,A951))</f>
        <v/>
      </c>
      <c r="H951" s="30">
        <f>IF(A951="","",IF(COUNTIF($A$4:$A$1003,A951)&gt;1,"Duplicate holder ID",IF(OR(B951="",C951=""),"Missing required field",IF(F951=0,"No holdings",IF(AND(G951=0,A951&lt;&gt;"LKB-GROUP"),"No login (ok if not invited)","OK")))))</f>
        <v/>
      </c>
    </row>
    <row r="952">
      <c r="A952" s="26" t="n"/>
      <c r="B952" s="26" t="n"/>
      <c r="C952" s="26" t="n"/>
      <c r="D952" s="26" t="n"/>
      <c r="E952" s="26" t="n"/>
      <c r="F952" s="30">
        <f>IF(A952="","",COUNTIF('Holdings'!$A$4:$A$2503,A952))</f>
        <v/>
      </c>
      <c r="G952" s="30">
        <f>IF(A952="","",COUNTIF('Access'!$B$4:$B$1503,A952))</f>
        <v/>
      </c>
      <c r="H952" s="30">
        <f>IF(A952="","",IF(COUNTIF($A$4:$A$1003,A952)&gt;1,"Duplicate holder ID",IF(OR(B952="",C952=""),"Missing required field",IF(F952=0,"No holdings",IF(AND(G952=0,A952&lt;&gt;"LKB-GROUP"),"No login (ok if not invited)","OK")))))</f>
        <v/>
      </c>
    </row>
    <row r="953">
      <c r="A953" s="26" t="n"/>
      <c r="B953" s="26" t="n"/>
      <c r="C953" s="26" t="n"/>
      <c r="D953" s="26" t="n"/>
      <c r="E953" s="26" t="n"/>
      <c r="F953" s="30">
        <f>IF(A953="","",COUNTIF('Holdings'!$A$4:$A$2503,A953))</f>
        <v/>
      </c>
      <c r="G953" s="30">
        <f>IF(A953="","",COUNTIF('Access'!$B$4:$B$1503,A953))</f>
        <v/>
      </c>
      <c r="H953" s="30">
        <f>IF(A953="","",IF(COUNTIF($A$4:$A$1003,A953)&gt;1,"Duplicate holder ID",IF(OR(B953="",C953=""),"Missing required field",IF(F953=0,"No holdings",IF(AND(G953=0,A953&lt;&gt;"LKB-GROUP"),"No login (ok if not invited)","OK")))))</f>
        <v/>
      </c>
    </row>
    <row r="954">
      <c r="A954" s="26" t="n"/>
      <c r="B954" s="26" t="n"/>
      <c r="C954" s="26" t="n"/>
      <c r="D954" s="26" t="n"/>
      <c r="E954" s="26" t="n"/>
      <c r="F954" s="30">
        <f>IF(A954="","",COUNTIF('Holdings'!$A$4:$A$2503,A954))</f>
        <v/>
      </c>
      <c r="G954" s="30">
        <f>IF(A954="","",COUNTIF('Access'!$B$4:$B$1503,A954))</f>
        <v/>
      </c>
      <c r="H954" s="30">
        <f>IF(A954="","",IF(COUNTIF($A$4:$A$1003,A954)&gt;1,"Duplicate holder ID",IF(OR(B954="",C954=""),"Missing required field",IF(F954=0,"No holdings",IF(AND(G954=0,A954&lt;&gt;"LKB-GROUP"),"No login (ok if not invited)","OK")))))</f>
        <v/>
      </c>
    </row>
    <row r="955">
      <c r="A955" s="26" t="n"/>
      <c r="B955" s="26" t="n"/>
      <c r="C955" s="26" t="n"/>
      <c r="D955" s="26" t="n"/>
      <c r="E955" s="26" t="n"/>
      <c r="F955" s="30">
        <f>IF(A955="","",COUNTIF('Holdings'!$A$4:$A$2503,A955))</f>
        <v/>
      </c>
      <c r="G955" s="30">
        <f>IF(A955="","",COUNTIF('Access'!$B$4:$B$1503,A955))</f>
        <v/>
      </c>
      <c r="H955" s="30">
        <f>IF(A955="","",IF(COUNTIF($A$4:$A$1003,A955)&gt;1,"Duplicate holder ID",IF(OR(B955="",C955=""),"Missing required field",IF(F955=0,"No holdings",IF(AND(G955=0,A955&lt;&gt;"LKB-GROUP"),"No login (ok if not invited)","OK")))))</f>
        <v/>
      </c>
    </row>
    <row r="956">
      <c r="A956" s="26" t="n"/>
      <c r="B956" s="26" t="n"/>
      <c r="C956" s="26" t="n"/>
      <c r="D956" s="26" t="n"/>
      <c r="E956" s="26" t="n"/>
      <c r="F956" s="30">
        <f>IF(A956="","",COUNTIF('Holdings'!$A$4:$A$2503,A956))</f>
        <v/>
      </c>
      <c r="G956" s="30">
        <f>IF(A956="","",COUNTIF('Access'!$B$4:$B$1503,A956))</f>
        <v/>
      </c>
      <c r="H956" s="30">
        <f>IF(A956="","",IF(COUNTIF($A$4:$A$1003,A956)&gt;1,"Duplicate holder ID",IF(OR(B956="",C956=""),"Missing required field",IF(F956=0,"No holdings",IF(AND(G956=0,A956&lt;&gt;"LKB-GROUP"),"No login (ok if not invited)","OK")))))</f>
        <v/>
      </c>
    </row>
    <row r="957">
      <c r="A957" s="26" t="n"/>
      <c r="B957" s="26" t="n"/>
      <c r="C957" s="26" t="n"/>
      <c r="D957" s="26" t="n"/>
      <c r="E957" s="26" t="n"/>
      <c r="F957" s="30">
        <f>IF(A957="","",COUNTIF('Holdings'!$A$4:$A$2503,A957))</f>
        <v/>
      </c>
      <c r="G957" s="30">
        <f>IF(A957="","",COUNTIF('Access'!$B$4:$B$1503,A957))</f>
        <v/>
      </c>
      <c r="H957" s="30">
        <f>IF(A957="","",IF(COUNTIF($A$4:$A$1003,A957)&gt;1,"Duplicate holder ID",IF(OR(B957="",C957=""),"Missing required field",IF(F957=0,"No holdings",IF(AND(G957=0,A957&lt;&gt;"LKB-GROUP"),"No login (ok if not invited)","OK")))))</f>
        <v/>
      </c>
    </row>
    <row r="958">
      <c r="A958" s="26" t="n"/>
      <c r="B958" s="26" t="n"/>
      <c r="C958" s="26" t="n"/>
      <c r="D958" s="26" t="n"/>
      <c r="E958" s="26" t="n"/>
      <c r="F958" s="30">
        <f>IF(A958="","",COUNTIF('Holdings'!$A$4:$A$2503,A958))</f>
        <v/>
      </c>
      <c r="G958" s="30">
        <f>IF(A958="","",COUNTIF('Access'!$B$4:$B$1503,A958))</f>
        <v/>
      </c>
      <c r="H958" s="30">
        <f>IF(A958="","",IF(COUNTIF($A$4:$A$1003,A958)&gt;1,"Duplicate holder ID",IF(OR(B958="",C958=""),"Missing required field",IF(F958=0,"No holdings",IF(AND(G958=0,A958&lt;&gt;"LKB-GROUP"),"No login (ok if not invited)","OK")))))</f>
        <v/>
      </c>
    </row>
    <row r="959">
      <c r="A959" s="26" t="n"/>
      <c r="B959" s="26" t="n"/>
      <c r="C959" s="26" t="n"/>
      <c r="D959" s="26" t="n"/>
      <c r="E959" s="26" t="n"/>
      <c r="F959" s="30">
        <f>IF(A959="","",COUNTIF('Holdings'!$A$4:$A$2503,A959))</f>
        <v/>
      </c>
      <c r="G959" s="30">
        <f>IF(A959="","",COUNTIF('Access'!$B$4:$B$1503,A959))</f>
        <v/>
      </c>
      <c r="H959" s="30">
        <f>IF(A959="","",IF(COUNTIF($A$4:$A$1003,A959)&gt;1,"Duplicate holder ID",IF(OR(B959="",C959=""),"Missing required field",IF(F959=0,"No holdings",IF(AND(G959=0,A959&lt;&gt;"LKB-GROUP"),"No login (ok if not invited)","OK")))))</f>
        <v/>
      </c>
    </row>
    <row r="960">
      <c r="A960" s="26" t="n"/>
      <c r="B960" s="26" t="n"/>
      <c r="C960" s="26" t="n"/>
      <c r="D960" s="26" t="n"/>
      <c r="E960" s="26" t="n"/>
      <c r="F960" s="30">
        <f>IF(A960="","",COUNTIF('Holdings'!$A$4:$A$2503,A960))</f>
        <v/>
      </c>
      <c r="G960" s="30">
        <f>IF(A960="","",COUNTIF('Access'!$B$4:$B$1503,A960))</f>
        <v/>
      </c>
      <c r="H960" s="30">
        <f>IF(A960="","",IF(COUNTIF($A$4:$A$1003,A960)&gt;1,"Duplicate holder ID",IF(OR(B960="",C960=""),"Missing required field",IF(F960=0,"No holdings",IF(AND(G960=0,A960&lt;&gt;"LKB-GROUP"),"No login (ok if not invited)","OK")))))</f>
        <v/>
      </c>
    </row>
    <row r="961">
      <c r="A961" s="26" t="n"/>
      <c r="B961" s="26" t="n"/>
      <c r="C961" s="26" t="n"/>
      <c r="D961" s="26" t="n"/>
      <c r="E961" s="26" t="n"/>
      <c r="F961" s="30">
        <f>IF(A961="","",COUNTIF('Holdings'!$A$4:$A$2503,A961))</f>
        <v/>
      </c>
      <c r="G961" s="30">
        <f>IF(A961="","",COUNTIF('Access'!$B$4:$B$1503,A961))</f>
        <v/>
      </c>
      <c r="H961" s="30">
        <f>IF(A961="","",IF(COUNTIF($A$4:$A$1003,A961)&gt;1,"Duplicate holder ID",IF(OR(B961="",C961=""),"Missing required field",IF(F961=0,"No holdings",IF(AND(G961=0,A961&lt;&gt;"LKB-GROUP"),"No login (ok if not invited)","OK")))))</f>
        <v/>
      </c>
    </row>
    <row r="962">
      <c r="A962" s="26" t="n"/>
      <c r="B962" s="26" t="n"/>
      <c r="C962" s="26" t="n"/>
      <c r="D962" s="26" t="n"/>
      <c r="E962" s="26" t="n"/>
      <c r="F962" s="30">
        <f>IF(A962="","",COUNTIF('Holdings'!$A$4:$A$2503,A962))</f>
        <v/>
      </c>
      <c r="G962" s="30">
        <f>IF(A962="","",COUNTIF('Access'!$B$4:$B$1503,A962))</f>
        <v/>
      </c>
      <c r="H962" s="30">
        <f>IF(A962="","",IF(COUNTIF($A$4:$A$1003,A962)&gt;1,"Duplicate holder ID",IF(OR(B962="",C962=""),"Missing required field",IF(F962=0,"No holdings",IF(AND(G962=0,A962&lt;&gt;"LKB-GROUP"),"No login (ok if not invited)","OK")))))</f>
        <v/>
      </c>
    </row>
    <row r="963">
      <c r="A963" s="26" t="n"/>
      <c r="B963" s="26" t="n"/>
      <c r="C963" s="26" t="n"/>
      <c r="D963" s="26" t="n"/>
      <c r="E963" s="26" t="n"/>
      <c r="F963" s="30">
        <f>IF(A963="","",COUNTIF('Holdings'!$A$4:$A$2503,A963))</f>
        <v/>
      </c>
      <c r="G963" s="30">
        <f>IF(A963="","",COUNTIF('Access'!$B$4:$B$1503,A963))</f>
        <v/>
      </c>
      <c r="H963" s="30">
        <f>IF(A963="","",IF(COUNTIF($A$4:$A$1003,A963)&gt;1,"Duplicate holder ID",IF(OR(B963="",C963=""),"Missing required field",IF(F963=0,"No holdings",IF(AND(G963=0,A963&lt;&gt;"LKB-GROUP"),"No login (ok if not invited)","OK")))))</f>
        <v/>
      </c>
    </row>
    <row r="964">
      <c r="A964" s="26" t="n"/>
      <c r="B964" s="26" t="n"/>
      <c r="C964" s="26" t="n"/>
      <c r="D964" s="26" t="n"/>
      <c r="E964" s="26" t="n"/>
      <c r="F964" s="30">
        <f>IF(A964="","",COUNTIF('Holdings'!$A$4:$A$2503,A964))</f>
        <v/>
      </c>
      <c r="G964" s="30">
        <f>IF(A964="","",COUNTIF('Access'!$B$4:$B$1503,A964))</f>
        <v/>
      </c>
      <c r="H964" s="30">
        <f>IF(A964="","",IF(COUNTIF($A$4:$A$1003,A964)&gt;1,"Duplicate holder ID",IF(OR(B964="",C964=""),"Missing required field",IF(F964=0,"No holdings",IF(AND(G964=0,A964&lt;&gt;"LKB-GROUP"),"No login (ok if not invited)","OK")))))</f>
        <v/>
      </c>
    </row>
    <row r="965">
      <c r="A965" s="26" t="n"/>
      <c r="B965" s="26" t="n"/>
      <c r="C965" s="26" t="n"/>
      <c r="D965" s="26" t="n"/>
      <c r="E965" s="26" t="n"/>
      <c r="F965" s="30">
        <f>IF(A965="","",COUNTIF('Holdings'!$A$4:$A$2503,A965))</f>
        <v/>
      </c>
      <c r="G965" s="30">
        <f>IF(A965="","",COUNTIF('Access'!$B$4:$B$1503,A965))</f>
        <v/>
      </c>
      <c r="H965" s="30">
        <f>IF(A965="","",IF(COUNTIF($A$4:$A$1003,A965)&gt;1,"Duplicate holder ID",IF(OR(B965="",C965=""),"Missing required field",IF(F965=0,"No holdings",IF(AND(G965=0,A965&lt;&gt;"LKB-GROUP"),"No login (ok if not invited)","OK")))))</f>
        <v/>
      </c>
    </row>
    <row r="966">
      <c r="A966" s="26" t="n"/>
      <c r="B966" s="26" t="n"/>
      <c r="C966" s="26" t="n"/>
      <c r="D966" s="26" t="n"/>
      <c r="E966" s="26" t="n"/>
      <c r="F966" s="30">
        <f>IF(A966="","",COUNTIF('Holdings'!$A$4:$A$2503,A966))</f>
        <v/>
      </c>
      <c r="G966" s="30">
        <f>IF(A966="","",COUNTIF('Access'!$B$4:$B$1503,A966))</f>
        <v/>
      </c>
      <c r="H966" s="30">
        <f>IF(A966="","",IF(COUNTIF($A$4:$A$1003,A966)&gt;1,"Duplicate holder ID",IF(OR(B966="",C966=""),"Missing required field",IF(F966=0,"No holdings",IF(AND(G966=0,A966&lt;&gt;"LKB-GROUP"),"No login (ok if not invited)","OK")))))</f>
        <v/>
      </c>
    </row>
    <row r="967">
      <c r="A967" s="26" t="n"/>
      <c r="B967" s="26" t="n"/>
      <c r="C967" s="26" t="n"/>
      <c r="D967" s="26" t="n"/>
      <c r="E967" s="26" t="n"/>
      <c r="F967" s="30">
        <f>IF(A967="","",COUNTIF('Holdings'!$A$4:$A$2503,A967))</f>
        <v/>
      </c>
      <c r="G967" s="30">
        <f>IF(A967="","",COUNTIF('Access'!$B$4:$B$1503,A967))</f>
        <v/>
      </c>
      <c r="H967" s="30">
        <f>IF(A967="","",IF(COUNTIF($A$4:$A$1003,A967)&gt;1,"Duplicate holder ID",IF(OR(B967="",C967=""),"Missing required field",IF(F967=0,"No holdings",IF(AND(G967=0,A967&lt;&gt;"LKB-GROUP"),"No login (ok if not invited)","OK")))))</f>
        <v/>
      </c>
    </row>
    <row r="968">
      <c r="A968" s="26" t="n"/>
      <c r="B968" s="26" t="n"/>
      <c r="C968" s="26" t="n"/>
      <c r="D968" s="26" t="n"/>
      <c r="E968" s="26" t="n"/>
      <c r="F968" s="30">
        <f>IF(A968="","",COUNTIF('Holdings'!$A$4:$A$2503,A968))</f>
        <v/>
      </c>
      <c r="G968" s="30">
        <f>IF(A968="","",COUNTIF('Access'!$B$4:$B$1503,A968))</f>
        <v/>
      </c>
      <c r="H968" s="30">
        <f>IF(A968="","",IF(COUNTIF($A$4:$A$1003,A968)&gt;1,"Duplicate holder ID",IF(OR(B968="",C968=""),"Missing required field",IF(F968=0,"No holdings",IF(AND(G968=0,A968&lt;&gt;"LKB-GROUP"),"No login (ok if not invited)","OK")))))</f>
        <v/>
      </c>
    </row>
    <row r="969">
      <c r="A969" s="26" t="n"/>
      <c r="B969" s="26" t="n"/>
      <c r="C969" s="26" t="n"/>
      <c r="D969" s="26" t="n"/>
      <c r="E969" s="26" t="n"/>
      <c r="F969" s="30">
        <f>IF(A969="","",COUNTIF('Holdings'!$A$4:$A$2503,A969))</f>
        <v/>
      </c>
      <c r="G969" s="30">
        <f>IF(A969="","",COUNTIF('Access'!$B$4:$B$1503,A969))</f>
        <v/>
      </c>
      <c r="H969" s="30">
        <f>IF(A969="","",IF(COUNTIF($A$4:$A$1003,A969)&gt;1,"Duplicate holder ID",IF(OR(B969="",C969=""),"Missing required field",IF(F969=0,"No holdings",IF(AND(G969=0,A969&lt;&gt;"LKB-GROUP"),"No login (ok if not invited)","OK")))))</f>
        <v/>
      </c>
    </row>
    <row r="970">
      <c r="A970" s="26" t="n"/>
      <c r="B970" s="26" t="n"/>
      <c r="C970" s="26" t="n"/>
      <c r="D970" s="26" t="n"/>
      <c r="E970" s="26" t="n"/>
      <c r="F970" s="30">
        <f>IF(A970="","",COUNTIF('Holdings'!$A$4:$A$2503,A970))</f>
        <v/>
      </c>
      <c r="G970" s="30">
        <f>IF(A970="","",COUNTIF('Access'!$B$4:$B$1503,A970))</f>
        <v/>
      </c>
      <c r="H970" s="30">
        <f>IF(A970="","",IF(COUNTIF($A$4:$A$1003,A970)&gt;1,"Duplicate holder ID",IF(OR(B970="",C970=""),"Missing required field",IF(F970=0,"No holdings",IF(AND(G970=0,A970&lt;&gt;"LKB-GROUP"),"No login (ok if not invited)","OK")))))</f>
        <v/>
      </c>
    </row>
    <row r="971">
      <c r="A971" s="26" t="n"/>
      <c r="B971" s="26" t="n"/>
      <c r="C971" s="26" t="n"/>
      <c r="D971" s="26" t="n"/>
      <c r="E971" s="26" t="n"/>
      <c r="F971" s="30">
        <f>IF(A971="","",COUNTIF('Holdings'!$A$4:$A$2503,A971))</f>
        <v/>
      </c>
      <c r="G971" s="30">
        <f>IF(A971="","",COUNTIF('Access'!$B$4:$B$1503,A971))</f>
        <v/>
      </c>
      <c r="H971" s="30">
        <f>IF(A971="","",IF(COUNTIF($A$4:$A$1003,A971)&gt;1,"Duplicate holder ID",IF(OR(B971="",C971=""),"Missing required field",IF(F971=0,"No holdings",IF(AND(G971=0,A971&lt;&gt;"LKB-GROUP"),"No login (ok if not invited)","OK")))))</f>
        <v/>
      </c>
    </row>
    <row r="972">
      <c r="A972" s="26" t="n"/>
      <c r="B972" s="26" t="n"/>
      <c r="C972" s="26" t="n"/>
      <c r="D972" s="26" t="n"/>
      <c r="E972" s="26" t="n"/>
      <c r="F972" s="30">
        <f>IF(A972="","",COUNTIF('Holdings'!$A$4:$A$2503,A972))</f>
        <v/>
      </c>
      <c r="G972" s="30">
        <f>IF(A972="","",COUNTIF('Access'!$B$4:$B$1503,A972))</f>
        <v/>
      </c>
      <c r="H972" s="30">
        <f>IF(A972="","",IF(COUNTIF($A$4:$A$1003,A972)&gt;1,"Duplicate holder ID",IF(OR(B972="",C972=""),"Missing required field",IF(F972=0,"No holdings",IF(AND(G972=0,A972&lt;&gt;"LKB-GROUP"),"No login (ok if not invited)","OK")))))</f>
        <v/>
      </c>
    </row>
    <row r="973">
      <c r="A973" s="26" t="n"/>
      <c r="B973" s="26" t="n"/>
      <c r="C973" s="26" t="n"/>
      <c r="D973" s="26" t="n"/>
      <c r="E973" s="26" t="n"/>
      <c r="F973" s="30">
        <f>IF(A973="","",COUNTIF('Holdings'!$A$4:$A$2503,A973))</f>
        <v/>
      </c>
      <c r="G973" s="30">
        <f>IF(A973="","",COUNTIF('Access'!$B$4:$B$1503,A973))</f>
        <v/>
      </c>
      <c r="H973" s="30">
        <f>IF(A973="","",IF(COUNTIF($A$4:$A$1003,A973)&gt;1,"Duplicate holder ID",IF(OR(B973="",C973=""),"Missing required field",IF(F973=0,"No holdings",IF(AND(G973=0,A973&lt;&gt;"LKB-GROUP"),"No login (ok if not invited)","OK")))))</f>
        <v/>
      </c>
    </row>
    <row r="974">
      <c r="A974" s="26" t="n"/>
      <c r="B974" s="26" t="n"/>
      <c r="C974" s="26" t="n"/>
      <c r="D974" s="26" t="n"/>
      <c r="E974" s="26" t="n"/>
      <c r="F974" s="30">
        <f>IF(A974="","",COUNTIF('Holdings'!$A$4:$A$2503,A974))</f>
        <v/>
      </c>
      <c r="G974" s="30">
        <f>IF(A974="","",COUNTIF('Access'!$B$4:$B$1503,A974))</f>
        <v/>
      </c>
      <c r="H974" s="30">
        <f>IF(A974="","",IF(COUNTIF($A$4:$A$1003,A974)&gt;1,"Duplicate holder ID",IF(OR(B974="",C974=""),"Missing required field",IF(F974=0,"No holdings",IF(AND(G974=0,A974&lt;&gt;"LKB-GROUP"),"No login (ok if not invited)","OK")))))</f>
        <v/>
      </c>
    </row>
    <row r="975">
      <c r="A975" s="26" t="n"/>
      <c r="B975" s="26" t="n"/>
      <c r="C975" s="26" t="n"/>
      <c r="D975" s="26" t="n"/>
      <c r="E975" s="26" t="n"/>
      <c r="F975" s="30">
        <f>IF(A975="","",COUNTIF('Holdings'!$A$4:$A$2503,A975))</f>
        <v/>
      </c>
      <c r="G975" s="30">
        <f>IF(A975="","",COUNTIF('Access'!$B$4:$B$1503,A975))</f>
        <v/>
      </c>
      <c r="H975" s="30">
        <f>IF(A975="","",IF(COUNTIF($A$4:$A$1003,A975)&gt;1,"Duplicate holder ID",IF(OR(B975="",C975=""),"Missing required field",IF(F975=0,"No holdings",IF(AND(G975=0,A975&lt;&gt;"LKB-GROUP"),"No login (ok if not invited)","OK")))))</f>
        <v/>
      </c>
    </row>
    <row r="976">
      <c r="A976" s="26" t="n"/>
      <c r="B976" s="26" t="n"/>
      <c r="C976" s="26" t="n"/>
      <c r="D976" s="26" t="n"/>
      <c r="E976" s="26" t="n"/>
      <c r="F976" s="30">
        <f>IF(A976="","",COUNTIF('Holdings'!$A$4:$A$2503,A976))</f>
        <v/>
      </c>
      <c r="G976" s="30">
        <f>IF(A976="","",COUNTIF('Access'!$B$4:$B$1503,A976))</f>
        <v/>
      </c>
      <c r="H976" s="30">
        <f>IF(A976="","",IF(COUNTIF($A$4:$A$1003,A976)&gt;1,"Duplicate holder ID",IF(OR(B976="",C976=""),"Missing required field",IF(F976=0,"No holdings",IF(AND(G976=0,A976&lt;&gt;"LKB-GROUP"),"No login (ok if not invited)","OK")))))</f>
        <v/>
      </c>
    </row>
    <row r="977">
      <c r="A977" s="26" t="n"/>
      <c r="B977" s="26" t="n"/>
      <c r="C977" s="26" t="n"/>
      <c r="D977" s="26" t="n"/>
      <c r="E977" s="26" t="n"/>
      <c r="F977" s="30">
        <f>IF(A977="","",COUNTIF('Holdings'!$A$4:$A$2503,A977))</f>
        <v/>
      </c>
      <c r="G977" s="30">
        <f>IF(A977="","",COUNTIF('Access'!$B$4:$B$1503,A977))</f>
        <v/>
      </c>
      <c r="H977" s="30">
        <f>IF(A977="","",IF(COUNTIF($A$4:$A$1003,A977)&gt;1,"Duplicate holder ID",IF(OR(B977="",C977=""),"Missing required field",IF(F977=0,"No holdings",IF(AND(G977=0,A977&lt;&gt;"LKB-GROUP"),"No login (ok if not invited)","OK")))))</f>
        <v/>
      </c>
    </row>
    <row r="978">
      <c r="A978" s="26" t="n"/>
      <c r="B978" s="26" t="n"/>
      <c r="C978" s="26" t="n"/>
      <c r="D978" s="26" t="n"/>
      <c r="E978" s="26" t="n"/>
      <c r="F978" s="30">
        <f>IF(A978="","",COUNTIF('Holdings'!$A$4:$A$2503,A978))</f>
        <v/>
      </c>
      <c r="G978" s="30">
        <f>IF(A978="","",COUNTIF('Access'!$B$4:$B$1503,A978))</f>
        <v/>
      </c>
      <c r="H978" s="30">
        <f>IF(A978="","",IF(COUNTIF($A$4:$A$1003,A978)&gt;1,"Duplicate holder ID",IF(OR(B978="",C978=""),"Missing required field",IF(F978=0,"No holdings",IF(AND(G978=0,A978&lt;&gt;"LKB-GROUP"),"No login (ok if not invited)","OK")))))</f>
        <v/>
      </c>
    </row>
    <row r="979">
      <c r="A979" s="26" t="n"/>
      <c r="B979" s="26" t="n"/>
      <c r="C979" s="26" t="n"/>
      <c r="D979" s="26" t="n"/>
      <c r="E979" s="26" t="n"/>
      <c r="F979" s="30">
        <f>IF(A979="","",COUNTIF('Holdings'!$A$4:$A$2503,A979))</f>
        <v/>
      </c>
      <c r="G979" s="30">
        <f>IF(A979="","",COUNTIF('Access'!$B$4:$B$1503,A979))</f>
        <v/>
      </c>
      <c r="H979" s="30">
        <f>IF(A979="","",IF(COUNTIF($A$4:$A$1003,A979)&gt;1,"Duplicate holder ID",IF(OR(B979="",C979=""),"Missing required field",IF(F979=0,"No holdings",IF(AND(G979=0,A979&lt;&gt;"LKB-GROUP"),"No login (ok if not invited)","OK")))))</f>
        <v/>
      </c>
    </row>
    <row r="980">
      <c r="A980" s="26" t="n"/>
      <c r="B980" s="26" t="n"/>
      <c r="C980" s="26" t="n"/>
      <c r="D980" s="26" t="n"/>
      <c r="E980" s="26" t="n"/>
      <c r="F980" s="30">
        <f>IF(A980="","",COUNTIF('Holdings'!$A$4:$A$2503,A980))</f>
        <v/>
      </c>
      <c r="G980" s="30">
        <f>IF(A980="","",COUNTIF('Access'!$B$4:$B$1503,A980))</f>
        <v/>
      </c>
      <c r="H980" s="30">
        <f>IF(A980="","",IF(COUNTIF($A$4:$A$1003,A980)&gt;1,"Duplicate holder ID",IF(OR(B980="",C980=""),"Missing required field",IF(F980=0,"No holdings",IF(AND(G980=0,A980&lt;&gt;"LKB-GROUP"),"No login (ok if not invited)","OK")))))</f>
        <v/>
      </c>
    </row>
    <row r="981">
      <c r="A981" s="26" t="n"/>
      <c r="B981" s="26" t="n"/>
      <c r="C981" s="26" t="n"/>
      <c r="D981" s="26" t="n"/>
      <c r="E981" s="26" t="n"/>
      <c r="F981" s="30">
        <f>IF(A981="","",COUNTIF('Holdings'!$A$4:$A$2503,A981))</f>
        <v/>
      </c>
      <c r="G981" s="30">
        <f>IF(A981="","",COUNTIF('Access'!$B$4:$B$1503,A981))</f>
        <v/>
      </c>
      <c r="H981" s="30">
        <f>IF(A981="","",IF(COUNTIF($A$4:$A$1003,A981)&gt;1,"Duplicate holder ID",IF(OR(B981="",C981=""),"Missing required field",IF(F981=0,"No holdings",IF(AND(G981=0,A981&lt;&gt;"LKB-GROUP"),"No login (ok if not invited)","OK")))))</f>
        <v/>
      </c>
    </row>
    <row r="982">
      <c r="A982" s="26" t="n"/>
      <c r="B982" s="26" t="n"/>
      <c r="C982" s="26" t="n"/>
      <c r="D982" s="26" t="n"/>
      <c r="E982" s="26" t="n"/>
      <c r="F982" s="30">
        <f>IF(A982="","",COUNTIF('Holdings'!$A$4:$A$2503,A982))</f>
        <v/>
      </c>
      <c r="G982" s="30">
        <f>IF(A982="","",COUNTIF('Access'!$B$4:$B$1503,A982))</f>
        <v/>
      </c>
      <c r="H982" s="30">
        <f>IF(A982="","",IF(COUNTIF($A$4:$A$1003,A982)&gt;1,"Duplicate holder ID",IF(OR(B982="",C982=""),"Missing required field",IF(F982=0,"No holdings",IF(AND(G982=0,A982&lt;&gt;"LKB-GROUP"),"No login (ok if not invited)","OK")))))</f>
        <v/>
      </c>
    </row>
    <row r="983">
      <c r="A983" s="26" t="n"/>
      <c r="B983" s="26" t="n"/>
      <c r="C983" s="26" t="n"/>
      <c r="D983" s="26" t="n"/>
      <c r="E983" s="26" t="n"/>
      <c r="F983" s="30">
        <f>IF(A983="","",COUNTIF('Holdings'!$A$4:$A$2503,A983))</f>
        <v/>
      </c>
      <c r="G983" s="30">
        <f>IF(A983="","",COUNTIF('Access'!$B$4:$B$1503,A983))</f>
        <v/>
      </c>
      <c r="H983" s="30">
        <f>IF(A983="","",IF(COUNTIF($A$4:$A$1003,A983)&gt;1,"Duplicate holder ID",IF(OR(B983="",C983=""),"Missing required field",IF(F983=0,"No holdings",IF(AND(G983=0,A983&lt;&gt;"LKB-GROUP"),"No login (ok if not invited)","OK")))))</f>
        <v/>
      </c>
    </row>
    <row r="984">
      <c r="A984" s="26" t="n"/>
      <c r="B984" s="26" t="n"/>
      <c r="C984" s="26" t="n"/>
      <c r="D984" s="26" t="n"/>
      <c r="E984" s="26" t="n"/>
      <c r="F984" s="30">
        <f>IF(A984="","",COUNTIF('Holdings'!$A$4:$A$2503,A984))</f>
        <v/>
      </c>
      <c r="G984" s="30">
        <f>IF(A984="","",COUNTIF('Access'!$B$4:$B$1503,A984))</f>
        <v/>
      </c>
      <c r="H984" s="30">
        <f>IF(A984="","",IF(COUNTIF($A$4:$A$1003,A984)&gt;1,"Duplicate holder ID",IF(OR(B984="",C984=""),"Missing required field",IF(F984=0,"No holdings",IF(AND(G984=0,A984&lt;&gt;"LKB-GROUP"),"No login (ok if not invited)","OK")))))</f>
        <v/>
      </c>
    </row>
    <row r="985">
      <c r="A985" s="26" t="n"/>
      <c r="B985" s="26" t="n"/>
      <c r="C985" s="26" t="n"/>
      <c r="D985" s="26" t="n"/>
      <c r="E985" s="26" t="n"/>
      <c r="F985" s="30">
        <f>IF(A985="","",COUNTIF('Holdings'!$A$4:$A$2503,A985))</f>
        <v/>
      </c>
      <c r="G985" s="30">
        <f>IF(A985="","",COUNTIF('Access'!$B$4:$B$1503,A985))</f>
        <v/>
      </c>
      <c r="H985" s="30">
        <f>IF(A985="","",IF(COUNTIF($A$4:$A$1003,A985)&gt;1,"Duplicate holder ID",IF(OR(B985="",C985=""),"Missing required field",IF(F985=0,"No holdings",IF(AND(G985=0,A985&lt;&gt;"LKB-GROUP"),"No login (ok if not invited)","OK")))))</f>
        <v/>
      </c>
    </row>
    <row r="986">
      <c r="A986" s="26" t="n"/>
      <c r="B986" s="26" t="n"/>
      <c r="C986" s="26" t="n"/>
      <c r="D986" s="26" t="n"/>
      <c r="E986" s="26" t="n"/>
      <c r="F986" s="30">
        <f>IF(A986="","",COUNTIF('Holdings'!$A$4:$A$2503,A986))</f>
        <v/>
      </c>
      <c r="G986" s="30">
        <f>IF(A986="","",COUNTIF('Access'!$B$4:$B$1503,A986))</f>
        <v/>
      </c>
      <c r="H986" s="30">
        <f>IF(A986="","",IF(COUNTIF($A$4:$A$1003,A986)&gt;1,"Duplicate holder ID",IF(OR(B986="",C986=""),"Missing required field",IF(F986=0,"No holdings",IF(AND(G986=0,A986&lt;&gt;"LKB-GROUP"),"No login (ok if not invited)","OK")))))</f>
        <v/>
      </c>
    </row>
    <row r="987">
      <c r="A987" s="26" t="n"/>
      <c r="B987" s="26" t="n"/>
      <c r="C987" s="26" t="n"/>
      <c r="D987" s="26" t="n"/>
      <c r="E987" s="26" t="n"/>
      <c r="F987" s="30">
        <f>IF(A987="","",COUNTIF('Holdings'!$A$4:$A$2503,A987))</f>
        <v/>
      </c>
      <c r="G987" s="30">
        <f>IF(A987="","",COUNTIF('Access'!$B$4:$B$1503,A987))</f>
        <v/>
      </c>
      <c r="H987" s="30">
        <f>IF(A987="","",IF(COUNTIF($A$4:$A$1003,A987)&gt;1,"Duplicate holder ID",IF(OR(B987="",C987=""),"Missing required field",IF(F987=0,"No holdings",IF(AND(G987=0,A987&lt;&gt;"LKB-GROUP"),"No login (ok if not invited)","OK")))))</f>
        <v/>
      </c>
    </row>
    <row r="988">
      <c r="A988" s="26" t="n"/>
      <c r="B988" s="26" t="n"/>
      <c r="C988" s="26" t="n"/>
      <c r="D988" s="26" t="n"/>
      <c r="E988" s="26" t="n"/>
      <c r="F988" s="30">
        <f>IF(A988="","",COUNTIF('Holdings'!$A$4:$A$2503,A988))</f>
        <v/>
      </c>
      <c r="G988" s="30">
        <f>IF(A988="","",COUNTIF('Access'!$B$4:$B$1503,A988))</f>
        <v/>
      </c>
      <c r="H988" s="30">
        <f>IF(A988="","",IF(COUNTIF($A$4:$A$1003,A988)&gt;1,"Duplicate holder ID",IF(OR(B988="",C988=""),"Missing required field",IF(F988=0,"No holdings",IF(AND(G988=0,A988&lt;&gt;"LKB-GROUP"),"No login (ok if not invited)","OK")))))</f>
        <v/>
      </c>
    </row>
    <row r="989">
      <c r="A989" s="26" t="n"/>
      <c r="B989" s="26" t="n"/>
      <c r="C989" s="26" t="n"/>
      <c r="D989" s="26" t="n"/>
      <c r="E989" s="26" t="n"/>
      <c r="F989" s="30">
        <f>IF(A989="","",COUNTIF('Holdings'!$A$4:$A$2503,A989))</f>
        <v/>
      </c>
      <c r="G989" s="30">
        <f>IF(A989="","",COUNTIF('Access'!$B$4:$B$1503,A989))</f>
        <v/>
      </c>
      <c r="H989" s="30">
        <f>IF(A989="","",IF(COUNTIF($A$4:$A$1003,A989)&gt;1,"Duplicate holder ID",IF(OR(B989="",C989=""),"Missing required field",IF(F989=0,"No holdings",IF(AND(G989=0,A989&lt;&gt;"LKB-GROUP"),"No login (ok if not invited)","OK")))))</f>
        <v/>
      </c>
    </row>
    <row r="990">
      <c r="A990" s="26" t="n"/>
      <c r="B990" s="26" t="n"/>
      <c r="C990" s="26" t="n"/>
      <c r="D990" s="26" t="n"/>
      <c r="E990" s="26" t="n"/>
      <c r="F990" s="30">
        <f>IF(A990="","",COUNTIF('Holdings'!$A$4:$A$2503,A990))</f>
        <v/>
      </c>
      <c r="G990" s="30">
        <f>IF(A990="","",COUNTIF('Access'!$B$4:$B$1503,A990))</f>
        <v/>
      </c>
      <c r="H990" s="30">
        <f>IF(A990="","",IF(COUNTIF($A$4:$A$1003,A990)&gt;1,"Duplicate holder ID",IF(OR(B990="",C990=""),"Missing required field",IF(F990=0,"No holdings",IF(AND(G990=0,A990&lt;&gt;"LKB-GROUP"),"No login (ok if not invited)","OK")))))</f>
        <v/>
      </c>
    </row>
    <row r="991">
      <c r="A991" s="26" t="n"/>
      <c r="B991" s="26" t="n"/>
      <c r="C991" s="26" t="n"/>
      <c r="D991" s="26" t="n"/>
      <c r="E991" s="26" t="n"/>
      <c r="F991" s="30">
        <f>IF(A991="","",COUNTIF('Holdings'!$A$4:$A$2503,A991))</f>
        <v/>
      </c>
      <c r="G991" s="30">
        <f>IF(A991="","",COUNTIF('Access'!$B$4:$B$1503,A991))</f>
        <v/>
      </c>
      <c r="H991" s="30">
        <f>IF(A991="","",IF(COUNTIF($A$4:$A$1003,A991)&gt;1,"Duplicate holder ID",IF(OR(B991="",C991=""),"Missing required field",IF(F991=0,"No holdings",IF(AND(G991=0,A991&lt;&gt;"LKB-GROUP"),"No login (ok if not invited)","OK")))))</f>
        <v/>
      </c>
    </row>
    <row r="992">
      <c r="A992" s="26" t="n"/>
      <c r="B992" s="26" t="n"/>
      <c r="C992" s="26" t="n"/>
      <c r="D992" s="26" t="n"/>
      <c r="E992" s="26" t="n"/>
      <c r="F992" s="30">
        <f>IF(A992="","",COUNTIF('Holdings'!$A$4:$A$2503,A992))</f>
        <v/>
      </c>
      <c r="G992" s="30">
        <f>IF(A992="","",COUNTIF('Access'!$B$4:$B$1503,A992))</f>
        <v/>
      </c>
      <c r="H992" s="30">
        <f>IF(A992="","",IF(COUNTIF($A$4:$A$1003,A992)&gt;1,"Duplicate holder ID",IF(OR(B992="",C992=""),"Missing required field",IF(F992=0,"No holdings",IF(AND(G992=0,A992&lt;&gt;"LKB-GROUP"),"No login (ok if not invited)","OK")))))</f>
        <v/>
      </c>
    </row>
    <row r="993">
      <c r="A993" s="26" t="n"/>
      <c r="B993" s="26" t="n"/>
      <c r="C993" s="26" t="n"/>
      <c r="D993" s="26" t="n"/>
      <c r="E993" s="26" t="n"/>
      <c r="F993" s="30">
        <f>IF(A993="","",COUNTIF('Holdings'!$A$4:$A$2503,A993))</f>
        <v/>
      </c>
      <c r="G993" s="30">
        <f>IF(A993="","",COUNTIF('Access'!$B$4:$B$1503,A993))</f>
        <v/>
      </c>
      <c r="H993" s="30">
        <f>IF(A993="","",IF(COUNTIF($A$4:$A$1003,A993)&gt;1,"Duplicate holder ID",IF(OR(B993="",C993=""),"Missing required field",IF(F993=0,"No holdings",IF(AND(G993=0,A993&lt;&gt;"LKB-GROUP"),"No login (ok if not invited)","OK")))))</f>
        <v/>
      </c>
    </row>
    <row r="994">
      <c r="A994" s="26" t="n"/>
      <c r="B994" s="26" t="n"/>
      <c r="C994" s="26" t="n"/>
      <c r="D994" s="26" t="n"/>
      <c r="E994" s="26" t="n"/>
      <c r="F994" s="30">
        <f>IF(A994="","",COUNTIF('Holdings'!$A$4:$A$2503,A994))</f>
        <v/>
      </c>
      <c r="G994" s="30">
        <f>IF(A994="","",COUNTIF('Access'!$B$4:$B$1503,A994))</f>
        <v/>
      </c>
      <c r="H994" s="30">
        <f>IF(A994="","",IF(COUNTIF($A$4:$A$1003,A994)&gt;1,"Duplicate holder ID",IF(OR(B994="",C994=""),"Missing required field",IF(F994=0,"No holdings",IF(AND(G994=0,A994&lt;&gt;"LKB-GROUP"),"No login (ok if not invited)","OK")))))</f>
        <v/>
      </c>
    </row>
    <row r="995">
      <c r="A995" s="26" t="n"/>
      <c r="B995" s="26" t="n"/>
      <c r="C995" s="26" t="n"/>
      <c r="D995" s="26" t="n"/>
      <c r="E995" s="26" t="n"/>
      <c r="F995" s="30">
        <f>IF(A995="","",COUNTIF('Holdings'!$A$4:$A$2503,A995))</f>
        <v/>
      </c>
      <c r="G995" s="30">
        <f>IF(A995="","",COUNTIF('Access'!$B$4:$B$1503,A995))</f>
        <v/>
      </c>
      <c r="H995" s="30">
        <f>IF(A995="","",IF(COUNTIF($A$4:$A$1003,A995)&gt;1,"Duplicate holder ID",IF(OR(B995="",C995=""),"Missing required field",IF(F995=0,"No holdings",IF(AND(G995=0,A995&lt;&gt;"LKB-GROUP"),"No login (ok if not invited)","OK")))))</f>
        <v/>
      </c>
    </row>
    <row r="996">
      <c r="A996" s="26" t="n"/>
      <c r="B996" s="26" t="n"/>
      <c r="C996" s="26" t="n"/>
      <c r="D996" s="26" t="n"/>
      <c r="E996" s="26" t="n"/>
      <c r="F996" s="30">
        <f>IF(A996="","",COUNTIF('Holdings'!$A$4:$A$2503,A996))</f>
        <v/>
      </c>
      <c r="G996" s="30">
        <f>IF(A996="","",COUNTIF('Access'!$B$4:$B$1503,A996))</f>
        <v/>
      </c>
      <c r="H996" s="30">
        <f>IF(A996="","",IF(COUNTIF($A$4:$A$1003,A996)&gt;1,"Duplicate holder ID",IF(OR(B996="",C996=""),"Missing required field",IF(F996=0,"No holdings",IF(AND(G996=0,A996&lt;&gt;"LKB-GROUP"),"No login (ok if not invited)","OK")))))</f>
        <v/>
      </c>
    </row>
    <row r="997">
      <c r="A997" s="26" t="n"/>
      <c r="B997" s="26" t="n"/>
      <c r="C997" s="26" t="n"/>
      <c r="D997" s="26" t="n"/>
      <c r="E997" s="26" t="n"/>
      <c r="F997" s="30">
        <f>IF(A997="","",COUNTIF('Holdings'!$A$4:$A$2503,A997))</f>
        <v/>
      </c>
      <c r="G997" s="30">
        <f>IF(A997="","",COUNTIF('Access'!$B$4:$B$1503,A997))</f>
        <v/>
      </c>
      <c r="H997" s="30">
        <f>IF(A997="","",IF(COUNTIF($A$4:$A$1003,A997)&gt;1,"Duplicate holder ID",IF(OR(B997="",C997=""),"Missing required field",IF(F997=0,"No holdings",IF(AND(G997=0,A997&lt;&gt;"LKB-GROUP"),"No login (ok if not invited)","OK")))))</f>
        <v/>
      </c>
    </row>
    <row r="998">
      <c r="A998" s="26" t="n"/>
      <c r="B998" s="26" t="n"/>
      <c r="C998" s="26" t="n"/>
      <c r="D998" s="26" t="n"/>
      <c r="E998" s="26" t="n"/>
      <c r="F998" s="30">
        <f>IF(A998="","",COUNTIF('Holdings'!$A$4:$A$2503,A998))</f>
        <v/>
      </c>
      <c r="G998" s="30">
        <f>IF(A998="","",COUNTIF('Access'!$B$4:$B$1503,A998))</f>
        <v/>
      </c>
      <c r="H998" s="30">
        <f>IF(A998="","",IF(COUNTIF($A$4:$A$1003,A998)&gt;1,"Duplicate holder ID",IF(OR(B998="",C998=""),"Missing required field",IF(F998=0,"No holdings",IF(AND(G998=0,A998&lt;&gt;"LKB-GROUP"),"No login (ok if not invited)","OK")))))</f>
        <v/>
      </c>
    </row>
    <row r="999">
      <c r="A999" s="26" t="n"/>
      <c r="B999" s="26" t="n"/>
      <c r="C999" s="26" t="n"/>
      <c r="D999" s="26" t="n"/>
      <c r="E999" s="26" t="n"/>
      <c r="F999" s="30">
        <f>IF(A999="","",COUNTIF('Holdings'!$A$4:$A$2503,A999))</f>
        <v/>
      </c>
      <c r="G999" s="30">
        <f>IF(A999="","",COUNTIF('Access'!$B$4:$B$1503,A999))</f>
        <v/>
      </c>
      <c r="H999" s="30">
        <f>IF(A999="","",IF(COUNTIF($A$4:$A$1003,A999)&gt;1,"Duplicate holder ID",IF(OR(B999="",C999=""),"Missing required field",IF(F999=0,"No holdings",IF(AND(G999=0,A999&lt;&gt;"LKB-GROUP"),"No login (ok if not invited)","OK")))))</f>
        <v/>
      </c>
    </row>
    <row r="1000">
      <c r="A1000" s="26" t="n"/>
      <c r="B1000" s="26" t="n"/>
      <c r="C1000" s="26" t="n"/>
      <c r="D1000" s="26" t="n"/>
      <c r="E1000" s="26" t="n"/>
      <c r="F1000" s="30">
        <f>IF(A1000="","",COUNTIF('Holdings'!$A$4:$A$2503,A1000))</f>
        <v/>
      </c>
      <c r="G1000" s="30">
        <f>IF(A1000="","",COUNTIF('Access'!$B$4:$B$1503,A1000))</f>
        <v/>
      </c>
      <c r="H1000" s="30">
        <f>IF(A1000="","",IF(COUNTIF($A$4:$A$1003,A1000)&gt;1,"Duplicate holder ID",IF(OR(B1000="",C1000=""),"Missing required field",IF(F1000=0,"No holdings",IF(AND(G1000=0,A1000&lt;&gt;"LKB-GROUP"),"No login (ok if not invited)","OK")))))</f>
        <v/>
      </c>
    </row>
    <row r="1001">
      <c r="A1001" s="26" t="n"/>
      <c r="B1001" s="26" t="n"/>
      <c r="C1001" s="26" t="n"/>
      <c r="D1001" s="26" t="n"/>
      <c r="E1001" s="26" t="n"/>
      <c r="F1001" s="30">
        <f>IF(A1001="","",COUNTIF('Holdings'!$A$4:$A$2503,A1001))</f>
        <v/>
      </c>
      <c r="G1001" s="30">
        <f>IF(A1001="","",COUNTIF('Access'!$B$4:$B$1503,A1001))</f>
        <v/>
      </c>
      <c r="H1001" s="30">
        <f>IF(A1001="","",IF(COUNTIF($A$4:$A$1003,A1001)&gt;1,"Duplicate holder ID",IF(OR(B1001="",C1001=""),"Missing required field",IF(F1001=0,"No holdings",IF(AND(G1001=0,A1001&lt;&gt;"LKB-GROUP"),"No login (ok if not invited)","OK")))))</f>
        <v/>
      </c>
    </row>
    <row r="1002">
      <c r="A1002" s="26" t="n"/>
      <c r="B1002" s="26" t="n"/>
      <c r="C1002" s="26" t="n"/>
      <c r="D1002" s="26" t="n"/>
      <c r="E1002" s="26" t="n"/>
      <c r="F1002" s="30">
        <f>IF(A1002="","",COUNTIF('Holdings'!$A$4:$A$2503,A1002))</f>
        <v/>
      </c>
      <c r="G1002" s="30">
        <f>IF(A1002="","",COUNTIF('Access'!$B$4:$B$1503,A1002))</f>
        <v/>
      </c>
      <c r="H1002" s="30">
        <f>IF(A1002="","",IF(COUNTIF($A$4:$A$1003,A1002)&gt;1,"Duplicate holder ID",IF(OR(B1002="",C1002=""),"Missing required field",IF(F1002=0,"No holdings",IF(AND(G1002=0,A1002&lt;&gt;"LKB-GROUP"),"No login (ok if not invited)","OK")))))</f>
        <v/>
      </c>
    </row>
    <row r="1003">
      <c r="A1003" s="26" t="n"/>
      <c r="B1003" s="26" t="n"/>
      <c r="C1003" s="26" t="n"/>
      <c r="D1003" s="26" t="n"/>
      <c r="E1003" s="26" t="n"/>
      <c r="F1003" s="30">
        <f>IF(A1003="","",COUNTIF('Holdings'!$A$4:$A$2503,A1003))</f>
        <v/>
      </c>
      <c r="G1003" s="30">
        <f>IF(A1003="","",COUNTIF('Access'!$B$4:$B$1503,A1003))</f>
        <v/>
      </c>
      <c r="H1003" s="30">
        <f>IF(A1003="","",IF(COUNTIF($A$4:$A$1003,A1003)&gt;1,"Duplicate holder ID",IF(OR(B1003="",C1003=""),"Missing required field",IF(F1003=0,"No holdings",IF(AND(G1003=0,A1003&lt;&gt;"LKB-GROUP"),"No login (ok if not invited)","OK")))))</f>
        <v/>
      </c>
    </row>
  </sheetData>
  <autoFilter ref="A2:H1003"/>
  <conditionalFormatting sqref="H4:H1003">
    <cfRule type="expression" priority="1" dxfId="1">
      <formula>H4="No login (ok if not invited)"</formula>
    </cfRule>
    <cfRule type="expression" priority="2" dxfId="0">
      <formula>AND(H4&lt;&gt;"",H4&lt;&gt;"OK")</formula>
    </cfRule>
  </conditionalFormatting>
  <dataValidations count="1">
    <dataValidation sqref="C4:C1003" showDropDown="0" showInputMessage="0" showErrorMessage="1" allowBlank="0" errorTitle="Choose from the list" error="Pick one of: Individual, Company, Trust, Super fund" type="list">
      <formula1>=Lists!$E$2:$E$5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2" customWidth="1" min="5" max="5"/>
    <col width="12" customWidth="1" min="6" max="6"/>
    <col width="28" customWidth="1" min="7" max="7"/>
    <col width="10" customWidth="1" min="8" max="8"/>
    <col width="30" customWidth="1" min="9" max="9"/>
    <col width="24" customWidth="1" min="10" max="10"/>
  </cols>
  <sheetData>
    <row r="1">
      <c r="A1" s="9" t="inlineStr">
        <is>
          <t>People (portal logins)</t>
        </is>
      </c>
      <c r="C1" s="10" t="inlineStr">
        <is>
          <t>Everyone who signs in. One row per email address; one person can see many holders across many companies.</t>
        </is>
      </c>
    </row>
    <row r="2" ht="32" customHeight="1">
      <c r="A2" s="20" t="inlineStr">
        <is>
          <t>Email *</t>
        </is>
      </c>
      <c r="B2" s="20" t="inlineStr">
        <is>
          <t>First name</t>
        </is>
      </c>
      <c r="C2" s="20" t="inlineStr">
        <is>
          <t>Last name</t>
        </is>
      </c>
      <c r="D2" s="20" t="inlineStr">
        <is>
          <t>Phone</t>
        </is>
      </c>
      <c r="E2" s="20" t="inlineStr">
        <is>
          <t>Roles</t>
        </is>
      </c>
      <c r="F2" s="20" t="inlineStr">
        <is>
          <t>Email notifications</t>
        </is>
      </c>
      <c r="G2" s="20" t="inlineStr">
        <is>
          <t>Notes</t>
        </is>
      </c>
      <c r="H2" s="21" t="inlineStr">
        <is>
          <t>Holders they see</t>
        </is>
      </c>
      <c r="I2" s="21" t="inlineStr">
        <is>
          <t>Companies they see</t>
        </is>
      </c>
      <c r="J2" s="21" t="inlineStr">
        <is>
          <t>Check</t>
        </is>
      </c>
    </row>
    <row r="3">
      <c r="A3" s="22" t="inlineStr">
        <is>
          <t>jane@example.com</t>
        </is>
      </c>
      <c r="B3" s="22" t="inlineStr">
        <is>
          <t>Jane</t>
        </is>
      </c>
      <c r="C3" s="22" t="inlineStr">
        <is>
          <t>Citizen</t>
        </is>
      </c>
      <c r="D3" s="22" t="inlineStr">
        <is>
          <t>+61 400 000 000</t>
        </is>
      </c>
      <c r="E3" s="22" t="inlineStr"/>
      <c r="F3" s="22" t="inlineStr">
        <is>
          <t>Yes</t>
        </is>
      </c>
      <c r="G3" s="22" t="inlineStr"/>
      <c r="K3" s="10" t="inlineStr">
        <is>
          <t>← example row, not imported</t>
        </is>
      </c>
    </row>
    <row r="4">
      <c r="A4" s="26" t="n"/>
      <c r="B4" s="26" t="n"/>
      <c r="C4" s="26" t="n"/>
      <c r="D4" s="26" t="n"/>
      <c r="E4" s="26" t="n"/>
      <c r="F4" s="26" t="n"/>
      <c r="G4" s="26" t="n"/>
      <c r="H4" s="30">
        <f>IF(A4="","",COUNTIF('Access'!$A$4:$A$1503,A4))</f>
        <v/>
      </c>
      <c r="I4" s="30">
        <f t="array" ref="I4">IF(A4="","",_xlfn.TEXTJOIN(", ",TRUE,IF(('Companies'!$A$4:$A$63&lt;&gt;"")*(COUNTIFS('Access'!$A$4:$A$1503,A4,'Access'!$F$4:$F$1503,"*"&amp;'Companies'!$A$4:$A$63&amp;"*")&gt;0),'Companies'!$A$4:$A$63,"")))</f>
        <v/>
      </c>
      <c r="J4" s="30">
        <f>IF(A4="","",IF(COUNTIF($A$4:$A$1003,A4)&gt;1,"Duplicate email",IF(ISERROR(FIND("@",A4)),"Not an email address",IF(AND(H4=0,E4=""),"Investor without holders","OK"))))</f>
        <v/>
      </c>
    </row>
    <row r="5">
      <c r="A5" s="26" t="n"/>
      <c r="B5" s="26" t="n"/>
      <c r="C5" s="26" t="n"/>
      <c r="D5" s="26" t="n"/>
      <c r="E5" s="26" t="n"/>
      <c r="F5" s="26" t="n"/>
      <c r="G5" s="26" t="n"/>
      <c r="H5" s="30">
        <f>IF(A5="","",COUNTIF('Access'!$A$4:$A$1503,A5))</f>
        <v/>
      </c>
      <c r="I5" s="30">
        <f t="array" ref="I5">IF(A5="","",_xlfn.TEXTJOIN(", ",TRUE,IF(('Companies'!$A$4:$A$63&lt;&gt;"")*(COUNTIFS('Access'!$A$4:$A$1503,A5,'Access'!$F$4:$F$1503,"*"&amp;'Companies'!$A$4:$A$63&amp;"*")&gt;0),'Companies'!$A$4:$A$63,"")))</f>
        <v/>
      </c>
      <c r="J5" s="30">
        <f>IF(A5="","",IF(COUNTIF($A$4:$A$1003,A5)&gt;1,"Duplicate email",IF(ISERROR(FIND("@",A5)),"Not an email address",IF(AND(H5=0,E5=""),"Investor without holders","OK"))))</f>
        <v/>
      </c>
    </row>
    <row r="6">
      <c r="A6" s="26" t="n"/>
      <c r="B6" s="26" t="n"/>
      <c r="C6" s="26" t="n"/>
      <c r="D6" s="26" t="n"/>
      <c r="E6" s="26" t="n"/>
      <c r="F6" s="26" t="n"/>
      <c r="G6" s="26" t="n"/>
      <c r="H6" s="30">
        <f>IF(A6="","",COUNTIF('Access'!$A$4:$A$1503,A6))</f>
        <v/>
      </c>
      <c r="I6" s="30">
        <f t="array" ref="I6">IF(A6="","",_xlfn.TEXTJOIN(", ",TRUE,IF(('Companies'!$A$4:$A$63&lt;&gt;"")*(COUNTIFS('Access'!$A$4:$A$1503,A6,'Access'!$F$4:$F$1503,"*"&amp;'Companies'!$A$4:$A$63&amp;"*")&gt;0),'Companies'!$A$4:$A$63,"")))</f>
        <v/>
      </c>
      <c r="J6" s="30">
        <f>IF(A6="","",IF(COUNTIF($A$4:$A$1003,A6)&gt;1,"Duplicate email",IF(ISERROR(FIND("@",A6)),"Not an email address",IF(AND(H6=0,E6=""),"Investor without holders","OK"))))</f>
        <v/>
      </c>
    </row>
    <row r="7">
      <c r="A7" s="26" t="n"/>
      <c r="B7" s="26" t="n"/>
      <c r="C7" s="26" t="n"/>
      <c r="D7" s="26" t="n"/>
      <c r="E7" s="26" t="n"/>
      <c r="F7" s="26" t="n"/>
      <c r="G7" s="26" t="n"/>
      <c r="H7" s="30">
        <f>IF(A7="","",COUNTIF('Access'!$A$4:$A$1503,A7))</f>
        <v/>
      </c>
      <c r="I7" s="30">
        <f t="array" ref="I7">IF(A7="","",_xlfn.TEXTJOIN(", ",TRUE,IF(('Companies'!$A$4:$A$63&lt;&gt;"")*(COUNTIFS('Access'!$A$4:$A$1503,A7,'Access'!$F$4:$F$1503,"*"&amp;'Companies'!$A$4:$A$63&amp;"*")&gt;0),'Companies'!$A$4:$A$63,"")))</f>
        <v/>
      </c>
      <c r="J7" s="30">
        <f>IF(A7="","",IF(COUNTIF($A$4:$A$1003,A7)&gt;1,"Duplicate email",IF(ISERROR(FIND("@",A7)),"Not an email address",IF(AND(H7=0,E7=""),"Investor without holders","OK"))))</f>
        <v/>
      </c>
    </row>
    <row r="8">
      <c r="A8" s="26" t="n"/>
      <c r="B8" s="26" t="n"/>
      <c r="C8" s="26" t="n"/>
      <c r="D8" s="26" t="n"/>
      <c r="E8" s="26" t="n"/>
      <c r="F8" s="26" t="n"/>
      <c r="G8" s="26" t="n"/>
      <c r="H8" s="30">
        <f>IF(A8="","",COUNTIF('Access'!$A$4:$A$1503,A8))</f>
        <v/>
      </c>
      <c r="I8" s="30">
        <f t="array" ref="I8">IF(A8="","",_xlfn.TEXTJOIN(", ",TRUE,IF(('Companies'!$A$4:$A$63&lt;&gt;"")*(COUNTIFS('Access'!$A$4:$A$1503,A8,'Access'!$F$4:$F$1503,"*"&amp;'Companies'!$A$4:$A$63&amp;"*")&gt;0),'Companies'!$A$4:$A$63,"")))</f>
        <v/>
      </c>
      <c r="J8" s="30">
        <f>IF(A8="","",IF(COUNTIF($A$4:$A$1003,A8)&gt;1,"Duplicate email",IF(ISERROR(FIND("@",A8)),"Not an email address",IF(AND(H8=0,E8=""),"Investor without holders","OK"))))</f>
        <v/>
      </c>
    </row>
    <row r="9">
      <c r="A9" s="26" t="n"/>
      <c r="B9" s="26" t="n"/>
      <c r="C9" s="26" t="n"/>
      <c r="D9" s="26" t="n"/>
      <c r="E9" s="26" t="n"/>
      <c r="F9" s="26" t="n"/>
      <c r="G9" s="26" t="n"/>
      <c r="H9" s="30">
        <f>IF(A9="","",COUNTIF('Access'!$A$4:$A$1503,A9))</f>
        <v/>
      </c>
      <c r="I9" s="30">
        <f t="array" ref="I9">IF(A9="","",_xlfn.TEXTJOIN(", ",TRUE,IF(('Companies'!$A$4:$A$63&lt;&gt;"")*(COUNTIFS('Access'!$A$4:$A$1503,A9,'Access'!$F$4:$F$1503,"*"&amp;'Companies'!$A$4:$A$63&amp;"*")&gt;0),'Companies'!$A$4:$A$63,"")))</f>
        <v/>
      </c>
      <c r="J9" s="30">
        <f>IF(A9="","",IF(COUNTIF($A$4:$A$1003,A9)&gt;1,"Duplicate email",IF(ISERROR(FIND("@",A9)),"Not an email address",IF(AND(H9=0,E9=""),"Investor without holders","OK"))))</f>
        <v/>
      </c>
    </row>
    <row r="10">
      <c r="A10" s="26" t="n"/>
      <c r="B10" s="26" t="n"/>
      <c r="C10" s="26" t="n"/>
      <c r="D10" s="26" t="n"/>
      <c r="E10" s="26" t="n"/>
      <c r="F10" s="26" t="n"/>
      <c r="G10" s="26" t="n"/>
      <c r="H10" s="30">
        <f>IF(A10="","",COUNTIF('Access'!$A$4:$A$1503,A10))</f>
        <v/>
      </c>
      <c r="I10" s="30">
        <f t="array" ref="I10">IF(A10="","",_xlfn.TEXTJOIN(", ",TRUE,IF(('Companies'!$A$4:$A$63&lt;&gt;"")*(COUNTIFS('Access'!$A$4:$A$1503,A10,'Access'!$F$4:$F$1503,"*"&amp;'Companies'!$A$4:$A$63&amp;"*")&gt;0),'Companies'!$A$4:$A$63,"")))</f>
        <v/>
      </c>
      <c r="J10" s="30">
        <f>IF(A10="","",IF(COUNTIF($A$4:$A$1003,A10)&gt;1,"Duplicate email",IF(ISERROR(FIND("@",A10)),"Not an email address",IF(AND(H10=0,E10=""),"Investor without holders","OK"))))</f>
        <v/>
      </c>
    </row>
    <row r="11">
      <c r="A11" s="26" t="n"/>
      <c r="B11" s="26" t="n"/>
      <c r="C11" s="26" t="n"/>
      <c r="D11" s="26" t="n"/>
      <c r="E11" s="26" t="n"/>
      <c r="F11" s="26" t="n"/>
      <c r="G11" s="26" t="n"/>
      <c r="H11" s="30">
        <f>IF(A11="","",COUNTIF('Access'!$A$4:$A$1503,A11))</f>
        <v/>
      </c>
      <c r="I11" s="30">
        <f t="array" ref="I11">IF(A11="","",_xlfn.TEXTJOIN(", ",TRUE,IF(('Companies'!$A$4:$A$63&lt;&gt;"")*(COUNTIFS('Access'!$A$4:$A$1503,A11,'Access'!$F$4:$F$1503,"*"&amp;'Companies'!$A$4:$A$63&amp;"*")&gt;0),'Companies'!$A$4:$A$63,"")))</f>
        <v/>
      </c>
      <c r="J11" s="30">
        <f>IF(A11="","",IF(COUNTIF($A$4:$A$1003,A11)&gt;1,"Duplicate email",IF(ISERROR(FIND("@",A11)),"Not an email address",IF(AND(H11=0,E11=""),"Investor without holders","OK"))))</f>
        <v/>
      </c>
    </row>
    <row r="12">
      <c r="A12" s="26" t="n"/>
      <c r="B12" s="26" t="n"/>
      <c r="C12" s="26" t="n"/>
      <c r="D12" s="26" t="n"/>
      <c r="E12" s="26" t="n"/>
      <c r="F12" s="26" t="n"/>
      <c r="G12" s="26" t="n"/>
      <c r="H12" s="30">
        <f>IF(A12="","",COUNTIF('Access'!$A$4:$A$1503,A12))</f>
        <v/>
      </c>
      <c r="I12" s="30">
        <f t="array" ref="I12">IF(A12="","",_xlfn.TEXTJOIN(", ",TRUE,IF(('Companies'!$A$4:$A$63&lt;&gt;"")*(COUNTIFS('Access'!$A$4:$A$1503,A12,'Access'!$F$4:$F$1503,"*"&amp;'Companies'!$A$4:$A$63&amp;"*")&gt;0),'Companies'!$A$4:$A$63,"")))</f>
        <v/>
      </c>
      <c r="J12" s="30">
        <f>IF(A12="","",IF(COUNTIF($A$4:$A$1003,A12)&gt;1,"Duplicate email",IF(ISERROR(FIND("@",A12)),"Not an email address",IF(AND(H12=0,E12=""),"Investor without holders","OK"))))</f>
        <v/>
      </c>
    </row>
    <row r="13">
      <c r="A13" s="26" t="n"/>
      <c r="B13" s="26" t="n"/>
      <c r="C13" s="26" t="n"/>
      <c r="D13" s="26" t="n"/>
      <c r="E13" s="26" t="n"/>
      <c r="F13" s="26" t="n"/>
      <c r="G13" s="26" t="n"/>
      <c r="H13" s="30">
        <f>IF(A13="","",COUNTIF('Access'!$A$4:$A$1503,A13))</f>
        <v/>
      </c>
      <c r="I13" s="30">
        <f t="array" ref="I13">IF(A13="","",_xlfn.TEXTJOIN(", ",TRUE,IF(('Companies'!$A$4:$A$63&lt;&gt;"")*(COUNTIFS('Access'!$A$4:$A$1503,A13,'Access'!$F$4:$F$1503,"*"&amp;'Companies'!$A$4:$A$63&amp;"*")&gt;0),'Companies'!$A$4:$A$63,"")))</f>
        <v/>
      </c>
      <c r="J13" s="30">
        <f>IF(A13="","",IF(COUNTIF($A$4:$A$1003,A13)&gt;1,"Duplicate email",IF(ISERROR(FIND("@",A13)),"Not an email address",IF(AND(H13=0,E13=""),"Investor without holders","OK"))))</f>
        <v/>
      </c>
    </row>
    <row r="14">
      <c r="A14" s="26" t="n"/>
      <c r="B14" s="26" t="n"/>
      <c r="C14" s="26" t="n"/>
      <c r="D14" s="26" t="n"/>
      <c r="E14" s="26" t="n"/>
      <c r="F14" s="26" t="n"/>
      <c r="G14" s="26" t="n"/>
      <c r="H14" s="30">
        <f>IF(A14="","",COUNTIF('Access'!$A$4:$A$1503,A14))</f>
        <v/>
      </c>
      <c r="I14" s="30">
        <f t="array" ref="I14">IF(A14="","",_xlfn.TEXTJOIN(", ",TRUE,IF(('Companies'!$A$4:$A$63&lt;&gt;"")*(COUNTIFS('Access'!$A$4:$A$1503,A14,'Access'!$F$4:$F$1503,"*"&amp;'Companies'!$A$4:$A$63&amp;"*")&gt;0),'Companies'!$A$4:$A$63,"")))</f>
        <v/>
      </c>
      <c r="J14" s="30">
        <f>IF(A14="","",IF(COUNTIF($A$4:$A$1003,A14)&gt;1,"Duplicate email",IF(ISERROR(FIND("@",A14)),"Not an email address",IF(AND(H14=0,E14=""),"Investor without holders","OK"))))</f>
        <v/>
      </c>
    </row>
    <row r="15">
      <c r="A15" s="26" t="n"/>
      <c r="B15" s="26" t="n"/>
      <c r="C15" s="26" t="n"/>
      <c r="D15" s="26" t="n"/>
      <c r="E15" s="26" t="n"/>
      <c r="F15" s="26" t="n"/>
      <c r="G15" s="26" t="n"/>
      <c r="H15" s="30">
        <f>IF(A15="","",COUNTIF('Access'!$A$4:$A$1503,A15))</f>
        <v/>
      </c>
      <c r="I15" s="30">
        <f t="array" ref="I15">IF(A15="","",_xlfn.TEXTJOIN(", ",TRUE,IF(('Companies'!$A$4:$A$63&lt;&gt;"")*(COUNTIFS('Access'!$A$4:$A$1503,A15,'Access'!$F$4:$F$1503,"*"&amp;'Companies'!$A$4:$A$63&amp;"*")&gt;0),'Companies'!$A$4:$A$63,"")))</f>
        <v/>
      </c>
      <c r="J15" s="30">
        <f>IF(A15="","",IF(COUNTIF($A$4:$A$1003,A15)&gt;1,"Duplicate email",IF(ISERROR(FIND("@",A15)),"Not an email address",IF(AND(H15=0,E15=""),"Investor without holders","OK"))))</f>
        <v/>
      </c>
    </row>
    <row r="16">
      <c r="A16" s="26" t="n"/>
      <c r="B16" s="26" t="n"/>
      <c r="C16" s="26" t="n"/>
      <c r="D16" s="26" t="n"/>
      <c r="E16" s="26" t="n"/>
      <c r="F16" s="26" t="n"/>
      <c r="G16" s="26" t="n"/>
      <c r="H16" s="30">
        <f>IF(A16="","",COUNTIF('Access'!$A$4:$A$1503,A16))</f>
        <v/>
      </c>
      <c r="I16" s="30">
        <f t="array" ref="I16">IF(A16="","",_xlfn.TEXTJOIN(", ",TRUE,IF(('Companies'!$A$4:$A$63&lt;&gt;"")*(COUNTIFS('Access'!$A$4:$A$1503,A16,'Access'!$F$4:$F$1503,"*"&amp;'Companies'!$A$4:$A$63&amp;"*")&gt;0),'Companies'!$A$4:$A$63,"")))</f>
        <v/>
      </c>
      <c r="J16" s="30">
        <f>IF(A16="","",IF(COUNTIF($A$4:$A$1003,A16)&gt;1,"Duplicate email",IF(ISERROR(FIND("@",A16)),"Not an email address",IF(AND(H16=0,E16=""),"Investor without holders","OK"))))</f>
        <v/>
      </c>
    </row>
    <row r="17">
      <c r="A17" s="26" t="n"/>
      <c r="B17" s="26" t="n"/>
      <c r="C17" s="26" t="n"/>
      <c r="D17" s="26" t="n"/>
      <c r="E17" s="26" t="n"/>
      <c r="F17" s="26" t="n"/>
      <c r="G17" s="26" t="n"/>
      <c r="H17" s="30">
        <f>IF(A17="","",COUNTIF('Access'!$A$4:$A$1503,A17))</f>
        <v/>
      </c>
      <c r="I17" s="30">
        <f t="array" ref="I17">IF(A17="","",_xlfn.TEXTJOIN(", ",TRUE,IF(('Companies'!$A$4:$A$63&lt;&gt;"")*(COUNTIFS('Access'!$A$4:$A$1503,A17,'Access'!$F$4:$F$1503,"*"&amp;'Companies'!$A$4:$A$63&amp;"*")&gt;0),'Companies'!$A$4:$A$63,"")))</f>
        <v/>
      </c>
      <c r="J17" s="30">
        <f>IF(A17="","",IF(COUNTIF($A$4:$A$1003,A17)&gt;1,"Duplicate email",IF(ISERROR(FIND("@",A17)),"Not an email address",IF(AND(H17=0,E17=""),"Investor without holders","OK"))))</f>
        <v/>
      </c>
    </row>
    <row r="18">
      <c r="A18" s="26" t="n"/>
      <c r="B18" s="26" t="n"/>
      <c r="C18" s="26" t="n"/>
      <c r="D18" s="26" t="n"/>
      <c r="E18" s="26" t="n"/>
      <c r="F18" s="26" t="n"/>
      <c r="G18" s="26" t="n"/>
      <c r="H18" s="30">
        <f>IF(A18="","",COUNTIF('Access'!$A$4:$A$1503,A18))</f>
        <v/>
      </c>
      <c r="I18" s="30">
        <f t="array" ref="I18">IF(A18="","",_xlfn.TEXTJOIN(", ",TRUE,IF(('Companies'!$A$4:$A$63&lt;&gt;"")*(COUNTIFS('Access'!$A$4:$A$1503,A18,'Access'!$F$4:$F$1503,"*"&amp;'Companies'!$A$4:$A$63&amp;"*")&gt;0),'Companies'!$A$4:$A$63,"")))</f>
        <v/>
      </c>
      <c r="J18" s="30">
        <f>IF(A18="","",IF(COUNTIF($A$4:$A$1003,A18)&gt;1,"Duplicate email",IF(ISERROR(FIND("@",A18)),"Not an email address",IF(AND(H18=0,E18=""),"Investor without holders","OK"))))</f>
        <v/>
      </c>
    </row>
    <row r="19">
      <c r="A19" s="26" t="n"/>
      <c r="B19" s="26" t="n"/>
      <c r="C19" s="26" t="n"/>
      <c r="D19" s="26" t="n"/>
      <c r="E19" s="26" t="n"/>
      <c r="F19" s="26" t="n"/>
      <c r="G19" s="26" t="n"/>
      <c r="H19" s="30">
        <f>IF(A19="","",COUNTIF('Access'!$A$4:$A$1503,A19))</f>
        <v/>
      </c>
      <c r="I19" s="30">
        <f t="array" ref="I19">IF(A19="","",_xlfn.TEXTJOIN(", ",TRUE,IF(('Companies'!$A$4:$A$63&lt;&gt;"")*(COUNTIFS('Access'!$A$4:$A$1503,A19,'Access'!$F$4:$F$1503,"*"&amp;'Companies'!$A$4:$A$63&amp;"*")&gt;0),'Companies'!$A$4:$A$63,"")))</f>
        <v/>
      </c>
      <c r="J19" s="30">
        <f>IF(A19="","",IF(COUNTIF($A$4:$A$1003,A19)&gt;1,"Duplicate email",IF(ISERROR(FIND("@",A19)),"Not an email address",IF(AND(H19=0,E19=""),"Investor without holders","OK"))))</f>
        <v/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30">
        <f>IF(A20="","",COUNTIF('Access'!$A$4:$A$1503,A20))</f>
        <v/>
      </c>
      <c r="I20" s="30">
        <f t="array" ref="I20">IF(A20="","",_xlfn.TEXTJOIN(", ",TRUE,IF(('Companies'!$A$4:$A$63&lt;&gt;"")*(COUNTIFS('Access'!$A$4:$A$1503,A20,'Access'!$F$4:$F$1503,"*"&amp;'Companies'!$A$4:$A$63&amp;"*")&gt;0),'Companies'!$A$4:$A$63,"")))</f>
        <v/>
      </c>
      <c r="J20" s="30">
        <f>IF(A20="","",IF(COUNTIF($A$4:$A$1003,A20)&gt;1,"Duplicate email",IF(ISERROR(FIND("@",A20)),"Not an email address",IF(AND(H20=0,E20=""),"Investor without holders","OK"))))</f>
        <v/>
      </c>
    </row>
    <row r="21">
      <c r="A21" s="26" t="n"/>
      <c r="B21" s="26" t="n"/>
      <c r="C21" s="26" t="n"/>
      <c r="D21" s="26" t="n"/>
      <c r="E21" s="26" t="n"/>
      <c r="F21" s="26" t="n"/>
      <c r="G21" s="26" t="n"/>
      <c r="H21" s="30">
        <f>IF(A21="","",COUNTIF('Access'!$A$4:$A$1503,A21))</f>
        <v/>
      </c>
      <c r="I21" s="30">
        <f t="array" ref="I21">IF(A21="","",_xlfn.TEXTJOIN(", ",TRUE,IF(('Companies'!$A$4:$A$63&lt;&gt;"")*(COUNTIFS('Access'!$A$4:$A$1503,A21,'Access'!$F$4:$F$1503,"*"&amp;'Companies'!$A$4:$A$63&amp;"*")&gt;0),'Companies'!$A$4:$A$63,"")))</f>
        <v/>
      </c>
      <c r="J21" s="30">
        <f>IF(A21="","",IF(COUNTIF($A$4:$A$1003,A21)&gt;1,"Duplicate email",IF(ISERROR(FIND("@",A21)),"Not an email address",IF(AND(H21=0,E21=""),"Investor without holders","OK"))))</f>
        <v/>
      </c>
    </row>
    <row r="22">
      <c r="A22" s="26" t="n"/>
      <c r="B22" s="26" t="n"/>
      <c r="C22" s="26" t="n"/>
      <c r="D22" s="26" t="n"/>
      <c r="E22" s="26" t="n"/>
      <c r="F22" s="26" t="n"/>
      <c r="G22" s="26" t="n"/>
      <c r="H22" s="30">
        <f>IF(A22="","",COUNTIF('Access'!$A$4:$A$1503,A22))</f>
        <v/>
      </c>
      <c r="I22" s="30">
        <f t="array" ref="I22">IF(A22="","",_xlfn.TEXTJOIN(", ",TRUE,IF(('Companies'!$A$4:$A$63&lt;&gt;"")*(COUNTIFS('Access'!$A$4:$A$1503,A22,'Access'!$F$4:$F$1503,"*"&amp;'Companies'!$A$4:$A$63&amp;"*")&gt;0),'Companies'!$A$4:$A$63,"")))</f>
        <v/>
      </c>
      <c r="J22" s="30">
        <f>IF(A22="","",IF(COUNTIF($A$4:$A$1003,A22)&gt;1,"Duplicate email",IF(ISERROR(FIND("@",A22)),"Not an email address",IF(AND(H22=0,E22=""),"Investor without holders","OK"))))</f>
        <v/>
      </c>
    </row>
    <row r="23">
      <c r="A23" s="26" t="n"/>
      <c r="B23" s="26" t="n"/>
      <c r="C23" s="26" t="n"/>
      <c r="D23" s="26" t="n"/>
      <c r="E23" s="26" t="n"/>
      <c r="F23" s="26" t="n"/>
      <c r="G23" s="26" t="n"/>
      <c r="H23" s="30">
        <f>IF(A23="","",COUNTIF('Access'!$A$4:$A$1503,A23))</f>
        <v/>
      </c>
      <c r="I23" s="30">
        <f t="array" ref="I23">IF(A23="","",_xlfn.TEXTJOIN(", ",TRUE,IF(('Companies'!$A$4:$A$63&lt;&gt;"")*(COUNTIFS('Access'!$A$4:$A$1503,A23,'Access'!$F$4:$F$1503,"*"&amp;'Companies'!$A$4:$A$63&amp;"*")&gt;0),'Companies'!$A$4:$A$63,"")))</f>
        <v/>
      </c>
      <c r="J23" s="30">
        <f>IF(A23="","",IF(COUNTIF($A$4:$A$1003,A23)&gt;1,"Duplicate email",IF(ISERROR(FIND("@",A23)),"Not an email address",IF(AND(H23=0,E23=""),"Investor without holders","OK"))))</f>
        <v/>
      </c>
    </row>
    <row r="24">
      <c r="A24" s="26" t="n"/>
      <c r="B24" s="26" t="n"/>
      <c r="C24" s="26" t="n"/>
      <c r="D24" s="26" t="n"/>
      <c r="E24" s="26" t="n"/>
      <c r="F24" s="26" t="n"/>
      <c r="G24" s="26" t="n"/>
      <c r="H24" s="30">
        <f>IF(A24="","",COUNTIF('Access'!$A$4:$A$1503,A24))</f>
        <v/>
      </c>
      <c r="I24" s="30">
        <f t="array" ref="I24">IF(A24="","",_xlfn.TEXTJOIN(", ",TRUE,IF(('Companies'!$A$4:$A$63&lt;&gt;"")*(COUNTIFS('Access'!$A$4:$A$1503,A24,'Access'!$F$4:$F$1503,"*"&amp;'Companies'!$A$4:$A$63&amp;"*")&gt;0),'Companies'!$A$4:$A$63,"")))</f>
        <v/>
      </c>
      <c r="J24" s="30">
        <f>IF(A24="","",IF(COUNTIF($A$4:$A$1003,A24)&gt;1,"Duplicate email",IF(ISERROR(FIND("@",A24)),"Not an email address",IF(AND(H24=0,E24=""),"Investor without holders","OK"))))</f>
        <v/>
      </c>
    </row>
    <row r="25">
      <c r="A25" s="26" t="n"/>
      <c r="B25" s="26" t="n"/>
      <c r="C25" s="26" t="n"/>
      <c r="D25" s="26" t="n"/>
      <c r="E25" s="26" t="n"/>
      <c r="F25" s="26" t="n"/>
      <c r="G25" s="26" t="n"/>
      <c r="H25" s="30">
        <f>IF(A25="","",COUNTIF('Access'!$A$4:$A$1503,A25))</f>
        <v/>
      </c>
      <c r="I25" s="30">
        <f t="array" ref="I25">IF(A25="","",_xlfn.TEXTJOIN(", ",TRUE,IF(('Companies'!$A$4:$A$63&lt;&gt;"")*(COUNTIFS('Access'!$A$4:$A$1503,A25,'Access'!$F$4:$F$1503,"*"&amp;'Companies'!$A$4:$A$63&amp;"*")&gt;0),'Companies'!$A$4:$A$63,"")))</f>
        <v/>
      </c>
      <c r="J25" s="30">
        <f>IF(A25="","",IF(COUNTIF($A$4:$A$1003,A25)&gt;1,"Duplicate email",IF(ISERROR(FIND("@",A25)),"Not an email address",IF(AND(H25=0,E25=""),"Investor without holders","OK"))))</f>
        <v/>
      </c>
    </row>
    <row r="26">
      <c r="A26" s="26" t="n"/>
      <c r="B26" s="26" t="n"/>
      <c r="C26" s="26" t="n"/>
      <c r="D26" s="26" t="n"/>
      <c r="E26" s="26" t="n"/>
      <c r="F26" s="26" t="n"/>
      <c r="G26" s="26" t="n"/>
      <c r="H26" s="30">
        <f>IF(A26="","",COUNTIF('Access'!$A$4:$A$1503,A26))</f>
        <v/>
      </c>
      <c r="I26" s="30">
        <f t="array" ref="I26">IF(A26="","",_xlfn.TEXTJOIN(", ",TRUE,IF(('Companies'!$A$4:$A$63&lt;&gt;"")*(COUNTIFS('Access'!$A$4:$A$1503,A26,'Access'!$F$4:$F$1503,"*"&amp;'Companies'!$A$4:$A$63&amp;"*")&gt;0),'Companies'!$A$4:$A$63,"")))</f>
        <v/>
      </c>
      <c r="J26" s="30">
        <f>IF(A26="","",IF(COUNTIF($A$4:$A$1003,A26)&gt;1,"Duplicate email",IF(ISERROR(FIND("@",A26)),"Not an email address",IF(AND(H26=0,E26=""),"Investor without holders","OK"))))</f>
        <v/>
      </c>
    </row>
    <row r="27">
      <c r="A27" s="26" t="n"/>
      <c r="B27" s="26" t="n"/>
      <c r="C27" s="26" t="n"/>
      <c r="D27" s="26" t="n"/>
      <c r="E27" s="26" t="n"/>
      <c r="F27" s="26" t="n"/>
      <c r="G27" s="26" t="n"/>
      <c r="H27" s="30">
        <f>IF(A27="","",COUNTIF('Access'!$A$4:$A$1503,A27))</f>
        <v/>
      </c>
      <c r="I27" s="30">
        <f t="array" ref="I27">IF(A27="","",_xlfn.TEXTJOIN(", ",TRUE,IF(('Companies'!$A$4:$A$63&lt;&gt;"")*(COUNTIFS('Access'!$A$4:$A$1503,A27,'Access'!$F$4:$F$1503,"*"&amp;'Companies'!$A$4:$A$63&amp;"*")&gt;0),'Companies'!$A$4:$A$63,"")))</f>
        <v/>
      </c>
      <c r="J27" s="30">
        <f>IF(A27="","",IF(COUNTIF($A$4:$A$1003,A27)&gt;1,"Duplicate email",IF(ISERROR(FIND("@",A27)),"Not an email address",IF(AND(H27=0,E27=""),"Investor without holders","OK"))))</f>
        <v/>
      </c>
    </row>
    <row r="28">
      <c r="A28" s="26" t="n"/>
      <c r="B28" s="26" t="n"/>
      <c r="C28" s="26" t="n"/>
      <c r="D28" s="26" t="n"/>
      <c r="E28" s="26" t="n"/>
      <c r="F28" s="26" t="n"/>
      <c r="G28" s="26" t="n"/>
      <c r="H28" s="30">
        <f>IF(A28="","",COUNTIF('Access'!$A$4:$A$1503,A28))</f>
        <v/>
      </c>
      <c r="I28" s="30">
        <f t="array" ref="I28">IF(A28="","",_xlfn.TEXTJOIN(", ",TRUE,IF(('Companies'!$A$4:$A$63&lt;&gt;"")*(COUNTIFS('Access'!$A$4:$A$1503,A28,'Access'!$F$4:$F$1503,"*"&amp;'Companies'!$A$4:$A$63&amp;"*")&gt;0),'Companies'!$A$4:$A$63,"")))</f>
        <v/>
      </c>
      <c r="J28" s="30">
        <f>IF(A28="","",IF(COUNTIF($A$4:$A$1003,A28)&gt;1,"Duplicate email",IF(ISERROR(FIND("@",A28)),"Not an email address",IF(AND(H28=0,E28=""),"Investor without holders","OK"))))</f>
        <v/>
      </c>
    </row>
    <row r="29">
      <c r="A29" s="26" t="n"/>
      <c r="B29" s="26" t="n"/>
      <c r="C29" s="26" t="n"/>
      <c r="D29" s="26" t="n"/>
      <c r="E29" s="26" t="n"/>
      <c r="F29" s="26" t="n"/>
      <c r="G29" s="26" t="n"/>
      <c r="H29" s="30">
        <f>IF(A29="","",COUNTIF('Access'!$A$4:$A$1503,A29))</f>
        <v/>
      </c>
      <c r="I29" s="30">
        <f t="array" ref="I29">IF(A29="","",_xlfn.TEXTJOIN(", ",TRUE,IF(('Companies'!$A$4:$A$63&lt;&gt;"")*(COUNTIFS('Access'!$A$4:$A$1503,A29,'Access'!$F$4:$F$1503,"*"&amp;'Companies'!$A$4:$A$63&amp;"*")&gt;0),'Companies'!$A$4:$A$63,"")))</f>
        <v/>
      </c>
      <c r="J29" s="30">
        <f>IF(A29="","",IF(COUNTIF($A$4:$A$1003,A29)&gt;1,"Duplicate email",IF(ISERROR(FIND("@",A29)),"Not an email address",IF(AND(H29=0,E29=""),"Investor without holders","OK"))))</f>
        <v/>
      </c>
    </row>
    <row r="30">
      <c r="A30" s="26" t="n"/>
      <c r="B30" s="26" t="n"/>
      <c r="C30" s="26" t="n"/>
      <c r="D30" s="26" t="n"/>
      <c r="E30" s="26" t="n"/>
      <c r="F30" s="26" t="n"/>
      <c r="G30" s="26" t="n"/>
      <c r="H30" s="30">
        <f>IF(A30="","",COUNTIF('Access'!$A$4:$A$1503,A30))</f>
        <v/>
      </c>
      <c r="I30" s="30">
        <f t="array" ref="I30">IF(A30="","",_xlfn.TEXTJOIN(", ",TRUE,IF(('Companies'!$A$4:$A$63&lt;&gt;"")*(COUNTIFS('Access'!$A$4:$A$1503,A30,'Access'!$F$4:$F$1503,"*"&amp;'Companies'!$A$4:$A$63&amp;"*")&gt;0),'Companies'!$A$4:$A$63,"")))</f>
        <v/>
      </c>
      <c r="J30" s="30">
        <f>IF(A30="","",IF(COUNTIF($A$4:$A$1003,A30)&gt;1,"Duplicate email",IF(ISERROR(FIND("@",A30)),"Not an email address",IF(AND(H30=0,E30=""),"Investor without holders","OK"))))</f>
        <v/>
      </c>
    </row>
    <row r="31">
      <c r="A31" s="26" t="n"/>
      <c r="B31" s="26" t="n"/>
      <c r="C31" s="26" t="n"/>
      <c r="D31" s="26" t="n"/>
      <c r="E31" s="26" t="n"/>
      <c r="F31" s="26" t="n"/>
      <c r="G31" s="26" t="n"/>
      <c r="H31" s="30">
        <f>IF(A31="","",COUNTIF('Access'!$A$4:$A$1503,A31))</f>
        <v/>
      </c>
      <c r="I31" s="30">
        <f t="array" ref="I31">IF(A31="","",_xlfn.TEXTJOIN(", ",TRUE,IF(('Companies'!$A$4:$A$63&lt;&gt;"")*(COUNTIFS('Access'!$A$4:$A$1503,A31,'Access'!$F$4:$F$1503,"*"&amp;'Companies'!$A$4:$A$63&amp;"*")&gt;0),'Companies'!$A$4:$A$63,"")))</f>
        <v/>
      </c>
      <c r="J31" s="30">
        <f>IF(A31="","",IF(COUNTIF($A$4:$A$1003,A31)&gt;1,"Duplicate email",IF(ISERROR(FIND("@",A31)),"Not an email address",IF(AND(H31=0,E31=""),"Investor without holders","OK"))))</f>
        <v/>
      </c>
    </row>
    <row r="32">
      <c r="A32" s="26" t="n"/>
      <c r="B32" s="26" t="n"/>
      <c r="C32" s="26" t="n"/>
      <c r="D32" s="26" t="n"/>
      <c r="E32" s="26" t="n"/>
      <c r="F32" s="26" t="n"/>
      <c r="G32" s="26" t="n"/>
      <c r="H32" s="30">
        <f>IF(A32="","",COUNTIF('Access'!$A$4:$A$1503,A32))</f>
        <v/>
      </c>
      <c r="I32" s="30">
        <f t="array" ref="I32">IF(A32="","",_xlfn.TEXTJOIN(", ",TRUE,IF(('Companies'!$A$4:$A$63&lt;&gt;"")*(COUNTIFS('Access'!$A$4:$A$1503,A32,'Access'!$F$4:$F$1503,"*"&amp;'Companies'!$A$4:$A$63&amp;"*")&gt;0),'Companies'!$A$4:$A$63,"")))</f>
        <v/>
      </c>
      <c r="J32" s="30">
        <f>IF(A32="","",IF(COUNTIF($A$4:$A$1003,A32)&gt;1,"Duplicate email",IF(ISERROR(FIND("@",A32)),"Not an email address",IF(AND(H32=0,E32=""),"Investor without holders","OK"))))</f>
        <v/>
      </c>
    </row>
    <row r="33">
      <c r="A33" s="26" t="n"/>
      <c r="B33" s="26" t="n"/>
      <c r="C33" s="26" t="n"/>
      <c r="D33" s="26" t="n"/>
      <c r="E33" s="26" t="n"/>
      <c r="F33" s="26" t="n"/>
      <c r="G33" s="26" t="n"/>
      <c r="H33" s="30">
        <f>IF(A33="","",COUNTIF('Access'!$A$4:$A$1503,A33))</f>
        <v/>
      </c>
      <c r="I33" s="30">
        <f t="array" ref="I33">IF(A33="","",_xlfn.TEXTJOIN(", ",TRUE,IF(('Companies'!$A$4:$A$63&lt;&gt;"")*(COUNTIFS('Access'!$A$4:$A$1503,A33,'Access'!$F$4:$F$1503,"*"&amp;'Companies'!$A$4:$A$63&amp;"*")&gt;0),'Companies'!$A$4:$A$63,"")))</f>
        <v/>
      </c>
      <c r="J33" s="30">
        <f>IF(A33="","",IF(COUNTIF($A$4:$A$1003,A33)&gt;1,"Duplicate email",IF(ISERROR(FIND("@",A33)),"Not an email address",IF(AND(H33=0,E33=""),"Investor without holders","OK"))))</f>
        <v/>
      </c>
    </row>
    <row r="34">
      <c r="A34" s="26" t="n"/>
      <c r="B34" s="26" t="n"/>
      <c r="C34" s="26" t="n"/>
      <c r="D34" s="26" t="n"/>
      <c r="E34" s="26" t="n"/>
      <c r="F34" s="26" t="n"/>
      <c r="G34" s="26" t="n"/>
      <c r="H34" s="30">
        <f>IF(A34="","",COUNTIF('Access'!$A$4:$A$1503,A34))</f>
        <v/>
      </c>
      <c r="I34" s="30">
        <f t="array" ref="I34">IF(A34="","",_xlfn.TEXTJOIN(", ",TRUE,IF(('Companies'!$A$4:$A$63&lt;&gt;"")*(COUNTIFS('Access'!$A$4:$A$1503,A34,'Access'!$F$4:$F$1503,"*"&amp;'Companies'!$A$4:$A$63&amp;"*")&gt;0),'Companies'!$A$4:$A$63,"")))</f>
        <v/>
      </c>
      <c r="J34" s="30">
        <f>IF(A34="","",IF(COUNTIF($A$4:$A$1003,A34)&gt;1,"Duplicate email",IF(ISERROR(FIND("@",A34)),"Not an email address",IF(AND(H34=0,E34=""),"Investor without holders","OK"))))</f>
        <v/>
      </c>
    </row>
    <row r="35">
      <c r="A35" s="26" t="n"/>
      <c r="B35" s="26" t="n"/>
      <c r="C35" s="26" t="n"/>
      <c r="D35" s="26" t="n"/>
      <c r="E35" s="26" t="n"/>
      <c r="F35" s="26" t="n"/>
      <c r="G35" s="26" t="n"/>
      <c r="H35" s="30">
        <f>IF(A35="","",COUNTIF('Access'!$A$4:$A$1503,A35))</f>
        <v/>
      </c>
      <c r="I35" s="30">
        <f t="array" ref="I35">IF(A35="","",_xlfn.TEXTJOIN(", ",TRUE,IF(('Companies'!$A$4:$A$63&lt;&gt;"")*(COUNTIFS('Access'!$A$4:$A$1503,A35,'Access'!$F$4:$F$1503,"*"&amp;'Companies'!$A$4:$A$63&amp;"*")&gt;0),'Companies'!$A$4:$A$63,"")))</f>
        <v/>
      </c>
      <c r="J35" s="30">
        <f>IF(A35="","",IF(COUNTIF($A$4:$A$1003,A35)&gt;1,"Duplicate email",IF(ISERROR(FIND("@",A35)),"Not an email address",IF(AND(H35=0,E35=""),"Investor without holders","OK"))))</f>
        <v/>
      </c>
    </row>
    <row r="36">
      <c r="A36" s="26" t="n"/>
      <c r="B36" s="26" t="n"/>
      <c r="C36" s="26" t="n"/>
      <c r="D36" s="26" t="n"/>
      <c r="E36" s="26" t="n"/>
      <c r="F36" s="26" t="n"/>
      <c r="G36" s="26" t="n"/>
      <c r="H36" s="30">
        <f>IF(A36="","",COUNTIF('Access'!$A$4:$A$1503,A36))</f>
        <v/>
      </c>
      <c r="I36" s="30">
        <f t="array" ref="I36">IF(A36="","",_xlfn.TEXTJOIN(", ",TRUE,IF(('Companies'!$A$4:$A$63&lt;&gt;"")*(COUNTIFS('Access'!$A$4:$A$1503,A36,'Access'!$F$4:$F$1503,"*"&amp;'Companies'!$A$4:$A$63&amp;"*")&gt;0),'Companies'!$A$4:$A$63,"")))</f>
        <v/>
      </c>
      <c r="J36" s="30">
        <f>IF(A36="","",IF(COUNTIF($A$4:$A$1003,A36)&gt;1,"Duplicate email",IF(ISERROR(FIND("@",A36)),"Not an email address",IF(AND(H36=0,E36=""),"Investor without holders","OK"))))</f>
        <v/>
      </c>
    </row>
    <row r="37">
      <c r="A37" s="26" t="n"/>
      <c r="B37" s="26" t="n"/>
      <c r="C37" s="26" t="n"/>
      <c r="D37" s="26" t="n"/>
      <c r="E37" s="26" t="n"/>
      <c r="F37" s="26" t="n"/>
      <c r="G37" s="26" t="n"/>
      <c r="H37" s="30">
        <f>IF(A37="","",COUNTIF('Access'!$A$4:$A$1503,A37))</f>
        <v/>
      </c>
      <c r="I37" s="30">
        <f t="array" ref="I37">IF(A37="","",_xlfn.TEXTJOIN(", ",TRUE,IF(('Companies'!$A$4:$A$63&lt;&gt;"")*(COUNTIFS('Access'!$A$4:$A$1503,A37,'Access'!$F$4:$F$1503,"*"&amp;'Companies'!$A$4:$A$63&amp;"*")&gt;0),'Companies'!$A$4:$A$63,"")))</f>
        <v/>
      </c>
      <c r="J37" s="30">
        <f>IF(A37="","",IF(COUNTIF($A$4:$A$1003,A37)&gt;1,"Duplicate email",IF(ISERROR(FIND("@",A37)),"Not an email address",IF(AND(H37=0,E37=""),"Investor without holders","OK"))))</f>
        <v/>
      </c>
    </row>
    <row r="38">
      <c r="A38" s="26" t="n"/>
      <c r="B38" s="26" t="n"/>
      <c r="C38" s="26" t="n"/>
      <c r="D38" s="26" t="n"/>
      <c r="E38" s="26" t="n"/>
      <c r="F38" s="26" t="n"/>
      <c r="G38" s="26" t="n"/>
      <c r="H38" s="30">
        <f>IF(A38="","",COUNTIF('Access'!$A$4:$A$1503,A38))</f>
        <v/>
      </c>
      <c r="I38" s="30">
        <f t="array" ref="I38">IF(A38="","",_xlfn.TEXTJOIN(", ",TRUE,IF(('Companies'!$A$4:$A$63&lt;&gt;"")*(COUNTIFS('Access'!$A$4:$A$1503,A38,'Access'!$F$4:$F$1503,"*"&amp;'Companies'!$A$4:$A$63&amp;"*")&gt;0),'Companies'!$A$4:$A$63,"")))</f>
        <v/>
      </c>
      <c r="J38" s="30">
        <f>IF(A38="","",IF(COUNTIF($A$4:$A$1003,A38)&gt;1,"Duplicate email",IF(ISERROR(FIND("@",A38)),"Not an email address",IF(AND(H38=0,E38=""),"Investor without holders","OK"))))</f>
        <v/>
      </c>
    </row>
    <row r="39">
      <c r="A39" s="26" t="n"/>
      <c r="B39" s="26" t="n"/>
      <c r="C39" s="26" t="n"/>
      <c r="D39" s="26" t="n"/>
      <c r="E39" s="26" t="n"/>
      <c r="F39" s="26" t="n"/>
      <c r="G39" s="26" t="n"/>
      <c r="H39" s="30">
        <f>IF(A39="","",COUNTIF('Access'!$A$4:$A$1503,A39))</f>
        <v/>
      </c>
      <c r="I39" s="30">
        <f t="array" ref="I39">IF(A39="","",_xlfn.TEXTJOIN(", ",TRUE,IF(('Companies'!$A$4:$A$63&lt;&gt;"")*(COUNTIFS('Access'!$A$4:$A$1503,A39,'Access'!$F$4:$F$1503,"*"&amp;'Companies'!$A$4:$A$63&amp;"*")&gt;0),'Companies'!$A$4:$A$63,"")))</f>
        <v/>
      </c>
      <c r="J39" s="30">
        <f>IF(A39="","",IF(COUNTIF($A$4:$A$1003,A39)&gt;1,"Duplicate email",IF(ISERROR(FIND("@",A39)),"Not an email address",IF(AND(H39=0,E39=""),"Investor without holders","OK"))))</f>
        <v/>
      </c>
    </row>
    <row r="40">
      <c r="A40" s="26" t="n"/>
      <c r="B40" s="26" t="n"/>
      <c r="C40" s="26" t="n"/>
      <c r="D40" s="26" t="n"/>
      <c r="E40" s="26" t="n"/>
      <c r="F40" s="26" t="n"/>
      <c r="G40" s="26" t="n"/>
      <c r="H40" s="30">
        <f>IF(A40="","",COUNTIF('Access'!$A$4:$A$1503,A40))</f>
        <v/>
      </c>
      <c r="I40" s="30">
        <f t="array" ref="I40">IF(A40="","",_xlfn.TEXTJOIN(", ",TRUE,IF(('Companies'!$A$4:$A$63&lt;&gt;"")*(COUNTIFS('Access'!$A$4:$A$1503,A40,'Access'!$F$4:$F$1503,"*"&amp;'Companies'!$A$4:$A$63&amp;"*")&gt;0),'Companies'!$A$4:$A$63,"")))</f>
        <v/>
      </c>
      <c r="J40" s="30">
        <f>IF(A40="","",IF(COUNTIF($A$4:$A$1003,A40)&gt;1,"Duplicate email",IF(ISERROR(FIND("@",A40)),"Not an email address",IF(AND(H40=0,E40=""),"Investor without holders","OK"))))</f>
        <v/>
      </c>
    </row>
    <row r="41">
      <c r="A41" s="26" t="n"/>
      <c r="B41" s="26" t="n"/>
      <c r="C41" s="26" t="n"/>
      <c r="D41" s="26" t="n"/>
      <c r="E41" s="26" t="n"/>
      <c r="F41" s="26" t="n"/>
      <c r="G41" s="26" t="n"/>
      <c r="H41" s="30">
        <f>IF(A41="","",COUNTIF('Access'!$A$4:$A$1503,A41))</f>
        <v/>
      </c>
      <c r="I41" s="30">
        <f t="array" ref="I41">IF(A41="","",_xlfn.TEXTJOIN(", ",TRUE,IF(('Companies'!$A$4:$A$63&lt;&gt;"")*(COUNTIFS('Access'!$A$4:$A$1503,A41,'Access'!$F$4:$F$1503,"*"&amp;'Companies'!$A$4:$A$63&amp;"*")&gt;0),'Companies'!$A$4:$A$63,"")))</f>
        <v/>
      </c>
      <c r="J41" s="30">
        <f>IF(A41="","",IF(COUNTIF($A$4:$A$1003,A41)&gt;1,"Duplicate email",IF(ISERROR(FIND("@",A41)),"Not an email address",IF(AND(H41=0,E41=""),"Investor without holders","OK"))))</f>
        <v/>
      </c>
    </row>
    <row r="42">
      <c r="A42" s="26" t="n"/>
      <c r="B42" s="26" t="n"/>
      <c r="C42" s="26" t="n"/>
      <c r="D42" s="26" t="n"/>
      <c r="E42" s="26" t="n"/>
      <c r="F42" s="26" t="n"/>
      <c r="G42" s="26" t="n"/>
      <c r="H42" s="30">
        <f>IF(A42="","",COUNTIF('Access'!$A$4:$A$1503,A42))</f>
        <v/>
      </c>
      <c r="I42" s="30">
        <f t="array" ref="I42">IF(A42="","",_xlfn.TEXTJOIN(", ",TRUE,IF(('Companies'!$A$4:$A$63&lt;&gt;"")*(COUNTIFS('Access'!$A$4:$A$1503,A42,'Access'!$F$4:$F$1503,"*"&amp;'Companies'!$A$4:$A$63&amp;"*")&gt;0),'Companies'!$A$4:$A$63,"")))</f>
        <v/>
      </c>
      <c r="J42" s="30">
        <f>IF(A42="","",IF(COUNTIF($A$4:$A$1003,A42)&gt;1,"Duplicate email",IF(ISERROR(FIND("@",A42)),"Not an email address",IF(AND(H42=0,E42=""),"Investor without holders","OK"))))</f>
        <v/>
      </c>
    </row>
    <row r="43">
      <c r="A43" s="26" t="n"/>
      <c r="B43" s="26" t="n"/>
      <c r="C43" s="26" t="n"/>
      <c r="D43" s="26" t="n"/>
      <c r="E43" s="26" t="n"/>
      <c r="F43" s="26" t="n"/>
      <c r="G43" s="26" t="n"/>
      <c r="H43" s="30">
        <f>IF(A43="","",COUNTIF('Access'!$A$4:$A$1503,A43))</f>
        <v/>
      </c>
      <c r="I43" s="30">
        <f t="array" ref="I43">IF(A43="","",_xlfn.TEXTJOIN(", ",TRUE,IF(('Companies'!$A$4:$A$63&lt;&gt;"")*(COUNTIFS('Access'!$A$4:$A$1503,A43,'Access'!$F$4:$F$1503,"*"&amp;'Companies'!$A$4:$A$63&amp;"*")&gt;0),'Companies'!$A$4:$A$63,"")))</f>
        <v/>
      </c>
      <c r="J43" s="30">
        <f>IF(A43="","",IF(COUNTIF($A$4:$A$1003,A43)&gt;1,"Duplicate email",IF(ISERROR(FIND("@",A43)),"Not an email address",IF(AND(H43=0,E43=""),"Investor without holders","OK"))))</f>
        <v/>
      </c>
    </row>
    <row r="44">
      <c r="A44" s="26" t="n"/>
      <c r="B44" s="26" t="n"/>
      <c r="C44" s="26" t="n"/>
      <c r="D44" s="26" t="n"/>
      <c r="E44" s="26" t="n"/>
      <c r="F44" s="26" t="n"/>
      <c r="G44" s="26" t="n"/>
      <c r="H44" s="30">
        <f>IF(A44="","",COUNTIF('Access'!$A$4:$A$1503,A44))</f>
        <v/>
      </c>
      <c r="I44" s="30">
        <f t="array" ref="I44">IF(A44="","",_xlfn.TEXTJOIN(", ",TRUE,IF(('Companies'!$A$4:$A$63&lt;&gt;"")*(COUNTIFS('Access'!$A$4:$A$1503,A44,'Access'!$F$4:$F$1503,"*"&amp;'Companies'!$A$4:$A$63&amp;"*")&gt;0),'Companies'!$A$4:$A$63,"")))</f>
        <v/>
      </c>
      <c r="J44" s="30">
        <f>IF(A44="","",IF(COUNTIF($A$4:$A$1003,A44)&gt;1,"Duplicate email",IF(ISERROR(FIND("@",A44)),"Not an email address",IF(AND(H44=0,E44=""),"Investor without holders","OK"))))</f>
        <v/>
      </c>
    </row>
    <row r="45">
      <c r="A45" s="26" t="n"/>
      <c r="B45" s="26" t="n"/>
      <c r="C45" s="26" t="n"/>
      <c r="D45" s="26" t="n"/>
      <c r="E45" s="26" t="n"/>
      <c r="F45" s="26" t="n"/>
      <c r="G45" s="26" t="n"/>
      <c r="H45" s="30">
        <f>IF(A45="","",COUNTIF('Access'!$A$4:$A$1503,A45))</f>
        <v/>
      </c>
      <c r="I45" s="30">
        <f t="array" ref="I45">IF(A45="","",_xlfn.TEXTJOIN(", ",TRUE,IF(('Companies'!$A$4:$A$63&lt;&gt;"")*(COUNTIFS('Access'!$A$4:$A$1503,A45,'Access'!$F$4:$F$1503,"*"&amp;'Companies'!$A$4:$A$63&amp;"*")&gt;0),'Companies'!$A$4:$A$63,"")))</f>
        <v/>
      </c>
      <c r="J45" s="30">
        <f>IF(A45="","",IF(COUNTIF($A$4:$A$1003,A45)&gt;1,"Duplicate email",IF(ISERROR(FIND("@",A45)),"Not an email address",IF(AND(H45=0,E45=""),"Investor without holders","OK"))))</f>
        <v/>
      </c>
    </row>
    <row r="46">
      <c r="A46" s="26" t="n"/>
      <c r="B46" s="26" t="n"/>
      <c r="C46" s="26" t="n"/>
      <c r="D46" s="26" t="n"/>
      <c r="E46" s="26" t="n"/>
      <c r="F46" s="26" t="n"/>
      <c r="G46" s="26" t="n"/>
      <c r="H46" s="30">
        <f>IF(A46="","",COUNTIF('Access'!$A$4:$A$1503,A46))</f>
        <v/>
      </c>
      <c r="I46" s="30">
        <f t="array" ref="I46">IF(A46="","",_xlfn.TEXTJOIN(", ",TRUE,IF(('Companies'!$A$4:$A$63&lt;&gt;"")*(COUNTIFS('Access'!$A$4:$A$1503,A46,'Access'!$F$4:$F$1503,"*"&amp;'Companies'!$A$4:$A$63&amp;"*")&gt;0),'Companies'!$A$4:$A$63,"")))</f>
        <v/>
      </c>
      <c r="J46" s="30">
        <f>IF(A46="","",IF(COUNTIF($A$4:$A$1003,A46)&gt;1,"Duplicate email",IF(ISERROR(FIND("@",A46)),"Not an email address",IF(AND(H46=0,E46=""),"Investor without holders","OK"))))</f>
        <v/>
      </c>
    </row>
    <row r="47">
      <c r="A47" s="26" t="n"/>
      <c r="B47" s="26" t="n"/>
      <c r="C47" s="26" t="n"/>
      <c r="D47" s="26" t="n"/>
      <c r="E47" s="26" t="n"/>
      <c r="F47" s="26" t="n"/>
      <c r="G47" s="26" t="n"/>
      <c r="H47" s="30">
        <f>IF(A47="","",COUNTIF('Access'!$A$4:$A$1503,A47))</f>
        <v/>
      </c>
      <c r="I47" s="30">
        <f t="array" ref="I47">IF(A47="","",_xlfn.TEXTJOIN(", ",TRUE,IF(('Companies'!$A$4:$A$63&lt;&gt;"")*(COUNTIFS('Access'!$A$4:$A$1503,A47,'Access'!$F$4:$F$1503,"*"&amp;'Companies'!$A$4:$A$63&amp;"*")&gt;0),'Companies'!$A$4:$A$63,"")))</f>
        <v/>
      </c>
      <c r="J47" s="30">
        <f>IF(A47="","",IF(COUNTIF($A$4:$A$1003,A47)&gt;1,"Duplicate email",IF(ISERROR(FIND("@",A47)),"Not an email address",IF(AND(H47=0,E47=""),"Investor without holders","OK"))))</f>
        <v/>
      </c>
    </row>
    <row r="48">
      <c r="A48" s="26" t="n"/>
      <c r="B48" s="26" t="n"/>
      <c r="C48" s="26" t="n"/>
      <c r="D48" s="26" t="n"/>
      <c r="E48" s="26" t="n"/>
      <c r="F48" s="26" t="n"/>
      <c r="G48" s="26" t="n"/>
      <c r="H48" s="30">
        <f>IF(A48="","",COUNTIF('Access'!$A$4:$A$1503,A48))</f>
        <v/>
      </c>
      <c r="I48" s="30">
        <f t="array" ref="I48">IF(A48="","",_xlfn.TEXTJOIN(", ",TRUE,IF(('Companies'!$A$4:$A$63&lt;&gt;"")*(COUNTIFS('Access'!$A$4:$A$1503,A48,'Access'!$F$4:$F$1503,"*"&amp;'Companies'!$A$4:$A$63&amp;"*")&gt;0),'Companies'!$A$4:$A$63,"")))</f>
        <v/>
      </c>
      <c r="J48" s="30">
        <f>IF(A48="","",IF(COUNTIF($A$4:$A$1003,A48)&gt;1,"Duplicate email",IF(ISERROR(FIND("@",A48)),"Not an email address",IF(AND(H48=0,E48=""),"Investor without holders","OK"))))</f>
        <v/>
      </c>
    </row>
    <row r="49">
      <c r="A49" s="26" t="n"/>
      <c r="B49" s="26" t="n"/>
      <c r="C49" s="26" t="n"/>
      <c r="D49" s="26" t="n"/>
      <c r="E49" s="26" t="n"/>
      <c r="F49" s="26" t="n"/>
      <c r="G49" s="26" t="n"/>
      <c r="H49" s="30">
        <f>IF(A49="","",COUNTIF('Access'!$A$4:$A$1503,A49))</f>
        <v/>
      </c>
      <c r="I49" s="30">
        <f t="array" ref="I49">IF(A49="","",_xlfn.TEXTJOIN(", ",TRUE,IF(('Companies'!$A$4:$A$63&lt;&gt;"")*(COUNTIFS('Access'!$A$4:$A$1503,A49,'Access'!$F$4:$F$1503,"*"&amp;'Companies'!$A$4:$A$63&amp;"*")&gt;0),'Companies'!$A$4:$A$63,"")))</f>
        <v/>
      </c>
      <c r="J49" s="30">
        <f>IF(A49="","",IF(COUNTIF($A$4:$A$1003,A49)&gt;1,"Duplicate email",IF(ISERROR(FIND("@",A49)),"Not an email address",IF(AND(H49=0,E49=""),"Investor without holders","OK"))))</f>
        <v/>
      </c>
    </row>
    <row r="50">
      <c r="A50" s="26" t="n"/>
      <c r="B50" s="26" t="n"/>
      <c r="C50" s="26" t="n"/>
      <c r="D50" s="26" t="n"/>
      <c r="E50" s="26" t="n"/>
      <c r="F50" s="26" t="n"/>
      <c r="G50" s="26" t="n"/>
      <c r="H50" s="30">
        <f>IF(A50="","",COUNTIF('Access'!$A$4:$A$1503,A50))</f>
        <v/>
      </c>
      <c r="I50" s="30">
        <f t="array" ref="I50">IF(A50="","",_xlfn.TEXTJOIN(", ",TRUE,IF(('Companies'!$A$4:$A$63&lt;&gt;"")*(COUNTIFS('Access'!$A$4:$A$1503,A50,'Access'!$F$4:$F$1503,"*"&amp;'Companies'!$A$4:$A$63&amp;"*")&gt;0),'Companies'!$A$4:$A$63,"")))</f>
        <v/>
      </c>
      <c r="J50" s="30">
        <f>IF(A50="","",IF(COUNTIF($A$4:$A$1003,A50)&gt;1,"Duplicate email",IF(ISERROR(FIND("@",A50)),"Not an email address",IF(AND(H50=0,E50=""),"Investor without holders","OK"))))</f>
        <v/>
      </c>
    </row>
    <row r="51">
      <c r="A51" s="26" t="n"/>
      <c r="B51" s="26" t="n"/>
      <c r="C51" s="26" t="n"/>
      <c r="D51" s="26" t="n"/>
      <c r="E51" s="26" t="n"/>
      <c r="F51" s="26" t="n"/>
      <c r="G51" s="26" t="n"/>
      <c r="H51" s="30">
        <f>IF(A51="","",COUNTIF('Access'!$A$4:$A$1503,A51))</f>
        <v/>
      </c>
      <c r="I51" s="30">
        <f t="array" ref="I51">IF(A51="","",_xlfn.TEXTJOIN(", ",TRUE,IF(('Companies'!$A$4:$A$63&lt;&gt;"")*(COUNTIFS('Access'!$A$4:$A$1503,A51,'Access'!$F$4:$F$1503,"*"&amp;'Companies'!$A$4:$A$63&amp;"*")&gt;0),'Companies'!$A$4:$A$63,"")))</f>
        <v/>
      </c>
      <c r="J51" s="30">
        <f>IF(A51="","",IF(COUNTIF($A$4:$A$1003,A51)&gt;1,"Duplicate email",IF(ISERROR(FIND("@",A51)),"Not an email address",IF(AND(H51=0,E51=""),"Investor without holders","OK"))))</f>
        <v/>
      </c>
    </row>
    <row r="52">
      <c r="A52" s="26" t="n"/>
      <c r="B52" s="26" t="n"/>
      <c r="C52" s="26" t="n"/>
      <c r="D52" s="26" t="n"/>
      <c r="E52" s="26" t="n"/>
      <c r="F52" s="26" t="n"/>
      <c r="G52" s="26" t="n"/>
      <c r="H52" s="30">
        <f>IF(A52="","",COUNTIF('Access'!$A$4:$A$1503,A52))</f>
        <v/>
      </c>
      <c r="I52" s="30">
        <f t="array" ref="I52">IF(A52="","",_xlfn.TEXTJOIN(", ",TRUE,IF(('Companies'!$A$4:$A$63&lt;&gt;"")*(COUNTIFS('Access'!$A$4:$A$1503,A52,'Access'!$F$4:$F$1503,"*"&amp;'Companies'!$A$4:$A$63&amp;"*")&gt;0),'Companies'!$A$4:$A$63,"")))</f>
        <v/>
      </c>
      <c r="J52" s="30">
        <f>IF(A52="","",IF(COUNTIF($A$4:$A$1003,A52)&gt;1,"Duplicate email",IF(ISERROR(FIND("@",A52)),"Not an email address",IF(AND(H52=0,E52=""),"Investor without holders","OK"))))</f>
        <v/>
      </c>
    </row>
    <row r="53">
      <c r="A53" s="26" t="n"/>
      <c r="B53" s="26" t="n"/>
      <c r="C53" s="26" t="n"/>
      <c r="D53" s="26" t="n"/>
      <c r="E53" s="26" t="n"/>
      <c r="F53" s="26" t="n"/>
      <c r="G53" s="26" t="n"/>
      <c r="H53" s="30">
        <f>IF(A53="","",COUNTIF('Access'!$A$4:$A$1503,A53))</f>
        <v/>
      </c>
      <c r="I53" s="30">
        <f t="array" ref="I53">IF(A53="","",_xlfn.TEXTJOIN(", ",TRUE,IF(('Companies'!$A$4:$A$63&lt;&gt;"")*(COUNTIFS('Access'!$A$4:$A$1503,A53,'Access'!$F$4:$F$1503,"*"&amp;'Companies'!$A$4:$A$63&amp;"*")&gt;0),'Companies'!$A$4:$A$63,"")))</f>
        <v/>
      </c>
      <c r="J53" s="30">
        <f>IF(A53="","",IF(COUNTIF($A$4:$A$1003,A53)&gt;1,"Duplicate email",IF(ISERROR(FIND("@",A53)),"Not an email address",IF(AND(H53=0,E53=""),"Investor without holders","OK"))))</f>
        <v/>
      </c>
    </row>
    <row r="54">
      <c r="A54" s="26" t="n"/>
      <c r="B54" s="26" t="n"/>
      <c r="C54" s="26" t="n"/>
      <c r="D54" s="26" t="n"/>
      <c r="E54" s="26" t="n"/>
      <c r="F54" s="26" t="n"/>
      <c r="G54" s="26" t="n"/>
      <c r="H54" s="30">
        <f>IF(A54="","",COUNTIF('Access'!$A$4:$A$1503,A54))</f>
        <v/>
      </c>
      <c r="I54" s="30">
        <f t="array" ref="I54">IF(A54="","",_xlfn.TEXTJOIN(", ",TRUE,IF(('Companies'!$A$4:$A$63&lt;&gt;"")*(COUNTIFS('Access'!$A$4:$A$1503,A54,'Access'!$F$4:$F$1503,"*"&amp;'Companies'!$A$4:$A$63&amp;"*")&gt;0),'Companies'!$A$4:$A$63,"")))</f>
        <v/>
      </c>
      <c r="J54" s="30">
        <f>IF(A54="","",IF(COUNTIF($A$4:$A$1003,A54)&gt;1,"Duplicate email",IF(ISERROR(FIND("@",A54)),"Not an email address",IF(AND(H54=0,E54=""),"Investor without holders","OK"))))</f>
        <v/>
      </c>
    </row>
    <row r="55">
      <c r="A55" s="26" t="n"/>
      <c r="B55" s="26" t="n"/>
      <c r="C55" s="26" t="n"/>
      <c r="D55" s="26" t="n"/>
      <c r="E55" s="26" t="n"/>
      <c r="F55" s="26" t="n"/>
      <c r="G55" s="26" t="n"/>
      <c r="H55" s="30">
        <f>IF(A55="","",COUNTIF('Access'!$A$4:$A$1503,A55))</f>
        <v/>
      </c>
      <c r="I55" s="30">
        <f t="array" ref="I55">IF(A55="","",_xlfn.TEXTJOIN(", ",TRUE,IF(('Companies'!$A$4:$A$63&lt;&gt;"")*(COUNTIFS('Access'!$A$4:$A$1503,A55,'Access'!$F$4:$F$1503,"*"&amp;'Companies'!$A$4:$A$63&amp;"*")&gt;0),'Companies'!$A$4:$A$63,"")))</f>
        <v/>
      </c>
      <c r="J55" s="30">
        <f>IF(A55="","",IF(COUNTIF($A$4:$A$1003,A55)&gt;1,"Duplicate email",IF(ISERROR(FIND("@",A55)),"Not an email address",IF(AND(H55=0,E55=""),"Investor without holders","OK"))))</f>
        <v/>
      </c>
    </row>
    <row r="56">
      <c r="A56" s="26" t="n"/>
      <c r="B56" s="26" t="n"/>
      <c r="C56" s="26" t="n"/>
      <c r="D56" s="26" t="n"/>
      <c r="E56" s="26" t="n"/>
      <c r="F56" s="26" t="n"/>
      <c r="G56" s="26" t="n"/>
      <c r="H56" s="30">
        <f>IF(A56="","",COUNTIF('Access'!$A$4:$A$1503,A56))</f>
        <v/>
      </c>
      <c r="I56" s="30">
        <f t="array" ref="I56">IF(A56="","",_xlfn.TEXTJOIN(", ",TRUE,IF(('Companies'!$A$4:$A$63&lt;&gt;"")*(COUNTIFS('Access'!$A$4:$A$1503,A56,'Access'!$F$4:$F$1503,"*"&amp;'Companies'!$A$4:$A$63&amp;"*")&gt;0),'Companies'!$A$4:$A$63,"")))</f>
        <v/>
      </c>
      <c r="J56" s="30">
        <f>IF(A56="","",IF(COUNTIF($A$4:$A$1003,A56)&gt;1,"Duplicate email",IF(ISERROR(FIND("@",A56)),"Not an email address",IF(AND(H56=0,E56=""),"Investor without holders","OK"))))</f>
        <v/>
      </c>
    </row>
    <row r="57">
      <c r="A57" s="26" t="n"/>
      <c r="B57" s="26" t="n"/>
      <c r="C57" s="26" t="n"/>
      <c r="D57" s="26" t="n"/>
      <c r="E57" s="26" t="n"/>
      <c r="F57" s="26" t="n"/>
      <c r="G57" s="26" t="n"/>
      <c r="H57" s="30">
        <f>IF(A57="","",COUNTIF('Access'!$A$4:$A$1503,A57))</f>
        <v/>
      </c>
      <c r="I57" s="30">
        <f t="array" ref="I57">IF(A57="","",_xlfn.TEXTJOIN(", ",TRUE,IF(('Companies'!$A$4:$A$63&lt;&gt;"")*(COUNTIFS('Access'!$A$4:$A$1503,A57,'Access'!$F$4:$F$1503,"*"&amp;'Companies'!$A$4:$A$63&amp;"*")&gt;0),'Companies'!$A$4:$A$63,"")))</f>
        <v/>
      </c>
      <c r="J57" s="30">
        <f>IF(A57="","",IF(COUNTIF($A$4:$A$1003,A57)&gt;1,"Duplicate email",IF(ISERROR(FIND("@",A57)),"Not an email address",IF(AND(H57=0,E57=""),"Investor without holders","OK"))))</f>
        <v/>
      </c>
    </row>
    <row r="58">
      <c r="A58" s="26" t="n"/>
      <c r="B58" s="26" t="n"/>
      <c r="C58" s="26" t="n"/>
      <c r="D58" s="26" t="n"/>
      <c r="E58" s="26" t="n"/>
      <c r="F58" s="26" t="n"/>
      <c r="G58" s="26" t="n"/>
      <c r="H58" s="30">
        <f>IF(A58="","",COUNTIF('Access'!$A$4:$A$1503,A58))</f>
        <v/>
      </c>
      <c r="I58" s="30">
        <f t="array" ref="I58">IF(A58="","",_xlfn.TEXTJOIN(", ",TRUE,IF(('Companies'!$A$4:$A$63&lt;&gt;"")*(COUNTIFS('Access'!$A$4:$A$1503,A58,'Access'!$F$4:$F$1503,"*"&amp;'Companies'!$A$4:$A$63&amp;"*")&gt;0),'Companies'!$A$4:$A$63,"")))</f>
        <v/>
      </c>
      <c r="J58" s="30">
        <f>IF(A58="","",IF(COUNTIF($A$4:$A$1003,A58)&gt;1,"Duplicate email",IF(ISERROR(FIND("@",A58)),"Not an email address",IF(AND(H58=0,E58=""),"Investor without holders","OK"))))</f>
        <v/>
      </c>
    </row>
    <row r="59">
      <c r="A59" s="26" t="n"/>
      <c r="B59" s="26" t="n"/>
      <c r="C59" s="26" t="n"/>
      <c r="D59" s="26" t="n"/>
      <c r="E59" s="26" t="n"/>
      <c r="F59" s="26" t="n"/>
      <c r="G59" s="26" t="n"/>
      <c r="H59" s="30">
        <f>IF(A59="","",COUNTIF('Access'!$A$4:$A$1503,A59))</f>
        <v/>
      </c>
      <c r="I59" s="30">
        <f t="array" ref="I59">IF(A59="","",_xlfn.TEXTJOIN(", ",TRUE,IF(('Companies'!$A$4:$A$63&lt;&gt;"")*(COUNTIFS('Access'!$A$4:$A$1503,A59,'Access'!$F$4:$F$1503,"*"&amp;'Companies'!$A$4:$A$63&amp;"*")&gt;0),'Companies'!$A$4:$A$63,"")))</f>
        <v/>
      </c>
      <c r="J59" s="30">
        <f>IF(A59="","",IF(COUNTIF($A$4:$A$1003,A59)&gt;1,"Duplicate email",IF(ISERROR(FIND("@",A59)),"Not an email address",IF(AND(H59=0,E59=""),"Investor without holders","OK"))))</f>
        <v/>
      </c>
    </row>
    <row r="60">
      <c r="A60" s="26" t="n"/>
      <c r="B60" s="26" t="n"/>
      <c r="C60" s="26" t="n"/>
      <c r="D60" s="26" t="n"/>
      <c r="E60" s="26" t="n"/>
      <c r="F60" s="26" t="n"/>
      <c r="G60" s="26" t="n"/>
      <c r="H60" s="30">
        <f>IF(A60="","",COUNTIF('Access'!$A$4:$A$1503,A60))</f>
        <v/>
      </c>
      <c r="I60" s="30">
        <f t="array" ref="I60">IF(A60="","",_xlfn.TEXTJOIN(", ",TRUE,IF(('Companies'!$A$4:$A$63&lt;&gt;"")*(COUNTIFS('Access'!$A$4:$A$1503,A60,'Access'!$F$4:$F$1503,"*"&amp;'Companies'!$A$4:$A$63&amp;"*")&gt;0),'Companies'!$A$4:$A$63,"")))</f>
        <v/>
      </c>
      <c r="J60" s="30">
        <f>IF(A60="","",IF(COUNTIF($A$4:$A$1003,A60)&gt;1,"Duplicate email",IF(ISERROR(FIND("@",A60)),"Not an email address",IF(AND(H60=0,E60=""),"Investor without holders","OK"))))</f>
        <v/>
      </c>
    </row>
    <row r="61">
      <c r="A61" s="26" t="n"/>
      <c r="B61" s="26" t="n"/>
      <c r="C61" s="26" t="n"/>
      <c r="D61" s="26" t="n"/>
      <c r="E61" s="26" t="n"/>
      <c r="F61" s="26" t="n"/>
      <c r="G61" s="26" t="n"/>
      <c r="H61" s="30">
        <f>IF(A61="","",COUNTIF('Access'!$A$4:$A$1503,A61))</f>
        <v/>
      </c>
      <c r="I61" s="30">
        <f t="array" ref="I61">IF(A61="","",_xlfn.TEXTJOIN(", ",TRUE,IF(('Companies'!$A$4:$A$63&lt;&gt;"")*(COUNTIFS('Access'!$A$4:$A$1503,A61,'Access'!$F$4:$F$1503,"*"&amp;'Companies'!$A$4:$A$63&amp;"*")&gt;0),'Companies'!$A$4:$A$63,"")))</f>
        <v/>
      </c>
      <c r="J61" s="30">
        <f>IF(A61="","",IF(COUNTIF($A$4:$A$1003,A61)&gt;1,"Duplicate email",IF(ISERROR(FIND("@",A61)),"Not an email address",IF(AND(H61=0,E61=""),"Investor without holders","OK"))))</f>
        <v/>
      </c>
    </row>
    <row r="62">
      <c r="A62" s="26" t="n"/>
      <c r="B62" s="26" t="n"/>
      <c r="C62" s="26" t="n"/>
      <c r="D62" s="26" t="n"/>
      <c r="E62" s="26" t="n"/>
      <c r="F62" s="26" t="n"/>
      <c r="G62" s="26" t="n"/>
      <c r="H62" s="30">
        <f>IF(A62="","",COUNTIF('Access'!$A$4:$A$1503,A62))</f>
        <v/>
      </c>
      <c r="I62" s="30">
        <f t="array" ref="I62">IF(A62="","",_xlfn.TEXTJOIN(", ",TRUE,IF(('Companies'!$A$4:$A$63&lt;&gt;"")*(COUNTIFS('Access'!$A$4:$A$1503,A62,'Access'!$F$4:$F$1503,"*"&amp;'Companies'!$A$4:$A$63&amp;"*")&gt;0),'Companies'!$A$4:$A$63,"")))</f>
        <v/>
      </c>
      <c r="J62" s="30">
        <f>IF(A62="","",IF(COUNTIF($A$4:$A$1003,A62)&gt;1,"Duplicate email",IF(ISERROR(FIND("@",A62)),"Not an email address",IF(AND(H62=0,E62=""),"Investor without holders","OK"))))</f>
        <v/>
      </c>
    </row>
    <row r="63">
      <c r="A63" s="26" t="n"/>
      <c r="B63" s="26" t="n"/>
      <c r="C63" s="26" t="n"/>
      <c r="D63" s="26" t="n"/>
      <c r="E63" s="26" t="n"/>
      <c r="F63" s="26" t="n"/>
      <c r="G63" s="26" t="n"/>
      <c r="H63" s="30">
        <f>IF(A63="","",COUNTIF('Access'!$A$4:$A$1503,A63))</f>
        <v/>
      </c>
      <c r="I63" s="30">
        <f t="array" ref="I63">IF(A63="","",_xlfn.TEXTJOIN(", ",TRUE,IF(('Companies'!$A$4:$A$63&lt;&gt;"")*(COUNTIFS('Access'!$A$4:$A$1503,A63,'Access'!$F$4:$F$1503,"*"&amp;'Companies'!$A$4:$A$63&amp;"*")&gt;0),'Companies'!$A$4:$A$63,"")))</f>
        <v/>
      </c>
      <c r="J63" s="30">
        <f>IF(A63="","",IF(COUNTIF($A$4:$A$1003,A63)&gt;1,"Duplicate email",IF(ISERROR(FIND("@",A63)),"Not an email address",IF(AND(H63=0,E63=""),"Investor without holders","OK"))))</f>
        <v/>
      </c>
    </row>
    <row r="64">
      <c r="A64" s="26" t="n"/>
      <c r="B64" s="26" t="n"/>
      <c r="C64" s="26" t="n"/>
      <c r="D64" s="26" t="n"/>
      <c r="E64" s="26" t="n"/>
      <c r="F64" s="26" t="n"/>
      <c r="G64" s="26" t="n"/>
      <c r="H64" s="30">
        <f>IF(A64="","",COUNTIF('Access'!$A$4:$A$1503,A64))</f>
        <v/>
      </c>
      <c r="I64" s="30">
        <f t="array" ref="I64">IF(A64="","",_xlfn.TEXTJOIN(", ",TRUE,IF(('Companies'!$A$4:$A$63&lt;&gt;"")*(COUNTIFS('Access'!$A$4:$A$1503,A64,'Access'!$F$4:$F$1503,"*"&amp;'Companies'!$A$4:$A$63&amp;"*")&gt;0),'Companies'!$A$4:$A$63,"")))</f>
        <v/>
      </c>
      <c r="J64" s="30">
        <f>IF(A64="","",IF(COUNTIF($A$4:$A$1003,A64)&gt;1,"Duplicate email",IF(ISERROR(FIND("@",A64)),"Not an email address",IF(AND(H64=0,E64=""),"Investor without holders","OK"))))</f>
        <v/>
      </c>
    </row>
    <row r="65">
      <c r="A65" s="26" t="n"/>
      <c r="B65" s="26" t="n"/>
      <c r="C65" s="26" t="n"/>
      <c r="D65" s="26" t="n"/>
      <c r="E65" s="26" t="n"/>
      <c r="F65" s="26" t="n"/>
      <c r="G65" s="26" t="n"/>
      <c r="H65" s="30">
        <f>IF(A65="","",COUNTIF('Access'!$A$4:$A$1503,A65))</f>
        <v/>
      </c>
      <c r="I65" s="30">
        <f t="array" ref="I65">IF(A65="","",_xlfn.TEXTJOIN(", ",TRUE,IF(('Companies'!$A$4:$A$63&lt;&gt;"")*(COUNTIFS('Access'!$A$4:$A$1503,A65,'Access'!$F$4:$F$1503,"*"&amp;'Companies'!$A$4:$A$63&amp;"*")&gt;0),'Companies'!$A$4:$A$63,"")))</f>
        <v/>
      </c>
      <c r="J65" s="30">
        <f>IF(A65="","",IF(COUNTIF($A$4:$A$1003,A65)&gt;1,"Duplicate email",IF(ISERROR(FIND("@",A65)),"Not an email address",IF(AND(H65=0,E65=""),"Investor without holders","OK"))))</f>
        <v/>
      </c>
    </row>
    <row r="66">
      <c r="A66" s="26" t="n"/>
      <c r="B66" s="26" t="n"/>
      <c r="C66" s="26" t="n"/>
      <c r="D66" s="26" t="n"/>
      <c r="E66" s="26" t="n"/>
      <c r="F66" s="26" t="n"/>
      <c r="G66" s="26" t="n"/>
      <c r="H66" s="30">
        <f>IF(A66="","",COUNTIF('Access'!$A$4:$A$1503,A66))</f>
        <v/>
      </c>
      <c r="I66" s="30">
        <f t="array" ref="I66">IF(A66="","",_xlfn.TEXTJOIN(", ",TRUE,IF(('Companies'!$A$4:$A$63&lt;&gt;"")*(COUNTIFS('Access'!$A$4:$A$1503,A66,'Access'!$F$4:$F$1503,"*"&amp;'Companies'!$A$4:$A$63&amp;"*")&gt;0),'Companies'!$A$4:$A$63,"")))</f>
        <v/>
      </c>
      <c r="J66" s="30">
        <f>IF(A66="","",IF(COUNTIF($A$4:$A$1003,A66)&gt;1,"Duplicate email",IF(ISERROR(FIND("@",A66)),"Not an email address",IF(AND(H66=0,E66=""),"Investor without holders","OK"))))</f>
        <v/>
      </c>
    </row>
    <row r="67">
      <c r="A67" s="26" t="n"/>
      <c r="B67" s="26" t="n"/>
      <c r="C67" s="26" t="n"/>
      <c r="D67" s="26" t="n"/>
      <c r="E67" s="26" t="n"/>
      <c r="F67" s="26" t="n"/>
      <c r="G67" s="26" t="n"/>
      <c r="H67" s="30">
        <f>IF(A67="","",COUNTIF('Access'!$A$4:$A$1503,A67))</f>
        <v/>
      </c>
      <c r="I67" s="30">
        <f t="array" ref="I67">IF(A67="","",_xlfn.TEXTJOIN(", ",TRUE,IF(('Companies'!$A$4:$A$63&lt;&gt;"")*(COUNTIFS('Access'!$A$4:$A$1503,A67,'Access'!$F$4:$F$1503,"*"&amp;'Companies'!$A$4:$A$63&amp;"*")&gt;0),'Companies'!$A$4:$A$63,"")))</f>
        <v/>
      </c>
      <c r="J67" s="30">
        <f>IF(A67="","",IF(COUNTIF($A$4:$A$1003,A67)&gt;1,"Duplicate email",IF(ISERROR(FIND("@",A67)),"Not an email address",IF(AND(H67=0,E67=""),"Investor without holders","OK"))))</f>
        <v/>
      </c>
    </row>
    <row r="68">
      <c r="A68" s="26" t="n"/>
      <c r="B68" s="26" t="n"/>
      <c r="C68" s="26" t="n"/>
      <c r="D68" s="26" t="n"/>
      <c r="E68" s="26" t="n"/>
      <c r="F68" s="26" t="n"/>
      <c r="G68" s="26" t="n"/>
      <c r="H68" s="30">
        <f>IF(A68="","",COUNTIF('Access'!$A$4:$A$1503,A68))</f>
        <v/>
      </c>
      <c r="I68" s="30">
        <f t="array" ref="I68">IF(A68="","",_xlfn.TEXTJOIN(", ",TRUE,IF(('Companies'!$A$4:$A$63&lt;&gt;"")*(COUNTIFS('Access'!$A$4:$A$1503,A68,'Access'!$F$4:$F$1503,"*"&amp;'Companies'!$A$4:$A$63&amp;"*")&gt;0),'Companies'!$A$4:$A$63,"")))</f>
        <v/>
      </c>
      <c r="J68" s="30">
        <f>IF(A68="","",IF(COUNTIF($A$4:$A$1003,A68)&gt;1,"Duplicate email",IF(ISERROR(FIND("@",A68)),"Not an email address",IF(AND(H68=0,E68=""),"Investor without holders","OK"))))</f>
        <v/>
      </c>
    </row>
    <row r="69">
      <c r="A69" s="26" t="n"/>
      <c r="B69" s="26" t="n"/>
      <c r="C69" s="26" t="n"/>
      <c r="D69" s="26" t="n"/>
      <c r="E69" s="26" t="n"/>
      <c r="F69" s="26" t="n"/>
      <c r="G69" s="26" t="n"/>
      <c r="H69" s="30">
        <f>IF(A69="","",COUNTIF('Access'!$A$4:$A$1503,A69))</f>
        <v/>
      </c>
      <c r="I69" s="30">
        <f t="array" ref="I69">IF(A69="","",_xlfn.TEXTJOIN(", ",TRUE,IF(('Companies'!$A$4:$A$63&lt;&gt;"")*(COUNTIFS('Access'!$A$4:$A$1503,A69,'Access'!$F$4:$F$1503,"*"&amp;'Companies'!$A$4:$A$63&amp;"*")&gt;0),'Companies'!$A$4:$A$63,"")))</f>
        <v/>
      </c>
      <c r="J69" s="30">
        <f>IF(A69="","",IF(COUNTIF($A$4:$A$1003,A69)&gt;1,"Duplicate email",IF(ISERROR(FIND("@",A69)),"Not an email address",IF(AND(H69=0,E69=""),"Investor without holders","OK"))))</f>
        <v/>
      </c>
    </row>
    <row r="70">
      <c r="A70" s="26" t="n"/>
      <c r="B70" s="26" t="n"/>
      <c r="C70" s="26" t="n"/>
      <c r="D70" s="26" t="n"/>
      <c r="E70" s="26" t="n"/>
      <c r="F70" s="26" t="n"/>
      <c r="G70" s="26" t="n"/>
      <c r="H70" s="30">
        <f>IF(A70="","",COUNTIF('Access'!$A$4:$A$1503,A70))</f>
        <v/>
      </c>
      <c r="I70" s="30">
        <f t="array" ref="I70">IF(A70="","",_xlfn.TEXTJOIN(", ",TRUE,IF(('Companies'!$A$4:$A$63&lt;&gt;"")*(COUNTIFS('Access'!$A$4:$A$1503,A70,'Access'!$F$4:$F$1503,"*"&amp;'Companies'!$A$4:$A$63&amp;"*")&gt;0),'Companies'!$A$4:$A$63,"")))</f>
        <v/>
      </c>
      <c r="J70" s="30">
        <f>IF(A70="","",IF(COUNTIF($A$4:$A$1003,A70)&gt;1,"Duplicate email",IF(ISERROR(FIND("@",A70)),"Not an email address",IF(AND(H70=0,E70=""),"Investor without holders","OK"))))</f>
        <v/>
      </c>
    </row>
    <row r="71">
      <c r="A71" s="26" t="n"/>
      <c r="B71" s="26" t="n"/>
      <c r="C71" s="26" t="n"/>
      <c r="D71" s="26" t="n"/>
      <c r="E71" s="26" t="n"/>
      <c r="F71" s="26" t="n"/>
      <c r="G71" s="26" t="n"/>
      <c r="H71" s="30">
        <f>IF(A71="","",COUNTIF('Access'!$A$4:$A$1503,A71))</f>
        <v/>
      </c>
      <c r="I71" s="30">
        <f t="array" ref="I71">IF(A71="","",_xlfn.TEXTJOIN(", ",TRUE,IF(('Companies'!$A$4:$A$63&lt;&gt;"")*(COUNTIFS('Access'!$A$4:$A$1503,A71,'Access'!$F$4:$F$1503,"*"&amp;'Companies'!$A$4:$A$63&amp;"*")&gt;0),'Companies'!$A$4:$A$63,"")))</f>
        <v/>
      </c>
      <c r="J71" s="30">
        <f>IF(A71="","",IF(COUNTIF($A$4:$A$1003,A71)&gt;1,"Duplicate email",IF(ISERROR(FIND("@",A71)),"Not an email address",IF(AND(H71=0,E71=""),"Investor without holders","OK"))))</f>
        <v/>
      </c>
    </row>
    <row r="72">
      <c r="A72" s="26" t="n"/>
      <c r="B72" s="26" t="n"/>
      <c r="C72" s="26" t="n"/>
      <c r="D72" s="26" t="n"/>
      <c r="E72" s="26" t="n"/>
      <c r="F72" s="26" t="n"/>
      <c r="G72" s="26" t="n"/>
      <c r="H72" s="30">
        <f>IF(A72="","",COUNTIF('Access'!$A$4:$A$1503,A72))</f>
        <v/>
      </c>
      <c r="I72" s="30">
        <f t="array" ref="I72">IF(A72="","",_xlfn.TEXTJOIN(", ",TRUE,IF(('Companies'!$A$4:$A$63&lt;&gt;"")*(COUNTIFS('Access'!$A$4:$A$1503,A72,'Access'!$F$4:$F$1503,"*"&amp;'Companies'!$A$4:$A$63&amp;"*")&gt;0),'Companies'!$A$4:$A$63,"")))</f>
        <v/>
      </c>
      <c r="J72" s="30">
        <f>IF(A72="","",IF(COUNTIF($A$4:$A$1003,A72)&gt;1,"Duplicate email",IF(ISERROR(FIND("@",A72)),"Not an email address",IF(AND(H72=0,E72=""),"Investor without holders","OK"))))</f>
        <v/>
      </c>
    </row>
    <row r="73">
      <c r="A73" s="26" t="n"/>
      <c r="B73" s="26" t="n"/>
      <c r="C73" s="26" t="n"/>
      <c r="D73" s="26" t="n"/>
      <c r="E73" s="26" t="n"/>
      <c r="F73" s="26" t="n"/>
      <c r="G73" s="26" t="n"/>
      <c r="H73" s="30">
        <f>IF(A73="","",COUNTIF('Access'!$A$4:$A$1503,A73))</f>
        <v/>
      </c>
      <c r="I73" s="30">
        <f t="array" ref="I73">IF(A73="","",_xlfn.TEXTJOIN(", ",TRUE,IF(('Companies'!$A$4:$A$63&lt;&gt;"")*(COUNTIFS('Access'!$A$4:$A$1503,A73,'Access'!$F$4:$F$1503,"*"&amp;'Companies'!$A$4:$A$63&amp;"*")&gt;0),'Companies'!$A$4:$A$63,"")))</f>
        <v/>
      </c>
      <c r="J73" s="30">
        <f>IF(A73="","",IF(COUNTIF($A$4:$A$1003,A73)&gt;1,"Duplicate email",IF(ISERROR(FIND("@",A73)),"Not an email address",IF(AND(H73=0,E73=""),"Investor without holders","OK"))))</f>
        <v/>
      </c>
    </row>
    <row r="74">
      <c r="A74" s="26" t="n"/>
      <c r="B74" s="26" t="n"/>
      <c r="C74" s="26" t="n"/>
      <c r="D74" s="26" t="n"/>
      <c r="E74" s="26" t="n"/>
      <c r="F74" s="26" t="n"/>
      <c r="G74" s="26" t="n"/>
      <c r="H74" s="30">
        <f>IF(A74="","",COUNTIF('Access'!$A$4:$A$1503,A74))</f>
        <v/>
      </c>
      <c r="I74" s="30">
        <f t="array" ref="I74">IF(A74="","",_xlfn.TEXTJOIN(", ",TRUE,IF(('Companies'!$A$4:$A$63&lt;&gt;"")*(COUNTIFS('Access'!$A$4:$A$1503,A74,'Access'!$F$4:$F$1503,"*"&amp;'Companies'!$A$4:$A$63&amp;"*")&gt;0),'Companies'!$A$4:$A$63,"")))</f>
        <v/>
      </c>
      <c r="J74" s="30">
        <f>IF(A74="","",IF(COUNTIF($A$4:$A$1003,A74)&gt;1,"Duplicate email",IF(ISERROR(FIND("@",A74)),"Not an email address",IF(AND(H74=0,E74=""),"Investor without holders","OK"))))</f>
        <v/>
      </c>
    </row>
    <row r="75">
      <c r="A75" s="26" t="n"/>
      <c r="B75" s="26" t="n"/>
      <c r="C75" s="26" t="n"/>
      <c r="D75" s="26" t="n"/>
      <c r="E75" s="26" t="n"/>
      <c r="F75" s="26" t="n"/>
      <c r="G75" s="26" t="n"/>
      <c r="H75" s="30">
        <f>IF(A75="","",COUNTIF('Access'!$A$4:$A$1503,A75))</f>
        <v/>
      </c>
      <c r="I75" s="30">
        <f t="array" ref="I75">IF(A75="","",_xlfn.TEXTJOIN(", ",TRUE,IF(('Companies'!$A$4:$A$63&lt;&gt;"")*(COUNTIFS('Access'!$A$4:$A$1503,A75,'Access'!$F$4:$F$1503,"*"&amp;'Companies'!$A$4:$A$63&amp;"*")&gt;0),'Companies'!$A$4:$A$63,"")))</f>
        <v/>
      </c>
      <c r="J75" s="30">
        <f>IF(A75="","",IF(COUNTIF($A$4:$A$1003,A75)&gt;1,"Duplicate email",IF(ISERROR(FIND("@",A75)),"Not an email address",IF(AND(H75=0,E75=""),"Investor without holders","OK"))))</f>
        <v/>
      </c>
    </row>
    <row r="76">
      <c r="A76" s="26" t="n"/>
      <c r="B76" s="26" t="n"/>
      <c r="C76" s="26" t="n"/>
      <c r="D76" s="26" t="n"/>
      <c r="E76" s="26" t="n"/>
      <c r="F76" s="26" t="n"/>
      <c r="G76" s="26" t="n"/>
      <c r="H76" s="30">
        <f>IF(A76="","",COUNTIF('Access'!$A$4:$A$1503,A76))</f>
        <v/>
      </c>
      <c r="I76" s="30">
        <f t="array" ref="I76">IF(A76="","",_xlfn.TEXTJOIN(", ",TRUE,IF(('Companies'!$A$4:$A$63&lt;&gt;"")*(COUNTIFS('Access'!$A$4:$A$1503,A76,'Access'!$F$4:$F$1503,"*"&amp;'Companies'!$A$4:$A$63&amp;"*")&gt;0),'Companies'!$A$4:$A$63,"")))</f>
        <v/>
      </c>
      <c r="J76" s="30">
        <f>IF(A76="","",IF(COUNTIF($A$4:$A$1003,A76)&gt;1,"Duplicate email",IF(ISERROR(FIND("@",A76)),"Not an email address",IF(AND(H76=0,E76=""),"Investor without holders","OK"))))</f>
        <v/>
      </c>
    </row>
    <row r="77">
      <c r="A77" s="26" t="n"/>
      <c r="B77" s="26" t="n"/>
      <c r="C77" s="26" t="n"/>
      <c r="D77" s="26" t="n"/>
      <c r="E77" s="26" t="n"/>
      <c r="F77" s="26" t="n"/>
      <c r="G77" s="26" t="n"/>
      <c r="H77" s="30">
        <f>IF(A77="","",COUNTIF('Access'!$A$4:$A$1503,A77))</f>
        <v/>
      </c>
      <c r="I77" s="30">
        <f t="array" ref="I77">IF(A77="","",_xlfn.TEXTJOIN(", ",TRUE,IF(('Companies'!$A$4:$A$63&lt;&gt;"")*(COUNTIFS('Access'!$A$4:$A$1503,A77,'Access'!$F$4:$F$1503,"*"&amp;'Companies'!$A$4:$A$63&amp;"*")&gt;0),'Companies'!$A$4:$A$63,"")))</f>
        <v/>
      </c>
      <c r="J77" s="30">
        <f>IF(A77="","",IF(COUNTIF($A$4:$A$1003,A77)&gt;1,"Duplicate email",IF(ISERROR(FIND("@",A77)),"Not an email address",IF(AND(H77=0,E77=""),"Investor without holders","OK"))))</f>
        <v/>
      </c>
    </row>
    <row r="78">
      <c r="A78" s="26" t="n"/>
      <c r="B78" s="26" t="n"/>
      <c r="C78" s="26" t="n"/>
      <c r="D78" s="26" t="n"/>
      <c r="E78" s="26" t="n"/>
      <c r="F78" s="26" t="n"/>
      <c r="G78" s="26" t="n"/>
      <c r="H78" s="30">
        <f>IF(A78="","",COUNTIF('Access'!$A$4:$A$1503,A78))</f>
        <v/>
      </c>
      <c r="I78" s="30">
        <f t="array" ref="I78">IF(A78="","",_xlfn.TEXTJOIN(", ",TRUE,IF(('Companies'!$A$4:$A$63&lt;&gt;"")*(COUNTIFS('Access'!$A$4:$A$1503,A78,'Access'!$F$4:$F$1503,"*"&amp;'Companies'!$A$4:$A$63&amp;"*")&gt;0),'Companies'!$A$4:$A$63,"")))</f>
        <v/>
      </c>
      <c r="J78" s="30">
        <f>IF(A78="","",IF(COUNTIF($A$4:$A$1003,A78)&gt;1,"Duplicate email",IF(ISERROR(FIND("@",A78)),"Not an email address",IF(AND(H78=0,E78=""),"Investor without holders","OK"))))</f>
        <v/>
      </c>
    </row>
    <row r="79">
      <c r="A79" s="26" t="n"/>
      <c r="B79" s="26" t="n"/>
      <c r="C79" s="26" t="n"/>
      <c r="D79" s="26" t="n"/>
      <c r="E79" s="26" t="n"/>
      <c r="F79" s="26" t="n"/>
      <c r="G79" s="26" t="n"/>
      <c r="H79" s="30">
        <f>IF(A79="","",COUNTIF('Access'!$A$4:$A$1503,A79))</f>
        <v/>
      </c>
      <c r="I79" s="30">
        <f t="array" ref="I79">IF(A79="","",_xlfn.TEXTJOIN(", ",TRUE,IF(('Companies'!$A$4:$A$63&lt;&gt;"")*(COUNTIFS('Access'!$A$4:$A$1503,A79,'Access'!$F$4:$F$1503,"*"&amp;'Companies'!$A$4:$A$63&amp;"*")&gt;0),'Companies'!$A$4:$A$63,"")))</f>
        <v/>
      </c>
      <c r="J79" s="30">
        <f>IF(A79="","",IF(COUNTIF($A$4:$A$1003,A79)&gt;1,"Duplicate email",IF(ISERROR(FIND("@",A79)),"Not an email address",IF(AND(H79=0,E79=""),"Investor without holders","OK"))))</f>
        <v/>
      </c>
    </row>
    <row r="80">
      <c r="A80" s="26" t="n"/>
      <c r="B80" s="26" t="n"/>
      <c r="C80" s="26" t="n"/>
      <c r="D80" s="26" t="n"/>
      <c r="E80" s="26" t="n"/>
      <c r="F80" s="26" t="n"/>
      <c r="G80" s="26" t="n"/>
      <c r="H80" s="30">
        <f>IF(A80="","",COUNTIF('Access'!$A$4:$A$1503,A80))</f>
        <v/>
      </c>
      <c r="I80" s="30">
        <f t="array" ref="I80">IF(A80="","",_xlfn.TEXTJOIN(", ",TRUE,IF(('Companies'!$A$4:$A$63&lt;&gt;"")*(COUNTIFS('Access'!$A$4:$A$1503,A80,'Access'!$F$4:$F$1503,"*"&amp;'Companies'!$A$4:$A$63&amp;"*")&gt;0),'Companies'!$A$4:$A$63,"")))</f>
        <v/>
      </c>
      <c r="J80" s="30">
        <f>IF(A80="","",IF(COUNTIF($A$4:$A$1003,A80)&gt;1,"Duplicate email",IF(ISERROR(FIND("@",A80)),"Not an email address",IF(AND(H80=0,E80=""),"Investor without holders","OK"))))</f>
        <v/>
      </c>
    </row>
    <row r="81">
      <c r="A81" s="26" t="n"/>
      <c r="B81" s="26" t="n"/>
      <c r="C81" s="26" t="n"/>
      <c r="D81" s="26" t="n"/>
      <c r="E81" s="26" t="n"/>
      <c r="F81" s="26" t="n"/>
      <c r="G81" s="26" t="n"/>
      <c r="H81" s="30">
        <f>IF(A81="","",COUNTIF('Access'!$A$4:$A$1503,A81))</f>
        <v/>
      </c>
      <c r="I81" s="30">
        <f t="array" ref="I81">IF(A81="","",_xlfn.TEXTJOIN(", ",TRUE,IF(('Companies'!$A$4:$A$63&lt;&gt;"")*(COUNTIFS('Access'!$A$4:$A$1503,A81,'Access'!$F$4:$F$1503,"*"&amp;'Companies'!$A$4:$A$63&amp;"*")&gt;0),'Companies'!$A$4:$A$63,"")))</f>
        <v/>
      </c>
      <c r="J81" s="30">
        <f>IF(A81="","",IF(COUNTIF($A$4:$A$1003,A81)&gt;1,"Duplicate email",IF(ISERROR(FIND("@",A81)),"Not an email address",IF(AND(H81=0,E81=""),"Investor without holders","OK"))))</f>
        <v/>
      </c>
    </row>
    <row r="82">
      <c r="A82" s="26" t="n"/>
      <c r="B82" s="26" t="n"/>
      <c r="C82" s="26" t="n"/>
      <c r="D82" s="26" t="n"/>
      <c r="E82" s="26" t="n"/>
      <c r="F82" s="26" t="n"/>
      <c r="G82" s="26" t="n"/>
      <c r="H82" s="30">
        <f>IF(A82="","",COUNTIF('Access'!$A$4:$A$1503,A82))</f>
        <v/>
      </c>
      <c r="I82" s="30">
        <f t="array" ref="I82">IF(A82="","",_xlfn.TEXTJOIN(", ",TRUE,IF(('Companies'!$A$4:$A$63&lt;&gt;"")*(COUNTIFS('Access'!$A$4:$A$1503,A82,'Access'!$F$4:$F$1503,"*"&amp;'Companies'!$A$4:$A$63&amp;"*")&gt;0),'Companies'!$A$4:$A$63,"")))</f>
        <v/>
      </c>
      <c r="J82" s="30">
        <f>IF(A82="","",IF(COUNTIF($A$4:$A$1003,A82)&gt;1,"Duplicate email",IF(ISERROR(FIND("@",A82)),"Not an email address",IF(AND(H82=0,E82=""),"Investor without holders","OK"))))</f>
        <v/>
      </c>
    </row>
    <row r="83">
      <c r="A83" s="26" t="n"/>
      <c r="B83" s="26" t="n"/>
      <c r="C83" s="26" t="n"/>
      <c r="D83" s="26" t="n"/>
      <c r="E83" s="26" t="n"/>
      <c r="F83" s="26" t="n"/>
      <c r="G83" s="26" t="n"/>
      <c r="H83" s="30">
        <f>IF(A83="","",COUNTIF('Access'!$A$4:$A$1503,A83))</f>
        <v/>
      </c>
      <c r="I83" s="30">
        <f t="array" ref="I83">IF(A83="","",_xlfn.TEXTJOIN(", ",TRUE,IF(('Companies'!$A$4:$A$63&lt;&gt;"")*(COUNTIFS('Access'!$A$4:$A$1503,A83,'Access'!$F$4:$F$1503,"*"&amp;'Companies'!$A$4:$A$63&amp;"*")&gt;0),'Companies'!$A$4:$A$63,"")))</f>
        <v/>
      </c>
      <c r="J83" s="30">
        <f>IF(A83="","",IF(COUNTIF($A$4:$A$1003,A83)&gt;1,"Duplicate email",IF(ISERROR(FIND("@",A83)),"Not an email address",IF(AND(H83=0,E83=""),"Investor without holders","OK"))))</f>
        <v/>
      </c>
    </row>
    <row r="84">
      <c r="A84" s="26" t="n"/>
      <c r="B84" s="26" t="n"/>
      <c r="C84" s="26" t="n"/>
      <c r="D84" s="26" t="n"/>
      <c r="E84" s="26" t="n"/>
      <c r="F84" s="26" t="n"/>
      <c r="G84" s="26" t="n"/>
      <c r="H84" s="30">
        <f>IF(A84="","",COUNTIF('Access'!$A$4:$A$1503,A84))</f>
        <v/>
      </c>
      <c r="I84" s="30">
        <f t="array" ref="I84">IF(A84="","",_xlfn.TEXTJOIN(", ",TRUE,IF(('Companies'!$A$4:$A$63&lt;&gt;"")*(COUNTIFS('Access'!$A$4:$A$1503,A84,'Access'!$F$4:$F$1503,"*"&amp;'Companies'!$A$4:$A$63&amp;"*")&gt;0),'Companies'!$A$4:$A$63,"")))</f>
        <v/>
      </c>
      <c r="J84" s="30">
        <f>IF(A84="","",IF(COUNTIF($A$4:$A$1003,A84)&gt;1,"Duplicate email",IF(ISERROR(FIND("@",A84)),"Not an email address",IF(AND(H84=0,E84=""),"Investor without holders","OK"))))</f>
        <v/>
      </c>
    </row>
    <row r="85">
      <c r="A85" s="26" t="n"/>
      <c r="B85" s="26" t="n"/>
      <c r="C85" s="26" t="n"/>
      <c r="D85" s="26" t="n"/>
      <c r="E85" s="26" t="n"/>
      <c r="F85" s="26" t="n"/>
      <c r="G85" s="26" t="n"/>
      <c r="H85" s="30">
        <f>IF(A85="","",COUNTIF('Access'!$A$4:$A$1503,A85))</f>
        <v/>
      </c>
      <c r="I85" s="30">
        <f t="array" ref="I85">IF(A85="","",_xlfn.TEXTJOIN(", ",TRUE,IF(('Companies'!$A$4:$A$63&lt;&gt;"")*(COUNTIFS('Access'!$A$4:$A$1503,A85,'Access'!$F$4:$F$1503,"*"&amp;'Companies'!$A$4:$A$63&amp;"*")&gt;0),'Companies'!$A$4:$A$63,"")))</f>
        <v/>
      </c>
      <c r="J85" s="30">
        <f>IF(A85="","",IF(COUNTIF($A$4:$A$1003,A85)&gt;1,"Duplicate email",IF(ISERROR(FIND("@",A85)),"Not an email address",IF(AND(H85=0,E85=""),"Investor without holders","OK"))))</f>
        <v/>
      </c>
    </row>
    <row r="86">
      <c r="A86" s="26" t="n"/>
      <c r="B86" s="26" t="n"/>
      <c r="C86" s="26" t="n"/>
      <c r="D86" s="26" t="n"/>
      <c r="E86" s="26" t="n"/>
      <c r="F86" s="26" t="n"/>
      <c r="G86" s="26" t="n"/>
      <c r="H86" s="30">
        <f>IF(A86="","",COUNTIF('Access'!$A$4:$A$1503,A86))</f>
        <v/>
      </c>
      <c r="I86" s="30">
        <f t="array" ref="I86">IF(A86="","",_xlfn.TEXTJOIN(", ",TRUE,IF(('Companies'!$A$4:$A$63&lt;&gt;"")*(COUNTIFS('Access'!$A$4:$A$1503,A86,'Access'!$F$4:$F$1503,"*"&amp;'Companies'!$A$4:$A$63&amp;"*")&gt;0),'Companies'!$A$4:$A$63,"")))</f>
        <v/>
      </c>
      <c r="J86" s="30">
        <f>IF(A86="","",IF(COUNTIF($A$4:$A$1003,A86)&gt;1,"Duplicate email",IF(ISERROR(FIND("@",A86)),"Not an email address",IF(AND(H86=0,E86=""),"Investor without holders","OK"))))</f>
        <v/>
      </c>
    </row>
    <row r="87">
      <c r="A87" s="26" t="n"/>
      <c r="B87" s="26" t="n"/>
      <c r="C87" s="26" t="n"/>
      <c r="D87" s="26" t="n"/>
      <c r="E87" s="26" t="n"/>
      <c r="F87" s="26" t="n"/>
      <c r="G87" s="26" t="n"/>
      <c r="H87" s="30">
        <f>IF(A87="","",COUNTIF('Access'!$A$4:$A$1503,A87))</f>
        <v/>
      </c>
      <c r="I87" s="30">
        <f t="array" ref="I87">IF(A87="","",_xlfn.TEXTJOIN(", ",TRUE,IF(('Companies'!$A$4:$A$63&lt;&gt;"")*(COUNTIFS('Access'!$A$4:$A$1503,A87,'Access'!$F$4:$F$1503,"*"&amp;'Companies'!$A$4:$A$63&amp;"*")&gt;0),'Companies'!$A$4:$A$63,"")))</f>
        <v/>
      </c>
      <c r="J87" s="30">
        <f>IF(A87="","",IF(COUNTIF($A$4:$A$1003,A87)&gt;1,"Duplicate email",IF(ISERROR(FIND("@",A87)),"Not an email address",IF(AND(H87=0,E87=""),"Investor without holders","OK"))))</f>
        <v/>
      </c>
    </row>
    <row r="88">
      <c r="A88" s="26" t="n"/>
      <c r="B88" s="26" t="n"/>
      <c r="C88" s="26" t="n"/>
      <c r="D88" s="26" t="n"/>
      <c r="E88" s="26" t="n"/>
      <c r="F88" s="26" t="n"/>
      <c r="G88" s="26" t="n"/>
      <c r="H88" s="30">
        <f>IF(A88="","",COUNTIF('Access'!$A$4:$A$1503,A88))</f>
        <v/>
      </c>
      <c r="I88" s="30">
        <f t="array" ref="I88">IF(A88="","",_xlfn.TEXTJOIN(", ",TRUE,IF(('Companies'!$A$4:$A$63&lt;&gt;"")*(COUNTIFS('Access'!$A$4:$A$1503,A88,'Access'!$F$4:$F$1503,"*"&amp;'Companies'!$A$4:$A$63&amp;"*")&gt;0),'Companies'!$A$4:$A$63,"")))</f>
        <v/>
      </c>
      <c r="J88" s="30">
        <f>IF(A88="","",IF(COUNTIF($A$4:$A$1003,A88)&gt;1,"Duplicate email",IF(ISERROR(FIND("@",A88)),"Not an email address",IF(AND(H88=0,E88=""),"Investor without holders","OK"))))</f>
        <v/>
      </c>
    </row>
    <row r="89">
      <c r="A89" s="26" t="n"/>
      <c r="B89" s="26" t="n"/>
      <c r="C89" s="26" t="n"/>
      <c r="D89" s="26" t="n"/>
      <c r="E89" s="26" t="n"/>
      <c r="F89" s="26" t="n"/>
      <c r="G89" s="26" t="n"/>
      <c r="H89" s="30">
        <f>IF(A89="","",COUNTIF('Access'!$A$4:$A$1503,A89))</f>
        <v/>
      </c>
      <c r="I89" s="30">
        <f t="array" ref="I89">IF(A89="","",_xlfn.TEXTJOIN(", ",TRUE,IF(('Companies'!$A$4:$A$63&lt;&gt;"")*(COUNTIFS('Access'!$A$4:$A$1503,A89,'Access'!$F$4:$F$1503,"*"&amp;'Companies'!$A$4:$A$63&amp;"*")&gt;0),'Companies'!$A$4:$A$63,"")))</f>
        <v/>
      </c>
      <c r="J89" s="30">
        <f>IF(A89="","",IF(COUNTIF($A$4:$A$1003,A89)&gt;1,"Duplicate email",IF(ISERROR(FIND("@",A89)),"Not an email address",IF(AND(H89=0,E89=""),"Investor without holders","OK"))))</f>
        <v/>
      </c>
    </row>
    <row r="90">
      <c r="A90" s="26" t="n"/>
      <c r="B90" s="26" t="n"/>
      <c r="C90" s="26" t="n"/>
      <c r="D90" s="26" t="n"/>
      <c r="E90" s="26" t="n"/>
      <c r="F90" s="26" t="n"/>
      <c r="G90" s="26" t="n"/>
      <c r="H90" s="30">
        <f>IF(A90="","",COUNTIF('Access'!$A$4:$A$1503,A90))</f>
        <v/>
      </c>
      <c r="I90" s="30">
        <f t="array" ref="I90">IF(A90="","",_xlfn.TEXTJOIN(", ",TRUE,IF(('Companies'!$A$4:$A$63&lt;&gt;"")*(COUNTIFS('Access'!$A$4:$A$1503,A90,'Access'!$F$4:$F$1503,"*"&amp;'Companies'!$A$4:$A$63&amp;"*")&gt;0),'Companies'!$A$4:$A$63,"")))</f>
        <v/>
      </c>
      <c r="J90" s="30">
        <f>IF(A90="","",IF(COUNTIF($A$4:$A$1003,A90)&gt;1,"Duplicate email",IF(ISERROR(FIND("@",A90)),"Not an email address",IF(AND(H90=0,E90=""),"Investor without holders","OK"))))</f>
        <v/>
      </c>
    </row>
    <row r="91">
      <c r="A91" s="26" t="n"/>
      <c r="B91" s="26" t="n"/>
      <c r="C91" s="26" t="n"/>
      <c r="D91" s="26" t="n"/>
      <c r="E91" s="26" t="n"/>
      <c r="F91" s="26" t="n"/>
      <c r="G91" s="26" t="n"/>
      <c r="H91" s="30">
        <f>IF(A91="","",COUNTIF('Access'!$A$4:$A$1503,A91))</f>
        <v/>
      </c>
      <c r="I91" s="30">
        <f t="array" ref="I91">IF(A91="","",_xlfn.TEXTJOIN(", ",TRUE,IF(('Companies'!$A$4:$A$63&lt;&gt;"")*(COUNTIFS('Access'!$A$4:$A$1503,A91,'Access'!$F$4:$F$1503,"*"&amp;'Companies'!$A$4:$A$63&amp;"*")&gt;0),'Companies'!$A$4:$A$63,"")))</f>
        <v/>
      </c>
      <c r="J91" s="30">
        <f>IF(A91="","",IF(COUNTIF($A$4:$A$1003,A91)&gt;1,"Duplicate email",IF(ISERROR(FIND("@",A91)),"Not an email address",IF(AND(H91=0,E91=""),"Investor without holders","OK"))))</f>
        <v/>
      </c>
    </row>
    <row r="92">
      <c r="A92" s="26" t="n"/>
      <c r="B92" s="26" t="n"/>
      <c r="C92" s="26" t="n"/>
      <c r="D92" s="26" t="n"/>
      <c r="E92" s="26" t="n"/>
      <c r="F92" s="26" t="n"/>
      <c r="G92" s="26" t="n"/>
      <c r="H92" s="30">
        <f>IF(A92="","",COUNTIF('Access'!$A$4:$A$1503,A92))</f>
        <v/>
      </c>
      <c r="I92" s="30">
        <f t="array" ref="I92">IF(A92="","",_xlfn.TEXTJOIN(", ",TRUE,IF(('Companies'!$A$4:$A$63&lt;&gt;"")*(COUNTIFS('Access'!$A$4:$A$1503,A92,'Access'!$F$4:$F$1503,"*"&amp;'Companies'!$A$4:$A$63&amp;"*")&gt;0),'Companies'!$A$4:$A$63,"")))</f>
        <v/>
      </c>
      <c r="J92" s="30">
        <f>IF(A92="","",IF(COUNTIF($A$4:$A$1003,A92)&gt;1,"Duplicate email",IF(ISERROR(FIND("@",A92)),"Not an email address",IF(AND(H92=0,E92=""),"Investor without holders","OK"))))</f>
        <v/>
      </c>
    </row>
    <row r="93">
      <c r="A93" s="26" t="n"/>
      <c r="B93" s="26" t="n"/>
      <c r="C93" s="26" t="n"/>
      <c r="D93" s="26" t="n"/>
      <c r="E93" s="26" t="n"/>
      <c r="F93" s="26" t="n"/>
      <c r="G93" s="26" t="n"/>
      <c r="H93" s="30">
        <f>IF(A93="","",COUNTIF('Access'!$A$4:$A$1503,A93))</f>
        <v/>
      </c>
      <c r="I93" s="30">
        <f t="array" ref="I93">IF(A93="","",_xlfn.TEXTJOIN(", ",TRUE,IF(('Companies'!$A$4:$A$63&lt;&gt;"")*(COUNTIFS('Access'!$A$4:$A$1503,A93,'Access'!$F$4:$F$1503,"*"&amp;'Companies'!$A$4:$A$63&amp;"*")&gt;0),'Companies'!$A$4:$A$63,"")))</f>
        <v/>
      </c>
      <c r="J93" s="30">
        <f>IF(A93="","",IF(COUNTIF($A$4:$A$1003,A93)&gt;1,"Duplicate email",IF(ISERROR(FIND("@",A93)),"Not an email address",IF(AND(H93=0,E93=""),"Investor without holders","OK"))))</f>
        <v/>
      </c>
    </row>
    <row r="94">
      <c r="A94" s="26" t="n"/>
      <c r="B94" s="26" t="n"/>
      <c r="C94" s="26" t="n"/>
      <c r="D94" s="26" t="n"/>
      <c r="E94" s="26" t="n"/>
      <c r="F94" s="26" t="n"/>
      <c r="G94" s="26" t="n"/>
      <c r="H94" s="30">
        <f>IF(A94="","",COUNTIF('Access'!$A$4:$A$1503,A94))</f>
        <v/>
      </c>
      <c r="I94" s="30">
        <f t="array" ref="I94">IF(A94="","",_xlfn.TEXTJOIN(", ",TRUE,IF(('Companies'!$A$4:$A$63&lt;&gt;"")*(COUNTIFS('Access'!$A$4:$A$1503,A94,'Access'!$F$4:$F$1503,"*"&amp;'Companies'!$A$4:$A$63&amp;"*")&gt;0),'Companies'!$A$4:$A$63,"")))</f>
        <v/>
      </c>
      <c r="J94" s="30">
        <f>IF(A94="","",IF(COUNTIF($A$4:$A$1003,A94)&gt;1,"Duplicate email",IF(ISERROR(FIND("@",A94)),"Not an email address",IF(AND(H94=0,E94=""),"Investor without holders","OK"))))</f>
        <v/>
      </c>
    </row>
    <row r="95">
      <c r="A95" s="26" t="n"/>
      <c r="B95" s="26" t="n"/>
      <c r="C95" s="26" t="n"/>
      <c r="D95" s="26" t="n"/>
      <c r="E95" s="26" t="n"/>
      <c r="F95" s="26" t="n"/>
      <c r="G95" s="26" t="n"/>
      <c r="H95" s="30">
        <f>IF(A95="","",COUNTIF('Access'!$A$4:$A$1503,A95))</f>
        <v/>
      </c>
      <c r="I95" s="30">
        <f t="array" ref="I95">IF(A95="","",_xlfn.TEXTJOIN(", ",TRUE,IF(('Companies'!$A$4:$A$63&lt;&gt;"")*(COUNTIFS('Access'!$A$4:$A$1503,A95,'Access'!$F$4:$F$1503,"*"&amp;'Companies'!$A$4:$A$63&amp;"*")&gt;0),'Companies'!$A$4:$A$63,"")))</f>
        <v/>
      </c>
      <c r="J95" s="30">
        <f>IF(A95="","",IF(COUNTIF($A$4:$A$1003,A95)&gt;1,"Duplicate email",IF(ISERROR(FIND("@",A95)),"Not an email address",IF(AND(H95=0,E95=""),"Investor without holders","OK"))))</f>
        <v/>
      </c>
    </row>
    <row r="96">
      <c r="A96" s="26" t="n"/>
      <c r="B96" s="26" t="n"/>
      <c r="C96" s="26" t="n"/>
      <c r="D96" s="26" t="n"/>
      <c r="E96" s="26" t="n"/>
      <c r="F96" s="26" t="n"/>
      <c r="G96" s="26" t="n"/>
      <c r="H96" s="30">
        <f>IF(A96="","",COUNTIF('Access'!$A$4:$A$1503,A96))</f>
        <v/>
      </c>
      <c r="I96" s="30">
        <f t="array" ref="I96">IF(A96="","",_xlfn.TEXTJOIN(", ",TRUE,IF(('Companies'!$A$4:$A$63&lt;&gt;"")*(COUNTIFS('Access'!$A$4:$A$1503,A96,'Access'!$F$4:$F$1503,"*"&amp;'Companies'!$A$4:$A$63&amp;"*")&gt;0),'Companies'!$A$4:$A$63,"")))</f>
        <v/>
      </c>
      <c r="J96" s="30">
        <f>IF(A96="","",IF(COUNTIF($A$4:$A$1003,A96)&gt;1,"Duplicate email",IF(ISERROR(FIND("@",A96)),"Not an email address",IF(AND(H96=0,E96=""),"Investor without holders","OK"))))</f>
        <v/>
      </c>
    </row>
    <row r="97">
      <c r="A97" s="26" t="n"/>
      <c r="B97" s="26" t="n"/>
      <c r="C97" s="26" t="n"/>
      <c r="D97" s="26" t="n"/>
      <c r="E97" s="26" t="n"/>
      <c r="F97" s="26" t="n"/>
      <c r="G97" s="26" t="n"/>
      <c r="H97" s="30">
        <f>IF(A97="","",COUNTIF('Access'!$A$4:$A$1503,A97))</f>
        <v/>
      </c>
      <c r="I97" s="30">
        <f t="array" ref="I97">IF(A97="","",_xlfn.TEXTJOIN(", ",TRUE,IF(('Companies'!$A$4:$A$63&lt;&gt;"")*(COUNTIFS('Access'!$A$4:$A$1503,A97,'Access'!$F$4:$F$1503,"*"&amp;'Companies'!$A$4:$A$63&amp;"*")&gt;0),'Companies'!$A$4:$A$63,"")))</f>
        <v/>
      </c>
      <c r="J97" s="30">
        <f>IF(A97="","",IF(COUNTIF($A$4:$A$1003,A97)&gt;1,"Duplicate email",IF(ISERROR(FIND("@",A97)),"Not an email address",IF(AND(H97=0,E97=""),"Investor without holders","OK"))))</f>
        <v/>
      </c>
    </row>
    <row r="98">
      <c r="A98" s="26" t="n"/>
      <c r="B98" s="26" t="n"/>
      <c r="C98" s="26" t="n"/>
      <c r="D98" s="26" t="n"/>
      <c r="E98" s="26" t="n"/>
      <c r="F98" s="26" t="n"/>
      <c r="G98" s="26" t="n"/>
      <c r="H98" s="30">
        <f>IF(A98="","",COUNTIF('Access'!$A$4:$A$1503,A98))</f>
        <v/>
      </c>
      <c r="I98" s="30">
        <f t="array" ref="I98">IF(A98="","",_xlfn.TEXTJOIN(", ",TRUE,IF(('Companies'!$A$4:$A$63&lt;&gt;"")*(COUNTIFS('Access'!$A$4:$A$1503,A98,'Access'!$F$4:$F$1503,"*"&amp;'Companies'!$A$4:$A$63&amp;"*")&gt;0),'Companies'!$A$4:$A$63,"")))</f>
        <v/>
      </c>
      <c r="J98" s="30">
        <f>IF(A98="","",IF(COUNTIF($A$4:$A$1003,A98)&gt;1,"Duplicate email",IF(ISERROR(FIND("@",A98)),"Not an email address",IF(AND(H98=0,E98=""),"Investor without holders","OK"))))</f>
        <v/>
      </c>
    </row>
    <row r="99">
      <c r="A99" s="26" t="n"/>
      <c r="B99" s="26" t="n"/>
      <c r="C99" s="26" t="n"/>
      <c r="D99" s="26" t="n"/>
      <c r="E99" s="26" t="n"/>
      <c r="F99" s="26" t="n"/>
      <c r="G99" s="26" t="n"/>
      <c r="H99" s="30">
        <f>IF(A99="","",COUNTIF('Access'!$A$4:$A$1503,A99))</f>
        <v/>
      </c>
      <c r="I99" s="30">
        <f t="array" ref="I99">IF(A99="","",_xlfn.TEXTJOIN(", ",TRUE,IF(('Companies'!$A$4:$A$63&lt;&gt;"")*(COUNTIFS('Access'!$A$4:$A$1503,A99,'Access'!$F$4:$F$1503,"*"&amp;'Companies'!$A$4:$A$63&amp;"*")&gt;0),'Companies'!$A$4:$A$63,"")))</f>
        <v/>
      </c>
      <c r="J99" s="30">
        <f>IF(A99="","",IF(COUNTIF($A$4:$A$1003,A99)&gt;1,"Duplicate email",IF(ISERROR(FIND("@",A99)),"Not an email address",IF(AND(H99=0,E99=""),"Investor without holders","OK"))))</f>
        <v/>
      </c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30">
        <f>IF(A100="","",COUNTIF('Access'!$A$4:$A$1503,A100))</f>
        <v/>
      </c>
      <c r="I100" s="30">
        <f t="array" ref="I100">IF(A100="","",_xlfn.TEXTJOIN(", ",TRUE,IF(('Companies'!$A$4:$A$63&lt;&gt;"")*(COUNTIFS('Access'!$A$4:$A$1503,A100,'Access'!$F$4:$F$1503,"*"&amp;'Companies'!$A$4:$A$63&amp;"*")&gt;0),'Companies'!$A$4:$A$63,"")))</f>
        <v/>
      </c>
      <c r="J100" s="30">
        <f>IF(A100="","",IF(COUNTIF($A$4:$A$1003,A100)&gt;1,"Duplicate email",IF(ISERROR(FIND("@",A100)),"Not an email address",IF(AND(H100=0,E100=""),"Investor without holders","OK"))))</f>
        <v/>
      </c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30">
        <f>IF(A101="","",COUNTIF('Access'!$A$4:$A$1503,A101))</f>
        <v/>
      </c>
      <c r="I101" s="30">
        <f t="array" ref="I101">IF(A101="","",_xlfn.TEXTJOIN(", ",TRUE,IF(('Companies'!$A$4:$A$63&lt;&gt;"")*(COUNTIFS('Access'!$A$4:$A$1503,A101,'Access'!$F$4:$F$1503,"*"&amp;'Companies'!$A$4:$A$63&amp;"*")&gt;0),'Companies'!$A$4:$A$63,"")))</f>
        <v/>
      </c>
      <c r="J101" s="30">
        <f>IF(A101="","",IF(COUNTIF($A$4:$A$1003,A101)&gt;1,"Duplicate email",IF(ISERROR(FIND("@",A101)),"Not an email address",IF(AND(H101=0,E101=""),"Investor without holders","OK"))))</f>
        <v/>
      </c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30">
        <f>IF(A102="","",COUNTIF('Access'!$A$4:$A$1503,A102))</f>
        <v/>
      </c>
      <c r="I102" s="30">
        <f t="array" ref="I102">IF(A102="","",_xlfn.TEXTJOIN(", ",TRUE,IF(('Companies'!$A$4:$A$63&lt;&gt;"")*(COUNTIFS('Access'!$A$4:$A$1503,A102,'Access'!$F$4:$F$1503,"*"&amp;'Companies'!$A$4:$A$63&amp;"*")&gt;0),'Companies'!$A$4:$A$63,"")))</f>
        <v/>
      </c>
      <c r="J102" s="30">
        <f>IF(A102="","",IF(COUNTIF($A$4:$A$1003,A102)&gt;1,"Duplicate email",IF(ISERROR(FIND("@",A102)),"Not an email address",IF(AND(H102=0,E102=""),"Investor without holders","OK"))))</f>
        <v/>
      </c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30">
        <f>IF(A103="","",COUNTIF('Access'!$A$4:$A$1503,A103))</f>
        <v/>
      </c>
      <c r="I103" s="30">
        <f t="array" ref="I103">IF(A103="","",_xlfn.TEXTJOIN(", ",TRUE,IF(('Companies'!$A$4:$A$63&lt;&gt;"")*(COUNTIFS('Access'!$A$4:$A$1503,A103,'Access'!$F$4:$F$1503,"*"&amp;'Companies'!$A$4:$A$63&amp;"*")&gt;0),'Companies'!$A$4:$A$63,"")))</f>
        <v/>
      </c>
      <c r="J103" s="30">
        <f>IF(A103="","",IF(COUNTIF($A$4:$A$1003,A103)&gt;1,"Duplicate email",IF(ISERROR(FIND("@",A103)),"Not an email address",IF(AND(H103=0,E103=""),"Investor without holders","OK"))))</f>
        <v/>
      </c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30">
        <f>IF(A104="","",COUNTIF('Access'!$A$4:$A$1503,A104))</f>
        <v/>
      </c>
      <c r="I104" s="30">
        <f t="array" ref="I104">IF(A104="","",_xlfn.TEXTJOIN(", ",TRUE,IF(('Companies'!$A$4:$A$63&lt;&gt;"")*(COUNTIFS('Access'!$A$4:$A$1503,A104,'Access'!$F$4:$F$1503,"*"&amp;'Companies'!$A$4:$A$63&amp;"*")&gt;0),'Companies'!$A$4:$A$63,"")))</f>
        <v/>
      </c>
      <c r="J104" s="30">
        <f>IF(A104="","",IF(COUNTIF($A$4:$A$1003,A104)&gt;1,"Duplicate email",IF(ISERROR(FIND("@",A104)),"Not an email address",IF(AND(H104=0,E104=""),"Investor without holders","OK"))))</f>
        <v/>
      </c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30">
        <f>IF(A105="","",COUNTIF('Access'!$A$4:$A$1503,A105))</f>
        <v/>
      </c>
      <c r="I105" s="30">
        <f t="array" ref="I105">IF(A105="","",_xlfn.TEXTJOIN(", ",TRUE,IF(('Companies'!$A$4:$A$63&lt;&gt;"")*(COUNTIFS('Access'!$A$4:$A$1503,A105,'Access'!$F$4:$F$1503,"*"&amp;'Companies'!$A$4:$A$63&amp;"*")&gt;0),'Companies'!$A$4:$A$63,"")))</f>
        <v/>
      </c>
      <c r="J105" s="30">
        <f>IF(A105="","",IF(COUNTIF($A$4:$A$1003,A105)&gt;1,"Duplicate email",IF(ISERROR(FIND("@",A105)),"Not an email address",IF(AND(H105=0,E105=""),"Investor without holders","OK"))))</f>
        <v/>
      </c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30">
        <f>IF(A106="","",COUNTIF('Access'!$A$4:$A$1503,A106))</f>
        <v/>
      </c>
      <c r="I106" s="30">
        <f t="array" ref="I106">IF(A106="","",_xlfn.TEXTJOIN(", ",TRUE,IF(('Companies'!$A$4:$A$63&lt;&gt;"")*(COUNTIFS('Access'!$A$4:$A$1503,A106,'Access'!$F$4:$F$1503,"*"&amp;'Companies'!$A$4:$A$63&amp;"*")&gt;0),'Companies'!$A$4:$A$63,"")))</f>
        <v/>
      </c>
      <c r="J106" s="30">
        <f>IF(A106="","",IF(COUNTIF($A$4:$A$1003,A106)&gt;1,"Duplicate email",IF(ISERROR(FIND("@",A106)),"Not an email address",IF(AND(H106=0,E106=""),"Investor without holders","OK"))))</f>
        <v/>
      </c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30">
        <f>IF(A107="","",COUNTIF('Access'!$A$4:$A$1503,A107))</f>
        <v/>
      </c>
      <c r="I107" s="30">
        <f t="array" ref="I107">IF(A107="","",_xlfn.TEXTJOIN(", ",TRUE,IF(('Companies'!$A$4:$A$63&lt;&gt;"")*(COUNTIFS('Access'!$A$4:$A$1503,A107,'Access'!$F$4:$F$1503,"*"&amp;'Companies'!$A$4:$A$63&amp;"*")&gt;0),'Companies'!$A$4:$A$63,"")))</f>
        <v/>
      </c>
      <c r="J107" s="30">
        <f>IF(A107="","",IF(COUNTIF($A$4:$A$1003,A107)&gt;1,"Duplicate email",IF(ISERROR(FIND("@",A107)),"Not an email address",IF(AND(H107=0,E107=""),"Investor without holders","OK"))))</f>
        <v/>
      </c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30">
        <f>IF(A108="","",COUNTIF('Access'!$A$4:$A$1503,A108))</f>
        <v/>
      </c>
      <c r="I108" s="30">
        <f t="array" ref="I108">IF(A108="","",_xlfn.TEXTJOIN(", ",TRUE,IF(('Companies'!$A$4:$A$63&lt;&gt;"")*(COUNTIFS('Access'!$A$4:$A$1503,A108,'Access'!$F$4:$F$1503,"*"&amp;'Companies'!$A$4:$A$63&amp;"*")&gt;0),'Companies'!$A$4:$A$63,"")))</f>
        <v/>
      </c>
      <c r="J108" s="30">
        <f>IF(A108="","",IF(COUNTIF($A$4:$A$1003,A108)&gt;1,"Duplicate email",IF(ISERROR(FIND("@",A108)),"Not an email address",IF(AND(H108=0,E108=""),"Investor without holders","OK"))))</f>
        <v/>
      </c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30">
        <f>IF(A109="","",COUNTIF('Access'!$A$4:$A$1503,A109))</f>
        <v/>
      </c>
      <c r="I109" s="30">
        <f t="array" ref="I109">IF(A109="","",_xlfn.TEXTJOIN(", ",TRUE,IF(('Companies'!$A$4:$A$63&lt;&gt;"")*(COUNTIFS('Access'!$A$4:$A$1503,A109,'Access'!$F$4:$F$1503,"*"&amp;'Companies'!$A$4:$A$63&amp;"*")&gt;0),'Companies'!$A$4:$A$63,"")))</f>
        <v/>
      </c>
      <c r="J109" s="30">
        <f>IF(A109="","",IF(COUNTIF($A$4:$A$1003,A109)&gt;1,"Duplicate email",IF(ISERROR(FIND("@",A109)),"Not an email address",IF(AND(H109=0,E109=""),"Investor without holders","OK"))))</f>
        <v/>
      </c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30">
        <f>IF(A110="","",COUNTIF('Access'!$A$4:$A$1503,A110))</f>
        <v/>
      </c>
      <c r="I110" s="30">
        <f t="array" ref="I110">IF(A110="","",_xlfn.TEXTJOIN(", ",TRUE,IF(('Companies'!$A$4:$A$63&lt;&gt;"")*(COUNTIFS('Access'!$A$4:$A$1503,A110,'Access'!$F$4:$F$1503,"*"&amp;'Companies'!$A$4:$A$63&amp;"*")&gt;0),'Companies'!$A$4:$A$63,"")))</f>
        <v/>
      </c>
      <c r="J110" s="30">
        <f>IF(A110="","",IF(COUNTIF($A$4:$A$1003,A110)&gt;1,"Duplicate email",IF(ISERROR(FIND("@",A110)),"Not an email address",IF(AND(H110=0,E110=""),"Investor without holders","OK"))))</f>
        <v/>
      </c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30">
        <f>IF(A111="","",COUNTIF('Access'!$A$4:$A$1503,A111))</f>
        <v/>
      </c>
      <c r="I111" s="30">
        <f t="array" ref="I111">IF(A111="","",_xlfn.TEXTJOIN(", ",TRUE,IF(('Companies'!$A$4:$A$63&lt;&gt;"")*(COUNTIFS('Access'!$A$4:$A$1503,A111,'Access'!$F$4:$F$1503,"*"&amp;'Companies'!$A$4:$A$63&amp;"*")&gt;0),'Companies'!$A$4:$A$63,"")))</f>
        <v/>
      </c>
      <c r="J111" s="30">
        <f>IF(A111="","",IF(COUNTIF($A$4:$A$1003,A111)&gt;1,"Duplicate email",IF(ISERROR(FIND("@",A111)),"Not an email address",IF(AND(H111=0,E111=""),"Investor without holders","OK"))))</f>
        <v/>
      </c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30">
        <f>IF(A112="","",COUNTIF('Access'!$A$4:$A$1503,A112))</f>
        <v/>
      </c>
      <c r="I112" s="30">
        <f t="array" ref="I112">IF(A112="","",_xlfn.TEXTJOIN(", ",TRUE,IF(('Companies'!$A$4:$A$63&lt;&gt;"")*(COUNTIFS('Access'!$A$4:$A$1503,A112,'Access'!$F$4:$F$1503,"*"&amp;'Companies'!$A$4:$A$63&amp;"*")&gt;0),'Companies'!$A$4:$A$63,"")))</f>
        <v/>
      </c>
      <c r="J112" s="30">
        <f>IF(A112="","",IF(COUNTIF($A$4:$A$1003,A112)&gt;1,"Duplicate email",IF(ISERROR(FIND("@",A112)),"Not an email address",IF(AND(H112=0,E112=""),"Investor without holders","OK"))))</f>
        <v/>
      </c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30">
        <f>IF(A113="","",COUNTIF('Access'!$A$4:$A$1503,A113))</f>
        <v/>
      </c>
      <c r="I113" s="30">
        <f t="array" ref="I113">IF(A113="","",_xlfn.TEXTJOIN(", ",TRUE,IF(('Companies'!$A$4:$A$63&lt;&gt;"")*(COUNTIFS('Access'!$A$4:$A$1503,A113,'Access'!$F$4:$F$1503,"*"&amp;'Companies'!$A$4:$A$63&amp;"*")&gt;0),'Companies'!$A$4:$A$63,"")))</f>
        <v/>
      </c>
      <c r="J113" s="30">
        <f>IF(A113="","",IF(COUNTIF($A$4:$A$1003,A113)&gt;1,"Duplicate email",IF(ISERROR(FIND("@",A113)),"Not an email address",IF(AND(H113=0,E113=""),"Investor without holders","OK"))))</f>
        <v/>
      </c>
    </row>
    <row r="114">
      <c r="A114" s="26" t="n"/>
      <c r="B114" s="26" t="n"/>
      <c r="C114" s="26" t="n"/>
      <c r="D114" s="26" t="n"/>
      <c r="E114" s="26" t="n"/>
      <c r="F114" s="26" t="n"/>
      <c r="G114" s="26" t="n"/>
      <c r="H114" s="30">
        <f>IF(A114="","",COUNTIF('Access'!$A$4:$A$1503,A114))</f>
        <v/>
      </c>
      <c r="I114" s="30">
        <f t="array" ref="I114">IF(A114="","",_xlfn.TEXTJOIN(", ",TRUE,IF(('Companies'!$A$4:$A$63&lt;&gt;"")*(COUNTIFS('Access'!$A$4:$A$1503,A114,'Access'!$F$4:$F$1503,"*"&amp;'Companies'!$A$4:$A$63&amp;"*")&gt;0),'Companies'!$A$4:$A$63,"")))</f>
        <v/>
      </c>
      <c r="J114" s="30">
        <f>IF(A114="","",IF(COUNTIF($A$4:$A$1003,A114)&gt;1,"Duplicate email",IF(ISERROR(FIND("@",A114)),"Not an email address",IF(AND(H114=0,E114=""),"Investor without holders","OK"))))</f>
        <v/>
      </c>
    </row>
    <row r="115">
      <c r="A115" s="26" t="n"/>
      <c r="B115" s="26" t="n"/>
      <c r="C115" s="26" t="n"/>
      <c r="D115" s="26" t="n"/>
      <c r="E115" s="26" t="n"/>
      <c r="F115" s="26" t="n"/>
      <c r="G115" s="26" t="n"/>
      <c r="H115" s="30">
        <f>IF(A115="","",COUNTIF('Access'!$A$4:$A$1503,A115))</f>
        <v/>
      </c>
      <c r="I115" s="30">
        <f t="array" ref="I115">IF(A115="","",_xlfn.TEXTJOIN(", ",TRUE,IF(('Companies'!$A$4:$A$63&lt;&gt;"")*(COUNTIFS('Access'!$A$4:$A$1503,A115,'Access'!$F$4:$F$1503,"*"&amp;'Companies'!$A$4:$A$63&amp;"*")&gt;0),'Companies'!$A$4:$A$63,"")))</f>
        <v/>
      </c>
      <c r="J115" s="30">
        <f>IF(A115="","",IF(COUNTIF($A$4:$A$1003,A115)&gt;1,"Duplicate email",IF(ISERROR(FIND("@",A115)),"Not an email address",IF(AND(H115=0,E115=""),"Investor without holders","OK"))))</f>
        <v/>
      </c>
    </row>
    <row r="116">
      <c r="A116" s="26" t="n"/>
      <c r="B116" s="26" t="n"/>
      <c r="C116" s="26" t="n"/>
      <c r="D116" s="26" t="n"/>
      <c r="E116" s="26" t="n"/>
      <c r="F116" s="26" t="n"/>
      <c r="G116" s="26" t="n"/>
      <c r="H116" s="30">
        <f>IF(A116="","",COUNTIF('Access'!$A$4:$A$1503,A116))</f>
        <v/>
      </c>
      <c r="I116" s="30">
        <f t="array" ref="I116">IF(A116="","",_xlfn.TEXTJOIN(", ",TRUE,IF(('Companies'!$A$4:$A$63&lt;&gt;"")*(COUNTIFS('Access'!$A$4:$A$1503,A116,'Access'!$F$4:$F$1503,"*"&amp;'Companies'!$A$4:$A$63&amp;"*")&gt;0),'Companies'!$A$4:$A$63,"")))</f>
        <v/>
      </c>
      <c r="J116" s="30">
        <f>IF(A116="","",IF(COUNTIF($A$4:$A$1003,A116)&gt;1,"Duplicate email",IF(ISERROR(FIND("@",A116)),"Not an email address",IF(AND(H116=0,E116=""),"Investor without holders","OK"))))</f>
        <v/>
      </c>
    </row>
    <row r="117">
      <c r="A117" s="26" t="n"/>
      <c r="B117" s="26" t="n"/>
      <c r="C117" s="26" t="n"/>
      <c r="D117" s="26" t="n"/>
      <c r="E117" s="26" t="n"/>
      <c r="F117" s="26" t="n"/>
      <c r="G117" s="26" t="n"/>
      <c r="H117" s="30">
        <f>IF(A117="","",COUNTIF('Access'!$A$4:$A$1503,A117))</f>
        <v/>
      </c>
      <c r="I117" s="30">
        <f t="array" ref="I117">IF(A117="","",_xlfn.TEXTJOIN(", ",TRUE,IF(('Companies'!$A$4:$A$63&lt;&gt;"")*(COUNTIFS('Access'!$A$4:$A$1503,A117,'Access'!$F$4:$F$1503,"*"&amp;'Companies'!$A$4:$A$63&amp;"*")&gt;0),'Companies'!$A$4:$A$63,"")))</f>
        <v/>
      </c>
      <c r="J117" s="30">
        <f>IF(A117="","",IF(COUNTIF($A$4:$A$1003,A117)&gt;1,"Duplicate email",IF(ISERROR(FIND("@",A117)),"Not an email address",IF(AND(H117=0,E117=""),"Investor without holders","OK"))))</f>
        <v/>
      </c>
    </row>
    <row r="118">
      <c r="A118" s="26" t="n"/>
      <c r="B118" s="26" t="n"/>
      <c r="C118" s="26" t="n"/>
      <c r="D118" s="26" t="n"/>
      <c r="E118" s="26" t="n"/>
      <c r="F118" s="26" t="n"/>
      <c r="G118" s="26" t="n"/>
      <c r="H118" s="30">
        <f>IF(A118="","",COUNTIF('Access'!$A$4:$A$1503,A118))</f>
        <v/>
      </c>
      <c r="I118" s="30">
        <f t="array" ref="I118">IF(A118="","",_xlfn.TEXTJOIN(", ",TRUE,IF(('Companies'!$A$4:$A$63&lt;&gt;"")*(COUNTIFS('Access'!$A$4:$A$1503,A118,'Access'!$F$4:$F$1503,"*"&amp;'Companies'!$A$4:$A$63&amp;"*")&gt;0),'Companies'!$A$4:$A$63,"")))</f>
        <v/>
      </c>
      <c r="J118" s="30">
        <f>IF(A118="","",IF(COUNTIF($A$4:$A$1003,A118)&gt;1,"Duplicate email",IF(ISERROR(FIND("@",A118)),"Not an email address",IF(AND(H118=0,E118=""),"Investor without holders","OK"))))</f>
        <v/>
      </c>
    </row>
    <row r="119">
      <c r="A119" s="26" t="n"/>
      <c r="B119" s="26" t="n"/>
      <c r="C119" s="26" t="n"/>
      <c r="D119" s="26" t="n"/>
      <c r="E119" s="26" t="n"/>
      <c r="F119" s="26" t="n"/>
      <c r="G119" s="26" t="n"/>
      <c r="H119" s="30">
        <f>IF(A119="","",COUNTIF('Access'!$A$4:$A$1503,A119))</f>
        <v/>
      </c>
      <c r="I119" s="30">
        <f t="array" ref="I119">IF(A119="","",_xlfn.TEXTJOIN(", ",TRUE,IF(('Companies'!$A$4:$A$63&lt;&gt;"")*(COUNTIFS('Access'!$A$4:$A$1503,A119,'Access'!$F$4:$F$1503,"*"&amp;'Companies'!$A$4:$A$63&amp;"*")&gt;0),'Companies'!$A$4:$A$63,"")))</f>
        <v/>
      </c>
      <c r="J119" s="30">
        <f>IF(A119="","",IF(COUNTIF($A$4:$A$1003,A119)&gt;1,"Duplicate email",IF(ISERROR(FIND("@",A119)),"Not an email address",IF(AND(H119=0,E119=""),"Investor without holders","OK"))))</f>
        <v/>
      </c>
    </row>
    <row r="120">
      <c r="A120" s="26" t="n"/>
      <c r="B120" s="26" t="n"/>
      <c r="C120" s="26" t="n"/>
      <c r="D120" s="26" t="n"/>
      <c r="E120" s="26" t="n"/>
      <c r="F120" s="26" t="n"/>
      <c r="G120" s="26" t="n"/>
      <c r="H120" s="30">
        <f>IF(A120="","",COUNTIF('Access'!$A$4:$A$1503,A120))</f>
        <v/>
      </c>
      <c r="I120" s="30">
        <f t="array" ref="I120">IF(A120="","",_xlfn.TEXTJOIN(", ",TRUE,IF(('Companies'!$A$4:$A$63&lt;&gt;"")*(COUNTIFS('Access'!$A$4:$A$1503,A120,'Access'!$F$4:$F$1503,"*"&amp;'Companies'!$A$4:$A$63&amp;"*")&gt;0),'Companies'!$A$4:$A$63,"")))</f>
        <v/>
      </c>
      <c r="J120" s="30">
        <f>IF(A120="","",IF(COUNTIF($A$4:$A$1003,A120)&gt;1,"Duplicate email",IF(ISERROR(FIND("@",A120)),"Not an email address",IF(AND(H120=0,E120=""),"Investor without holders","OK"))))</f>
        <v/>
      </c>
    </row>
    <row r="121">
      <c r="A121" s="26" t="n"/>
      <c r="B121" s="26" t="n"/>
      <c r="C121" s="26" t="n"/>
      <c r="D121" s="26" t="n"/>
      <c r="E121" s="26" t="n"/>
      <c r="F121" s="26" t="n"/>
      <c r="G121" s="26" t="n"/>
      <c r="H121" s="30">
        <f>IF(A121="","",COUNTIF('Access'!$A$4:$A$1503,A121))</f>
        <v/>
      </c>
      <c r="I121" s="30">
        <f t="array" ref="I121">IF(A121="","",_xlfn.TEXTJOIN(", ",TRUE,IF(('Companies'!$A$4:$A$63&lt;&gt;"")*(COUNTIFS('Access'!$A$4:$A$1503,A121,'Access'!$F$4:$F$1503,"*"&amp;'Companies'!$A$4:$A$63&amp;"*")&gt;0),'Companies'!$A$4:$A$63,"")))</f>
        <v/>
      </c>
      <c r="J121" s="30">
        <f>IF(A121="","",IF(COUNTIF($A$4:$A$1003,A121)&gt;1,"Duplicate email",IF(ISERROR(FIND("@",A121)),"Not an email address",IF(AND(H121=0,E121=""),"Investor without holders","OK"))))</f>
        <v/>
      </c>
    </row>
    <row r="122">
      <c r="A122" s="26" t="n"/>
      <c r="B122" s="26" t="n"/>
      <c r="C122" s="26" t="n"/>
      <c r="D122" s="26" t="n"/>
      <c r="E122" s="26" t="n"/>
      <c r="F122" s="26" t="n"/>
      <c r="G122" s="26" t="n"/>
      <c r="H122" s="30">
        <f>IF(A122="","",COUNTIF('Access'!$A$4:$A$1503,A122))</f>
        <v/>
      </c>
      <c r="I122" s="30">
        <f t="array" ref="I122">IF(A122="","",_xlfn.TEXTJOIN(", ",TRUE,IF(('Companies'!$A$4:$A$63&lt;&gt;"")*(COUNTIFS('Access'!$A$4:$A$1503,A122,'Access'!$F$4:$F$1503,"*"&amp;'Companies'!$A$4:$A$63&amp;"*")&gt;0),'Companies'!$A$4:$A$63,"")))</f>
        <v/>
      </c>
      <c r="J122" s="30">
        <f>IF(A122="","",IF(COUNTIF($A$4:$A$1003,A122)&gt;1,"Duplicate email",IF(ISERROR(FIND("@",A122)),"Not an email address",IF(AND(H122=0,E122=""),"Investor without holders","OK"))))</f>
        <v/>
      </c>
    </row>
    <row r="123">
      <c r="A123" s="26" t="n"/>
      <c r="B123" s="26" t="n"/>
      <c r="C123" s="26" t="n"/>
      <c r="D123" s="26" t="n"/>
      <c r="E123" s="26" t="n"/>
      <c r="F123" s="26" t="n"/>
      <c r="G123" s="26" t="n"/>
      <c r="H123" s="30">
        <f>IF(A123="","",COUNTIF('Access'!$A$4:$A$1503,A123))</f>
        <v/>
      </c>
      <c r="I123" s="30">
        <f t="array" ref="I123">IF(A123="","",_xlfn.TEXTJOIN(", ",TRUE,IF(('Companies'!$A$4:$A$63&lt;&gt;"")*(COUNTIFS('Access'!$A$4:$A$1503,A123,'Access'!$F$4:$F$1503,"*"&amp;'Companies'!$A$4:$A$63&amp;"*")&gt;0),'Companies'!$A$4:$A$63,"")))</f>
        <v/>
      </c>
      <c r="J123" s="30">
        <f>IF(A123="","",IF(COUNTIF($A$4:$A$1003,A123)&gt;1,"Duplicate email",IF(ISERROR(FIND("@",A123)),"Not an email address",IF(AND(H123=0,E123=""),"Investor without holders","OK"))))</f>
        <v/>
      </c>
    </row>
    <row r="124">
      <c r="A124" s="26" t="n"/>
      <c r="B124" s="26" t="n"/>
      <c r="C124" s="26" t="n"/>
      <c r="D124" s="26" t="n"/>
      <c r="E124" s="26" t="n"/>
      <c r="F124" s="26" t="n"/>
      <c r="G124" s="26" t="n"/>
      <c r="H124" s="30">
        <f>IF(A124="","",COUNTIF('Access'!$A$4:$A$1503,A124))</f>
        <v/>
      </c>
      <c r="I124" s="30">
        <f t="array" ref="I124">IF(A124="","",_xlfn.TEXTJOIN(", ",TRUE,IF(('Companies'!$A$4:$A$63&lt;&gt;"")*(COUNTIFS('Access'!$A$4:$A$1503,A124,'Access'!$F$4:$F$1503,"*"&amp;'Companies'!$A$4:$A$63&amp;"*")&gt;0),'Companies'!$A$4:$A$63,"")))</f>
        <v/>
      </c>
      <c r="J124" s="30">
        <f>IF(A124="","",IF(COUNTIF($A$4:$A$1003,A124)&gt;1,"Duplicate email",IF(ISERROR(FIND("@",A124)),"Not an email address",IF(AND(H124=0,E124=""),"Investor without holders","OK"))))</f>
        <v/>
      </c>
    </row>
    <row r="125">
      <c r="A125" s="26" t="n"/>
      <c r="B125" s="26" t="n"/>
      <c r="C125" s="26" t="n"/>
      <c r="D125" s="26" t="n"/>
      <c r="E125" s="26" t="n"/>
      <c r="F125" s="26" t="n"/>
      <c r="G125" s="26" t="n"/>
      <c r="H125" s="30">
        <f>IF(A125="","",COUNTIF('Access'!$A$4:$A$1503,A125))</f>
        <v/>
      </c>
      <c r="I125" s="30">
        <f t="array" ref="I125">IF(A125="","",_xlfn.TEXTJOIN(", ",TRUE,IF(('Companies'!$A$4:$A$63&lt;&gt;"")*(COUNTIFS('Access'!$A$4:$A$1503,A125,'Access'!$F$4:$F$1503,"*"&amp;'Companies'!$A$4:$A$63&amp;"*")&gt;0),'Companies'!$A$4:$A$63,"")))</f>
        <v/>
      </c>
      <c r="J125" s="30">
        <f>IF(A125="","",IF(COUNTIF($A$4:$A$1003,A125)&gt;1,"Duplicate email",IF(ISERROR(FIND("@",A125)),"Not an email address",IF(AND(H125=0,E125=""),"Investor without holders","OK"))))</f>
        <v/>
      </c>
    </row>
    <row r="126">
      <c r="A126" s="26" t="n"/>
      <c r="B126" s="26" t="n"/>
      <c r="C126" s="26" t="n"/>
      <c r="D126" s="26" t="n"/>
      <c r="E126" s="26" t="n"/>
      <c r="F126" s="26" t="n"/>
      <c r="G126" s="26" t="n"/>
      <c r="H126" s="30">
        <f>IF(A126="","",COUNTIF('Access'!$A$4:$A$1503,A126))</f>
        <v/>
      </c>
      <c r="I126" s="30">
        <f t="array" ref="I126">IF(A126="","",_xlfn.TEXTJOIN(", ",TRUE,IF(('Companies'!$A$4:$A$63&lt;&gt;"")*(COUNTIFS('Access'!$A$4:$A$1503,A126,'Access'!$F$4:$F$1503,"*"&amp;'Companies'!$A$4:$A$63&amp;"*")&gt;0),'Companies'!$A$4:$A$63,"")))</f>
        <v/>
      </c>
      <c r="J126" s="30">
        <f>IF(A126="","",IF(COUNTIF($A$4:$A$1003,A126)&gt;1,"Duplicate email",IF(ISERROR(FIND("@",A126)),"Not an email address",IF(AND(H126=0,E126=""),"Investor without holders","OK"))))</f>
        <v/>
      </c>
    </row>
    <row r="127">
      <c r="A127" s="26" t="n"/>
      <c r="B127" s="26" t="n"/>
      <c r="C127" s="26" t="n"/>
      <c r="D127" s="26" t="n"/>
      <c r="E127" s="26" t="n"/>
      <c r="F127" s="26" t="n"/>
      <c r="G127" s="26" t="n"/>
      <c r="H127" s="30">
        <f>IF(A127="","",COUNTIF('Access'!$A$4:$A$1503,A127))</f>
        <v/>
      </c>
      <c r="I127" s="30">
        <f t="array" ref="I127">IF(A127="","",_xlfn.TEXTJOIN(", ",TRUE,IF(('Companies'!$A$4:$A$63&lt;&gt;"")*(COUNTIFS('Access'!$A$4:$A$1503,A127,'Access'!$F$4:$F$1503,"*"&amp;'Companies'!$A$4:$A$63&amp;"*")&gt;0),'Companies'!$A$4:$A$63,"")))</f>
        <v/>
      </c>
      <c r="J127" s="30">
        <f>IF(A127="","",IF(COUNTIF($A$4:$A$1003,A127)&gt;1,"Duplicate email",IF(ISERROR(FIND("@",A127)),"Not an email address",IF(AND(H127=0,E127=""),"Investor without holders","OK"))))</f>
        <v/>
      </c>
    </row>
    <row r="128">
      <c r="A128" s="26" t="n"/>
      <c r="B128" s="26" t="n"/>
      <c r="C128" s="26" t="n"/>
      <c r="D128" s="26" t="n"/>
      <c r="E128" s="26" t="n"/>
      <c r="F128" s="26" t="n"/>
      <c r="G128" s="26" t="n"/>
      <c r="H128" s="30">
        <f>IF(A128="","",COUNTIF('Access'!$A$4:$A$1503,A128))</f>
        <v/>
      </c>
      <c r="I128" s="30">
        <f t="array" ref="I128">IF(A128="","",_xlfn.TEXTJOIN(", ",TRUE,IF(('Companies'!$A$4:$A$63&lt;&gt;"")*(COUNTIFS('Access'!$A$4:$A$1503,A128,'Access'!$F$4:$F$1503,"*"&amp;'Companies'!$A$4:$A$63&amp;"*")&gt;0),'Companies'!$A$4:$A$63,"")))</f>
        <v/>
      </c>
      <c r="J128" s="30">
        <f>IF(A128="","",IF(COUNTIF($A$4:$A$1003,A128)&gt;1,"Duplicate email",IF(ISERROR(FIND("@",A128)),"Not an email address",IF(AND(H128=0,E128=""),"Investor without holders","OK"))))</f>
        <v/>
      </c>
    </row>
    <row r="129">
      <c r="A129" s="26" t="n"/>
      <c r="B129" s="26" t="n"/>
      <c r="C129" s="26" t="n"/>
      <c r="D129" s="26" t="n"/>
      <c r="E129" s="26" t="n"/>
      <c r="F129" s="26" t="n"/>
      <c r="G129" s="26" t="n"/>
      <c r="H129" s="30">
        <f>IF(A129="","",COUNTIF('Access'!$A$4:$A$1503,A129))</f>
        <v/>
      </c>
      <c r="I129" s="30">
        <f t="array" ref="I129">IF(A129="","",_xlfn.TEXTJOIN(", ",TRUE,IF(('Companies'!$A$4:$A$63&lt;&gt;"")*(COUNTIFS('Access'!$A$4:$A$1503,A129,'Access'!$F$4:$F$1503,"*"&amp;'Companies'!$A$4:$A$63&amp;"*")&gt;0),'Companies'!$A$4:$A$63,"")))</f>
        <v/>
      </c>
      <c r="J129" s="30">
        <f>IF(A129="","",IF(COUNTIF($A$4:$A$1003,A129)&gt;1,"Duplicate email",IF(ISERROR(FIND("@",A129)),"Not an email address",IF(AND(H129=0,E129=""),"Investor without holders","OK"))))</f>
        <v/>
      </c>
    </row>
    <row r="130">
      <c r="A130" s="26" t="n"/>
      <c r="B130" s="26" t="n"/>
      <c r="C130" s="26" t="n"/>
      <c r="D130" s="26" t="n"/>
      <c r="E130" s="26" t="n"/>
      <c r="F130" s="26" t="n"/>
      <c r="G130" s="26" t="n"/>
      <c r="H130" s="30">
        <f>IF(A130="","",COUNTIF('Access'!$A$4:$A$1503,A130))</f>
        <v/>
      </c>
      <c r="I130" s="30">
        <f t="array" ref="I130">IF(A130="","",_xlfn.TEXTJOIN(", ",TRUE,IF(('Companies'!$A$4:$A$63&lt;&gt;"")*(COUNTIFS('Access'!$A$4:$A$1503,A130,'Access'!$F$4:$F$1503,"*"&amp;'Companies'!$A$4:$A$63&amp;"*")&gt;0),'Companies'!$A$4:$A$63,"")))</f>
        <v/>
      </c>
      <c r="J130" s="30">
        <f>IF(A130="","",IF(COUNTIF($A$4:$A$1003,A130)&gt;1,"Duplicate email",IF(ISERROR(FIND("@",A130)),"Not an email address",IF(AND(H130=0,E130=""),"Investor without holders","OK"))))</f>
        <v/>
      </c>
    </row>
    <row r="131">
      <c r="A131" s="26" t="n"/>
      <c r="B131" s="26" t="n"/>
      <c r="C131" s="26" t="n"/>
      <c r="D131" s="26" t="n"/>
      <c r="E131" s="26" t="n"/>
      <c r="F131" s="26" t="n"/>
      <c r="G131" s="26" t="n"/>
      <c r="H131" s="30">
        <f>IF(A131="","",COUNTIF('Access'!$A$4:$A$1503,A131))</f>
        <v/>
      </c>
      <c r="I131" s="30">
        <f t="array" ref="I131">IF(A131="","",_xlfn.TEXTJOIN(", ",TRUE,IF(('Companies'!$A$4:$A$63&lt;&gt;"")*(COUNTIFS('Access'!$A$4:$A$1503,A131,'Access'!$F$4:$F$1503,"*"&amp;'Companies'!$A$4:$A$63&amp;"*")&gt;0),'Companies'!$A$4:$A$63,"")))</f>
        <v/>
      </c>
      <c r="J131" s="30">
        <f>IF(A131="","",IF(COUNTIF($A$4:$A$1003,A131)&gt;1,"Duplicate email",IF(ISERROR(FIND("@",A131)),"Not an email address",IF(AND(H131=0,E131=""),"Investor without holders","OK"))))</f>
        <v/>
      </c>
    </row>
    <row r="132">
      <c r="A132" s="26" t="n"/>
      <c r="B132" s="26" t="n"/>
      <c r="C132" s="26" t="n"/>
      <c r="D132" s="26" t="n"/>
      <c r="E132" s="26" t="n"/>
      <c r="F132" s="26" t="n"/>
      <c r="G132" s="26" t="n"/>
      <c r="H132" s="30">
        <f>IF(A132="","",COUNTIF('Access'!$A$4:$A$1503,A132))</f>
        <v/>
      </c>
      <c r="I132" s="30">
        <f t="array" ref="I132">IF(A132="","",_xlfn.TEXTJOIN(", ",TRUE,IF(('Companies'!$A$4:$A$63&lt;&gt;"")*(COUNTIFS('Access'!$A$4:$A$1503,A132,'Access'!$F$4:$F$1503,"*"&amp;'Companies'!$A$4:$A$63&amp;"*")&gt;0),'Companies'!$A$4:$A$63,"")))</f>
        <v/>
      </c>
      <c r="J132" s="30">
        <f>IF(A132="","",IF(COUNTIF($A$4:$A$1003,A132)&gt;1,"Duplicate email",IF(ISERROR(FIND("@",A132)),"Not an email address",IF(AND(H132=0,E132=""),"Investor without holders","OK"))))</f>
        <v/>
      </c>
    </row>
    <row r="133">
      <c r="A133" s="26" t="n"/>
      <c r="B133" s="26" t="n"/>
      <c r="C133" s="26" t="n"/>
      <c r="D133" s="26" t="n"/>
      <c r="E133" s="26" t="n"/>
      <c r="F133" s="26" t="n"/>
      <c r="G133" s="26" t="n"/>
      <c r="H133" s="30">
        <f>IF(A133="","",COUNTIF('Access'!$A$4:$A$1503,A133))</f>
        <v/>
      </c>
      <c r="I133" s="30">
        <f t="array" ref="I133">IF(A133="","",_xlfn.TEXTJOIN(", ",TRUE,IF(('Companies'!$A$4:$A$63&lt;&gt;"")*(COUNTIFS('Access'!$A$4:$A$1503,A133,'Access'!$F$4:$F$1503,"*"&amp;'Companies'!$A$4:$A$63&amp;"*")&gt;0),'Companies'!$A$4:$A$63,"")))</f>
        <v/>
      </c>
      <c r="J133" s="30">
        <f>IF(A133="","",IF(COUNTIF($A$4:$A$1003,A133)&gt;1,"Duplicate email",IF(ISERROR(FIND("@",A133)),"Not an email address",IF(AND(H133=0,E133=""),"Investor without holders","OK"))))</f>
        <v/>
      </c>
    </row>
    <row r="134">
      <c r="A134" s="26" t="n"/>
      <c r="B134" s="26" t="n"/>
      <c r="C134" s="26" t="n"/>
      <c r="D134" s="26" t="n"/>
      <c r="E134" s="26" t="n"/>
      <c r="F134" s="26" t="n"/>
      <c r="G134" s="26" t="n"/>
      <c r="H134" s="30">
        <f>IF(A134="","",COUNTIF('Access'!$A$4:$A$1503,A134))</f>
        <v/>
      </c>
      <c r="I134" s="30">
        <f t="array" ref="I134">IF(A134="","",_xlfn.TEXTJOIN(", ",TRUE,IF(('Companies'!$A$4:$A$63&lt;&gt;"")*(COUNTIFS('Access'!$A$4:$A$1503,A134,'Access'!$F$4:$F$1503,"*"&amp;'Companies'!$A$4:$A$63&amp;"*")&gt;0),'Companies'!$A$4:$A$63,"")))</f>
        <v/>
      </c>
      <c r="J134" s="30">
        <f>IF(A134="","",IF(COUNTIF($A$4:$A$1003,A134)&gt;1,"Duplicate email",IF(ISERROR(FIND("@",A134)),"Not an email address",IF(AND(H134=0,E134=""),"Investor without holders","OK"))))</f>
        <v/>
      </c>
    </row>
    <row r="135">
      <c r="A135" s="26" t="n"/>
      <c r="B135" s="26" t="n"/>
      <c r="C135" s="26" t="n"/>
      <c r="D135" s="26" t="n"/>
      <c r="E135" s="26" t="n"/>
      <c r="F135" s="26" t="n"/>
      <c r="G135" s="26" t="n"/>
      <c r="H135" s="30">
        <f>IF(A135="","",COUNTIF('Access'!$A$4:$A$1503,A135))</f>
        <v/>
      </c>
      <c r="I135" s="30">
        <f t="array" ref="I135">IF(A135="","",_xlfn.TEXTJOIN(", ",TRUE,IF(('Companies'!$A$4:$A$63&lt;&gt;"")*(COUNTIFS('Access'!$A$4:$A$1503,A135,'Access'!$F$4:$F$1503,"*"&amp;'Companies'!$A$4:$A$63&amp;"*")&gt;0),'Companies'!$A$4:$A$63,"")))</f>
        <v/>
      </c>
      <c r="J135" s="30">
        <f>IF(A135="","",IF(COUNTIF($A$4:$A$1003,A135)&gt;1,"Duplicate email",IF(ISERROR(FIND("@",A135)),"Not an email address",IF(AND(H135=0,E135=""),"Investor without holders","OK"))))</f>
        <v/>
      </c>
    </row>
    <row r="136">
      <c r="A136" s="26" t="n"/>
      <c r="B136" s="26" t="n"/>
      <c r="C136" s="26" t="n"/>
      <c r="D136" s="26" t="n"/>
      <c r="E136" s="26" t="n"/>
      <c r="F136" s="26" t="n"/>
      <c r="G136" s="26" t="n"/>
      <c r="H136" s="30">
        <f>IF(A136="","",COUNTIF('Access'!$A$4:$A$1503,A136))</f>
        <v/>
      </c>
      <c r="I136" s="30">
        <f t="array" ref="I136">IF(A136="","",_xlfn.TEXTJOIN(", ",TRUE,IF(('Companies'!$A$4:$A$63&lt;&gt;"")*(COUNTIFS('Access'!$A$4:$A$1503,A136,'Access'!$F$4:$F$1503,"*"&amp;'Companies'!$A$4:$A$63&amp;"*")&gt;0),'Companies'!$A$4:$A$63,"")))</f>
        <v/>
      </c>
      <c r="J136" s="30">
        <f>IF(A136="","",IF(COUNTIF($A$4:$A$1003,A136)&gt;1,"Duplicate email",IF(ISERROR(FIND("@",A136)),"Not an email address",IF(AND(H136=0,E136=""),"Investor without holders","OK"))))</f>
        <v/>
      </c>
    </row>
    <row r="137">
      <c r="A137" s="26" t="n"/>
      <c r="B137" s="26" t="n"/>
      <c r="C137" s="26" t="n"/>
      <c r="D137" s="26" t="n"/>
      <c r="E137" s="26" t="n"/>
      <c r="F137" s="26" t="n"/>
      <c r="G137" s="26" t="n"/>
      <c r="H137" s="30">
        <f>IF(A137="","",COUNTIF('Access'!$A$4:$A$1503,A137))</f>
        <v/>
      </c>
      <c r="I137" s="30">
        <f t="array" ref="I137">IF(A137="","",_xlfn.TEXTJOIN(", ",TRUE,IF(('Companies'!$A$4:$A$63&lt;&gt;"")*(COUNTIFS('Access'!$A$4:$A$1503,A137,'Access'!$F$4:$F$1503,"*"&amp;'Companies'!$A$4:$A$63&amp;"*")&gt;0),'Companies'!$A$4:$A$63,"")))</f>
        <v/>
      </c>
      <c r="J137" s="30">
        <f>IF(A137="","",IF(COUNTIF($A$4:$A$1003,A137)&gt;1,"Duplicate email",IF(ISERROR(FIND("@",A137)),"Not an email address",IF(AND(H137=0,E137=""),"Investor without holders","OK"))))</f>
        <v/>
      </c>
    </row>
    <row r="138">
      <c r="A138" s="26" t="n"/>
      <c r="B138" s="26" t="n"/>
      <c r="C138" s="26" t="n"/>
      <c r="D138" s="26" t="n"/>
      <c r="E138" s="26" t="n"/>
      <c r="F138" s="26" t="n"/>
      <c r="G138" s="26" t="n"/>
      <c r="H138" s="30">
        <f>IF(A138="","",COUNTIF('Access'!$A$4:$A$1503,A138))</f>
        <v/>
      </c>
      <c r="I138" s="30">
        <f t="array" ref="I138">IF(A138="","",_xlfn.TEXTJOIN(", ",TRUE,IF(('Companies'!$A$4:$A$63&lt;&gt;"")*(COUNTIFS('Access'!$A$4:$A$1503,A138,'Access'!$F$4:$F$1503,"*"&amp;'Companies'!$A$4:$A$63&amp;"*")&gt;0),'Companies'!$A$4:$A$63,"")))</f>
        <v/>
      </c>
      <c r="J138" s="30">
        <f>IF(A138="","",IF(COUNTIF($A$4:$A$1003,A138)&gt;1,"Duplicate email",IF(ISERROR(FIND("@",A138)),"Not an email address",IF(AND(H138=0,E138=""),"Investor without holders","OK"))))</f>
        <v/>
      </c>
    </row>
    <row r="139">
      <c r="A139" s="26" t="n"/>
      <c r="B139" s="26" t="n"/>
      <c r="C139" s="26" t="n"/>
      <c r="D139" s="26" t="n"/>
      <c r="E139" s="26" t="n"/>
      <c r="F139" s="26" t="n"/>
      <c r="G139" s="26" t="n"/>
      <c r="H139" s="30">
        <f>IF(A139="","",COUNTIF('Access'!$A$4:$A$1503,A139))</f>
        <v/>
      </c>
      <c r="I139" s="30">
        <f t="array" ref="I139">IF(A139="","",_xlfn.TEXTJOIN(", ",TRUE,IF(('Companies'!$A$4:$A$63&lt;&gt;"")*(COUNTIFS('Access'!$A$4:$A$1503,A139,'Access'!$F$4:$F$1503,"*"&amp;'Companies'!$A$4:$A$63&amp;"*")&gt;0),'Companies'!$A$4:$A$63,"")))</f>
        <v/>
      </c>
      <c r="J139" s="30">
        <f>IF(A139="","",IF(COUNTIF($A$4:$A$1003,A139)&gt;1,"Duplicate email",IF(ISERROR(FIND("@",A139)),"Not an email address",IF(AND(H139=0,E139=""),"Investor without holders","OK"))))</f>
        <v/>
      </c>
    </row>
    <row r="140">
      <c r="A140" s="26" t="n"/>
      <c r="B140" s="26" t="n"/>
      <c r="C140" s="26" t="n"/>
      <c r="D140" s="26" t="n"/>
      <c r="E140" s="26" t="n"/>
      <c r="F140" s="26" t="n"/>
      <c r="G140" s="26" t="n"/>
      <c r="H140" s="30">
        <f>IF(A140="","",COUNTIF('Access'!$A$4:$A$1503,A140))</f>
        <v/>
      </c>
      <c r="I140" s="30">
        <f t="array" ref="I140">IF(A140="","",_xlfn.TEXTJOIN(", ",TRUE,IF(('Companies'!$A$4:$A$63&lt;&gt;"")*(COUNTIFS('Access'!$A$4:$A$1503,A140,'Access'!$F$4:$F$1503,"*"&amp;'Companies'!$A$4:$A$63&amp;"*")&gt;0),'Companies'!$A$4:$A$63,"")))</f>
        <v/>
      </c>
      <c r="J140" s="30">
        <f>IF(A140="","",IF(COUNTIF($A$4:$A$1003,A140)&gt;1,"Duplicate email",IF(ISERROR(FIND("@",A140)),"Not an email address",IF(AND(H140=0,E140=""),"Investor without holders","OK"))))</f>
        <v/>
      </c>
    </row>
    <row r="141">
      <c r="A141" s="26" t="n"/>
      <c r="B141" s="26" t="n"/>
      <c r="C141" s="26" t="n"/>
      <c r="D141" s="26" t="n"/>
      <c r="E141" s="26" t="n"/>
      <c r="F141" s="26" t="n"/>
      <c r="G141" s="26" t="n"/>
      <c r="H141" s="30">
        <f>IF(A141="","",COUNTIF('Access'!$A$4:$A$1503,A141))</f>
        <v/>
      </c>
      <c r="I141" s="30">
        <f t="array" ref="I141">IF(A141="","",_xlfn.TEXTJOIN(", ",TRUE,IF(('Companies'!$A$4:$A$63&lt;&gt;"")*(COUNTIFS('Access'!$A$4:$A$1503,A141,'Access'!$F$4:$F$1503,"*"&amp;'Companies'!$A$4:$A$63&amp;"*")&gt;0),'Companies'!$A$4:$A$63,"")))</f>
        <v/>
      </c>
      <c r="J141" s="30">
        <f>IF(A141="","",IF(COUNTIF($A$4:$A$1003,A141)&gt;1,"Duplicate email",IF(ISERROR(FIND("@",A141)),"Not an email address",IF(AND(H141=0,E141=""),"Investor without holders","OK"))))</f>
        <v/>
      </c>
    </row>
    <row r="142">
      <c r="A142" s="26" t="n"/>
      <c r="B142" s="26" t="n"/>
      <c r="C142" s="26" t="n"/>
      <c r="D142" s="26" t="n"/>
      <c r="E142" s="26" t="n"/>
      <c r="F142" s="26" t="n"/>
      <c r="G142" s="26" t="n"/>
      <c r="H142" s="30">
        <f>IF(A142="","",COUNTIF('Access'!$A$4:$A$1503,A142))</f>
        <v/>
      </c>
      <c r="I142" s="30">
        <f t="array" ref="I142">IF(A142="","",_xlfn.TEXTJOIN(", ",TRUE,IF(('Companies'!$A$4:$A$63&lt;&gt;"")*(COUNTIFS('Access'!$A$4:$A$1503,A142,'Access'!$F$4:$F$1503,"*"&amp;'Companies'!$A$4:$A$63&amp;"*")&gt;0),'Companies'!$A$4:$A$63,"")))</f>
        <v/>
      </c>
      <c r="J142" s="30">
        <f>IF(A142="","",IF(COUNTIF($A$4:$A$1003,A142)&gt;1,"Duplicate email",IF(ISERROR(FIND("@",A142)),"Not an email address",IF(AND(H142=0,E142=""),"Investor without holders","OK"))))</f>
        <v/>
      </c>
    </row>
    <row r="143">
      <c r="A143" s="26" t="n"/>
      <c r="B143" s="26" t="n"/>
      <c r="C143" s="26" t="n"/>
      <c r="D143" s="26" t="n"/>
      <c r="E143" s="26" t="n"/>
      <c r="F143" s="26" t="n"/>
      <c r="G143" s="26" t="n"/>
      <c r="H143" s="30">
        <f>IF(A143="","",COUNTIF('Access'!$A$4:$A$1503,A143))</f>
        <v/>
      </c>
      <c r="I143" s="30">
        <f t="array" ref="I143">IF(A143="","",_xlfn.TEXTJOIN(", ",TRUE,IF(('Companies'!$A$4:$A$63&lt;&gt;"")*(COUNTIFS('Access'!$A$4:$A$1503,A143,'Access'!$F$4:$F$1503,"*"&amp;'Companies'!$A$4:$A$63&amp;"*")&gt;0),'Companies'!$A$4:$A$63,"")))</f>
        <v/>
      </c>
      <c r="J143" s="30">
        <f>IF(A143="","",IF(COUNTIF($A$4:$A$1003,A143)&gt;1,"Duplicate email",IF(ISERROR(FIND("@",A143)),"Not an email address",IF(AND(H143=0,E143=""),"Investor without holders","OK"))))</f>
        <v/>
      </c>
    </row>
    <row r="144">
      <c r="A144" s="26" t="n"/>
      <c r="B144" s="26" t="n"/>
      <c r="C144" s="26" t="n"/>
      <c r="D144" s="26" t="n"/>
      <c r="E144" s="26" t="n"/>
      <c r="F144" s="26" t="n"/>
      <c r="G144" s="26" t="n"/>
      <c r="H144" s="30">
        <f>IF(A144="","",COUNTIF('Access'!$A$4:$A$1503,A144))</f>
        <v/>
      </c>
      <c r="I144" s="30">
        <f t="array" ref="I144">IF(A144="","",_xlfn.TEXTJOIN(", ",TRUE,IF(('Companies'!$A$4:$A$63&lt;&gt;"")*(COUNTIFS('Access'!$A$4:$A$1503,A144,'Access'!$F$4:$F$1503,"*"&amp;'Companies'!$A$4:$A$63&amp;"*")&gt;0),'Companies'!$A$4:$A$63,"")))</f>
        <v/>
      </c>
      <c r="J144" s="30">
        <f>IF(A144="","",IF(COUNTIF($A$4:$A$1003,A144)&gt;1,"Duplicate email",IF(ISERROR(FIND("@",A144)),"Not an email address",IF(AND(H144=0,E144=""),"Investor without holders","OK"))))</f>
        <v/>
      </c>
    </row>
    <row r="145">
      <c r="A145" s="26" t="n"/>
      <c r="B145" s="26" t="n"/>
      <c r="C145" s="26" t="n"/>
      <c r="D145" s="26" t="n"/>
      <c r="E145" s="26" t="n"/>
      <c r="F145" s="26" t="n"/>
      <c r="G145" s="26" t="n"/>
      <c r="H145" s="30">
        <f>IF(A145="","",COUNTIF('Access'!$A$4:$A$1503,A145))</f>
        <v/>
      </c>
      <c r="I145" s="30">
        <f t="array" ref="I145">IF(A145="","",_xlfn.TEXTJOIN(", ",TRUE,IF(('Companies'!$A$4:$A$63&lt;&gt;"")*(COUNTIFS('Access'!$A$4:$A$1503,A145,'Access'!$F$4:$F$1503,"*"&amp;'Companies'!$A$4:$A$63&amp;"*")&gt;0),'Companies'!$A$4:$A$63,"")))</f>
        <v/>
      </c>
      <c r="J145" s="30">
        <f>IF(A145="","",IF(COUNTIF($A$4:$A$1003,A145)&gt;1,"Duplicate email",IF(ISERROR(FIND("@",A145)),"Not an email address",IF(AND(H145=0,E145=""),"Investor without holders","OK"))))</f>
        <v/>
      </c>
    </row>
    <row r="146">
      <c r="A146" s="26" t="n"/>
      <c r="B146" s="26" t="n"/>
      <c r="C146" s="26" t="n"/>
      <c r="D146" s="26" t="n"/>
      <c r="E146" s="26" t="n"/>
      <c r="F146" s="26" t="n"/>
      <c r="G146" s="26" t="n"/>
      <c r="H146" s="30">
        <f>IF(A146="","",COUNTIF('Access'!$A$4:$A$1503,A146))</f>
        <v/>
      </c>
      <c r="I146" s="30">
        <f t="array" ref="I146">IF(A146="","",_xlfn.TEXTJOIN(", ",TRUE,IF(('Companies'!$A$4:$A$63&lt;&gt;"")*(COUNTIFS('Access'!$A$4:$A$1503,A146,'Access'!$F$4:$F$1503,"*"&amp;'Companies'!$A$4:$A$63&amp;"*")&gt;0),'Companies'!$A$4:$A$63,"")))</f>
        <v/>
      </c>
      <c r="J146" s="30">
        <f>IF(A146="","",IF(COUNTIF($A$4:$A$1003,A146)&gt;1,"Duplicate email",IF(ISERROR(FIND("@",A146)),"Not an email address",IF(AND(H146=0,E146=""),"Investor without holders","OK"))))</f>
        <v/>
      </c>
    </row>
    <row r="147">
      <c r="A147" s="26" t="n"/>
      <c r="B147" s="26" t="n"/>
      <c r="C147" s="26" t="n"/>
      <c r="D147" s="26" t="n"/>
      <c r="E147" s="26" t="n"/>
      <c r="F147" s="26" t="n"/>
      <c r="G147" s="26" t="n"/>
      <c r="H147" s="30">
        <f>IF(A147="","",COUNTIF('Access'!$A$4:$A$1503,A147))</f>
        <v/>
      </c>
      <c r="I147" s="30">
        <f t="array" ref="I147">IF(A147="","",_xlfn.TEXTJOIN(", ",TRUE,IF(('Companies'!$A$4:$A$63&lt;&gt;"")*(COUNTIFS('Access'!$A$4:$A$1503,A147,'Access'!$F$4:$F$1503,"*"&amp;'Companies'!$A$4:$A$63&amp;"*")&gt;0),'Companies'!$A$4:$A$63,"")))</f>
        <v/>
      </c>
      <c r="J147" s="30">
        <f>IF(A147="","",IF(COUNTIF($A$4:$A$1003,A147)&gt;1,"Duplicate email",IF(ISERROR(FIND("@",A147)),"Not an email address",IF(AND(H147=0,E147=""),"Investor without holders","OK"))))</f>
        <v/>
      </c>
    </row>
    <row r="148">
      <c r="A148" s="26" t="n"/>
      <c r="B148" s="26" t="n"/>
      <c r="C148" s="26" t="n"/>
      <c r="D148" s="26" t="n"/>
      <c r="E148" s="26" t="n"/>
      <c r="F148" s="26" t="n"/>
      <c r="G148" s="26" t="n"/>
      <c r="H148" s="30">
        <f>IF(A148="","",COUNTIF('Access'!$A$4:$A$1503,A148))</f>
        <v/>
      </c>
      <c r="I148" s="30">
        <f t="array" ref="I148">IF(A148="","",_xlfn.TEXTJOIN(", ",TRUE,IF(('Companies'!$A$4:$A$63&lt;&gt;"")*(COUNTIFS('Access'!$A$4:$A$1503,A148,'Access'!$F$4:$F$1503,"*"&amp;'Companies'!$A$4:$A$63&amp;"*")&gt;0),'Companies'!$A$4:$A$63,"")))</f>
        <v/>
      </c>
      <c r="J148" s="30">
        <f>IF(A148="","",IF(COUNTIF($A$4:$A$1003,A148)&gt;1,"Duplicate email",IF(ISERROR(FIND("@",A148)),"Not an email address",IF(AND(H148=0,E148=""),"Investor without holders","OK"))))</f>
        <v/>
      </c>
    </row>
    <row r="149">
      <c r="A149" s="26" t="n"/>
      <c r="B149" s="26" t="n"/>
      <c r="C149" s="26" t="n"/>
      <c r="D149" s="26" t="n"/>
      <c r="E149" s="26" t="n"/>
      <c r="F149" s="26" t="n"/>
      <c r="G149" s="26" t="n"/>
      <c r="H149" s="30">
        <f>IF(A149="","",COUNTIF('Access'!$A$4:$A$1503,A149))</f>
        <v/>
      </c>
      <c r="I149" s="30">
        <f t="array" ref="I149">IF(A149="","",_xlfn.TEXTJOIN(", ",TRUE,IF(('Companies'!$A$4:$A$63&lt;&gt;"")*(COUNTIFS('Access'!$A$4:$A$1503,A149,'Access'!$F$4:$F$1503,"*"&amp;'Companies'!$A$4:$A$63&amp;"*")&gt;0),'Companies'!$A$4:$A$63,"")))</f>
        <v/>
      </c>
      <c r="J149" s="30">
        <f>IF(A149="","",IF(COUNTIF($A$4:$A$1003,A149)&gt;1,"Duplicate email",IF(ISERROR(FIND("@",A149)),"Not an email address",IF(AND(H149=0,E149=""),"Investor without holders","OK"))))</f>
        <v/>
      </c>
    </row>
    <row r="150">
      <c r="A150" s="26" t="n"/>
      <c r="B150" s="26" t="n"/>
      <c r="C150" s="26" t="n"/>
      <c r="D150" s="26" t="n"/>
      <c r="E150" s="26" t="n"/>
      <c r="F150" s="26" t="n"/>
      <c r="G150" s="26" t="n"/>
      <c r="H150" s="30">
        <f>IF(A150="","",COUNTIF('Access'!$A$4:$A$1503,A150))</f>
        <v/>
      </c>
      <c r="I150" s="30">
        <f t="array" ref="I150">IF(A150="","",_xlfn.TEXTJOIN(", ",TRUE,IF(('Companies'!$A$4:$A$63&lt;&gt;"")*(COUNTIFS('Access'!$A$4:$A$1503,A150,'Access'!$F$4:$F$1503,"*"&amp;'Companies'!$A$4:$A$63&amp;"*")&gt;0),'Companies'!$A$4:$A$63,"")))</f>
        <v/>
      </c>
      <c r="J150" s="30">
        <f>IF(A150="","",IF(COUNTIF($A$4:$A$1003,A150)&gt;1,"Duplicate email",IF(ISERROR(FIND("@",A150)),"Not an email address",IF(AND(H150=0,E150=""),"Investor without holders","OK"))))</f>
        <v/>
      </c>
    </row>
    <row r="151">
      <c r="A151" s="26" t="n"/>
      <c r="B151" s="26" t="n"/>
      <c r="C151" s="26" t="n"/>
      <c r="D151" s="26" t="n"/>
      <c r="E151" s="26" t="n"/>
      <c r="F151" s="26" t="n"/>
      <c r="G151" s="26" t="n"/>
      <c r="H151" s="30">
        <f>IF(A151="","",COUNTIF('Access'!$A$4:$A$1503,A151))</f>
        <v/>
      </c>
      <c r="I151" s="30">
        <f t="array" ref="I151">IF(A151="","",_xlfn.TEXTJOIN(", ",TRUE,IF(('Companies'!$A$4:$A$63&lt;&gt;"")*(COUNTIFS('Access'!$A$4:$A$1503,A151,'Access'!$F$4:$F$1503,"*"&amp;'Companies'!$A$4:$A$63&amp;"*")&gt;0),'Companies'!$A$4:$A$63,"")))</f>
        <v/>
      </c>
      <c r="J151" s="30">
        <f>IF(A151="","",IF(COUNTIF($A$4:$A$1003,A151)&gt;1,"Duplicate email",IF(ISERROR(FIND("@",A151)),"Not an email address",IF(AND(H151=0,E151=""),"Investor without holders","OK"))))</f>
        <v/>
      </c>
    </row>
    <row r="152">
      <c r="A152" s="26" t="n"/>
      <c r="B152" s="26" t="n"/>
      <c r="C152" s="26" t="n"/>
      <c r="D152" s="26" t="n"/>
      <c r="E152" s="26" t="n"/>
      <c r="F152" s="26" t="n"/>
      <c r="G152" s="26" t="n"/>
      <c r="H152" s="30">
        <f>IF(A152="","",COUNTIF('Access'!$A$4:$A$1503,A152))</f>
        <v/>
      </c>
      <c r="I152" s="30">
        <f t="array" ref="I152">IF(A152="","",_xlfn.TEXTJOIN(", ",TRUE,IF(('Companies'!$A$4:$A$63&lt;&gt;"")*(COUNTIFS('Access'!$A$4:$A$1503,A152,'Access'!$F$4:$F$1503,"*"&amp;'Companies'!$A$4:$A$63&amp;"*")&gt;0),'Companies'!$A$4:$A$63,"")))</f>
        <v/>
      </c>
      <c r="J152" s="30">
        <f>IF(A152="","",IF(COUNTIF($A$4:$A$1003,A152)&gt;1,"Duplicate email",IF(ISERROR(FIND("@",A152)),"Not an email address",IF(AND(H152=0,E152=""),"Investor without holders","OK"))))</f>
        <v/>
      </c>
    </row>
    <row r="153">
      <c r="A153" s="26" t="n"/>
      <c r="B153" s="26" t="n"/>
      <c r="C153" s="26" t="n"/>
      <c r="D153" s="26" t="n"/>
      <c r="E153" s="26" t="n"/>
      <c r="F153" s="26" t="n"/>
      <c r="G153" s="26" t="n"/>
      <c r="H153" s="30">
        <f>IF(A153="","",COUNTIF('Access'!$A$4:$A$1503,A153))</f>
        <v/>
      </c>
      <c r="I153" s="30">
        <f t="array" ref="I153">IF(A153="","",_xlfn.TEXTJOIN(", ",TRUE,IF(('Companies'!$A$4:$A$63&lt;&gt;"")*(COUNTIFS('Access'!$A$4:$A$1503,A153,'Access'!$F$4:$F$1503,"*"&amp;'Companies'!$A$4:$A$63&amp;"*")&gt;0),'Companies'!$A$4:$A$63,"")))</f>
        <v/>
      </c>
      <c r="J153" s="30">
        <f>IF(A153="","",IF(COUNTIF($A$4:$A$1003,A153)&gt;1,"Duplicate email",IF(ISERROR(FIND("@",A153)),"Not an email address",IF(AND(H153=0,E153=""),"Investor without holders","OK"))))</f>
        <v/>
      </c>
    </row>
    <row r="154">
      <c r="A154" s="26" t="n"/>
      <c r="B154" s="26" t="n"/>
      <c r="C154" s="26" t="n"/>
      <c r="D154" s="26" t="n"/>
      <c r="E154" s="26" t="n"/>
      <c r="F154" s="26" t="n"/>
      <c r="G154" s="26" t="n"/>
      <c r="H154" s="30">
        <f>IF(A154="","",COUNTIF('Access'!$A$4:$A$1503,A154))</f>
        <v/>
      </c>
      <c r="I154" s="30">
        <f t="array" ref="I154">IF(A154="","",_xlfn.TEXTJOIN(", ",TRUE,IF(('Companies'!$A$4:$A$63&lt;&gt;"")*(COUNTIFS('Access'!$A$4:$A$1503,A154,'Access'!$F$4:$F$1503,"*"&amp;'Companies'!$A$4:$A$63&amp;"*")&gt;0),'Companies'!$A$4:$A$63,"")))</f>
        <v/>
      </c>
      <c r="J154" s="30">
        <f>IF(A154="","",IF(COUNTIF($A$4:$A$1003,A154)&gt;1,"Duplicate email",IF(ISERROR(FIND("@",A154)),"Not an email address",IF(AND(H154=0,E154=""),"Investor without holders","OK"))))</f>
        <v/>
      </c>
    </row>
    <row r="155">
      <c r="A155" s="26" t="n"/>
      <c r="B155" s="26" t="n"/>
      <c r="C155" s="26" t="n"/>
      <c r="D155" s="26" t="n"/>
      <c r="E155" s="26" t="n"/>
      <c r="F155" s="26" t="n"/>
      <c r="G155" s="26" t="n"/>
      <c r="H155" s="30">
        <f>IF(A155="","",COUNTIF('Access'!$A$4:$A$1503,A155))</f>
        <v/>
      </c>
      <c r="I155" s="30">
        <f t="array" ref="I155">IF(A155="","",_xlfn.TEXTJOIN(", ",TRUE,IF(('Companies'!$A$4:$A$63&lt;&gt;"")*(COUNTIFS('Access'!$A$4:$A$1503,A155,'Access'!$F$4:$F$1503,"*"&amp;'Companies'!$A$4:$A$63&amp;"*")&gt;0),'Companies'!$A$4:$A$63,"")))</f>
        <v/>
      </c>
      <c r="J155" s="30">
        <f>IF(A155="","",IF(COUNTIF($A$4:$A$1003,A155)&gt;1,"Duplicate email",IF(ISERROR(FIND("@",A155)),"Not an email address",IF(AND(H155=0,E155=""),"Investor without holders","OK"))))</f>
        <v/>
      </c>
    </row>
    <row r="156">
      <c r="A156" s="26" t="n"/>
      <c r="B156" s="26" t="n"/>
      <c r="C156" s="26" t="n"/>
      <c r="D156" s="26" t="n"/>
      <c r="E156" s="26" t="n"/>
      <c r="F156" s="26" t="n"/>
      <c r="G156" s="26" t="n"/>
      <c r="H156" s="30">
        <f>IF(A156="","",COUNTIF('Access'!$A$4:$A$1503,A156))</f>
        <v/>
      </c>
      <c r="I156" s="30">
        <f t="array" ref="I156">IF(A156="","",_xlfn.TEXTJOIN(", ",TRUE,IF(('Companies'!$A$4:$A$63&lt;&gt;"")*(COUNTIFS('Access'!$A$4:$A$1503,A156,'Access'!$F$4:$F$1503,"*"&amp;'Companies'!$A$4:$A$63&amp;"*")&gt;0),'Companies'!$A$4:$A$63,"")))</f>
        <v/>
      </c>
      <c r="J156" s="30">
        <f>IF(A156="","",IF(COUNTIF($A$4:$A$1003,A156)&gt;1,"Duplicate email",IF(ISERROR(FIND("@",A156)),"Not an email address",IF(AND(H156=0,E156=""),"Investor without holders","OK"))))</f>
        <v/>
      </c>
    </row>
    <row r="157">
      <c r="A157" s="26" t="n"/>
      <c r="B157" s="26" t="n"/>
      <c r="C157" s="26" t="n"/>
      <c r="D157" s="26" t="n"/>
      <c r="E157" s="26" t="n"/>
      <c r="F157" s="26" t="n"/>
      <c r="G157" s="26" t="n"/>
      <c r="H157" s="30">
        <f>IF(A157="","",COUNTIF('Access'!$A$4:$A$1503,A157))</f>
        <v/>
      </c>
      <c r="I157" s="30">
        <f t="array" ref="I157">IF(A157="","",_xlfn.TEXTJOIN(", ",TRUE,IF(('Companies'!$A$4:$A$63&lt;&gt;"")*(COUNTIFS('Access'!$A$4:$A$1503,A157,'Access'!$F$4:$F$1503,"*"&amp;'Companies'!$A$4:$A$63&amp;"*")&gt;0),'Companies'!$A$4:$A$63,"")))</f>
        <v/>
      </c>
      <c r="J157" s="30">
        <f>IF(A157="","",IF(COUNTIF($A$4:$A$1003,A157)&gt;1,"Duplicate email",IF(ISERROR(FIND("@",A157)),"Not an email address",IF(AND(H157=0,E157=""),"Investor without holders","OK"))))</f>
        <v/>
      </c>
    </row>
    <row r="158">
      <c r="A158" s="26" t="n"/>
      <c r="B158" s="26" t="n"/>
      <c r="C158" s="26" t="n"/>
      <c r="D158" s="26" t="n"/>
      <c r="E158" s="26" t="n"/>
      <c r="F158" s="26" t="n"/>
      <c r="G158" s="26" t="n"/>
      <c r="H158" s="30">
        <f>IF(A158="","",COUNTIF('Access'!$A$4:$A$1503,A158))</f>
        <v/>
      </c>
      <c r="I158" s="30">
        <f t="array" ref="I158">IF(A158="","",_xlfn.TEXTJOIN(", ",TRUE,IF(('Companies'!$A$4:$A$63&lt;&gt;"")*(COUNTIFS('Access'!$A$4:$A$1503,A158,'Access'!$F$4:$F$1503,"*"&amp;'Companies'!$A$4:$A$63&amp;"*")&gt;0),'Companies'!$A$4:$A$63,"")))</f>
        <v/>
      </c>
      <c r="J158" s="30">
        <f>IF(A158="","",IF(COUNTIF($A$4:$A$1003,A158)&gt;1,"Duplicate email",IF(ISERROR(FIND("@",A158)),"Not an email address",IF(AND(H158=0,E158=""),"Investor without holders","OK"))))</f>
        <v/>
      </c>
    </row>
    <row r="159">
      <c r="A159" s="26" t="n"/>
      <c r="B159" s="26" t="n"/>
      <c r="C159" s="26" t="n"/>
      <c r="D159" s="26" t="n"/>
      <c r="E159" s="26" t="n"/>
      <c r="F159" s="26" t="n"/>
      <c r="G159" s="26" t="n"/>
      <c r="H159" s="30">
        <f>IF(A159="","",COUNTIF('Access'!$A$4:$A$1503,A159))</f>
        <v/>
      </c>
      <c r="I159" s="30">
        <f t="array" ref="I159">IF(A159="","",_xlfn.TEXTJOIN(", ",TRUE,IF(('Companies'!$A$4:$A$63&lt;&gt;"")*(COUNTIFS('Access'!$A$4:$A$1503,A159,'Access'!$F$4:$F$1503,"*"&amp;'Companies'!$A$4:$A$63&amp;"*")&gt;0),'Companies'!$A$4:$A$63,"")))</f>
        <v/>
      </c>
      <c r="J159" s="30">
        <f>IF(A159="","",IF(COUNTIF($A$4:$A$1003,A159)&gt;1,"Duplicate email",IF(ISERROR(FIND("@",A159)),"Not an email address",IF(AND(H159=0,E159=""),"Investor without holders","OK"))))</f>
        <v/>
      </c>
    </row>
    <row r="160">
      <c r="A160" s="26" t="n"/>
      <c r="B160" s="26" t="n"/>
      <c r="C160" s="26" t="n"/>
      <c r="D160" s="26" t="n"/>
      <c r="E160" s="26" t="n"/>
      <c r="F160" s="26" t="n"/>
      <c r="G160" s="26" t="n"/>
      <c r="H160" s="30">
        <f>IF(A160="","",COUNTIF('Access'!$A$4:$A$1503,A160))</f>
        <v/>
      </c>
      <c r="I160" s="30">
        <f t="array" ref="I160">IF(A160="","",_xlfn.TEXTJOIN(", ",TRUE,IF(('Companies'!$A$4:$A$63&lt;&gt;"")*(COUNTIFS('Access'!$A$4:$A$1503,A160,'Access'!$F$4:$F$1503,"*"&amp;'Companies'!$A$4:$A$63&amp;"*")&gt;0),'Companies'!$A$4:$A$63,"")))</f>
        <v/>
      </c>
      <c r="J160" s="30">
        <f>IF(A160="","",IF(COUNTIF($A$4:$A$1003,A160)&gt;1,"Duplicate email",IF(ISERROR(FIND("@",A160)),"Not an email address",IF(AND(H160=0,E160=""),"Investor without holders","OK"))))</f>
        <v/>
      </c>
    </row>
    <row r="161">
      <c r="A161" s="26" t="n"/>
      <c r="B161" s="26" t="n"/>
      <c r="C161" s="26" t="n"/>
      <c r="D161" s="26" t="n"/>
      <c r="E161" s="26" t="n"/>
      <c r="F161" s="26" t="n"/>
      <c r="G161" s="26" t="n"/>
      <c r="H161" s="30">
        <f>IF(A161="","",COUNTIF('Access'!$A$4:$A$1503,A161))</f>
        <v/>
      </c>
      <c r="I161" s="30">
        <f t="array" ref="I161">IF(A161="","",_xlfn.TEXTJOIN(", ",TRUE,IF(('Companies'!$A$4:$A$63&lt;&gt;"")*(COUNTIFS('Access'!$A$4:$A$1503,A161,'Access'!$F$4:$F$1503,"*"&amp;'Companies'!$A$4:$A$63&amp;"*")&gt;0),'Companies'!$A$4:$A$63,"")))</f>
        <v/>
      </c>
      <c r="J161" s="30">
        <f>IF(A161="","",IF(COUNTIF($A$4:$A$1003,A161)&gt;1,"Duplicate email",IF(ISERROR(FIND("@",A161)),"Not an email address",IF(AND(H161=0,E161=""),"Investor without holders","OK"))))</f>
        <v/>
      </c>
    </row>
    <row r="162">
      <c r="A162" s="26" t="n"/>
      <c r="B162" s="26" t="n"/>
      <c r="C162" s="26" t="n"/>
      <c r="D162" s="26" t="n"/>
      <c r="E162" s="26" t="n"/>
      <c r="F162" s="26" t="n"/>
      <c r="G162" s="26" t="n"/>
      <c r="H162" s="30">
        <f>IF(A162="","",COUNTIF('Access'!$A$4:$A$1503,A162))</f>
        <v/>
      </c>
      <c r="I162" s="30">
        <f t="array" ref="I162">IF(A162="","",_xlfn.TEXTJOIN(", ",TRUE,IF(('Companies'!$A$4:$A$63&lt;&gt;"")*(COUNTIFS('Access'!$A$4:$A$1503,A162,'Access'!$F$4:$F$1503,"*"&amp;'Companies'!$A$4:$A$63&amp;"*")&gt;0),'Companies'!$A$4:$A$63,"")))</f>
        <v/>
      </c>
      <c r="J162" s="30">
        <f>IF(A162="","",IF(COUNTIF($A$4:$A$1003,A162)&gt;1,"Duplicate email",IF(ISERROR(FIND("@",A162)),"Not an email address",IF(AND(H162=0,E162=""),"Investor without holders","OK"))))</f>
        <v/>
      </c>
    </row>
    <row r="163">
      <c r="A163" s="26" t="n"/>
      <c r="B163" s="26" t="n"/>
      <c r="C163" s="26" t="n"/>
      <c r="D163" s="26" t="n"/>
      <c r="E163" s="26" t="n"/>
      <c r="F163" s="26" t="n"/>
      <c r="G163" s="26" t="n"/>
      <c r="H163" s="30">
        <f>IF(A163="","",COUNTIF('Access'!$A$4:$A$1503,A163))</f>
        <v/>
      </c>
      <c r="I163" s="30">
        <f t="array" ref="I163">IF(A163="","",_xlfn.TEXTJOIN(", ",TRUE,IF(('Companies'!$A$4:$A$63&lt;&gt;"")*(COUNTIFS('Access'!$A$4:$A$1503,A163,'Access'!$F$4:$F$1503,"*"&amp;'Companies'!$A$4:$A$63&amp;"*")&gt;0),'Companies'!$A$4:$A$63,"")))</f>
        <v/>
      </c>
      <c r="J163" s="30">
        <f>IF(A163="","",IF(COUNTIF($A$4:$A$1003,A163)&gt;1,"Duplicate email",IF(ISERROR(FIND("@",A163)),"Not an email address",IF(AND(H163=0,E163=""),"Investor without holders","OK"))))</f>
        <v/>
      </c>
    </row>
    <row r="164">
      <c r="A164" s="26" t="n"/>
      <c r="B164" s="26" t="n"/>
      <c r="C164" s="26" t="n"/>
      <c r="D164" s="26" t="n"/>
      <c r="E164" s="26" t="n"/>
      <c r="F164" s="26" t="n"/>
      <c r="G164" s="26" t="n"/>
      <c r="H164" s="30">
        <f>IF(A164="","",COUNTIF('Access'!$A$4:$A$1503,A164))</f>
        <v/>
      </c>
      <c r="I164" s="30">
        <f t="array" ref="I164">IF(A164="","",_xlfn.TEXTJOIN(", ",TRUE,IF(('Companies'!$A$4:$A$63&lt;&gt;"")*(COUNTIFS('Access'!$A$4:$A$1503,A164,'Access'!$F$4:$F$1503,"*"&amp;'Companies'!$A$4:$A$63&amp;"*")&gt;0),'Companies'!$A$4:$A$63,"")))</f>
        <v/>
      </c>
      <c r="J164" s="30">
        <f>IF(A164="","",IF(COUNTIF($A$4:$A$1003,A164)&gt;1,"Duplicate email",IF(ISERROR(FIND("@",A164)),"Not an email address",IF(AND(H164=0,E164=""),"Investor without holders","OK"))))</f>
        <v/>
      </c>
    </row>
    <row r="165">
      <c r="A165" s="26" t="n"/>
      <c r="B165" s="26" t="n"/>
      <c r="C165" s="26" t="n"/>
      <c r="D165" s="26" t="n"/>
      <c r="E165" s="26" t="n"/>
      <c r="F165" s="26" t="n"/>
      <c r="G165" s="26" t="n"/>
      <c r="H165" s="30">
        <f>IF(A165="","",COUNTIF('Access'!$A$4:$A$1503,A165))</f>
        <v/>
      </c>
      <c r="I165" s="30">
        <f t="array" ref="I165">IF(A165="","",_xlfn.TEXTJOIN(", ",TRUE,IF(('Companies'!$A$4:$A$63&lt;&gt;"")*(COUNTIFS('Access'!$A$4:$A$1503,A165,'Access'!$F$4:$F$1503,"*"&amp;'Companies'!$A$4:$A$63&amp;"*")&gt;0),'Companies'!$A$4:$A$63,"")))</f>
        <v/>
      </c>
      <c r="J165" s="30">
        <f>IF(A165="","",IF(COUNTIF($A$4:$A$1003,A165)&gt;1,"Duplicate email",IF(ISERROR(FIND("@",A165)),"Not an email address",IF(AND(H165=0,E165=""),"Investor without holders","OK"))))</f>
        <v/>
      </c>
    </row>
    <row r="166">
      <c r="A166" s="26" t="n"/>
      <c r="B166" s="26" t="n"/>
      <c r="C166" s="26" t="n"/>
      <c r="D166" s="26" t="n"/>
      <c r="E166" s="26" t="n"/>
      <c r="F166" s="26" t="n"/>
      <c r="G166" s="26" t="n"/>
      <c r="H166" s="30">
        <f>IF(A166="","",COUNTIF('Access'!$A$4:$A$1503,A166))</f>
        <v/>
      </c>
      <c r="I166" s="30">
        <f t="array" ref="I166">IF(A166="","",_xlfn.TEXTJOIN(", ",TRUE,IF(('Companies'!$A$4:$A$63&lt;&gt;"")*(COUNTIFS('Access'!$A$4:$A$1503,A166,'Access'!$F$4:$F$1503,"*"&amp;'Companies'!$A$4:$A$63&amp;"*")&gt;0),'Companies'!$A$4:$A$63,"")))</f>
        <v/>
      </c>
      <c r="J166" s="30">
        <f>IF(A166="","",IF(COUNTIF($A$4:$A$1003,A166)&gt;1,"Duplicate email",IF(ISERROR(FIND("@",A166)),"Not an email address",IF(AND(H166=0,E166=""),"Investor without holders","OK"))))</f>
        <v/>
      </c>
    </row>
    <row r="167">
      <c r="A167" s="26" t="n"/>
      <c r="B167" s="26" t="n"/>
      <c r="C167" s="26" t="n"/>
      <c r="D167" s="26" t="n"/>
      <c r="E167" s="26" t="n"/>
      <c r="F167" s="26" t="n"/>
      <c r="G167" s="26" t="n"/>
      <c r="H167" s="30">
        <f>IF(A167="","",COUNTIF('Access'!$A$4:$A$1503,A167))</f>
        <v/>
      </c>
      <c r="I167" s="30">
        <f t="array" ref="I167">IF(A167="","",_xlfn.TEXTJOIN(", ",TRUE,IF(('Companies'!$A$4:$A$63&lt;&gt;"")*(COUNTIFS('Access'!$A$4:$A$1503,A167,'Access'!$F$4:$F$1503,"*"&amp;'Companies'!$A$4:$A$63&amp;"*")&gt;0),'Companies'!$A$4:$A$63,"")))</f>
        <v/>
      </c>
      <c r="J167" s="30">
        <f>IF(A167="","",IF(COUNTIF($A$4:$A$1003,A167)&gt;1,"Duplicate email",IF(ISERROR(FIND("@",A167)),"Not an email address",IF(AND(H167=0,E167=""),"Investor without holders","OK"))))</f>
        <v/>
      </c>
    </row>
    <row r="168">
      <c r="A168" s="26" t="n"/>
      <c r="B168" s="26" t="n"/>
      <c r="C168" s="26" t="n"/>
      <c r="D168" s="26" t="n"/>
      <c r="E168" s="26" t="n"/>
      <c r="F168" s="26" t="n"/>
      <c r="G168" s="26" t="n"/>
      <c r="H168" s="30">
        <f>IF(A168="","",COUNTIF('Access'!$A$4:$A$1503,A168))</f>
        <v/>
      </c>
      <c r="I168" s="30">
        <f t="array" ref="I168">IF(A168="","",_xlfn.TEXTJOIN(", ",TRUE,IF(('Companies'!$A$4:$A$63&lt;&gt;"")*(COUNTIFS('Access'!$A$4:$A$1503,A168,'Access'!$F$4:$F$1503,"*"&amp;'Companies'!$A$4:$A$63&amp;"*")&gt;0),'Companies'!$A$4:$A$63,"")))</f>
        <v/>
      </c>
      <c r="J168" s="30">
        <f>IF(A168="","",IF(COUNTIF($A$4:$A$1003,A168)&gt;1,"Duplicate email",IF(ISERROR(FIND("@",A168)),"Not an email address",IF(AND(H168=0,E168=""),"Investor without holders","OK"))))</f>
        <v/>
      </c>
    </row>
    <row r="169">
      <c r="A169" s="26" t="n"/>
      <c r="B169" s="26" t="n"/>
      <c r="C169" s="26" t="n"/>
      <c r="D169" s="26" t="n"/>
      <c r="E169" s="26" t="n"/>
      <c r="F169" s="26" t="n"/>
      <c r="G169" s="26" t="n"/>
      <c r="H169" s="30">
        <f>IF(A169="","",COUNTIF('Access'!$A$4:$A$1503,A169))</f>
        <v/>
      </c>
      <c r="I169" s="30">
        <f t="array" ref="I169">IF(A169="","",_xlfn.TEXTJOIN(", ",TRUE,IF(('Companies'!$A$4:$A$63&lt;&gt;"")*(COUNTIFS('Access'!$A$4:$A$1503,A169,'Access'!$F$4:$F$1503,"*"&amp;'Companies'!$A$4:$A$63&amp;"*")&gt;0),'Companies'!$A$4:$A$63,"")))</f>
        <v/>
      </c>
      <c r="J169" s="30">
        <f>IF(A169="","",IF(COUNTIF($A$4:$A$1003,A169)&gt;1,"Duplicate email",IF(ISERROR(FIND("@",A169)),"Not an email address",IF(AND(H169=0,E169=""),"Investor without holders","OK"))))</f>
        <v/>
      </c>
    </row>
    <row r="170">
      <c r="A170" s="26" t="n"/>
      <c r="B170" s="26" t="n"/>
      <c r="C170" s="26" t="n"/>
      <c r="D170" s="26" t="n"/>
      <c r="E170" s="26" t="n"/>
      <c r="F170" s="26" t="n"/>
      <c r="G170" s="26" t="n"/>
      <c r="H170" s="30">
        <f>IF(A170="","",COUNTIF('Access'!$A$4:$A$1503,A170))</f>
        <v/>
      </c>
      <c r="I170" s="30">
        <f t="array" ref="I170">IF(A170="","",_xlfn.TEXTJOIN(", ",TRUE,IF(('Companies'!$A$4:$A$63&lt;&gt;"")*(COUNTIFS('Access'!$A$4:$A$1503,A170,'Access'!$F$4:$F$1503,"*"&amp;'Companies'!$A$4:$A$63&amp;"*")&gt;0),'Companies'!$A$4:$A$63,"")))</f>
        <v/>
      </c>
      <c r="J170" s="30">
        <f>IF(A170="","",IF(COUNTIF($A$4:$A$1003,A170)&gt;1,"Duplicate email",IF(ISERROR(FIND("@",A170)),"Not an email address",IF(AND(H170=0,E170=""),"Investor without holders","OK"))))</f>
        <v/>
      </c>
    </row>
    <row r="171">
      <c r="A171" s="26" t="n"/>
      <c r="B171" s="26" t="n"/>
      <c r="C171" s="26" t="n"/>
      <c r="D171" s="26" t="n"/>
      <c r="E171" s="26" t="n"/>
      <c r="F171" s="26" t="n"/>
      <c r="G171" s="26" t="n"/>
      <c r="H171" s="30">
        <f>IF(A171="","",COUNTIF('Access'!$A$4:$A$1503,A171))</f>
        <v/>
      </c>
      <c r="I171" s="30">
        <f t="array" ref="I171">IF(A171="","",_xlfn.TEXTJOIN(", ",TRUE,IF(('Companies'!$A$4:$A$63&lt;&gt;"")*(COUNTIFS('Access'!$A$4:$A$1503,A171,'Access'!$F$4:$F$1503,"*"&amp;'Companies'!$A$4:$A$63&amp;"*")&gt;0),'Companies'!$A$4:$A$63,"")))</f>
        <v/>
      </c>
      <c r="J171" s="30">
        <f>IF(A171="","",IF(COUNTIF($A$4:$A$1003,A171)&gt;1,"Duplicate email",IF(ISERROR(FIND("@",A171)),"Not an email address",IF(AND(H171=0,E171=""),"Investor without holders","OK"))))</f>
        <v/>
      </c>
    </row>
    <row r="172">
      <c r="A172" s="26" t="n"/>
      <c r="B172" s="26" t="n"/>
      <c r="C172" s="26" t="n"/>
      <c r="D172" s="26" t="n"/>
      <c r="E172" s="26" t="n"/>
      <c r="F172" s="26" t="n"/>
      <c r="G172" s="26" t="n"/>
      <c r="H172" s="30">
        <f>IF(A172="","",COUNTIF('Access'!$A$4:$A$1503,A172))</f>
        <v/>
      </c>
      <c r="I172" s="30">
        <f t="array" ref="I172">IF(A172="","",_xlfn.TEXTJOIN(", ",TRUE,IF(('Companies'!$A$4:$A$63&lt;&gt;"")*(COUNTIFS('Access'!$A$4:$A$1503,A172,'Access'!$F$4:$F$1503,"*"&amp;'Companies'!$A$4:$A$63&amp;"*")&gt;0),'Companies'!$A$4:$A$63,"")))</f>
        <v/>
      </c>
      <c r="J172" s="30">
        <f>IF(A172="","",IF(COUNTIF($A$4:$A$1003,A172)&gt;1,"Duplicate email",IF(ISERROR(FIND("@",A172)),"Not an email address",IF(AND(H172=0,E172=""),"Investor without holders","OK"))))</f>
        <v/>
      </c>
    </row>
    <row r="173">
      <c r="A173" s="26" t="n"/>
      <c r="B173" s="26" t="n"/>
      <c r="C173" s="26" t="n"/>
      <c r="D173" s="26" t="n"/>
      <c r="E173" s="26" t="n"/>
      <c r="F173" s="26" t="n"/>
      <c r="G173" s="26" t="n"/>
      <c r="H173" s="30">
        <f>IF(A173="","",COUNTIF('Access'!$A$4:$A$1503,A173))</f>
        <v/>
      </c>
      <c r="I173" s="30">
        <f t="array" ref="I173">IF(A173="","",_xlfn.TEXTJOIN(", ",TRUE,IF(('Companies'!$A$4:$A$63&lt;&gt;"")*(COUNTIFS('Access'!$A$4:$A$1503,A173,'Access'!$F$4:$F$1503,"*"&amp;'Companies'!$A$4:$A$63&amp;"*")&gt;0),'Companies'!$A$4:$A$63,"")))</f>
        <v/>
      </c>
      <c r="J173" s="30">
        <f>IF(A173="","",IF(COUNTIF($A$4:$A$1003,A173)&gt;1,"Duplicate email",IF(ISERROR(FIND("@",A173)),"Not an email address",IF(AND(H173=0,E173=""),"Investor without holders","OK"))))</f>
        <v/>
      </c>
    </row>
    <row r="174">
      <c r="A174" s="26" t="n"/>
      <c r="B174" s="26" t="n"/>
      <c r="C174" s="26" t="n"/>
      <c r="D174" s="26" t="n"/>
      <c r="E174" s="26" t="n"/>
      <c r="F174" s="26" t="n"/>
      <c r="G174" s="26" t="n"/>
      <c r="H174" s="30">
        <f>IF(A174="","",COUNTIF('Access'!$A$4:$A$1503,A174))</f>
        <v/>
      </c>
      <c r="I174" s="30">
        <f t="array" ref="I174">IF(A174="","",_xlfn.TEXTJOIN(", ",TRUE,IF(('Companies'!$A$4:$A$63&lt;&gt;"")*(COUNTIFS('Access'!$A$4:$A$1503,A174,'Access'!$F$4:$F$1503,"*"&amp;'Companies'!$A$4:$A$63&amp;"*")&gt;0),'Companies'!$A$4:$A$63,"")))</f>
        <v/>
      </c>
      <c r="J174" s="30">
        <f>IF(A174="","",IF(COUNTIF($A$4:$A$1003,A174)&gt;1,"Duplicate email",IF(ISERROR(FIND("@",A174)),"Not an email address",IF(AND(H174=0,E174=""),"Investor without holders","OK"))))</f>
        <v/>
      </c>
    </row>
    <row r="175">
      <c r="A175" s="26" t="n"/>
      <c r="B175" s="26" t="n"/>
      <c r="C175" s="26" t="n"/>
      <c r="D175" s="26" t="n"/>
      <c r="E175" s="26" t="n"/>
      <c r="F175" s="26" t="n"/>
      <c r="G175" s="26" t="n"/>
      <c r="H175" s="30">
        <f>IF(A175="","",COUNTIF('Access'!$A$4:$A$1503,A175))</f>
        <v/>
      </c>
      <c r="I175" s="30">
        <f t="array" ref="I175">IF(A175="","",_xlfn.TEXTJOIN(", ",TRUE,IF(('Companies'!$A$4:$A$63&lt;&gt;"")*(COUNTIFS('Access'!$A$4:$A$1503,A175,'Access'!$F$4:$F$1503,"*"&amp;'Companies'!$A$4:$A$63&amp;"*")&gt;0),'Companies'!$A$4:$A$63,"")))</f>
        <v/>
      </c>
      <c r="J175" s="30">
        <f>IF(A175="","",IF(COUNTIF($A$4:$A$1003,A175)&gt;1,"Duplicate email",IF(ISERROR(FIND("@",A175)),"Not an email address",IF(AND(H175=0,E175=""),"Investor without holders","OK"))))</f>
        <v/>
      </c>
    </row>
    <row r="176">
      <c r="A176" s="26" t="n"/>
      <c r="B176" s="26" t="n"/>
      <c r="C176" s="26" t="n"/>
      <c r="D176" s="26" t="n"/>
      <c r="E176" s="26" t="n"/>
      <c r="F176" s="26" t="n"/>
      <c r="G176" s="26" t="n"/>
      <c r="H176" s="30">
        <f>IF(A176="","",COUNTIF('Access'!$A$4:$A$1503,A176))</f>
        <v/>
      </c>
      <c r="I176" s="30">
        <f t="array" ref="I176">IF(A176="","",_xlfn.TEXTJOIN(", ",TRUE,IF(('Companies'!$A$4:$A$63&lt;&gt;"")*(COUNTIFS('Access'!$A$4:$A$1503,A176,'Access'!$F$4:$F$1503,"*"&amp;'Companies'!$A$4:$A$63&amp;"*")&gt;0),'Companies'!$A$4:$A$63,"")))</f>
        <v/>
      </c>
      <c r="J176" s="30">
        <f>IF(A176="","",IF(COUNTIF($A$4:$A$1003,A176)&gt;1,"Duplicate email",IF(ISERROR(FIND("@",A176)),"Not an email address",IF(AND(H176=0,E176=""),"Investor without holders","OK"))))</f>
        <v/>
      </c>
    </row>
    <row r="177">
      <c r="A177" s="26" t="n"/>
      <c r="B177" s="26" t="n"/>
      <c r="C177" s="26" t="n"/>
      <c r="D177" s="26" t="n"/>
      <c r="E177" s="26" t="n"/>
      <c r="F177" s="26" t="n"/>
      <c r="G177" s="26" t="n"/>
      <c r="H177" s="30">
        <f>IF(A177="","",COUNTIF('Access'!$A$4:$A$1503,A177))</f>
        <v/>
      </c>
      <c r="I177" s="30">
        <f t="array" ref="I177">IF(A177="","",_xlfn.TEXTJOIN(", ",TRUE,IF(('Companies'!$A$4:$A$63&lt;&gt;"")*(COUNTIFS('Access'!$A$4:$A$1503,A177,'Access'!$F$4:$F$1503,"*"&amp;'Companies'!$A$4:$A$63&amp;"*")&gt;0),'Companies'!$A$4:$A$63,"")))</f>
        <v/>
      </c>
      <c r="J177" s="30">
        <f>IF(A177="","",IF(COUNTIF($A$4:$A$1003,A177)&gt;1,"Duplicate email",IF(ISERROR(FIND("@",A177)),"Not an email address",IF(AND(H177=0,E177=""),"Investor without holders","OK"))))</f>
        <v/>
      </c>
    </row>
    <row r="178">
      <c r="A178" s="26" t="n"/>
      <c r="B178" s="26" t="n"/>
      <c r="C178" s="26" t="n"/>
      <c r="D178" s="26" t="n"/>
      <c r="E178" s="26" t="n"/>
      <c r="F178" s="26" t="n"/>
      <c r="G178" s="26" t="n"/>
      <c r="H178" s="30">
        <f>IF(A178="","",COUNTIF('Access'!$A$4:$A$1503,A178))</f>
        <v/>
      </c>
      <c r="I178" s="30">
        <f t="array" ref="I178">IF(A178="","",_xlfn.TEXTJOIN(", ",TRUE,IF(('Companies'!$A$4:$A$63&lt;&gt;"")*(COUNTIFS('Access'!$A$4:$A$1503,A178,'Access'!$F$4:$F$1503,"*"&amp;'Companies'!$A$4:$A$63&amp;"*")&gt;0),'Companies'!$A$4:$A$63,"")))</f>
        <v/>
      </c>
      <c r="J178" s="30">
        <f>IF(A178="","",IF(COUNTIF($A$4:$A$1003,A178)&gt;1,"Duplicate email",IF(ISERROR(FIND("@",A178)),"Not an email address",IF(AND(H178=0,E178=""),"Investor without holders","OK"))))</f>
        <v/>
      </c>
    </row>
    <row r="179">
      <c r="A179" s="26" t="n"/>
      <c r="B179" s="26" t="n"/>
      <c r="C179" s="26" t="n"/>
      <c r="D179" s="26" t="n"/>
      <c r="E179" s="26" t="n"/>
      <c r="F179" s="26" t="n"/>
      <c r="G179" s="26" t="n"/>
      <c r="H179" s="30">
        <f>IF(A179="","",COUNTIF('Access'!$A$4:$A$1503,A179))</f>
        <v/>
      </c>
      <c r="I179" s="30">
        <f t="array" ref="I179">IF(A179="","",_xlfn.TEXTJOIN(", ",TRUE,IF(('Companies'!$A$4:$A$63&lt;&gt;"")*(COUNTIFS('Access'!$A$4:$A$1503,A179,'Access'!$F$4:$F$1503,"*"&amp;'Companies'!$A$4:$A$63&amp;"*")&gt;0),'Companies'!$A$4:$A$63,"")))</f>
        <v/>
      </c>
      <c r="J179" s="30">
        <f>IF(A179="","",IF(COUNTIF($A$4:$A$1003,A179)&gt;1,"Duplicate email",IF(ISERROR(FIND("@",A179)),"Not an email address",IF(AND(H179=0,E179=""),"Investor without holders","OK"))))</f>
        <v/>
      </c>
    </row>
    <row r="180">
      <c r="A180" s="26" t="n"/>
      <c r="B180" s="26" t="n"/>
      <c r="C180" s="26" t="n"/>
      <c r="D180" s="26" t="n"/>
      <c r="E180" s="26" t="n"/>
      <c r="F180" s="26" t="n"/>
      <c r="G180" s="26" t="n"/>
      <c r="H180" s="30">
        <f>IF(A180="","",COUNTIF('Access'!$A$4:$A$1503,A180))</f>
        <v/>
      </c>
      <c r="I180" s="30">
        <f t="array" ref="I180">IF(A180="","",_xlfn.TEXTJOIN(", ",TRUE,IF(('Companies'!$A$4:$A$63&lt;&gt;"")*(COUNTIFS('Access'!$A$4:$A$1503,A180,'Access'!$F$4:$F$1503,"*"&amp;'Companies'!$A$4:$A$63&amp;"*")&gt;0),'Companies'!$A$4:$A$63,"")))</f>
        <v/>
      </c>
      <c r="J180" s="30">
        <f>IF(A180="","",IF(COUNTIF($A$4:$A$1003,A180)&gt;1,"Duplicate email",IF(ISERROR(FIND("@",A180)),"Not an email address",IF(AND(H180=0,E180=""),"Investor without holders","OK"))))</f>
        <v/>
      </c>
    </row>
    <row r="181">
      <c r="A181" s="26" t="n"/>
      <c r="B181" s="26" t="n"/>
      <c r="C181" s="26" t="n"/>
      <c r="D181" s="26" t="n"/>
      <c r="E181" s="26" t="n"/>
      <c r="F181" s="26" t="n"/>
      <c r="G181" s="26" t="n"/>
      <c r="H181" s="30">
        <f>IF(A181="","",COUNTIF('Access'!$A$4:$A$1503,A181))</f>
        <v/>
      </c>
      <c r="I181" s="30">
        <f t="array" ref="I181">IF(A181="","",_xlfn.TEXTJOIN(", ",TRUE,IF(('Companies'!$A$4:$A$63&lt;&gt;"")*(COUNTIFS('Access'!$A$4:$A$1503,A181,'Access'!$F$4:$F$1503,"*"&amp;'Companies'!$A$4:$A$63&amp;"*")&gt;0),'Companies'!$A$4:$A$63,"")))</f>
        <v/>
      </c>
      <c r="J181" s="30">
        <f>IF(A181="","",IF(COUNTIF($A$4:$A$1003,A181)&gt;1,"Duplicate email",IF(ISERROR(FIND("@",A181)),"Not an email address",IF(AND(H181=0,E181=""),"Investor without holders","OK"))))</f>
        <v/>
      </c>
    </row>
    <row r="182">
      <c r="A182" s="26" t="n"/>
      <c r="B182" s="26" t="n"/>
      <c r="C182" s="26" t="n"/>
      <c r="D182" s="26" t="n"/>
      <c r="E182" s="26" t="n"/>
      <c r="F182" s="26" t="n"/>
      <c r="G182" s="26" t="n"/>
      <c r="H182" s="30">
        <f>IF(A182="","",COUNTIF('Access'!$A$4:$A$1503,A182))</f>
        <v/>
      </c>
      <c r="I182" s="30">
        <f t="array" ref="I182">IF(A182="","",_xlfn.TEXTJOIN(", ",TRUE,IF(('Companies'!$A$4:$A$63&lt;&gt;"")*(COUNTIFS('Access'!$A$4:$A$1503,A182,'Access'!$F$4:$F$1503,"*"&amp;'Companies'!$A$4:$A$63&amp;"*")&gt;0),'Companies'!$A$4:$A$63,"")))</f>
        <v/>
      </c>
      <c r="J182" s="30">
        <f>IF(A182="","",IF(COUNTIF($A$4:$A$1003,A182)&gt;1,"Duplicate email",IF(ISERROR(FIND("@",A182)),"Not an email address",IF(AND(H182=0,E182=""),"Investor without holders","OK"))))</f>
        <v/>
      </c>
    </row>
    <row r="183">
      <c r="A183" s="26" t="n"/>
      <c r="B183" s="26" t="n"/>
      <c r="C183" s="26" t="n"/>
      <c r="D183" s="26" t="n"/>
      <c r="E183" s="26" t="n"/>
      <c r="F183" s="26" t="n"/>
      <c r="G183" s="26" t="n"/>
      <c r="H183" s="30">
        <f>IF(A183="","",COUNTIF('Access'!$A$4:$A$1503,A183))</f>
        <v/>
      </c>
      <c r="I183" s="30">
        <f t="array" ref="I183">IF(A183="","",_xlfn.TEXTJOIN(", ",TRUE,IF(('Companies'!$A$4:$A$63&lt;&gt;"")*(COUNTIFS('Access'!$A$4:$A$1503,A183,'Access'!$F$4:$F$1503,"*"&amp;'Companies'!$A$4:$A$63&amp;"*")&gt;0),'Companies'!$A$4:$A$63,"")))</f>
        <v/>
      </c>
      <c r="J183" s="30">
        <f>IF(A183="","",IF(COUNTIF($A$4:$A$1003,A183)&gt;1,"Duplicate email",IF(ISERROR(FIND("@",A183)),"Not an email address",IF(AND(H183=0,E183=""),"Investor without holders","OK"))))</f>
        <v/>
      </c>
    </row>
    <row r="184">
      <c r="A184" s="26" t="n"/>
      <c r="B184" s="26" t="n"/>
      <c r="C184" s="26" t="n"/>
      <c r="D184" s="26" t="n"/>
      <c r="E184" s="26" t="n"/>
      <c r="F184" s="26" t="n"/>
      <c r="G184" s="26" t="n"/>
      <c r="H184" s="30">
        <f>IF(A184="","",COUNTIF('Access'!$A$4:$A$1503,A184))</f>
        <v/>
      </c>
      <c r="I184" s="30">
        <f t="array" ref="I184">IF(A184="","",_xlfn.TEXTJOIN(", ",TRUE,IF(('Companies'!$A$4:$A$63&lt;&gt;"")*(COUNTIFS('Access'!$A$4:$A$1503,A184,'Access'!$F$4:$F$1503,"*"&amp;'Companies'!$A$4:$A$63&amp;"*")&gt;0),'Companies'!$A$4:$A$63,"")))</f>
        <v/>
      </c>
      <c r="J184" s="30">
        <f>IF(A184="","",IF(COUNTIF($A$4:$A$1003,A184)&gt;1,"Duplicate email",IF(ISERROR(FIND("@",A184)),"Not an email address",IF(AND(H184=0,E184=""),"Investor without holders","OK"))))</f>
        <v/>
      </c>
    </row>
    <row r="185">
      <c r="A185" s="26" t="n"/>
      <c r="B185" s="26" t="n"/>
      <c r="C185" s="26" t="n"/>
      <c r="D185" s="26" t="n"/>
      <c r="E185" s="26" t="n"/>
      <c r="F185" s="26" t="n"/>
      <c r="G185" s="26" t="n"/>
      <c r="H185" s="30">
        <f>IF(A185="","",COUNTIF('Access'!$A$4:$A$1503,A185))</f>
        <v/>
      </c>
      <c r="I185" s="30">
        <f t="array" ref="I185">IF(A185="","",_xlfn.TEXTJOIN(", ",TRUE,IF(('Companies'!$A$4:$A$63&lt;&gt;"")*(COUNTIFS('Access'!$A$4:$A$1503,A185,'Access'!$F$4:$F$1503,"*"&amp;'Companies'!$A$4:$A$63&amp;"*")&gt;0),'Companies'!$A$4:$A$63,"")))</f>
        <v/>
      </c>
      <c r="J185" s="30">
        <f>IF(A185="","",IF(COUNTIF($A$4:$A$1003,A185)&gt;1,"Duplicate email",IF(ISERROR(FIND("@",A185)),"Not an email address",IF(AND(H185=0,E185=""),"Investor without holders","OK"))))</f>
        <v/>
      </c>
    </row>
    <row r="186">
      <c r="A186" s="26" t="n"/>
      <c r="B186" s="26" t="n"/>
      <c r="C186" s="26" t="n"/>
      <c r="D186" s="26" t="n"/>
      <c r="E186" s="26" t="n"/>
      <c r="F186" s="26" t="n"/>
      <c r="G186" s="26" t="n"/>
      <c r="H186" s="30">
        <f>IF(A186="","",COUNTIF('Access'!$A$4:$A$1503,A186))</f>
        <v/>
      </c>
      <c r="I186" s="30">
        <f t="array" ref="I186">IF(A186="","",_xlfn.TEXTJOIN(", ",TRUE,IF(('Companies'!$A$4:$A$63&lt;&gt;"")*(COUNTIFS('Access'!$A$4:$A$1503,A186,'Access'!$F$4:$F$1503,"*"&amp;'Companies'!$A$4:$A$63&amp;"*")&gt;0),'Companies'!$A$4:$A$63,"")))</f>
        <v/>
      </c>
      <c r="J186" s="30">
        <f>IF(A186="","",IF(COUNTIF($A$4:$A$1003,A186)&gt;1,"Duplicate email",IF(ISERROR(FIND("@",A186)),"Not an email address",IF(AND(H186=0,E186=""),"Investor without holders","OK"))))</f>
        <v/>
      </c>
    </row>
    <row r="187">
      <c r="A187" s="26" t="n"/>
      <c r="B187" s="26" t="n"/>
      <c r="C187" s="26" t="n"/>
      <c r="D187" s="26" t="n"/>
      <c r="E187" s="26" t="n"/>
      <c r="F187" s="26" t="n"/>
      <c r="G187" s="26" t="n"/>
      <c r="H187" s="30">
        <f>IF(A187="","",COUNTIF('Access'!$A$4:$A$1503,A187))</f>
        <v/>
      </c>
      <c r="I187" s="30">
        <f t="array" ref="I187">IF(A187="","",_xlfn.TEXTJOIN(", ",TRUE,IF(('Companies'!$A$4:$A$63&lt;&gt;"")*(COUNTIFS('Access'!$A$4:$A$1503,A187,'Access'!$F$4:$F$1503,"*"&amp;'Companies'!$A$4:$A$63&amp;"*")&gt;0),'Companies'!$A$4:$A$63,"")))</f>
        <v/>
      </c>
      <c r="J187" s="30">
        <f>IF(A187="","",IF(COUNTIF($A$4:$A$1003,A187)&gt;1,"Duplicate email",IF(ISERROR(FIND("@",A187)),"Not an email address",IF(AND(H187=0,E187=""),"Investor without holders","OK"))))</f>
        <v/>
      </c>
    </row>
    <row r="188">
      <c r="A188" s="26" t="n"/>
      <c r="B188" s="26" t="n"/>
      <c r="C188" s="26" t="n"/>
      <c r="D188" s="26" t="n"/>
      <c r="E188" s="26" t="n"/>
      <c r="F188" s="26" t="n"/>
      <c r="G188" s="26" t="n"/>
      <c r="H188" s="30">
        <f>IF(A188="","",COUNTIF('Access'!$A$4:$A$1503,A188))</f>
        <v/>
      </c>
      <c r="I188" s="30">
        <f t="array" ref="I188">IF(A188="","",_xlfn.TEXTJOIN(", ",TRUE,IF(('Companies'!$A$4:$A$63&lt;&gt;"")*(COUNTIFS('Access'!$A$4:$A$1503,A188,'Access'!$F$4:$F$1503,"*"&amp;'Companies'!$A$4:$A$63&amp;"*")&gt;0),'Companies'!$A$4:$A$63,"")))</f>
        <v/>
      </c>
      <c r="J188" s="30">
        <f>IF(A188="","",IF(COUNTIF($A$4:$A$1003,A188)&gt;1,"Duplicate email",IF(ISERROR(FIND("@",A188)),"Not an email address",IF(AND(H188=0,E188=""),"Investor without holders","OK"))))</f>
        <v/>
      </c>
    </row>
    <row r="189">
      <c r="A189" s="26" t="n"/>
      <c r="B189" s="26" t="n"/>
      <c r="C189" s="26" t="n"/>
      <c r="D189" s="26" t="n"/>
      <c r="E189" s="26" t="n"/>
      <c r="F189" s="26" t="n"/>
      <c r="G189" s="26" t="n"/>
      <c r="H189" s="30">
        <f>IF(A189="","",COUNTIF('Access'!$A$4:$A$1503,A189))</f>
        <v/>
      </c>
      <c r="I189" s="30">
        <f t="array" ref="I189">IF(A189="","",_xlfn.TEXTJOIN(", ",TRUE,IF(('Companies'!$A$4:$A$63&lt;&gt;"")*(COUNTIFS('Access'!$A$4:$A$1503,A189,'Access'!$F$4:$F$1503,"*"&amp;'Companies'!$A$4:$A$63&amp;"*")&gt;0),'Companies'!$A$4:$A$63,"")))</f>
        <v/>
      </c>
      <c r="J189" s="30">
        <f>IF(A189="","",IF(COUNTIF($A$4:$A$1003,A189)&gt;1,"Duplicate email",IF(ISERROR(FIND("@",A189)),"Not an email address",IF(AND(H189=0,E189=""),"Investor without holders","OK"))))</f>
        <v/>
      </c>
    </row>
    <row r="190">
      <c r="A190" s="26" t="n"/>
      <c r="B190" s="26" t="n"/>
      <c r="C190" s="26" t="n"/>
      <c r="D190" s="26" t="n"/>
      <c r="E190" s="26" t="n"/>
      <c r="F190" s="26" t="n"/>
      <c r="G190" s="26" t="n"/>
      <c r="H190" s="30">
        <f>IF(A190="","",COUNTIF('Access'!$A$4:$A$1503,A190))</f>
        <v/>
      </c>
      <c r="I190" s="30">
        <f t="array" ref="I190">IF(A190="","",_xlfn.TEXTJOIN(", ",TRUE,IF(('Companies'!$A$4:$A$63&lt;&gt;"")*(COUNTIFS('Access'!$A$4:$A$1503,A190,'Access'!$F$4:$F$1503,"*"&amp;'Companies'!$A$4:$A$63&amp;"*")&gt;0),'Companies'!$A$4:$A$63,"")))</f>
        <v/>
      </c>
      <c r="J190" s="30">
        <f>IF(A190="","",IF(COUNTIF($A$4:$A$1003,A190)&gt;1,"Duplicate email",IF(ISERROR(FIND("@",A190)),"Not an email address",IF(AND(H190=0,E190=""),"Investor without holders","OK"))))</f>
        <v/>
      </c>
    </row>
    <row r="191">
      <c r="A191" s="26" t="n"/>
      <c r="B191" s="26" t="n"/>
      <c r="C191" s="26" t="n"/>
      <c r="D191" s="26" t="n"/>
      <c r="E191" s="26" t="n"/>
      <c r="F191" s="26" t="n"/>
      <c r="G191" s="26" t="n"/>
      <c r="H191" s="30">
        <f>IF(A191="","",COUNTIF('Access'!$A$4:$A$1503,A191))</f>
        <v/>
      </c>
      <c r="I191" s="30">
        <f t="array" ref="I191">IF(A191="","",_xlfn.TEXTJOIN(", ",TRUE,IF(('Companies'!$A$4:$A$63&lt;&gt;"")*(COUNTIFS('Access'!$A$4:$A$1503,A191,'Access'!$F$4:$F$1503,"*"&amp;'Companies'!$A$4:$A$63&amp;"*")&gt;0),'Companies'!$A$4:$A$63,"")))</f>
        <v/>
      </c>
      <c r="J191" s="30">
        <f>IF(A191="","",IF(COUNTIF($A$4:$A$1003,A191)&gt;1,"Duplicate email",IF(ISERROR(FIND("@",A191)),"Not an email address",IF(AND(H191=0,E191=""),"Investor without holders","OK"))))</f>
        <v/>
      </c>
    </row>
    <row r="192">
      <c r="A192" s="26" t="n"/>
      <c r="B192" s="26" t="n"/>
      <c r="C192" s="26" t="n"/>
      <c r="D192" s="26" t="n"/>
      <c r="E192" s="26" t="n"/>
      <c r="F192" s="26" t="n"/>
      <c r="G192" s="26" t="n"/>
      <c r="H192" s="30">
        <f>IF(A192="","",COUNTIF('Access'!$A$4:$A$1503,A192))</f>
        <v/>
      </c>
      <c r="I192" s="30">
        <f t="array" ref="I192">IF(A192="","",_xlfn.TEXTJOIN(", ",TRUE,IF(('Companies'!$A$4:$A$63&lt;&gt;"")*(COUNTIFS('Access'!$A$4:$A$1503,A192,'Access'!$F$4:$F$1503,"*"&amp;'Companies'!$A$4:$A$63&amp;"*")&gt;0),'Companies'!$A$4:$A$63,"")))</f>
        <v/>
      </c>
      <c r="J192" s="30">
        <f>IF(A192="","",IF(COUNTIF($A$4:$A$1003,A192)&gt;1,"Duplicate email",IF(ISERROR(FIND("@",A192)),"Not an email address",IF(AND(H192=0,E192=""),"Investor without holders","OK"))))</f>
        <v/>
      </c>
    </row>
    <row r="193">
      <c r="A193" s="26" t="n"/>
      <c r="B193" s="26" t="n"/>
      <c r="C193" s="26" t="n"/>
      <c r="D193" s="26" t="n"/>
      <c r="E193" s="26" t="n"/>
      <c r="F193" s="26" t="n"/>
      <c r="G193" s="26" t="n"/>
      <c r="H193" s="30">
        <f>IF(A193="","",COUNTIF('Access'!$A$4:$A$1503,A193))</f>
        <v/>
      </c>
      <c r="I193" s="30">
        <f t="array" ref="I193">IF(A193="","",_xlfn.TEXTJOIN(", ",TRUE,IF(('Companies'!$A$4:$A$63&lt;&gt;"")*(COUNTIFS('Access'!$A$4:$A$1503,A193,'Access'!$F$4:$F$1503,"*"&amp;'Companies'!$A$4:$A$63&amp;"*")&gt;0),'Companies'!$A$4:$A$63,"")))</f>
        <v/>
      </c>
      <c r="J193" s="30">
        <f>IF(A193="","",IF(COUNTIF($A$4:$A$1003,A193)&gt;1,"Duplicate email",IF(ISERROR(FIND("@",A193)),"Not an email address",IF(AND(H193=0,E193=""),"Investor without holders","OK"))))</f>
        <v/>
      </c>
    </row>
    <row r="194">
      <c r="A194" s="26" t="n"/>
      <c r="B194" s="26" t="n"/>
      <c r="C194" s="26" t="n"/>
      <c r="D194" s="26" t="n"/>
      <c r="E194" s="26" t="n"/>
      <c r="F194" s="26" t="n"/>
      <c r="G194" s="26" t="n"/>
      <c r="H194" s="30">
        <f>IF(A194="","",COUNTIF('Access'!$A$4:$A$1503,A194))</f>
        <v/>
      </c>
      <c r="I194" s="30">
        <f t="array" ref="I194">IF(A194="","",_xlfn.TEXTJOIN(", ",TRUE,IF(('Companies'!$A$4:$A$63&lt;&gt;"")*(COUNTIFS('Access'!$A$4:$A$1503,A194,'Access'!$F$4:$F$1503,"*"&amp;'Companies'!$A$4:$A$63&amp;"*")&gt;0),'Companies'!$A$4:$A$63,"")))</f>
        <v/>
      </c>
      <c r="J194" s="30">
        <f>IF(A194="","",IF(COUNTIF($A$4:$A$1003,A194)&gt;1,"Duplicate email",IF(ISERROR(FIND("@",A194)),"Not an email address",IF(AND(H194=0,E194=""),"Investor without holders","OK"))))</f>
        <v/>
      </c>
    </row>
    <row r="195">
      <c r="A195" s="26" t="n"/>
      <c r="B195" s="26" t="n"/>
      <c r="C195" s="26" t="n"/>
      <c r="D195" s="26" t="n"/>
      <c r="E195" s="26" t="n"/>
      <c r="F195" s="26" t="n"/>
      <c r="G195" s="26" t="n"/>
      <c r="H195" s="30">
        <f>IF(A195="","",COUNTIF('Access'!$A$4:$A$1503,A195))</f>
        <v/>
      </c>
      <c r="I195" s="30">
        <f t="array" ref="I195">IF(A195="","",_xlfn.TEXTJOIN(", ",TRUE,IF(('Companies'!$A$4:$A$63&lt;&gt;"")*(COUNTIFS('Access'!$A$4:$A$1503,A195,'Access'!$F$4:$F$1503,"*"&amp;'Companies'!$A$4:$A$63&amp;"*")&gt;0),'Companies'!$A$4:$A$63,"")))</f>
        <v/>
      </c>
      <c r="J195" s="30">
        <f>IF(A195="","",IF(COUNTIF($A$4:$A$1003,A195)&gt;1,"Duplicate email",IF(ISERROR(FIND("@",A195)),"Not an email address",IF(AND(H195=0,E195=""),"Investor without holders","OK"))))</f>
        <v/>
      </c>
    </row>
    <row r="196">
      <c r="A196" s="26" t="n"/>
      <c r="B196" s="26" t="n"/>
      <c r="C196" s="26" t="n"/>
      <c r="D196" s="26" t="n"/>
      <c r="E196" s="26" t="n"/>
      <c r="F196" s="26" t="n"/>
      <c r="G196" s="26" t="n"/>
      <c r="H196" s="30">
        <f>IF(A196="","",COUNTIF('Access'!$A$4:$A$1503,A196))</f>
        <v/>
      </c>
      <c r="I196" s="30">
        <f t="array" ref="I196">IF(A196="","",_xlfn.TEXTJOIN(", ",TRUE,IF(('Companies'!$A$4:$A$63&lt;&gt;"")*(COUNTIFS('Access'!$A$4:$A$1503,A196,'Access'!$F$4:$F$1503,"*"&amp;'Companies'!$A$4:$A$63&amp;"*")&gt;0),'Companies'!$A$4:$A$63,"")))</f>
        <v/>
      </c>
      <c r="J196" s="30">
        <f>IF(A196="","",IF(COUNTIF($A$4:$A$1003,A196)&gt;1,"Duplicate email",IF(ISERROR(FIND("@",A196)),"Not an email address",IF(AND(H196=0,E196=""),"Investor without holders","OK"))))</f>
        <v/>
      </c>
    </row>
    <row r="197">
      <c r="A197" s="26" t="n"/>
      <c r="B197" s="26" t="n"/>
      <c r="C197" s="26" t="n"/>
      <c r="D197" s="26" t="n"/>
      <c r="E197" s="26" t="n"/>
      <c r="F197" s="26" t="n"/>
      <c r="G197" s="26" t="n"/>
      <c r="H197" s="30">
        <f>IF(A197="","",COUNTIF('Access'!$A$4:$A$1503,A197))</f>
        <v/>
      </c>
      <c r="I197" s="30">
        <f t="array" ref="I197">IF(A197="","",_xlfn.TEXTJOIN(", ",TRUE,IF(('Companies'!$A$4:$A$63&lt;&gt;"")*(COUNTIFS('Access'!$A$4:$A$1503,A197,'Access'!$F$4:$F$1503,"*"&amp;'Companies'!$A$4:$A$63&amp;"*")&gt;0),'Companies'!$A$4:$A$63,"")))</f>
        <v/>
      </c>
      <c r="J197" s="30">
        <f>IF(A197="","",IF(COUNTIF($A$4:$A$1003,A197)&gt;1,"Duplicate email",IF(ISERROR(FIND("@",A197)),"Not an email address",IF(AND(H197=0,E197=""),"Investor without holders","OK"))))</f>
        <v/>
      </c>
    </row>
    <row r="198">
      <c r="A198" s="26" t="n"/>
      <c r="B198" s="26" t="n"/>
      <c r="C198" s="26" t="n"/>
      <c r="D198" s="26" t="n"/>
      <c r="E198" s="26" t="n"/>
      <c r="F198" s="26" t="n"/>
      <c r="G198" s="26" t="n"/>
      <c r="H198" s="30">
        <f>IF(A198="","",COUNTIF('Access'!$A$4:$A$1503,A198))</f>
        <v/>
      </c>
      <c r="I198" s="30">
        <f t="array" ref="I198">IF(A198="","",_xlfn.TEXTJOIN(", ",TRUE,IF(('Companies'!$A$4:$A$63&lt;&gt;"")*(COUNTIFS('Access'!$A$4:$A$1503,A198,'Access'!$F$4:$F$1503,"*"&amp;'Companies'!$A$4:$A$63&amp;"*")&gt;0),'Companies'!$A$4:$A$63,"")))</f>
        <v/>
      </c>
      <c r="J198" s="30">
        <f>IF(A198="","",IF(COUNTIF($A$4:$A$1003,A198)&gt;1,"Duplicate email",IF(ISERROR(FIND("@",A198)),"Not an email address",IF(AND(H198=0,E198=""),"Investor without holders","OK"))))</f>
        <v/>
      </c>
    </row>
    <row r="199">
      <c r="A199" s="26" t="n"/>
      <c r="B199" s="26" t="n"/>
      <c r="C199" s="26" t="n"/>
      <c r="D199" s="26" t="n"/>
      <c r="E199" s="26" t="n"/>
      <c r="F199" s="26" t="n"/>
      <c r="G199" s="26" t="n"/>
      <c r="H199" s="30">
        <f>IF(A199="","",COUNTIF('Access'!$A$4:$A$1503,A199))</f>
        <v/>
      </c>
      <c r="I199" s="30">
        <f t="array" ref="I199">IF(A199="","",_xlfn.TEXTJOIN(", ",TRUE,IF(('Companies'!$A$4:$A$63&lt;&gt;"")*(COUNTIFS('Access'!$A$4:$A$1503,A199,'Access'!$F$4:$F$1503,"*"&amp;'Companies'!$A$4:$A$63&amp;"*")&gt;0),'Companies'!$A$4:$A$63,"")))</f>
        <v/>
      </c>
      <c r="J199" s="30">
        <f>IF(A199="","",IF(COUNTIF($A$4:$A$1003,A199)&gt;1,"Duplicate email",IF(ISERROR(FIND("@",A199)),"Not an email address",IF(AND(H199=0,E199=""),"Investor without holders","OK"))))</f>
        <v/>
      </c>
    </row>
    <row r="200">
      <c r="A200" s="26" t="n"/>
      <c r="B200" s="26" t="n"/>
      <c r="C200" s="26" t="n"/>
      <c r="D200" s="26" t="n"/>
      <c r="E200" s="26" t="n"/>
      <c r="F200" s="26" t="n"/>
      <c r="G200" s="26" t="n"/>
      <c r="H200" s="30">
        <f>IF(A200="","",COUNTIF('Access'!$A$4:$A$1503,A200))</f>
        <v/>
      </c>
      <c r="I200" s="30">
        <f t="array" ref="I200">IF(A200="","",_xlfn.TEXTJOIN(", ",TRUE,IF(('Companies'!$A$4:$A$63&lt;&gt;"")*(COUNTIFS('Access'!$A$4:$A$1503,A200,'Access'!$F$4:$F$1503,"*"&amp;'Companies'!$A$4:$A$63&amp;"*")&gt;0),'Companies'!$A$4:$A$63,"")))</f>
        <v/>
      </c>
      <c r="J200" s="30">
        <f>IF(A200="","",IF(COUNTIF($A$4:$A$1003,A200)&gt;1,"Duplicate email",IF(ISERROR(FIND("@",A200)),"Not an email address",IF(AND(H200=0,E200=""),"Investor without holders","OK"))))</f>
        <v/>
      </c>
    </row>
    <row r="201">
      <c r="A201" s="26" t="n"/>
      <c r="B201" s="26" t="n"/>
      <c r="C201" s="26" t="n"/>
      <c r="D201" s="26" t="n"/>
      <c r="E201" s="26" t="n"/>
      <c r="F201" s="26" t="n"/>
      <c r="G201" s="26" t="n"/>
      <c r="H201" s="30">
        <f>IF(A201="","",COUNTIF('Access'!$A$4:$A$1503,A201))</f>
        <v/>
      </c>
      <c r="I201" s="30">
        <f t="array" ref="I201">IF(A201="","",_xlfn.TEXTJOIN(", ",TRUE,IF(('Companies'!$A$4:$A$63&lt;&gt;"")*(COUNTIFS('Access'!$A$4:$A$1503,A201,'Access'!$F$4:$F$1503,"*"&amp;'Companies'!$A$4:$A$63&amp;"*")&gt;0),'Companies'!$A$4:$A$63,"")))</f>
        <v/>
      </c>
      <c r="J201" s="30">
        <f>IF(A201="","",IF(COUNTIF($A$4:$A$1003,A201)&gt;1,"Duplicate email",IF(ISERROR(FIND("@",A201)),"Not an email address",IF(AND(H201=0,E201=""),"Investor without holders","OK"))))</f>
        <v/>
      </c>
    </row>
    <row r="202">
      <c r="A202" s="26" t="n"/>
      <c r="B202" s="26" t="n"/>
      <c r="C202" s="26" t="n"/>
      <c r="D202" s="26" t="n"/>
      <c r="E202" s="26" t="n"/>
      <c r="F202" s="26" t="n"/>
      <c r="G202" s="26" t="n"/>
      <c r="H202" s="30">
        <f>IF(A202="","",COUNTIF('Access'!$A$4:$A$1503,A202))</f>
        <v/>
      </c>
      <c r="I202" s="30">
        <f t="array" ref="I202">IF(A202="","",_xlfn.TEXTJOIN(", ",TRUE,IF(('Companies'!$A$4:$A$63&lt;&gt;"")*(COUNTIFS('Access'!$A$4:$A$1503,A202,'Access'!$F$4:$F$1503,"*"&amp;'Companies'!$A$4:$A$63&amp;"*")&gt;0),'Companies'!$A$4:$A$63,"")))</f>
        <v/>
      </c>
      <c r="J202" s="30">
        <f>IF(A202="","",IF(COUNTIF($A$4:$A$1003,A202)&gt;1,"Duplicate email",IF(ISERROR(FIND("@",A202)),"Not an email address",IF(AND(H202=0,E202=""),"Investor without holders","OK"))))</f>
        <v/>
      </c>
    </row>
    <row r="203">
      <c r="A203" s="26" t="n"/>
      <c r="B203" s="26" t="n"/>
      <c r="C203" s="26" t="n"/>
      <c r="D203" s="26" t="n"/>
      <c r="E203" s="26" t="n"/>
      <c r="F203" s="26" t="n"/>
      <c r="G203" s="26" t="n"/>
      <c r="H203" s="30">
        <f>IF(A203="","",COUNTIF('Access'!$A$4:$A$1503,A203))</f>
        <v/>
      </c>
      <c r="I203" s="30">
        <f t="array" ref="I203">IF(A203="","",_xlfn.TEXTJOIN(", ",TRUE,IF(('Companies'!$A$4:$A$63&lt;&gt;"")*(COUNTIFS('Access'!$A$4:$A$1503,A203,'Access'!$F$4:$F$1503,"*"&amp;'Companies'!$A$4:$A$63&amp;"*")&gt;0),'Companies'!$A$4:$A$63,"")))</f>
        <v/>
      </c>
      <c r="J203" s="30">
        <f>IF(A203="","",IF(COUNTIF($A$4:$A$1003,A203)&gt;1,"Duplicate email",IF(ISERROR(FIND("@",A203)),"Not an email address",IF(AND(H203=0,E203=""),"Investor without holders","OK"))))</f>
        <v/>
      </c>
    </row>
    <row r="204">
      <c r="A204" s="26" t="n"/>
      <c r="B204" s="26" t="n"/>
      <c r="C204" s="26" t="n"/>
      <c r="D204" s="26" t="n"/>
      <c r="E204" s="26" t="n"/>
      <c r="F204" s="26" t="n"/>
      <c r="G204" s="26" t="n"/>
      <c r="H204" s="30">
        <f>IF(A204="","",COUNTIF('Access'!$A$4:$A$1503,A204))</f>
        <v/>
      </c>
      <c r="I204" s="30">
        <f t="array" ref="I204">IF(A204="","",_xlfn.TEXTJOIN(", ",TRUE,IF(('Companies'!$A$4:$A$63&lt;&gt;"")*(COUNTIFS('Access'!$A$4:$A$1503,A204,'Access'!$F$4:$F$1503,"*"&amp;'Companies'!$A$4:$A$63&amp;"*")&gt;0),'Companies'!$A$4:$A$63,"")))</f>
        <v/>
      </c>
      <c r="J204" s="30">
        <f>IF(A204="","",IF(COUNTIF($A$4:$A$1003,A204)&gt;1,"Duplicate email",IF(ISERROR(FIND("@",A204)),"Not an email address",IF(AND(H204=0,E204=""),"Investor without holders","OK"))))</f>
        <v/>
      </c>
    </row>
    <row r="205">
      <c r="A205" s="26" t="n"/>
      <c r="B205" s="26" t="n"/>
      <c r="C205" s="26" t="n"/>
      <c r="D205" s="26" t="n"/>
      <c r="E205" s="26" t="n"/>
      <c r="F205" s="26" t="n"/>
      <c r="G205" s="26" t="n"/>
      <c r="H205" s="30">
        <f>IF(A205="","",COUNTIF('Access'!$A$4:$A$1503,A205))</f>
        <v/>
      </c>
      <c r="I205" s="30">
        <f t="array" ref="I205">IF(A205="","",_xlfn.TEXTJOIN(", ",TRUE,IF(('Companies'!$A$4:$A$63&lt;&gt;"")*(COUNTIFS('Access'!$A$4:$A$1503,A205,'Access'!$F$4:$F$1503,"*"&amp;'Companies'!$A$4:$A$63&amp;"*")&gt;0),'Companies'!$A$4:$A$63,"")))</f>
        <v/>
      </c>
      <c r="J205" s="30">
        <f>IF(A205="","",IF(COUNTIF($A$4:$A$1003,A205)&gt;1,"Duplicate email",IF(ISERROR(FIND("@",A205)),"Not an email address",IF(AND(H205=0,E205=""),"Investor without holders","OK"))))</f>
        <v/>
      </c>
    </row>
    <row r="206">
      <c r="A206" s="26" t="n"/>
      <c r="B206" s="26" t="n"/>
      <c r="C206" s="26" t="n"/>
      <c r="D206" s="26" t="n"/>
      <c r="E206" s="26" t="n"/>
      <c r="F206" s="26" t="n"/>
      <c r="G206" s="26" t="n"/>
      <c r="H206" s="30">
        <f>IF(A206="","",COUNTIF('Access'!$A$4:$A$1503,A206))</f>
        <v/>
      </c>
      <c r="I206" s="30">
        <f t="array" ref="I206">IF(A206="","",_xlfn.TEXTJOIN(", ",TRUE,IF(('Companies'!$A$4:$A$63&lt;&gt;"")*(COUNTIFS('Access'!$A$4:$A$1503,A206,'Access'!$F$4:$F$1503,"*"&amp;'Companies'!$A$4:$A$63&amp;"*")&gt;0),'Companies'!$A$4:$A$63,"")))</f>
        <v/>
      </c>
      <c r="J206" s="30">
        <f>IF(A206="","",IF(COUNTIF($A$4:$A$1003,A206)&gt;1,"Duplicate email",IF(ISERROR(FIND("@",A206)),"Not an email address",IF(AND(H206=0,E206=""),"Investor without holders","OK"))))</f>
        <v/>
      </c>
    </row>
    <row r="207">
      <c r="A207" s="26" t="n"/>
      <c r="B207" s="26" t="n"/>
      <c r="C207" s="26" t="n"/>
      <c r="D207" s="26" t="n"/>
      <c r="E207" s="26" t="n"/>
      <c r="F207" s="26" t="n"/>
      <c r="G207" s="26" t="n"/>
      <c r="H207" s="30">
        <f>IF(A207="","",COUNTIF('Access'!$A$4:$A$1503,A207))</f>
        <v/>
      </c>
      <c r="I207" s="30">
        <f t="array" ref="I207">IF(A207="","",_xlfn.TEXTJOIN(", ",TRUE,IF(('Companies'!$A$4:$A$63&lt;&gt;"")*(COUNTIFS('Access'!$A$4:$A$1503,A207,'Access'!$F$4:$F$1503,"*"&amp;'Companies'!$A$4:$A$63&amp;"*")&gt;0),'Companies'!$A$4:$A$63,"")))</f>
        <v/>
      </c>
      <c r="J207" s="30">
        <f>IF(A207="","",IF(COUNTIF($A$4:$A$1003,A207)&gt;1,"Duplicate email",IF(ISERROR(FIND("@",A207)),"Not an email address",IF(AND(H207=0,E207=""),"Investor without holders","OK"))))</f>
        <v/>
      </c>
    </row>
    <row r="208">
      <c r="A208" s="26" t="n"/>
      <c r="B208" s="26" t="n"/>
      <c r="C208" s="26" t="n"/>
      <c r="D208" s="26" t="n"/>
      <c r="E208" s="26" t="n"/>
      <c r="F208" s="26" t="n"/>
      <c r="G208" s="26" t="n"/>
      <c r="H208" s="30">
        <f>IF(A208="","",COUNTIF('Access'!$A$4:$A$1503,A208))</f>
        <v/>
      </c>
      <c r="I208" s="30">
        <f t="array" ref="I208">IF(A208="","",_xlfn.TEXTJOIN(", ",TRUE,IF(('Companies'!$A$4:$A$63&lt;&gt;"")*(COUNTIFS('Access'!$A$4:$A$1503,A208,'Access'!$F$4:$F$1503,"*"&amp;'Companies'!$A$4:$A$63&amp;"*")&gt;0),'Companies'!$A$4:$A$63,"")))</f>
        <v/>
      </c>
      <c r="J208" s="30">
        <f>IF(A208="","",IF(COUNTIF($A$4:$A$1003,A208)&gt;1,"Duplicate email",IF(ISERROR(FIND("@",A208)),"Not an email address",IF(AND(H208=0,E208=""),"Investor without holders","OK"))))</f>
        <v/>
      </c>
    </row>
    <row r="209">
      <c r="A209" s="26" t="n"/>
      <c r="B209" s="26" t="n"/>
      <c r="C209" s="26" t="n"/>
      <c r="D209" s="26" t="n"/>
      <c r="E209" s="26" t="n"/>
      <c r="F209" s="26" t="n"/>
      <c r="G209" s="26" t="n"/>
      <c r="H209" s="30">
        <f>IF(A209="","",COUNTIF('Access'!$A$4:$A$1503,A209))</f>
        <v/>
      </c>
      <c r="I209" s="30">
        <f t="array" ref="I209">IF(A209="","",_xlfn.TEXTJOIN(", ",TRUE,IF(('Companies'!$A$4:$A$63&lt;&gt;"")*(COUNTIFS('Access'!$A$4:$A$1503,A209,'Access'!$F$4:$F$1503,"*"&amp;'Companies'!$A$4:$A$63&amp;"*")&gt;0),'Companies'!$A$4:$A$63,"")))</f>
        <v/>
      </c>
      <c r="J209" s="30">
        <f>IF(A209="","",IF(COUNTIF($A$4:$A$1003,A209)&gt;1,"Duplicate email",IF(ISERROR(FIND("@",A209)),"Not an email address",IF(AND(H209=0,E209=""),"Investor without holders","OK"))))</f>
        <v/>
      </c>
    </row>
    <row r="210">
      <c r="A210" s="26" t="n"/>
      <c r="B210" s="26" t="n"/>
      <c r="C210" s="26" t="n"/>
      <c r="D210" s="26" t="n"/>
      <c r="E210" s="26" t="n"/>
      <c r="F210" s="26" t="n"/>
      <c r="G210" s="26" t="n"/>
      <c r="H210" s="30">
        <f>IF(A210="","",COUNTIF('Access'!$A$4:$A$1503,A210))</f>
        <v/>
      </c>
      <c r="I210" s="30">
        <f t="array" ref="I210">IF(A210="","",_xlfn.TEXTJOIN(", ",TRUE,IF(('Companies'!$A$4:$A$63&lt;&gt;"")*(COUNTIFS('Access'!$A$4:$A$1503,A210,'Access'!$F$4:$F$1503,"*"&amp;'Companies'!$A$4:$A$63&amp;"*")&gt;0),'Companies'!$A$4:$A$63,"")))</f>
        <v/>
      </c>
      <c r="J210" s="30">
        <f>IF(A210="","",IF(COUNTIF($A$4:$A$1003,A210)&gt;1,"Duplicate email",IF(ISERROR(FIND("@",A210)),"Not an email address",IF(AND(H210=0,E210=""),"Investor without holders","OK"))))</f>
        <v/>
      </c>
    </row>
    <row r="211">
      <c r="A211" s="26" t="n"/>
      <c r="B211" s="26" t="n"/>
      <c r="C211" s="26" t="n"/>
      <c r="D211" s="26" t="n"/>
      <c r="E211" s="26" t="n"/>
      <c r="F211" s="26" t="n"/>
      <c r="G211" s="26" t="n"/>
      <c r="H211" s="30">
        <f>IF(A211="","",COUNTIF('Access'!$A$4:$A$1503,A211))</f>
        <v/>
      </c>
      <c r="I211" s="30">
        <f t="array" ref="I211">IF(A211="","",_xlfn.TEXTJOIN(", ",TRUE,IF(('Companies'!$A$4:$A$63&lt;&gt;"")*(COUNTIFS('Access'!$A$4:$A$1503,A211,'Access'!$F$4:$F$1503,"*"&amp;'Companies'!$A$4:$A$63&amp;"*")&gt;0),'Companies'!$A$4:$A$63,"")))</f>
        <v/>
      </c>
      <c r="J211" s="30">
        <f>IF(A211="","",IF(COUNTIF($A$4:$A$1003,A211)&gt;1,"Duplicate email",IF(ISERROR(FIND("@",A211)),"Not an email address",IF(AND(H211=0,E211=""),"Investor without holders","OK"))))</f>
        <v/>
      </c>
    </row>
    <row r="212">
      <c r="A212" s="26" t="n"/>
      <c r="B212" s="26" t="n"/>
      <c r="C212" s="26" t="n"/>
      <c r="D212" s="26" t="n"/>
      <c r="E212" s="26" t="n"/>
      <c r="F212" s="26" t="n"/>
      <c r="G212" s="26" t="n"/>
      <c r="H212" s="30">
        <f>IF(A212="","",COUNTIF('Access'!$A$4:$A$1503,A212))</f>
        <v/>
      </c>
      <c r="I212" s="30">
        <f t="array" ref="I212">IF(A212="","",_xlfn.TEXTJOIN(", ",TRUE,IF(('Companies'!$A$4:$A$63&lt;&gt;"")*(COUNTIFS('Access'!$A$4:$A$1503,A212,'Access'!$F$4:$F$1503,"*"&amp;'Companies'!$A$4:$A$63&amp;"*")&gt;0),'Companies'!$A$4:$A$63,"")))</f>
        <v/>
      </c>
      <c r="J212" s="30">
        <f>IF(A212="","",IF(COUNTIF($A$4:$A$1003,A212)&gt;1,"Duplicate email",IF(ISERROR(FIND("@",A212)),"Not an email address",IF(AND(H212=0,E212=""),"Investor without holders","OK"))))</f>
        <v/>
      </c>
    </row>
    <row r="213">
      <c r="A213" s="26" t="n"/>
      <c r="B213" s="26" t="n"/>
      <c r="C213" s="26" t="n"/>
      <c r="D213" s="26" t="n"/>
      <c r="E213" s="26" t="n"/>
      <c r="F213" s="26" t="n"/>
      <c r="G213" s="26" t="n"/>
      <c r="H213" s="30">
        <f>IF(A213="","",COUNTIF('Access'!$A$4:$A$1503,A213))</f>
        <v/>
      </c>
      <c r="I213" s="30">
        <f t="array" ref="I213">IF(A213="","",_xlfn.TEXTJOIN(", ",TRUE,IF(('Companies'!$A$4:$A$63&lt;&gt;"")*(COUNTIFS('Access'!$A$4:$A$1503,A213,'Access'!$F$4:$F$1503,"*"&amp;'Companies'!$A$4:$A$63&amp;"*")&gt;0),'Companies'!$A$4:$A$63,"")))</f>
        <v/>
      </c>
      <c r="J213" s="30">
        <f>IF(A213="","",IF(COUNTIF($A$4:$A$1003,A213)&gt;1,"Duplicate email",IF(ISERROR(FIND("@",A213)),"Not an email address",IF(AND(H213=0,E213=""),"Investor without holders","OK"))))</f>
        <v/>
      </c>
    </row>
    <row r="214">
      <c r="A214" s="26" t="n"/>
      <c r="B214" s="26" t="n"/>
      <c r="C214" s="26" t="n"/>
      <c r="D214" s="26" t="n"/>
      <c r="E214" s="26" t="n"/>
      <c r="F214" s="26" t="n"/>
      <c r="G214" s="26" t="n"/>
      <c r="H214" s="30">
        <f>IF(A214="","",COUNTIF('Access'!$A$4:$A$1503,A214))</f>
        <v/>
      </c>
      <c r="I214" s="30">
        <f t="array" ref="I214">IF(A214="","",_xlfn.TEXTJOIN(", ",TRUE,IF(('Companies'!$A$4:$A$63&lt;&gt;"")*(COUNTIFS('Access'!$A$4:$A$1503,A214,'Access'!$F$4:$F$1503,"*"&amp;'Companies'!$A$4:$A$63&amp;"*")&gt;0),'Companies'!$A$4:$A$63,"")))</f>
        <v/>
      </c>
      <c r="J214" s="30">
        <f>IF(A214="","",IF(COUNTIF($A$4:$A$1003,A214)&gt;1,"Duplicate email",IF(ISERROR(FIND("@",A214)),"Not an email address",IF(AND(H214=0,E214=""),"Investor without holders","OK"))))</f>
        <v/>
      </c>
    </row>
    <row r="215">
      <c r="A215" s="26" t="n"/>
      <c r="B215" s="26" t="n"/>
      <c r="C215" s="26" t="n"/>
      <c r="D215" s="26" t="n"/>
      <c r="E215" s="26" t="n"/>
      <c r="F215" s="26" t="n"/>
      <c r="G215" s="26" t="n"/>
      <c r="H215" s="30">
        <f>IF(A215="","",COUNTIF('Access'!$A$4:$A$1503,A215))</f>
        <v/>
      </c>
      <c r="I215" s="30">
        <f t="array" ref="I215">IF(A215="","",_xlfn.TEXTJOIN(", ",TRUE,IF(('Companies'!$A$4:$A$63&lt;&gt;"")*(COUNTIFS('Access'!$A$4:$A$1503,A215,'Access'!$F$4:$F$1503,"*"&amp;'Companies'!$A$4:$A$63&amp;"*")&gt;0),'Companies'!$A$4:$A$63,"")))</f>
        <v/>
      </c>
      <c r="J215" s="30">
        <f>IF(A215="","",IF(COUNTIF($A$4:$A$1003,A215)&gt;1,"Duplicate email",IF(ISERROR(FIND("@",A215)),"Not an email address",IF(AND(H215=0,E215=""),"Investor without holders","OK"))))</f>
        <v/>
      </c>
    </row>
    <row r="216">
      <c r="A216" s="26" t="n"/>
      <c r="B216" s="26" t="n"/>
      <c r="C216" s="26" t="n"/>
      <c r="D216" s="26" t="n"/>
      <c r="E216" s="26" t="n"/>
      <c r="F216" s="26" t="n"/>
      <c r="G216" s="26" t="n"/>
      <c r="H216" s="30">
        <f>IF(A216="","",COUNTIF('Access'!$A$4:$A$1503,A216))</f>
        <v/>
      </c>
      <c r="I216" s="30">
        <f t="array" ref="I216">IF(A216="","",_xlfn.TEXTJOIN(", ",TRUE,IF(('Companies'!$A$4:$A$63&lt;&gt;"")*(COUNTIFS('Access'!$A$4:$A$1503,A216,'Access'!$F$4:$F$1503,"*"&amp;'Companies'!$A$4:$A$63&amp;"*")&gt;0),'Companies'!$A$4:$A$63,"")))</f>
        <v/>
      </c>
      <c r="J216" s="30">
        <f>IF(A216="","",IF(COUNTIF($A$4:$A$1003,A216)&gt;1,"Duplicate email",IF(ISERROR(FIND("@",A216)),"Not an email address",IF(AND(H216=0,E216=""),"Investor without holders","OK"))))</f>
        <v/>
      </c>
    </row>
    <row r="217">
      <c r="A217" s="26" t="n"/>
      <c r="B217" s="26" t="n"/>
      <c r="C217" s="26" t="n"/>
      <c r="D217" s="26" t="n"/>
      <c r="E217" s="26" t="n"/>
      <c r="F217" s="26" t="n"/>
      <c r="G217" s="26" t="n"/>
      <c r="H217" s="30">
        <f>IF(A217="","",COUNTIF('Access'!$A$4:$A$1503,A217))</f>
        <v/>
      </c>
      <c r="I217" s="30">
        <f t="array" ref="I217">IF(A217="","",_xlfn.TEXTJOIN(", ",TRUE,IF(('Companies'!$A$4:$A$63&lt;&gt;"")*(COUNTIFS('Access'!$A$4:$A$1503,A217,'Access'!$F$4:$F$1503,"*"&amp;'Companies'!$A$4:$A$63&amp;"*")&gt;0),'Companies'!$A$4:$A$63,"")))</f>
        <v/>
      </c>
      <c r="J217" s="30">
        <f>IF(A217="","",IF(COUNTIF($A$4:$A$1003,A217)&gt;1,"Duplicate email",IF(ISERROR(FIND("@",A217)),"Not an email address",IF(AND(H217=0,E217=""),"Investor without holders","OK"))))</f>
        <v/>
      </c>
    </row>
    <row r="218">
      <c r="A218" s="26" t="n"/>
      <c r="B218" s="26" t="n"/>
      <c r="C218" s="26" t="n"/>
      <c r="D218" s="26" t="n"/>
      <c r="E218" s="26" t="n"/>
      <c r="F218" s="26" t="n"/>
      <c r="G218" s="26" t="n"/>
      <c r="H218" s="30">
        <f>IF(A218="","",COUNTIF('Access'!$A$4:$A$1503,A218))</f>
        <v/>
      </c>
      <c r="I218" s="30">
        <f t="array" ref="I218">IF(A218="","",_xlfn.TEXTJOIN(", ",TRUE,IF(('Companies'!$A$4:$A$63&lt;&gt;"")*(COUNTIFS('Access'!$A$4:$A$1503,A218,'Access'!$F$4:$F$1503,"*"&amp;'Companies'!$A$4:$A$63&amp;"*")&gt;0),'Companies'!$A$4:$A$63,"")))</f>
        <v/>
      </c>
      <c r="J218" s="30">
        <f>IF(A218="","",IF(COUNTIF($A$4:$A$1003,A218)&gt;1,"Duplicate email",IF(ISERROR(FIND("@",A218)),"Not an email address",IF(AND(H218=0,E218=""),"Investor without holders","OK"))))</f>
        <v/>
      </c>
    </row>
    <row r="219">
      <c r="A219" s="26" t="n"/>
      <c r="B219" s="26" t="n"/>
      <c r="C219" s="26" t="n"/>
      <c r="D219" s="26" t="n"/>
      <c r="E219" s="26" t="n"/>
      <c r="F219" s="26" t="n"/>
      <c r="G219" s="26" t="n"/>
      <c r="H219" s="30">
        <f>IF(A219="","",COUNTIF('Access'!$A$4:$A$1503,A219))</f>
        <v/>
      </c>
      <c r="I219" s="30">
        <f t="array" ref="I219">IF(A219="","",_xlfn.TEXTJOIN(", ",TRUE,IF(('Companies'!$A$4:$A$63&lt;&gt;"")*(COUNTIFS('Access'!$A$4:$A$1503,A219,'Access'!$F$4:$F$1503,"*"&amp;'Companies'!$A$4:$A$63&amp;"*")&gt;0),'Companies'!$A$4:$A$63,"")))</f>
        <v/>
      </c>
      <c r="J219" s="30">
        <f>IF(A219="","",IF(COUNTIF($A$4:$A$1003,A219)&gt;1,"Duplicate email",IF(ISERROR(FIND("@",A219)),"Not an email address",IF(AND(H219=0,E219=""),"Investor without holders","OK"))))</f>
        <v/>
      </c>
    </row>
    <row r="220">
      <c r="A220" s="26" t="n"/>
      <c r="B220" s="26" t="n"/>
      <c r="C220" s="26" t="n"/>
      <c r="D220" s="26" t="n"/>
      <c r="E220" s="26" t="n"/>
      <c r="F220" s="26" t="n"/>
      <c r="G220" s="26" t="n"/>
      <c r="H220" s="30">
        <f>IF(A220="","",COUNTIF('Access'!$A$4:$A$1503,A220))</f>
        <v/>
      </c>
      <c r="I220" s="30">
        <f t="array" ref="I220">IF(A220="","",_xlfn.TEXTJOIN(", ",TRUE,IF(('Companies'!$A$4:$A$63&lt;&gt;"")*(COUNTIFS('Access'!$A$4:$A$1503,A220,'Access'!$F$4:$F$1503,"*"&amp;'Companies'!$A$4:$A$63&amp;"*")&gt;0),'Companies'!$A$4:$A$63,"")))</f>
        <v/>
      </c>
      <c r="J220" s="30">
        <f>IF(A220="","",IF(COUNTIF($A$4:$A$1003,A220)&gt;1,"Duplicate email",IF(ISERROR(FIND("@",A220)),"Not an email address",IF(AND(H220=0,E220=""),"Investor without holders","OK"))))</f>
        <v/>
      </c>
    </row>
    <row r="221">
      <c r="A221" s="26" t="n"/>
      <c r="B221" s="26" t="n"/>
      <c r="C221" s="26" t="n"/>
      <c r="D221" s="26" t="n"/>
      <c r="E221" s="26" t="n"/>
      <c r="F221" s="26" t="n"/>
      <c r="G221" s="26" t="n"/>
      <c r="H221" s="30">
        <f>IF(A221="","",COUNTIF('Access'!$A$4:$A$1503,A221))</f>
        <v/>
      </c>
      <c r="I221" s="30">
        <f t="array" ref="I221">IF(A221="","",_xlfn.TEXTJOIN(", ",TRUE,IF(('Companies'!$A$4:$A$63&lt;&gt;"")*(COUNTIFS('Access'!$A$4:$A$1503,A221,'Access'!$F$4:$F$1503,"*"&amp;'Companies'!$A$4:$A$63&amp;"*")&gt;0),'Companies'!$A$4:$A$63,"")))</f>
        <v/>
      </c>
      <c r="J221" s="30">
        <f>IF(A221="","",IF(COUNTIF($A$4:$A$1003,A221)&gt;1,"Duplicate email",IF(ISERROR(FIND("@",A221)),"Not an email address",IF(AND(H221=0,E221=""),"Investor without holders","OK"))))</f>
        <v/>
      </c>
    </row>
    <row r="222">
      <c r="A222" s="26" t="n"/>
      <c r="B222" s="26" t="n"/>
      <c r="C222" s="26" t="n"/>
      <c r="D222" s="26" t="n"/>
      <c r="E222" s="26" t="n"/>
      <c r="F222" s="26" t="n"/>
      <c r="G222" s="26" t="n"/>
      <c r="H222" s="30">
        <f>IF(A222="","",COUNTIF('Access'!$A$4:$A$1503,A222))</f>
        <v/>
      </c>
      <c r="I222" s="30">
        <f t="array" ref="I222">IF(A222="","",_xlfn.TEXTJOIN(", ",TRUE,IF(('Companies'!$A$4:$A$63&lt;&gt;"")*(COUNTIFS('Access'!$A$4:$A$1503,A222,'Access'!$F$4:$F$1503,"*"&amp;'Companies'!$A$4:$A$63&amp;"*")&gt;0),'Companies'!$A$4:$A$63,"")))</f>
        <v/>
      </c>
      <c r="J222" s="30">
        <f>IF(A222="","",IF(COUNTIF($A$4:$A$1003,A222)&gt;1,"Duplicate email",IF(ISERROR(FIND("@",A222)),"Not an email address",IF(AND(H222=0,E222=""),"Investor without holders","OK"))))</f>
        <v/>
      </c>
    </row>
    <row r="223">
      <c r="A223" s="26" t="n"/>
      <c r="B223" s="26" t="n"/>
      <c r="C223" s="26" t="n"/>
      <c r="D223" s="26" t="n"/>
      <c r="E223" s="26" t="n"/>
      <c r="F223" s="26" t="n"/>
      <c r="G223" s="26" t="n"/>
      <c r="H223" s="30">
        <f>IF(A223="","",COUNTIF('Access'!$A$4:$A$1503,A223))</f>
        <v/>
      </c>
      <c r="I223" s="30">
        <f t="array" ref="I223">IF(A223="","",_xlfn.TEXTJOIN(", ",TRUE,IF(('Companies'!$A$4:$A$63&lt;&gt;"")*(COUNTIFS('Access'!$A$4:$A$1503,A223,'Access'!$F$4:$F$1503,"*"&amp;'Companies'!$A$4:$A$63&amp;"*")&gt;0),'Companies'!$A$4:$A$63,"")))</f>
        <v/>
      </c>
      <c r="J223" s="30">
        <f>IF(A223="","",IF(COUNTIF($A$4:$A$1003,A223)&gt;1,"Duplicate email",IF(ISERROR(FIND("@",A223)),"Not an email address",IF(AND(H223=0,E223=""),"Investor without holders","OK"))))</f>
        <v/>
      </c>
    </row>
    <row r="224">
      <c r="A224" s="26" t="n"/>
      <c r="B224" s="26" t="n"/>
      <c r="C224" s="26" t="n"/>
      <c r="D224" s="26" t="n"/>
      <c r="E224" s="26" t="n"/>
      <c r="F224" s="26" t="n"/>
      <c r="G224" s="26" t="n"/>
      <c r="H224" s="30">
        <f>IF(A224="","",COUNTIF('Access'!$A$4:$A$1503,A224))</f>
        <v/>
      </c>
      <c r="I224" s="30">
        <f t="array" ref="I224">IF(A224="","",_xlfn.TEXTJOIN(", ",TRUE,IF(('Companies'!$A$4:$A$63&lt;&gt;"")*(COUNTIFS('Access'!$A$4:$A$1503,A224,'Access'!$F$4:$F$1503,"*"&amp;'Companies'!$A$4:$A$63&amp;"*")&gt;0),'Companies'!$A$4:$A$63,"")))</f>
        <v/>
      </c>
      <c r="J224" s="30">
        <f>IF(A224="","",IF(COUNTIF($A$4:$A$1003,A224)&gt;1,"Duplicate email",IF(ISERROR(FIND("@",A224)),"Not an email address",IF(AND(H224=0,E224=""),"Investor without holders","OK"))))</f>
        <v/>
      </c>
    </row>
    <row r="225">
      <c r="A225" s="26" t="n"/>
      <c r="B225" s="26" t="n"/>
      <c r="C225" s="26" t="n"/>
      <c r="D225" s="26" t="n"/>
      <c r="E225" s="26" t="n"/>
      <c r="F225" s="26" t="n"/>
      <c r="G225" s="26" t="n"/>
      <c r="H225" s="30">
        <f>IF(A225="","",COUNTIF('Access'!$A$4:$A$1503,A225))</f>
        <v/>
      </c>
      <c r="I225" s="30">
        <f t="array" ref="I225">IF(A225="","",_xlfn.TEXTJOIN(", ",TRUE,IF(('Companies'!$A$4:$A$63&lt;&gt;"")*(COUNTIFS('Access'!$A$4:$A$1503,A225,'Access'!$F$4:$F$1503,"*"&amp;'Companies'!$A$4:$A$63&amp;"*")&gt;0),'Companies'!$A$4:$A$63,"")))</f>
        <v/>
      </c>
      <c r="J225" s="30">
        <f>IF(A225="","",IF(COUNTIF($A$4:$A$1003,A225)&gt;1,"Duplicate email",IF(ISERROR(FIND("@",A225)),"Not an email address",IF(AND(H225=0,E225=""),"Investor without holders","OK"))))</f>
        <v/>
      </c>
    </row>
    <row r="226">
      <c r="A226" s="26" t="n"/>
      <c r="B226" s="26" t="n"/>
      <c r="C226" s="26" t="n"/>
      <c r="D226" s="26" t="n"/>
      <c r="E226" s="26" t="n"/>
      <c r="F226" s="26" t="n"/>
      <c r="G226" s="26" t="n"/>
      <c r="H226" s="30">
        <f>IF(A226="","",COUNTIF('Access'!$A$4:$A$1503,A226))</f>
        <v/>
      </c>
      <c r="I226" s="30">
        <f t="array" ref="I226">IF(A226="","",_xlfn.TEXTJOIN(", ",TRUE,IF(('Companies'!$A$4:$A$63&lt;&gt;"")*(COUNTIFS('Access'!$A$4:$A$1503,A226,'Access'!$F$4:$F$1503,"*"&amp;'Companies'!$A$4:$A$63&amp;"*")&gt;0),'Companies'!$A$4:$A$63,"")))</f>
        <v/>
      </c>
      <c r="J226" s="30">
        <f>IF(A226="","",IF(COUNTIF($A$4:$A$1003,A226)&gt;1,"Duplicate email",IF(ISERROR(FIND("@",A226)),"Not an email address",IF(AND(H226=0,E226=""),"Investor without holders","OK"))))</f>
        <v/>
      </c>
    </row>
    <row r="227">
      <c r="A227" s="26" t="n"/>
      <c r="B227" s="26" t="n"/>
      <c r="C227" s="26" t="n"/>
      <c r="D227" s="26" t="n"/>
      <c r="E227" s="26" t="n"/>
      <c r="F227" s="26" t="n"/>
      <c r="G227" s="26" t="n"/>
      <c r="H227" s="30">
        <f>IF(A227="","",COUNTIF('Access'!$A$4:$A$1503,A227))</f>
        <v/>
      </c>
      <c r="I227" s="30">
        <f t="array" ref="I227">IF(A227="","",_xlfn.TEXTJOIN(", ",TRUE,IF(('Companies'!$A$4:$A$63&lt;&gt;"")*(COUNTIFS('Access'!$A$4:$A$1503,A227,'Access'!$F$4:$F$1503,"*"&amp;'Companies'!$A$4:$A$63&amp;"*")&gt;0),'Companies'!$A$4:$A$63,"")))</f>
        <v/>
      </c>
      <c r="J227" s="30">
        <f>IF(A227="","",IF(COUNTIF($A$4:$A$1003,A227)&gt;1,"Duplicate email",IF(ISERROR(FIND("@",A227)),"Not an email address",IF(AND(H227=0,E227=""),"Investor without holders","OK"))))</f>
        <v/>
      </c>
    </row>
    <row r="228">
      <c r="A228" s="26" t="n"/>
      <c r="B228" s="26" t="n"/>
      <c r="C228" s="26" t="n"/>
      <c r="D228" s="26" t="n"/>
      <c r="E228" s="26" t="n"/>
      <c r="F228" s="26" t="n"/>
      <c r="G228" s="26" t="n"/>
      <c r="H228" s="30">
        <f>IF(A228="","",COUNTIF('Access'!$A$4:$A$1503,A228))</f>
        <v/>
      </c>
      <c r="I228" s="30">
        <f t="array" ref="I228">IF(A228="","",_xlfn.TEXTJOIN(", ",TRUE,IF(('Companies'!$A$4:$A$63&lt;&gt;"")*(COUNTIFS('Access'!$A$4:$A$1503,A228,'Access'!$F$4:$F$1503,"*"&amp;'Companies'!$A$4:$A$63&amp;"*")&gt;0),'Companies'!$A$4:$A$63,"")))</f>
        <v/>
      </c>
      <c r="J228" s="30">
        <f>IF(A228="","",IF(COUNTIF($A$4:$A$1003,A228)&gt;1,"Duplicate email",IF(ISERROR(FIND("@",A228)),"Not an email address",IF(AND(H228=0,E228=""),"Investor without holders","OK"))))</f>
        <v/>
      </c>
    </row>
    <row r="229">
      <c r="A229" s="26" t="n"/>
      <c r="B229" s="26" t="n"/>
      <c r="C229" s="26" t="n"/>
      <c r="D229" s="26" t="n"/>
      <c r="E229" s="26" t="n"/>
      <c r="F229" s="26" t="n"/>
      <c r="G229" s="26" t="n"/>
      <c r="H229" s="30">
        <f>IF(A229="","",COUNTIF('Access'!$A$4:$A$1503,A229))</f>
        <v/>
      </c>
      <c r="I229" s="30">
        <f t="array" ref="I229">IF(A229="","",_xlfn.TEXTJOIN(", ",TRUE,IF(('Companies'!$A$4:$A$63&lt;&gt;"")*(COUNTIFS('Access'!$A$4:$A$1503,A229,'Access'!$F$4:$F$1503,"*"&amp;'Companies'!$A$4:$A$63&amp;"*")&gt;0),'Companies'!$A$4:$A$63,"")))</f>
        <v/>
      </c>
      <c r="J229" s="30">
        <f>IF(A229="","",IF(COUNTIF($A$4:$A$1003,A229)&gt;1,"Duplicate email",IF(ISERROR(FIND("@",A229)),"Not an email address",IF(AND(H229=0,E229=""),"Investor without holders","OK"))))</f>
        <v/>
      </c>
    </row>
    <row r="230">
      <c r="A230" s="26" t="n"/>
      <c r="B230" s="26" t="n"/>
      <c r="C230" s="26" t="n"/>
      <c r="D230" s="26" t="n"/>
      <c r="E230" s="26" t="n"/>
      <c r="F230" s="26" t="n"/>
      <c r="G230" s="26" t="n"/>
      <c r="H230" s="30">
        <f>IF(A230="","",COUNTIF('Access'!$A$4:$A$1503,A230))</f>
        <v/>
      </c>
      <c r="I230" s="30">
        <f t="array" ref="I230">IF(A230="","",_xlfn.TEXTJOIN(", ",TRUE,IF(('Companies'!$A$4:$A$63&lt;&gt;"")*(COUNTIFS('Access'!$A$4:$A$1503,A230,'Access'!$F$4:$F$1503,"*"&amp;'Companies'!$A$4:$A$63&amp;"*")&gt;0),'Companies'!$A$4:$A$63,"")))</f>
        <v/>
      </c>
      <c r="J230" s="30">
        <f>IF(A230="","",IF(COUNTIF($A$4:$A$1003,A230)&gt;1,"Duplicate email",IF(ISERROR(FIND("@",A230)),"Not an email address",IF(AND(H230=0,E230=""),"Investor without holders","OK"))))</f>
        <v/>
      </c>
    </row>
    <row r="231">
      <c r="A231" s="26" t="n"/>
      <c r="B231" s="26" t="n"/>
      <c r="C231" s="26" t="n"/>
      <c r="D231" s="26" t="n"/>
      <c r="E231" s="26" t="n"/>
      <c r="F231" s="26" t="n"/>
      <c r="G231" s="26" t="n"/>
      <c r="H231" s="30">
        <f>IF(A231="","",COUNTIF('Access'!$A$4:$A$1503,A231))</f>
        <v/>
      </c>
      <c r="I231" s="30">
        <f t="array" ref="I231">IF(A231="","",_xlfn.TEXTJOIN(", ",TRUE,IF(('Companies'!$A$4:$A$63&lt;&gt;"")*(COUNTIFS('Access'!$A$4:$A$1503,A231,'Access'!$F$4:$F$1503,"*"&amp;'Companies'!$A$4:$A$63&amp;"*")&gt;0),'Companies'!$A$4:$A$63,"")))</f>
        <v/>
      </c>
      <c r="J231" s="30">
        <f>IF(A231="","",IF(COUNTIF($A$4:$A$1003,A231)&gt;1,"Duplicate email",IF(ISERROR(FIND("@",A231)),"Not an email address",IF(AND(H231=0,E231=""),"Investor without holders","OK"))))</f>
        <v/>
      </c>
    </row>
    <row r="232">
      <c r="A232" s="26" t="n"/>
      <c r="B232" s="26" t="n"/>
      <c r="C232" s="26" t="n"/>
      <c r="D232" s="26" t="n"/>
      <c r="E232" s="26" t="n"/>
      <c r="F232" s="26" t="n"/>
      <c r="G232" s="26" t="n"/>
      <c r="H232" s="30">
        <f>IF(A232="","",COUNTIF('Access'!$A$4:$A$1503,A232))</f>
        <v/>
      </c>
      <c r="I232" s="30">
        <f t="array" ref="I232">IF(A232="","",_xlfn.TEXTJOIN(", ",TRUE,IF(('Companies'!$A$4:$A$63&lt;&gt;"")*(COUNTIFS('Access'!$A$4:$A$1503,A232,'Access'!$F$4:$F$1503,"*"&amp;'Companies'!$A$4:$A$63&amp;"*")&gt;0),'Companies'!$A$4:$A$63,"")))</f>
        <v/>
      </c>
      <c r="J232" s="30">
        <f>IF(A232="","",IF(COUNTIF($A$4:$A$1003,A232)&gt;1,"Duplicate email",IF(ISERROR(FIND("@",A232)),"Not an email address",IF(AND(H232=0,E232=""),"Investor without holders","OK"))))</f>
        <v/>
      </c>
    </row>
    <row r="233">
      <c r="A233" s="26" t="n"/>
      <c r="B233" s="26" t="n"/>
      <c r="C233" s="26" t="n"/>
      <c r="D233" s="26" t="n"/>
      <c r="E233" s="26" t="n"/>
      <c r="F233" s="26" t="n"/>
      <c r="G233" s="26" t="n"/>
      <c r="H233" s="30">
        <f>IF(A233="","",COUNTIF('Access'!$A$4:$A$1503,A233))</f>
        <v/>
      </c>
      <c r="I233" s="30">
        <f t="array" ref="I233">IF(A233="","",_xlfn.TEXTJOIN(", ",TRUE,IF(('Companies'!$A$4:$A$63&lt;&gt;"")*(COUNTIFS('Access'!$A$4:$A$1503,A233,'Access'!$F$4:$F$1503,"*"&amp;'Companies'!$A$4:$A$63&amp;"*")&gt;0),'Companies'!$A$4:$A$63,"")))</f>
        <v/>
      </c>
      <c r="J233" s="30">
        <f>IF(A233="","",IF(COUNTIF($A$4:$A$1003,A233)&gt;1,"Duplicate email",IF(ISERROR(FIND("@",A233)),"Not an email address",IF(AND(H233=0,E233=""),"Investor without holders","OK"))))</f>
        <v/>
      </c>
    </row>
    <row r="234">
      <c r="A234" s="26" t="n"/>
      <c r="B234" s="26" t="n"/>
      <c r="C234" s="26" t="n"/>
      <c r="D234" s="26" t="n"/>
      <c r="E234" s="26" t="n"/>
      <c r="F234" s="26" t="n"/>
      <c r="G234" s="26" t="n"/>
      <c r="H234" s="30">
        <f>IF(A234="","",COUNTIF('Access'!$A$4:$A$1503,A234))</f>
        <v/>
      </c>
      <c r="I234" s="30">
        <f t="array" ref="I234">IF(A234="","",_xlfn.TEXTJOIN(", ",TRUE,IF(('Companies'!$A$4:$A$63&lt;&gt;"")*(COUNTIFS('Access'!$A$4:$A$1503,A234,'Access'!$F$4:$F$1503,"*"&amp;'Companies'!$A$4:$A$63&amp;"*")&gt;0),'Companies'!$A$4:$A$63,"")))</f>
        <v/>
      </c>
      <c r="J234" s="30">
        <f>IF(A234="","",IF(COUNTIF($A$4:$A$1003,A234)&gt;1,"Duplicate email",IF(ISERROR(FIND("@",A234)),"Not an email address",IF(AND(H234=0,E234=""),"Investor without holders","OK"))))</f>
        <v/>
      </c>
    </row>
    <row r="235">
      <c r="A235" s="26" t="n"/>
      <c r="B235" s="26" t="n"/>
      <c r="C235" s="26" t="n"/>
      <c r="D235" s="26" t="n"/>
      <c r="E235" s="26" t="n"/>
      <c r="F235" s="26" t="n"/>
      <c r="G235" s="26" t="n"/>
      <c r="H235" s="30">
        <f>IF(A235="","",COUNTIF('Access'!$A$4:$A$1503,A235))</f>
        <v/>
      </c>
      <c r="I235" s="30">
        <f t="array" ref="I235">IF(A235="","",_xlfn.TEXTJOIN(", ",TRUE,IF(('Companies'!$A$4:$A$63&lt;&gt;"")*(COUNTIFS('Access'!$A$4:$A$1503,A235,'Access'!$F$4:$F$1503,"*"&amp;'Companies'!$A$4:$A$63&amp;"*")&gt;0),'Companies'!$A$4:$A$63,"")))</f>
        <v/>
      </c>
      <c r="J235" s="30">
        <f>IF(A235="","",IF(COUNTIF($A$4:$A$1003,A235)&gt;1,"Duplicate email",IF(ISERROR(FIND("@",A235)),"Not an email address",IF(AND(H235=0,E235=""),"Investor without holders","OK"))))</f>
        <v/>
      </c>
    </row>
    <row r="236">
      <c r="A236" s="26" t="n"/>
      <c r="B236" s="26" t="n"/>
      <c r="C236" s="26" t="n"/>
      <c r="D236" s="26" t="n"/>
      <c r="E236" s="26" t="n"/>
      <c r="F236" s="26" t="n"/>
      <c r="G236" s="26" t="n"/>
      <c r="H236" s="30">
        <f>IF(A236="","",COUNTIF('Access'!$A$4:$A$1503,A236))</f>
        <v/>
      </c>
      <c r="I236" s="30">
        <f t="array" ref="I236">IF(A236="","",_xlfn.TEXTJOIN(", ",TRUE,IF(('Companies'!$A$4:$A$63&lt;&gt;"")*(COUNTIFS('Access'!$A$4:$A$1503,A236,'Access'!$F$4:$F$1503,"*"&amp;'Companies'!$A$4:$A$63&amp;"*")&gt;0),'Companies'!$A$4:$A$63,"")))</f>
        <v/>
      </c>
      <c r="J236" s="30">
        <f>IF(A236="","",IF(COUNTIF($A$4:$A$1003,A236)&gt;1,"Duplicate email",IF(ISERROR(FIND("@",A236)),"Not an email address",IF(AND(H236=0,E236=""),"Investor without holders","OK"))))</f>
        <v/>
      </c>
    </row>
    <row r="237">
      <c r="A237" s="26" t="n"/>
      <c r="B237" s="26" t="n"/>
      <c r="C237" s="26" t="n"/>
      <c r="D237" s="26" t="n"/>
      <c r="E237" s="26" t="n"/>
      <c r="F237" s="26" t="n"/>
      <c r="G237" s="26" t="n"/>
      <c r="H237" s="30">
        <f>IF(A237="","",COUNTIF('Access'!$A$4:$A$1503,A237))</f>
        <v/>
      </c>
      <c r="I237" s="30">
        <f t="array" ref="I237">IF(A237="","",_xlfn.TEXTJOIN(", ",TRUE,IF(('Companies'!$A$4:$A$63&lt;&gt;"")*(COUNTIFS('Access'!$A$4:$A$1503,A237,'Access'!$F$4:$F$1503,"*"&amp;'Companies'!$A$4:$A$63&amp;"*")&gt;0),'Companies'!$A$4:$A$63,"")))</f>
        <v/>
      </c>
      <c r="J237" s="30">
        <f>IF(A237="","",IF(COUNTIF($A$4:$A$1003,A237)&gt;1,"Duplicate email",IF(ISERROR(FIND("@",A237)),"Not an email address",IF(AND(H237=0,E237=""),"Investor without holders","OK"))))</f>
        <v/>
      </c>
    </row>
    <row r="238">
      <c r="A238" s="26" t="n"/>
      <c r="B238" s="26" t="n"/>
      <c r="C238" s="26" t="n"/>
      <c r="D238" s="26" t="n"/>
      <c r="E238" s="26" t="n"/>
      <c r="F238" s="26" t="n"/>
      <c r="G238" s="26" t="n"/>
      <c r="H238" s="30">
        <f>IF(A238="","",COUNTIF('Access'!$A$4:$A$1503,A238))</f>
        <v/>
      </c>
      <c r="I238" s="30">
        <f t="array" ref="I238">IF(A238="","",_xlfn.TEXTJOIN(", ",TRUE,IF(('Companies'!$A$4:$A$63&lt;&gt;"")*(COUNTIFS('Access'!$A$4:$A$1503,A238,'Access'!$F$4:$F$1503,"*"&amp;'Companies'!$A$4:$A$63&amp;"*")&gt;0),'Companies'!$A$4:$A$63,"")))</f>
        <v/>
      </c>
      <c r="J238" s="30">
        <f>IF(A238="","",IF(COUNTIF($A$4:$A$1003,A238)&gt;1,"Duplicate email",IF(ISERROR(FIND("@",A238)),"Not an email address",IF(AND(H238=0,E238=""),"Investor without holders","OK"))))</f>
        <v/>
      </c>
    </row>
    <row r="239">
      <c r="A239" s="26" t="n"/>
      <c r="B239" s="26" t="n"/>
      <c r="C239" s="26" t="n"/>
      <c r="D239" s="26" t="n"/>
      <c r="E239" s="26" t="n"/>
      <c r="F239" s="26" t="n"/>
      <c r="G239" s="26" t="n"/>
      <c r="H239" s="30">
        <f>IF(A239="","",COUNTIF('Access'!$A$4:$A$1503,A239))</f>
        <v/>
      </c>
      <c r="I239" s="30">
        <f t="array" ref="I239">IF(A239="","",_xlfn.TEXTJOIN(", ",TRUE,IF(('Companies'!$A$4:$A$63&lt;&gt;"")*(COUNTIFS('Access'!$A$4:$A$1503,A239,'Access'!$F$4:$F$1503,"*"&amp;'Companies'!$A$4:$A$63&amp;"*")&gt;0),'Companies'!$A$4:$A$63,"")))</f>
        <v/>
      </c>
      <c r="J239" s="30">
        <f>IF(A239="","",IF(COUNTIF($A$4:$A$1003,A239)&gt;1,"Duplicate email",IF(ISERROR(FIND("@",A239)),"Not an email address",IF(AND(H239=0,E239=""),"Investor without holders","OK"))))</f>
        <v/>
      </c>
    </row>
    <row r="240">
      <c r="A240" s="26" t="n"/>
      <c r="B240" s="26" t="n"/>
      <c r="C240" s="26" t="n"/>
      <c r="D240" s="26" t="n"/>
      <c r="E240" s="26" t="n"/>
      <c r="F240" s="26" t="n"/>
      <c r="G240" s="26" t="n"/>
      <c r="H240" s="30">
        <f>IF(A240="","",COUNTIF('Access'!$A$4:$A$1503,A240))</f>
        <v/>
      </c>
      <c r="I240" s="30">
        <f t="array" ref="I240">IF(A240="","",_xlfn.TEXTJOIN(", ",TRUE,IF(('Companies'!$A$4:$A$63&lt;&gt;"")*(COUNTIFS('Access'!$A$4:$A$1503,A240,'Access'!$F$4:$F$1503,"*"&amp;'Companies'!$A$4:$A$63&amp;"*")&gt;0),'Companies'!$A$4:$A$63,"")))</f>
        <v/>
      </c>
      <c r="J240" s="30">
        <f>IF(A240="","",IF(COUNTIF($A$4:$A$1003,A240)&gt;1,"Duplicate email",IF(ISERROR(FIND("@",A240)),"Not an email address",IF(AND(H240=0,E240=""),"Investor without holders","OK"))))</f>
        <v/>
      </c>
    </row>
    <row r="241">
      <c r="A241" s="26" t="n"/>
      <c r="B241" s="26" t="n"/>
      <c r="C241" s="26" t="n"/>
      <c r="D241" s="26" t="n"/>
      <c r="E241" s="26" t="n"/>
      <c r="F241" s="26" t="n"/>
      <c r="G241" s="26" t="n"/>
      <c r="H241" s="30">
        <f>IF(A241="","",COUNTIF('Access'!$A$4:$A$1503,A241))</f>
        <v/>
      </c>
      <c r="I241" s="30">
        <f t="array" ref="I241">IF(A241="","",_xlfn.TEXTJOIN(", ",TRUE,IF(('Companies'!$A$4:$A$63&lt;&gt;"")*(COUNTIFS('Access'!$A$4:$A$1503,A241,'Access'!$F$4:$F$1503,"*"&amp;'Companies'!$A$4:$A$63&amp;"*")&gt;0),'Companies'!$A$4:$A$63,"")))</f>
        <v/>
      </c>
      <c r="J241" s="30">
        <f>IF(A241="","",IF(COUNTIF($A$4:$A$1003,A241)&gt;1,"Duplicate email",IF(ISERROR(FIND("@",A241)),"Not an email address",IF(AND(H241=0,E241=""),"Investor without holders","OK"))))</f>
        <v/>
      </c>
    </row>
    <row r="242">
      <c r="A242" s="26" t="n"/>
      <c r="B242" s="26" t="n"/>
      <c r="C242" s="26" t="n"/>
      <c r="D242" s="26" t="n"/>
      <c r="E242" s="26" t="n"/>
      <c r="F242" s="26" t="n"/>
      <c r="G242" s="26" t="n"/>
      <c r="H242" s="30">
        <f>IF(A242="","",COUNTIF('Access'!$A$4:$A$1503,A242))</f>
        <v/>
      </c>
      <c r="I242" s="30">
        <f t="array" ref="I242">IF(A242="","",_xlfn.TEXTJOIN(", ",TRUE,IF(('Companies'!$A$4:$A$63&lt;&gt;"")*(COUNTIFS('Access'!$A$4:$A$1503,A242,'Access'!$F$4:$F$1503,"*"&amp;'Companies'!$A$4:$A$63&amp;"*")&gt;0),'Companies'!$A$4:$A$63,"")))</f>
        <v/>
      </c>
      <c r="J242" s="30">
        <f>IF(A242="","",IF(COUNTIF($A$4:$A$1003,A242)&gt;1,"Duplicate email",IF(ISERROR(FIND("@",A242)),"Not an email address",IF(AND(H242=0,E242=""),"Investor without holders","OK"))))</f>
        <v/>
      </c>
    </row>
    <row r="243">
      <c r="A243" s="26" t="n"/>
      <c r="B243" s="26" t="n"/>
      <c r="C243" s="26" t="n"/>
      <c r="D243" s="26" t="n"/>
      <c r="E243" s="26" t="n"/>
      <c r="F243" s="26" t="n"/>
      <c r="G243" s="26" t="n"/>
      <c r="H243" s="30">
        <f>IF(A243="","",COUNTIF('Access'!$A$4:$A$1503,A243))</f>
        <v/>
      </c>
      <c r="I243" s="30">
        <f t="array" ref="I243">IF(A243="","",_xlfn.TEXTJOIN(", ",TRUE,IF(('Companies'!$A$4:$A$63&lt;&gt;"")*(COUNTIFS('Access'!$A$4:$A$1503,A243,'Access'!$F$4:$F$1503,"*"&amp;'Companies'!$A$4:$A$63&amp;"*")&gt;0),'Companies'!$A$4:$A$63,"")))</f>
        <v/>
      </c>
      <c r="J243" s="30">
        <f>IF(A243="","",IF(COUNTIF($A$4:$A$1003,A243)&gt;1,"Duplicate email",IF(ISERROR(FIND("@",A243)),"Not an email address",IF(AND(H243=0,E243=""),"Investor without holders","OK"))))</f>
        <v/>
      </c>
    </row>
    <row r="244">
      <c r="A244" s="26" t="n"/>
      <c r="B244" s="26" t="n"/>
      <c r="C244" s="26" t="n"/>
      <c r="D244" s="26" t="n"/>
      <c r="E244" s="26" t="n"/>
      <c r="F244" s="26" t="n"/>
      <c r="G244" s="26" t="n"/>
      <c r="H244" s="30">
        <f>IF(A244="","",COUNTIF('Access'!$A$4:$A$1503,A244))</f>
        <v/>
      </c>
      <c r="I244" s="30">
        <f t="array" ref="I244">IF(A244="","",_xlfn.TEXTJOIN(", ",TRUE,IF(('Companies'!$A$4:$A$63&lt;&gt;"")*(COUNTIFS('Access'!$A$4:$A$1503,A244,'Access'!$F$4:$F$1503,"*"&amp;'Companies'!$A$4:$A$63&amp;"*")&gt;0),'Companies'!$A$4:$A$63,"")))</f>
        <v/>
      </c>
      <c r="J244" s="30">
        <f>IF(A244="","",IF(COUNTIF($A$4:$A$1003,A244)&gt;1,"Duplicate email",IF(ISERROR(FIND("@",A244)),"Not an email address",IF(AND(H244=0,E244=""),"Investor without holders","OK"))))</f>
        <v/>
      </c>
    </row>
    <row r="245">
      <c r="A245" s="26" t="n"/>
      <c r="B245" s="26" t="n"/>
      <c r="C245" s="26" t="n"/>
      <c r="D245" s="26" t="n"/>
      <c r="E245" s="26" t="n"/>
      <c r="F245" s="26" t="n"/>
      <c r="G245" s="26" t="n"/>
      <c r="H245" s="30">
        <f>IF(A245="","",COUNTIF('Access'!$A$4:$A$1503,A245))</f>
        <v/>
      </c>
      <c r="I245" s="30">
        <f t="array" ref="I245">IF(A245="","",_xlfn.TEXTJOIN(", ",TRUE,IF(('Companies'!$A$4:$A$63&lt;&gt;"")*(COUNTIFS('Access'!$A$4:$A$1503,A245,'Access'!$F$4:$F$1503,"*"&amp;'Companies'!$A$4:$A$63&amp;"*")&gt;0),'Companies'!$A$4:$A$63,"")))</f>
        <v/>
      </c>
      <c r="J245" s="30">
        <f>IF(A245="","",IF(COUNTIF($A$4:$A$1003,A245)&gt;1,"Duplicate email",IF(ISERROR(FIND("@",A245)),"Not an email address",IF(AND(H245=0,E245=""),"Investor without holders","OK"))))</f>
        <v/>
      </c>
    </row>
    <row r="246">
      <c r="A246" s="26" t="n"/>
      <c r="B246" s="26" t="n"/>
      <c r="C246" s="26" t="n"/>
      <c r="D246" s="26" t="n"/>
      <c r="E246" s="26" t="n"/>
      <c r="F246" s="26" t="n"/>
      <c r="G246" s="26" t="n"/>
      <c r="H246" s="30">
        <f>IF(A246="","",COUNTIF('Access'!$A$4:$A$1503,A246))</f>
        <v/>
      </c>
      <c r="I246" s="30">
        <f t="array" ref="I246">IF(A246="","",_xlfn.TEXTJOIN(", ",TRUE,IF(('Companies'!$A$4:$A$63&lt;&gt;"")*(COUNTIFS('Access'!$A$4:$A$1503,A246,'Access'!$F$4:$F$1503,"*"&amp;'Companies'!$A$4:$A$63&amp;"*")&gt;0),'Companies'!$A$4:$A$63,"")))</f>
        <v/>
      </c>
      <c r="J246" s="30">
        <f>IF(A246="","",IF(COUNTIF($A$4:$A$1003,A246)&gt;1,"Duplicate email",IF(ISERROR(FIND("@",A246)),"Not an email address",IF(AND(H246=0,E246=""),"Investor without holders","OK"))))</f>
        <v/>
      </c>
    </row>
    <row r="247">
      <c r="A247" s="26" t="n"/>
      <c r="B247" s="26" t="n"/>
      <c r="C247" s="26" t="n"/>
      <c r="D247" s="26" t="n"/>
      <c r="E247" s="26" t="n"/>
      <c r="F247" s="26" t="n"/>
      <c r="G247" s="26" t="n"/>
      <c r="H247" s="30">
        <f>IF(A247="","",COUNTIF('Access'!$A$4:$A$1503,A247))</f>
        <v/>
      </c>
      <c r="I247" s="30">
        <f t="array" ref="I247">IF(A247="","",_xlfn.TEXTJOIN(", ",TRUE,IF(('Companies'!$A$4:$A$63&lt;&gt;"")*(COUNTIFS('Access'!$A$4:$A$1503,A247,'Access'!$F$4:$F$1503,"*"&amp;'Companies'!$A$4:$A$63&amp;"*")&gt;0),'Companies'!$A$4:$A$63,"")))</f>
        <v/>
      </c>
      <c r="J247" s="30">
        <f>IF(A247="","",IF(COUNTIF($A$4:$A$1003,A247)&gt;1,"Duplicate email",IF(ISERROR(FIND("@",A247)),"Not an email address",IF(AND(H247=0,E247=""),"Investor without holders","OK"))))</f>
        <v/>
      </c>
    </row>
    <row r="248">
      <c r="A248" s="26" t="n"/>
      <c r="B248" s="26" t="n"/>
      <c r="C248" s="26" t="n"/>
      <c r="D248" s="26" t="n"/>
      <c r="E248" s="26" t="n"/>
      <c r="F248" s="26" t="n"/>
      <c r="G248" s="26" t="n"/>
      <c r="H248" s="30">
        <f>IF(A248="","",COUNTIF('Access'!$A$4:$A$1503,A248))</f>
        <v/>
      </c>
      <c r="I248" s="30">
        <f t="array" ref="I248">IF(A248="","",_xlfn.TEXTJOIN(", ",TRUE,IF(('Companies'!$A$4:$A$63&lt;&gt;"")*(COUNTIFS('Access'!$A$4:$A$1503,A248,'Access'!$F$4:$F$1503,"*"&amp;'Companies'!$A$4:$A$63&amp;"*")&gt;0),'Companies'!$A$4:$A$63,"")))</f>
        <v/>
      </c>
      <c r="J248" s="30">
        <f>IF(A248="","",IF(COUNTIF($A$4:$A$1003,A248)&gt;1,"Duplicate email",IF(ISERROR(FIND("@",A248)),"Not an email address",IF(AND(H248=0,E248=""),"Investor without holders","OK"))))</f>
        <v/>
      </c>
    </row>
    <row r="249">
      <c r="A249" s="26" t="n"/>
      <c r="B249" s="26" t="n"/>
      <c r="C249" s="26" t="n"/>
      <c r="D249" s="26" t="n"/>
      <c r="E249" s="26" t="n"/>
      <c r="F249" s="26" t="n"/>
      <c r="G249" s="26" t="n"/>
      <c r="H249" s="30">
        <f>IF(A249="","",COUNTIF('Access'!$A$4:$A$1503,A249))</f>
        <v/>
      </c>
      <c r="I249" s="30">
        <f t="array" ref="I249">IF(A249="","",_xlfn.TEXTJOIN(", ",TRUE,IF(('Companies'!$A$4:$A$63&lt;&gt;"")*(COUNTIFS('Access'!$A$4:$A$1503,A249,'Access'!$F$4:$F$1503,"*"&amp;'Companies'!$A$4:$A$63&amp;"*")&gt;0),'Companies'!$A$4:$A$63,"")))</f>
        <v/>
      </c>
      <c r="J249" s="30">
        <f>IF(A249="","",IF(COUNTIF($A$4:$A$1003,A249)&gt;1,"Duplicate email",IF(ISERROR(FIND("@",A249)),"Not an email address",IF(AND(H249=0,E249=""),"Investor without holders","OK"))))</f>
        <v/>
      </c>
    </row>
    <row r="250">
      <c r="A250" s="26" t="n"/>
      <c r="B250" s="26" t="n"/>
      <c r="C250" s="26" t="n"/>
      <c r="D250" s="26" t="n"/>
      <c r="E250" s="26" t="n"/>
      <c r="F250" s="26" t="n"/>
      <c r="G250" s="26" t="n"/>
      <c r="H250" s="30">
        <f>IF(A250="","",COUNTIF('Access'!$A$4:$A$1503,A250))</f>
        <v/>
      </c>
      <c r="I250" s="30">
        <f t="array" ref="I250">IF(A250="","",_xlfn.TEXTJOIN(", ",TRUE,IF(('Companies'!$A$4:$A$63&lt;&gt;"")*(COUNTIFS('Access'!$A$4:$A$1503,A250,'Access'!$F$4:$F$1503,"*"&amp;'Companies'!$A$4:$A$63&amp;"*")&gt;0),'Companies'!$A$4:$A$63,"")))</f>
        <v/>
      </c>
      <c r="J250" s="30">
        <f>IF(A250="","",IF(COUNTIF($A$4:$A$1003,A250)&gt;1,"Duplicate email",IF(ISERROR(FIND("@",A250)),"Not an email address",IF(AND(H250=0,E250=""),"Investor without holders","OK"))))</f>
        <v/>
      </c>
    </row>
    <row r="251">
      <c r="A251" s="26" t="n"/>
      <c r="B251" s="26" t="n"/>
      <c r="C251" s="26" t="n"/>
      <c r="D251" s="26" t="n"/>
      <c r="E251" s="26" t="n"/>
      <c r="F251" s="26" t="n"/>
      <c r="G251" s="26" t="n"/>
      <c r="H251" s="30">
        <f>IF(A251="","",COUNTIF('Access'!$A$4:$A$1503,A251))</f>
        <v/>
      </c>
      <c r="I251" s="30">
        <f t="array" ref="I251">IF(A251="","",_xlfn.TEXTJOIN(", ",TRUE,IF(('Companies'!$A$4:$A$63&lt;&gt;"")*(COUNTIFS('Access'!$A$4:$A$1503,A251,'Access'!$F$4:$F$1503,"*"&amp;'Companies'!$A$4:$A$63&amp;"*")&gt;0),'Companies'!$A$4:$A$63,"")))</f>
        <v/>
      </c>
      <c r="J251" s="30">
        <f>IF(A251="","",IF(COUNTIF($A$4:$A$1003,A251)&gt;1,"Duplicate email",IF(ISERROR(FIND("@",A251)),"Not an email address",IF(AND(H251=0,E251=""),"Investor without holders","OK"))))</f>
        <v/>
      </c>
    </row>
    <row r="252">
      <c r="A252" s="26" t="n"/>
      <c r="B252" s="26" t="n"/>
      <c r="C252" s="26" t="n"/>
      <c r="D252" s="26" t="n"/>
      <c r="E252" s="26" t="n"/>
      <c r="F252" s="26" t="n"/>
      <c r="G252" s="26" t="n"/>
      <c r="H252" s="30">
        <f>IF(A252="","",COUNTIF('Access'!$A$4:$A$1503,A252))</f>
        <v/>
      </c>
      <c r="I252" s="30">
        <f t="array" ref="I252">IF(A252="","",_xlfn.TEXTJOIN(", ",TRUE,IF(('Companies'!$A$4:$A$63&lt;&gt;"")*(COUNTIFS('Access'!$A$4:$A$1503,A252,'Access'!$F$4:$F$1503,"*"&amp;'Companies'!$A$4:$A$63&amp;"*")&gt;0),'Companies'!$A$4:$A$63,"")))</f>
        <v/>
      </c>
      <c r="J252" s="30">
        <f>IF(A252="","",IF(COUNTIF($A$4:$A$1003,A252)&gt;1,"Duplicate email",IF(ISERROR(FIND("@",A252)),"Not an email address",IF(AND(H252=0,E252=""),"Investor without holders","OK"))))</f>
        <v/>
      </c>
    </row>
    <row r="253">
      <c r="A253" s="26" t="n"/>
      <c r="B253" s="26" t="n"/>
      <c r="C253" s="26" t="n"/>
      <c r="D253" s="26" t="n"/>
      <c r="E253" s="26" t="n"/>
      <c r="F253" s="26" t="n"/>
      <c r="G253" s="26" t="n"/>
      <c r="H253" s="30">
        <f>IF(A253="","",COUNTIF('Access'!$A$4:$A$1503,A253))</f>
        <v/>
      </c>
      <c r="I253" s="30">
        <f t="array" ref="I253">IF(A253="","",_xlfn.TEXTJOIN(", ",TRUE,IF(('Companies'!$A$4:$A$63&lt;&gt;"")*(COUNTIFS('Access'!$A$4:$A$1503,A253,'Access'!$F$4:$F$1503,"*"&amp;'Companies'!$A$4:$A$63&amp;"*")&gt;0),'Companies'!$A$4:$A$63,"")))</f>
        <v/>
      </c>
      <c r="J253" s="30">
        <f>IF(A253="","",IF(COUNTIF($A$4:$A$1003,A253)&gt;1,"Duplicate email",IF(ISERROR(FIND("@",A253)),"Not an email address",IF(AND(H253=0,E253=""),"Investor without holders","OK"))))</f>
        <v/>
      </c>
    </row>
    <row r="254">
      <c r="A254" s="26" t="n"/>
      <c r="B254" s="26" t="n"/>
      <c r="C254" s="26" t="n"/>
      <c r="D254" s="26" t="n"/>
      <c r="E254" s="26" t="n"/>
      <c r="F254" s="26" t="n"/>
      <c r="G254" s="26" t="n"/>
      <c r="H254" s="30">
        <f>IF(A254="","",COUNTIF('Access'!$A$4:$A$1503,A254))</f>
        <v/>
      </c>
      <c r="I254" s="30">
        <f t="array" ref="I254">IF(A254="","",_xlfn.TEXTJOIN(", ",TRUE,IF(('Companies'!$A$4:$A$63&lt;&gt;"")*(COUNTIFS('Access'!$A$4:$A$1503,A254,'Access'!$F$4:$F$1503,"*"&amp;'Companies'!$A$4:$A$63&amp;"*")&gt;0),'Companies'!$A$4:$A$63,"")))</f>
        <v/>
      </c>
      <c r="J254" s="30">
        <f>IF(A254="","",IF(COUNTIF($A$4:$A$1003,A254)&gt;1,"Duplicate email",IF(ISERROR(FIND("@",A254)),"Not an email address",IF(AND(H254=0,E254=""),"Investor without holders","OK"))))</f>
        <v/>
      </c>
    </row>
    <row r="255">
      <c r="A255" s="26" t="n"/>
      <c r="B255" s="26" t="n"/>
      <c r="C255" s="26" t="n"/>
      <c r="D255" s="26" t="n"/>
      <c r="E255" s="26" t="n"/>
      <c r="F255" s="26" t="n"/>
      <c r="G255" s="26" t="n"/>
      <c r="H255" s="30">
        <f>IF(A255="","",COUNTIF('Access'!$A$4:$A$1503,A255))</f>
        <v/>
      </c>
      <c r="I255" s="30">
        <f t="array" ref="I255">IF(A255="","",_xlfn.TEXTJOIN(", ",TRUE,IF(('Companies'!$A$4:$A$63&lt;&gt;"")*(COUNTIFS('Access'!$A$4:$A$1503,A255,'Access'!$F$4:$F$1503,"*"&amp;'Companies'!$A$4:$A$63&amp;"*")&gt;0),'Companies'!$A$4:$A$63,"")))</f>
        <v/>
      </c>
      <c r="J255" s="30">
        <f>IF(A255="","",IF(COUNTIF($A$4:$A$1003,A255)&gt;1,"Duplicate email",IF(ISERROR(FIND("@",A255)),"Not an email address",IF(AND(H255=0,E255=""),"Investor without holders","OK"))))</f>
        <v/>
      </c>
    </row>
    <row r="256">
      <c r="A256" s="26" t="n"/>
      <c r="B256" s="26" t="n"/>
      <c r="C256" s="26" t="n"/>
      <c r="D256" s="26" t="n"/>
      <c r="E256" s="26" t="n"/>
      <c r="F256" s="26" t="n"/>
      <c r="G256" s="26" t="n"/>
      <c r="H256" s="30">
        <f>IF(A256="","",COUNTIF('Access'!$A$4:$A$1503,A256))</f>
        <v/>
      </c>
      <c r="I256" s="30">
        <f t="array" ref="I256">IF(A256="","",_xlfn.TEXTJOIN(", ",TRUE,IF(('Companies'!$A$4:$A$63&lt;&gt;"")*(COUNTIFS('Access'!$A$4:$A$1503,A256,'Access'!$F$4:$F$1503,"*"&amp;'Companies'!$A$4:$A$63&amp;"*")&gt;0),'Companies'!$A$4:$A$63,"")))</f>
        <v/>
      </c>
      <c r="J256" s="30">
        <f>IF(A256="","",IF(COUNTIF($A$4:$A$1003,A256)&gt;1,"Duplicate email",IF(ISERROR(FIND("@",A256)),"Not an email address",IF(AND(H256=0,E256=""),"Investor without holders","OK"))))</f>
        <v/>
      </c>
    </row>
    <row r="257">
      <c r="A257" s="26" t="n"/>
      <c r="B257" s="26" t="n"/>
      <c r="C257" s="26" t="n"/>
      <c r="D257" s="26" t="n"/>
      <c r="E257" s="26" t="n"/>
      <c r="F257" s="26" t="n"/>
      <c r="G257" s="26" t="n"/>
      <c r="H257" s="30">
        <f>IF(A257="","",COUNTIF('Access'!$A$4:$A$1503,A257))</f>
        <v/>
      </c>
      <c r="I257" s="30">
        <f t="array" ref="I257">IF(A257="","",_xlfn.TEXTJOIN(", ",TRUE,IF(('Companies'!$A$4:$A$63&lt;&gt;"")*(COUNTIFS('Access'!$A$4:$A$1503,A257,'Access'!$F$4:$F$1503,"*"&amp;'Companies'!$A$4:$A$63&amp;"*")&gt;0),'Companies'!$A$4:$A$63,"")))</f>
        <v/>
      </c>
      <c r="J257" s="30">
        <f>IF(A257="","",IF(COUNTIF($A$4:$A$1003,A257)&gt;1,"Duplicate email",IF(ISERROR(FIND("@",A257)),"Not an email address",IF(AND(H257=0,E257=""),"Investor without holders","OK"))))</f>
        <v/>
      </c>
    </row>
    <row r="258">
      <c r="A258" s="26" t="n"/>
      <c r="B258" s="26" t="n"/>
      <c r="C258" s="26" t="n"/>
      <c r="D258" s="26" t="n"/>
      <c r="E258" s="26" t="n"/>
      <c r="F258" s="26" t="n"/>
      <c r="G258" s="26" t="n"/>
      <c r="H258" s="30">
        <f>IF(A258="","",COUNTIF('Access'!$A$4:$A$1503,A258))</f>
        <v/>
      </c>
      <c r="I258" s="30">
        <f t="array" ref="I258">IF(A258="","",_xlfn.TEXTJOIN(", ",TRUE,IF(('Companies'!$A$4:$A$63&lt;&gt;"")*(COUNTIFS('Access'!$A$4:$A$1503,A258,'Access'!$F$4:$F$1503,"*"&amp;'Companies'!$A$4:$A$63&amp;"*")&gt;0),'Companies'!$A$4:$A$63,"")))</f>
        <v/>
      </c>
      <c r="J258" s="30">
        <f>IF(A258="","",IF(COUNTIF($A$4:$A$1003,A258)&gt;1,"Duplicate email",IF(ISERROR(FIND("@",A258)),"Not an email address",IF(AND(H258=0,E258=""),"Investor without holders","OK"))))</f>
        <v/>
      </c>
    </row>
    <row r="259">
      <c r="A259" s="26" t="n"/>
      <c r="B259" s="26" t="n"/>
      <c r="C259" s="26" t="n"/>
      <c r="D259" s="26" t="n"/>
      <c r="E259" s="26" t="n"/>
      <c r="F259" s="26" t="n"/>
      <c r="G259" s="26" t="n"/>
      <c r="H259" s="30">
        <f>IF(A259="","",COUNTIF('Access'!$A$4:$A$1503,A259))</f>
        <v/>
      </c>
      <c r="I259" s="30">
        <f t="array" ref="I259">IF(A259="","",_xlfn.TEXTJOIN(", ",TRUE,IF(('Companies'!$A$4:$A$63&lt;&gt;"")*(COUNTIFS('Access'!$A$4:$A$1503,A259,'Access'!$F$4:$F$1503,"*"&amp;'Companies'!$A$4:$A$63&amp;"*")&gt;0),'Companies'!$A$4:$A$63,"")))</f>
        <v/>
      </c>
      <c r="J259" s="30">
        <f>IF(A259="","",IF(COUNTIF($A$4:$A$1003,A259)&gt;1,"Duplicate email",IF(ISERROR(FIND("@",A259)),"Not an email address",IF(AND(H259=0,E259=""),"Investor without holders","OK"))))</f>
        <v/>
      </c>
    </row>
    <row r="260">
      <c r="A260" s="26" t="n"/>
      <c r="B260" s="26" t="n"/>
      <c r="C260" s="26" t="n"/>
      <c r="D260" s="26" t="n"/>
      <c r="E260" s="26" t="n"/>
      <c r="F260" s="26" t="n"/>
      <c r="G260" s="26" t="n"/>
      <c r="H260" s="30">
        <f>IF(A260="","",COUNTIF('Access'!$A$4:$A$1503,A260))</f>
        <v/>
      </c>
      <c r="I260" s="30">
        <f t="array" ref="I260">IF(A260="","",_xlfn.TEXTJOIN(", ",TRUE,IF(('Companies'!$A$4:$A$63&lt;&gt;"")*(COUNTIFS('Access'!$A$4:$A$1503,A260,'Access'!$F$4:$F$1503,"*"&amp;'Companies'!$A$4:$A$63&amp;"*")&gt;0),'Companies'!$A$4:$A$63,"")))</f>
        <v/>
      </c>
      <c r="J260" s="30">
        <f>IF(A260="","",IF(COUNTIF($A$4:$A$1003,A260)&gt;1,"Duplicate email",IF(ISERROR(FIND("@",A260)),"Not an email address",IF(AND(H260=0,E260=""),"Investor without holders","OK"))))</f>
        <v/>
      </c>
    </row>
    <row r="261">
      <c r="A261" s="26" t="n"/>
      <c r="B261" s="26" t="n"/>
      <c r="C261" s="26" t="n"/>
      <c r="D261" s="26" t="n"/>
      <c r="E261" s="26" t="n"/>
      <c r="F261" s="26" t="n"/>
      <c r="G261" s="26" t="n"/>
      <c r="H261" s="30">
        <f>IF(A261="","",COUNTIF('Access'!$A$4:$A$1503,A261))</f>
        <v/>
      </c>
      <c r="I261" s="30">
        <f t="array" ref="I261">IF(A261="","",_xlfn.TEXTJOIN(", ",TRUE,IF(('Companies'!$A$4:$A$63&lt;&gt;"")*(COUNTIFS('Access'!$A$4:$A$1503,A261,'Access'!$F$4:$F$1503,"*"&amp;'Companies'!$A$4:$A$63&amp;"*")&gt;0),'Companies'!$A$4:$A$63,"")))</f>
        <v/>
      </c>
      <c r="J261" s="30">
        <f>IF(A261="","",IF(COUNTIF($A$4:$A$1003,A261)&gt;1,"Duplicate email",IF(ISERROR(FIND("@",A261)),"Not an email address",IF(AND(H261=0,E261=""),"Investor without holders","OK"))))</f>
        <v/>
      </c>
    </row>
    <row r="262">
      <c r="A262" s="26" t="n"/>
      <c r="B262" s="26" t="n"/>
      <c r="C262" s="26" t="n"/>
      <c r="D262" s="26" t="n"/>
      <c r="E262" s="26" t="n"/>
      <c r="F262" s="26" t="n"/>
      <c r="G262" s="26" t="n"/>
      <c r="H262" s="30">
        <f>IF(A262="","",COUNTIF('Access'!$A$4:$A$1503,A262))</f>
        <v/>
      </c>
      <c r="I262" s="30">
        <f t="array" ref="I262">IF(A262="","",_xlfn.TEXTJOIN(", ",TRUE,IF(('Companies'!$A$4:$A$63&lt;&gt;"")*(COUNTIFS('Access'!$A$4:$A$1503,A262,'Access'!$F$4:$F$1503,"*"&amp;'Companies'!$A$4:$A$63&amp;"*")&gt;0),'Companies'!$A$4:$A$63,"")))</f>
        <v/>
      </c>
      <c r="J262" s="30">
        <f>IF(A262="","",IF(COUNTIF($A$4:$A$1003,A262)&gt;1,"Duplicate email",IF(ISERROR(FIND("@",A262)),"Not an email address",IF(AND(H262=0,E262=""),"Investor without holders","OK"))))</f>
        <v/>
      </c>
    </row>
    <row r="263">
      <c r="A263" s="26" t="n"/>
      <c r="B263" s="26" t="n"/>
      <c r="C263" s="26" t="n"/>
      <c r="D263" s="26" t="n"/>
      <c r="E263" s="26" t="n"/>
      <c r="F263" s="26" t="n"/>
      <c r="G263" s="26" t="n"/>
      <c r="H263" s="30">
        <f>IF(A263="","",COUNTIF('Access'!$A$4:$A$1503,A263))</f>
        <v/>
      </c>
      <c r="I263" s="30">
        <f t="array" ref="I263">IF(A263="","",_xlfn.TEXTJOIN(", ",TRUE,IF(('Companies'!$A$4:$A$63&lt;&gt;"")*(COUNTIFS('Access'!$A$4:$A$1503,A263,'Access'!$F$4:$F$1503,"*"&amp;'Companies'!$A$4:$A$63&amp;"*")&gt;0),'Companies'!$A$4:$A$63,"")))</f>
        <v/>
      </c>
      <c r="J263" s="30">
        <f>IF(A263="","",IF(COUNTIF($A$4:$A$1003,A263)&gt;1,"Duplicate email",IF(ISERROR(FIND("@",A263)),"Not an email address",IF(AND(H263=0,E263=""),"Investor without holders","OK"))))</f>
        <v/>
      </c>
    </row>
    <row r="264">
      <c r="A264" s="26" t="n"/>
      <c r="B264" s="26" t="n"/>
      <c r="C264" s="26" t="n"/>
      <c r="D264" s="26" t="n"/>
      <c r="E264" s="26" t="n"/>
      <c r="F264" s="26" t="n"/>
      <c r="G264" s="26" t="n"/>
      <c r="H264" s="30">
        <f>IF(A264="","",COUNTIF('Access'!$A$4:$A$1503,A264))</f>
        <v/>
      </c>
      <c r="I264" s="30">
        <f t="array" ref="I264">IF(A264="","",_xlfn.TEXTJOIN(", ",TRUE,IF(('Companies'!$A$4:$A$63&lt;&gt;"")*(COUNTIFS('Access'!$A$4:$A$1503,A264,'Access'!$F$4:$F$1503,"*"&amp;'Companies'!$A$4:$A$63&amp;"*")&gt;0),'Companies'!$A$4:$A$63,"")))</f>
        <v/>
      </c>
      <c r="J264" s="30">
        <f>IF(A264="","",IF(COUNTIF($A$4:$A$1003,A264)&gt;1,"Duplicate email",IF(ISERROR(FIND("@",A264)),"Not an email address",IF(AND(H264=0,E264=""),"Investor without holders","OK"))))</f>
        <v/>
      </c>
    </row>
    <row r="265">
      <c r="A265" s="26" t="n"/>
      <c r="B265" s="26" t="n"/>
      <c r="C265" s="26" t="n"/>
      <c r="D265" s="26" t="n"/>
      <c r="E265" s="26" t="n"/>
      <c r="F265" s="26" t="n"/>
      <c r="G265" s="26" t="n"/>
      <c r="H265" s="30">
        <f>IF(A265="","",COUNTIF('Access'!$A$4:$A$1503,A265))</f>
        <v/>
      </c>
      <c r="I265" s="30">
        <f t="array" ref="I265">IF(A265="","",_xlfn.TEXTJOIN(", ",TRUE,IF(('Companies'!$A$4:$A$63&lt;&gt;"")*(COUNTIFS('Access'!$A$4:$A$1503,A265,'Access'!$F$4:$F$1503,"*"&amp;'Companies'!$A$4:$A$63&amp;"*")&gt;0),'Companies'!$A$4:$A$63,"")))</f>
        <v/>
      </c>
      <c r="J265" s="30">
        <f>IF(A265="","",IF(COUNTIF($A$4:$A$1003,A265)&gt;1,"Duplicate email",IF(ISERROR(FIND("@",A265)),"Not an email address",IF(AND(H265=0,E265=""),"Investor without holders","OK"))))</f>
        <v/>
      </c>
    </row>
    <row r="266">
      <c r="A266" s="26" t="n"/>
      <c r="B266" s="26" t="n"/>
      <c r="C266" s="26" t="n"/>
      <c r="D266" s="26" t="n"/>
      <c r="E266" s="26" t="n"/>
      <c r="F266" s="26" t="n"/>
      <c r="G266" s="26" t="n"/>
      <c r="H266" s="30">
        <f>IF(A266="","",COUNTIF('Access'!$A$4:$A$1503,A266))</f>
        <v/>
      </c>
      <c r="I266" s="30">
        <f t="array" ref="I266">IF(A266="","",_xlfn.TEXTJOIN(", ",TRUE,IF(('Companies'!$A$4:$A$63&lt;&gt;"")*(COUNTIFS('Access'!$A$4:$A$1503,A266,'Access'!$F$4:$F$1503,"*"&amp;'Companies'!$A$4:$A$63&amp;"*")&gt;0),'Companies'!$A$4:$A$63,"")))</f>
        <v/>
      </c>
      <c r="J266" s="30">
        <f>IF(A266="","",IF(COUNTIF($A$4:$A$1003,A266)&gt;1,"Duplicate email",IF(ISERROR(FIND("@",A266)),"Not an email address",IF(AND(H266=0,E266=""),"Investor without holders","OK"))))</f>
        <v/>
      </c>
    </row>
    <row r="267">
      <c r="A267" s="26" t="n"/>
      <c r="B267" s="26" t="n"/>
      <c r="C267" s="26" t="n"/>
      <c r="D267" s="26" t="n"/>
      <c r="E267" s="26" t="n"/>
      <c r="F267" s="26" t="n"/>
      <c r="G267" s="26" t="n"/>
      <c r="H267" s="30">
        <f>IF(A267="","",COUNTIF('Access'!$A$4:$A$1503,A267))</f>
        <v/>
      </c>
      <c r="I267" s="30">
        <f t="array" ref="I267">IF(A267="","",_xlfn.TEXTJOIN(", ",TRUE,IF(('Companies'!$A$4:$A$63&lt;&gt;"")*(COUNTIFS('Access'!$A$4:$A$1503,A267,'Access'!$F$4:$F$1503,"*"&amp;'Companies'!$A$4:$A$63&amp;"*")&gt;0),'Companies'!$A$4:$A$63,"")))</f>
        <v/>
      </c>
      <c r="J267" s="30">
        <f>IF(A267="","",IF(COUNTIF($A$4:$A$1003,A267)&gt;1,"Duplicate email",IF(ISERROR(FIND("@",A267)),"Not an email address",IF(AND(H267=0,E267=""),"Investor without holders","OK"))))</f>
        <v/>
      </c>
    </row>
    <row r="268">
      <c r="A268" s="26" t="n"/>
      <c r="B268" s="26" t="n"/>
      <c r="C268" s="26" t="n"/>
      <c r="D268" s="26" t="n"/>
      <c r="E268" s="26" t="n"/>
      <c r="F268" s="26" t="n"/>
      <c r="G268" s="26" t="n"/>
      <c r="H268" s="30">
        <f>IF(A268="","",COUNTIF('Access'!$A$4:$A$1503,A268))</f>
        <v/>
      </c>
      <c r="I268" s="30">
        <f t="array" ref="I268">IF(A268="","",_xlfn.TEXTJOIN(", ",TRUE,IF(('Companies'!$A$4:$A$63&lt;&gt;"")*(COUNTIFS('Access'!$A$4:$A$1503,A268,'Access'!$F$4:$F$1503,"*"&amp;'Companies'!$A$4:$A$63&amp;"*")&gt;0),'Companies'!$A$4:$A$63,"")))</f>
        <v/>
      </c>
      <c r="J268" s="30">
        <f>IF(A268="","",IF(COUNTIF($A$4:$A$1003,A268)&gt;1,"Duplicate email",IF(ISERROR(FIND("@",A268)),"Not an email address",IF(AND(H268=0,E268=""),"Investor without holders","OK"))))</f>
        <v/>
      </c>
    </row>
    <row r="269">
      <c r="A269" s="26" t="n"/>
      <c r="B269" s="26" t="n"/>
      <c r="C269" s="26" t="n"/>
      <c r="D269" s="26" t="n"/>
      <c r="E269" s="26" t="n"/>
      <c r="F269" s="26" t="n"/>
      <c r="G269" s="26" t="n"/>
      <c r="H269" s="30">
        <f>IF(A269="","",COUNTIF('Access'!$A$4:$A$1503,A269))</f>
        <v/>
      </c>
      <c r="I269" s="30">
        <f t="array" ref="I269">IF(A269="","",_xlfn.TEXTJOIN(", ",TRUE,IF(('Companies'!$A$4:$A$63&lt;&gt;"")*(COUNTIFS('Access'!$A$4:$A$1503,A269,'Access'!$F$4:$F$1503,"*"&amp;'Companies'!$A$4:$A$63&amp;"*")&gt;0),'Companies'!$A$4:$A$63,"")))</f>
        <v/>
      </c>
      <c r="J269" s="30">
        <f>IF(A269="","",IF(COUNTIF($A$4:$A$1003,A269)&gt;1,"Duplicate email",IF(ISERROR(FIND("@",A269)),"Not an email address",IF(AND(H269=0,E269=""),"Investor without holders","OK"))))</f>
        <v/>
      </c>
    </row>
    <row r="270">
      <c r="A270" s="26" t="n"/>
      <c r="B270" s="26" t="n"/>
      <c r="C270" s="26" t="n"/>
      <c r="D270" s="26" t="n"/>
      <c r="E270" s="26" t="n"/>
      <c r="F270" s="26" t="n"/>
      <c r="G270" s="26" t="n"/>
      <c r="H270" s="30">
        <f>IF(A270="","",COUNTIF('Access'!$A$4:$A$1503,A270))</f>
        <v/>
      </c>
      <c r="I270" s="30">
        <f t="array" ref="I270">IF(A270="","",_xlfn.TEXTJOIN(", ",TRUE,IF(('Companies'!$A$4:$A$63&lt;&gt;"")*(COUNTIFS('Access'!$A$4:$A$1503,A270,'Access'!$F$4:$F$1503,"*"&amp;'Companies'!$A$4:$A$63&amp;"*")&gt;0),'Companies'!$A$4:$A$63,"")))</f>
        <v/>
      </c>
      <c r="J270" s="30">
        <f>IF(A270="","",IF(COUNTIF($A$4:$A$1003,A270)&gt;1,"Duplicate email",IF(ISERROR(FIND("@",A270)),"Not an email address",IF(AND(H270=0,E270=""),"Investor without holders","OK"))))</f>
        <v/>
      </c>
    </row>
    <row r="271">
      <c r="A271" s="26" t="n"/>
      <c r="B271" s="26" t="n"/>
      <c r="C271" s="26" t="n"/>
      <c r="D271" s="26" t="n"/>
      <c r="E271" s="26" t="n"/>
      <c r="F271" s="26" t="n"/>
      <c r="G271" s="26" t="n"/>
      <c r="H271" s="30">
        <f>IF(A271="","",COUNTIF('Access'!$A$4:$A$1503,A271))</f>
        <v/>
      </c>
      <c r="I271" s="30">
        <f t="array" ref="I271">IF(A271="","",_xlfn.TEXTJOIN(", ",TRUE,IF(('Companies'!$A$4:$A$63&lt;&gt;"")*(COUNTIFS('Access'!$A$4:$A$1503,A271,'Access'!$F$4:$F$1503,"*"&amp;'Companies'!$A$4:$A$63&amp;"*")&gt;0),'Companies'!$A$4:$A$63,"")))</f>
        <v/>
      </c>
      <c r="J271" s="30">
        <f>IF(A271="","",IF(COUNTIF($A$4:$A$1003,A271)&gt;1,"Duplicate email",IF(ISERROR(FIND("@",A271)),"Not an email address",IF(AND(H271=0,E271=""),"Investor without holders","OK"))))</f>
        <v/>
      </c>
    </row>
    <row r="272">
      <c r="A272" s="26" t="n"/>
      <c r="B272" s="26" t="n"/>
      <c r="C272" s="26" t="n"/>
      <c r="D272" s="26" t="n"/>
      <c r="E272" s="26" t="n"/>
      <c r="F272" s="26" t="n"/>
      <c r="G272" s="26" t="n"/>
      <c r="H272" s="30">
        <f>IF(A272="","",COUNTIF('Access'!$A$4:$A$1503,A272))</f>
        <v/>
      </c>
      <c r="I272" s="30">
        <f t="array" ref="I272">IF(A272="","",_xlfn.TEXTJOIN(", ",TRUE,IF(('Companies'!$A$4:$A$63&lt;&gt;"")*(COUNTIFS('Access'!$A$4:$A$1503,A272,'Access'!$F$4:$F$1503,"*"&amp;'Companies'!$A$4:$A$63&amp;"*")&gt;0),'Companies'!$A$4:$A$63,"")))</f>
        <v/>
      </c>
      <c r="J272" s="30">
        <f>IF(A272="","",IF(COUNTIF($A$4:$A$1003,A272)&gt;1,"Duplicate email",IF(ISERROR(FIND("@",A272)),"Not an email address",IF(AND(H272=0,E272=""),"Investor without holders","OK"))))</f>
        <v/>
      </c>
    </row>
    <row r="273">
      <c r="A273" s="26" t="n"/>
      <c r="B273" s="26" t="n"/>
      <c r="C273" s="26" t="n"/>
      <c r="D273" s="26" t="n"/>
      <c r="E273" s="26" t="n"/>
      <c r="F273" s="26" t="n"/>
      <c r="G273" s="26" t="n"/>
      <c r="H273" s="30">
        <f>IF(A273="","",COUNTIF('Access'!$A$4:$A$1503,A273))</f>
        <v/>
      </c>
      <c r="I273" s="30">
        <f t="array" ref="I273">IF(A273="","",_xlfn.TEXTJOIN(", ",TRUE,IF(('Companies'!$A$4:$A$63&lt;&gt;"")*(COUNTIFS('Access'!$A$4:$A$1503,A273,'Access'!$F$4:$F$1503,"*"&amp;'Companies'!$A$4:$A$63&amp;"*")&gt;0),'Companies'!$A$4:$A$63,"")))</f>
        <v/>
      </c>
      <c r="J273" s="30">
        <f>IF(A273="","",IF(COUNTIF($A$4:$A$1003,A273)&gt;1,"Duplicate email",IF(ISERROR(FIND("@",A273)),"Not an email address",IF(AND(H273=0,E273=""),"Investor without holders","OK"))))</f>
        <v/>
      </c>
    </row>
    <row r="274">
      <c r="A274" s="26" t="n"/>
      <c r="B274" s="26" t="n"/>
      <c r="C274" s="26" t="n"/>
      <c r="D274" s="26" t="n"/>
      <c r="E274" s="26" t="n"/>
      <c r="F274" s="26" t="n"/>
      <c r="G274" s="26" t="n"/>
      <c r="H274" s="30">
        <f>IF(A274="","",COUNTIF('Access'!$A$4:$A$1503,A274))</f>
        <v/>
      </c>
      <c r="I274" s="30">
        <f t="array" ref="I274">IF(A274="","",_xlfn.TEXTJOIN(", ",TRUE,IF(('Companies'!$A$4:$A$63&lt;&gt;"")*(COUNTIFS('Access'!$A$4:$A$1503,A274,'Access'!$F$4:$F$1503,"*"&amp;'Companies'!$A$4:$A$63&amp;"*")&gt;0),'Companies'!$A$4:$A$63,"")))</f>
        <v/>
      </c>
      <c r="J274" s="30">
        <f>IF(A274="","",IF(COUNTIF($A$4:$A$1003,A274)&gt;1,"Duplicate email",IF(ISERROR(FIND("@",A274)),"Not an email address",IF(AND(H274=0,E274=""),"Investor without holders","OK"))))</f>
        <v/>
      </c>
    </row>
    <row r="275">
      <c r="A275" s="26" t="n"/>
      <c r="B275" s="26" t="n"/>
      <c r="C275" s="26" t="n"/>
      <c r="D275" s="26" t="n"/>
      <c r="E275" s="26" t="n"/>
      <c r="F275" s="26" t="n"/>
      <c r="G275" s="26" t="n"/>
      <c r="H275" s="30">
        <f>IF(A275="","",COUNTIF('Access'!$A$4:$A$1503,A275))</f>
        <v/>
      </c>
      <c r="I275" s="30">
        <f t="array" ref="I275">IF(A275="","",_xlfn.TEXTJOIN(", ",TRUE,IF(('Companies'!$A$4:$A$63&lt;&gt;"")*(COUNTIFS('Access'!$A$4:$A$1503,A275,'Access'!$F$4:$F$1503,"*"&amp;'Companies'!$A$4:$A$63&amp;"*")&gt;0),'Companies'!$A$4:$A$63,"")))</f>
        <v/>
      </c>
      <c r="J275" s="30">
        <f>IF(A275="","",IF(COUNTIF($A$4:$A$1003,A275)&gt;1,"Duplicate email",IF(ISERROR(FIND("@",A275)),"Not an email address",IF(AND(H275=0,E275=""),"Investor without holders","OK"))))</f>
        <v/>
      </c>
    </row>
    <row r="276">
      <c r="A276" s="26" t="n"/>
      <c r="B276" s="26" t="n"/>
      <c r="C276" s="26" t="n"/>
      <c r="D276" s="26" t="n"/>
      <c r="E276" s="26" t="n"/>
      <c r="F276" s="26" t="n"/>
      <c r="G276" s="26" t="n"/>
      <c r="H276" s="30">
        <f>IF(A276="","",COUNTIF('Access'!$A$4:$A$1503,A276))</f>
        <v/>
      </c>
      <c r="I276" s="30">
        <f t="array" ref="I276">IF(A276="","",_xlfn.TEXTJOIN(", ",TRUE,IF(('Companies'!$A$4:$A$63&lt;&gt;"")*(COUNTIFS('Access'!$A$4:$A$1503,A276,'Access'!$F$4:$F$1503,"*"&amp;'Companies'!$A$4:$A$63&amp;"*")&gt;0),'Companies'!$A$4:$A$63,"")))</f>
        <v/>
      </c>
      <c r="J276" s="30">
        <f>IF(A276="","",IF(COUNTIF($A$4:$A$1003,A276)&gt;1,"Duplicate email",IF(ISERROR(FIND("@",A276)),"Not an email address",IF(AND(H276=0,E276=""),"Investor without holders","OK"))))</f>
        <v/>
      </c>
    </row>
    <row r="277">
      <c r="A277" s="26" t="n"/>
      <c r="B277" s="26" t="n"/>
      <c r="C277" s="26" t="n"/>
      <c r="D277" s="26" t="n"/>
      <c r="E277" s="26" t="n"/>
      <c r="F277" s="26" t="n"/>
      <c r="G277" s="26" t="n"/>
      <c r="H277" s="30">
        <f>IF(A277="","",COUNTIF('Access'!$A$4:$A$1503,A277))</f>
        <v/>
      </c>
      <c r="I277" s="30">
        <f t="array" ref="I277">IF(A277="","",_xlfn.TEXTJOIN(", ",TRUE,IF(('Companies'!$A$4:$A$63&lt;&gt;"")*(COUNTIFS('Access'!$A$4:$A$1503,A277,'Access'!$F$4:$F$1503,"*"&amp;'Companies'!$A$4:$A$63&amp;"*")&gt;0),'Companies'!$A$4:$A$63,"")))</f>
        <v/>
      </c>
      <c r="J277" s="30">
        <f>IF(A277="","",IF(COUNTIF($A$4:$A$1003,A277)&gt;1,"Duplicate email",IF(ISERROR(FIND("@",A277)),"Not an email address",IF(AND(H277=0,E277=""),"Investor without holders","OK"))))</f>
        <v/>
      </c>
    </row>
    <row r="278">
      <c r="A278" s="26" t="n"/>
      <c r="B278" s="26" t="n"/>
      <c r="C278" s="26" t="n"/>
      <c r="D278" s="26" t="n"/>
      <c r="E278" s="26" t="n"/>
      <c r="F278" s="26" t="n"/>
      <c r="G278" s="26" t="n"/>
      <c r="H278" s="30">
        <f>IF(A278="","",COUNTIF('Access'!$A$4:$A$1503,A278))</f>
        <v/>
      </c>
      <c r="I278" s="30">
        <f t="array" ref="I278">IF(A278="","",_xlfn.TEXTJOIN(", ",TRUE,IF(('Companies'!$A$4:$A$63&lt;&gt;"")*(COUNTIFS('Access'!$A$4:$A$1503,A278,'Access'!$F$4:$F$1503,"*"&amp;'Companies'!$A$4:$A$63&amp;"*")&gt;0),'Companies'!$A$4:$A$63,"")))</f>
        <v/>
      </c>
      <c r="J278" s="30">
        <f>IF(A278="","",IF(COUNTIF($A$4:$A$1003,A278)&gt;1,"Duplicate email",IF(ISERROR(FIND("@",A278)),"Not an email address",IF(AND(H278=0,E278=""),"Investor without holders","OK"))))</f>
        <v/>
      </c>
    </row>
    <row r="279">
      <c r="A279" s="26" t="n"/>
      <c r="B279" s="26" t="n"/>
      <c r="C279" s="26" t="n"/>
      <c r="D279" s="26" t="n"/>
      <c r="E279" s="26" t="n"/>
      <c r="F279" s="26" t="n"/>
      <c r="G279" s="26" t="n"/>
      <c r="H279" s="30">
        <f>IF(A279="","",COUNTIF('Access'!$A$4:$A$1503,A279))</f>
        <v/>
      </c>
      <c r="I279" s="30">
        <f t="array" ref="I279">IF(A279="","",_xlfn.TEXTJOIN(", ",TRUE,IF(('Companies'!$A$4:$A$63&lt;&gt;"")*(COUNTIFS('Access'!$A$4:$A$1503,A279,'Access'!$F$4:$F$1503,"*"&amp;'Companies'!$A$4:$A$63&amp;"*")&gt;0),'Companies'!$A$4:$A$63,"")))</f>
        <v/>
      </c>
      <c r="J279" s="30">
        <f>IF(A279="","",IF(COUNTIF($A$4:$A$1003,A279)&gt;1,"Duplicate email",IF(ISERROR(FIND("@",A279)),"Not an email address",IF(AND(H279=0,E279=""),"Investor without holders","OK"))))</f>
        <v/>
      </c>
    </row>
    <row r="280">
      <c r="A280" s="26" t="n"/>
      <c r="B280" s="26" t="n"/>
      <c r="C280" s="26" t="n"/>
      <c r="D280" s="26" t="n"/>
      <c r="E280" s="26" t="n"/>
      <c r="F280" s="26" t="n"/>
      <c r="G280" s="26" t="n"/>
      <c r="H280" s="30">
        <f>IF(A280="","",COUNTIF('Access'!$A$4:$A$1503,A280))</f>
        <v/>
      </c>
      <c r="I280" s="30">
        <f t="array" ref="I280">IF(A280="","",_xlfn.TEXTJOIN(", ",TRUE,IF(('Companies'!$A$4:$A$63&lt;&gt;"")*(COUNTIFS('Access'!$A$4:$A$1503,A280,'Access'!$F$4:$F$1503,"*"&amp;'Companies'!$A$4:$A$63&amp;"*")&gt;0),'Companies'!$A$4:$A$63,"")))</f>
        <v/>
      </c>
      <c r="J280" s="30">
        <f>IF(A280="","",IF(COUNTIF($A$4:$A$1003,A280)&gt;1,"Duplicate email",IF(ISERROR(FIND("@",A280)),"Not an email address",IF(AND(H280=0,E280=""),"Investor without holders","OK"))))</f>
        <v/>
      </c>
    </row>
    <row r="281">
      <c r="A281" s="26" t="n"/>
      <c r="B281" s="26" t="n"/>
      <c r="C281" s="26" t="n"/>
      <c r="D281" s="26" t="n"/>
      <c r="E281" s="26" t="n"/>
      <c r="F281" s="26" t="n"/>
      <c r="G281" s="26" t="n"/>
      <c r="H281" s="30">
        <f>IF(A281="","",COUNTIF('Access'!$A$4:$A$1503,A281))</f>
        <v/>
      </c>
      <c r="I281" s="30">
        <f t="array" ref="I281">IF(A281="","",_xlfn.TEXTJOIN(", ",TRUE,IF(('Companies'!$A$4:$A$63&lt;&gt;"")*(COUNTIFS('Access'!$A$4:$A$1503,A281,'Access'!$F$4:$F$1503,"*"&amp;'Companies'!$A$4:$A$63&amp;"*")&gt;0),'Companies'!$A$4:$A$63,"")))</f>
        <v/>
      </c>
      <c r="J281" s="30">
        <f>IF(A281="","",IF(COUNTIF($A$4:$A$1003,A281)&gt;1,"Duplicate email",IF(ISERROR(FIND("@",A281)),"Not an email address",IF(AND(H281=0,E281=""),"Investor without holders","OK"))))</f>
        <v/>
      </c>
    </row>
    <row r="282">
      <c r="A282" s="26" t="n"/>
      <c r="B282" s="26" t="n"/>
      <c r="C282" s="26" t="n"/>
      <c r="D282" s="26" t="n"/>
      <c r="E282" s="26" t="n"/>
      <c r="F282" s="26" t="n"/>
      <c r="G282" s="26" t="n"/>
      <c r="H282" s="30">
        <f>IF(A282="","",COUNTIF('Access'!$A$4:$A$1503,A282))</f>
        <v/>
      </c>
      <c r="I282" s="30">
        <f t="array" ref="I282">IF(A282="","",_xlfn.TEXTJOIN(", ",TRUE,IF(('Companies'!$A$4:$A$63&lt;&gt;"")*(COUNTIFS('Access'!$A$4:$A$1503,A282,'Access'!$F$4:$F$1503,"*"&amp;'Companies'!$A$4:$A$63&amp;"*")&gt;0),'Companies'!$A$4:$A$63,"")))</f>
        <v/>
      </c>
      <c r="J282" s="30">
        <f>IF(A282="","",IF(COUNTIF($A$4:$A$1003,A282)&gt;1,"Duplicate email",IF(ISERROR(FIND("@",A282)),"Not an email address",IF(AND(H282=0,E282=""),"Investor without holders","OK"))))</f>
        <v/>
      </c>
    </row>
    <row r="283">
      <c r="A283" s="26" t="n"/>
      <c r="B283" s="26" t="n"/>
      <c r="C283" s="26" t="n"/>
      <c r="D283" s="26" t="n"/>
      <c r="E283" s="26" t="n"/>
      <c r="F283" s="26" t="n"/>
      <c r="G283" s="26" t="n"/>
      <c r="H283" s="30">
        <f>IF(A283="","",COUNTIF('Access'!$A$4:$A$1503,A283))</f>
        <v/>
      </c>
      <c r="I283" s="30">
        <f t="array" ref="I283">IF(A283="","",_xlfn.TEXTJOIN(", ",TRUE,IF(('Companies'!$A$4:$A$63&lt;&gt;"")*(COUNTIFS('Access'!$A$4:$A$1503,A283,'Access'!$F$4:$F$1503,"*"&amp;'Companies'!$A$4:$A$63&amp;"*")&gt;0),'Companies'!$A$4:$A$63,"")))</f>
        <v/>
      </c>
      <c r="J283" s="30">
        <f>IF(A283="","",IF(COUNTIF($A$4:$A$1003,A283)&gt;1,"Duplicate email",IF(ISERROR(FIND("@",A283)),"Not an email address",IF(AND(H283=0,E283=""),"Investor without holders","OK"))))</f>
        <v/>
      </c>
    </row>
    <row r="284">
      <c r="A284" s="26" t="n"/>
      <c r="B284" s="26" t="n"/>
      <c r="C284" s="26" t="n"/>
      <c r="D284" s="26" t="n"/>
      <c r="E284" s="26" t="n"/>
      <c r="F284" s="26" t="n"/>
      <c r="G284" s="26" t="n"/>
      <c r="H284" s="30">
        <f>IF(A284="","",COUNTIF('Access'!$A$4:$A$1503,A284))</f>
        <v/>
      </c>
      <c r="I284" s="30">
        <f t="array" ref="I284">IF(A284="","",_xlfn.TEXTJOIN(", ",TRUE,IF(('Companies'!$A$4:$A$63&lt;&gt;"")*(COUNTIFS('Access'!$A$4:$A$1503,A284,'Access'!$F$4:$F$1503,"*"&amp;'Companies'!$A$4:$A$63&amp;"*")&gt;0),'Companies'!$A$4:$A$63,"")))</f>
        <v/>
      </c>
      <c r="J284" s="30">
        <f>IF(A284="","",IF(COUNTIF($A$4:$A$1003,A284)&gt;1,"Duplicate email",IF(ISERROR(FIND("@",A284)),"Not an email address",IF(AND(H284=0,E284=""),"Investor without holders","OK"))))</f>
        <v/>
      </c>
    </row>
    <row r="285">
      <c r="A285" s="26" t="n"/>
      <c r="B285" s="26" t="n"/>
      <c r="C285" s="26" t="n"/>
      <c r="D285" s="26" t="n"/>
      <c r="E285" s="26" t="n"/>
      <c r="F285" s="26" t="n"/>
      <c r="G285" s="26" t="n"/>
      <c r="H285" s="30">
        <f>IF(A285="","",COUNTIF('Access'!$A$4:$A$1503,A285))</f>
        <v/>
      </c>
      <c r="I285" s="30">
        <f t="array" ref="I285">IF(A285="","",_xlfn.TEXTJOIN(", ",TRUE,IF(('Companies'!$A$4:$A$63&lt;&gt;"")*(COUNTIFS('Access'!$A$4:$A$1503,A285,'Access'!$F$4:$F$1503,"*"&amp;'Companies'!$A$4:$A$63&amp;"*")&gt;0),'Companies'!$A$4:$A$63,"")))</f>
        <v/>
      </c>
      <c r="J285" s="30">
        <f>IF(A285="","",IF(COUNTIF($A$4:$A$1003,A285)&gt;1,"Duplicate email",IF(ISERROR(FIND("@",A285)),"Not an email address",IF(AND(H285=0,E285=""),"Investor without holders","OK"))))</f>
        <v/>
      </c>
    </row>
    <row r="286">
      <c r="A286" s="26" t="n"/>
      <c r="B286" s="26" t="n"/>
      <c r="C286" s="26" t="n"/>
      <c r="D286" s="26" t="n"/>
      <c r="E286" s="26" t="n"/>
      <c r="F286" s="26" t="n"/>
      <c r="G286" s="26" t="n"/>
      <c r="H286" s="30">
        <f>IF(A286="","",COUNTIF('Access'!$A$4:$A$1503,A286))</f>
        <v/>
      </c>
      <c r="I286" s="30">
        <f t="array" ref="I286">IF(A286="","",_xlfn.TEXTJOIN(", ",TRUE,IF(('Companies'!$A$4:$A$63&lt;&gt;"")*(COUNTIFS('Access'!$A$4:$A$1503,A286,'Access'!$F$4:$F$1503,"*"&amp;'Companies'!$A$4:$A$63&amp;"*")&gt;0),'Companies'!$A$4:$A$63,"")))</f>
        <v/>
      </c>
      <c r="J286" s="30">
        <f>IF(A286="","",IF(COUNTIF($A$4:$A$1003,A286)&gt;1,"Duplicate email",IF(ISERROR(FIND("@",A286)),"Not an email address",IF(AND(H286=0,E286=""),"Investor without holders","OK"))))</f>
        <v/>
      </c>
    </row>
    <row r="287">
      <c r="A287" s="26" t="n"/>
      <c r="B287" s="26" t="n"/>
      <c r="C287" s="26" t="n"/>
      <c r="D287" s="26" t="n"/>
      <c r="E287" s="26" t="n"/>
      <c r="F287" s="26" t="n"/>
      <c r="G287" s="26" t="n"/>
      <c r="H287" s="30">
        <f>IF(A287="","",COUNTIF('Access'!$A$4:$A$1503,A287))</f>
        <v/>
      </c>
      <c r="I287" s="30">
        <f t="array" ref="I287">IF(A287="","",_xlfn.TEXTJOIN(", ",TRUE,IF(('Companies'!$A$4:$A$63&lt;&gt;"")*(COUNTIFS('Access'!$A$4:$A$1503,A287,'Access'!$F$4:$F$1503,"*"&amp;'Companies'!$A$4:$A$63&amp;"*")&gt;0),'Companies'!$A$4:$A$63,"")))</f>
        <v/>
      </c>
      <c r="J287" s="30">
        <f>IF(A287="","",IF(COUNTIF($A$4:$A$1003,A287)&gt;1,"Duplicate email",IF(ISERROR(FIND("@",A287)),"Not an email address",IF(AND(H287=0,E287=""),"Investor without holders","OK"))))</f>
        <v/>
      </c>
    </row>
    <row r="288">
      <c r="A288" s="26" t="n"/>
      <c r="B288" s="26" t="n"/>
      <c r="C288" s="26" t="n"/>
      <c r="D288" s="26" t="n"/>
      <c r="E288" s="26" t="n"/>
      <c r="F288" s="26" t="n"/>
      <c r="G288" s="26" t="n"/>
      <c r="H288" s="30">
        <f>IF(A288="","",COUNTIF('Access'!$A$4:$A$1503,A288))</f>
        <v/>
      </c>
      <c r="I288" s="30">
        <f t="array" ref="I288">IF(A288="","",_xlfn.TEXTJOIN(", ",TRUE,IF(('Companies'!$A$4:$A$63&lt;&gt;"")*(COUNTIFS('Access'!$A$4:$A$1503,A288,'Access'!$F$4:$F$1503,"*"&amp;'Companies'!$A$4:$A$63&amp;"*")&gt;0),'Companies'!$A$4:$A$63,"")))</f>
        <v/>
      </c>
      <c r="J288" s="30">
        <f>IF(A288="","",IF(COUNTIF($A$4:$A$1003,A288)&gt;1,"Duplicate email",IF(ISERROR(FIND("@",A288)),"Not an email address",IF(AND(H288=0,E288=""),"Investor without holders","OK"))))</f>
        <v/>
      </c>
    </row>
    <row r="289">
      <c r="A289" s="26" t="n"/>
      <c r="B289" s="26" t="n"/>
      <c r="C289" s="26" t="n"/>
      <c r="D289" s="26" t="n"/>
      <c r="E289" s="26" t="n"/>
      <c r="F289" s="26" t="n"/>
      <c r="G289" s="26" t="n"/>
      <c r="H289" s="30">
        <f>IF(A289="","",COUNTIF('Access'!$A$4:$A$1503,A289))</f>
        <v/>
      </c>
      <c r="I289" s="30">
        <f t="array" ref="I289">IF(A289="","",_xlfn.TEXTJOIN(", ",TRUE,IF(('Companies'!$A$4:$A$63&lt;&gt;"")*(COUNTIFS('Access'!$A$4:$A$1503,A289,'Access'!$F$4:$F$1503,"*"&amp;'Companies'!$A$4:$A$63&amp;"*")&gt;0),'Companies'!$A$4:$A$63,"")))</f>
        <v/>
      </c>
      <c r="J289" s="30">
        <f>IF(A289="","",IF(COUNTIF($A$4:$A$1003,A289)&gt;1,"Duplicate email",IF(ISERROR(FIND("@",A289)),"Not an email address",IF(AND(H289=0,E289=""),"Investor without holders","OK"))))</f>
        <v/>
      </c>
    </row>
    <row r="290">
      <c r="A290" s="26" t="n"/>
      <c r="B290" s="26" t="n"/>
      <c r="C290" s="26" t="n"/>
      <c r="D290" s="26" t="n"/>
      <c r="E290" s="26" t="n"/>
      <c r="F290" s="26" t="n"/>
      <c r="G290" s="26" t="n"/>
      <c r="H290" s="30">
        <f>IF(A290="","",COUNTIF('Access'!$A$4:$A$1503,A290))</f>
        <v/>
      </c>
      <c r="I290" s="30">
        <f t="array" ref="I290">IF(A290="","",_xlfn.TEXTJOIN(", ",TRUE,IF(('Companies'!$A$4:$A$63&lt;&gt;"")*(COUNTIFS('Access'!$A$4:$A$1503,A290,'Access'!$F$4:$F$1503,"*"&amp;'Companies'!$A$4:$A$63&amp;"*")&gt;0),'Companies'!$A$4:$A$63,"")))</f>
        <v/>
      </c>
      <c r="J290" s="30">
        <f>IF(A290="","",IF(COUNTIF($A$4:$A$1003,A290)&gt;1,"Duplicate email",IF(ISERROR(FIND("@",A290)),"Not an email address",IF(AND(H290=0,E290=""),"Investor without holders","OK"))))</f>
        <v/>
      </c>
    </row>
    <row r="291">
      <c r="A291" s="26" t="n"/>
      <c r="B291" s="26" t="n"/>
      <c r="C291" s="26" t="n"/>
      <c r="D291" s="26" t="n"/>
      <c r="E291" s="26" t="n"/>
      <c r="F291" s="26" t="n"/>
      <c r="G291" s="26" t="n"/>
      <c r="H291" s="30">
        <f>IF(A291="","",COUNTIF('Access'!$A$4:$A$1503,A291))</f>
        <v/>
      </c>
      <c r="I291" s="30">
        <f t="array" ref="I291">IF(A291="","",_xlfn.TEXTJOIN(", ",TRUE,IF(('Companies'!$A$4:$A$63&lt;&gt;"")*(COUNTIFS('Access'!$A$4:$A$1503,A291,'Access'!$F$4:$F$1503,"*"&amp;'Companies'!$A$4:$A$63&amp;"*")&gt;0),'Companies'!$A$4:$A$63,"")))</f>
        <v/>
      </c>
      <c r="J291" s="30">
        <f>IF(A291="","",IF(COUNTIF($A$4:$A$1003,A291)&gt;1,"Duplicate email",IF(ISERROR(FIND("@",A291)),"Not an email address",IF(AND(H291=0,E291=""),"Investor without holders","OK"))))</f>
        <v/>
      </c>
    </row>
    <row r="292">
      <c r="A292" s="26" t="n"/>
      <c r="B292" s="26" t="n"/>
      <c r="C292" s="26" t="n"/>
      <c r="D292" s="26" t="n"/>
      <c r="E292" s="26" t="n"/>
      <c r="F292" s="26" t="n"/>
      <c r="G292" s="26" t="n"/>
      <c r="H292" s="30">
        <f>IF(A292="","",COUNTIF('Access'!$A$4:$A$1503,A292))</f>
        <v/>
      </c>
      <c r="I292" s="30">
        <f t="array" ref="I292">IF(A292="","",_xlfn.TEXTJOIN(", ",TRUE,IF(('Companies'!$A$4:$A$63&lt;&gt;"")*(COUNTIFS('Access'!$A$4:$A$1503,A292,'Access'!$F$4:$F$1503,"*"&amp;'Companies'!$A$4:$A$63&amp;"*")&gt;0),'Companies'!$A$4:$A$63,"")))</f>
        <v/>
      </c>
      <c r="J292" s="30">
        <f>IF(A292="","",IF(COUNTIF($A$4:$A$1003,A292)&gt;1,"Duplicate email",IF(ISERROR(FIND("@",A292)),"Not an email address",IF(AND(H292=0,E292=""),"Investor without holders","OK"))))</f>
        <v/>
      </c>
    </row>
    <row r="293">
      <c r="A293" s="26" t="n"/>
      <c r="B293" s="26" t="n"/>
      <c r="C293" s="26" t="n"/>
      <c r="D293" s="26" t="n"/>
      <c r="E293" s="26" t="n"/>
      <c r="F293" s="26" t="n"/>
      <c r="G293" s="26" t="n"/>
      <c r="H293" s="30">
        <f>IF(A293="","",COUNTIF('Access'!$A$4:$A$1503,A293))</f>
        <v/>
      </c>
      <c r="I293" s="30">
        <f t="array" ref="I293">IF(A293="","",_xlfn.TEXTJOIN(", ",TRUE,IF(('Companies'!$A$4:$A$63&lt;&gt;"")*(COUNTIFS('Access'!$A$4:$A$1503,A293,'Access'!$F$4:$F$1503,"*"&amp;'Companies'!$A$4:$A$63&amp;"*")&gt;0),'Companies'!$A$4:$A$63,"")))</f>
        <v/>
      </c>
      <c r="J293" s="30">
        <f>IF(A293="","",IF(COUNTIF($A$4:$A$1003,A293)&gt;1,"Duplicate email",IF(ISERROR(FIND("@",A293)),"Not an email address",IF(AND(H293=0,E293=""),"Investor without holders","OK"))))</f>
        <v/>
      </c>
    </row>
    <row r="294">
      <c r="A294" s="26" t="n"/>
      <c r="B294" s="26" t="n"/>
      <c r="C294" s="26" t="n"/>
      <c r="D294" s="26" t="n"/>
      <c r="E294" s="26" t="n"/>
      <c r="F294" s="26" t="n"/>
      <c r="G294" s="26" t="n"/>
      <c r="H294" s="30">
        <f>IF(A294="","",COUNTIF('Access'!$A$4:$A$1503,A294))</f>
        <v/>
      </c>
      <c r="I294" s="30">
        <f t="array" ref="I294">IF(A294="","",_xlfn.TEXTJOIN(", ",TRUE,IF(('Companies'!$A$4:$A$63&lt;&gt;"")*(COUNTIFS('Access'!$A$4:$A$1503,A294,'Access'!$F$4:$F$1503,"*"&amp;'Companies'!$A$4:$A$63&amp;"*")&gt;0),'Companies'!$A$4:$A$63,"")))</f>
        <v/>
      </c>
      <c r="J294" s="30">
        <f>IF(A294="","",IF(COUNTIF($A$4:$A$1003,A294)&gt;1,"Duplicate email",IF(ISERROR(FIND("@",A294)),"Not an email address",IF(AND(H294=0,E294=""),"Investor without holders","OK"))))</f>
        <v/>
      </c>
    </row>
    <row r="295">
      <c r="A295" s="26" t="n"/>
      <c r="B295" s="26" t="n"/>
      <c r="C295" s="26" t="n"/>
      <c r="D295" s="26" t="n"/>
      <c r="E295" s="26" t="n"/>
      <c r="F295" s="26" t="n"/>
      <c r="G295" s="26" t="n"/>
      <c r="H295" s="30">
        <f>IF(A295="","",COUNTIF('Access'!$A$4:$A$1503,A295))</f>
        <v/>
      </c>
      <c r="I295" s="30">
        <f t="array" ref="I295">IF(A295="","",_xlfn.TEXTJOIN(", ",TRUE,IF(('Companies'!$A$4:$A$63&lt;&gt;"")*(COUNTIFS('Access'!$A$4:$A$1503,A295,'Access'!$F$4:$F$1503,"*"&amp;'Companies'!$A$4:$A$63&amp;"*")&gt;0),'Companies'!$A$4:$A$63,"")))</f>
        <v/>
      </c>
      <c r="J295" s="30">
        <f>IF(A295="","",IF(COUNTIF($A$4:$A$1003,A295)&gt;1,"Duplicate email",IF(ISERROR(FIND("@",A295)),"Not an email address",IF(AND(H295=0,E295=""),"Investor without holders","OK"))))</f>
        <v/>
      </c>
    </row>
    <row r="296">
      <c r="A296" s="26" t="n"/>
      <c r="B296" s="26" t="n"/>
      <c r="C296" s="26" t="n"/>
      <c r="D296" s="26" t="n"/>
      <c r="E296" s="26" t="n"/>
      <c r="F296" s="26" t="n"/>
      <c r="G296" s="26" t="n"/>
      <c r="H296" s="30">
        <f>IF(A296="","",COUNTIF('Access'!$A$4:$A$1503,A296))</f>
        <v/>
      </c>
      <c r="I296" s="30">
        <f t="array" ref="I296">IF(A296="","",_xlfn.TEXTJOIN(", ",TRUE,IF(('Companies'!$A$4:$A$63&lt;&gt;"")*(COUNTIFS('Access'!$A$4:$A$1503,A296,'Access'!$F$4:$F$1503,"*"&amp;'Companies'!$A$4:$A$63&amp;"*")&gt;0),'Companies'!$A$4:$A$63,"")))</f>
        <v/>
      </c>
      <c r="J296" s="30">
        <f>IF(A296="","",IF(COUNTIF($A$4:$A$1003,A296)&gt;1,"Duplicate email",IF(ISERROR(FIND("@",A296)),"Not an email address",IF(AND(H296=0,E296=""),"Investor without holders","OK"))))</f>
        <v/>
      </c>
    </row>
    <row r="297">
      <c r="A297" s="26" t="n"/>
      <c r="B297" s="26" t="n"/>
      <c r="C297" s="26" t="n"/>
      <c r="D297" s="26" t="n"/>
      <c r="E297" s="26" t="n"/>
      <c r="F297" s="26" t="n"/>
      <c r="G297" s="26" t="n"/>
      <c r="H297" s="30">
        <f>IF(A297="","",COUNTIF('Access'!$A$4:$A$1503,A297))</f>
        <v/>
      </c>
      <c r="I297" s="30">
        <f t="array" ref="I297">IF(A297="","",_xlfn.TEXTJOIN(", ",TRUE,IF(('Companies'!$A$4:$A$63&lt;&gt;"")*(COUNTIFS('Access'!$A$4:$A$1503,A297,'Access'!$F$4:$F$1503,"*"&amp;'Companies'!$A$4:$A$63&amp;"*")&gt;0),'Companies'!$A$4:$A$63,"")))</f>
        <v/>
      </c>
      <c r="J297" s="30">
        <f>IF(A297="","",IF(COUNTIF($A$4:$A$1003,A297)&gt;1,"Duplicate email",IF(ISERROR(FIND("@",A297)),"Not an email address",IF(AND(H297=0,E297=""),"Investor without holders","OK"))))</f>
        <v/>
      </c>
    </row>
    <row r="298">
      <c r="A298" s="26" t="n"/>
      <c r="B298" s="26" t="n"/>
      <c r="C298" s="26" t="n"/>
      <c r="D298" s="26" t="n"/>
      <c r="E298" s="26" t="n"/>
      <c r="F298" s="26" t="n"/>
      <c r="G298" s="26" t="n"/>
      <c r="H298" s="30">
        <f>IF(A298="","",COUNTIF('Access'!$A$4:$A$1503,A298))</f>
        <v/>
      </c>
      <c r="I298" s="30">
        <f t="array" ref="I298">IF(A298="","",_xlfn.TEXTJOIN(", ",TRUE,IF(('Companies'!$A$4:$A$63&lt;&gt;"")*(COUNTIFS('Access'!$A$4:$A$1503,A298,'Access'!$F$4:$F$1503,"*"&amp;'Companies'!$A$4:$A$63&amp;"*")&gt;0),'Companies'!$A$4:$A$63,"")))</f>
        <v/>
      </c>
      <c r="J298" s="30">
        <f>IF(A298="","",IF(COUNTIF($A$4:$A$1003,A298)&gt;1,"Duplicate email",IF(ISERROR(FIND("@",A298)),"Not an email address",IF(AND(H298=0,E298=""),"Investor without holders","OK"))))</f>
        <v/>
      </c>
    </row>
    <row r="299">
      <c r="A299" s="26" t="n"/>
      <c r="B299" s="26" t="n"/>
      <c r="C299" s="26" t="n"/>
      <c r="D299" s="26" t="n"/>
      <c r="E299" s="26" t="n"/>
      <c r="F299" s="26" t="n"/>
      <c r="G299" s="26" t="n"/>
      <c r="H299" s="30">
        <f>IF(A299="","",COUNTIF('Access'!$A$4:$A$1503,A299))</f>
        <v/>
      </c>
      <c r="I299" s="30">
        <f t="array" ref="I299">IF(A299="","",_xlfn.TEXTJOIN(", ",TRUE,IF(('Companies'!$A$4:$A$63&lt;&gt;"")*(COUNTIFS('Access'!$A$4:$A$1503,A299,'Access'!$F$4:$F$1503,"*"&amp;'Companies'!$A$4:$A$63&amp;"*")&gt;0),'Companies'!$A$4:$A$63,"")))</f>
        <v/>
      </c>
      <c r="J299" s="30">
        <f>IF(A299="","",IF(COUNTIF($A$4:$A$1003,A299)&gt;1,"Duplicate email",IF(ISERROR(FIND("@",A299)),"Not an email address",IF(AND(H299=0,E299=""),"Investor without holders","OK"))))</f>
        <v/>
      </c>
    </row>
    <row r="300">
      <c r="A300" s="26" t="n"/>
      <c r="B300" s="26" t="n"/>
      <c r="C300" s="26" t="n"/>
      <c r="D300" s="26" t="n"/>
      <c r="E300" s="26" t="n"/>
      <c r="F300" s="26" t="n"/>
      <c r="G300" s="26" t="n"/>
      <c r="H300" s="30">
        <f>IF(A300="","",COUNTIF('Access'!$A$4:$A$1503,A300))</f>
        <v/>
      </c>
      <c r="I300" s="30">
        <f t="array" ref="I300">IF(A300="","",_xlfn.TEXTJOIN(", ",TRUE,IF(('Companies'!$A$4:$A$63&lt;&gt;"")*(COUNTIFS('Access'!$A$4:$A$1503,A300,'Access'!$F$4:$F$1503,"*"&amp;'Companies'!$A$4:$A$63&amp;"*")&gt;0),'Companies'!$A$4:$A$63,"")))</f>
        <v/>
      </c>
      <c r="J300" s="30">
        <f>IF(A300="","",IF(COUNTIF($A$4:$A$1003,A300)&gt;1,"Duplicate email",IF(ISERROR(FIND("@",A300)),"Not an email address",IF(AND(H300=0,E300=""),"Investor without holders","OK"))))</f>
        <v/>
      </c>
    </row>
    <row r="301">
      <c r="A301" s="26" t="n"/>
      <c r="B301" s="26" t="n"/>
      <c r="C301" s="26" t="n"/>
      <c r="D301" s="26" t="n"/>
      <c r="E301" s="26" t="n"/>
      <c r="F301" s="26" t="n"/>
      <c r="G301" s="26" t="n"/>
      <c r="H301" s="30">
        <f>IF(A301="","",COUNTIF('Access'!$A$4:$A$1503,A301))</f>
        <v/>
      </c>
      <c r="I301" s="30">
        <f t="array" ref="I301">IF(A301="","",_xlfn.TEXTJOIN(", ",TRUE,IF(('Companies'!$A$4:$A$63&lt;&gt;"")*(COUNTIFS('Access'!$A$4:$A$1503,A301,'Access'!$F$4:$F$1503,"*"&amp;'Companies'!$A$4:$A$63&amp;"*")&gt;0),'Companies'!$A$4:$A$63,"")))</f>
        <v/>
      </c>
      <c r="J301" s="30">
        <f>IF(A301="","",IF(COUNTIF($A$4:$A$1003,A301)&gt;1,"Duplicate email",IF(ISERROR(FIND("@",A301)),"Not an email address",IF(AND(H301=0,E301=""),"Investor without holders","OK"))))</f>
        <v/>
      </c>
    </row>
    <row r="302">
      <c r="A302" s="26" t="n"/>
      <c r="B302" s="26" t="n"/>
      <c r="C302" s="26" t="n"/>
      <c r="D302" s="26" t="n"/>
      <c r="E302" s="26" t="n"/>
      <c r="F302" s="26" t="n"/>
      <c r="G302" s="26" t="n"/>
      <c r="H302" s="30">
        <f>IF(A302="","",COUNTIF('Access'!$A$4:$A$1503,A302))</f>
        <v/>
      </c>
      <c r="I302" s="30">
        <f t="array" ref="I302">IF(A302="","",_xlfn.TEXTJOIN(", ",TRUE,IF(('Companies'!$A$4:$A$63&lt;&gt;"")*(COUNTIFS('Access'!$A$4:$A$1503,A302,'Access'!$F$4:$F$1503,"*"&amp;'Companies'!$A$4:$A$63&amp;"*")&gt;0),'Companies'!$A$4:$A$63,"")))</f>
        <v/>
      </c>
      <c r="J302" s="30">
        <f>IF(A302="","",IF(COUNTIF($A$4:$A$1003,A302)&gt;1,"Duplicate email",IF(ISERROR(FIND("@",A302)),"Not an email address",IF(AND(H302=0,E302=""),"Investor without holders","OK"))))</f>
        <v/>
      </c>
    </row>
    <row r="303">
      <c r="A303" s="26" t="n"/>
      <c r="B303" s="26" t="n"/>
      <c r="C303" s="26" t="n"/>
      <c r="D303" s="26" t="n"/>
      <c r="E303" s="26" t="n"/>
      <c r="F303" s="26" t="n"/>
      <c r="G303" s="26" t="n"/>
      <c r="H303" s="30">
        <f>IF(A303="","",COUNTIF('Access'!$A$4:$A$1503,A303))</f>
        <v/>
      </c>
      <c r="I303" s="30">
        <f t="array" ref="I303">IF(A303="","",_xlfn.TEXTJOIN(", ",TRUE,IF(('Companies'!$A$4:$A$63&lt;&gt;"")*(COUNTIFS('Access'!$A$4:$A$1503,A303,'Access'!$F$4:$F$1503,"*"&amp;'Companies'!$A$4:$A$63&amp;"*")&gt;0),'Companies'!$A$4:$A$63,"")))</f>
        <v/>
      </c>
      <c r="J303" s="30">
        <f>IF(A303="","",IF(COUNTIF($A$4:$A$1003,A303)&gt;1,"Duplicate email",IF(ISERROR(FIND("@",A303)),"Not an email address",IF(AND(H303=0,E303=""),"Investor without holders","OK"))))</f>
        <v/>
      </c>
    </row>
    <row r="304">
      <c r="A304" s="26" t="n"/>
      <c r="B304" s="26" t="n"/>
      <c r="C304" s="26" t="n"/>
      <c r="D304" s="26" t="n"/>
      <c r="E304" s="26" t="n"/>
      <c r="F304" s="26" t="n"/>
      <c r="G304" s="26" t="n"/>
      <c r="H304" s="30">
        <f>IF(A304="","",COUNTIF('Access'!$A$4:$A$1503,A304))</f>
        <v/>
      </c>
      <c r="I304" s="30">
        <f t="array" ref="I304">IF(A304="","",_xlfn.TEXTJOIN(", ",TRUE,IF(('Companies'!$A$4:$A$63&lt;&gt;"")*(COUNTIFS('Access'!$A$4:$A$1503,A304,'Access'!$F$4:$F$1503,"*"&amp;'Companies'!$A$4:$A$63&amp;"*")&gt;0),'Companies'!$A$4:$A$63,"")))</f>
        <v/>
      </c>
      <c r="J304" s="30">
        <f>IF(A304="","",IF(COUNTIF($A$4:$A$1003,A304)&gt;1,"Duplicate email",IF(ISERROR(FIND("@",A304)),"Not an email address",IF(AND(H304=0,E304=""),"Investor without holders","OK"))))</f>
        <v/>
      </c>
    </row>
    <row r="305">
      <c r="A305" s="26" t="n"/>
      <c r="B305" s="26" t="n"/>
      <c r="C305" s="26" t="n"/>
      <c r="D305" s="26" t="n"/>
      <c r="E305" s="26" t="n"/>
      <c r="F305" s="26" t="n"/>
      <c r="G305" s="26" t="n"/>
      <c r="H305" s="30">
        <f>IF(A305="","",COUNTIF('Access'!$A$4:$A$1503,A305))</f>
        <v/>
      </c>
      <c r="I305" s="30">
        <f t="array" ref="I305">IF(A305="","",_xlfn.TEXTJOIN(", ",TRUE,IF(('Companies'!$A$4:$A$63&lt;&gt;"")*(COUNTIFS('Access'!$A$4:$A$1503,A305,'Access'!$F$4:$F$1503,"*"&amp;'Companies'!$A$4:$A$63&amp;"*")&gt;0),'Companies'!$A$4:$A$63,"")))</f>
        <v/>
      </c>
      <c r="J305" s="30">
        <f>IF(A305="","",IF(COUNTIF($A$4:$A$1003,A305)&gt;1,"Duplicate email",IF(ISERROR(FIND("@",A305)),"Not an email address",IF(AND(H305=0,E305=""),"Investor without holders","OK"))))</f>
        <v/>
      </c>
    </row>
    <row r="306">
      <c r="A306" s="26" t="n"/>
      <c r="B306" s="26" t="n"/>
      <c r="C306" s="26" t="n"/>
      <c r="D306" s="26" t="n"/>
      <c r="E306" s="26" t="n"/>
      <c r="F306" s="26" t="n"/>
      <c r="G306" s="26" t="n"/>
      <c r="H306" s="30">
        <f>IF(A306="","",COUNTIF('Access'!$A$4:$A$1503,A306))</f>
        <v/>
      </c>
      <c r="I306" s="30">
        <f t="array" ref="I306">IF(A306="","",_xlfn.TEXTJOIN(", ",TRUE,IF(('Companies'!$A$4:$A$63&lt;&gt;"")*(COUNTIFS('Access'!$A$4:$A$1503,A306,'Access'!$F$4:$F$1503,"*"&amp;'Companies'!$A$4:$A$63&amp;"*")&gt;0),'Companies'!$A$4:$A$63,"")))</f>
        <v/>
      </c>
      <c r="J306" s="30">
        <f>IF(A306="","",IF(COUNTIF($A$4:$A$1003,A306)&gt;1,"Duplicate email",IF(ISERROR(FIND("@",A306)),"Not an email address",IF(AND(H306=0,E306=""),"Investor without holders","OK"))))</f>
        <v/>
      </c>
    </row>
    <row r="307">
      <c r="A307" s="26" t="n"/>
      <c r="B307" s="26" t="n"/>
      <c r="C307" s="26" t="n"/>
      <c r="D307" s="26" t="n"/>
      <c r="E307" s="26" t="n"/>
      <c r="F307" s="26" t="n"/>
      <c r="G307" s="26" t="n"/>
      <c r="H307" s="30">
        <f>IF(A307="","",COUNTIF('Access'!$A$4:$A$1503,A307))</f>
        <v/>
      </c>
      <c r="I307" s="30">
        <f t="array" ref="I307">IF(A307="","",_xlfn.TEXTJOIN(", ",TRUE,IF(('Companies'!$A$4:$A$63&lt;&gt;"")*(COUNTIFS('Access'!$A$4:$A$1503,A307,'Access'!$F$4:$F$1503,"*"&amp;'Companies'!$A$4:$A$63&amp;"*")&gt;0),'Companies'!$A$4:$A$63,"")))</f>
        <v/>
      </c>
      <c r="J307" s="30">
        <f>IF(A307="","",IF(COUNTIF($A$4:$A$1003,A307)&gt;1,"Duplicate email",IF(ISERROR(FIND("@",A307)),"Not an email address",IF(AND(H307=0,E307=""),"Investor without holders","OK"))))</f>
        <v/>
      </c>
    </row>
    <row r="308">
      <c r="A308" s="26" t="n"/>
      <c r="B308" s="26" t="n"/>
      <c r="C308" s="26" t="n"/>
      <c r="D308" s="26" t="n"/>
      <c r="E308" s="26" t="n"/>
      <c r="F308" s="26" t="n"/>
      <c r="G308" s="26" t="n"/>
      <c r="H308" s="30">
        <f>IF(A308="","",COUNTIF('Access'!$A$4:$A$1503,A308))</f>
        <v/>
      </c>
      <c r="I308" s="30">
        <f t="array" ref="I308">IF(A308="","",_xlfn.TEXTJOIN(", ",TRUE,IF(('Companies'!$A$4:$A$63&lt;&gt;"")*(COUNTIFS('Access'!$A$4:$A$1503,A308,'Access'!$F$4:$F$1503,"*"&amp;'Companies'!$A$4:$A$63&amp;"*")&gt;0),'Companies'!$A$4:$A$63,"")))</f>
        <v/>
      </c>
      <c r="J308" s="30">
        <f>IF(A308="","",IF(COUNTIF($A$4:$A$1003,A308)&gt;1,"Duplicate email",IF(ISERROR(FIND("@",A308)),"Not an email address",IF(AND(H308=0,E308=""),"Investor without holders","OK"))))</f>
        <v/>
      </c>
    </row>
    <row r="309">
      <c r="A309" s="26" t="n"/>
      <c r="B309" s="26" t="n"/>
      <c r="C309" s="26" t="n"/>
      <c r="D309" s="26" t="n"/>
      <c r="E309" s="26" t="n"/>
      <c r="F309" s="26" t="n"/>
      <c r="G309" s="26" t="n"/>
      <c r="H309" s="30">
        <f>IF(A309="","",COUNTIF('Access'!$A$4:$A$1503,A309))</f>
        <v/>
      </c>
      <c r="I309" s="30">
        <f t="array" ref="I309">IF(A309="","",_xlfn.TEXTJOIN(", ",TRUE,IF(('Companies'!$A$4:$A$63&lt;&gt;"")*(COUNTIFS('Access'!$A$4:$A$1503,A309,'Access'!$F$4:$F$1503,"*"&amp;'Companies'!$A$4:$A$63&amp;"*")&gt;0),'Companies'!$A$4:$A$63,"")))</f>
        <v/>
      </c>
      <c r="J309" s="30">
        <f>IF(A309="","",IF(COUNTIF($A$4:$A$1003,A309)&gt;1,"Duplicate email",IF(ISERROR(FIND("@",A309)),"Not an email address",IF(AND(H309=0,E309=""),"Investor without holders","OK"))))</f>
        <v/>
      </c>
    </row>
    <row r="310">
      <c r="A310" s="26" t="n"/>
      <c r="B310" s="26" t="n"/>
      <c r="C310" s="26" t="n"/>
      <c r="D310" s="26" t="n"/>
      <c r="E310" s="26" t="n"/>
      <c r="F310" s="26" t="n"/>
      <c r="G310" s="26" t="n"/>
      <c r="H310" s="30">
        <f>IF(A310="","",COUNTIF('Access'!$A$4:$A$1503,A310))</f>
        <v/>
      </c>
      <c r="I310" s="30">
        <f t="array" ref="I310">IF(A310="","",_xlfn.TEXTJOIN(", ",TRUE,IF(('Companies'!$A$4:$A$63&lt;&gt;"")*(COUNTIFS('Access'!$A$4:$A$1503,A310,'Access'!$F$4:$F$1503,"*"&amp;'Companies'!$A$4:$A$63&amp;"*")&gt;0),'Companies'!$A$4:$A$63,"")))</f>
        <v/>
      </c>
      <c r="J310" s="30">
        <f>IF(A310="","",IF(COUNTIF($A$4:$A$1003,A310)&gt;1,"Duplicate email",IF(ISERROR(FIND("@",A310)),"Not an email address",IF(AND(H310=0,E310=""),"Investor without holders","OK"))))</f>
        <v/>
      </c>
    </row>
    <row r="311">
      <c r="A311" s="26" t="n"/>
      <c r="B311" s="26" t="n"/>
      <c r="C311" s="26" t="n"/>
      <c r="D311" s="26" t="n"/>
      <c r="E311" s="26" t="n"/>
      <c r="F311" s="26" t="n"/>
      <c r="G311" s="26" t="n"/>
      <c r="H311" s="30">
        <f>IF(A311="","",COUNTIF('Access'!$A$4:$A$1503,A311))</f>
        <v/>
      </c>
      <c r="I311" s="30">
        <f t="array" ref="I311">IF(A311="","",_xlfn.TEXTJOIN(", ",TRUE,IF(('Companies'!$A$4:$A$63&lt;&gt;"")*(COUNTIFS('Access'!$A$4:$A$1503,A311,'Access'!$F$4:$F$1503,"*"&amp;'Companies'!$A$4:$A$63&amp;"*")&gt;0),'Companies'!$A$4:$A$63,"")))</f>
        <v/>
      </c>
      <c r="J311" s="30">
        <f>IF(A311="","",IF(COUNTIF($A$4:$A$1003,A311)&gt;1,"Duplicate email",IF(ISERROR(FIND("@",A311)),"Not an email address",IF(AND(H311=0,E311=""),"Investor without holders","OK"))))</f>
        <v/>
      </c>
    </row>
    <row r="312">
      <c r="A312" s="26" t="n"/>
      <c r="B312" s="26" t="n"/>
      <c r="C312" s="26" t="n"/>
      <c r="D312" s="26" t="n"/>
      <c r="E312" s="26" t="n"/>
      <c r="F312" s="26" t="n"/>
      <c r="G312" s="26" t="n"/>
      <c r="H312" s="30">
        <f>IF(A312="","",COUNTIF('Access'!$A$4:$A$1503,A312))</f>
        <v/>
      </c>
      <c r="I312" s="30">
        <f t="array" ref="I312">IF(A312="","",_xlfn.TEXTJOIN(", ",TRUE,IF(('Companies'!$A$4:$A$63&lt;&gt;"")*(COUNTIFS('Access'!$A$4:$A$1503,A312,'Access'!$F$4:$F$1503,"*"&amp;'Companies'!$A$4:$A$63&amp;"*")&gt;0),'Companies'!$A$4:$A$63,"")))</f>
        <v/>
      </c>
      <c r="J312" s="30">
        <f>IF(A312="","",IF(COUNTIF($A$4:$A$1003,A312)&gt;1,"Duplicate email",IF(ISERROR(FIND("@",A312)),"Not an email address",IF(AND(H312=0,E312=""),"Investor without holders","OK"))))</f>
        <v/>
      </c>
    </row>
    <row r="313">
      <c r="A313" s="26" t="n"/>
      <c r="B313" s="26" t="n"/>
      <c r="C313" s="26" t="n"/>
      <c r="D313" s="26" t="n"/>
      <c r="E313" s="26" t="n"/>
      <c r="F313" s="26" t="n"/>
      <c r="G313" s="26" t="n"/>
      <c r="H313" s="30">
        <f>IF(A313="","",COUNTIF('Access'!$A$4:$A$1503,A313))</f>
        <v/>
      </c>
      <c r="I313" s="30">
        <f t="array" ref="I313">IF(A313="","",_xlfn.TEXTJOIN(", ",TRUE,IF(('Companies'!$A$4:$A$63&lt;&gt;"")*(COUNTIFS('Access'!$A$4:$A$1503,A313,'Access'!$F$4:$F$1503,"*"&amp;'Companies'!$A$4:$A$63&amp;"*")&gt;0),'Companies'!$A$4:$A$63,"")))</f>
        <v/>
      </c>
      <c r="J313" s="30">
        <f>IF(A313="","",IF(COUNTIF($A$4:$A$1003,A313)&gt;1,"Duplicate email",IF(ISERROR(FIND("@",A313)),"Not an email address",IF(AND(H313=0,E313=""),"Investor without holders","OK"))))</f>
        <v/>
      </c>
    </row>
    <row r="314">
      <c r="A314" s="26" t="n"/>
      <c r="B314" s="26" t="n"/>
      <c r="C314" s="26" t="n"/>
      <c r="D314" s="26" t="n"/>
      <c r="E314" s="26" t="n"/>
      <c r="F314" s="26" t="n"/>
      <c r="G314" s="26" t="n"/>
      <c r="H314" s="30">
        <f>IF(A314="","",COUNTIF('Access'!$A$4:$A$1503,A314))</f>
        <v/>
      </c>
      <c r="I314" s="30">
        <f t="array" ref="I314">IF(A314="","",_xlfn.TEXTJOIN(", ",TRUE,IF(('Companies'!$A$4:$A$63&lt;&gt;"")*(COUNTIFS('Access'!$A$4:$A$1503,A314,'Access'!$F$4:$F$1503,"*"&amp;'Companies'!$A$4:$A$63&amp;"*")&gt;0),'Companies'!$A$4:$A$63,"")))</f>
        <v/>
      </c>
      <c r="J314" s="30">
        <f>IF(A314="","",IF(COUNTIF($A$4:$A$1003,A314)&gt;1,"Duplicate email",IF(ISERROR(FIND("@",A314)),"Not an email address",IF(AND(H314=0,E314=""),"Investor without holders","OK"))))</f>
        <v/>
      </c>
    </row>
    <row r="315">
      <c r="A315" s="26" t="n"/>
      <c r="B315" s="26" t="n"/>
      <c r="C315" s="26" t="n"/>
      <c r="D315" s="26" t="n"/>
      <c r="E315" s="26" t="n"/>
      <c r="F315" s="26" t="n"/>
      <c r="G315" s="26" t="n"/>
      <c r="H315" s="30">
        <f>IF(A315="","",COUNTIF('Access'!$A$4:$A$1503,A315))</f>
        <v/>
      </c>
      <c r="I315" s="30">
        <f t="array" ref="I315">IF(A315="","",_xlfn.TEXTJOIN(", ",TRUE,IF(('Companies'!$A$4:$A$63&lt;&gt;"")*(COUNTIFS('Access'!$A$4:$A$1503,A315,'Access'!$F$4:$F$1503,"*"&amp;'Companies'!$A$4:$A$63&amp;"*")&gt;0),'Companies'!$A$4:$A$63,"")))</f>
        <v/>
      </c>
      <c r="J315" s="30">
        <f>IF(A315="","",IF(COUNTIF($A$4:$A$1003,A315)&gt;1,"Duplicate email",IF(ISERROR(FIND("@",A315)),"Not an email address",IF(AND(H315=0,E315=""),"Investor without holders","OK"))))</f>
        <v/>
      </c>
    </row>
    <row r="316">
      <c r="A316" s="26" t="n"/>
      <c r="B316" s="26" t="n"/>
      <c r="C316" s="26" t="n"/>
      <c r="D316" s="26" t="n"/>
      <c r="E316" s="26" t="n"/>
      <c r="F316" s="26" t="n"/>
      <c r="G316" s="26" t="n"/>
      <c r="H316" s="30">
        <f>IF(A316="","",COUNTIF('Access'!$A$4:$A$1503,A316))</f>
        <v/>
      </c>
      <c r="I316" s="30">
        <f t="array" ref="I316">IF(A316="","",_xlfn.TEXTJOIN(", ",TRUE,IF(('Companies'!$A$4:$A$63&lt;&gt;"")*(COUNTIFS('Access'!$A$4:$A$1503,A316,'Access'!$F$4:$F$1503,"*"&amp;'Companies'!$A$4:$A$63&amp;"*")&gt;0),'Companies'!$A$4:$A$63,"")))</f>
        <v/>
      </c>
      <c r="J316" s="30">
        <f>IF(A316="","",IF(COUNTIF($A$4:$A$1003,A316)&gt;1,"Duplicate email",IF(ISERROR(FIND("@",A316)),"Not an email address",IF(AND(H316=0,E316=""),"Investor without holders","OK"))))</f>
        <v/>
      </c>
    </row>
    <row r="317">
      <c r="A317" s="26" t="n"/>
      <c r="B317" s="26" t="n"/>
      <c r="C317" s="26" t="n"/>
      <c r="D317" s="26" t="n"/>
      <c r="E317" s="26" t="n"/>
      <c r="F317" s="26" t="n"/>
      <c r="G317" s="26" t="n"/>
      <c r="H317" s="30">
        <f>IF(A317="","",COUNTIF('Access'!$A$4:$A$1503,A317))</f>
        <v/>
      </c>
      <c r="I317" s="30">
        <f t="array" ref="I317">IF(A317="","",_xlfn.TEXTJOIN(", ",TRUE,IF(('Companies'!$A$4:$A$63&lt;&gt;"")*(COUNTIFS('Access'!$A$4:$A$1503,A317,'Access'!$F$4:$F$1503,"*"&amp;'Companies'!$A$4:$A$63&amp;"*")&gt;0),'Companies'!$A$4:$A$63,"")))</f>
        <v/>
      </c>
      <c r="J317" s="30">
        <f>IF(A317="","",IF(COUNTIF($A$4:$A$1003,A317)&gt;1,"Duplicate email",IF(ISERROR(FIND("@",A317)),"Not an email address",IF(AND(H317=0,E317=""),"Investor without holders","OK"))))</f>
        <v/>
      </c>
    </row>
    <row r="318">
      <c r="A318" s="26" t="n"/>
      <c r="B318" s="26" t="n"/>
      <c r="C318" s="26" t="n"/>
      <c r="D318" s="26" t="n"/>
      <c r="E318" s="26" t="n"/>
      <c r="F318" s="26" t="n"/>
      <c r="G318" s="26" t="n"/>
      <c r="H318" s="30">
        <f>IF(A318="","",COUNTIF('Access'!$A$4:$A$1503,A318))</f>
        <v/>
      </c>
      <c r="I318" s="30">
        <f t="array" ref="I318">IF(A318="","",_xlfn.TEXTJOIN(", ",TRUE,IF(('Companies'!$A$4:$A$63&lt;&gt;"")*(COUNTIFS('Access'!$A$4:$A$1503,A318,'Access'!$F$4:$F$1503,"*"&amp;'Companies'!$A$4:$A$63&amp;"*")&gt;0),'Companies'!$A$4:$A$63,"")))</f>
        <v/>
      </c>
      <c r="J318" s="30">
        <f>IF(A318="","",IF(COUNTIF($A$4:$A$1003,A318)&gt;1,"Duplicate email",IF(ISERROR(FIND("@",A318)),"Not an email address",IF(AND(H318=0,E318=""),"Investor without holders","OK"))))</f>
        <v/>
      </c>
    </row>
    <row r="319">
      <c r="A319" s="26" t="n"/>
      <c r="B319" s="26" t="n"/>
      <c r="C319" s="26" t="n"/>
      <c r="D319" s="26" t="n"/>
      <c r="E319" s="26" t="n"/>
      <c r="F319" s="26" t="n"/>
      <c r="G319" s="26" t="n"/>
      <c r="H319" s="30">
        <f>IF(A319="","",COUNTIF('Access'!$A$4:$A$1503,A319))</f>
        <v/>
      </c>
      <c r="I319" s="30">
        <f t="array" ref="I319">IF(A319="","",_xlfn.TEXTJOIN(", ",TRUE,IF(('Companies'!$A$4:$A$63&lt;&gt;"")*(COUNTIFS('Access'!$A$4:$A$1503,A319,'Access'!$F$4:$F$1503,"*"&amp;'Companies'!$A$4:$A$63&amp;"*")&gt;0),'Companies'!$A$4:$A$63,"")))</f>
        <v/>
      </c>
      <c r="J319" s="30">
        <f>IF(A319="","",IF(COUNTIF($A$4:$A$1003,A319)&gt;1,"Duplicate email",IF(ISERROR(FIND("@",A319)),"Not an email address",IF(AND(H319=0,E319=""),"Investor without holders","OK"))))</f>
        <v/>
      </c>
    </row>
    <row r="320">
      <c r="A320" s="26" t="n"/>
      <c r="B320" s="26" t="n"/>
      <c r="C320" s="26" t="n"/>
      <c r="D320" s="26" t="n"/>
      <c r="E320" s="26" t="n"/>
      <c r="F320" s="26" t="n"/>
      <c r="G320" s="26" t="n"/>
      <c r="H320" s="30">
        <f>IF(A320="","",COUNTIF('Access'!$A$4:$A$1503,A320))</f>
        <v/>
      </c>
      <c r="I320" s="30">
        <f t="array" ref="I320">IF(A320="","",_xlfn.TEXTJOIN(", ",TRUE,IF(('Companies'!$A$4:$A$63&lt;&gt;"")*(COUNTIFS('Access'!$A$4:$A$1503,A320,'Access'!$F$4:$F$1503,"*"&amp;'Companies'!$A$4:$A$63&amp;"*")&gt;0),'Companies'!$A$4:$A$63,"")))</f>
        <v/>
      </c>
      <c r="J320" s="30">
        <f>IF(A320="","",IF(COUNTIF($A$4:$A$1003,A320)&gt;1,"Duplicate email",IF(ISERROR(FIND("@",A320)),"Not an email address",IF(AND(H320=0,E320=""),"Investor without holders","OK"))))</f>
        <v/>
      </c>
    </row>
    <row r="321">
      <c r="A321" s="26" t="n"/>
      <c r="B321" s="26" t="n"/>
      <c r="C321" s="26" t="n"/>
      <c r="D321" s="26" t="n"/>
      <c r="E321" s="26" t="n"/>
      <c r="F321" s="26" t="n"/>
      <c r="G321" s="26" t="n"/>
      <c r="H321" s="30">
        <f>IF(A321="","",COUNTIF('Access'!$A$4:$A$1503,A321))</f>
        <v/>
      </c>
      <c r="I321" s="30">
        <f t="array" ref="I321">IF(A321="","",_xlfn.TEXTJOIN(", ",TRUE,IF(('Companies'!$A$4:$A$63&lt;&gt;"")*(COUNTIFS('Access'!$A$4:$A$1503,A321,'Access'!$F$4:$F$1503,"*"&amp;'Companies'!$A$4:$A$63&amp;"*")&gt;0),'Companies'!$A$4:$A$63,"")))</f>
        <v/>
      </c>
      <c r="J321" s="30">
        <f>IF(A321="","",IF(COUNTIF($A$4:$A$1003,A321)&gt;1,"Duplicate email",IF(ISERROR(FIND("@",A321)),"Not an email address",IF(AND(H321=0,E321=""),"Investor without holders","OK"))))</f>
        <v/>
      </c>
    </row>
    <row r="322">
      <c r="A322" s="26" t="n"/>
      <c r="B322" s="26" t="n"/>
      <c r="C322" s="26" t="n"/>
      <c r="D322" s="26" t="n"/>
      <c r="E322" s="26" t="n"/>
      <c r="F322" s="26" t="n"/>
      <c r="G322" s="26" t="n"/>
      <c r="H322" s="30">
        <f>IF(A322="","",COUNTIF('Access'!$A$4:$A$1503,A322))</f>
        <v/>
      </c>
      <c r="I322" s="30">
        <f t="array" ref="I322">IF(A322="","",_xlfn.TEXTJOIN(", ",TRUE,IF(('Companies'!$A$4:$A$63&lt;&gt;"")*(COUNTIFS('Access'!$A$4:$A$1503,A322,'Access'!$F$4:$F$1503,"*"&amp;'Companies'!$A$4:$A$63&amp;"*")&gt;0),'Companies'!$A$4:$A$63,"")))</f>
        <v/>
      </c>
      <c r="J322" s="30">
        <f>IF(A322="","",IF(COUNTIF($A$4:$A$1003,A322)&gt;1,"Duplicate email",IF(ISERROR(FIND("@",A322)),"Not an email address",IF(AND(H322=0,E322=""),"Investor without holders","OK"))))</f>
        <v/>
      </c>
    </row>
    <row r="323">
      <c r="A323" s="26" t="n"/>
      <c r="B323" s="26" t="n"/>
      <c r="C323" s="26" t="n"/>
      <c r="D323" s="26" t="n"/>
      <c r="E323" s="26" t="n"/>
      <c r="F323" s="26" t="n"/>
      <c r="G323" s="26" t="n"/>
      <c r="H323" s="30">
        <f>IF(A323="","",COUNTIF('Access'!$A$4:$A$1503,A323))</f>
        <v/>
      </c>
      <c r="I323" s="30">
        <f t="array" ref="I323">IF(A323="","",_xlfn.TEXTJOIN(", ",TRUE,IF(('Companies'!$A$4:$A$63&lt;&gt;"")*(COUNTIFS('Access'!$A$4:$A$1503,A323,'Access'!$F$4:$F$1503,"*"&amp;'Companies'!$A$4:$A$63&amp;"*")&gt;0),'Companies'!$A$4:$A$63,"")))</f>
        <v/>
      </c>
      <c r="J323" s="30">
        <f>IF(A323="","",IF(COUNTIF($A$4:$A$1003,A323)&gt;1,"Duplicate email",IF(ISERROR(FIND("@",A323)),"Not an email address",IF(AND(H323=0,E323=""),"Investor without holders","OK"))))</f>
        <v/>
      </c>
    </row>
    <row r="324">
      <c r="A324" s="26" t="n"/>
      <c r="B324" s="26" t="n"/>
      <c r="C324" s="26" t="n"/>
      <c r="D324" s="26" t="n"/>
      <c r="E324" s="26" t="n"/>
      <c r="F324" s="26" t="n"/>
      <c r="G324" s="26" t="n"/>
      <c r="H324" s="30">
        <f>IF(A324="","",COUNTIF('Access'!$A$4:$A$1503,A324))</f>
        <v/>
      </c>
      <c r="I324" s="30">
        <f t="array" ref="I324">IF(A324="","",_xlfn.TEXTJOIN(", ",TRUE,IF(('Companies'!$A$4:$A$63&lt;&gt;"")*(COUNTIFS('Access'!$A$4:$A$1503,A324,'Access'!$F$4:$F$1503,"*"&amp;'Companies'!$A$4:$A$63&amp;"*")&gt;0),'Companies'!$A$4:$A$63,"")))</f>
        <v/>
      </c>
      <c r="J324" s="30">
        <f>IF(A324="","",IF(COUNTIF($A$4:$A$1003,A324)&gt;1,"Duplicate email",IF(ISERROR(FIND("@",A324)),"Not an email address",IF(AND(H324=0,E324=""),"Investor without holders","OK"))))</f>
        <v/>
      </c>
    </row>
    <row r="325">
      <c r="A325" s="26" t="n"/>
      <c r="B325" s="26" t="n"/>
      <c r="C325" s="26" t="n"/>
      <c r="D325" s="26" t="n"/>
      <c r="E325" s="26" t="n"/>
      <c r="F325" s="26" t="n"/>
      <c r="G325" s="26" t="n"/>
      <c r="H325" s="30">
        <f>IF(A325="","",COUNTIF('Access'!$A$4:$A$1503,A325))</f>
        <v/>
      </c>
      <c r="I325" s="30">
        <f t="array" ref="I325">IF(A325="","",_xlfn.TEXTJOIN(", ",TRUE,IF(('Companies'!$A$4:$A$63&lt;&gt;"")*(COUNTIFS('Access'!$A$4:$A$1503,A325,'Access'!$F$4:$F$1503,"*"&amp;'Companies'!$A$4:$A$63&amp;"*")&gt;0),'Companies'!$A$4:$A$63,"")))</f>
        <v/>
      </c>
      <c r="J325" s="30">
        <f>IF(A325="","",IF(COUNTIF($A$4:$A$1003,A325)&gt;1,"Duplicate email",IF(ISERROR(FIND("@",A325)),"Not an email address",IF(AND(H325=0,E325=""),"Investor without holders","OK"))))</f>
        <v/>
      </c>
    </row>
    <row r="326">
      <c r="A326" s="26" t="n"/>
      <c r="B326" s="26" t="n"/>
      <c r="C326" s="26" t="n"/>
      <c r="D326" s="26" t="n"/>
      <c r="E326" s="26" t="n"/>
      <c r="F326" s="26" t="n"/>
      <c r="G326" s="26" t="n"/>
      <c r="H326" s="30">
        <f>IF(A326="","",COUNTIF('Access'!$A$4:$A$1503,A326))</f>
        <v/>
      </c>
      <c r="I326" s="30">
        <f t="array" ref="I326">IF(A326="","",_xlfn.TEXTJOIN(", ",TRUE,IF(('Companies'!$A$4:$A$63&lt;&gt;"")*(COUNTIFS('Access'!$A$4:$A$1503,A326,'Access'!$F$4:$F$1503,"*"&amp;'Companies'!$A$4:$A$63&amp;"*")&gt;0),'Companies'!$A$4:$A$63,"")))</f>
        <v/>
      </c>
      <c r="J326" s="30">
        <f>IF(A326="","",IF(COUNTIF($A$4:$A$1003,A326)&gt;1,"Duplicate email",IF(ISERROR(FIND("@",A326)),"Not an email address",IF(AND(H326=0,E326=""),"Investor without holders","OK"))))</f>
        <v/>
      </c>
    </row>
    <row r="327">
      <c r="A327" s="26" t="n"/>
      <c r="B327" s="26" t="n"/>
      <c r="C327" s="26" t="n"/>
      <c r="D327" s="26" t="n"/>
      <c r="E327" s="26" t="n"/>
      <c r="F327" s="26" t="n"/>
      <c r="G327" s="26" t="n"/>
      <c r="H327" s="30">
        <f>IF(A327="","",COUNTIF('Access'!$A$4:$A$1503,A327))</f>
        <v/>
      </c>
      <c r="I327" s="30">
        <f t="array" ref="I327">IF(A327="","",_xlfn.TEXTJOIN(", ",TRUE,IF(('Companies'!$A$4:$A$63&lt;&gt;"")*(COUNTIFS('Access'!$A$4:$A$1503,A327,'Access'!$F$4:$F$1503,"*"&amp;'Companies'!$A$4:$A$63&amp;"*")&gt;0),'Companies'!$A$4:$A$63,"")))</f>
        <v/>
      </c>
      <c r="J327" s="30">
        <f>IF(A327="","",IF(COUNTIF($A$4:$A$1003,A327)&gt;1,"Duplicate email",IF(ISERROR(FIND("@",A327)),"Not an email address",IF(AND(H327=0,E327=""),"Investor without holders","OK"))))</f>
        <v/>
      </c>
    </row>
    <row r="328">
      <c r="A328" s="26" t="n"/>
      <c r="B328" s="26" t="n"/>
      <c r="C328" s="26" t="n"/>
      <c r="D328" s="26" t="n"/>
      <c r="E328" s="26" t="n"/>
      <c r="F328" s="26" t="n"/>
      <c r="G328" s="26" t="n"/>
      <c r="H328" s="30">
        <f>IF(A328="","",COUNTIF('Access'!$A$4:$A$1503,A328))</f>
        <v/>
      </c>
      <c r="I328" s="30">
        <f t="array" ref="I328">IF(A328="","",_xlfn.TEXTJOIN(", ",TRUE,IF(('Companies'!$A$4:$A$63&lt;&gt;"")*(COUNTIFS('Access'!$A$4:$A$1503,A328,'Access'!$F$4:$F$1503,"*"&amp;'Companies'!$A$4:$A$63&amp;"*")&gt;0),'Companies'!$A$4:$A$63,"")))</f>
        <v/>
      </c>
      <c r="J328" s="30">
        <f>IF(A328="","",IF(COUNTIF($A$4:$A$1003,A328)&gt;1,"Duplicate email",IF(ISERROR(FIND("@",A328)),"Not an email address",IF(AND(H328=0,E328=""),"Investor without holders","OK"))))</f>
        <v/>
      </c>
    </row>
    <row r="329">
      <c r="A329" s="26" t="n"/>
      <c r="B329" s="26" t="n"/>
      <c r="C329" s="26" t="n"/>
      <c r="D329" s="26" t="n"/>
      <c r="E329" s="26" t="n"/>
      <c r="F329" s="26" t="n"/>
      <c r="G329" s="26" t="n"/>
      <c r="H329" s="30">
        <f>IF(A329="","",COUNTIF('Access'!$A$4:$A$1503,A329))</f>
        <v/>
      </c>
      <c r="I329" s="30">
        <f t="array" ref="I329">IF(A329="","",_xlfn.TEXTJOIN(", ",TRUE,IF(('Companies'!$A$4:$A$63&lt;&gt;"")*(COUNTIFS('Access'!$A$4:$A$1503,A329,'Access'!$F$4:$F$1503,"*"&amp;'Companies'!$A$4:$A$63&amp;"*")&gt;0),'Companies'!$A$4:$A$63,"")))</f>
        <v/>
      </c>
      <c r="J329" s="30">
        <f>IF(A329="","",IF(COUNTIF($A$4:$A$1003,A329)&gt;1,"Duplicate email",IF(ISERROR(FIND("@",A329)),"Not an email address",IF(AND(H329=0,E329=""),"Investor without holders","OK"))))</f>
        <v/>
      </c>
    </row>
    <row r="330">
      <c r="A330" s="26" t="n"/>
      <c r="B330" s="26" t="n"/>
      <c r="C330" s="26" t="n"/>
      <c r="D330" s="26" t="n"/>
      <c r="E330" s="26" t="n"/>
      <c r="F330" s="26" t="n"/>
      <c r="G330" s="26" t="n"/>
      <c r="H330" s="30">
        <f>IF(A330="","",COUNTIF('Access'!$A$4:$A$1503,A330))</f>
        <v/>
      </c>
      <c r="I330" s="30">
        <f t="array" ref="I330">IF(A330="","",_xlfn.TEXTJOIN(", ",TRUE,IF(('Companies'!$A$4:$A$63&lt;&gt;"")*(COUNTIFS('Access'!$A$4:$A$1503,A330,'Access'!$F$4:$F$1503,"*"&amp;'Companies'!$A$4:$A$63&amp;"*")&gt;0),'Companies'!$A$4:$A$63,"")))</f>
        <v/>
      </c>
      <c r="J330" s="30">
        <f>IF(A330="","",IF(COUNTIF($A$4:$A$1003,A330)&gt;1,"Duplicate email",IF(ISERROR(FIND("@",A330)),"Not an email address",IF(AND(H330=0,E330=""),"Investor without holders","OK"))))</f>
        <v/>
      </c>
    </row>
    <row r="331">
      <c r="A331" s="26" t="n"/>
      <c r="B331" s="26" t="n"/>
      <c r="C331" s="26" t="n"/>
      <c r="D331" s="26" t="n"/>
      <c r="E331" s="26" t="n"/>
      <c r="F331" s="26" t="n"/>
      <c r="G331" s="26" t="n"/>
      <c r="H331" s="30">
        <f>IF(A331="","",COUNTIF('Access'!$A$4:$A$1503,A331))</f>
        <v/>
      </c>
      <c r="I331" s="30">
        <f t="array" ref="I331">IF(A331="","",_xlfn.TEXTJOIN(", ",TRUE,IF(('Companies'!$A$4:$A$63&lt;&gt;"")*(COUNTIFS('Access'!$A$4:$A$1503,A331,'Access'!$F$4:$F$1503,"*"&amp;'Companies'!$A$4:$A$63&amp;"*")&gt;0),'Companies'!$A$4:$A$63,"")))</f>
        <v/>
      </c>
      <c r="J331" s="30">
        <f>IF(A331="","",IF(COUNTIF($A$4:$A$1003,A331)&gt;1,"Duplicate email",IF(ISERROR(FIND("@",A331)),"Not an email address",IF(AND(H331=0,E331=""),"Investor without holders","OK"))))</f>
        <v/>
      </c>
    </row>
    <row r="332">
      <c r="A332" s="26" t="n"/>
      <c r="B332" s="26" t="n"/>
      <c r="C332" s="26" t="n"/>
      <c r="D332" s="26" t="n"/>
      <c r="E332" s="26" t="n"/>
      <c r="F332" s="26" t="n"/>
      <c r="G332" s="26" t="n"/>
      <c r="H332" s="30">
        <f>IF(A332="","",COUNTIF('Access'!$A$4:$A$1503,A332))</f>
        <v/>
      </c>
      <c r="I332" s="30">
        <f t="array" ref="I332">IF(A332="","",_xlfn.TEXTJOIN(", ",TRUE,IF(('Companies'!$A$4:$A$63&lt;&gt;"")*(COUNTIFS('Access'!$A$4:$A$1503,A332,'Access'!$F$4:$F$1503,"*"&amp;'Companies'!$A$4:$A$63&amp;"*")&gt;0),'Companies'!$A$4:$A$63,"")))</f>
        <v/>
      </c>
      <c r="J332" s="30">
        <f>IF(A332="","",IF(COUNTIF($A$4:$A$1003,A332)&gt;1,"Duplicate email",IF(ISERROR(FIND("@",A332)),"Not an email address",IF(AND(H332=0,E332=""),"Investor without holders","OK"))))</f>
        <v/>
      </c>
    </row>
    <row r="333">
      <c r="A333" s="26" t="n"/>
      <c r="B333" s="26" t="n"/>
      <c r="C333" s="26" t="n"/>
      <c r="D333" s="26" t="n"/>
      <c r="E333" s="26" t="n"/>
      <c r="F333" s="26" t="n"/>
      <c r="G333" s="26" t="n"/>
      <c r="H333" s="30">
        <f>IF(A333="","",COUNTIF('Access'!$A$4:$A$1503,A333))</f>
        <v/>
      </c>
      <c r="I333" s="30">
        <f t="array" ref="I333">IF(A333="","",_xlfn.TEXTJOIN(", ",TRUE,IF(('Companies'!$A$4:$A$63&lt;&gt;"")*(COUNTIFS('Access'!$A$4:$A$1503,A333,'Access'!$F$4:$F$1503,"*"&amp;'Companies'!$A$4:$A$63&amp;"*")&gt;0),'Companies'!$A$4:$A$63,"")))</f>
        <v/>
      </c>
      <c r="J333" s="30">
        <f>IF(A333="","",IF(COUNTIF($A$4:$A$1003,A333)&gt;1,"Duplicate email",IF(ISERROR(FIND("@",A333)),"Not an email address",IF(AND(H333=0,E333=""),"Investor without holders","OK"))))</f>
        <v/>
      </c>
    </row>
    <row r="334">
      <c r="A334" s="26" t="n"/>
      <c r="B334" s="26" t="n"/>
      <c r="C334" s="26" t="n"/>
      <c r="D334" s="26" t="n"/>
      <c r="E334" s="26" t="n"/>
      <c r="F334" s="26" t="n"/>
      <c r="G334" s="26" t="n"/>
      <c r="H334" s="30">
        <f>IF(A334="","",COUNTIF('Access'!$A$4:$A$1503,A334))</f>
        <v/>
      </c>
      <c r="I334" s="30">
        <f t="array" ref="I334">IF(A334="","",_xlfn.TEXTJOIN(", ",TRUE,IF(('Companies'!$A$4:$A$63&lt;&gt;"")*(COUNTIFS('Access'!$A$4:$A$1503,A334,'Access'!$F$4:$F$1503,"*"&amp;'Companies'!$A$4:$A$63&amp;"*")&gt;0),'Companies'!$A$4:$A$63,"")))</f>
        <v/>
      </c>
      <c r="J334" s="30">
        <f>IF(A334="","",IF(COUNTIF($A$4:$A$1003,A334)&gt;1,"Duplicate email",IF(ISERROR(FIND("@",A334)),"Not an email address",IF(AND(H334=0,E334=""),"Investor without holders","OK"))))</f>
        <v/>
      </c>
    </row>
    <row r="335">
      <c r="A335" s="26" t="n"/>
      <c r="B335" s="26" t="n"/>
      <c r="C335" s="26" t="n"/>
      <c r="D335" s="26" t="n"/>
      <c r="E335" s="26" t="n"/>
      <c r="F335" s="26" t="n"/>
      <c r="G335" s="26" t="n"/>
      <c r="H335" s="30">
        <f>IF(A335="","",COUNTIF('Access'!$A$4:$A$1503,A335))</f>
        <v/>
      </c>
      <c r="I335" s="30">
        <f t="array" ref="I335">IF(A335="","",_xlfn.TEXTJOIN(", ",TRUE,IF(('Companies'!$A$4:$A$63&lt;&gt;"")*(COUNTIFS('Access'!$A$4:$A$1503,A335,'Access'!$F$4:$F$1503,"*"&amp;'Companies'!$A$4:$A$63&amp;"*")&gt;0),'Companies'!$A$4:$A$63,"")))</f>
        <v/>
      </c>
      <c r="J335" s="30">
        <f>IF(A335="","",IF(COUNTIF($A$4:$A$1003,A335)&gt;1,"Duplicate email",IF(ISERROR(FIND("@",A335)),"Not an email address",IF(AND(H335=0,E335=""),"Investor without holders","OK"))))</f>
        <v/>
      </c>
    </row>
    <row r="336">
      <c r="A336" s="26" t="n"/>
      <c r="B336" s="26" t="n"/>
      <c r="C336" s="26" t="n"/>
      <c r="D336" s="26" t="n"/>
      <c r="E336" s="26" t="n"/>
      <c r="F336" s="26" t="n"/>
      <c r="G336" s="26" t="n"/>
      <c r="H336" s="30">
        <f>IF(A336="","",COUNTIF('Access'!$A$4:$A$1503,A336))</f>
        <v/>
      </c>
      <c r="I336" s="30">
        <f t="array" ref="I336">IF(A336="","",_xlfn.TEXTJOIN(", ",TRUE,IF(('Companies'!$A$4:$A$63&lt;&gt;"")*(COUNTIFS('Access'!$A$4:$A$1503,A336,'Access'!$F$4:$F$1503,"*"&amp;'Companies'!$A$4:$A$63&amp;"*")&gt;0),'Companies'!$A$4:$A$63,"")))</f>
        <v/>
      </c>
      <c r="J336" s="30">
        <f>IF(A336="","",IF(COUNTIF($A$4:$A$1003,A336)&gt;1,"Duplicate email",IF(ISERROR(FIND("@",A336)),"Not an email address",IF(AND(H336=0,E336=""),"Investor without holders","OK"))))</f>
        <v/>
      </c>
    </row>
    <row r="337">
      <c r="A337" s="26" t="n"/>
      <c r="B337" s="26" t="n"/>
      <c r="C337" s="26" t="n"/>
      <c r="D337" s="26" t="n"/>
      <c r="E337" s="26" t="n"/>
      <c r="F337" s="26" t="n"/>
      <c r="G337" s="26" t="n"/>
      <c r="H337" s="30">
        <f>IF(A337="","",COUNTIF('Access'!$A$4:$A$1503,A337))</f>
        <v/>
      </c>
      <c r="I337" s="30">
        <f t="array" ref="I337">IF(A337="","",_xlfn.TEXTJOIN(", ",TRUE,IF(('Companies'!$A$4:$A$63&lt;&gt;"")*(COUNTIFS('Access'!$A$4:$A$1503,A337,'Access'!$F$4:$F$1503,"*"&amp;'Companies'!$A$4:$A$63&amp;"*")&gt;0),'Companies'!$A$4:$A$63,"")))</f>
        <v/>
      </c>
      <c r="J337" s="30">
        <f>IF(A337="","",IF(COUNTIF($A$4:$A$1003,A337)&gt;1,"Duplicate email",IF(ISERROR(FIND("@",A337)),"Not an email address",IF(AND(H337=0,E337=""),"Investor without holders","OK"))))</f>
        <v/>
      </c>
    </row>
    <row r="338">
      <c r="A338" s="26" t="n"/>
      <c r="B338" s="26" t="n"/>
      <c r="C338" s="26" t="n"/>
      <c r="D338" s="26" t="n"/>
      <c r="E338" s="26" t="n"/>
      <c r="F338" s="26" t="n"/>
      <c r="G338" s="26" t="n"/>
      <c r="H338" s="30">
        <f>IF(A338="","",COUNTIF('Access'!$A$4:$A$1503,A338))</f>
        <v/>
      </c>
      <c r="I338" s="30">
        <f t="array" ref="I338">IF(A338="","",_xlfn.TEXTJOIN(", ",TRUE,IF(('Companies'!$A$4:$A$63&lt;&gt;"")*(COUNTIFS('Access'!$A$4:$A$1503,A338,'Access'!$F$4:$F$1503,"*"&amp;'Companies'!$A$4:$A$63&amp;"*")&gt;0),'Companies'!$A$4:$A$63,"")))</f>
        <v/>
      </c>
      <c r="J338" s="30">
        <f>IF(A338="","",IF(COUNTIF($A$4:$A$1003,A338)&gt;1,"Duplicate email",IF(ISERROR(FIND("@",A338)),"Not an email address",IF(AND(H338=0,E338=""),"Investor without holders","OK"))))</f>
        <v/>
      </c>
    </row>
    <row r="339">
      <c r="A339" s="26" t="n"/>
      <c r="B339" s="26" t="n"/>
      <c r="C339" s="26" t="n"/>
      <c r="D339" s="26" t="n"/>
      <c r="E339" s="26" t="n"/>
      <c r="F339" s="26" t="n"/>
      <c r="G339" s="26" t="n"/>
      <c r="H339" s="30">
        <f>IF(A339="","",COUNTIF('Access'!$A$4:$A$1503,A339))</f>
        <v/>
      </c>
      <c r="I339" s="30">
        <f t="array" ref="I339">IF(A339="","",_xlfn.TEXTJOIN(", ",TRUE,IF(('Companies'!$A$4:$A$63&lt;&gt;"")*(COUNTIFS('Access'!$A$4:$A$1503,A339,'Access'!$F$4:$F$1503,"*"&amp;'Companies'!$A$4:$A$63&amp;"*")&gt;0),'Companies'!$A$4:$A$63,"")))</f>
        <v/>
      </c>
      <c r="J339" s="30">
        <f>IF(A339="","",IF(COUNTIF($A$4:$A$1003,A339)&gt;1,"Duplicate email",IF(ISERROR(FIND("@",A339)),"Not an email address",IF(AND(H339=0,E339=""),"Investor without holders","OK"))))</f>
        <v/>
      </c>
    </row>
    <row r="340">
      <c r="A340" s="26" t="n"/>
      <c r="B340" s="26" t="n"/>
      <c r="C340" s="26" t="n"/>
      <c r="D340" s="26" t="n"/>
      <c r="E340" s="26" t="n"/>
      <c r="F340" s="26" t="n"/>
      <c r="G340" s="26" t="n"/>
      <c r="H340" s="30">
        <f>IF(A340="","",COUNTIF('Access'!$A$4:$A$1503,A340))</f>
        <v/>
      </c>
      <c r="I340" s="30">
        <f t="array" ref="I340">IF(A340="","",_xlfn.TEXTJOIN(", ",TRUE,IF(('Companies'!$A$4:$A$63&lt;&gt;"")*(COUNTIFS('Access'!$A$4:$A$1503,A340,'Access'!$F$4:$F$1503,"*"&amp;'Companies'!$A$4:$A$63&amp;"*")&gt;0),'Companies'!$A$4:$A$63,"")))</f>
        <v/>
      </c>
      <c r="J340" s="30">
        <f>IF(A340="","",IF(COUNTIF($A$4:$A$1003,A340)&gt;1,"Duplicate email",IF(ISERROR(FIND("@",A340)),"Not an email address",IF(AND(H340=0,E340=""),"Investor without holders","OK"))))</f>
        <v/>
      </c>
    </row>
    <row r="341">
      <c r="A341" s="26" t="n"/>
      <c r="B341" s="26" t="n"/>
      <c r="C341" s="26" t="n"/>
      <c r="D341" s="26" t="n"/>
      <c r="E341" s="26" t="n"/>
      <c r="F341" s="26" t="n"/>
      <c r="G341" s="26" t="n"/>
      <c r="H341" s="30">
        <f>IF(A341="","",COUNTIF('Access'!$A$4:$A$1503,A341))</f>
        <v/>
      </c>
      <c r="I341" s="30">
        <f t="array" ref="I341">IF(A341="","",_xlfn.TEXTJOIN(", ",TRUE,IF(('Companies'!$A$4:$A$63&lt;&gt;"")*(COUNTIFS('Access'!$A$4:$A$1503,A341,'Access'!$F$4:$F$1503,"*"&amp;'Companies'!$A$4:$A$63&amp;"*")&gt;0),'Companies'!$A$4:$A$63,"")))</f>
        <v/>
      </c>
      <c r="J341" s="30">
        <f>IF(A341="","",IF(COUNTIF($A$4:$A$1003,A341)&gt;1,"Duplicate email",IF(ISERROR(FIND("@",A341)),"Not an email address",IF(AND(H341=0,E341=""),"Investor without holders","OK"))))</f>
        <v/>
      </c>
    </row>
    <row r="342">
      <c r="A342" s="26" t="n"/>
      <c r="B342" s="26" t="n"/>
      <c r="C342" s="26" t="n"/>
      <c r="D342" s="26" t="n"/>
      <c r="E342" s="26" t="n"/>
      <c r="F342" s="26" t="n"/>
      <c r="G342" s="26" t="n"/>
      <c r="H342" s="30">
        <f>IF(A342="","",COUNTIF('Access'!$A$4:$A$1503,A342))</f>
        <v/>
      </c>
      <c r="I342" s="30">
        <f t="array" ref="I342">IF(A342="","",_xlfn.TEXTJOIN(", ",TRUE,IF(('Companies'!$A$4:$A$63&lt;&gt;"")*(COUNTIFS('Access'!$A$4:$A$1503,A342,'Access'!$F$4:$F$1503,"*"&amp;'Companies'!$A$4:$A$63&amp;"*")&gt;0),'Companies'!$A$4:$A$63,"")))</f>
        <v/>
      </c>
      <c r="J342" s="30">
        <f>IF(A342="","",IF(COUNTIF($A$4:$A$1003,A342)&gt;1,"Duplicate email",IF(ISERROR(FIND("@",A342)),"Not an email address",IF(AND(H342=0,E342=""),"Investor without holders","OK"))))</f>
        <v/>
      </c>
    </row>
    <row r="343">
      <c r="A343" s="26" t="n"/>
      <c r="B343" s="26" t="n"/>
      <c r="C343" s="26" t="n"/>
      <c r="D343" s="26" t="n"/>
      <c r="E343" s="26" t="n"/>
      <c r="F343" s="26" t="n"/>
      <c r="G343" s="26" t="n"/>
      <c r="H343" s="30">
        <f>IF(A343="","",COUNTIF('Access'!$A$4:$A$1503,A343))</f>
        <v/>
      </c>
      <c r="I343" s="30">
        <f t="array" ref="I343">IF(A343="","",_xlfn.TEXTJOIN(", ",TRUE,IF(('Companies'!$A$4:$A$63&lt;&gt;"")*(COUNTIFS('Access'!$A$4:$A$1503,A343,'Access'!$F$4:$F$1503,"*"&amp;'Companies'!$A$4:$A$63&amp;"*")&gt;0),'Companies'!$A$4:$A$63,"")))</f>
        <v/>
      </c>
      <c r="J343" s="30">
        <f>IF(A343="","",IF(COUNTIF($A$4:$A$1003,A343)&gt;1,"Duplicate email",IF(ISERROR(FIND("@",A343)),"Not an email address",IF(AND(H343=0,E343=""),"Investor without holders","OK"))))</f>
        <v/>
      </c>
    </row>
    <row r="344">
      <c r="A344" s="26" t="n"/>
      <c r="B344" s="26" t="n"/>
      <c r="C344" s="26" t="n"/>
      <c r="D344" s="26" t="n"/>
      <c r="E344" s="26" t="n"/>
      <c r="F344" s="26" t="n"/>
      <c r="G344" s="26" t="n"/>
      <c r="H344" s="30">
        <f>IF(A344="","",COUNTIF('Access'!$A$4:$A$1503,A344))</f>
        <v/>
      </c>
      <c r="I344" s="30">
        <f t="array" ref="I344">IF(A344="","",_xlfn.TEXTJOIN(", ",TRUE,IF(('Companies'!$A$4:$A$63&lt;&gt;"")*(COUNTIFS('Access'!$A$4:$A$1503,A344,'Access'!$F$4:$F$1503,"*"&amp;'Companies'!$A$4:$A$63&amp;"*")&gt;0),'Companies'!$A$4:$A$63,"")))</f>
        <v/>
      </c>
      <c r="J344" s="30">
        <f>IF(A344="","",IF(COUNTIF($A$4:$A$1003,A344)&gt;1,"Duplicate email",IF(ISERROR(FIND("@",A344)),"Not an email address",IF(AND(H344=0,E344=""),"Investor without holders","OK"))))</f>
        <v/>
      </c>
    </row>
    <row r="345">
      <c r="A345" s="26" t="n"/>
      <c r="B345" s="26" t="n"/>
      <c r="C345" s="26" t="n"/>
      <c r="D345" s="26" t="n"/>
      <c r="E345" s="26" t="n"/>
      <c r="F345" s="26" t="n"/>
      <c r="G345" s="26" t="n"/>
      <c r="H345" s="30">
        <f>IF(A345="","",COUNTIF('Access'!$A$4:$A$1503,A345))</f>
        <v/>
      </c>
      <c r="I345" s="30">
        <f t="array" ref="I345">IF(A345="","",_xlfn.TEXTJOIN(", ",TRUE,IF(('Companies'!$A$4:$A$63&lt;&gt;"")*(COUNTIFS('Access'!$A$4:$A$1503,A345,'Access'!$F$4:$F$1503,"*"&amp;'Companies'!$A$4:$A$63&amp;"*")&gt;0),'Companies'!$A$4:$A$63,"")))</f>
        <v/>
      </c>
      <c r="J345" s="30">
        <f>IF(A345="","",IF(COUNTIF($A$4:$A$1003,A345)&gt;1,"Duplicate email",IF(ISERROR(FIND("@",A345)),"Not an email address",IF(AND(H345=0,E345=""),"Investor without holders","OK"))))</f>
        <v/>
      </c>
    </row>
    <row r="346">
      <c r="A346" s="26" t="n"/>
      <c r="B346" s="26" t="n"/>
      <c r="C346" s="26" t="n"/>
      <c r="D346" s="26" t="n"/>
      <c r="E346" s="26" t="n"/>
      <c r="F346" s="26" t="n"/>
      <c r="G346" s="26" t="n"/>
      <c r="H346" s="30">
        <f>IF(A346="","",COUNTIF('Access'!$A$4:$A$1503,A346))</f>
        <v/>
      </c>
      <c r="I346" s="30">
        <f t="array" ref="I346">IF(A346="","",_xlfn.TEXTJOIN(", ",TRUE,IF(('Companies'!$A$4:$A$63&lt;&gt;"")*(COUNTIFS('Access'!$A$4:$A$1503,A346,'Access'!$F$4:$F$1503,"*"&amp;'Companies'!$A$4:$A$63&amp;"*")&gt;0),'Companies'!$A$4:$A$63,"")))</f>
        <v/>
      </c>
      <c r="J346" s="30">
        <f>IF(A346="","",IF(COUNTIF($A$4:$A$1003,A346)&gt;1,"Duplicate email",IF(ISERROR(FIND("@",A346)),"Not an email address",IF(AND(H346=0,E346=""),"Investor without holders","OK"))))</f>
        <v/>
      </c>
    </row>
    <row r="347">
      <c r="A347" s="26" t="n"/>
      <c r="B347" s="26" t="n"/>
      <c r="C347" s="26" t="n"/>
      <c r="D347" s="26" t="n"/>
      <c r="E347" s="26" t="n"/>
      <c r="F347" s="26" t="n"/>
      <c r="G347" s="26" t="n"/>
      <c r="H347" s="30">
        <f>IF(A347="","",COUNTIF('Access'!$A$4:$A$1503,A347))</f>
        <v/>
      </c>
      <c r="I347" s="30">
        <f t="array" ref="I347">IF(A347="","",_xlfn.TEXTJOIN(", ",TRUE,IF(('Companies'!$A$4:$A$63&lt;&gt;"")*(COUNTIFS('Access'!$A$4:$A$1503,A347,'Access'!$F$4:$F$1503,"*"&amp;'Companies'!$A$4:$A$63&amp;"*")&gt;0),'Companies'!$A$4:$A$63,"")))</f>
        <v/>
      </c>
      <c r="J347" s="30">
        <f>IF(A347="","",IF(COUNTIF($A$4:$A$1003,A347)&gt;1,"Duplicate email",IF(ISERROR(FIND("@",A347)),"Not an email address",IF(AND(H347=0,E347=""),"Investor without holders","OK"))))</f>
        <v/>
      </c>
    </row>
    <row r="348">
      <c r="A348" s="26" t="n"/>
      <c r="B348" s="26" t="n"/>
      <c r="C348" s="26" t="n"/>
      <c r="D348" s="26" t="n"/>
      <c r="E348" s="26" t="n"/>
      <c r="F348" s="26" t="n"/>
      <c r="G348" s="26" t="n"/>
      <c r="H348" s="30">
        <f>IF(A348="","",COUNTIF('Access'!$A$4:$A$1503,A348))</f>
        <v/>
      </c>
      <c r="I348" s="30">
        <f t="array" ref="I348">IF(A348="","",_xlfn.TEXTJOIN(", ",TRUE,IF(('Companies'!$A$4:$A$63&lt;&gt;"")*(COUNTIFS('Access'!$A$4:$A$1503,A348,'Access'!$F$4:$F$1503,"*"&amp;'Companies'!$A$4:$A$63&amp;"*")&gt;0),'Companies'!$A$4:$A$63,"")))</f>
        <v/>
      </c>
      <c r="J348" s="30">
        <f>IF(A348="","",IF(COUNTIF($A$4:$A$1003,A348)&gt;1,"Duplicate email",IF(ISERROR(FIND("@",A348)),"Not an email address",IF(AND(H348=0,E348=""),"Investor without holders","OK"))))</f>
        <v/>
      </c>
    </row>
    <row r="349">
      <c r="A349" s="26" t="n"/>
      <c r="B349" s="26" t="n"/>
      <c r="C349" s="26" t="n"/>
      <c r="D349" s="26" t="n"/>
      <c r="E349" s="26" t="n"/>
      <c r="F349" s="26" t="n"/>
      <c r="G349" s="26" t="n"/>
      <c r="H349" s="30">
        <f>IF(A349="","",COUNTIF('Access'!$A$4:$A$1503,A349))</f>
        <v/>
      </c>
      <c r="I349" s="30">
        <f t="array" ref="I349">IF(A349="","",_xlfn.TEXTJOIN(", ",TRUE,IF(('Companies'!$A$4:$A$63&lt;&gt;"")*(COUNTIFS('Access'!$A$4:$A$1503,A349,'Access'!$F$4:$F$1503,"*"&amp;'Companies'!$A$4:$A$63&amp;"*")&gt;0),'Companies'!$A$4:$A$63,"")))</f>
        <v/>
      </c>
      <c r="J349" s="30">
        <f>IF(A349="","",IF(COUNTIF($A$4:$A$1003,A349)&gt;1,"Duplicate email",IF(ISERROR(FIND("@",A349)),"Not an email address",IF(AND(H349=0,E349=""),"Investor without holders","OK"))))</f>
        <v/>
      </c>
    </row>
    <row r="350">
      <c r="A350" s="26" t="n"/>
      <c r="B350" s="26" t="n"/>
      <c r="C350" s="26" t="n"/>
      <c r="D350" s="26" t="n"/>
      <c r="E350" s="26" t="n"/>
      <c r="F350" s="26" t="n"/>
      <c r="G350" s="26" t="n"/>
      <c r="H350" s="30">
        <f>IF(A350="","",COUNTIF('Access'!$A$4:$A$1503,A350))</f>
        <v/>
      </c>
      <c r="I350" s="30">
        <f t="array" ref="I350">IF(A350="","",_xlfn.TEXTJOIN(", ",TRUE,IF(('Companies'!$A$4:$A$63&lt;&gt;"")*(COUNTIFS('Access'!$A$4:$A$1503,A350,'Access'!$F$4:$F$1503,"*"&amp;'Companies'!$A$4:$A$63&amp;"*")&gt;0),'Companies'!$A$4:$A$63,"")))</f>
        <v/>
      </c>
      <c r="J350" s="30">
        <f>IF(A350="","",IF(COUNTIF($A$4:$A$1003,A350)&gt;1,"Duplicate email",IF(ISERROR(FIND("@",A350)),"Not an email address",IF(AND(H350=0,E350=""),"Investor without holders","OK"))))</f>
        <v/>
      </c>
    </row>
    <row r="351">
      <c r="A351" s="26" t="n"/>
      <c r="B351" s="26" t="n"/>
      <c r="C351" s="26" t="n"/>
      <c r="D351" s="26" t="n"/>
      <c r="E351" s="26" t="n"/>
      <c r="F351" s="26" t="n"/>
      <c r="G351" s="26" t="n"/>
      <c r="H351" s="30">
        <f>IF(A351="","",COUNTIF('Access'!$A$4:$A$1503,A351))</f>
        <v/>
      </c>
      <c r="I351" s="30">
        <f t="array" ref="I351">IF(A351="","",_xlfn.TEXTJOIN(", ",TRUE,IF(('Companies'!$A$4:$A$63&lt;&gt;"")*(COUNTIFS('Access'!$A$4:$A$1503,A351,'Access'!$F$4:$F$1503,"*"&amp;'Companies'!$A$4:$A$63&amp;"*")&gt;0),'Companies'!$A$4:$A$63,"")))</f>
        <v/>
      </c>
      <c r="J351" s="30">
        <f>IF(A351="","",IF(COUNTIF($A$4:$A$1003,A351)&gt;1,"Duplicate email",IF(ISERROR(FIND("@",A351)),"Not an email address",IF(AND(H351=0,E351=""),"Investor without holders","OK"))))</f>
        <v/>
      </c>
    </row>
    <row r="352">
      <c r="A352" s="26" t="n"/>
      <c r="B352" s="26" t="n"/>
      <c r="C352" s="26" t="n"/>
      <c r="D352" s="26" t="n"/>
      <c r="E352" s="26" t="n"/>
      <c r="F352" s="26" t="n"/>
      <c r="G352" s="26" t="n"/>
      <c r="H352" s="30">
        <f>IF(A352="","",COUNTIF('Access'!$A$4:$A$1503,A352))</f>
        <v/>
      </c>
      <c r="I352" s="30">
        <f t="array" ref="I352">IF(A352="","",_xlfn.TEXTJOIN(", ",TRUE,IF(('Companies'!$A$4:$A$63&lt;&gt;"")*(COUNTIFS('Access'!$A$4:$A$1503,A352,'Access'!$F$4:$F$1503,"*"&amp;'Companies'!$A$4:$A$63&amp;"*")&gt;0),'Companies'!$A$4:$A$63,"")))</f>
        <v/>
      </c>
      <c r="J352" s="30">
        <f>IF(A352="","",IF(COUNTIF($A$4:$A$1003,A352)&gt;1,"Duplicate email",IF(ISERROR(FIND("@",A352)),"Not an email address",IF(AND(H352=0,E352=""),"Investor without holders","OK"))))</f>
        <v/>
      </c>
    </row>
    <row r="353">
      <c r="A353" s="26" t="n"/>
      <c r="B353" s="26" t="n"/>
      <c r="C353" s="26" t="n"/>
      <c r="D353" s="26" t="n"/>
      <c r="E353" s="26" t="n"/>
      <c r="F353" s="26" t="n"/>
      <c r="G353" s="26" t="n"/>
      <c r="H353" s="30">
        <f>IF(A353="","",COUNTIF('Access'!$A$4:$A$1503,A353))</f>
        <v/>
      </c>
      <c r="I353" s="30">
        <f t="array" ref="I353">IF(A353="","",_xlfn.TEXTJOIN(", ",TRUE,IF(('Companies'!$A$4:$A$63&lt;&gt;"")*(COUNTIFS('Access'!$A$4:$A$1503,A353,'Access'!$F$4:$F$1503,"*"&amp;'Companies'!$A$4:$A$63&amp;"*")&gt;0),'Companies'!$A$4:$A$63,"")))</f>
        <v/>
      </c>
      <c r="J353" s="30">
        <f>IF(A353="","",IF(COUNTIF($A$4:$A$1003,A353)&gt;1,"Duplicate email",IF(ISERROR(FIND("@",A353)),"Not an email address",IF(AND(H353=0,E353=""),"Investor without holders","OK"))))</f>
        <v/>
      </c>
    </row>
    <row r="354">
      <c r="A354" s="26" t="n"/>
      <c r="B354" s="26" t="n"/>
      <c r="C354" s="26" t="n"/>
      <c r="D354" s="26" t="n"/>
      <c r="E354" s="26" t="n"/>
      <c r="F354" s="26" t="n"/>
      <c r="G354" s="26" t="n"/>
      <c r="H354" s="30">
        <f>IF(A354="","",COUNTIF('Access'!$A$4:$A$1503,A354))</f>
        <v/>
      </c>
      <c r="I354" s="30">
        <f t="array" ref="I354">IF(A354="","",_xlfn.TEXTJOIN(", ",TRUE,IF(('Companies'!$A$4:$A$63&lt;&gt;"")*(COUNTIFS('Access'!$A$4:$A$1503,A354,'Access'!$F$4:$F$1503,"*"&amp;'Companies'!$A$4:$A$63&amp;"*")&gt;0),'Companies'!$A$4:$A$63,"")))</f>
        <v/>
      </c>
      <c r="J354" s="30">
        <f>IF(A354="","",IF(COUNTIF($A$4:$A$1003,A354)&gt;1,"Duplicate email",IF(ISERROR(FIND("@",A354)),"Not an email address",IF(AND(H354=0,E354=""),"Investor without holders","OK"))))</f>
        <v/>
      </c>
    </row>
    <row r="355">
      <c r="A355" s="26" t="n"/>
      <c r="B355" s="26" t="n"/>
      <c r="C355" s="26" t="n"/>
      <c r="D355" s="26" t="n"/>
      <c r="E355" s="26" t="n"/>
      <c r="F355" s="26" t="n"/>
      <c r="G355" s="26" t="n"/>
      <c r="H355" s="30">
        <f>IF(A355="","",COUNTIF('Access'!$A$4:$A$1503,A355))</f>
        <v/>
      </c>
      <c r="I355" s="30">
        <f t="array" ref="I355">IF(A355="","",_xlfn.TEXTJOIN(", ",TRUE,IF(('Companies'!$A$4:$A$63&lt;&gt;"")*(COUNTIFS('Access'!$A$4:$A$1503,A355,'Access'!$F$4:$F$1503,"*"&amp;'Companies'!$A$4:$A$63&amp;"*")&gt;0),'Companies'!$A$4:$A$63,"")))</f>
        <v/>
      </c>
      <c r="J355" s="30">
        <f>IF(A355="","",IF(COUNTIF($A$4:$A$1003,A355)&gt;1,"Duplicate email",IF(ISERROR(FIND("@",A355)),"Not an email address",IF(AND(H355=0,E355=""),"Investor without holders","OK"))))</f>
        <v/>
      </c>
    </row>
    <row r="356">
      <c r="A356" s="26" t="n"/>
      <c r="B356" s="26" t="n"/>
      <c r="C356" s="26" t="n"/>
      <c r="D356" s="26" t="n"/>
      <c r="E356" s="26" t="n"/>
      <c r="F356" s="26" t="n"/>
      <c r="G356" s="26" t="n"/>
      <c r="H356" s="30">
        <f>IF(A356="","",COUNTIF('Access'!$A$4:$A$1503,A356))</f>
        <v/>
      </c>
      <c r="I356" s="30">
        <f t="array" ref="I356">IF(A356="","",_xlfn.TEXTJOIN(", ",TRUE,IF(('Companies'!$A$4:$A$63&lt;&gt;"")*(COUNTIFS('Access'!$A$4:$A$1503,A356,'Access'!$F$4:$F$1503,"*"&amp;'Companies'!$A$4:$A$63&amp;"*")&gt;0),'Companies'!$A$4:$A$63,"")))</f>
        <v/>
      </c>
      <c r="J356" s="30">
        <f>IF(A356="","",IF(COUNTIF($A$4:$A$1003,A356)&gt;1,"Duplicate email",IF(ISERROR(FIND("@",A356)),"Not an email address",IF(AND(H356=0,E356=""),"Investor without holders","OK"))))</f>
        <v/>
      </c>
    </row>
    <row r="357">
      <c r="A357" s="26" t="n"/>
      <c r="B357" s="26" t="n"/>
      <c r="C357" s="26" t="n"/>
      <c r="D357" s="26" t="n"/>
      <c r="E357" s="26" t="n"/>
      <c r="F357" s="26" t="n"/>
      <c r="G357" s="26" t="n"/>
      <c r="H357" s="30">
        <f>IF(A357="","",COUNTIF('Access'!$A$4:$A$1503,A357))</f>
        <v/>
      </c>
      <c r="I357" s="30">
        <f t="array" ref="I357">IF(A357="","",_xlfn.TEXTJOIN(", ",TRUE,IF(('Companies'!$A$4:$A$63&lt;&gt;"")*(COUNTIFS('Access'!$A$4:$A$1503,A357,'Access'!$F$4:$F$1503,"*"&amp;'Companies'!$A$4:$A$63&amp;"*")&gt;0),'Companies'!$A$4:$A$63,"")))</f>
        <v/>
      </c>
      <c r="J357" s="30">
        <f>IF(A357="","",IF(COUNTIF($A$4:$A$1003,A357)&gt;1,"Duplicate email",IF(ISERROR(FIND("@",A357)),"Not an email address",IF(AND(H357=0,E357=""),"Investor without holders","OK"))))</f>
        <v/>
      </c>
    </row>
    <row r="358">
      <c r="A358" s="26" t="n"/>
      <c r="B358" s="26" t="n"/>
      <c r="C358" s="26" t="n"/>
      <c r="D358" s="26" t="n"/>
      <c r="E358" s="26" t="n"/>
      <c r="F358" s="26" t="n"/>
      <c r="G358" s="26" t="n"/>
      <c r="H358" s="30">
        <f>IF(A358="","",COUNTIF('Access'!$A$4:$A$1503,A358))</f>
        <v/>
      </c>
      <c r="I358" s="30">
        <f t="array" ref="I358">IF(A358="","",_xlfn.TEXTJOIN(", ",TRUE,IF(('Companies'!$A$4:$A$63&lt;&gt;"")*(COUNTIFS('Access'!$A$4:$A$1503,A358,'Access'!$F$4:$F$1503,"*"&amp;'Companies'!$A$4:$A$63&amp;"*")&gt;0),'Companies'!$A$4:$A$63,"")))</f>
        <v/>
      </c>
      <c r="J358" s="30">
        <f>IF(A358="","",IF(COUNTIF($A$4:$A$1003,A358)&gt;1,"Duplicate email",IF(ISERROR(FIND("@",A358)),"Not an email address",IF(AND(H358=0,E358=""),"Investor without holders","OK"))))</f>
        <v/>
      </c>
    </row>
    <row r="359">
      <c r="A359" s="26" t="n"/>
      <c r="B359" s="26" t="n"/>
      <c r="C359" s="26" t="n"/>
      <c r="D359" s="26" t="n"/>
      <c r="E359" s="26" t="n"/>
      <c r="F359" s="26" t="n"/>
      <c r="G359" s="26" t="n"/>
      <c r="H359" s="30">
        <f>IF(A359="","",COUNTIF('Access'!$A$4:$A$1503,A359))</f>
        <v/>
      </c>
      <c r="I359" s="30">
        <f t="array" ref="I359">IF(A359="","",_xlfn.TEXTJOIN(", ",TRUE,IF(('Companies'!$A$4:$A$63&lt;&gt;"")*(COUNTIFS('Access'!$A$4:$A$1503,A359,'Access'!$F$4:$F$1503,"*"&amp;'Companies'!$A$4:$A$63&amp;"*")&gt;0),'Companies'!$A$4:$A$63,"")))</f>
        <v/>
      </c>
      <c r="J359" s="30">
        <f>IF(A359="","",IF(COUNTIF($A$4:$A$1003,A359)&gt;1,"Duplicate email",IF(ISERROR(FIND("@",A359)),"Not an email address",IF(AND(H359=0,E359=""),"Investor without holders","OK"))))</f>
        <v/>
      </c>
    </row>
    <row r="360">
      <c r="A360" s="26" t="n"/>
      <c r="B360" s="26" t="n"/>
      <c r="C360" s="26" t="n"/>
      <c r="D360" s="26" t="n"/>
      <c r="E360" s="26" t="n"/>
      <c r="F360" s="26" t="n"/>
      <c r="G360" s="26" t="n"/>
      <c r="H360" s="30">
        <f>IF(A360="","",COUNTIF('Access'!$A$4:$A$1503,A360))</f>
        <v/>
      </c>
      <c r="I360" s="30">
        <f t="array" ref="I360">IF(A360="","",_xlfn.TEXTJOIN(", ",TRUE,IF(('Companies'!$A$4:$A$63&lt;&gt;"")*(COUNTIFS('Access'!$A$4:$A$1503,A360,'Access'!$F$4:$F$1503,"*"&amp;'Companies'!$A$4:$A$63&amp;"*")&gt;0),'Companies'!$A$4:$A$63,"")))</f>
        <v/>
      </c>
      <c r="J360" s="30">
        <f>IF(A360="","",IF(COUNTIF($A$4:$A$1003,A360)&gt;1,"Duplicate email",IF(ISERROR(FIND("@",A360)),"Not an email address",IF(AND(H360=0,E360=""),"Investor without holders","OK"))))</f>
        <v/>
      </c>
    </row>
    <row r="361">
      <c r="A361" s="26" t="n"/>
      <c r="B361" s="26" t="n"/>
      <c r="C361" s="26" t="n"/>
      <c r="D361" s="26" t="n"/>
      <c r="E361" s="26" t="n"/>
      <c r="F361" s="26" t="n"/>
      <c r="G361" s="26" t="n"/>
      <c r="H361" s="30">
        <f>IF(A361="","",COUNTIF('Access'!$A$4:$A$1503,A361))</f>
        <v/>
      </c>
      <c r="I361" s="30">
        <f t="array" ref="I361">IF(A361="","",_xlfn.TEXTJOIN(", ",TRUE,IF(('Companies'!$A$4:$A$63&lt;&gt;"")*(COUNTIFS('Access'!$A$4:$A$1503,A361,'Access'!$F$4:$F$1503,"*"&amp;'Companies'!$A$4:$A$63&amp;"*")&gt;0),'Companies'!$A$4:$A$63,"")))</f>
        <v/>
      </c>
      <c r="J361" s="30">
        <f>IF(A361="","",IF(COUNTIF($A$4:$A$1003,A361)&gt;1,"Duplicate email",IF(ISERROR(FIND("@",A361)),"Not an email address",IF(AND(H361=0,E361=""),"Investor without holders","OK"))))</f>
        <v/>
      </c>
    </row>
    <row r="362">
      <c r="A362" s="26" t="n"/>
      <c r="B362" s="26" t="n"/>
      <c r="C362" s="26" t="n"/>
      <c r="D362" s="26" t="n"/>
      <c r="E362" s="26" t="n"/>
      <c r="F362" s="26" t="n"/>
      <c r="G362" s="26" t="n"/>
      <c r="H362" s="30">
        <f>IF(A362="","",COUNTIF('Access'!$A$4:$A$1503,A362))</f>
        <v/>
      </c>
      <c r="I362" s="30">
        <f t="array" ref="I362">IF(A362="","",_xlfn.TEXTJOIN(", ",TRUE,IF(('Companies'!$A$4:$A$63&lt;&gt;"")*(COUNTIFS('Access'!$A$4:$A$1503,A362,'Access'!$F$4:$F$1503,"*"&amp;'Companies'!$A$4:$A$63&amp;"*")&gt;0),'Companies'!$A$4:$A$63,"")))</f>
        <v/>
      </c>
      <c r="J362" s="30">
        <f>IF(A362="","",IF(COUNTIF($A$4:$A$1003,A362)&gt;1,"Duplicate email",IF(ISERROR(FIND("@",A362)),"Not an email address",IF(AND(H362=0,E362=""),"Investor without holders","OK"))))</f>
        <v/>
      </c>
    </row>
    <row r="363">
      <c r="A363" s="26" t="n"/>
      <c r="B363" s="26" t="n"/>
      <c r="C363" s="26" t="n"/>
      <c r="D363" s="26" t="n"/>
      <c r="E363" s="26" t="n"/>
      <c r="F363" s="26" t="n"/>
      <c r="G363" s="26" t="n"/>
      <c r="H363" s="30">
        <f>IF(A363="","",COUNTIF('Access'!$A$4:$A$1503,A363))</f>
        <v/>
      </c>
      <c r="I363" s="30">
        <f t="array" ref="I363">IF(A363="","",_xlfn.TEXTJOIN(", ",TRUE,IF(('Companies'!$A$4:$A$63&lt;&gt;"")*(COUNTIFS('Access'!$A$4:$A$1503,A363,'Access'!$F$4:$F$1503,"*"&amp;'Companies'!$A$4:$A$63&amp;"*")&gt;0),'Companies'!$A$4:$A$63,"")))</f>
        <v/>
      </c>
      <c r="J363" s="30">
        <f>IF(A363="","",IF(COUNTIF($A$4:$A$1003,A363)&gt;1,"Duplicate email",IF(ISERROR(FIND("@",A363)),"Not an email address",IF(AND(H363=0,E363=""),"Investor without holders","OK"))))</f>
        <v/>
      </c>
    </row>
    <row r="364">
      <c r="A364" s="26" t="n"/>
      <c r="B364" s="26" t="n"/>
      <c r="C364" s="26" t="n"/>
      <c r="D364" s="26" t="n"/>
      <c r="E364" s="26" t="n"/>
      <c r="F364" s="26" t="n"/>
      <c r="G364" s="26" t="n"/>
      <c r="H364" s="30">
        <f>IF(A364="","",COUNTIF('Access'!$A$4:$A$1503,A364))</f>
        <v/>
      </c>
      <c r="I364" s="30">
        <f t="array" ref="I364">IF(A364="","",_xlfn.TEXTJOIN(", ",TRUE,IF(('Companies'!$A$4:$A$63&lt;&gt;"")*(COUNTIFS('Access'!$A$4:$A$1503,A364,'Access'!$F$4:$F$1503,"*"&amp;'Companies'!$A$4:$A$63&amp;"*")&gt;0),'Companies'!$A$4:$A$63,"")))</f>
        <v/>
      </c>
      <c r="J364" s="30">
        <f>IF(A364="","",IF(COUNTIF($A$4:$A$1003,A364)&gt;1,"Duplicate email",IF(ISERROR(FIND("@",A364)),"Not an email address",IF(AND(H364=0,E364=""),"Investor without holders","OK"))))</f>
        <v/>
      </c>
    </row>
    <row r="365">
      <c r="A365" s="26" t="n"/>
      <c r="B365" s="26" t="n"/>
      <c r="C365" s="26" t="n"/>
      <c r="D365" s="26" t="n"/>
      <c r="E365" s="26" t="n"/>
      <c r="F365" s="26" t="n"/>
      <c r="G365" s="26" t="n"/>
      <c r="H365" s="30">
        <f>IF(A365="","",COUNTIF('Access'!$A$4:$A$1503,A365))</f>
        <v/>
      </c>
      <c r="I365" s="30">
        <f t="array" ref="I365">IF(A365="","",_xlfn.TEXTJOIN(", ",TRUE,IF(('Companies'!$A$4:$A$63&lt;&gt;"")*(COUNTIFS('Access'!$A$4:$A$1503,A365,'Access'!$F$4:$F$1503,"*"&amp;'Companies'!$A$4:$A$63&amp;"*")&gt;0),'Companies'!$A$4:$A$63,"")))</f>
        <v/>
      </c>
      <c r="J365" s="30">
        <f>IF(A365="","",IF(COUNTIF($A$4:$A$1003,A365)&gt;1,"Duplicate email",IF(ISERROR(FIND("@",A365)),"Not an email address",IF(AND(H365=0,E365=""),"Investor without holders","OK"))))</f>
        <v/>
      </c>
    </row>
    <row r="366">
      <c r="A366" s="26" t="n"/>
      <c r="B366" s="26" t="n"/>
      <c r="C366" s="26" t="n"/>
      <c r="D366" s="26" t="n"/>
      <c r="E366" s="26" t="n"/>
      <c r="F366" s="26" t="n"/>
      <c r="G366" s="26" t="n"/>
      <c r="H366" s="30">
        <f>IF(A366="","",COUNTIF('Access'!$A$4:$A$1503,A366))</f>
        <v/>
      </c>
      <c r="I366" s="30">
        <f t="array" ref="I366">IF(A366="","",_xlfn.TEXTJOIN(", ",TRUE,IF(('Companies'!$A$4:$A$63&lt;&gt;"")*(COUNTIFS('Access'!$A$4:$A$1503,A366,'Access'!$F$4:$F$1503,"*"&amp;'Companies'!$A$4:$A$63&amp;"*")&gt;0),'Companies'!$A$4:$A$63,"")))</f>
        <v/>
      </c>
      <c r="J366" s="30">
        <f>IF(A366="","",IF(COUNTIF($A$4:$A$1003,A366)&gt;1,"Duplicate email",IF(ISERROR(FIND("@",A366)),"Not an email address",IF(AND(H366=0,E366=""),"Investor without holders","OK"))))</f>
        <v/>
      </c>
    </row>
    <row r="367">
      <c r="A367" s="26" t="n"/>
      <c r="B367" s="26" t="n"/>
      <c r="C367" s="26" t="n"/>
      <c r="D367" s="26" t="n"/>
      <c r="E367" s="26" t="n"/>
      <c r="F367" s="26" t="n"/>
      <c r="G367" s="26" t="n"/>
      <c r="H367" s="30">
        <f>IF(A367="","",COUNTIF('Access'!$A$4:$A$1503,A367))</f>
        <v/>
      </c>
      <c r="I367" s="30">
        <f t="array" ref="I367">IF(A367="","",_xlfn.TEXTJOIN(", ",TRUE,IF(('Companies'!$A$4:$A$63&lt;&gt;"")*(COUNTIFS('Access'!$A$4:$A$1503,A367,'Access'!$F$4:$F$1503,"*"&amp;'Companies'!$A$4:$A$63&amp;"*")&gt;0),'Companies'!$A$4:$A$63,"")))</f>
        <v/>
      </c>
      <c r="J367" s="30">
        <f>IF(A367="","",IF(COUNTIF($A$4:$A$1003,A367)&gt;1,"Duplicate email",IF(ISERROR(FIND("@",A367)),"Not an email address",IF(AND(H367=0,E367=""),"Investor without holders","OK"))))</f>
        <v/>
      </c>
    </row>
    <row r="368">
      <c r="A368" s="26" t="n"/>
      <c r="B368" s="26" t="n"/>
      <c r="C368" s="26" t="n"/>
      <c r="D368" s="26" t="n"/>
      <c r="E368" s="26" t="n"/>
      <c r="F368" s="26" t="n"/>
      <c r="G368" s="26" t="n"/>
      <c r="H368" s="30">
        <f>IF(A368="","",COUNTIF('Access'!$A$4:$A$1503,A368))</f>
        <v/>
      </c>
      <c r="I368" s="30">
        <f t="array" ref="I368">IF(A368="","",_xlfn.TEXTJOIN(", ",TRUE,IF(('Companies'!$A$4:$A$63&lt;&gt;"")*(COUNTIFS('Access'!$A$4:$A$1503,A368,'Access'!$F$4:$F$1503,"*"&amp;'Companies'!$A$4:$A$63&amp;"*")&gt;0),'Companies'!$A$4:$A$63,"")))</f>
        <v/>
      </c>
      <c r="J368" s="30">
        <f>IF(A368="","",IF(COUNTIF($A$4:$A$1003,A368)&gt;1,"Duplicate email",IF(ISERROR(FIND("@",A368)),"Not an email address",IF(AND(H368=0,E368=""),"Investor without holders","OK"))))</f>
        <v/>
      </c>
    </row>
    <row r="369">
      <c r="A369" s="26" t="n"/>
      <c r="B369" s="26" t="n"/>
      <c r="C369" s="26" t="n"/>
      <c r="D369" s="26" t="n"/>
      <c r="E369" s="26" t="n"/>
      <c r="F369" s="26" t="n"/>
      <c r="G369" s="26" t="n"/>
      <c r="H369" s="30">
        <f>IF(A369="","",COUNTIF('Access'!$A$4:$A$1503,A369))</f>
        <v/>
      </c>
      <c r="I369" s="30">
        <f t="array" ref="I369">IF(A369="","",_xlfn.TEXTJOIN(", ",TRUE,IF(('Companies'!$A$4:$A$63&lt;&gt;"")*(COUNTIFS('Access'!$A$4:$A$1503,A369,'Access'!$F$4:$F$1503,"*"&amp;'Companies'!$A$4:$A$63&amp;"*")&gt;0),'Companies'!$A$4:$A$63,"")))</f>
        <v/>
      </c>
      <c r="J369" s="30">
        <f>IF(A369="","",IF(COUNTIF($A$4:$A$1003,A369)&gt;1,"Duplicate email",IF(ISERROR(FIND("@",A369)),"Not an email address",IF(AND(H369=0,E369=""),"Investor without holders","OK"))))</f>
        <v/>
      </c>
    </row>
    <row r="370">
      <c r="A370" s="26" t="n"/>
      <c r="B370" s="26" t="n"/>
      <c r="C370" s="26" t="n"/>
      <c r="D370" s="26" t="n"/>
      <c r="E370" s="26" t="n"/>
      <c r="F370" s="26" t="n"/>
      <c r="G370" s="26" t="n"/>
      <c r="H370" s="30">
        <f>IF(A370="","",COUNTIF('Access'!$A$4:$A$1503,A370))</f>
        <v/>
      </c>
      <c r="I370" s="30">
        <f t="array" ref="I370">IF(A370="","",_xlfn.TEXTJOIN(", ",TRUE,IF(('Companies'!$A$4:$A$63&lt;&gt;"")*(COUNTIFS('Access'!$A$4:$A$1503,A370,'Access'!$F$4:$F$1503,"*"&amp;'Companies'!$A$4:$A$63&amp;"*")&gt;0),'Companies'!$A$4:$A$63,"")))</f>
        <v/>
      </c>
      <c r="J370" s="30">
        <f>IF(A370="","",IF(COUNTIF($A$4:$A$1003,A370)&gt;1,"Duplicate email",IF(ISERROR(FIND("@",A370)),"Not an email address",IF(AND(H370=0,E370=""),"Investor without holders","OK"))))</f>
        <v/>
      </c>
    </row>
    <row r="371">
      <c r="A371" s="26" t="n"/>
      <c r="B371" s="26" t="n"/>
      <c r="C371" s="26" t="n"/>
      <c r="D371" s="26" t="n"/>
      <c r="E371" s="26" t="n"/>
      <c r="F371" s="26" t="n"/>
      <c r="G371" s="26" t="n"/>
      <c r="H371" s="30">
        <f>IF(A371="","",COUNTIF('Access'!$A$4:$A$1503,A371))</f>
        <v/>
      </c>
      <c r="I371" s="30">
        <f t="array" ref="I371">IF(A371="","",_xlfn.TEXTJOIN(", ",TRUE,IF(('Companies'!$A$4:$A$63&lt;&gt;"")*(COUNTIFS('Access'!$A$4:$A$1503,A371,'Access'!$F$4:$F$1503,"*"&amp;'Companies'!$A$4:$A$63&amp;"*")&gt;0),'Companies'!$A$4:$A$63,"")))</f>
        <v/>
      </c>
      <c r="J371" s="30">
        <f>IF(A371="","",IF(COUNTIF($A$4:$A$1003,A371)&gt;1,"Duplicate email",IF(ISERROR(FIND("@",A371)),"Not an email address",IF(AND(H371=0,E371=""),"Investor without holders","OK"))))</f>
        <v/>
      </c>
    </row>
    <row r="372">
      <c r="A372" s="26" t="n"/>
      <c r="B372" s="26" t="n"/>
      <c r="C372" s="26" t="n"/>
      <c r="D372" s="26" t="n"/>
      <c r="E372" s="26" t="n"/>
      <c r="F372" s="26" t="n"/>
      <c r="G372" s="26" t="n"/>
      <c r="H372" s="30">
        <f>IF(A372="","",COUNTIF('Access'!$A$4:$A$1503,A372))</f>
        <v/>
      </c>
      <c r="I372" s="30">
        <f t="array" ref="I372">IF(A372="","",_xlfn.TEXTJOIN(", ",TRUE,IF(('Companies'!$A$4:$A$63&lt;&gt;"")*(COUNTIFS('Access'!$A$4:$A$1503,A372,'Access'!$F$4:$F$1503,"*"&amp;'Companies'!$A$4:$A$63&amp;"*")&gt;0),'Companies'!$A$4:$A$63,"")))</f>
        <v/>
      </c>
      <c r="J372" s="30">
        <f>IF(A372="","",IF(COUNTIF($A$4:$A$1003,A372)&gt;1,"Duplicate email",IF(ISERROR(FIND("@",A372)),"Not an email address",IF(AND(H372=0,E372=""),"Investor without holders","OK"))))</f>
        <v/>
      </c>
    </row>
    <row r="373">
      <c r="A373" s="26" t="n"/>
      <c r="B373" s="26" t="n"/>
      <c r="C373" s="26" t="n"/>
      <c r="D373" s="26" t="n"/>
      <c r="E373" s="26" t="n"/>
      <c r="F373" s="26" t="n"/>
      <c r="G373" s="26" t="n"/>
      <c r="H373" s="30">
        <f>IF(A373="","",COUNTIF('Access'!$A$4:$A$1503,A373))</f>
        <v/>
      </c>
      <c r="I373" s="30">
        <f t="array" ref="I373">IF(A373="","",_xlfn.TEXTJOIN(", ",TRUE,IF(('Companies'!$A$4:$A$63&lt;&gt;"")*(COUNTIFS('Access'!$A$4:$A$1503,A373,'Access'!$F$4:$F$1503,"*"&amp;'Companies'!$A$4:$A$63&amp;"*")&gt;0),'Companies'!$A$4:$A$63,"")))</f>
        <v/>
      </c>
      <c r="J373" s="30">
        <f>IF(A373="","",IF(COUNTIF($A$4:$A$1003,A373)&gt;1,"Duplicate email",IF(ISERROR(FIND("@",A373)),"Not an email address",IF(AND(H373=0,E373=""),"Investor without holders","OK"))))</f>
        <v/>
      </c>
    </row>
    <row r="374">
      <c r="A374" s="26" t="n"/>
      <c r="B374" s="26" t="n"/>
      <c r="C374" s="26" t="n"/>
      <c r="D374" s="26" t="n"/>
      <c r="E374" s="26" t="n"/>
      <c r="F374" s="26" t="n"/>
      <c r="G374" s="26" t="n"/>
      <c r="H374" s="30">
        <f>IF(A374="","",COUNTIF('Access'!$A$4:$A$1503,A374))</f>
        <v/>
      </c>
      <c r="I374" s="30">
        <f t="array" ref="I374">IF(A374="","",_xlfn.TEXTJOIN(", ",TRUE,IF(('Companies'!$A$4:$A$63&lt;&gt;"")*(COUNTIFS('Access'!$A$4:$A$1503,A374,'Access'!$F$4:$F$1503,"*"&amp;'Companies'!$A$4:$A$63&amp;"*")&gt;0),'Companies'!$A$4:$A$63,"")))</f>
        <v/>
      </c>
      <c r="J374" s="30">
        <f>IF(A374="","",IF(COUNTIF($A$4:$A$1003,A374)&gt;1,"Duplicate email",IF(ISERROR(FIND("@",A374)),"Not an email address",IF(AND(H374=0,E374=""),"Investor without holders","OK"))))</f>
        <v/>
      </c>
    </row>
    <row r="375">
      <c r="A375" s="26" t="n"/>
      <c r="B375" s="26" t="n"/>
      <c r="C375" s="26" t="n"/>
      <c r="D375" s="26" t="n"/>
      <c r="E375" s="26" t="n"/>
      <c r="F375" s="26" t="n"/>
      <c r="G375" s="26" t="n"/>
      <c r="H375" s="30">
        <f>IF(A375="","",COUNTIF('Access'!$A$4:$A$1503,A375))</f>
        <v/>
      </c>
      <c r="I375" s="30">
        <f t="array" ref="I375">IF(A375="","",_xlfn.TEXTJOIN(", ",TRUE,IF(('Companies'!$A$4:$A$63&lt;&gt;"")*(COUNTIFS('Access'!$A$4:$A$1503,A375,'Access'!$F$4:$F$1503,"*"&amp;'Companies'!$A$4:$A$63&amp;"*")&gt;0),'Companies'!$A$4:$A$63,"")))</f>
        <v/>
      </c>
      <c r="J375" s="30">
        <f>IF(A375="","",IF(COUNTIF($A$4:$A$1003,A375)&gt;1,"Duplicate email",IF(ISERROR(FIND("@",A375)),"Not an email address",IF(AND(H375=0,E375=""),"Investor without holders","OK"))))</f>
        <v/>
      </c>
    </row>
    <row r="376">
      <c r="A376" s="26" t="n"/>
      <c r="B376" s="26" t="n"/>
      <c r="C376" s="26" t="n"/>
      <c r="D376" s="26" t="n"/>
      <c r="E376" s="26" t="n"/>
      <c r="F376" s="26" t="n"/>
      <c r="G376" s="26" t="n"/>
      <c r="H376" s="30">
        <f>IF(A376="","",COUNTIF('Access'!$A$4:$A$1503,A376))</f>
        <v/>
      </c>
      <c r="I376" s="30">
        <f t="array" ref="I376">IF(A376="","",_xlfn.TEXTJOIN(", ",TRUE,IF(('Companies'!$A$4:$A$63&lt;&gt;"")*(COUNTIFS('Access'!$A$4:$A$1503,A376,'Access'!$F$4:$F$1503,"*"&amp;'Companies'!$A$4:$A$63&amp;"*")&gt;0),'Companies'!$A$4:$A$63,"")))</f>
        <v/>
      </c>
      <c r="J376" s="30">
        <f>IF(A376="","",IF(COUNTIF($A$4:$A$1003,A376)&gt;1,"Duplicate email",IF(ISERROR(FIND("@",A376)),"Not an email address",IF(AND(H376=0,E376=""),"Investor without holders","OK"))))</f>
        <v/>
      </c>
    </row>
    <row r="377">
      <c r="A377" s="26" t="n"/>
      <c r="B377" s="26" t="n"/>
      <c r="C377" s="26" t="n"/>
      <c r="D377" s="26" t="n"/>
      <c r="E377" s="26" t="n"/>
      <c r="F377" s="26" t="n"/>
      <c r="G377" s="26" t="n"/>
      <c r="H377" s="30">
        <f>IF(A377="","",COUNTIF('Access'!$A$4:$A$1503,A377))</f>
        <v/>
      </c>
      <c r="I377" s="30">
        <f t="array" ref="I377">IF(A377="","",_xlfn.TEXTJOIN(", ",TRUE,IF(('Companies'!$A$4:$A$63&lt;&gt;"")*(COUNTIFS('Access'!$A$4:$A$1503,A377,'Access'!$F$4:$F$1503,"*"&amp;'Companies'!$A$4:$A$63&amp;"*")&gt;0),'Companies'!$A$4:$A$63,"")))</f>
        <v/>
      </c>
      <c r="J377" s="30">
        <f>IF(A377="","",IF(COUNTIF($A$4:$A$1003,A377)&gt;1,"Duplicate email",IF(ISERROR(FIND("@",A377)),"Not an email address",IF(AND(H377=0,E377=""),"Investor without holders","OK"))))</f>
        <v/>
      </c>
    </row>
    <row r="378">
      <c r="A378" s="26" t="n"/>
      <c r="B378" s="26" t="n"/>
      <c r="C378" s="26" t="n"/>
      <c r="D378" s="26" t="n"/>
      <c r="E378" s="26" t="n"/>
      <c r="F378" s="26" t="n"/>
      <c r="G378" s="26" t="n"/>
      <c r="H378" s="30">
        <f>IF(A378="","",COUNTIF('Access'!$A$4:$A$1503,A378))</f>
        <v/>
      </c>
      <c r="I378" s="30">
        <f t="array" ref="I378">IF(A378="","",_xlfn.TEXTJOIN(", ",TRUE,IF(('Companies'!$A$4:$A$63&lt;&gt;"")*(COUNTIFS('Access'!$A$4:$A$1503,A378,'Access'!$F$4:$F$1503,"*"&amp;'Companies'!$A$4:$A$63&amp;"*")&gt;0),'Companies'!$A$4:$A$63,"")))</f>
        <v/>
      </c>
      <c r="J378" s="30">
        <f>IF(A378="","",IF(COUNTIF($A$4:$A$1003,A378)&gt;1,"Duplicate email",IF(ISERROR(FIND("@",A378)),"Not an email address",IF(AND(H378=0,E378=""),"Investor without holders","OK"))))</f>
        <v/>
      </c>
    </row>
    <row r="379">
      <c r="A379" s="26" t="n"/>
      <c r="B379" s="26" t="n"/>
      <c r="C379" s="26" t="n"/>
      <c r="D379" s="26" t="n"/>
      <c r="E379" s="26" t="n"/>
      <c r="F379" s="26" t="n"/>
      <c r="G379" s="26" t="n"/>
      <c r="H379" s="30">
        <f>IF(A379="","",COUNTIF('Access'!$A$4:$A$1503,A379))</f>
        <v/>
      </c>
      <c r="I379" s="30">
        <f t="array" ref="I379">IF(A379="","",_xlfn.TEXTJOIN(", ",TRUE,IF(('Companies'!$A$4:$A$63&lt;&gt;"")*(COUNTIFS('Access'!$A$4:$A$1503,A379,'Access'!$F$4:$F$1503,"*"&amp;'Companies'!$A$4:$A$63&amp;"*")&gt;0),'Companies'!$A$4:$A$63,"")))</f>
        <v/>
      </c>
      <c r="J379" s="30">
        <f>IF(A379="","",IF(COUNTIF($A$4:$A$1003,A379)&gt;1,"Duplicate email",IF(ISERROR(FIND("@",A379)),"Not an email address",IF(AND(H379=0,E379=""),"Investor without holders","OK"))))</f>
        <v/>
      </c>
    </row>
    <row r="380">
      <c r="A380" s="26" t="n"/>
      <c r="B380" s="26" t="n"/>
      <c r="C380" s="26" t="n"/>
      <c r="D380" s="26" t="n"/>
      <c r="E380" s="26" t="n"/>
      <c r="F380" s="26" t="n"/>
      <c r="G380" s="26" t="n"/>
      <c r="H380" s="30">
        <f>IF(A380="","",COUNTIF('Access'!$A$4:$A$1503,A380))</f>
        <v/>
      </c>
      <c r="I380" s="30">
        <f t="array" ref="I380">IF(A380="","",_xlfn.TEXTJOIN(", ",TRUE,IF(('Companies'!$A$4:$A$63&lt;&gt;"")*(COUNTIFS('Access'!$A$4:$A$1503,A380,'Access'!$F$4:$F$1503,"*"&amp;'Companies'!$A$4:$A$63&amp;"*")&gt;0),'Companies'!$A$4:$A$63,"")))</f>
        <v/>
      </c>
      <c r="J380" s="30">
        <f>IF(A380="","",IF(COUNTIF($A$4:$A$1003,A380)&gt;1,"Duplicate email",IF(ISERROR(FIND("@",A380)),"Not an email address",IF(AND(H380=0,E380=""),"Investor without holders","OK"))))</f>
        <v/>
      </c>
    </row>
    <row r="381">
      <c r="A381" s="26" t="n"/>
      <c r="B381" s="26" t="n"/>
      <c r="C381" s="26" t="n"/>
      <c r="D381" s="26" t="n"/>
      <c r="E381" s="26" t="n"/>
      <c r="F381" s="26" t="n"/>
      <c r="G381" s="26" t="n"/>
      <c r="H381" s="30">
        <f>IF(A381="","",COUNTIF('Access'!$A$4:$A$1503,A381))</f>
        <v/>
      </c>
      <c r="I381" s="30">
        <f t="array" ref="I381">IF(A381="","",_xlfn.TEXTJOIN(", ",TRUE,IF(('Companies'!$A$4:$A$63&lt;&gt;"")*(COUNTIFS('Access'!$A$4:$A$1503,A381,'Access'!$F$4:$F$1503,"*"&amp;'Companies'!$A$4:$A$63&amp;"*")&gt;0),'Companies'!$A$4:$A$63,"")))</f>
        <v/>
      </c>
      <c r="J381" s="30">
        <f>IF(A381="","",IF(COUNTIF($A$4:$A$1003,A381)&gt;1,"Duplicate email",IF(ISERROR(FIND("@",A381)),"Not an email address",IF(AND(H381=0,E381=""),"Investor without holders","OK"))))</f>
        <v/>
      </c>
    </row>
    <row r="382">
      <c r="A382" s="26" t="n"/>
      <c r="B382" s="26" t="n"/>
      <c r="C382" s="26" t="n"/>
      <c r="D382" s="26" t="n"/>
      <c r="E382" s="26" t="n"/>
      <c r="F382" s="26" t="n"/>
      <c r="G382" s="26" t="n"/>
      <c r="H382" s="30">
        <f>IF(A382="","",COUNTIF('Access'!$A$4:$A$1503,A382))</f>
        <v/>
      </c>
      <c r="I382" s="30">
        <f t="array" ref="I382">IF(A382="","",_xlfn.TEXTJOIN(", ",TRUE,IF(('Companies'!$A$4:$A$63&lt;&gt;"")*(COUNTIFS('Access'!$A$4:$A$1503,A382,'Access'!$F$4:$F$1503,"*"&amp;'Companies'!$A$4:$A$63&amp;"*")&gt;0),'Companies'!$A$4:$A$63,"")))</f>
        <v/>
      </c>
      <c r="J382" s="30">
        <f>IF(A382="","",IF(COUNTIF($A$4:$A$1003,A382)&gt;1,"Duplicate email",IF(ISERROR(FIND("@",A382)),"Not an email address",IF(AND(H382=0,E382=""),"Investor without holders","OK"))))</f>
        <v/>
      </c>
    </row>
    <row r="383">
      <c r="A383" s="26" t="n"/>
      <c r="B383" s="26" t="n"/>
      <c r="C383" s="26" t="n"/>
      <c r="D383" s="26" t="n"/>
      <c r="E383" s="26" t="n"/>
      <c r="F383" s="26" t="n"/>
      <c r="G383" s="26" t="n"/>
      <c r="H383" s="30">
        <f>IF(A383="","",COUNTIF('Access'!$A$4:$A$1503,A383))</f>
        <v/>
      </c>
      <c r="I383" s="30">
        <f t="array" ref="I383">IF(A383="","",_xlfn.TEXTJOIN(", ",TRUE,IF(('Companies'!$A$4:$A$63&lt;&gt;"")*(COUNTIFS('Access'!$A$4:$A$1503,A383,'Access'!$F$4:$F$1503,"*"&amp;'Companies'!$A$4:$A$63&amp;"*")&gt;0),'Companies'!$A$4:$A$63,"")))</f>
        <v/>
      </c>
      <c r="J383" s="30">
        <f>IF(A383="","",IF(COUNTIF($A$4:$A$1003,A383)&gt;1,"Duplicate email",IF(ISERROR(FIND("@",A383)),"Not an email address",IF(AND(H383=0,E383=""),"Investor without holders","OK"))))</f>
        <v/>
      </c>
    </row>
    <row r="384">
      <c r="A384" s="26" t="n"/>
      <c r="B384" s="26" t="n"/>
      <c r="C384" s="26" t="n"/>
      <c r="D384" s="26" t="n"/>
      <c r="E384" s="26" t="n"/>
      <c r="F384" s="26" t="n"/>
      <c r="G384" s="26" t="n"/>
      <c r="H384" s="30">
        <f>IF(A384="","",COUNTIF('Access'!$A$4:$A$1503,A384))</f>
        <v/>
      </c>
      <c r="I384" s="30">
        <f t="array" ref="I384">IF(A384="","",_xlfn.TEXTJOIN(", ",TRUE,IF(('Companies'!$A$4:$A$63&lt;&gt;"")*(COUNTIFS('Access'!$A$4:$A$1503,A384,'Access'!$F$4:$F$1503,"*"&amp;'Companies'!$A$4:$A$63&amp;"*")&gt;0),'Companies'!$A$4:$A$63,"")))</f>
        <v/>
      </c>
      <c r="J384" s="30">
        <f>IF(A384="","",IF(COUNTIF($A$4:$A$1003,A384)&gt;1,"Duplicate email",IF(ISERROR(FIND("@",A384)),"Not an email address",IF(AND(H384=0,E384=""),"Investor without holders","OK"))))</f>
        <v/>
      </c>
    </row>
    <row r="385">
      <c r="A385" s="26" t="n"/>
      <c r="B385" s="26" t="n"/>
      <c r="C385" s="26" t="n"/>
      <c r="D385" s="26" t="n"/>
      <c r="E385" s="26" t="n"/>
      <c r="F385" s="26" t="n"/>
      <c r="G385" s="26" t="n"/>
      <c r="H385" s="30">
        <f>IF(A385="","",COUNTIF('Access'!$A$4:$A$1503,A385))</f>
        <v/>
      </c>
      <c r="I385" s="30">
        <f t="array" ref="I385">IF(A385="","",_xlfn.TEXTJOIN(", ",TRUE,IF(('Companies'!$A$4:$A$63&lt;&gt;"")*(COUNTIFS('Access'!$A$4:$A$1503,A385,'Access'!$F$4:$F$1503,"*"&amp;'Companies'!$A$4:$A$63&amp;"*")&gt;0),'Companies'!$A$4:$A$63,"")))</f>
        <v/>
      </c>
      <c r="J385" s="30">
        <f>IF(A385="","",IF(COUNTIF($A$4:$A$1003,A385)&gt;1,"Duplicate email",IF(ISERROR(FIND("@",A385)),"Not an email address",IF(AND(H385=0,E385=""),"Investor without holders","OK"))))</f>
        <v/>
      </c>
    </row>
    <row r="386">
      <c r="A386" s="26" t="n"/>
      <c r="B386" s="26" t="n"/>
      <c r="C386" s="26" t="n"/>
      <c r="D386" s="26" t="n"/>
      <c r="E386" s="26" t="n"/>
      <c r="F386" s="26" t="n"/>
      <c r="G386" s="26" t="n"/>
      <c r="H386" s="30">
        <f>IF(A386="","",COUNTIF('Access'!$A$4:$A$1503,A386))</f>
        <v/>
      </c>
      <c r="I386" s="30">
        <f t="array" ref="I386">IF(A386="","",_xlfn.TEXTJOIN(", ",TRUE,IF(('Companies'!$A$4:$A$63&lt;&gt;"")*(COUNTIFS('Access'!$A$4:$A$1503,A386,'Access'!$F$4:$F$1503,"*"&amp;'Companies'!$A$4:$A$63&amp;"*")&gt;0),'Companies'!$A$4:$A$63,"")))</f>
        <v/>
      </c>
      <c r="J386" s="30">
        <f>IF(A386="","",IF(COUNTIF($A$4:$A$1003,A386)&gt;1,"Duplicate email",IF(ISERROR(FIND("@",A386)),"Not an email address",IF(AND(H386=0,E386=""),"Investor without holders","OK"))))</f>
        <v/>
      </c>
    </row>
    <row r="387">
      <c r="A387" s="26" t="n"/>
      <c r="B387" s="26" t="n"/>
      <c r="C387" s="26" t="n"/>
      <c r="D387" s="26" t="n"/>
      <c r="E387" s="26" t="n"/>
      <c r="F387" s="26" t="n"/>
      <c r="G387" s="26" t="n"/>
      <c r="H387" s="30">
        <f>IF(A387="","",COUNTIF('Access'!$A$4:$A$1503,A387))</f>
        <v/>
      </c>
      <c r="I387" s="30">
        <f t="array" ref="I387">IF(A387="","",_xlfn.TEXTJOIN(", ",TRUE,IF(('Companies'!$A$4:$A$63&lt;&gt;"")*(COUNTIFS('Access'!$A$4:$A$1503,A387,'Access'!$F$4:$F$1503,"*"&amp;'Companies'!$A$4:$A$63&amp;"*")&gt;0),'Companies'!$A$4:$A$63,"")))</f>
        <v/>
      </c>
      <c r="J387" s="30">
        <f>IF(A387="","",IF(COUNTIF($A$4:$A$1003,A387)&gt;1,"Duplicate email",IF(ISERROR(FIND("@",A387)),"Not an email address",IF(AND(H387=0,E387=""),"Investor without holders","OK"))))</f>
        <v/>
      </c>
    </row>
    <row r="388">
      <c r="A388" s="26" t="n"/>
      <c r="B388" s="26" t="n"/>
      <c r="C388" s="26" t="n"/>
      <c r="D388" s="26" t="n"/>
      <c r="E388" s="26" t="n"/>
      <c r="F388" s="26" t="n"/>
      <c r="G388" s="26" t="n"/>
      <c r="H388" s="30">
        <f>IF(A388="","",COUNTIF('Access'!$A$4:$A$1503,A388))</f>
        <v/>
      </c>
      <c r="I388" s="30">
        <f t="array" ref="I388">IF(A388="","",_xlfn.TEXTJOIN(", ",TRUE,IF(('Companies'!$A$4:$A$63&lt;&gt;"")*(COUNTIFS('Access'!$A$4:$A$1503,A388,'Access'!$F$4:$F$1503,"*"&amp;'Companies'!$A$4:$A$63&amp;"*")&gt;0),'Companies'!$A$4:$A$63,"")))</f>
        <v/>
      </c>
      <c r="J388" s="30">
        <f>IF(A388="","",IF(COUNTIF($A$4:$A$1003,A388)&gt;1,"Duplicate email",IF(ISERROR(FIND("@",A388)),"Not an email address",IF(AND(H388=0,E388=""),"Investor without holders","OK"))))</f>
        <v/>
      </c>
    </row>
    <row r="389">
      <c r="A389" s="26" t="n"/>
      <c r="B389" s="26" t="n"/>
      <c r="C389" s="26" t="n"/>
      <c r="D389" s="26" t="n"/>
      <c r="E389" s="26" t="n"/>
      <c r="F389" s="26" t="n"/>
      <c r="G389" s="26" t="n"/>
      <c r="H389" s="30">
        <f>IF(A389="","",COUNTIF('Access'!$A$4:$A$1503,A389))</f>
        <v/>
      </c>
      <c r="I389" s="30">
        <f t="array" ref="I389">IF(A389="","",_xlfn.TEXTJOIN(", ",TRUE,IF(('Companies'!$A$4:$A$63&lt;&gt;"")*(COUNTIFS('Access'!$A$4:$A$1503,A389,'Access'!$F$4:$F$1503,"*"&amp;'Companies'!$A$4:$A$63&amp;"*")&gt;0),'Companies'!$A$4:$A$63,"")))</f>
        <v/>
      </c>
      <c r="J389" s="30">
        <f>IF(A389="","",IF(COUNTIF($A$4:$A$1003,A389)&gt;1,"Duplicate email",IF(ISERROR(FIND("@",A389)),"Not an email address",IF(AND(H389=0,E389=""),"Investor without holders","OK"))))</f>
        <v/>
      </c>
    </row>
    <row r="390">
      <c r="A390" s="26" t="n"/>
      <c r="B390" s="26" t="n"/>
      <c r="C390" s="26" t="n"/>
      <c r="D390" s="26" t="n"/>
      <c r="E390" s="26" t="n"/>
      <c r="F390" s="26" t="n"/>
      <c r="G390" s="26" t="n"/>
      <c r="H390" s="30">
        <f>IF(A390="","",COUNTIF('Access'!$A$4:$A$1503,A390))</f>
        <v/>
      </c>
      <c r="I390" s="30">
        <f t="array" ref="I390">IF(A390="","",_xlfn.TEXTJOIN(", ",TRUE,IF(('Companies'!$A$4:$A$63&lt;&gt;"")*(COUNTIFS('Access'!$A$4:$A$1503,A390,'Access'!$F$4:$F$1503,"*"&amp;'Companies'!$A$4:$A$63&amp;"*")&gt;0),'Companies'!$A$4:$A$63,"")))</f>
        <v/>
      </c>
      <c r="J390" s="30">
        <f>IF(A390="","",IF(COUNTIF($A$4:$A$1003,A390)&gt;1,"Duplicate email",IF(ISERROR(FIND("@",A390)),"Not an email address",IF(AND(H390=0,E390=""),"Investor without holders","OK"))))</f>
        <v/>
      </c>
    </row>
    <row r="391">
      <c r="A391" s="26" t="n"/>
      <c r="B391" s="26" t="n"/>
      <c r="C391" s="26" t="n"/>
      <c r="D391" s="26" t="n"/>
      <c r="E391" s="26" t="n"/>
      <c r="F391" s="26" t="n"/>
      <c r="G391" s="26" t="n"/>
      <c r="H391" s="30">
        <f>IF(A391="","",COUNTIF('Access'!$A$4:$A$1503,A391))</f>
        <v/>
      </c>
      <c r="I391" s="30">
        <f t="array" ref="I391">IF(A391="","",_xlfn.TEXTJOIN(", ",TRUE,IF(('Companies'!$A$4:$A$63&lt;&gt;"")*(COUNTIFS('Access'!$A$4:$A$1503,A391,'Access'!$F$4:$F$1503,"*"&amp;'Companies'!$A$4:$A$63&amp;"*")&gt;0),'Companies'!$A$4:$A$63,"")))</f>
        <v/>
      </c>
      <c r="J391" s="30">
        <f>IF(A391="","",IF(COUNTIF($A$4:$A$1003,A391)&gt;1,"Duplicate email",IF(ISERROR(FIND("@",A391)),"Not an email address",IF(AND(H391=0,E391=""),"Investor without holders","OK"))))</f>
        <v/>
      </c>
    </row>
    <row r="392">
      <c r="A392" s="26" t="n"/>
      <c r="B392" s="26" t="n"/>
      <c r="C392" s="26" t="n"/>
      <c r="D392" s="26" t="n"/>
      <c r="E392" s="26" t="n"/>
      <c r="F392" s="26" t="n"/>
      <c r="G392" s="26" t="n"/>
      <c r="H392" s="30">
        <f>IF(A392="","",COUNTIF('Access'!$A$4:$A$1503,A392))</f>
        <v/>
      </c>
      <c r="I392" s="30">
        <f t="array" ref="I392">IF(A392="","",_xlfn.TEXTJOIN(", ",TRUE,IF(('Companies'!$A$4:$A$63&lt;&gt;"")*(COUNTIFS('Access'!$A$4:$A$1503,A392,'Access'!$F$4:$F$1503,"*"&amp;'Companies'!$A$4:$A$63&amp;"*")&gt;0),'Companies'!$A$4:$A$63,"")))</f>
        <v/>
      </c>
      <c r="J392" s="30">
        <f>IF(A392="","",IF(COUNTIF($A$4:$A$1003,A392)&gt;1,"Duplicate email",IF(ISERROR(FIND("@",A392)),"Not an email address",IF(AND(H392=0,E392=""),"Investor without holders","OK"))))</f>
        <v/>
      </c>
    </row>
    <row r="393">
      <c r="A393" s="26" t="n"/>
      <c r="B393" s="26" t="n"/>
      <c r="C393" s="26" t="n"/>
      <c r="D393" s="26" t="n"/>
      <c r="E393" s="26" t="n"/>
      <c r="F393" s="26" t="n"/>
      <c r="G393" s="26" t="n"/>
      <c r="H393" s="30">
        <f>IF(A393="","",COUNTIF('Access'!$A$4:$A$1503,A393))</f>
        <v/>
      </c>
      <c r="I393" s="30">
        <f t="array" ref="I393">IF(A393="","",_xlfn.TEXTJOIN(", ",TRUE,IF(('Companies'!$A$4:$A$63&lt;&gt;"")*(COUNTIFS('Access'!$A$4:$A$1503,A393,'Access'!$F$4:$F$1503,"*"&amp;'Companies'!$A$4:$A$63&amp;"*")&gt;0),'Companies'!$A$4:$A$63,"")))</f>
        <v/>
      </c>
      <c r="J393" s="30">
        <f>IF(A393="","",IF(COUNTIF($A$4:$A$1003,A393)&gt;1,"Duplicate email",IF(ISERROR(FIND("@",A393)),"Not an email address",IF(AND(H393=0,E393=""),"Investor without holders","OK"))))</f>
        <v/>
      </c>
    </row>
    <row r="394">
      <c r="A394" s="26" t="n"/>
      <c r="B394" s="26" t="n"/>
      <c r="C394" s="26" t="n"/>
      <c r="D394" s="26" t="n"/>
      <c r="E394" s="26" t="n"/>
      <c r="F394" s="26" t="n"/>
      <c r="G394" s="26" t="n"/>
      <c r="H394" s="30">
        <f>IF(A394="","",COUNTIF('Access'!$A$4:$A$1503,A394))</f>
        <v/>
      </c>
      <c r="I394" s="30">
        <f t="array" ref="I394">IF(A394="","",_xlfn.TEXTJOIN(", ",TRUE,IF(('Companies'!$A$4:$A$63&lt;&gt;"")*(COUNTIFS('Access'!$A$4:$A$1503,A394,'Access'!$F$4:$F$1503,"*"&amp;'Companies'!$A$4:$A$63&amp;"*")&gt;0),'Companies'!$A$4:$A$63,"")))</f>
        <v/>
      </c>
      <c r="J394" s="30">
        <f>IF(A394="","",IF(COUNTIF($A$4:$A$1003,A394)&gt;1,"Duplicate email",IF(ISERROR(FIND("@",A394)),"Not an email address",IF(AND(H394=0,E394=""),"Investor without holders","OK"))))</f>
        <v/>
      </c>
    </row>
    <row r="395">
      <c r="A395" s="26" t="n"/>
      <c r="B395" s="26" t="n"/>
      <c r="C395" s="26" t="n"/>
      <c r="D395" s="26" t="n"/>
      <c r="E395" s="26" t="n"/>
      <c r="F395" s="26" t="n"/>
      <c r="G395" s="26" t="n"/>
      <c r="H395" s="30">
        <f>IF(A395="","",COUNTIF('Access'!$A$4:$A$1503,A395))</f>
        <v/>
      </c>
      <c r="I395" s="30">
        <f t="array" ref="I395">IF(A395="","",_xlfn.TEXTJOIN(", ",TRUE,IF(('Companies'!$A$4:$A$63&lt;&gt;"")*(COUNTIFS('Access'!$A$4:$A$1503,A395,'Access'!$F$4:$F$1503,"*"&amp;'Companies'!$A$4:$A$63&amp;"*")&gt;0),'Companies'!$A$4:$A$63,"")))</f>
        <v/>
      </c>
      <c r="J395" s="30">
        <f>IF(A395="","",IF(COUNTIF($A$4:$A$1003,A395)&gt;1,"Duplicate email",IF(ISERROR(FIND("@",A395)),"Not an email address",IF(AND(H395=0,E395=""),"Investor without holders","OK"))))</f>
        <v/>
      </c>
    </row>
    <row r="396">
      <c r="A396" s="26" t="n"/>
      <c r="B396" s="26" t="n"/>
      <c r="C396" s="26" t="n"/>
      <c r="D396" s="26" t="n"/>
      <c r="E396" s="26" t="n"/>
      <c r="F396" s="26" t="n"/>
      <c r="G396" s="26" t="n"/>
      <c r="H396" s="30">
        <f>IF(A396="","",COUNTIF('Access'!$A$4:$A$1503,A396))</f>
        <v/>
      </c>
      <c r="I396" s="30">
        <f t="array" ref="I396">IF(A396="","",_xlfn.TEXTJOIN(", ",TRUE,IF(('Companies'!$A$4:$A$63&lt;&gt;"")*(COUNTIFS('Access'!$A$4:$A$1503,A396,'Access'!$F$4:$F$1503,"*"&amp;'Companies'!$A$4:$A$63&amp;"*")&gt;0),'Companies'!$A$4:$A$63,"")))</f>
        <v/>
      </c>
      <c r="J396" s="30">
        <f>IF(A396="","",IF(COUNTIF($A$4:$A$1003,A396)&gt;1,"Duplicate email",IF(ISERROR(FIND("@",A396)),"Not an email address",IF(AND(H396=0,E396=""),"Investor without holders","OK"))))</f>
        <v/>
      </c>
    </row>
    <row r="397">
      <c r="A397" s="26" t="n"/>
      <c r="B397" s="26" t="n"/>
      <c r="C397" s="26" t="n"/>
      <c r="D397" s="26" t="n"/>
      <c r="E397" s="26" t="n"/>
      <c r="F397" s="26" t="n"/>
      <c r="G397" s="26" t="n"/>
      <c r="H397" s="30">
        <f>IF(A397="","",COUNTIF('Access'!$A$4:$A$1503,A397))</f>
        <v/>
      </c>
      <c r="I397" s="30">
        <f t="array" ref="I397">IF(A397="","",_xlfn.TEXTJOIN(", ",TRUE,IF(('Companies'!$A$4:$A$63&lt;&gt;"")*(COUNTIFS('Access'!$A$4:$A$1503,A397,'Access'!$F$4:$F$1503,"*"&amp;'Companies'!$A$4:$A$63&amp;"*")&gt;0),'Companies'!$A$4:$A$63,"")))</f>
        <v/>
      </c>
      <c r="J397" s="30">
        <f>IF(A397="","",IF(COUNTIF($A$4:$A$1003,A397)&gt;1,"Duplicate email",IF(ISERROR(FIND("@",A397)),"Not an email address",IF(AND(H397=0,E397=""),"Investor without holders","OK"))))</f>
        <v/>
      </c>
    </row>
    <row r="398">
      <c r="A398" s="26" t="n"/>
      <c r="B398" s="26" t="n"/>
      <c r="C398" s="26" t="n"/>
      <c r="D398" s="26" t="n"/>
      <c r="E398" s="26" t="n"/>
      <c r="F398" s="26" t="n"/>
      <c r="G398" s="26" t="n"/>
      <c r="H398" s="30">
        <f>IF(A398="","",COUNTIF('Access'!$A$4:$A$1503,A398))</f>
        <v/>
      </c>
      <c r="I398" s="30">
        <f t="array" ref="I398">IF(A398="","",_xlfn.TEXTJOIN(", ",TRUE,IF(('Companies'!$A$4:$A$63&lt;&gt;"")*(COUNTIFS('Access'!$A$4:$A$1503,A398,'Access'!$F$4:$F$1503,"*"&amp;'Companies'!$A$4:$A$63&amp;"*")&gt;0),'Companies'!$A$4:$A$63,"")))</f>
        <v/>
      </c>
      <c r="J398" s="30">
        <f>IF(A398="","",IF(COUNTIF($A$4:$A$1003,A398)&gt;1,"Duplicate email",IF(ISERROR(FIND("@",A398)),"Not an email address",IF(AND(H398=0,E398=""),"Investor without holders","OK"))))</f>
        <v/>
      </c>
    </row>
    <row r="399">
      <c r="A399" s="26" t="n"/>
      <c r="B399" s="26" t="n"/>
      <c r="C399" s="26" t="n"/>
      <c r="D399" s="26" t="n"/>
      <c r="E399" s="26" t="n"/>
      <c r="F399" s="26" t="n"/>
      <c r="G399" s="26" t="n"/>
      <c r="H399" s="30">
        <f>IF(A399="","",COUNTIF('Access'!$A$4:$A$1503,A399))</f>
        <v/>
      </c>
      <c r="I399" s="30">
        <f t="array" ref="I399">IF(A399="","",_xlfn.TEXTJOIN(", ",TRUE,IF(('Companies'!$A$4:$A$63&lt;&gt;"")*(COUNTIFS('Access'!$A$4:$A$1503,A399,'Access'!$F$4:$F$1503,"*"&amp;'Companies'!$A$4:$A$63&amp;"*")&gt;0),'Companies'!$A$4:$A$63,"")))</f>
        <v/>
      </c>
      <c r="J399" s="30">
        <f>IF(A399="","",IF(COUNTIF($A$4:$A$1003,A399)&gt;1,"Duplicate email",IF(ISERROR(FIND("@",A399)),"Not an email address",IF(AND(H399=0,E399=""),"Investor without holders","OK"))))</f>
        <v/>
      </c>
    </row>
    <row r="400">
      <c r="A400" s="26" t="n"/>
      <c r="B400" s="26" t="n"/>
      <c r="C400" s="26" t="n"/>
      <c r="D400" s="26" t="n"/>
      <c r="E400" s="26" t="n"/>
      <c r="F400" s="26" t="n"/>
      <c r="G400" s="26" t="n"/>
      <c r="H400" s="30">
        <f>IF(A400="","",COUNTIF('Access'!$A$4:$A$1503,A400))</f>
        <v/>
      </c>
      <c r="I400" s="30">
        <f t="array" ref="I400">IF(A400="","",_xlfn.TEXTJOIN(", ",TRUE,IF(('Companies'!$A$4:$A$63&lt;&gt;"")*(COUNTIFS('Access'!$A$4:$A$1503,A400,'Access'!$F$4:$F$1503,"*"&amp;'Companies'!$A$4:$A$63&amp;"*")&gt;0),'Companies'!$A$4:$A$63,"")))</f>
        <v/>
      </c>
      <c r="J400" s="30">
        <f>IF(A400="","",IF(COUNTIF($A$4:$A$1003,A400)&gt;1,"Duplicate email",IF(ISERROR(FIND("@",A400)),"Not an email address",IF(AND(H400=0,E400=""),"Investor without holders","OK"))))</f>
        <v/>
      </c>
    </row>
    <row r="401">
      <c r="A401" s="26" t="n"/>
      <c r="B401" s="26" t="n"/>
      <c r="C401" s="26" t="n"/>
      <c r="D401" s="26" t="n"/>
      <c r="E401" s="26" t="n"/>
      <c r="F401" s="26" t="n"/>
      <c r="G401" s="26" t="n"/>
      <c r="H401" s="30">
        <f>IF(A401="","",COUNTIF('Access'!$A$4:$A$1503,A401))</f>
        <v/>
      </c>
      <c r="I401" s="30">
        <f t="array" ref="I401">IF(A401="","",_xlfn.TEXTJOIN(", ",TRUE,IF(('Companies'!$A$4:$A$63&lt;&gt;"")*(COUNTIFS('Access'!$A$4:$A$1503,A401,'Access'!$F$4:$F$1503,"*"&amp;'Companies'!$A$4:$A$63&amp;"*")&gt;0),'Companies'!$A$4:$A$63,"")))</f>
        <v/>
      </c>
      <c r="J401" s="30">
        <f>IF(A401="","",IF(COUNTIF($A$4:$A$1003,A401)&gt;1,"Duplicate email",IF(ISERROR(FIND("@",A401)),"Not an email address",IF(AND(H401=0,E401=""),"Investor without holders","OK"))))</f>
        <v/>
      </c>
    </row>
    <row r="402">
      <c r="A402" s="26" t="n"/>
      <c r="B402" s="26" t="n"/>
      <c r="C402" s="26" t="n"/>
      <c r="D402" s="26" t="n"/>
      <c r="E402" s="26" t="n"/>
      <c r="F402" s="26" t="n"/>
      <c r="G402" s="26" t="n"/>
      <c r="H402" s="30">
        <f>IF(A402="","",COUNTIF('Access'!$A$4:$A$1503,A402))</f>
        <v/>
      </c>
      <c r="I402" s="30">
        <f t="array" ref="I402">IF(A402="","",_xlfn.TEXTJOIN(", ",TRUE,IF(('Companies'!$A$4:$A$63&lt;&gt;"")*(COUNTIFS('Access'!$A$4:$A$1503,A402,'Access'!$F$4:$F$1503,"*"&amp;'Companies'!$A$4:$A$63&amp;"*")&gt;0),'Companies'!$A$4:$A$63,"")))</f>
        <v/>
      </c>
      <c r="J402" s="30">
        <f>IF(A402="","",IF(COUNTIF($A$4:$A$1003,A402)&gt;1,"Duplicate email",IF(ISERROR(FIND("@",A402)),"Not an email address",IF(AND(H402=0,E402=""),"Investor without holders","OK"))))</f>
        <v/>
      </c>
    </row>
    <row r="403">
      <c r="A403" s="26" t="n"/>
      <c r="B403" s="26" t="n"/>
      <c r="C403" s="26" t="n"/>
      <c r="D403" s="26" t="n"/>
      <c r="E403" s="26" t="n"/>
      <c r="F403" s="26" t="n"/>
      <c r="G403" s="26" t="n"/>
      <c r="H403" s="30">
        <f>IF(A403="","",COUNTIF('Access'!$A$4:$A$1503,A403))</f>
        <v/>
      </c>
      <c r="I403" s="30">
        <f t="array" ref="I403">IF(A403="","",_xlfn.TEXTJOIN(", ",TRUE,IF(('Companies'!$A$4:$A$63&lt;&gt;"")*(COUNTIFS('Access'!$A$4:$A$1503,A403,'Access'!$F$4:$F$1503,"*"&amp;'Companies'!$A$4:$A$63&amp;"*")&gt;0),'Companies'!$A$4:$A$63,"")))</f>
        <v/>
      </c>
      <c r="J403" s="30">
        <f>IF(A403="","",IF(COUNTIF($A$4:$A$1003,A403)&gt;1,"Duplicate email",IF(ISERROR(FIND("@",A403)),"Not an email address",IF(AND(H403=0,E403=""),"Investor without holders","OK"))))</f>
        <v/>
      </c>
    </row>
    <row r="404">
      <c r="A404" s="26" t="n"/>
      <c r="B404" s="26" t="n"/>
      <c r="C404" s="26" t="n"/>
      <c r="D404" s="26" t="n"/>
      <c r="E404" s="26" t="n"/>
      <c r="F404" s="26" t="n"/>
      <c r="G404" s="26" t="n"/>
      <c r="H404" s="30">
        <f>IF(A404="","",COUNTIF('Access'!$A$4:$A$1503,A404))</f>
        <v/>
      </c>
      <c r="I404" s="30">
        <f t="array" ref="I404">IF(A404="","",_xlfn.TEXTJOIN(", ",TRUE,IF(('Companies'!$A$4:$A$63&lt;&gt;"")*(COUNTIFS('Access'!$A$4:$A$1503,A404,'Access'!$F$4:$F$1503,"*"&amp;'Companies'!$A$4:$A$63&amp;"*")&gt;0),'Companies'!$A$4:$A$63,"")))</f>
        <v/>
      </c>
      <c r="J404" s="30">
        <f>IF(A404="","",IF(COUNTIF($A$4:$A$1003,A404)&gt;1,"Duplicate email",IF(ISERROR(FIND("@",A404)),"Not an email address",IF(AND(H404=0,E404=""),"Investor without holders","OK"))))</f>
        <v/>
      </c>
    </row>
    <row r="405">
      <c r="A405" s="26" t="n"/>
      <c r="B405" s="26" t="n"/>
      <c r="C405" s="26" t="n"/>
      <c r="D405" s="26" t="n"/>
      <c r="E405" s="26" t="n"/>
      <c r="F405" s="26" t="n"/>
      <c r="G405" s="26" t="n"/>
      <c r="H405" s="30">
        <f>IF(A405="","",COUNTIF('Access'!$A$4:$A$1503,A405))</f>
        <v/>
      </c>
      <c r="I405" s="30">
        <f t="array" ref="I405">IF(A405="","",_xlfn.TEXTJOIN(", ",TRUE,IF(('Companies'!$A$4:$A$63&lt;&gt;"")*(COUNTIFS('Access'!$A$4:$A$1503,A405,'Access'!$F$4:$F$1503,"*"&amp;'Companies'!$A$4:$A$63&amp;"*")&gt;0),'Companies'!$A$4:$A$63,"")))</f>
        <v/>
      </c>
      <c r="J405" s="30">
        <f>IF(A405="","",IF(COUNTIF($A$4:$A$1003,A405)&gt;1,"Duplicate email",IF(ISERROR(FIND("@",A405)),"Not an email address",IF(AND(H405=0,E405=""),"Investor without holders","OK"))))</f>
        <v/>
      </c>
    </row>
    <row r="406">
      <c r="A406" s="26" t="n"/>
      <c r="B406" s="26" t="n"/>
      <c r="C406" s="26" t="n"/>
      <c r="D406" s="26" t="n"/>
      <c r="E406" s="26" t="n"/>
      <c r="F406" s="26" t="n"/>
      <c r="G406" s="26" t="n"/>
      <c r="H406" s="30">
        <f>IF(A406="","",COUNTIF('Access'!$A$4:$A$1503,A406))</f>
        <v/>
      </c>
      <c r="I406" s="30">
        <f t="array" ref="I406">IF(A406="","",_xlfn.TEXTJOIN(", ",TRUE,IF(('Companies'!$A$4:$A$63&lt;&gt;"")*(COUNTIFS('Access'!$A$4:$A$1503,A406,'Access'!$F$4:$F$1503,"*"&amp;'Companies'!$A$4:$A$63&amp;"*")&gt;0),'Companies'!$A$4:$A$63,"")))</f>
        <v/>
      </c>
      <c r="J406" s="30">
        <f>IF(A406="","",IF(COUNTIF($A$4:$A$1003,A406)&gt;1,"Duplicate email",IF(ISERROR(FIND("@",A406)),"Not an email address",IF(AND(H406=0,E406=""),"Investor without holders","OK"))))</f>
        <v/>
      </c>
    </row>
    <row r="407">
      <c r="A407" s="26" t="n"/>
      <c r="B407" s="26" t="n"/>
      <c r="C407" s="26" t="n"/>
      <c r="D407" s="26" t="n"/>
      <c r="E407" s="26" t="n"/>
      <c r="F407" s="26" t="n"/>
      <c r="G407" s="26" t="n"/>
      <c r="H407" s="30">
        <f>IF(A407="","",COUNTIF('Access'!$A$4:$A$1503,A407))</f>
        <v/>
      </c>
      <c r="I407" s="30">
        <f t="array" ref="I407">IF(A407="","",_xlfn.TEXTJOIN(", ",TRUE,IF(('Companies'!$A$4:$A$63&lt;&gt;"")*(COUNTIFS('Access'!$A$4:$A$1503,A407,'Access'!$F$4:$F$1503,"*"&amp;'Companies'!$A$4:$A$63&amp;"*")&gt;0),'Companies'!$A$4:$A$63,"")))</f>
        <v/>
      </c>
      <c r="J407" s="30">
        <f>IF(A407="","",IF(COUNTIF($A$4:$A$1003,A407)&gt;1,"Duplicate email",IF(ISERROR(FIND("@",A407)),"Not an email address",IF(AND(H407=0,E407=""),"Investor without holders","OK"))))</f>
        <v/>
      </c>
    </row>
    <row r="408">
      <c r="A408" s="26" t="n"/>
      <c r="B408" s="26" t="n"/>
      <c r="C408" s="26" t="n"/>
      <c r="D408" s="26" t="n"/>
      <c r="E408" s="26" t="n"/>
      <c r="F408" s="26" t="n"/>
      <c r="G408" s="26" t="n"/>
      <c r="H408" s="30">
        <f>IF(A408="","",COUNTIF('Access'!$A$4:$A$1503,A408))</f>
        <v/>
      </c>
      <c r="I408" s="30">
        <f t="array" ref="I408">IF(A408="","",_xlfn.TEXTJOIN(", ",TRUE,IF(('Companies'!$A$4:$A$63&lt;&gt;"")*(COUNTIFS('Access'!$A$4:$A$1503,A408,'Access'!$F$4:$F$1503,"*"&amp;'Companies'!$A$4:$A$63&amp;"*")&gt;0),'Companies'!$A$4:$A$63,"")))</f>
        <v/>
      </c>
      <c r="J408" s="30">
        <f>IF(A408="","",IF(COUNTIF($A$4:$A$1003,A408)&gt;1,"Duplicate email",IF(ISERROR(FIND("@",A408)),"Not an email address",IF(AND(H408=0,E408=""),"Investor without holders","OK"))))</f>
        <v/>
      </c>
    </row>
    <row r="409">
      <c r="A409" s="26" t="n"/>
      <c r="B409" s="26" t="n"/>
      <c r="C409" s="26" t="n"/>
      <c r="D409" s="26" t="n"/>
      <c r="E409" s="26" t="n"/>
      <c r="F409" s="26" t="n"/>
      <c r="G409" s="26" t="n"/>
      <c r="H409" s="30">
        <f>IF(A409="","",COUNTIF('Access'!$A$4:$A$1503,A409))</f>
        <v/>
      </c>
      <c r="I409" s="30">
        <f t="array" ref="I409">IF(A409="","",_xlfn.TEXTJOIN(", ",TRUE,IF(('Companies'!$A$4:$A$63&lt;&gt;"")*(COUNTIFS('Access'!$A$4:$A$1503,A409,'Access'!$F$4:$F$1503,"*"&amp;'Companies'!$A$4:$A$63&amp;"*")&gt;0),'Companies'!$A$4:$A$63,"")))</f>
        <v/>
      </c>
      <c r="J409" s="30">
        <f>IF(A409="","",IF(COUNTIF($A$4:$A$1003,A409)&gt;1,"Duplicate email",IF(ISERROR(FIND("@",A409)),"Not an email address",IF(AND(H409=0,E409=""),"Investor without holders","OK"))))</f>
        <v/>
      </c>
    </row>
    <row r="410">
      <c r="A410" s="26" t="n"/>
      <c r="B410" s="26" t="n"/>
      <c r="C410" s="26" t="n"/>
      <c r="D410" s="26" t="n"/>
      <c r="E410" s="26" t="n"/>
      <c r="F410" s="26" t="n"/>
      <c r="G410" s="26" t="n"/>
      <c r="H410" s="30">
        <f>IF(A410="","",COUNTIF('Access'!$A$4:$A$1503,A410))</f>
        <v/>
      </c>
      <c r="I410" s="30">
        <f t="array" ref="I410">IF(A410="","",_xlfn.TEXTJOIN(", ",TRUE,IF(('Companies'!$A$4:$A$63&lt;&gt;"")*(COUNTIFS('Access'!$A$4:$A$1503,A410,'Access'!$F$4:$F$1503,"*"&amp;'Companies'!$A$4:$A$63&amp;"*")&gt;0),'Companies'!$A$4:$A$63,"")))</f>
        <v/>
      </c>
      <c r="J410" s="30">
        <f>IF(A410="","",IF(COUNTIF($A$4:$A$1003,A410)&gt;1,"Duplicate email",IF(ISERROR(FIND("@",A410)),"Not an email address",IF(AND(H410=0,E410=""),"Investor without holders","OK"))))</f>
        <v/>
      </c>
    </row>
    <row r="411">
      <c r="A411" s="26" t="n"/>
      <c r="B411" s="26" t="n"/>
      <c r="C411" s="26" t="n"/>
      <c r="D411" s="26" t="n"/>
      <c r="E411" s="26" t="n"/>
      <c r="F411" s="26" t="n"/>
      <c r="G411" s="26" t="n"/>
      <c r="H411" s="30">
        <f>IF(A411="","",COUNTIF('Access'!$A$4:$A$1503,A411))</f>
        <v/>
      </c>
      <c r="I411" s="30">
        <f t="array" ref="I411">IF(A411="","",_xlfn.TEXTJOIN(", ",TRUE,IF(('Companies'!$A$4:$A$63&lt;&gt;"")*(COUNTIFS('Access'!$A$4:$A$1503,A411,'Access'!$F$4:$F$1503,"*"&amp;'Companies'!$A$4:$A$63&amp;"*")&gt;0),'Companies'!$A$4:$A$63,"")))</f>
        <v/>
      </c>
      <c r="J411" s="30">
        <f>IF(A411="","",IF(COUNTIF($A$4:$A$1003,A411)&gt;1,"Duplicate email",IF(ISERROR(FIND("@",A411)),"Not an email address",IF(AND(H411=0,E411=""),"Investor without holders","OK"))))</f>
        <v/>
      </c>
    </row>
    <row r="412">
      <c r="A412" s="26" t="n"/>
      <c r="B412" s="26" t="n"/>
      <c r="C412" s="26" t="n"/>
      <c r="D412" s="26" t="n"/>
      <c r="E412" s="26" t="n"/>
      <c r="F412" s="26" t="n"/>
      <c r="G412" s="26" t="n"/>
      <c r="H412" s="30">
        <f>IF(A412="","",COUNTIF('Access'!$A$4:$A$1503,A412))</f>
        <v/>
      </c>
      <c r="I412" s="30">
        <f t="array" ref="I412">IF(A412="","",_xlfn.TEXTJOIN(", ",TRUE,IF(('Companies'!$A$4:$A$63&lt;&gt;"")*(COUNTIFS('Access'!$A$4:$A$1503,A412,'Access'!$F$4:$F$1503,"*"&amp;'Companies'!$A$4:$A$63&amp;"*")&gt;0),'Companies'!$A$4:$A$63,"")))</f>
        <v/>
      </c>
      <c r="J412" s="30">
        <f>IF(A412="","",IF(COUNTIF($A$4:$A$1003,A412)&gt;1,"Duplicate email",IF(ISERROR(FIND("@",A412)),"Not an email address",IF(AND(H412=0,E412=""),"Investor without holders","OK"))))</f>
        <v/>
      </c>
    </row>
    <row r="413">
      <c r="A413" s="26" t="n"/>
      <c r="B413" s="26" t="n"/>
      <c r="C413" s="26" t="n"/>
      <c r="D413" s="26" t="n"/>
      <c r="E413" s="26" t="n"/>
      <c r="F413" s="26" t="n"/>
      <c r="G413" s="26" t="n"/>
      <c r="H413" s="30">
        <f>IF(A413="","",COUNTIF('Access'!$A$4:$A$1503,A413))</f>
        <v/>
      </c>
      <c r="I413" s="30">
        <f t="array" ref="I413">IF(A413="","",_xlfn.TEXTJOIN(", ",TRUE,IF(('Companies'!$A$4:$A$63&lt;&gt;"")*(COUNTIFS('Access'!$A$4:$A$1503,A413,'Access'!$F$4:$F$1503,"*"&amp;'Companies'!$A$4:$A$63&amp;"*")&gt;0),'Companies'!$A$4:$A$63,"")))</f>
        <v/>
      </c>
      <c r="J413" s="30">
        <f>IF(A413="","",IF(COUNTIF($A$4:$A$1003,A413)&gt;1,"Duplicate email",IF(ISERROR(FIND("@",A413)),"Not an email address",IF(AND(H413=0,E413=""),"Investor without holders","OK"))))</f>
        <v/>
      </c>
    </row>
    <row r="414">
      <c r="A414" s="26" t="n"/>
      <c r="B414" s="26" t="n"/>
      <c r="C414" s="26" t="n"/>
      <c r="D414" s="26" t="n"/>
      <c r="E414" s="26" t="n"/>
      <c r="F414" s="26" t="n"/>
      <c r="G414" s="26" t="n"/>
      <c r="H414" s="30">
        <f>IF(A414="","",COUNTIF('Access'!$A$4:$A$1503,A414))</f>
        <v/>
      </c>
      <c r="I414" s="30">
        <f t="array" ref="I414">IF(A414="","",_xlfn.TEXTJOIN(", ",TRUE,IF(('Companies'!$A$4:$A$63&lt;&gt;"")*(COUNTIFS('Access'!$A$4:$A$1503,A414,'Access'!$F$4:$F$1503,"*"&amp;'Companies'!$A$4:$A$63&amp;"*")&gt;0),'Companies'!$A$4:$A$63,"")))</f>
        <v/>
      </c>
      <c r="J414" s="30">
        <f>IF(A414="","",IF(COUNTIF($A$4:$A$1003,A414)&gt;1,"Duplicate email",IF(ISERROR(FIND("@",A414)),"Not an email address",IF(AND(H414=0,E414=""),"Investor without holders","OK"))))</f>
        <v/>
      </c>
    </row>
    <row r="415">
      <c r="A415" s="26" t="n"/>
      <c r="B415" s="26" t="n"/>
      <c r="C415" s="26" t="n"/>
      <c r="D415" s="26" t="n"/>
      <c r="E415" s="26" t="n"/>
      <c r="F415" s="26" t="n"/>
      <c r="G415" s="26" t="n"/>
      <c r="H415" s="30">
        <f>IF(A415="","",COUNTIF('Access'!$A$4:$A$1503,A415))</f>
        <v/>
      </c>
      <c r="I415" s="30">
        <f t="array" ref="I415">IF(A415="","",_xlfn.TEXTJOIN(", ",TRUE,IF(('Companies'!$A$4:$A$63&lt;&gt;"")*(COUNTIFS('Access'!$A$4:$A$1503,A415,'Access'!$F$4:$F$1503,"*"&amp;'Companies'!$A$4:$A$63&amp;"*")&gt;0),'Companies'!$A$4:$A$63,"")))</f>
        <v/>
      </c>
      <c r="J415" s="30">
        <f>IF(A415="","",IF(COUNTIF($A$4:$A$1003,A415)&gt;1,"Duplicate email",IF(ISERROR(FIND("@",A415)),"Not an email address",IF(AND(H415=0,E415=""),"Investor without holders","OK"))))</f>
        <v/>
      </c>
    </row>
    <row r="416">
      <c r="A416" s="26" t="n"/>
      <c r="B416" s="26" t="n"/>
      <c r="C416" s="26" t="n"/>
      <c r="D416" s="26" t="n"/>
      <c r="E416" s="26" t="n"/>
      <c r="F416" s="26" t="n"/>
      <c r="G416" s="26" t="n"/>
      <c r="H416" s="30">
        <f>IF(A416="","",COUNTIF('Access'!$A$4:$A$1503,A416))</f>
        <v/>
      </c>
      <c r="I416" s="30">
        <f t="array" ref="I416">IF(A416="","",_xlfn.TEXTJOIN(", ",TRUE,IF(('Companies'!$A$4:$A$63&lt;&gt;"")*(COUNTIFS('Access'!$A$4:$A$1503,A416,'Access'!$F$4:$F$1503,"*"&amp;'Companies'!$A$4:$A$63&amp;"*")&gt;0),'Companies'!$A$4:$A$63,"")))</f>
        <v/>
      </c>
      <c r="J416" s="30">
        <f>IF(A416="","",IF(COUNTIF($A$4:$A$1003,A416)&gt;1,"Duplicate email",IF(ISERROR(FIND("@",A416)),"Not an email address",IF(AND(H416=0,E416=""),"Investor without holders","OK"))))</f>
        <v/>
      </c>
    </row>
    <row r="417">
      <c r="A417" s="26" t="n"/>
      <c r="B417" s="26" t="n"/>
      <c r="C417" s="26" t="n"/>
      <c r="D417" s="26" t="n"/>
      <c r="E417" s="26" t="n"/>
      <c r="F417" s="26" t="n"/>
      <c r="G417" s="26" t="n"/>
      <c r="H417" s="30">
        <f>IF(A417="","",COUNTIF('Access'!$A$4:$A$1503,A417))</f>
        <v/>
      </c>
      <c r="I417" s="30">
        <f t="array" ref="I417">IF(A417="","",_xlfn.TEXTJOIN(", ",TRUE,IF(('Companies'!$A$4:$A$63&lt;&gt;"")*(COUNTIFS('Access'!$A$4:$A$1503,A417,'Access'!$F$4:$F$1503,"*"&amp;'Companies'!$A$4:$A$63&amp;"*")&gt;0),'Companies'!$A$4:$A$63,"")))</f>
        <v/>
      </c>
      <c r="J417" s="30">
        <f>IF(A417="","",IF(COUNTIF($A$4:$A$1003,A417)&gt;1,"Duplicate email",IF(ISERROR(FIND("@",A417)),"Not an email address",IF(AND(H417=0,E417=""),"Investor without holders","OK"))))</f>
        <v/>
      </c>
    </row>
    <row r="418">
      <c r="A418" s="26" t="n"/>
      <c r="B418" s="26" t="n"/>
      <c r="C418" s="26" t="n"/>
      <c r="D418" s="26" t="n"/>
      <c r="E418" s="26" t="n"/>
      <c r="F418" s="26" t="n"/>
      <c r="G418" s="26" t="n"/>
      <c r="H418" s="30">
        <f>IF(A418="","",COUNTIF('Access'!$A$4:$A$1503,A418))</f>
        <v/>
      </c>
      <c r="I418" s="30">
        <f t="array" ref="I418">IF(A418="","",_xlfn.TEXTJOIN(", ",TRUE,IF(('Companies'!$A$4:$A$63&lt;&gt;"")*(COUNTIFS('Access'!$A$4:$A$1503,A418,'Access'!$F$4:$F$1503,"*"&amp;'Companies'!$A$4:$A$63&amp;"*")&gt;0),'Companies'!$A$4:$A$63,"")))</f>
        <v/>
      </c>
      <c r="J418" s="30">
        <f>IF(A418="","",IF(COUNTIF($A$4:$A$1003,A418)&gt;1,"Duplicate email",IF(ISERROR(FIND("@",A418)),"Not an email address",IF(AND(H418=0,E418=""),"Investor without holders","OK"))))</f>
        <v/>
      </c>
    </row>
    <row r="419">
      <c r="A419" s="26" t="n"/>
      <c r="B419" s="26" t="n"/>
      <c r="C419" s="26" t="n"/>
      <c r="D419" s="26" t="n"/>
      <c r="E419" s="26" t="n"/>
      <c r="F419" s="26" t="n"/>
      <c r="G419" s="26" t="n"/>
      <c r="H419" s="30">
        <f>IF(A419="","",COUNTIF('Access'!$A$4:$A$1503,A419))</f>
        <v/>
      </c>
      <c r="I419" s="30">
        <f t="array" ref="I419">IF(A419="","",_xlfn.TEXTJOIN(", ",TRUE,IF(('Companies'!$A$4:$A$63&lt;&gt;"")*(COUNTIFS('Access'!$A$4:$A$1503,A419,'Access'!$F$4:$F$1503,"*"&amp;'Companies'!$A$4:$A$63&amp;"*")&gt;0),'Companies'!$A$4:$A$63,"")))</f>
        <v/>
      </c>
      <c r="J419" s="30">
        <f>IF(A419="","",IF(COUNTIF($A$4:$A$1003,A419)&gt;1,"Duplicate email",IF(ISERROR(FIND("@",A419)),"Not an email address",IF(AND(H419=0,E419=""),"Investor without holders","OK"))))</f>
        <v/>
      </c>
    </row>
    <row r="420">
      <c r="A420" s="26" t="n"/>
      <c r="B420" s="26" t="n"/>
      <c r="C420" s="26" t="n"/>
      <c r="D420" s="26" t="n"/>
      <c r="E420" s="26" t="n"/>
      <c r="F420" s="26" t="n"/>
      <c r="G420" s="26" t="n"/>
      <c r="H420" s="30">
        <f>IF(A420="","",COUNTIF('Access'!$A$4:$A$1503,A420))</f>
        <v/>
      </c>
      <c r="I420" s="30">
        <f t="array" ref="I420">IF(A420="","",_xlfn.TEXTJOIN(", ",TRUE,IF(('Companies'!$A$4:$A$63&lt;&gt;"")*(COUNTIFS('Access'!$A$4:$A$1503,A420,'Access'!$F$4:$F$1503,"*"&amp;'Companies'!$A$4:$A$63&amp;"*")&gt;0),'Companies'!$A$4:$A$63,"")))</f>
        <v/>
      </c>
      <c r="J420" s="30">
        <f>IF(A420="","",IF(COUNTIF($A$4:$A$1003,A420)&gt;1,"Duplicate email",IF(ISERROR(FIND("@",A420)),"Not an email address",IF(AND(H420=0,E420=""),"Investor without holders","OK"))))</f>
        <v/>
      </c>
    </row>
    <row r="421">
      <c r="A421" s="26" t="n"/>
      <c r="B421" s="26" t="n"/>
      <c r="C421" s="26" t="n"/>
      <c r="D421" s="26" t="n"/>
      <c r="E421" s="26" t="n"/>
      <c r="F421" s="26" t="n"/>
      <c r="G421" s="26" t="n"/>
      <c r="H421" s="30">
        <f>IF(A421="","",COUNTIF('Access'!$A$4:$A$1503,A421))</f>
        <v/>
      </c>
      <c r="I421" s="30">
        <f t="array" ref="I421">IF(A421="","",_xlfn.TEXTJOIN(", ",TRUE,IF(('Companies'!$A$4:$A$63&lt;&gt;"")*(COUNTIFS('Access'!$A$4:$A$1503,A421,'Access'!$F$4:$F$1503,"*"&amp;'Companies'!$A$4:$A$63&amp;"*")&gt;0),'Companies'!$A$4:$A$63,"")))</f>
        <v/>
      </c>
      <c r="J421" s="30">
        <f>IF(A421="","",IF(COUNTIF($A$4:$A$1003,A421)&gt;1,"Duplicate email",IF(ISERROR(FIND("@",A421)),"Not an email address",IF(AND(H421=0,E421=""),"Investor without holders","OK"))))</f>
        <v/>
      </c>
    </row>
    <row r="422">
      <c r="A422" s="26" t="n"/>
      <c r="B422" s="26" t="n"/>
      <c r="C422" s="26" t="n"/>
      <c r="D422" s="26" t="n"/>
      <c r="E422" s="26" t="n"/>
      <c r="F422" s="26" t="n"/>
      <c r="G422" s="26" t="n"/>
      <c r="H422" s="30">
        <f>IF(A422="","",COUNTIF('Access'!$A$4:$A$1503,A422))</f>
        <v/>
      </c>
      <c r="I422" s="30">
        <f t="array" ref="I422">IF(A422="","",_xlfn.TEXTJOIN(", ",TRUE,IF(('Companies'!$A$4:$A$63&lt;&gt;"")*(COUNTIFS('Access'!$A$4:$A$1503,A422,'Access'!$F$4:$F$1503,"*"&amp;'Companies'!$A$4:$A$63&amp;"*")&gt;0),'Companies'!$A$4:$A$63,"")))</f>
        <v/>
      </c>
      <c r="J422" s="30">
        <f>IF(A422="","",IF(COUNTIF($A$4:$A$1003,A422)&gt;1,"Duplicate email",IF(ISERROR(FIND("@",A422)),"Not an email address",IF(AND(H422=0,E422=""),"Investor without holders","OK"))))</f>
        <v/>
      </c>
    </row>
    <row r="423">
      <c r="A423" s="26" t="n"/>
      <c r="B423" s="26" t="n"/>
      <c r="C423" s="26" t="n"/>
      <c r="D423" s="26" t="n"/>
      <c r="E423" s="26" t="n"/>
      <c r="F423" s="26" t="n"/>
      <c r="G423" s="26" t="n"/>
      <c r="H423" s="30">
        <f>IF(A423="","",COUNTIF('Access'!$A$4:$A$1503,A423))</f>
        <v/>
      </c>
      <c r="I423" s="30">
        <f t="array" ref="I423">IF(A423="","",_xlfn.TEXTJOIN(", ",TRUE,IF(('Companies'!$A$4:$A$63&lt;&gt;"")*(COUNTIFS('Access'!$A$4:$A$1503,A423,'Access'!$F$4:$F$1503,"*"&amp;'Companies'!$A$4:$A$63&amp;"*")&gt;0),'Companies'!$A$4:$A$63,"")))</f>
        <v/>
      </c>
      <c r="J423" s="30">
        <f>IF(A423="","",IF(COUNTIF($A$4:$A$1003,A423)&gt;1,"Duplicate email",IF(ISERROR(FIND("@",A423)),"Not an email address",IF(AND(H423=0,E423=""),"Investor without holders","OK"))))</f>
        <v/>
      </c>
    </row>
    <row r="424">
      <c r="A424" s="26" t="n"/>
      <c r="B424" s="26" t="n"/>
      <c r="C424" s="26" t="n"/>
      <c r="D424" s="26" t="n"/>
      <c r="E424" s="26" t="n"/>
      <c r="F424" s="26" t="n"/>
      <c r="G424" s="26" t="n"/>
      <c r="H424" s="30">
        <f>IF(A424="","",COUNTIF('Access'!$A$4:$A$1503,A424))</f>
        <v/>
      </c>
      <c r="I424" s="30">
        <f t="array" ref="I424">IF(A424="","",_xlfn.TEXTJOIN(", ",TRUE,IF(('Companies'!$A$4:$A$63&lt;&gt;"")*(COUNTIFS('Access'!$A$4:$A$1503,A424,'Access'!$F$4:$F$1503,"*"&amp;'Companies'!$A$4:$A$63&amp;"*")&gt;0),'Companies'!$A$4:$A$63,"")))</f>
        <v/>
      </c>
      <c r="J424" s="30">
        <f>IF(A424="","",IF(COUNTIF($A$4:$A$1003,A424)&gt;1,"Duplicate email",IF(ISERROR(FIND("@",A424)),"Not an email address",IF(AND(H424=0,E424=""),"Investor without holders","OK"))))</f>
        <v/>
      </c>
    </row>
    <row r="425">
      <c r="A425" s="26" t="n"/>
      <c r="B425" s="26" t="n"/>
      <c r="C425" s="26" t="n"/>
      <c r="D425" s="26" t="n"/>
      <c r="E425" s="26" t="n"/>
      <c r="F425" s="26" t="n"/>
      <c r="G425" s="26" t="n"/>
      <c r="H425" s="30">
        <f>IF(A425="","",COUNTIF('Access'!$A$4:$A$1503,A425))</f>
        <v/>
      </c>
      <c r="I425" s="30">
        <f t="array" ref="I425">IF(A425="","",_xlfn.TEXTJOIN(", ",TRUE,IF(('Companies'!$A$4:$A$63&lt;&gt;"")*(COUNTIFS('Access'!$A$4:$A$1503,A425,'Access'!$F$4:$F$1503,"*"&amp;'Companies'!$A$4:$A$63&amp;"*")&gt;0),'Companies'!$A$4:$A$63,"")))</f>
        <v/>
      </c>
      <c r="J425" s="30">
        <f>IF(A425="","",IF(COUNTIF($A$4:$A$1003,A425)&gt;1,"Duplicate email",IF(ISERROR(FIND("@",A425)),"Not an email address",IF(AND(H425=0,E425=""),"Investor without holders","OK"))))</f>
        <v/>
      </c>
    </row>
    <row r="426">
      <c r="A426" s="26" t="n"/>
      <c r="B426" s="26" t="n"/>
      <c r="C426" s="26" t="n"/>
      <c r="D426" s="26" t="n"/>
      <c r="E426" s="26" t="n"/>
      <c r="F426" s="26" t="n"/>
      <c r="G426" s="26" t="n"/>
      <c r="H426" s="30">
        <f>IF(A426="","",COUNTIF('Access'!$A$4:$A$1503,A426))</f>
        <v/>
      </c>
      <c r="I426" s="30">
        <f t="array" ref="I426">IF(A426="","",_xlfn.TEXTJOIN(", ",TRUE,IF(('Companies'!$A$4:$A$63&lt;&gt;"")*(COUNTIFS('Access'!$A$4:$A$1503,A426,'Access'!$F$4:$F$1503,"*"&amp;'Companies'!$A$4:$A$63&amp;"*")&gt;0),'Companies'!$A$4:$A$63,"")))</f>
        <v/>
      </c>
      <c r="J426" s="30">
        <f>IF(A426="","",IF(COUNTIF($A$4:$A$1003,A426)&gt;1,"Duplicate email",IF(ISERROR(FIND("@",A426)),"Not an email address",IF(AND(H426=0,E426=""),"Investor without holders","OK"))))</f>
        <v/>
      </c>
    </row>
    <row r="427">
      <c r="A427" s="26" t="n"/>
      <c r="B427" s="26" t="n"/>
      <c r="C427" s="26" t="n"/>
      <c r="D427" s="26" t="n"/>
      <c r="E427" s="26" t="n"/>
      <c r="F427" s="26" t="n"/>
      <c r="G427" s="26" t="n"/>
      <c r="H427" s="30">
        <f>IF(A427="","",COUNTIF('Access'!$A$4:$A$1503,A427))</f>
        <v/>
      </c>
      <c r="I427" s="30">
        <f t="array" ref="I427">IF(A427="","",_xlfn.TEXTJOIN(", ",TRUE,IF(('Companies'!$A$4:$A$63&lt;&gt;"")*(COUNTIFS('Access'!$A$4:$A$1503,A427,'Access'!$F$4:$F$1503,"*"&amp;'Companies'!$A$4:$A$63&amp;"*")&gt;0),'Companies'!$A$4:$A$63,"")))</f>
        <v/>
      </c>
      <c r="J427" s="30">
        <f>IF(A427="","",IF(COUNTIF($A$4:$A$1003,A427)&gt;1,"Duplicate email",IF(ISERROR(FIND("@",A427)),"Not an email address",IF(AND(H427=0,E427=""),"Investor without holders","OK"))))</f>
        <v/>
      </c>
    </row>
    <row r="428">
      <c r="A428" s="26" t="n"/>
      <c r="B428" s="26" t="n"/>
      <c r="C428" s="26" t="n"/>
      <c r="D428" s="26" t="n"/>
      <c r="E428" s="26" t="n"/>
      <c r="F428" s="26" t="n"/>
      <c r="G428" s="26" t="n"/>
      <c r="H428" s="30">
        <f>IF(A428="","",COUNTIF('Access'!$A$4:$A$1503,A428))</f>
        <v/>
      </c>
      <c r="I428" s="30">
        <f t="array" ref="I428">IF(A428="","",_xlfn.TEXTJOIN(", ",TRUE,IF(('Companies'!$A$4:$A$63&lt;&gt;"")*(COUNTIFS('Access'!$A$4:$A$1503,A428,'Access'!$F$4:$F$1503,"*"&amp;'Companies'!$A$4:$A$63&amp;"*")&gt;0),'Companies'!$A$4:$A$63,"")))</f>
        <v/>
      </c>
      <c r="J428" s="30">
        <f>IF(A428="","",IF(COUNTIF($A$4:$A$1003,A428)&gt;1,"Duplicate email",IF(ISERROR(FIND("@",A428)),"Not an email address",IF(AND(H428=0,E428=""),"Investor without holders","OK"))))</f>
        <v/>
      </c>
    </row>
    <row r="429">
      <c r="A429" s="26" t="n"/>
      <c r="B429" s="26" t="n"/>
      <c r="C429" s="26" t="n"/>
      <c r="D429" s="26" t="n"/>
      <c r="E429" s="26" t="n"/>
      <c r="F429" s="26" t="n"/>
      <c r="G429" s="26" t="n"/>
      <c r="H429" s="30">
        <f>IF(A429="","",COUNTIF('Access'!$A$4:$A$1503,A429))</f>
        <v/>
      </c>
      <c r="I429" s="30">
        <f t="array" ref="I429">IF(A429="","",_xlfn.TEXTJOIN(", ",TRUE,IF(('Companies'!$A$4:$A$63&lt;&gt;"")*(COUNTIFS('Access'!$A$4:$A$1503,A429,'Access'!$F$4:$F$1503,"*"&amp;'Companies'!$A$4:$A$63&amp;"*")&gt;0),'Companies'!$A$4:$A$63,"")))</f>
        <v/>
      </c>
      <c r="J429" s="30">
        <f>IF(A429="","",IF(COUNTIF($A$4:$A$1003,A429)&gt;1,"Duplicate email",IF(ISERROR(FIND("@",A429)),"Not an email address",IF(AND(H429=0,E429=""),"Investor without holders","OK"))))</f>
        <v/>
      </c>
    </row>
    <row r="430">
      <c r="A430" s="26" t="n"/>
      <c r="B430" s="26" t="n"/>
      <c r="C430" s="26" t="n"/>
      <c r="D430" s="26" t="n"/>
      <c r="E430" s="26" t="n"/>
      <c r="F430" s="26" t="n"/>
      <c r="G430" s="26" t="n"/>
      <c r="H430" s="30">
        <f>IF(A430="","",COUNTIF('Access'!$A$4:$A$1503,A430))</f>
        <v/>
      </c>
      <c r="I430" s="30">
        <f t="array" ref="I430">IF(A430="","",_xlfn.TEXTJOIN(", ",TRUE,IF(('Companies'!$A$4:$A$63&lt;&gt;"")*(COUNTIFS('Access'!$A$4:$A$1503,A430,'Access'!$F$4:$F$1503,"*"&amp;'Companies'!$A$4:$A$63&amp;"*")&gt;0),'Companies'!$A$4:$A$63,"")))</f>
        <v/>
      </c>
      <c r="J430" s="30">
        <f>IF(A430="","",IF(COUNTIF($A$4:$A$1003,A430)&gt;1,"Duplicate email",IF(ISERROR(FIND("@",A430)),"Not an email address",IF(AND(H430=0,E430=""),"Investor without holders","OK"))))</f>
        <v/>
      </c>
    </row>
    <row r="431">
      <c r="A431" s="26" t="n"/>
      <c r="B431" s="26" t="n"/>
      <c r="C431" s="26" t="n"/>
      <c r="D431" s="26" t="n"/>
      <c r="E431" s="26" t="n"/>
      <c r="F431" s="26" t="n"/>
      <c r="G431" s="26" t="n"/>
      <c r="H431" s="30">
        <f>IF(A431="","",COUNTIF('Access'!$A$4:$A$1503,A431))</f>
        <v/>
      </c>
      <c r="I431" s="30">
        <f t="array" ref="I431">IF(A431="","",_xlfn.TEXTJOIN(", ",TRUE,IF(('Companies'!$A$4:$A$63&lt;&gt;"")*(COUNTIFS('Access'!$A$4:$A$1503,A431,'Access'!$F$4:$F$1503,"*"&amp;'Companies'!$A$4:$A$63&amp;"*")&gt;0),'Companies'!$A$4:$A$63,"")))</f>
        <v/>
      </c>
      <c r="J431" s="30">
        <f>IF(A431="","",IF(COUNTIF($A$4:$A$1003,A431)&gt;1,"Duplicate email",IF(ISERROR(FIND("@",A431)),"Not an email address",IF(AND(H431=0,E431=""),"Investor without holders","OK"))))</f>
        <v/>
      </c>
    </row>
    <row r="432">
      <c r="A432" s="26" t="n"/>
      <c r="B432" s="26" t="n"/>
      <c r="C432" s="26" t="n"/>
      <c r="D432" s="26" t="n"/>
      <c r="E432" s="26" t="n"/>
      <c r="F432" s="26" t="n"/>
      <c r="G432" s="26" t="n"/>
      <c r="H432" s="30">
        <f>IF(A432="","",COUNTIF('Access'!$A$4:$A$1503,A432))</f>
        <v/>
      </c>
      <c r="I432" s="30">
        <f t="array" ref="I432">IF(A432="","",_xlfn.TEXTJOIN(", ",TRUE,IF(('Companies'!$A$4:$A$63&lt;&gt;"")*(COUNTIFS('Access'!$A$4:$A$1503,A432,'Access'!$F$4:$F$1503,"*"&amp;'Companies'!$A$4:$A$63&amp;"*")&gt;0),'Companies'!$A$4:$A$63,"")))</f>
        <v/>
      </c>
      <c r="J432" s="30">
        <f>IF(A432="","",IF(COUNTIF($A$4:$A$1003,A432)&gt;1,"Duplicate email",IF(ISERROR(FIND("@",A432)),"Not an email address",IF(AND(H432=0,E432=""),"Investor without holders","OK"))))</f>
        <v/>
      </c>
    </row>
    <row r="433">
      <c r="A433" s="26" t="n"/>
      <c r="B433" s="26" t="n"/>
      <c r="C433" s="26" t="n"/>
      <c r="D433" s="26" t="n"/>
      <c r="E433" s="26" t="n"/>
      <c r="F433" s="26" t="n"/>
      <c r="G433" s="26" t="n"/>
      <c r="H433" s="30">
        <f>IF(A433="","",COUNTIF('Access'!$A$4:$A$1503,A433))</f>
        <v/>
      </c>
      <c r="I433" s="30">
        <f t="array" ref="I433">IF(A433="","",_xlfn.TEXTJOIN(", ",TRUE,IF(('Companies'!$A$4:$A$63&lt;&gt;"")*(COUNTIFS('Access'!$A$4:$A$1503,A433,'Access'!$F$4:$F$1503,"*"&amp;'Companies'!$A$4:$A$63&amp;"*")&gt;0),'Companies'!$A$4:$A$63,"")))</f>
        <v/>
      </c>
      <c r="J433" s="30">
        <f>IF(A433="","",IF(COUNTIF($A$4:$A$1003,A433)&gt;1,"Duplicate email",IF(ISERROR(FIND("@",A433)),"Not an email address",IF(AND(H433=0,E433=""),"Investor without holders","OK"))))</f>
        <v/>
      </c>
    </row>
    <row r="434">
      <c r="A434" s="26" t="n"/>
      <c r="B434" s="26" t="n"/>
      <c r="C434" s="26" t="n"/>
      <c r="D434" s="26" t="n"/>
      <c r="E434" s="26" t="n"/>
      <c r="F434" s="26" t="n"/>
      <c r="G434" s="26" t="n"/>
      <c r="H434" s="30">
        <f>IF(A434="","",COUNTIF('Access'!$A$4:$A$1503,A434))</f>
        <v/>
      </c>
      <c r="I434" s="30">
        <f t="array" ref="I434">IF(A434="","",_xlfn.TEXTJOIN(", ",TRUE,IF(('Companies'!$A$4:$A$63&lt;&gt;"")*(COUNTIFS('Access'!$A$4:$A$1503,A434,'Access'!$F$4:$F$1503,"*"&amp;'Companies'!$A$4:$A$63&amp;"*")&gt;0),'Companies'!$A$4:$A$63,"")))</f>
        <v/>
      </c>
      <c r="J434" s="30">
        <f>IF(A434="","",IF(COUNTIF($A$4:$A$1003,A434)&gt;1,"Duplicate email",IF(ISERROR(FIND("@",A434)),"Not an email address",IF(AND(H434=0,E434=""),"Investor without holders","OK"))))</f>
        <v/>
      </c>
    </row>
    <row r="435">
      <c r="A435" s="26" t="n"/>
      <c r="B435" s="26" t="n"/>
      <c r="C435" s="26" t="n"/>
      <c r="D435" s="26" t="n"/>
      <c r="E435" s="26" t="n"/>
      <c r="F435" s="26" t="n"/>
      <c r="G435" s="26" t="n"/>
      <c r="H435" s="30">
        <f>IF(A435="","",COUNTIF('Access'!$A$4:$A$1503,A435))</f>
        <v/>
      </c>
      <c r="I435" s="30">
        <f t="array" ref="I435">IF(A435="","",_xlfn.TEXTJOIN(", ",TRUE,IF(('Companies'!$A$4:$A$63&lt;&gt;"")*(COUNTIFS('Access'!$A$4:$A$1503,A435,'Access'!$F$4:$F$1503,"*"&amp;'Companies'!$A$4:$A$63&amp;"*")&gt;0),'Companies'!$A$4:$A$63,"")))</f>
        <v/>
      </c>
      <c r="J435" s="30">
        <f>IF(A435="","",IF(COUNTIF($A$4:$A$1003,A435)&gt;1,"Duplicate email",IF(ISERROR(FIND("@",A435)),"Not an email address",IF(AND(H435=0,E435=""),"Investor without holders","OK"))))</f>
        <v/>
      </c>
    </row>
    <row r="436">
      <c r="A436" s="26" t="n"/>
      <c r="B436" s="26" t="n"/>
      <c r="C436" s="26" t="n"/>
      <c r="D436" s="26" t="n"/>
      <c r="E436" s="26" t="n"/>
      <c r="F436" s="26" t="n"/>
      <c r="G436" s="26" t="n"/>
      <c r="H436" s="30">
        <f>IF(A436="","",COUNTIF('Access'!$A$4:$A$1503,A436))</f>
        <v/>
      </c>
      <c r="I436" s="30">
        <f t="array" ref="I436">IF(A436="","",_xlfn.TEXTJOIN(", ",TRUE,IF(('Companies'!$A$4:$A$63&lt;&gt;"")*(COUNTIFS('Access'!$A$4:$A$1503,A436,'Access'!$F$4:$F$1503,"*"&amp;'Companies'!$A$4:$A$63&amp;"*")&gt;0),'Companies'!$A$4:$A$63,"")))</f>
        <v/>
      </c>
      <c r="J436" s="30">
        <f>IF(A436="","",IF(COUNTIF($A$4:$A$1003,A436)&gt;1,"Duplicate email",IF(ISERROR(FIND("@",A436)),"Not an email address",IF(AND(H436=0,E436=""),"Investor without holders","OK"))))</f>
        <v/>
      </c>
    </row>
    <row r="437">
      <c r="A437" s="26" t="n"/>
      <c r="B437" s="26" t="n"/>
      <c r="C437" s="26" t="n"/>
      <c r="D437" s="26" t="n"/>
      <c r="E437" s="26" t="n"/>
      <c r="F437" s="26" t="n"/>
      <c r="G437" s="26" t="n"/>
      <c r="H437" s="30">
        <f>IF(A437="","",COUNTIF('Access'!$A$4:$A$1503,A437))</f>
        <v/>
      </c>
      <c r="I437" s="30">
        <f t="array" ref="I437">IF(A437="","",_xlfn.TEXTJOIN(", ",TRUE,IF(('Companies'!$A$4:$A$63&lt;&gt;"")*(COUNTIFS('Access'!$A$4:$A$1503,A437,'Access'!$F$4:$F$1503,"*"&amp;'Companies'!$A$4:$A$63&amp;"*")&gt;0),'Companies'!$A$4:$A$63,"")))</f>
        <v/>
      </c>
      <c r="J437" s="30">
        <f>IF(A437="","",IF(COUNTIF($A$4:$A$1003,A437)&gt;1,"Duplicate email",IF(ISERROR(FIND("@",A437)),"Not an email address",IF(AND(H437=0,E437=""),"Investor without holders","OK"))))</f>
        <v/>
      </c>
    </row>
    <row r="438">
      <c r="A438" s="26" t="n"/>
      <c r="B438" s="26" t="n"/>
      <c r="C438" s="26" t="n"/>
      <c r="D438" s="26" t="n"/>
      <c r="E438" s="26" t="n"/>
      <c r="F438" s="26" t="n"/>
      <c r="G438" s="26" t="n"/>
      <c r="H438" s="30">
        <f>IF(A438="","",COUNTIF('Access'!$A$4:$A$1503,A438))</f>
        <v/>
      </c>
      <c r="I438" s="30">
        <f t="array" ref="I438">IF(A438="","",_xlfn.TEXTJOIN(", ",TRUE,IF(('Companies'!$A$4:$A$63&lt;&gt;"")*(COUNTIFS('Access'!$A$4:$A$1503,A438,'Access'!$F$4:$F$1503,"*"&amp;'Companies'!$A$4:$A$63&amp;"*")&gt;0),'Companies'!$A$4:$A$63,"")))</f>
        <v/>
      </c>
      <c r="J438" s="30">
        <f>IF(A438="","",IF(COUNTIF($A$4:$A$1003,A438)&gt;1,"Duplicate email",IF(ISERROR(FIND("@",A438)),"Not an email address",IF(AND(H438=0,E438=""),"Investor without holders","OK"))))</f>
        <v/>
      </c>
    </row>
    <row r="439">
      <c r="A439" s="26" t="n"/>
      <c r="B439" s="26" t="n"/>
      <c r="C439" s="26" t="n"/>
      <c r="D439" s="26" t="n"/>
      <c r="E439" s="26" t="n"/>
      <c r="F439" s="26" t="n"/>
      <c r="G439" s="26" t="n"/>
      <c r="H439" s="30">
        <f>IF(A439="","",COUNTIF('Access'!$A$4:$A$1503,A439))</f>
        <v/>
      </c>
      <c r="I439" s="30">
        <f t="array" ref="I439">IF(A439="","",_xlfn.TEXTJOIN(", ",TRUE,IF(('Companies'!$A$4:$A$63&lt;&gt;"")*(COUNTIFS('Access'!$A$4:$A$1503,A439,'Access'!$F$4:$F$1503,"*"&amp;'Companies'!$A$4:$A$63&amp;"*")&gt;0),'Companies'!$A$4:$A$63,"")))</f>
        <v/>
      </c>
      <c r="J439" s="30">
        <f>IF(A439="","",IF(COUNTIF($A$4:$A$1003,A439)&gt;1,"Duplicate email",IF(ISERROR(FIND("@",A439)),"Not an email address",IF(AND(H439=0,E439=""),"Investor without holders","OK"))))</f>
        <v/>
      </c>
    </row>
    <row r="440">
      <c r="A440" s="26" t="n"/>
      <c r="B440" s="26" t="n"/>
      <c r="C440" s="26" t="n"/>
      <c r="D440" s="26" t="n"/>
      <c r="E440" s="26" t="n"/>
      <c r="F440" s="26" t="n"/>
      <c r="G440" s="26" t="n"/>
      <c r="H440" s="30">
        <f>IF(A440="","",COUNTIF('Access'!$A$4:$A$1503,A440))</f>
        <v/>
      </c>
      <c r="I440" s="30">
        <f t="array" ref="I440">IF(A440="","",_xlfn.TEXTJOIN(", ",TRUE,IF(('Companies'!$A$4:$A$63&lt;&gt;"")*(COUNTIFS('Access'!$A$4:$A$1503,A440,'Access'!$F$4:$F$1503,"*"&amp;'Companies'!$A$4:$A$63&amp;"*")&gt;0),'Companies'!$A$4:$A$63,"")))</f>
        <v/>
      </c>
      <c r="J440" s="30">
        <f>IF(A440="","",IF(COUNTIF($A$4:$A$1003,A440)&gt;1,"Duplicate email",IF(ISERROR(FIND("@",A440)),"Not an email address",IF(AND(H440=0,E440=""),"Investor without holders","OK"))))</f>
        <v/>
      </c>
    </row>
    <row r="441">
      <c r="A441" s="26" t="n"/>
      <c r="B441" s="26" t="n"/>
      <c r="C441" s="26" t="n"/>
      <c r="D441" s="26" t="n"/>
      <c r="E441" s="26" t="n"/>
      <c r="F441" s="26" t="n"/>
      <c r="G441" s="26" t="n"/>
      <c r="H441" s="30">
        <f>IF(A441="","",COUNTIF('Access'!$A$4:$A$1503,A441))</f>
        <v/>
      </c>
      <c r="I441" s="30">
        <f t="array" ref="I441">IF(A441="","",_xlfn.TEXTJOIN(", ",TRUE,IF(('Companies'!$A$4:$A$63&lt;&gt;"")*(COUNTIFS('Access'!$A$4:$A$1503,A441,'Access'!$F$4:$F$1503,"*"&amp;'Companies'!$A$4:$A$63&amp;"*")&gt;0),'Companies'!$A$4:$A$63,"")))</f>
        <v/>
      </c>
      <c r="J441" s="30">
        <f>IF(A441="","",IF(COUNTIF($A$4:$A$1003,A441)&gt;1,"Duplicate email",IF(ISERROR(FIND("@",A441)),"Not an email address",IF(AND(H441=0,E441=""),"Investor without holders","OK"))))</f>
        <v/>
      </c>
    </row>
    <row r="442">
      <c r="A442" s="26" t="n"/>
      <c r="B442" s="26" t="n"/>
      <c r="C442" s="26" t="n"/>
      <c r="D442" s="26" t="n"/>
      <c r="E442" s="26" t="n"/>
      <c r="F442" s="26" t="n"/>
      <c r="G442" s="26" t="n"/>
      <c r="H442" s="30">
        <f>IF(A442="","",COUNTIF('Access'!$A$4:$A$1503,A442))</f>
        <v/>
      </c>
      <c r="I442" s="30">
        <f t="array" ref="I442">IF(A442="","",_xlfn.TEXTJOIN(", ",TRUE,IF(('Companies'!$A$4:$A$63&lt;&gt;"")*(COUNTIFS('Access'!$A$4:$A$1503,A442,'Access'!$F$4:$F$1503,"*"&amp;'Companies'!$A$4:$A$63&amp;"*")&gt;0),'Companies'!$A$4:$A$63,"")))</f>
        <v/>
      </c>
      <c r="J442" s="30">
        <f>IF(A442="","",IF(COUNTIF($A$4:$A$1003,A442)&gt;1,"Duplicate email",IF(ISERROR(FIND("@",A442)),"Not an email address",IF(AND(H442=0,E442=""),"Investor without holders","OK"))))</f>
        <v/>
      </c>
    </row>
    <row r="443">
      <c r="A443" s="26" t="n"/>
      <c r="B443" s="26" t="n"/>
      <c r="C443" s="26" t="n"/>
      <c r="D443" s="26" t="n"/>
      <c r="E443" s="26" t="n"/>
      <c r="F443" s="26" t="n"/>
      <c r="G443" s="26" t="n"/>
      <c r="H443" s="30">
        <f>IF(A443="","",COUNTIF('Access'!$A$4:$A$1503,A443))</f>
        <v/>
      </c>
      <c r="I443" s="30">
        <f t="array" ref="I443">IF(A443="","",_xlfn.TEXTJOIN(", ",TRUE,IF(('Companies'!$A$4:$A$63&lt;&gt;"")*(COUNTIFS('Access'!$A$4:$A$1503,A443,'Access'!$F$4:$F$1503,"*"&amp;'Companies'!$A$4:$A$63&amp;"*")&gt;0),'Companies'!$A$4:$A$63,"")))</f>
        <v/>
      </c>
      <c r="J443" s="30">
        <f>IF(A443="","",IF(COUNTIF($A$4:$A$1003,A443)&gt;1,"Duplicate email",IF(ISERROR(FIND("@",A443)),"Not an email address",IF(AND(H443=0,E443=""),"Investor without holders","OK"))))</f>
        <v/>
      </c>
    </row>
    <row r="444">
      <c r="A444" s="26" t="n"/>
      <c r="B444" s="26" t="n"/>
      <c r="C444" s="26" t="n"/>
      <c r="D444" s="26" t="n"/>
      <c r="E444" s="26" t="n"/>
      <c r="F444" s="26" t="n"/>
      <c r="G444" s="26" t="n"/>
      <c r="H444" s="30">
        <f>IF(A444="","",COUNTIF('Access'!$A$4:$A$1503,A444))</f>
        <v/>
      </c>
      <c r="I444" s="30">
        <f t="array" ref="I444">IF(A444="","",_xlfn.TEXTJOIN(", ",TRUE,IF(('Companies'!$A$4:$A$63&lt;&gt;"")*(COUNTIFS('Access'!$A$4:$A$1503,A444,'Access'!$F$4:$F$1503,"*"&amp;'Companies'!$A$4:$A$63&amp;"*")&gt;0),'Companies'!$A$4:$A$63,"")))</f>
        <v/>
      </c>
      <c r="J444" s="30">
        <f>IF(A444="","",IF(COUNTIF($A$4:$A$1003,A444)&gt;1,"Duplicate email",IF(ISERROR(FIND("@",A444)),"Not an email address",IF(AND(H444=0,E444=""),"Investor without holders","OK"))))</f>
        <v/>
      </c>
    </row>
    <row r="445">
      <c r="A445" s="26" t="n"/>
      <c r="B445" s="26" t="n"/>
      <c r="C445" s="26" t="n"/>
      <c r="D445" s="26" t="n"/>
      <c r="E445" s="26" t="n"/>
      <c r="F445" s="26" t="n"/>
      <c r="G445" s="26" t="n"/>
      <c r="H445" s="30">
        <f>IF(A445="","",COUNTIF('Access'!$A$4:$A$1503,A445))</f>
        <v/>
      </c>
      <c r="I445" s="30">
        <f t="array" ref="I445">IF(A445="","",_xlfn.TEXTJOIN(", ",TRUE,IF(('Companies'!$A$4:$A$63&lt;&gt;"")*(COUNTIFS('Access'!$A$4:$A$1503,A445,'Access'!$F$4:$F$1503,"*"&amp;'Companies'!$A$4:$A$63&amp;"*")&gt;0),'Companies'!$A$4:$A$63,"")))</f>
        <v/>
      </c>
      <c r="J445" s="30">
        <f>IF(A445="","",IF(COUNTIF($A$4:$A$1003,A445)&gt;1,"Duplicate email",IF(ISERROR(FIND("@",A445)),"Not an email address",IF(AND(H445=0,E445=""),"Investor without holders","OK"))))</f>
        <v/>
      </c>
    </row>
    <row r="446">
      <c r="A446" s="26" t="n"/>
      <c r="B446" s="26" t="n"/>
      <c r="C446" s="26" t="n"/>
      <c r="D446" s="26" t="n"/>
      <c r="E446" s="26" t="n"/>
      <c r="F446" s="26" t="n"/>
      <c r="G446" s="26" t="n"/>
      <c r="H446" s="30">
        <f>IF(A446="","",COUNTIF('Access'!$A$4:$A$1503,A446))</f>
        <v/>
      </c>
      <c r="I446" s="30">
        <f t="array" ref="I446">IF(A446="","",_xlfn.TEXTJOIN(", ",TRUE,IF(('Companies'!$A$4:$A$63&lt;&gt;"")*(COUNTIFS('Access'!$A$4:$A$1503,A446,'Access'!$F$4:$F$1503,"*"&amp;'Companies'!$A$4:$A$63&amp;"*")&gt;0),'Companies'!$A$4:$A$63,"")))</f>
        <v/>
      </c>
      <c r="J446" s="30">
        <f>IF(A446="","",IF(COUNTIF($A$4:$A$1003,A446)&gt;1,"Duplicate email",IF(ISERROR(FIND("@",A446)),"Not an email address",IF(AND(H446=0,E446=""),"Investor without holders","OK"))))</f>
        <v/>
      </c>
    </row>
    <row r="447">
      <c r="A447" s="26" t="n"/>
      <c r="B447" s="26" t="n"/>
      <c r="C447" s="26" t="n"/>
      <c r="D447" s="26" t="n"/>
      <c r="E447" s="26" t="n"/>
      <c r="F447" s="26" t="n"/>
      <c r="G447" s="26" t="n"/>
      <c r="H447" s="30">
        <f>IF(A447="","",COUNTIF('Access'!$A$4:$A$1503,A447))</f>
        <v/>
      </c>
      <c r="I447" s="30">
        <f t="array" ref="I447">IF(A447="","",_xlfn.TEXTJOIN(", ",TRUE,IF(('Companies'!$A$4:$A$63&lt;&gt;"")*(COUNTIFS('Access'!$A$4:$A$1503,A447,'Access'!$F$4:$F$1503,"*"&amp;'Companies'!$A$4:$A$63&amp;"*")&gt;0),'Companies'!$A$4:$A$63,"")))</f>
        <v/>
      </c>
      <c r="J447" s="30">
        <f>IF(A447="","",IF(COUNTIF($A$4:$A$1003,A447)&gt;1,"Duplicate email",IF(ISERROR(FIND("@",A447)),"Not an email address",IF(AND(H447=0,E447=""),"Investor without holders","OK"))))</f>
        <v/>
      </c>
    </row>
    <row r="448">
      <c r="A448" s="26" t="n"/>
      <c r="B448" s="26" t="n"/>
      <c r="C448" s="26" t="n"/>
      <c r="D448" s="26" t="n"/>
      <c r="E448" s="26" t="n"/>
      <c r="F448" s="26" t="n"/>
      <c r="G448" s="26" t="n"/>
      <c r="H448" s="30">
        <f>IF(A448="","",COUNTIF('Access'!$A$4:$A$1503,A448))</f>
        <v/>
      </c>
      <c r="I448" s="30">
        <f t="array" ref="I448">IF(A448="","",_xlfn.TEXTJOIN(", ",TRUE,IF(('Companies'!$A$4:$A$63&lt;&gt;"")*(COUNTIFS('Access'!$A$4:$A$1503,A448,'Access'!$F$4:$F$1503,"*"&amp;'Companies'!$A$4:$A$63&amp;"*")&gt;0),'Companies'!$A$4:$A$63,"")))</f>
        <v/>
      </c>
      <c r="J448" s="30">
        <f>IF(A448="","",IF(COUNTIF($A$4:$A$1003,A448)&gt;1,"Duplicate email",IF(ISERROR(FIND("@",A448)),"Not an email address",IF(AND(H448=0,E448=""),"Investor without holders","OK"))))</f>
        <v/>
      </c>
    </row>
    <row r="449">
      <c r="A449" s="26" t="n"/>
      <c r="B449" s="26" t="n"/>
      <c r="C449" s="26" t="n"/>
      <c r="D449" s="26" t="n"/>
      <c r="E449" s="26" t="n"/>
      <c r="F449" s="26" t="n"/>
      <c r="G449" s="26" t="n"/>
      <c r="H449" s="30">
        <f>IF(A449="","",COUNTIF('Access'!$A$4:$A$1503,A449))</f>
        <v/>
      </c>
      <c r="I449" s="30">
        <f t="array" ref="I449">IF(A449="","",_xlfn.TEXTJOIN(", ",TRUE,IF(('Companies'!$A$4:$A$63&lt;&gt;"")*(COUNTIFS('Access'!$A$4:$A$1503,A449,'Access'!$F$4:$F$1503,"*"&amp;'Companies'!$A$4:$A$63&amp;"*")&gt;0),'Companies'!$A$4:$A$63,"")))</f>
        <v/>
      </c>
      <c r="J449" s="30">
        <f>IF(A449="","",IF(COUNTIF($A$4:$A$1003,A449)&gt;1,"Duplicate email",IF(ISERROR(FIND("@",A449)),"Not an email address",IF(AND(H449=0,E449=""),"Investor without holders","OK"))))</f>
        <v/>
      </c>
    </row>
    <row r="450">
      <c r="A450" s="26" t="n"/>
      <c r="B450" s="26" t="n"/>
      <c r="C450" s="26" t="n"/>
      <c r="D450" s="26" t="n"/>
      <c r="E450" s="26" t="n"/>
      <c r="F450" s="26" t="n"/>
      <c r="G450" s="26" t="n"/>
      <c r="H450" s="30">
        <f>IF(A450="","",COUNTIF('Access'!$A$4:$A$1503,A450))</f>
        <v/>
      </c>
      <c r="I450" s="30">
        <f t="array" ref="I450">IF(A450="","",_xlfn.TEXTJOIN(", ",TRUE,IF(('Companies'!$A$4:$A$63&lt;&gt;"")*(COUNTIFS('Access'!$A$4:$A$1503,A450,'Access'!$F$4:$F$1503,"*"&amp;'Companies'!$A$4:$A$63&amp;"*")&gt;0),'Companies'!$A$4:$A$63,"")))</f>
        <v/>
      </c>
      <c r="J450" s="30">
        <f>IF(A450="","",IF(COUNTIF($A$4:$A$1003,A450)&gt;1,"Duplicate email",IF(ISERROR(FIND("@",A450)),"Not an email address",IF(AND(H450=0,E450=""),"Investor without holders","OK"))))</f>
        <v/>
      </c>
    </row>
    <row r="451">
      <c r="A451" s="26" t="n"/>
      <c r="B451" s="26" t="n"/>
      <c r="C451" s="26" t="n"/>
      <c r="D451" s="26" t="n"/>
      <c r="E451" s="26" t="n"/>
      <c r="F451" s="26" t="n"/>
      <c r="G451" s="26" t="n"/>
      <c r="H451" s="30">
        <f>IF(A451="","",COUNTIF('Access'!$A$4:$A$1503,A451))</f>
        <v/>
      </c>
      <c r="I451" s="30">
        <f t="array" ref="I451">IF(A451="","",_xlfn.TEXTJOIN(", ",TRUE,IF(('Companies'!$A$4:$A$63&lt;&gt;"")*(COUNTIFS('Access'!$A$4:$A$1503,A451,'Access'!$F$4:$F$1503,"*"&amp;'Companies'!$A$4:$A$63&amp;"*")&gt;0),'Companies'!$A$4:$A$63,"")))</f>
        <v/>
      </c>
      <c r="J451" s="30">
        <f>IF(A451="","",IF(COUNTIF($A$4:$A$1003,A451)&gt;1,"Duplicate email",IF(ISERROR(FIND("@",A451)),"Not an email address",IF(AND(H451=0,E451=""),"Investor without holders","OK"))))</f>
        <v/>
      </c>
    </row>
    <row r="452">
      <c r="A452" s="26" t="n"/>
      <c r="B452" s="26" t="n"/>
      <c r="C452" s="26" t="n"/>
      <c r="D452" s="26" t="n"/>
      <c r="E452" s="26" t="n"/>
      <c r="F452" s="26" t="n"/>
      <c r="G452" s="26" t="n"/>
      <c r="H452" s="30">
        <f>IF(A452="","",COUNTIF('Access'!$A$4:$A$1503,A452))</f>
        <v/>
      </c>
      <c r="I452" s="30">
        <f t="array" ref="I452">IF(A452="","",_xlfn.TEXTJOIN(", ",TRUE,IF(('Companies'!$A$4:$A$63&lt;&gt;"")*(COUNTIFS('Access'!$A$4:$A$1503,A452,'Access'!$F$4:$F$1503,"*"&amp;'Companies'!$A$4:$A$63&amp;"*")&gt;0),'Companies'!$A$4:$A$63,"")))</f>
        <v/>
      </c>
      <c r="J452" s="30">
        <f>IF(A452="","",IF(COUNTIF($A$4:$A$1003,A452)&gt;1,"Duplicate email",IF(ISERROR(FIND("@",A452)),"Not an email address",IF(AND(H452=0,E452=""),"Investor without holders","OK"))))</f>
        <v/>
      </c>
    </row>
    <row r="453">
      <c r="A453" s="26" t="n"/>
      <c r="B453" s="26" t="n"/>
      <c r="C453" s="26" t="n"/>
      <c r="D453" s="26" t="n"/>
      <c r="E453" s="26" t="n"/>
      <c r="F453" s="26" t="n"/>
      <c r="G453" s="26" t="n"/>
      <c r="H453" s="30">
        <f>IF(A453="","",COUNTIF('Access'!$A$4:$A$1503,A453))</f>
        <v/>
      </c>
      <c r="I453" s="30">
        <f t="array" ref="I453">IF(A453="","",_xlfn.TEXTJOIN(", ",TRUE,IF(('Companies'!$A$4:$A$63&lt;&gt;"")*(COUNTIFS('Access'!$A$4:$A$1503,A453,'Access'!$F$4:$F$1503,"*"&amp;'Companies'!$A$4:$A$63&amp;"*")&gt;0),'Companies'!$A$4:$A$63,"")))</f>
        <v/>
      </c>
      <c r="J453" s="30">
        <f>IF(A453="","",IF(COUNTIF($A$4:$A$1003,A453)&gt;1,"Duplicate email",IF(ISERROR(FIND("@",A453)),"Not an email address",IF(AND(H453=0,E453=""),"Investor without holders","OK"))))</f>
        <v/>
      </c>
    </row>
    <row r="454">
      <c r="A454" s="26" t="n"/>
      <c r="B454" s="26" t="n"/>
      <c r="C454" s="26" t="n"/>
      <c r="D454" s="26" t="n"/>
      <c r="E454" s="26" t="n"/>
      <c r="F454" s="26" t="n"/>
      <c r="G454" s="26" t="n"/>
      <c r="H454" s="30">
        <f>IF(A454="","",COUNTIF('Access'!$A$4:$A$1503,A454))</f>
        <v/>
      </c>
      <c r="I454" s="30">
        <f t="array" ref="I454">IF(A454="","",_xlfn.TEXTJOIN(", ",TRUE,IF(('Companies'!$A$4:$A$63&lt;&gt;"")*(COUNTIFS('Access'!$A$4:$A$1503,A454,'Access'!$F$4:$F$1503,"*"&amp;'Companies'!$A$4:$A$63&amp;"*")&gt;0),'Companies'!$A$4:$A$63,"")))</f>
        <v/>
      </c>
      <c r="J454" s="30">
        <f>IF(A454="","",IF(COUNTIF($A$4:$A$1003,A454)&gt;1,"Duplicate email",IF(ISERROR(FIND("@",A454)),"Not an email address",IF(AND(H454=0,E454=""),"Investor without holders","OK"))))</f>
        <v/>
      </c>
    </row>
    <row r="455">
      <c r="A455" s="26" t="n"/>
      <c r="B455" s="26" t="n"/>
      <c r="C455" s="26" t="n"/>
      <c r="D455" s="26" t="n"/>
      <c r="E455" s="26" t="n"/>
      <c r="F455" s="26" t="n"/>
      <c r="G455" s="26" t="n"/>
      <c r="H455" s="30">
        <f>IF(A455="","",COUNTIF('Access'!$A$4:$A$1503,A455))</f>
        <v/>
      </c>
      <c r="I455" s="30">
        <f t="array" ref="I455">IF(A455="","",_xlfn.TEXTJOIN(", ",TRUE,IF(('Companies'!$A$4:$A$63&lt;&gt;"")*(COUNTIFS('Access'!$A$4:$A$1503,A455,'Access'!$F$4:$F$1503,"*"&amp;'Companies'!$A$4:$A$63&amp;"*")&gt;0),'Companies'!$A$4:$A$63,"")))</f>
        <v/>
      </c>
      <c r="J455" s="30">
        <f>IF(A455="","",IF(COUNTIF($A$4:$A$1003,A455)&gt;1,"Duplicate email",IF(ISERROR(FIND("@",A455)),"Not an email address",IF(AND(H455=0,E455=""),"Investor without holders","OK"))))</f>
        <v/>
      </c>
    </row>
    <row r="456">
      <c r="A456" s="26" t="n"/>
      <c r="B456" s="26" t="n"/>
      <c r="C456" s="26" t="n"/>
      <c r="D456" s="26" t="n"/>
      <c r="E456" s="26" t="n"/>
      <c r="F456" s="26" t="n"/>
      <c r="G456" s="26" t="n"/>
      <c r="H456" s="30">
        <f>IF(A456="","",COUNTIF('Access'!$A$4:$A$1503,A456))</f>
        <v/>
      </c>
      <c r="I456" s="30">
        <f t="array" ref="I456">IF(A456="","",_xlfn.TEXTJOIN(", ",TRUE,IF(('Companies'!$A$4:$A$63&lt;&gt;"")*(COUNTIFS('Access'!$A$4:$A$1503,A456,'Access'!$F$4:$F$1503,"*"&amp;'Companies'!$A$4:$A$63&amp;"*")&gt;0),'Companies'!$A$4:$A$63,"")))</f>
        <v/>
      </c>
      <c r="J456" s="30">
        <f>IF(A456="","",IF(COUNTIF($A$4:$A$1003,A456)&gt;1,"Duplicate email",IF(ISERROR(FIND("@",A456)),"Not an email address",IF(AND(H456=0,E456=""),"Investor without holders","OK"))))</f>
        <v/>
      </c>
    </row>
    <row r="457">
      <c r="A457" s="26" t="n"/>
      <c r="B457" s="26" t="n"/>
      <c r="C457" s="26" t="n"/>
      <c r="D457" s="26" t="n"/>
      <c r="E457" s="26" t="n"/>
      <c r="F457" s="26" t="n"/>
      <c r="G457" s="26" t="n"/>
      <c r="H457" s="30">
        <f>IF(A457="","",COUNTIF('Access'!$A$4:$A$1503,A457))</f>
        <v/>
      </c>
      <c r="I457" s="30">
        <f t="array" ref="I457">IF(A457="","",_xlfn.TEXTJOIN(", ",TRUE,IF(('Companies'!$A$4:$A$63&lt;&gt;"")*(COUNTIFS('Access'!$A$4:$A$1503,A457,'Access'!$F$4:$F$1503,"*"&amp;'Companies'!$A$4:$A$63&amp;"*")&gt;0),'Companies'!$A$4:$A$63,"")))</f>
        <v/>
      </c>
      <c r="J457" s="30">
        <f>IF(A457="","",IF(COUNTIF($A$4:$A$1003,A457)&gt;1,"Duplicate email",IF(ISERROR(FIND("@",A457)),"Not an email address",IF(AND(H457=0,E457=""),"Investor without holders","OK"))))</f>
        <v/>
      </c>
    </row>
    <row r="458">
      <c r="A458" s="26" t="n"/>
      <c r="B458" s="26" t="n"/>
      <c r="C458" s="26" t="n"/>
      <c r="D458" s="26" t="n"/>
      <c r="E458" s="26" t="n"/>
      <c r="F458" s="26" t="n"/>
      <c r="G458" s="26" t="n"/>
      <c r="H458" s="30">
        <f>IF(A458="","",COUNTIF('Access'!$A$4:$A$1503,A458))</f>
        <v/>
      </c>
      <c r="I458" s="30">
        <f t="array" ref="I458">IF(A458="","",_xlfn.TEXTJOIN(", ",TRUE,IF(('Companies'!$A$4:$A$63&lt;&gt;"")*(COUNTIFS('Access'!$A$4:$A$1503,A458,'Access'!$F$4:$F$1503,"*"&amp;'Companies'!$A$4:$A$63&amp;"*")&gt;0),'Companies'!$A$4:$A$63,"")))</f>
        <v/>
      </c>
      <c r="J458" s="30">
        <f>IF(A458="","",IF(COUNTIF($A$4:$A$1003,A458)&gt;1,"Duplicate email",IF(ISERROR(FIND("@",A458)),"Not an email address",IF(AND(H458=0,E458=""),"Investor without holders","OK"))))</f>
        <v/>
      </c>
    </row>
    <row r="459">
      <c r="A459" s="26" t="n"/>
      <c r="B459" s="26" t="n"/>
      <c r="C459" s="26" t="n"/>
      <c r="D459" s="26" t="n"/>
      <c r="E459" s="26" t="n"/>
      <c r="F459" s="26" t="n"/>
      <c r="G459" s="26" t="n"/>
      <c r="H459" s="30">
        <f>IF(A459="","",COUNTIF('Access'!$A$4:$A$1503,A459))</f>
        <v/>
      </c>
      <c r="I459" s="30">
        <f t="array" ref="I459">IF(A459="","",_xlfn.TEXTJOIN(", ",TRUE,IF(('Companies'!$A$4:$A$63&lt;&gt;"")*(COUNTIFS('Access'!$A$4:$A$1503,A459,'Access'!$F$4:$F$1503,"*"&amp;'Companies'!$A$4:$A$63&amp;"*")&gt;0),'Companies'!$A$4:$A$63,"")))</f>
        <v/>
      </c>
      <c r="J459" s="30">
        <f>IF(A459="","",IF(COUNTIF($A$4:$A$1003,A459)&gt;1,"Duplicate email",IF(ISERROR(FIND("@",A459)),"Not an email address",IF(AND(H459=0,E459=""),"Investor without holders","OK"))))</f>
        <v/>
      </c>
    </row>
    <row r="460">
      <c r="A460" s="26" t="n"/>
      <c r="B460" s="26" t="n"/>
      <c r="C460" s="26" t="n"/>
      <c r="D460" s="26" t="n"/>
      <c r="E460" s="26" t="n"/>
      <c r="F460" s="26" t="n"/>
      <c r="G460" s="26" t="n"/>
      <c r="H460" s="30">
        <f>IF(A460="","",COUNTIF('Access'!$A$4:$A$1503,A460))</f>
        <v/>
      </c>
      <c r="I460" s="30">
        <f t="array" ref="I460">IF(A460="","",_xlfn.TEXTJOIN(", ",TRUE,IF(('Companies'!$A$4:$A$63&lt;&gt;"")*(COUNTIFS('Access'!$A$4:$A$1503,A460,'Access'!$F$4:$F$1503,"*"&amp;'Companies'!$A$4:$A$63&amp;"*")&gt;0),'Companies'!$A$4:$A$63,"")))</f>
        <v/>
      </c>
      <c r="J460" s="30">
        <f>IF(A460="","",IF(COUNTIF($A$4:$A$1003,A460)&gt;1,"Duplicate email",IF(ISERROR(FIND("@",A460)),"Not an email address",IF(AND(H460=0,E460=""),"Investor without holders","OK"))))</f>
        <v/>
      </c>
    </row>
    <row r="461">
      <c r="A461" s="26" t="n"/>
      <c r="B461" s="26" t="n"/>
      <c r="C461" s="26" t="n"/>
      <c r="D461" s="26" t="n"/>
      <c r="E461" s="26" t="n"/>
      <c r="F461" s="26" t="n"/>
      <c r="G461" s="26" t="n"/>
      <c r="H461" s="30">
        <f>IF(A461="","",COUNTIF('Access'!$A$4:$A$1503,A461))</f>
        <v/>
      </c>
      <c r="I461" s="30">
        <f t="array" ref="I461">IF(A461="","",_xlfn.TEXTJOIN(", ",TRUE,IF(('Companies'!$A$4:$A$63&lt;&gt;"")*(COUNTIFS('Access'!$A$4:$A$1503,A461,'Access'!$F$4:$F$1503,"*"&amp;'Companies'!$A$4:$A$63&amp;"*")&gt;0),'Companies'!$A$4:$A$63,"")))</f>
        <v/>
      </c>
      <c r="J461" s="30">
        <f>IF(A461="","",IF(COUNTIF($A$4:$A$1003,A461)&gt;1,"Duplicate email",IF(ISERROR(FIND("@",A461)),"Not an email address",IF(AND(H461=0,E461=""),"Investor without holders","OK"))))</f>
        <v/>
      </c>
    </row>
    <row r="462">
      <c r="A462" s="26" t="n"/>
      <c r="B462" s="26" t="n"/>
      <c r="C462" s="26" t="n"/>
      <c r="D462" s="26" t="n"/>
      <c r="E462" s="26" t="n"/>
      <c r="F462" s="26" t="n"/>
      <c r="G462" s="26" t="n"/>
      <c r="H462" s="30">
        <f>IF(A462="","",COUNTIF('Access'!$A$4:$A$1503,A462))</f>
        <v/>
      </c>
      <c r="I462" s="30">
        <f t="array" ref="I462">IF(A462="","",_xlfn.TEXTJOIN(", ",TRUE,IF(('Companies'!$A$4:$A$63&lt;&gt;"")*(COUNTIFS('Access'!$A$4:$A$1503,A462,'Access'!$F$4:$F$1503,"*"&amp;'Companies'!$A$4:$A$63&amp;"*")&gt;0),'Companies'!$A$4:$A$63,"")))</f>
        <v/>
      </c>
      <c r="J462" s="30">
        <f>IF(A462="","",IF(COUNTIF($A$4:$A$1003,A462)&gt;1,"Duplicate email",IF(ISERROR(FIND("@",A462)),"Not an email address",IF(AND(H462=0,E462=""),"Investor without holders","OK"))))</f>
        <v/>
      </c>
    </row>
    <row r="463">
      <c r="A463" s="26" t="n"/>
      <c r="B463" s="26" t="n"/>
      <c r="C463" s="26" t="n"/>
      <c r="D463" s="26" t="n"/>
      <c r="E463" s="26" t="n"/>
      <c r="F463" s="26" t="n"/>
      <c r="G463" s="26" t="n"/>
      <c r="H463" s="30">
        <f>IF(A463="","",COUNTIF('Access'!$A$4:$A$1503,A463))</f>
        <v/>
      </c>
      <c r="I463" s="30">
        <f t="array" ref="I463">IF(A463="","",_xlfn.TEXTJOIN(", ",TRUE,IF(('Companies'!$A$4:$A$63&lt;&gt;"")*(COUNTIFS('Access'!$A$4:$A$1503,A463,'Access'!$F$4:$F$1503,"*"&amp;'Companies'!$A$4:$A$63&amp;"*")&gt;0),'Companies'!$A$4:$A$63,"")))</f>
        <v/>
      </c>
      <c r="J463" s="30">
        <f>IF(A463="","",IF(COUNTIF($A$4:$A$1003,A463)&gt;1,"Duplicate email",IF(ISERROR(FIND("@",A463)),"Not an email address",IF(AND(H463=0,E463=""),"Investor without holders","OK"))))</f>
        <v/>
      </c>
    </row>
    <row r="464">
      <c r="A464" s="26" t="n"/>
      <c r="B464" s="26" t="n"/>
      <c r="C464" s="26" t="n"/>
      <c r="D464" s="26" t="n"/>
      <c r="E464" s="26" t="n"/>
      <c r="F464" s="26" t="n"/>
      <c r="G464" s="26" t="n"/>
      <c r="H464" s="30">
        <f>IF(A464="","",COUNTIF('Access'!$A$4:$A$1503,A464))</f>
        <v/>
      </c>
      <c r="I464" s="30">
        <f t="array" ref="I464">IF(A464="","",_xlfn.TEXTJOIN(", ",TRUE,IF(('Companies'!$A$4:$A$63&lt;&gt;"")*(COUNTIFS('Access'!$A$4:$A$1503,A464,'Access'!$F$4:$F$1503,"*"&amp;'Companies'!$A$4:$A$63&amp;"*")&gt;0),'Companies'!$A$4:$A$63,"")))</f>
        <v/>
      </c>
      <c r="J464" s="30">
        <f>IF(A464="","",IF(COUNTIF($A$4:$A$1003,A464)&gt;1,"Duplicate email",IF(ISERROR(FIND("@",A464)),"Not an email address",IF(AND(H464=0,E464=""),"Investor without holders","OK"))))</f>
        <v/>
      </c>
    </row>
    <row r="465">
      <c r="A465" s="26" t="n"/>
      <c r="B465" s="26" t="n"/>
      <c r="C465" s="26" t="n"/>
      <c r="D465" s="26" t="n"/>
      <c r="E465" s="26" t="n"/>
      <c r="F465" s="26" t="n"/>
      <c r="G465" s="26" t="n"/>
      <c r="H465" s="30">
        <f>IF(A465="","",COUNTIF('Access'!$A$4:$A$1503,A465))</f>
        <v/>
      </c>
      <c r="I465" s="30">
        <f t="array" ref="I465">IF(A465="","",_xlfn.TEXTJOIN(", ",TRUE,IF(('Companies'!$A$4:$A$63&lt;&gt;"")*(COUNTIFS('Access'!$A$4:$A$1503,A465,'Access'!$F$4:$F$1503,"*"&amp;'Companies'!$A$4:$A$63&amp;"*")&gt;0),'Companies'!$A$4:$A$63,"")))</f>
        <v/>
      </c>
      <c r="J465" s="30">
        <f>IF(A465="","",IF(COUNTIF($A$4:$A$1003,A465)&gt;1,"Duplicate email",IF(ISERROR(FIND("@",A465)),"Not an email address",IF(AND(H465=0,E465=""),"Investor without holders","OK"))))</f>
        <v/>
      </c>
    </row>
    <row r="466">
      <c r="A466" s="26" t="n"/>
      <c r="B466" s="26" t="n"/>
      <c r="C466" s="26" t="n"/>
      <c r="D466" s="26" t="n"/>
      <c r="E466" s="26" t="n"/>
      <c r="F466" s="26" t="n"/>
      <c r="G466" s="26" t="n"/>
      <c r="H466" s="30">
        <f>IF(A466="","",COUNTIF('Access'!$A$4:$A$1503,A466))</f>
        <v/>
      </c>
      <c r="I466" s="30">
        <f t="array" ref="I466">IF(A466="","",_xlfn.TEXTJOIN(", ",TRUE,IF(('Companies'!$A$4:$A$63&lt;&gt;"")*(COUNTIFS('Access'!$A$4:$A$1503,A466,'Access'!$F$4:$F$1503,"*"&amp;'Companies'!$A$4:$A$63&amp;"*")&gt;0),'Companies'!$A$4:$A$63,"")))</f>
        <v/>
      </c>
      <c r="J466" s="30">
        <f>IF(A466="","",IF(COUNTIF($A$4:$A$1003,A466)&gt;1,"Duplicate email",IF(ISERROR(FIND("@",A466)),"Not an email address",IF(AND(H466=0,E466=""),"Investor without holders","OK"))))</f>
        <v/>
      </c>
    </row>
    <row r="467">
      <c r="A467" s="26" t="n"/>
      <c r="B467" s="26" t="n"/>
      <c r="C467" s="26" t="n"/>
      <c r="D467" s="26" t="n"/>
      <c r="E467" s="26" t="n"/>
      <c r="F467" s="26" t="n"/>
      <c r="G467" s="26" t="n"/>
      <c r="H467" s="30">
        <f>IF(A467="","",COUNTIF('Access'!$A$4:$A$1503,A467))</f>
        <v/>
      </c>
      <c r="I467" s="30">
        <f t="array" ref="I467">IF(A467="","",_xlfn.TEXTJOIN(", ",TRUE,IF(('Companies'!$A$4:$A$63&lt;&gt;"")*(COUNTIFS('Access'!$A$4:$A$1503,A467,'Access'!$F$4:$F$1503,"*"&amp;'Companies'!$A$4:$A$63&amp;"*")&gt;0),'Companies'!$A$4:$A$63,"")))</f>
        <v/>
      </c>
      <c r="J467" s="30">
        <f>IF(A467="","",IF(COUNTIF($A$4:$A$1003,A467)&gt;1,"Duplicate email",IF(ISERROR(FIND("@",A467)),"Not an email address",IF(AND(H467=0,E467=""),"Investor without holders","OK"))))</f>
        <v/>
      </c>
    </row>
    <row r="468">
      <c r="A468" s="26" t="n"/>
      <c r="B468" s="26" t="n"/>
      <c r="C468" s="26" t="n"/>
      <c r="D468" s="26" t="n"/>
      <c r="E468" s="26" t="n"/>
      <c r="F468" s="26" t="n"/>
      <c r="G468" s="26" t="n"/>
      <c r="H468" s="30">
        <f>IF(A468="","",COUNTIF('Access'!$A$4:$A$1503,A468))</f>
        <v/>
      </c>
      <c r="I468" s="30">
        <f t="array" ref="I468">IF(A468="","",_xlfn.TEXTJOIN(", ",TRUE,IF(('Companies'!$A$4:$A$63&lt;&gt;"")*(COUNTIFS('Access'!$A$4:$A$1503,A468,'Access'!$F$4:$F$1503,"*"&amp;'Companies'!$A$4:$A$63&amp;"*")&gt;0),'Companies'!$A$4:$A$63,"")))</f>
        <v/>
      </c>
      <c r="J468" s="30">
        <f>IF(A468="","",IF(COUNTIF($A$4:$A$1003,A468)&gt;1,"Duplicate email",IF(ISERROR(FIND("@",A468)),"Not an email address",IF(AND(H468=0,E468=""),"Investor without holders","OK"))))</f>
        <v/>
      </c>
    </row>
    <row r="469">
      <c r="A469" s="26" t="n"/>
      <c r="B469" s="26" t="n"/>
      <c r="C469" s="26" t="n"/>
      <c r="D469" s="26" t="n"/>
      <c r="E469" s="26" t="n"/>
      <c r="F469" s="26" t="n"/>
      <c r="G469" s="26" t="n"/>
      <c r="H469" s="30">
        <f>IF(A469="","",COUNTIF('Access'!$A$4:$A$1503,A469))</f>
        <v/>
      </c>
      <c r="I469" s="30">
        <f t="array" ref="I469">IF(A469="","",_xlfn.TEXTJOIN(", ",TRUE,IF(('Companies'!$A$4:$A$63&lt;&gt;"")*(COUNTIFS('Access'!$A$4:$A$1503,A469,'Access'!$F$4:$F$1503,"*"&amp;'Companies'!$A$4:$A$63&amp;"*")&gt;0),'Companies'!$A$4:$A$63,"")))</f>
        <v/>
      </c>
      <c r="J469" s="30">
        <f>IF(A469="","",IF(COUNTIF($A$4:$A$1003,A469)&gt;1,"Duplicate email",IF(ISERROR(FIND("@",A469)),"Not an email address",IF(AND(H469=0,E469=""),"Investor without holders","OK"))))</f>
        <v/>
      </c>
    </row>
    <row r="470">
      <c r="A470" s="26" t="n"/>
      <c r="B470" s="26" t="n"/>
      <c r="C470" s="26" t="n"/>
      <c r="D470" s="26" t="n"/>
      <c r="E470" s="26" t="n"/>
      <c r="F470" s="26" t="n"/>
      <c r="G470" s="26" t="n"/>
      <c r="H470" s="30">
        <f>IF(A470="","",COUNTIF('Access'!$A$4:$A$1503,A470))</f>
        <v/>
      </c>
      <c r="I470" s="30">
        <f t="array" ref="I470">IF(A470="","",_xlfn.TEXTJOIN(", ",TRUE,IF(('Companies'!$A$4:$A$63&lt;&gt;"")*(COUNTIFS('Access'!$A$4:$A$1503,A470,'Access'!$F$4:$F$1503,"*"&amp;'Companies'!$A$4:$A$63&amp;"*")&gt;0),'Companies'!$A$4:$A$63,"")))</f>
        <v/>
      </c>
      <c r="J470" s="30">
        <f>IF(A470="","",IF(COUNTIF($A$4:$A$1003,A470)&gt;1,"Duplicate email",IF(ISERROR(FIND("@",A470)),"Not an email address",IF(AND(H470=0,E470=""),"Investor without holders","OK"))))</f>
        <v/>
      </c>
    </row>
    <row r="471">
      <c r="A471" s="26" t="n"/>
      <c r="B471" s="26" t="n"/>
      <c r="C471" s="26" t="n"/>
      <c r="D471" s="26" t="n"/>
      <c r="E471" s="26" t="n"/>
      <c r="F471" s="26" t="n"/>
      <c r="G471" s="26" t="n"/>
      <c r="H471" s="30">
        <f>IF(A471="","",COUNTIF('Access'!$A$4:$A$1503,A471))</f>
        <v/>
      </c>
      <c r="I471" s="30">
        <f t="array" ref="I471">IF(A471="","",_xlfn.TEXTJOIN(", ",TRUE,IF(('Companies'!$A$4:$A$63&lt;&gt;"")*(COUNTIFS('Access'!$A$4:$A$1503,A471,'Access'!$F$4:$F$1503,"*"&amp;'Companies'!$A$4:$A$63&amp;"*")&gt;0),'Companies'!$A$4:$A$63,"")))</f>
        <v/>
      </c>
      <c r="J471" s="30">
        <f>IF(A471="","",IF(COUNTIF($A$4:$A$1003,A471)&gt;1,"Duplicate email",IF(ISERROR(FIND("@",A471)),"Not an email address",IF(AND(H471=0,E471=""),"Investor without holders","OK"))))</f>
        <v/>
      </c>
    </row>
    <row r="472">
      <c r="A472" s="26" t="n"/>
      <c r="B472" s="26" t="n"/>
      <c r="C472" s="26" t="n"/>
      <c r="D472" s="26" t="n"/>
      <c r="E472" s="26" t="n"/>
      <c r="F472" s="26" t="n"/>
      <c r="G472" s="26" t="n"/>
      <c r="H472" s="30">
        <f>IF(A472="","",COUNTIF('Access'!$A$4:$A$1503,A472))</f>
        <v/>
      </c>
      <c r="I472" s="30">
        <f t="array" ref="I472">IF(A472="","",_xlfn.TEXTJOIN(", ",TRUE,IF(('Companies'!$A$4:$A$63&lt;&gt;"")*(COUNTIFS('Access'!$A$4:$A$1503,A472,'Access'!$F$4:$F$1503,"*"&amp;'Companies'!$A$4:$A$63&amp;"*")&gt;0),'Companies'!$A$4:$A$63,"")))</f>
        <v/>
      </c>
      <c r="J472" s="30">
        <f>IF(A472="","",IF(COUNTIF($A$4:$A$1003,A472)&gt;1,"Duplicate email",IF(ISERROR(FIND("@",A472)),"Not an email address",IF(AND(H472=0,E472=""),"Investor without holders","OK"))))</f>
        <v/>
      </c>
    </row>
    <row r="473">
      <c r="A473" s="26" t="n"/>
      <c r="B473" s="26" t="n"/>
      <c r="C473" s="26" t="n"/>
      <c r="D473" s="26" t="n"/>
      <c r="E473" s="26" t="n"/>
      <c r="F473" s="26" t="n"/>
      <c r="G473" s="26" t="n"/>
      <c r="H473" s="30">
        <f>IF(A473="","",COUNTIF('Access'!$A$4:$A$1503,A473))</f>
        <v/>
      </c>
      <c r="I473" s="30">
        <f t="array" ref="I473">IF(A473="","",_xlfn.TEXTJOIN(", ",TRUE,IF(('Companies'!$A$4:$A$63&lt;&gt;"")*(COUNTIFS('Access'!$A$4:$A$1503,A473,'Access'!$F$4:$F$1503,"*"&amp;'Companies'!$A$4:$A$63&amp;"*")&gt;0),'Companies'!$A$4:$A$63,"")))</f>
        <v/>
      </c>
      <c r="J473" s="30">
        <f>IF(A473="","",IF(COUNTIF($A$4:$A$1003,A473)&gt;1,"Duplicate email",IF(ISERROR(FIND("@",A473)),"Not an email address",IF(AND(H473=0,E473=""),"Investor without holders","OK"))))</f>
        <v/>
      </c>
    </row>
    <row r="474">
      <c r="A474" s="26" t="n"/>
      <c r="B474" s="26" t="n"/>
      <c r="C474" s="26" t="n"/>
      <c r="D474" s="26" t="n"/>
      <c r="E474" s="26" t="n"/>
      <c r="F474" s="26" t="n"/>
      <c r="G474" s="26" t="n"/>
      <c r="H474" s="30">
        <f>IF(A474="","",COUNTIF('Access'!$A$4:$A$1503,A474))</f>
        <v/>
      </c>
      <c r="I474" s="30">
        <f t="array" ref="I474">IF(A474="","",_xlfn.TEXTJOIN(", ",TRUE,IF(('Companies'!$A$4:$A$63&lt;&gt;"")*(COUNTIFS('Access'!$A$4:$A$1503,A474,'Access'!$F$4:$F$1503,"*"&amp;'Companies'!$A$4:$A$63&amp;"*")&gt;0),'Companies'!$A$4:$A$63,"")))</f>
        <v/>
      </c>
      <c r="J474" s="30">
        <f>IF(A474="","",IF(COUNTIF($A$4:$A$1003,A474)&gt;1,"Duplicate email",IF(ISERROR(FIND("@",A474)),"Not an email address",IF(AND(H474=0,E474=""),"Investor without holders","OK"))))</f>
        <v/>
      </c>
    </row>
    <row r="475">
      <c r="A475" s="26" t="n"/>
      <c r="B475" s="26" t="n"/>
      <c r="C475" s="26" t="n"/>
      <c r="D475" s="26" t="n"/>
      <c r="E475" s="26" t="n"/>
      <c r="F475" s="26" t="n"/>
      <c r="G475" s="26" t="n"/>
      <c r="H475" s="30">
        <f>IF(A475="","",COUNTIF('Access'!$A$4:$A$1503,A475))</f>
        <v/>
      </c>
      <c r="I475" s="30">
        <f t="array" ref="I475">IF(A475="","",_xlfn.TEXTJOIN(", ",TRUE,IF(('Companies'!$A$4:$A$63&lt;&gt;"")*(COUNTIFS('Access'!$A$4:$A$1503,A475,'Access'!$F$4:$F$1503,"*"&amp;'Companies'!$A$4:$A$63&amp;"*")&gt;0),'Companies'!$A$4:$A$63,"")))</f>
        <v/>
      </c>
      <c r="J475" s="30">
        <f>IF(A475="","",IF(COUNTIF($A$4:$A$1003,A475)&gt;1,"Duplicate email",IF(ISERROR(FIND("@",A475)),"Not an email address",IF(AND(H475=0,E475=""),"Investor without holders","OK"))))</f>
        <v/>
      </c>
    </row>
    <row r="476">
      <c r="A476" s="26" t="n"/>
      <c r="B476" s="26" t="n"/>
      <c r="C476" s="26" t="n"/>
      <c r="D476" s="26" t="n"/>
      <c r="E476" s="26" t="n"/>
      <c r="F476" s="26" t="n"/>
      <c r="G476" s="26" t="n"/>
      <c r="H476" s="30">
        <f>IF(A476="","",COUNTIF('Access'!$A$4:$A$1503,A476))</f>
        <v/>
      </c>
      <c r="I476" s="30">
        <f t="array" ref="I476">IF(A476="","",_xlfn.TEXTJOIN(", ",TRUE,IF(('Companies'!$A$4:$A$63&lt;&gt;"")*(COUNTIFS('Access'!$A$4:$A$1503,A476,'Access'!$F$4:$F$1503,"*"&amp;'Companies'!$A$4:$A$63&amp;"*")&gt;0),'Companies'!$A$4:$A$63,"")))</f>
        <v/>
      </c>
      <c r="J476" s="30">
        <f>IF(A476="","",IF(COUNTIF($A$4:$A$1003,A476)&gt;1,"Duplicate email",IF(ISERROR(FIND("@",A476)),"Not an email address",IF(AND(H476=0,E476=""),"Investor without holders","OK"))))</f>
        <v/>
      </c>
    </row>
    <row r="477">
      <c r="A477" s="26" t="n"/>
      <c r="B477" s="26" t="n"/>
      <c r="C477" s="26" t="n"/>
      <c r="D477" s="26" t="n"/>
      <c r="E477" s="26" t="n"/>
      <c r="F477" s="26" t="n"/>
      <c r="G477" s="26" t="n"/>
      <c r="H477" s="30">
        <f>IF(A477="","",COUNTIF('Access'!$A$4:$A$1503,A477))</f>
        <v/>
      </c>
      <c r="I477" s="30">
        <f t="array" ref="I477">IF(A477="","",_xlfn.TEXTJOIN(", ",TRUE,IF(('Companies'!$A$4:$A$63&lt;&gt;"")*(COUNTIFS('Access'!$A$4:$A$1503,A477,'Access'!$F$4:$F$1503,"*"&amp;'Companies'!$A$4:$A$63&amp;"*")&gt;0),'Companies'!$A$4:$A$63,"")))</f>
        <v/>
      </c>
      <c r="J477" s="30">
        <f>IF(A477="","",IF(COUNTIF($A$4:$A$1003,A477)&gt;1,"Duplicate email",IF(ISERROR(FIND("@",A477)),"Not an email address",IF(AND(H477=0,E477=""),"Investor without holders","OK"))))</f>
        <v/>
      </c>
    </row>
    <row r="478">
      <c r="A478" s="26" t="n"/>
      <c r="B478" s="26" t="n"/>
      <c r="C478" s="26" t="n"/>
      <c r="D478" s="26" t="n"/>
      <c r="E478" s="26" t="n"/>
      <c r="F478" s="26" t="n"/>
      <c r="G478" s="26" t="n"/>
      <c r="H478" s="30">
        <f>IF(A478="","",COUNTIF('Access'!$A$4:$A$1503,A478))</f>
        <v/>
      </c>
      <c r="I478" s="30">
        <f t="array" ref="I478">IF(A478="","",_xlfn.TEXTJOIN(", ",TRUE,IF(('Companies'!$A$4:$A$63&lt;&gt;"")*(COUNTIFS('Access'!$A$4:$A$1503,A478,'Access'!$F$4:$F$1503,"*"&amp;'Companies'!$A$4:$A$63&amp;"*")&gt;0),'Companies'!$A$4:$A$63,"")))</f>
        <v/>
      </c>
      <c r="J478" s="30">
        <f>IF(A478="","",IF(COUNTIF($A$4:$A$1003,A478)&gt;1,"Duplicate email",IF(ISERROR(FIND("@",A478)),"Not an email address",IF(AND(H478=0,E478=""),"Investor without holders","OK"))))</f>
        <v/>
      </c>
    </row>
    <row r="479">
      <c r="A479" s="26" t="n"/>
      <c r="B479" s="26" t="n"/>
      <c r="C479" s="26" t="n"/>
      <c r="D479" s="26" t="n"/>
      <c r="E479" s="26" t="n"/>
      <c r="F479" s="26" t="n"/>
      <c r="G479" s="26" t="n"/>
      <c r="H479" s="30">
        <f>IF(A479="","",COUNTIF('Access'!$A$4:$A$1503,A479))</f>
        <v/>
      </c>
      <c r="I479" s="30">
        <f t="array" ref="I479">IF(A479="","",_xlfn.TEXTJOIN(", ",TRUE,IF(('Companies'!$A$4:$A$63&lt;&gt;"")*(COUNTIFS('Access'!$A$4:$A$1503,A479,'Access'!$F$4:$F$1503,"*"&amp;'Companies'!$A$4:$A$63&amp;"*")&gt;0),'Companies'!$A$4:$A$63,"")))</f>
        <v/>
      </c>
      <c r="J479" s="30">
        <f>IF(A479="","",IF(COUNTIF($A$4:$A$1003,A479)&gt;1,"Duplicate email",IF(ISERROR(FIND("@",A479)),"Not an email address",IF(AND(H479=0,E479=""),"Investor without holders","OK"))))</f>
        <v/>
      </c>
    </row>
    <row r="480">
      <c r="A480" s="26" t="n"/>
      <c r="B480" s="26" t="n"/>
      <c r="C480" s="26" t="n"/>
      <c r="D480" s="26" t="n"/>
      <c r="E480" s="26" t="n"/>
      <c r="F480" s="26" t="n"/>
      <c r="G480" s="26" t="n"/>
      <c r="H480" s="30">
        <f>IF(A480="","",COUNTIF('Access'!$A$4:$A$1503,A480))</f>
        <v/>
      </c>
      <c r="I480" s="30">
        <f t="array" ref="I480">IF(A480="","",_xlfn.TEXTJOIN(", ",TRUE,IF(('Companies'!$A$4:$A$63&lt;&gt;"")*(COUNTIFS('Access'!$A$4:$A$1503,A480,'Access'!$F$4:$F$1503,"*"&amp;'Companies'!$A$4:$A$63&amp;"*")&gt;0),'Companies'!$A$4:$A$63,"")))</f>
        <v/>
      </c>
      <c r="J480" s="30">
        <f>IF(A480="","",IF(COUNTIF($A$4:$A$1003,A480)&gt;1,"Duplicate email",IF(ISERROR(FIND("@",A480)),"Not an email address",IF(AND(H480=0,E480=""),"Investor without holders","OK"))))</f>
        <v/>
      </c>
    </row>
    <row r="481">
      <c r="A481" s="26" t="n"/>
      <c r="B481" s="26" t="n"/>
      <c r="C481" s="26" t="n"/>
      <c r="D481" s="26" t="n"/>
      <c r="E481" s="26" t="n"/>
      <c r="F481" s="26" t="n"/>
      <c r="G481" s="26" t="n"/>
      <c r="H481" s="30">
        <f>IF(A481="","",COUNTIF('Access'!$A$4:$A$1503,A481))</f>
        <v/>
      </c>
      <c r="I481" s="30">
        <f t="array" ref="I481">IF(A481="","",_xlfn.TEXTJOIN(", ",TRUE,IF(('Companies'!$A$4:$A$63&lt;&gt;"")*(COUNTIFS('Access'!$A$4:$A$1503,A481,'Access'!$F$4:$F$1503,"*"&amp;'Companies'!$A$4:$A$63&amp;"*")&gt;0),'Companies'!$A$4:$A$63,"")))</f>
        <v/>
      </c>
      <c r="J481" s="30">
        <f>IF(A481="","",IF(COUNTIF($A$4:$A$1003,A481)&gt;1,"Duplicate email",IF(ISERROR(FIND("@",A481)),"Not an email address",IF(AND(H481=0,E481=""),"Investor without holders","OK"))))</f>
        <v/>
      </c>
    </row>
    <row r="482">
      <c r="A482" s="26" t="n"/>
      <c r="B482" s="26" t="n"/>
      <c r="C482" s="26" t="n"/>
      <c r="D482" s="26" t="n"/>
      <c r="E482" s="26" t="n"/>
      <c r="F482" s="26" t="n"/>
      <c r="G482" s="26" t="n"/>
      <c r="H482" s="30">
        <f>IF(A482="","",COUNTIF('Access'!$A$4:$A$1503,A482))</f>
        <v/>
      </c>
      <c r="I482" s="30">
        <f t="array" ref="I482">IF(A482="","",_xlfn.TEXTJOIN(", ",TRUE,IF(('Companies'!$A$4:$A$63&lt;&gt;"")*(COUNTIFS('Access'!$A$4:$A$1503,A482,'Access'!$F$4:$F$1503,"*"&amp;'Companies'!$A$4:$A$63&amp;"*")&gt;0),'Companies'!$A$4:$A$63,"")))</f>
        <v/>
      </c>
      <c r="J482" s="30">
        <f>IF(A482="","",IF(COUNTIF($A$4:$A$1003,A482)&gt;1,"Duplicate email",IF(ISERROR(FIND("@",A482)),"Not an email address",IF(AND(H482=0,E482=""),"Investor without holders","OK"))))</f>
        <v/>
      </c>
    </row>
    <row r="483">
      <c r="A483" s="26" t="n"/>
      <c r="B483" s="26" t="n"/>
      <c r="C483" s="26" t="n"/>
      <c r="D483" s="26" t="n"/>
      <c r="E483" s="26" t="n"/>
      <c r="F483" s="26" t="n"/>
      <c r="G483" s="26" t="n"/>
      <c r="H483" s="30">
        <f>IF(A483="","",COUNTIF('Access'!$A$4:$A$1503,A483))</f>
        <v/>
      </c>
      <c r="I483" s="30">
        <f t="array" ref="I483">IF(A483="","",_xlfn.TEXTJOIN(", ",TRUE,IF(('Companies'!$A$4:$A$63&lt;&gt;"")*(COUNTIFS('Access'!$A$4:$A$1503,A483,'Access'!$F$4:$F$1503,"*"&amp;'Companies'!$A$4:$A$63&amp;"*")&gt;0),'Companies'!$A$4:$A$63,"")))</f>
        <v/>
      </c>
      <c r="J483" s="30">
        <f>IF(A483="","",IF(COUNTIF($A$4:$A$1003,A483)&gt;1,"Duplicate email",IF(ISERROR(FIND("@",A483)),"Not an email address",IF(AND(H483=0,E483=""),"Investor without holders","OK"))))</f>
        <v/>
      </c>
    </row>
    <row r="484">
      <c r="A484" s="26" t="n"/>
      <c r="B484" s="26" t="n"/>
      <c r="C484" s="26" t="n"/>
      <c r="D484" s="26" t="n"/>
      <c r="E484" s="26" t="n"/>
      <c r="F484" s="26" t="n"/>
      <c r="G484" s="26" t="n"/>
      <c r="H484" s="30">
        <f>IF(A484="","",COUNTIF('Access'!$A$4:$A$1503,A484))</f>
        <v/>
      </c>
      <c r="I484" s="30">
        <f t="array" ref="I484">IF(A484="","",_xlfn.TEXTJOIN(", ",TRUE,IF(('Companies'!$A$4:$A$63&lt;&gt;"")*(COUNTIFS('Access'!$A$4:$A$1503,A484,'Access'!$F$4:$F$1503,"*"&amp;'Companies'!$A$4:$A$63&amp;"*")&gt;0),'Companies'!$A$4:$A$63,"")))</f>
        <v/>
      </c>
      <c r="J484" s="30">
        <f>IF(A484="","",IF(COUNTIF($A$4:$A$1003,A484)&gt;1,"Duplicate email",IF(ISERROR(FIND("@",A484)),"Not an email address",IF(AND(H484=0,E484=""),"Investor without holders","OK"))))</f>
        <v/>
      </c>
    </row>
    <row r="485">
      <c r="A485" s="26" t="n"/>
      <c r="B485" s="26" t="n"/>
      <c r="C485" s="26" t="n"/>
      <c r="D485" s="26" t="n"/>
      <c r="E485" s="26" t="n"/>
      <c r="F485" s="26" t="n"/>
      <c r="G485" s="26" t="n"/>
      <c r="H485" s="30">
        <f>IF(A485="","",COUNTIF('Access'!$A$4:$A$1503,A485))</f>
        <v/>
      </c>
      <c r="I485" s="30">
        <f t="array" ref="I485">IF(A485="","",_xlfn.TEXTJOIN(", ",TRUE,IF(('Companies'!$A$4:$A$63&lt;&gt;"")*(COUNTIFS('Access'!$A$4:$A$1503,A485,'Access'!$F$4:$F$1503,"*"&amp;'Companies'!$A$4:$A$63&amp;"*")&gt;0),'Companies'!$A$4:$A$63,"")))</f>
        <v/>
      </c>
      <c r="J485" s="30">
        <f>IF(A485="","",IF(COUNTIF($A$4:$A$1003,A485)&gt;1,"Duplicate email",IF(ISERROR(FIND("@",A485)),"Not an email address",IF(AND(H485=0,E485=""),"Investor without holders","OK"))))</f>
        <v/>
      </c>
    </row>
    <row r="486">
      <c r="A486" s="26" t="n"/>
      <c r="B486" s="26" t="n"/>
      <c r="C486" s="26" t="n"/>
      <c r="D486" s="26" t="n"/>
      <c r="E486" s="26" t="n"/>
      <c r="F486" s="26" t="n"/>
      <c r="G486" s="26" t="n"/>
      <c r="H486" s="30">
        <f>IF(A486="","",COUNTIF('Access'!$A$4:$A$1503,A486))</f>
        <v/>
      </c>
      <c r="I486" s="30">
        <f t="array" ref="I486">IF(A486="","",_xlfn.TEXTJOIN(", ",TRUE,IF(('Companies'!$A$4:$A$63&lt;&gt;"")*(COUNTIFS('Access'!$A$4:$A$1503,A486,'Access'!$F$4:$F$1503,"*"&amp;'Companies'!$A$4:$A$63&amp;"*")&gt;0),'Companies'!$A$4:$A$63,"")))</f>
        <v/>
      </c>
      <c r="J486" s="30">
        <f>IF(A486="","",IF(COUNTIF($A$4:$A$1003,A486)&gt;1,"Duplicate email",IF(ISERROR(FIND("@",A486)),"Not an email address",IF(AND(H486=0,E486=""),"Investor without holders","OK"))))</f>
        <v/>
      </c>
    </row>
    <row r="487">
      <c r="A487" s="26" t="n"/>
      <c r="B487" s="26" t="n"/>
      <c r="C487" s="26" t="n"/>
      <c r="D487" s="26" t="n"/>
      <c r="E487" s="26" t="n"/>
      <c r="F487" s="26" t="n"/>
      <c r="G487" s="26" t="n"/>
      <c r="H487" s="30">
        <f>IF(A487="","",COUNTIF('Access'!$A$4:$A$1503,A487))</f>
        <v/>
      </c>
      <c r="I487" s="30">
        <f t="array" ref="I487">IF(A487="","",_xlfn.TEXTJOIN(", ",TRUE,IF(('Companies'!$A$4:$A$63&lt;&gt;"")*(COUNTIFS('Access'!$A$4:$A$1503,A487,'Access'!$F$4:$F$1503,"*"&amp;'Companies'!$A$4:$A$63&amp;"*")&gt;0),'Companies'!$A$4:$A$63,"")))</f>
        <v/>
      </c>
      <c r="J487" s="30">
        <f>IF(A487="","",IF(COUNTIF($A$4:$A$1003,A487)&gt;1,"Duplicate email",IF(ISERROR(FIND("@",A487)),"Not an email address",IF(AND(H487=0,E487=""),"Investor without holders","OK"))))</f>
        <v/>
      </c>
    </row>
    <row r="488">
      <c r="A488" s="26" t="n"/>
      <c r="B488" s="26" t="n"/>
      <c r="C488" s="26" t="n"/>
      <c r="D488" s="26" t="n"/>
      <c r="E488" s="26" t="n"/>
      <c r="F488" s="26" t="n"/>
      <c r="G488" s="26" t="n"/>
      <c r="H488" s="30">
        <f>IF(A488="","",COUNTIF('Access'!$A$4:$A$1503,A488))</f>
        <v/>
      </c>
      <c r="I488" s="30">
        <f t="array" ref="I488">IF(A488="","",_xlfn.TEXTJOIN(", ",TRUE,IF(('Companies'!$A$4:$A$63&lt;&gt;"")*(COUNTIFS('Access'!$A$4:$A$1503,A488,'Access'!$F$4:$F$1503,"*"&amp;'Companies'!$A$4:$A$63&amp;"*")&gt;0),'Companies'!$A$4:$A$63,"")))</f>
        <v/>
      </c>
      <c r="J488" s="30">
        <f>IF(A488="","",IF(COUNTIF($A$4:$A$1003,A488)&gt;1,"Duplicate email",IF(ISERROR(FIND("@",A488)),"Not an email address",IF(AND(H488=0,E488=""),"Investor without holders","OK"))))</f>
        <v/>
      </c>
    </row>
    <row r="489">
      <c r="A489" s="26" t="n"/>
      <c r="B489" s="26" t="n"/>
      <c r="C489" s="26" t="n"/>
      <c r="D489" s="26" t="n"/>
      <c r="E489" s="26" t="n"/>
      <c r="F489" s="26" t="n"/>
      <c r="G489" s="26" t="n"/>
      <c r="H489" s="30">
        <f>IF(A489="","",COUNTIF('Access'!$A$4:$A$1503,A489))</f>
        <v/>
      </c>
      <c r="I489" s="30">
        <f t="array" ref="I489">IF(A489="","",_xlfn.TEXTJOIN(", ",TRUE,IF(('Companies'!$A$4:$A$63&lt;&gt;"")*(COUNTIFS('Access'!$A$4:$A$1503,A489,'Access'!$F$4:$F$1503,"*"&amp;'Companies'!$A$4:$A$63&amp;"*")&gt;0),'Companies'!$A$4:$A$63,"")))</f>
        <v/>
      </c>
      <c r="J489" s="30">
        <f>IF(A489="","",IF(COUNTIF($A$4:$A$1003,A489)&gt;1,"Duplicate email",IF(ISERROR(FIND("@",A489)),"Not an email address",IF(AND(H489=0,E489=""),"Investor without holders","OK"))))</f>
        <v/>
      </c>
    </row>
    <row r="490">
      <c r="A490" s="26" t="n"/>
      <c r="B490" s="26" t="n"/>
      <c r="C490" s="26" t="n"/>
      <c r="D490" s="26" t="n"/>
      <c r="E490" s="26" t="n"/>
      <c r="F490" s="26" t="n"/>
      <c r="G490" s="26" t="n"/>
      <c r="H490" s="30">
        <f>IF(A490="","",COUNTIF('Access'!$A$4:$A$1503,A490))</f>
        <v/>
      </c>
      <c r="I490" s="30">
        <f t="array" ref="I490">IF(A490="","",_xlfn.TEXTJOIN(", ",TRUE,IF(('Companies'!$A$4:$A$63&lt;&gt;"")*(COUNTIFS('Access'!$A$4:$A$1503,A490,'Access'!$F$4:$F$1503,"*"&amp;'Companies'!$A$4:$A$63&amp;"*")&gt;0),'Companies'!$A$4:$A$63,"")))</f>
        <v/>
      </c>
      <c r="J490" s="30">
        <f>IF(A490="","",IF(COUNTIF($A$4:$A$1003,A490)&gt;1,"Duplicate email",IF(ISERROR(FIND("@",A490)),"Not an email address",IF(AND(H490=0,E490=""),"Investor without holders","OK"))))</f>
        <v/>
      </c>
    </row>
    <row r="491">
      <c r="A491" s="26" t="n"/>
      <c r="B491" s="26" t="n"/>
      <c r="C491" s="26" t="n"/>
      <c r="D491" s="26" t="n"/>
      <c r="E491" s="26" t="n"/>
      <c r="F491" s="26" t="n"/>
      <c r="G491" s="26" t="n"/>
      <c r="H491" s="30">
        <f>IF(A491="","",COUNTIF('Access'!$A$4:$A$1503,A491))</f>
        <v/>
      </c>
      <c r="I491" s="30">
        <f t="array" ref="I491">IF(A491="","",_xlfn.TEXTJOIN(", ",TRUE,IF(('Companies'!$A$4:$A$63&lt;&gt;"")*(COUNTIFS('Access'!$A$4:$A$1503,A491,'Access'!$F$4:$F$1503,"*"&amp;'Companies'!$A$4:$A$63&amp;"*")&gt;0),'Companies'!$A$4:$A$63,"")))</f>
        <v/>
      </c>
      <c r="J491" s="30">
        <f>IF(A491="","",IF(COUNTIF($A$4:$A$1003,A491)&gt;1,"Duplicate email",IF(ISERROR(FIND("@",A491)),"Not an email address",IF(AND(H491=0,E491=""),"Investor without holders","OK"))))</f>
        <v/>
      </c>
    </row>
    <row r="492">
      <c r="A492" s="26" t="n"/>
      <c r="B492" s="26" t="n"/>
      <c r="C492" s="26" t="n"/>
      <c r="D492" s="26" t="n"/>
      <c r="E492" s="26" t="n"/>
      <c r="F492" s="26" t="n"/>
      <c r="G492" s="26" t="n"/>
      <c r="H492" s="30">
        <f>IF(A492="","",COUNTIF('Access'!$A$4:$A$1503,A492))</f>
        <v/>
      </c>
      <c r="I492" s="30">
        <f t="array" ref="I492">IF(A492="","",_xlfn.TEXTJOIN(", ",TRUE,IF(('Companies'!$A$4:$A$63&lt;&gt;"")*(COUNTIFS('Access'!$A$4:$A$1503,A492,'Access'!$F$4:$F$1503,"*"&amp;'Companies'!$A$4:$A$63&amp;"*")&gt;0),'Companies'!$A$4:$A$63,"")))</f>
        <v/>
      </c>
      <c r="J492" s="30">
        <f>IF(A492="","",IF(COUNTIF($A$4:$A$1003,A492)&gt;1,"Duplicate email",IF(ISERROR(FIND("@",A492)),"Not an email address",IF(AND(H492=0,E492=""),"Investor without holders","OK"))))</f>
        <v/>
      </c>
    </row>
    <row r="493">
      <c r="A493" s="26" t="n"/>
      <c r="B493" s="26" t="n"/>
      <c r="C493" s="26" t="n"/>
      <c r="D493" s="26" t="n"/>
      <c r="E493" s="26" t="n"/>
      <c r="F493" s="26" t="n"/>
      <c r="G493" s="26" t="n"/>
      <c r="H493" s="30">
        <f>IF(A493="","",COUNTIF('Access'!$A$4:$A$1503,A493))</f>
        <v/>
      </c>
      <c r="I493" s="30">
        <f t="array" ref="I493">IF(A493="","",_xlfn.TEXTJOIN(", ",TRUE,IF(('Companies'!$A$4:$A$63&lt;&gt;"")*(COUNTIFS('Access'!$A$4:$A$1503,A493,'Access'!$F$4:$F$1503,"*"&amp;'Companies'!$A$4:$A$63&amp;"*")&gt;0),'Companies'!$A$4:$A$63,"")))</f>
        <v/>
      </c>
      <c r="J493" s="30">
        <f>IF(A493="","",IF(COUNTIF($A$4:$A$1003,A493)&gt;1,"Duplicate email",IF(ISERROR(FIND("@",A493)),"Not an email address",IF(AND(H493=0,E493=""),"Investor without holders","OK"))))</f>
        <v/>
      </c>
    </row>
    <row r="494">
      <c r="A494" s="26" t="n"/>
      <c r="B494" s="26" t="n"/>
      <c r="C494" s="26" t="n"/>
      <c r="D494" s="26" t="n"/>
      <c r="E494" s="26" t="n"/>
      <c r="F494" s="26" t="n"/>
      <c r="G494" s="26" t="n"/>
      <c r="H494" s="30">
        <f>IF(A494="","",COUNTIF('Access'!$A$4:$A$1503,A494))</f>
        <v/>
      </c>
      <c r="I494" s="30">
        <f t="array" ref="I494">IF(A494="","",_xlfn.TEXTJOIN(", ",TRUE,IF(('Companies'!$A$4:$A$63&lt;&gt;"")*(COUNTIFS('Access'!$A$4:$A$1503,A494,'Access'!$F$4:$F$1503,"*"&amp;'Companies'!$A$4:$A$63&amp;"*")&gt;0),'Companies'!$A$4:$A$63,"")))</f>
        <v/>
      </c>
      <c r="J494" s="30">
        <f>IF(A494="","",IF(COUNTIF($A$4:$A$1003,A494)&gt;1,"Duplicate email",IF(ISERROR(FIND("@",A494)),"Not an email address",IF(AND(H494=0,E494=""),"Investor without holders","OK"))))</f>
        <v/>
      </c>
    </row>
    <row r="495">
      <c r="A495" s="26" t="n"/>
      <c r="B495" s="26" t="n"/>
      <c r="C495" s="26" t="n"/>
      <c r="D495" s="26" t="n"/>
      <c r="E495" s="26" t="n"/>
      <c r="F495" s="26" t="n"/>
      <c r="G495" s="26" t="n"/>
      <c r="H495" s="30">
        <f>IF(A495="","",COUNTIF('Access'!$A$4:$A$1503,A495))</f>
        <v/>
      </c>
      <c r="I495" s="30">
        <f t="array" ref="I495">IF(A495="","",_xlfn.TEXTJOIN(", ",TRUE,IF(('Companies'!$A$4:$A$63&lt;&gt;"")*(COUNTIFS('Access'!$A$4:$A$1503,A495,'Access'!$F$4:$F$1503,"*"&amp;'Companies'!$A$4:$A$63&amp;"*")&gt;0),'Companies'!$A$4:$A$63,"")))</f>
        <v/>
      </c>
      <c r="J495" s="30">
        <f>IF(A495="","",IF(COUNTIF($A$4:$A$1003,A495)&gt;1,"Duplicate email",IF(ISERROR(FIND("@",A495)),"Not an email address",IF(AND(H495=0,E495=""),"Investor without holders","OK"))))</f>
        <v/>
      </c>
    </row>
    <row r="496">
      <c r="A496" s="26" t="n"/>
      <c r="B496" s="26" t="n"/>
      <c r="C496" s="26" t="n"/>
      <c r="D496" s="26" t="n"/>
      <c r="E496" s="26" t="n"/>
      <c r="F496" s="26" t="n"/>
      <c r="G496" s="26" t="n"/>
      <c r="H496" s="30">
        <f>IF(A496="","",COUNTIF('Access'!$A$4:$A$1503,A496))</f>
        <v/>
      </c>
      <c r="I496" s="30">
        <f t="array" ref="I496">IF(A496="","",_xlfn.TEXTJOIN(", ",TRUE,IF(('Companies'!$A$4:$A$63&lt;&gt;"")*(COUNTIFS('Access'!$A$4:$A$1503,A496,'Access'!$F$4:$F$1503,"*"&amp;'Companies'!$A$4:$A$63&amp;"*")&gt;0),'Companies'!$A$4:$A$63,"")))</f>
        <v/>
      </c>
      <c r="J496" s="30">
        <f>IF(A496="","",IF(COUNTIF($A$4:$A$1003,A496)&gt;1,"Duplicate email",IF(ISERROR(FIND("@",A496)),"Not an email address",IF(AND(H496=0,E496=""),"Investor without holders","OK"))))</f>
        <v/>
      </c>
    </row>
    <row r="497">
      <c r="A497" s="26" t="n"/>
      <c r="B497" s="26" t="n"/>
      <c r="C497" s="26" t="n"/>
      <c r="D497" s="26" t="n"/>
      <c r="E497" s="26" t="n"/>
      <c r="F497" s="26" t="n"/>
      <c r="G497" s="26" t="n"/>
      <c r="H497" s="30">
        <f>IF(A497="","",COUNTIF('Access'!$A$4:$A$1503,A497))</f>
        <v/>
      </c>
      <c r="I497" s="30">
        <f t="array" ref="I497">IF(A497="","",_xlfn.TEXTJOIN(", ",TRUE,IF(('Companies'!$A$4:$A$63&lt;&gt;"")*(COUNTIFS('Access'!$A$4:$A$1503,A497,'Access'!$F$4:$F$1503,"*"&amp;'Companies'!$A$4:$A$63&amp;"*")&gt;0),'Companies'!$A$4:$A$63,"")))</f>
        <v/>
      </c>
      <c r="J497" s="30">
        <f>IF(A497="","",IF(COUNTIF($A$4:$A$1003,A497)&gt;1,"Duplicate email",IF(ISERROR(FIND("@",A497)),"Not an email address",IF(AND(H497=0,E497=""),"Investor without holders","OK"))))</f>
        <v/>
      </c>
    </row>
    <row r="498">
      <c r="A498" s="26" t="n"/>
      <c r="B498" s="26" t="n"/>
      <c r="C498" s="26" t="n"/>
      <c r="D498" s="26" t="n"/>
      <c r="E498" s="26" t="n"/>
      <c r="F498" s="26" t="n"/>
      <c r="G498" s="26" t="n"/>
      <c r="H498" s="30">
        <f>IF(A498="","",COUNTIF('Access'!$A$4:$A$1503,A498))</f>
        <v/>
      </c>
      <c r="I498" s="30">
        <f t="array" ref="I498">IF(A498="","",_xlfn.TEXTJOIN(", ",TRUE,IF(('Companies'!$A$4:$A$63&lt;&gt;"")*(COUNTIFS('Access'!$A$4:$A$1503,A498,'Access'!$F$4:$F$1503,"*"&amp;'Companies'!$A$4:$A$63&amp;"*")&gt;0),'Companies'!$A$4:$A$63,"")))</f>
        <v/>
      </c>
      <c r="J498" s="30">
        <f>IF(A498="","",IF(COUNTIF($A$4:$A$1003,A498)&gt;1,"Duplicate email",IF(ISERROR(FIND("@",A498)),"Not an email address",IF(AND(H498=0,E498=""),"Investor without holders","OK"))))</f>
        <v/>
      </c>
    </row>
    <row r="499">
      <c r="A499" s="26" t="n"/>
      <c r="B499" s="26" t="n"/>
      <c r="C499" s="26" t="n"/>
      <c r="D499" s="26" t="n"/>
      <c r="E499" s="26" t="n"/>
      <c r="F499" s="26" t="n"/>
      <c r="G499" s="26" t="n"/>
      <c r="H499" s="30">
        <f>IF(A499="","",COUNTIF('Access'!$A$4:$A$1503,A499))</f>
        <v/>
      </c>
      <c r="I499" s="30">
        <f t="array" ref="I499">IF(A499="","",_xlfn.TEXTJOIN(", ",TRUE,IF(('Companies'!$A$4:$A$63&lt;&gt;"")*(COUNTIFS('Access'!$A$4:$A$1503,A499,'Access'!$F$4:$F$1503,"*"&amp;'Companies'!$A$4:$A$63&amp;"*")&gt;0),'Companies'!$A$4:$A$63,"")))</f>
        <v/>
      </c>
      <c r="J499" s="30">
        <f>IF(A499="","",IF(COUNTIF($A$4:$A$1003,A499)&gt;1,"Duplicate email",IF(ISERROR(FIND("@",A499)),"Not an email address",IF(AND(H499=0,E499=""),"Investor without holders","OK"))))</f>
        <v/>
      </c>
    </row>
    <row r="500">
      <c r="A500" s="26" t="n"/>
      <c r="B500" s="26" t="n"/>
      <c r="C500" s="26" t="n"/>
      <c r="D500" s="26" t="n"/>
      <c r="E500" s="26" t="n"/>
      <c r="F500" s="26" t="n"/>
      <c r="G500" s="26" t="n"/>
      <c r="H500" s="30">
        <f>IF(A500="","",COUNTIF('Access'!$A$4:$A$1503,A500))</f>
        <v/>
      </c>
      <c r="I500" s="30">
        <f t="array" ref="I500">IF(A500="","",_xlfn.TEXTJOIN(", ",TRUE,IF(('Companies'!$A$4:$A$63&lt;&gt;"")*(COUNTIFS('Access'!$A$4:$A$1503,A500,'Access'!$F$4:$F$1503,"*"&amp;'Companies'!$A$4:$A$63&amp;"*")&gt;0),'Companies'!$A$4:$A$63,"")))</f>
        <v/>
      </c>
      <c r="J500" s="30">
        <f>IF(A500="","",IF(COUNTIF($A$4:$A$1003,A500)&gt;1,"Duplicate email",IF(ISERROR(FIND("@",A500)),"Not an email address",IF(AND(H500=0,E500=""),"Investor without holders","OK"))))</f>
        <v/>
      </c>
    </row>
    <row r="501">
      <c r="A501" s="26" t="n"/>
      <c r="B501" s="26" t="n"/>
      <c r="C501" s="26" t="n"/>
      <c r="D501" s="26" t="n"/>
      <c r="E501" s="26" t="n"/>
      <c r="F501" s="26" t="n"/>
      <c r="G501" s="26" t="n"/>
      <c r="H501" s="30">
        <f>IF(A501="","",COUNTIF('Access'!$A$4:$A$1503,A501))</f>
        <v/>
      </c>
      <c r="I501" s="30">
        <f t="array" ref="I501">IF(A501="","",_xlfn.TEXTJOIN(", ",TRUE,IF(('Companies'!$A$4:$A$63&lt;&gt;"")*(COUNTIFS('Access'!$A$4:$A$1503,A501,'Access'!$F$4:$F$1503,"*"&amp;'Companies'!$A$4:$A$63&amp;"*")&gt;0),'Companies'!$A$4:$A$63,"")))</f>
        <v/>
      </c>
      <c r="J501" s="30">
        <f>IF(A501="","",IF(COUNTIF($A$4:$A$1003,A501)&gt;1,"Duplicate email",IF(ISERROR(FIND("@",A501)),"Not an email address",IF(AND(H501=0,E501=""),"Investor without holders","OK"))))</f>
        <v/>
      </c>
    </row>
    <row r="502">
      <c r="A502" s="26" t="n"/>
      <c r="B502" s="26" t="n"/>
      <c r="C502" s="26" t="n"/>
      <c r="D502" s="26" t="n"/>
      <c r="E502" s="26" t="n"/>
      <c r="F502" s="26" t="n"/>
      <c r="G502" s="26" t="n"/>
      <c r="H502" s="30">
        <f>IF(A502="","",COUNTIF('Access'!$A$4:$A$1503,A502))</f>
        <v/>
      </c>
      <c r="I502" s="30">
        <f t="array" ref="I502">IF(A502="","",_xlfn.TEXTJOIN(", ",TRUE,IF(('Companies'!$A$4:$A$63&lt;&gt;"")*(COUNTIFS('Access'!$A$4:$A$1503,A502,'Access'!$F$4:$F$1503,"*"&amp;'Companies'!$A$4:$A$63&amp;"*")&gt;0),'Companies'!$A$4:$A$63,"")))</f>
        <v/>
      </c>
      <c r="J502" s="30">
        <f>IF(A502="","",IF(COUNTIF($A$4:$A$1003,A502)&gt;1,"Duplicate email",IF(ISERROR(FIND("@",A502)),"Not an email address",IF(AND(H502=0,E502=""),"Investor without holders","OK"))))</f>
        <v/>
      </c>
    </row>
    <row r="503">
      <c r="A503" s="26" t="n"/>
      <c r="B503" s="26" t="n"/>
      <c r="C503" s="26" t="n"/>
      <c r="D503" s="26" t="n"/>
      <c r="E503" s="26" t="n"/>
      <c r="F503" s="26" t="n"/>
      <c r="G503" s="26" t="n"/>
      <c r="H503" s="30">
        <f>IF(A503="","",COUNTIF('Access'!$A$4:$A$1503,A503))</f>
        <v/>
      </c>
      <c r="I503" s="30">
        <f t="array" ref="I503">IF(A503="","",_xlfn.TEXTJOIN(", ",TRUE,IF(('Companies'!$A$4:$A$63&lt;&gt;"")*(COUNTIFS('Access'!$A$4:$A$1503,A503,'Access'!$F$4:$F$1503,"*"&amp;'Companies'!$A$4:$A$63&amp;"*")&gt;0),'Companies'!$A$4:$A$63,"")))</f>
        <v/>
      </c>
      <c r="J503" s="30">
        <f>IF(A503="","",IF(COUNTIF($A$4:$A$1003,A503)&gt;1,"Duplicate email",IF(ISERROR(FIND("@",A503)),"Not an email address",IF(AND(H503=0,E503=""),"Investor without holders","OK"))))</f>
        <v/>
      </c>
    </row>
    <row r="504">
      <c r="A504" s="26" t="n"/>
      <c r="B504" s="26" t="n"/>
      <c r="C504" s="26" t="n"/>
      <c r="D504" s="26" t="n"/>
      <c r="E504" s="26" t="n"/>
      <c r="F504" s="26" t="n"/>
      <c r="G504" s="26" t="n"/>
      <c r="H504" s="30">
        <f>IF(A504="","",COUNTIF('Access'!$A$4:$A$1503,A504))</f>
        <v/>
      </c>
      <c r="I504" s="30">
        <f t="array" ref="I504">IF(A504="","",_xlfn.TEXTJOIN(", ",TRUE,IF(('Companies'!$A$4:$A$63&lt;&gt;"")*(COUNTIFS('Access'!$A$4:$A$1503,A504,'Access'!$F$4:$F$1503,"*"&amp;'Companies'!$A$4:$A$63&amp;"*")&gt;0),'Companies'!$A$4:$A$63,"")))</f>
        <v/>
      </c>
      <c r="J504" s="30">
        <f>IF(A504="","",IF(COUNTIF($A$4:$A$1003,A504)&gt;1,"Duplicate email",IF(ISERROR(FIND("@",A504)),"Not an email address",IF(AND(H504=0,E504=""),"Investor without holders","OK"))))</f>
        <v/>
      </c>
    </row>
    <row r="505">
      <c r="A505" s="26" t="n"/>
      <c r="B505" s="26" t="n"/>
      <c r="C505" s="26" t="n"/>
      <c r="D505" s="26" t="n"/>
      <c r="E505" s="26" t="n"/>
      <c r="F505" s="26" t="n"/>
      <c r="G505" s="26" t="n"/>
      <c r="H505" s="30">
        <f>IF(A505="","",COUNTIF('Access'!$A$4:$A$1503,A505))</f>
        <v/>
      </c>
      <c r="I505" s="30">
        <f t="array" ref="I505">IF(A505="","",_xlfn.TEXTJOIN(", ",TRUE,IF(('Companies'!$A$4:$A$63&lt;&gt;"")*(COUNTIFS('Access'!$A$4:$A$1503,A505,'Access'!$F$4:$F$1503,"*"&amp;'Companies'!$A$4:$A$63&amp;"*")&gt;0),'Companies'!$A$4:$A$63,"")))</f>
        <v/>
      </c>
      <c r="J505" s="30">
        <f>IF(A505="","",IF(COUNTIF($A$4:$A$1003,A505)&gt;1,"Duplicate email",IF(ISERROR(FIND("@",A505)),"Not an email address",IF(AND(H505=0,E505=""),"Investor without holders","OK"))))</f>
        <v/>
      </c>
    </row>
    <row r="506">
      <c r="A506" s="26" t="n"/>
      <c r="B506" s="26" t="n"/>
      <c r="C506" s="26" t="n"/>
      <c r="D506" s="26" t="n"/>
      <c r="E506" s="26" t="n"/>
      <c r="F506" s="26" t="n"/>
      <c r="G506" s="26" t="n"/>
      <c r="H506" s="30">
        <f>IF(A506="","",COUNTIF('Access'!$A$4:$A$1503,A506))</f>
        <v/>
      </c>
      <c r="I506" s="30">
        <f t="array" ref="I506">IF(A506="","",_xlfn.TEXTJOIN(", ",TRUE,IF(('Companies'!$A$4:$A$63&lt;&gt;"")*(COUNTIFS('Access'!$A$4:$A$1503,A506,'Access'!$F$4:$F$1503,"*"&amp;'Companies'!$A$4:$A$63&amp;"*")&gt;0),'Companies'!$A$4:$A$63,"")))</f>
        <v/>
      </c>
      <c r="J506" s="30">
        <f>IF(A506="","",IF(COUNTIF($A$4:$A$1003,A506)&gt;1,"Duplicate email",IF(ISERROR(FIND("@",A506)),"Not an email address",IF(AND(H506=0,E506=""),"Investor without holders","OK"))))</f>
        <v/>
      </c>
    </row>
    <row r="507">
      <c r="A507" s="26" t="n"/>
      <c r="B507" s="26" t="n"/>
      <c r="C507" s="26" t="n"/>
      <c r="D507" s="26" t="n"/>
      <c r="E507" s="26" t="n"/>
      <c r="F507" s="26" t="n"/>
      <c r="G507" s="26" t="n"/>
      <c r="H507" s="30">
        <f>IF(A507="","",COUNTIF('Access'!$A$4:$A$1503,A507))</f>
        <v/>
      </c>
      <c r="I507" s="30">
        <f t="array" ref="I507">IF(A507="","",_xlfn.TEXTJOIN(", ",TRUE,IF(('Companies'!$A$4:$A$63&lt;&gt;"")*(COUNTIFS('Access'!$A$4:$A$1503,A507,'Access'!$F$4:$F$1503,"*"&amp;'Companies'!$A$4:$A$63&amp;"*")&gt;0),'Companies'!$A$4:$A$63,"")))</f>
        <v/>
      </c>
      <c r="J507" s="30">
        <f>IF(A507="","",IF(COUNTIF($A$4:$A$1003,A507)&gt;1,"Duplicate email",IF(ISERROR(FIND("@",A507)),"Not an email address",IF(AND(H507=0,E507=""),"Investor without holders","OK"))))</f>
        <v/>
      </c>
    </row>
    <row r="508">
      <c r="A508" s="26" t="n"/>
      <c r="B508" s="26" t="n"/>
      <c r="C508" s="26" t="n"/>
      <c r="D508" s="26" t="n"/>
      <c r="E508" s="26" t="n"/>
      <c r="F508" s="26" t="n"/>
      <c r="G508" s="26" t="n"/>
      <c r="H508" s="30">
        <f>IF(A508="","",COUNTIF('Access'!$A$4:$A$1503,A508))</f>
        <v/>
      </c>
      <c r="I508" s="30">
        <f t="array" ref="I508">IF(A508="","",_xlfn.TEXTJOIN(", ",TRUE,IF(('Companies'!$A$4:$A$63&lt;&gt;"")*(COUNTIFS('Access'!$A$4:$A$1503,A508,'Access'!$F$4:$F$1503,"*"&amp;'Companies'!$A$4:$A$63&amp;"*")&gt;0),'Companies'!$A$4:$A$63,"")))</f>
        <v/>
      </c>
      <c r="J508" s="30">
        <f>IF(A508="","",IF(COUNTIF($A$4:$A$1003,A508)&gt;1,"Duplicate email",IF(ISERROR(FIND("@",A508)),"Not an email address",IF(AND(H508=0,E508=""),"Investor without holders","OK"))))</f>
        <v/>
      </c>
    </row>
    <row r="509">
      <c r="A509" s="26" t="n"/>
      <c r="B509" s="26" t="n"/>
      <c r="C509" s="26" t="n"/>
      <c r="D509" s="26" t="n"/>
      <c r="E509" s="26" t="n"/>
      <c r="F509" s="26" t="n"/>
      <c r="G509" s="26" t="n"/>
      <c r="H509" s="30">
        <f>IF(A509="","",COUNTIF('Access'!$A$4:$A$1503,A509))</f>
        <v/>
      </c>
      <c r="I509" s="30">
        <f t="array" ref="I509">IF(A509="","",_xlfn.TEXTJOIN(", ",TRUE,IF(('Companies'!$A$4:$A$63&lt;&gt;"")*(COUNTIFS('Access'!$A$4:$A$1503,A509,'Access'!$F$4:$F$1503,"*"&amp;'Companies'!$A$4:$A$63&amp;"*")&gt;0),'Companies'!$A$4:$A$63,"")))</f>
        <v/>
      </c>
      <c r="J509" s="30">
        <f>IF(A509="","",IF(COUNTIF($A$4:$A$1003,A509)&gt;1,"Duplicate email",IF(ISERROR(FIND("@",A509)),"Not an email address",IF(AND(H509=0,E509=""),"Investor without holders","OK"))))</f>
        <v/>
      </c>
    </row>
    <row r="510">
      <c r="A510" s="26" t="n"/>
      <c r="B510" s="26" t="n"/>
      <c r="C510" s="26" t="n"/>
      <c r="D510" s="26" t="n"/>
      <c r="E510" s="26" t="n"/>
      <c r="F510" s="26" t="n"/>
      <c r="G510" s="26" t="n"/>
      <c r="H510" s="30">
        <f>IF(A510="","",COUNTIF('Access'!$A$4:$A$1503,A510))</f>
        <v/>
      </c>
      <c r="I510" s="30">
        <f t="array" ref="I510">IF(A510="","",_xlfn.TEXTJOIN(", ",TRUE,IF(('Companies'!$A$4:$A$63&lt;&gt;"")*(COUNTIFS('Access'!$A$4:$A$1503,A510,'Access'!$F$4:$F$1503,"*"&amp;'Companies'!$A$4:$A$63&amp;"*")&gt;0),'Companies'!$A$4:$A$63,"")))</f>
        <v/>
      </c>
      <c r="J510" s="30">
        <f>IF(A510="","",IF(COUNTIF($A$4:$A$1003,A510)&gt;1,"Duplicate email",IF(ISERROR(FIND("@",A510)),"Not an email address",IF(AND(H510=0,E510=""),"Investor without holders","OK"))))</f>
        <v/>
      </c>
    </row>
    <row r="511">
      <c r="A511" s="26" t="n"/>
      <c r="B511" s="26" t="n"/>
      <c r="C511" s="26" t="n"/>
      <c r="D511" s="26" t="n"/>
      <c r="E511" s="26" t="n"/>
      <c r="F511" s="26" t="n"/>
      <c r="G511" s="26" t="n"/>
      <c r="H511" s="30">
        <f>IF(A511="","",COUNTIF('Access'!$A$4:$A$1503,A511))</f>
        <v/>
      </c>
      <c r="I511" s="30">
        <f t="array" ref="I511">IF(A511="","",_xlfn.TEXTJOIN(", ",TRUE,IF(('Companies'!$A$4:$A$63&lt;&gt;"")*(COUNTIFS('Access'!$A$4:$A$1503,A511,'Access'!$F$4:$F$1503,"*"&amp;'Companies'!$A$4:$A$63&amp;"*")&gt;0),'Companies'!$A$4:$A$63,"")))</f>
        <v/>
      </c>
      <c r="J511" s="30">
        <f>IF(A511="","",IF(COUNTIF($A$4:$A$1003,A511)&gt;1,"Duplicate email",IF(ISERROR(FIND("@",A511)),"Not an email address",IF(AND(H511=0,E511=""),"Investor without holders","OK"))))</f>
        <v/>
      </c>
    </row>
    <row r="512">
      <c r="A512" s="26" t="n"/>
      <c r="B512" s="26" t="n"/>
      <c r="C512" s="26" t="n"/>
      <c r="D512" s="26" t="n"/>
      <c r="E512" s="26" t="n"/>
      <c r="F512" s="26" t="n"/>
      <c r="G512" s="26" t="n"/>
      <c r="H512" s="30">
        <f>IF(A512="","",COUNTIF('Access'!$A$4:$A$1503,A512))</f>
        <v/>
      </c>
      <c r="I512" s="30">
        <f t="array" ref="I512">IF(A512="","",_xlfn.TEXTJOIN(", ",TRUE,IF(('Companies'!$A$4:$A$63&lt;&gt;"")*(COUNTIFS('Access'!$A$4:$A$1503,A512,'Access'!$F$4:$F$1503,"*"&amp;'Companies'!$A$4:$A$63&amp;"*")&gt;0),'Companies'!$A$4:$A$63,"")))</f>
        <v/>
      </c>
      <c r="J512" s="30">
        <f>IF(A512="","",IF(COUNTIF($A$4:$A$1003,A512)&gt;1,"Duplicate email",IF(ISERROR(FIND("@",A512)),"Not an email address",IF(AND(H512=0,E512=""),"Investor without holders","OK"))))</f>
        <v/>
      </c>
    </row>
    <row r="513">
      <c r="A513" s="26" t="n"/>
      <c r="B513" s="26" t="n"/>
      <c r="C513" s="26" t="n"/>
      <c r="D513" s="26" t="n"/>
      <c r="E513" s="26" t="n"/>
      <c r="F513" s="26" t="n"/>
      <c r="G513" s="26" t="n"/>
      <c r="H513" s="30">
        <f>IF(A513="","",COUNTIF('Access'!$A$4:$A$1503,A513))</f>
        <v/>
      </c>
      <c r="I513" s="30">
        <f t="array" ref="I513">IF(A513="","",_xlfn.TEXTJOIN(", ",TRUE,IF(('Companies'!$A$4:$A$63&lt;&gt;"")*(COUNTIFS('Access'!$A$4:$A$1503,A513,'Access'!$F$4:$F$1503,"*"&amp;'Companies'!$A$4:$A$63&amp;"*")&gt;0),'Companies'!$A$4:$A$63,"")))</f>
        <v/>
      </c>
      <c r="J513" s="30">
        <f>IF(A513="","",IF(COUNTIF($A$4:$A$1003,A513)&gt;1,"Duplicate email",IF(ISERROR(FIND("@",A513)),"Not an email address",IF(AND(H513=0,E513=""),"Investor without holders","OK"))))</f>
        <v/>
      </c>
    </row>
    <row r="514">
      <c r="A514" s="26" t="n"/>
      <c r="B514" s="26" t="n"/>
      <c r="C514" s="26" t="n"/>
      <c r="D514" s="26" t="n"/>
      <c r="E514" s="26" t="n"/>
      <c r="F514" s="26" t="n"/>
      <c r="G514" s="26" t="n"/>
      <c r="H514" s="30">
        <f>IF(A514="","",COUNTIF('Access'!$A$4:$A$1503,A514))</f>
        <v/>
      </c>
      <c r="I514" s="30">
        <f t="array" ref="I514">IF(A514="","",_xlfn.TEXTJOIN(", ",TRUE,IF(('Companies'!$A$4:$A$63&lt;&gt;"")*(COUNTIFS('Access'!$A$4:$A$1503,A514,'Access'!$F$4:$F$1503,"*"&amp;'Companies'!$A$4:$A$63&amp;"*")&gt;0),'Companies'!$A$4:$A$63,"")))</f>
        <v/>
      </c>
      <c r="J514" s="30">
        <f>IF(A514="","",IF(COUNTIF($A$4:$A$1003,A514)&gt;1,"Duplicate email",IF(ISERROR(FIND("@",A514)),"Not an email address",IF(AND(H514=0,E514=""),"Investor without holders","OK"))))</f>
        <v/>
      </c>
    </row>
    <row r="515">
      <c r="A515" s="26" t="n"/>
      <c r="B515" s="26" t="n"/>
      <c r="C515" s="26" t="n"/>
      <c r="D515" s="26" t="n"/>
      <c r="E515" s="26" t="n"/>
      <c r="F515" s="26" t="n"/>
      <c r="G515" s="26" t="n"/>
      <c r="H515" s="30">
        <f>IF(A515="","",COUNTIF('Access'!$A$4:$A$1503,A515))</f>
        <v/>
      </c>
      <c r="I515" s="30">
        <f t="array" ref="I515">IF(A515="","",_xlfn.TEXTJOIN(", ",TRUE,IF(('Companies'!$A$4:$A$63&lt;&gt;"")*(COUNTIFS('Access'!$A$4:$A$1503,A515,'Access'!$F$4:$F$1503,"*"&amp;'Companies'!$A$4:$A$63&amp;"*")&gt;0),'Companies'!$A$4:$A$63,"")))</f>
        <v/>
      </c>
      <c r="J515" s="30">
        <f>IF(A515="","",IF(COUNTIF($A$4:$A$1003,A515)&gt;1,"Duplicate email",IF(ISERROR(FIND("@",A515)),"Not an email address",IF(AND(H515=0,E515=""),"Investor without holders","OK"))))</f>
        <v/>
      </c>
    </row>
    <row r="516">
      <c r="A516" s="26" t="n"/>
      <c r="B516" s="26" t="n"/>
      <c r="C516" s="26" t="n"/>
      <c r="D516" s="26" t="n"/>
      <c r="E516" s="26" t="n"/>
      <c r="F516" s="26" t="n"/>
      <c r="G516" s="26" t="n"/>
      <c r="H516" s="30">
        <f>IF(A516="","",COUNTIF('Access'!$A$4:$A$1503,A516))</f>
        <v/>
      </c>
      <c r="I516" s="30">
        <f t="array" ref="I516">IF(A516="","",_xlfn.TEXTJOIN(", ",TRUE,IF(('Companies'!$A$4:$A$63&lt;&gt;"")*(COUNTIFS('Access'!$A$4:$A$1503,A516,'Access'!$F$4:$F$1503,"*"&amp;'Companies'!$A$4:$A$63&amp;"*")&gt;0),'Companies'!$A$4:$A$63,"")))</f>
        <v/>
      </c>
      <c r="J516" s="30">
        <f>IF(A516="","",IF(COUNTIF($A$4:$A$1003,A516)&gt;1,"Duplicate email",IF(ISERROR(FIND("@",A516)),"Not an email address",IF(AND(H516=0,E516=""),"Investor without holders","OK"))))</f>
        <v/>
      </c>
    </row>
    <row r="517">
      <c r="A517" s="26" t="n"/>
      <c r="B517" s="26" t="n"/>
      <c r="C517" s="26" t="n"/>
      <c r="D517" s="26" t="n"/>
      <c r="E517" s="26" t="n"/>
      <c r="F517" s="26" t="n"/>
      <c r="G517" s="26" t="n"/>
      <c r="H517" s="30">
        <f>IF(A517="","",COUNTIF('Access'!$A$4:$A$1503,A517))</f>
        <v/>
      </c>
      <c r="I517" s="30">
        <f t="array" ref="I517">IF(A517="","",_xlfn.TEXTJOIN(", ",TRUE,IF(('Companies'!$A$4:$A$63&lt;&gt;"")*(COUNTIFS('Access'!$A$4:$A$1503,A517,'Access'!$F$4:$F$1503,"*"&amp;'Companies'!$A$4:$A$63&amp;"*")&gt;0),'Companies'!$A$4:$A$63,"")))</f>
        <v/>
      </c>
      <c r="J517" s="30">
        <f>IF(A517="","",IF(COUNTIF($A$4:$A$1003,A517)&gt;1,"Duplicate email",IF(ISERROR(FIND("@",A517)),"Not an email address",IF(AND(H517=0,E517=""),"Investor without holders","OK"))))</f>
        <v/>
      </c>
    </row>
    <row r="518">
      <c r="A518" s="26" t="n"/>
      <c r="B518" s="26" t="n"/>
      <c r="C518" s="26" t="n"/>
      <c r="D518" s="26" t="n"/>
      <c r="E518" s="26" t="n"/>
      <c r="F518" s="26" t="n"/>
      <c r="G518" s="26" t="n"/>
      <c r="H518" s="30">
        <f>IF(A518="","",COUNTIF('Access'!$A$4:$A$1503,A518))</f>
        <v/>
      </c>
      <c r="I518" s="30">
        <f t="array" ref="I518">IF(A518="","",_xlfn.TEXTJOIN(", ",TRUE,IF(('Companies'!$A$4:$A$63&lt;&gt;"")*(COUNTIFS('Access'!$A$4:$A$1503,A518,'Access'!$F$4:$F$1503,"*"&amp;'Companies'!$A$4:$A$63&amp;"*")&gt;0),'Companies'!$A$4:$A$63,"")))</f>
        <v/>
      </c>
      <c r="J518" s="30">
        <f>IF(A518="","",IF(COUNTIF($A$4:$A$1003,A518)&gt;1,"Duplicate email",IF(ISERROR(FIND("@",A518)),"Not an email address",IF(AND(H518=0,E518=""),"Investor without holders","OK"))))</f>
        <v/>
      </c>
    </row>
    <row r="519">
      <c r="A519" s="26" t="n"/>
      <c r="B519" s="26" t="n"/>
      <c r="C519" s="26" t="n"/>
      <c r="D519" s="26" t="n"/>
      <c r="E519" s="26" t="n"/>
      <c r="F519" s="26" t="n"/>
      <c r="G519" s="26" t="n"/>
      <c r="H519" s="30">
        <f>IF(A519="","",COUNTIF('Access'!$A$4:$A$1503,A519))</f>
        <v/>
      </c>
      <c r="I519" s="30">
        <f t="array" ref="I519">IF(A519="","",_xlfn.TEXTJOIN(", ",TRUE,IF(('Companies'!$A$4:$A$63&lt;&gt;"")*(COUNTIFS('Access'!$A$4:$A$1503,A519,'Access'!$F$4:$F$1503,"*"&amp;'Companies'!$A$4:$A$63&amp;"*")&gt;0),'Companies'!$A$4:$A$63,"")))</f>
        <v/>
      </c>
      <c r="J519" s="30">
        <f>IF(A519="","",IF(COUNTIF($A$4:$A$1003,A519)&gt;1,"Duplicate email",IF(ISERROR(FIND("@",A519)),"Not an email address",IF(AND(H519=0,E519=""),"Investor without holders","OK"))))</f>
        <v/>
      </c>
    </row>
    <row r="520">
      <c r="A520" s="26" t="n"/>
      <c r="B520" s="26" t="n"/>
      <c r="C520" s="26" t="n"/>
      <c r="D520" s="26" t="n"/>
      <c r="E520" s="26" t="n"/>
      <c r="F520" s="26" t="n"/>
      <c r="G520" s="26" t="n"/>
      <c r="H520" s="30">
        <f>IF(A520="","",COUNTIF('Access'!$A$4:$A$1503,A520))</f>
        <v/>
      </c>
      <c r="I520" s="30">
        <f t="array" ref="I520">IF(A520="","",_xlfn.TEXTJOIN(", ",TRUE,IF(('Companies'!$A$4:$A$63&lt;&gt;"")*(COUNTIFS('Access'!$A$4:$A$1503,A520,'Access'!$F$4:$F$1503,"*"&amp;'Companies'!$A$4:$A$63&amp;"*")&gt;0),'Companies'!$A$4:$A$63,"")))</f>
        <v/>
      </c>
      <c r="J520" s="30">
        <f>IF(A520="","",IF(COUNTIF($A$4:$A$1003,A520)&gt;1,"Duplicate email",IF(ISERROR(FIND("@",A520)),"Not an email address",IF(AND(H520=0,E520=""),"Investor without holders","OK"))))</f>
        <v/>
      </c>
    </row>
    <row r="521">
      <c r="A521" s="26" t="n"/>
      <c r="B521" s="26" t="n"/>
      <c r="C521" s="26" t="n"/>
      <c r="D521" s="26" t="n"/>
      <c r="E521" s="26" t="n"/>
      <c r="F521" s="26" t="n"/>
      <c r="G521" s="26" t="n"/>
      <c r="H521" s="30">
        <f>IF(A521="","",COUNTIF('Access'!$A$4:$A$1503,A521))</f>
        <v/>
      </c>
      <c r="I521" s="30">
        <f t="array" ref="I521">IF(A521="","",_xlfn.TEXTJOIN(", ",TRUE,IF(('Companies'!$A$4:$A$63&lt;&gt;"")*(COUNTIFS('Access'!$A$4:$A$1503,A521,'Access'!$F$4:$F$1503,"*"&amp;'Companies'!$A$4:$A$63&amp;"*")&gt;0),'Companies'!$A$4:$A$63,"")))</f>
        <v/>
      </c>
      <c r="J521" s="30">
        <f>IF(A521="","",IF(COUNTIF($A$4:$A$1003,A521)&gt;1,"Duplicate email",IF(ISERROR(FIND("@",A521)),"Not an email address",IF(AND(H521=0,E521=""),"Investor without holders","OK"))))</f>
        <v/>
      </c>
    </row>
    <row r="522">
      <c r="A522" s="26" t="n"/>
      <c r="B522" s="26" t="n"/>
      <c r="C522" s="26" t="n"/>
      <c r="D522" s="26" t="n"/>
      <c r="E522" s="26" t="n"/>
      <c r="F522" s="26" t="n"/>
      <c r="G522" s="26" t="n"/>
      <c r="H522" s="30">
        <f>IF(A522="","",COUNTIF('Access'!$A$4:$A$1503,A522))</f>
        <v/>
      </c>
      <c r="I522" s="30">
        <f t="array" ref="I522">IF(A522="","",_xlfn.TEXTJOIN(", ",TRUE,IF(('Companies'!$A$4:$A$63&lt;&gt;"")*(COUNTIFS('Access'!$A$4:$A$1503,A522,'Access'!$F$4:$F$1503,"*"&amp;'Companies'!$A$4:$A$63&amp;"*")&gt;0),'Companies'!$A$4:$A$63,"")))</f>
        <v/>
      </c>
      <c r="J522" s="30">
        <f>IF(A522="","",IF(COUNTIF($A$4:$A$1003,A522)&gt;1,"Duplicate email",IF(ISERROR(FIND("@",A522)),"Not an email address",IF(AND(H522=0,E522=""),"Investor without holders","OK"))))</f>
        <v/>
      </c>
    </row>
    <row r="523">
      <c r="A523" s="26" t="n"/>
      <c r="B523" s="26" t="n"/>
      <c r="C523" s="26" t="n"/>
      <c r="D523" s="26" t="n"/>
      <c r="E523" s="26" t="n"/>
      <c r="F523" s="26" t="n"/>
      <c r="G523" s="26" t="n"/>
      <c r="H523" s="30">
        <f>IF(A523="","",COUNTIF('Access'!$A$4:$A$1503,A523))</f>
        <v/>
      </c>
      <c r="I523" s="30">
        <f t="array" ref="I523">IF(A523="","",_xlfn.TEXTJOIN(", ",TRUE,IF(('Companies'!$A$4:$A$63&lt;&gt;"")*(COUNTIFS('Access'!$A$4:$A$1503,A523,'Access'!$F$4:$F$1503,"*"&amp;'Companies'!$A$4:$A$63&amp;"*")&gt;0),'Companies'!$A$4:$A$63,"")))</f>
        <v/>
      </c>
      <c r="J523" s="30">
        <f>IF(A523="","",IF(COUNTIF($A$4:$A$1003,A523)&gt;1,"Duplicate email",IF(ISERROR(FIND("@",A523)),"Not an email address",IF(AND(H523=0,E523=""),"Investor without holders","OK"))))</f>
        <v/>
      </c>
    </row>
    <row r="524">
      <c r="A524" s="26" t="n"/>
      <c r="B524" s="26" t="n"/>
      <c r="C524" s="26" t="n"/>
      <c r="D524" s="26" t="n"/>
      <c r="E524" s="26" t="n"/>
      <c r="F524" s="26" t="n"/>
      <c r="G524" s="26" t="n"/>
      <c r="H524" s="30">
        <f>IF(A524="","",COUNTIF('Access'!$A$4:$A$1503,A524))</f>
        <v/>
      </c>
      <c r="I524" s="30">
        <f t="array" ref="I524">IF(A524="","",_xlfn.TEXTJOIN(", ",TRUE,IF(('Companies'!$A$4:$A$63&lt;&gt;"")*(COUNTIFS('Access'!$A$4:$A$1503,A524,'Access'!$F$4:$F$1503,"*"&amp;'Companies'!$A$4:$A$63&amp;"*")&gt;0),'Companies'!$A$4:$A$63,"")))</f>
        <v/>
      </c>
      <c r="J524" s="30">
        <f>IF(A524="","",IF(COUNTIF($A$4:$A$1003,A524)&gt;1,"Duplicate email",IF(ISERROR(FIND("@",A524)),"Not an email address",IF(AND(H524=0,E524=""),"Investor without holders","OK"))))</f>
        <v/>
      </c>
    </row>
    <row r="525">
      <c r="A525" s="26" t="n"/>
      <c r="B525" s="26" t="n"/>
      <c r="C525" s="26" t="n"/>
      <c r="D525" s="26" t="n"/>
      <c r="E525" s="26" t="n"/>
      <c r="F525" s="26" t="n"/>
      <c r="G525" s="26" t="n"/>
      <c r="H525" s="30">
        <f>IF(A525="","",COUNTIF('Access'!$A$4:$A$1503,A525))</f>
        <v/>
      </c>
      <c r="I525" s="30">
        <f t="array" ref="I525">IF(A525="","",_xlfn.TEXTJOIN(", ",TRUE,IF(('Companies'!$A$4:$A$63&lt;&gt;"")*(COUNTIFS('Access'!$A$4:$A$1503,A525,'Access'!$F$4:$F$1503,"*"&amp;'Companies'!$A$4:$A$63&amp;"*")&gt;0),'Companies'!$A$4:$A$63,"")))</f>
        <v/>
      </c>
      <c r="J525" s="30">
        <f>IF(A525="","",IF(COUNTIF($A$4:$A$1003,A525)&gt;1,"Duplicate email",IF(ISERROR(FIND("@",A525)),"Not an email address",IF(AND(H525=0,E525=""),"Investor without holders","OK"))))</f>
        <v/>
      </c>
    </row>
    <row r="526">
      <c r="A526" s="26" t="n"/>
      <c r="B526" s="26" t="n"/>
      <c r="C526" s="26" t="n"/>
      <c r="D526" s="26" t="n"/>
      <c r="E526" s="26" t="n"/>
      <c r="F526" s="26" t="n"/>
      <c r="G526" s="26" t="n"/>
      <c r="H526" s="30">
        <f>IF(A526="","",COUNTIF('Access'!$A$4:$A$1503,A526))</f>
        <v/>
      </c>
      <c r="I526" s="30">
        <f t="array" ref="I526">IF(A526="","",_xlfn.TEXTJOIN(", ",TRUE,IF(('Companies'!$A$4:$A$63&lt;&gt;"")*(COUNTIFS('Access'!$A$4:$A$1503,A526,'Access'!$F$4:$F$1503,"*"&amp;'Companies'!$A$4:$A$63&amp;"*")&gt;0),'Companies'!$A$4:$A$63,"")))</f>
        <v/>
      </c>
      <c r="J526" s="30">
        <f>IF(A526="","",IF(COUNTIF($A$4:$A$1003,A526)&gt;1,"Duplicate email",IF(ISERROR(FIND("@",A526)),"Not an email address",IF(AND(H526=0,E526=""),"Investor without holders","OK"))))</f>
        <v/>
      </c>
    </row>
    <row r="527">
      <c r="A527" s="26" t="n"/>
      <c r="B527" s="26" t="n"/>
      <c r="C527" s="26" t="n"/>
      <c r="D527" s="26" t="n"/>
      <c r="E527" s="26" t="n"/>
      <c r="F527" s="26" t="n"/>
      <c r="G527" s="26" t="n"/>
      <c r="H527" s="30">
        <f>IF(A527="","",COUNTIF('Access'!$A$4:$A$1503,A527))</f>
        <v/>
      </c>
      <c r="I527" s="30">
        <f t="array" ref="I527">IF(A527="","",_xlfn.TEXTJOIN(", ",TRUE,IF(('Companies'!$A$4:$A$63&lt;&gt;"")*(COUNTIFS('Access'!$A$4:$A$1503,A527,'Access'!$F$4:$F$1503,"*"&amp;'Companies'!$A$4:$A$63&amp;"*")&gt;0),'Companies'!$A$4:$A$63,"")))</f>
        <v/>
      </c>
      <c r="J527" s="30">
        <f>IF(A527="","",IF(COUNTIF($A$4:$A$1003,A527)&gt;1,"Duplicate email",IF(ISERROR(FIND("@",A527)),"Not an email address",IF(AND(H527=0,E527=""),"Investor without holders","OK"))))</f>
        <v/>
      </c>
    </row>
    <row r="528">
      <c r="A528" s="26" t="n"/>
      <c r="B528" s="26" t="n"/>
      <c r="C528" s="26" t="n"/>
      <c r="D528" s="26" t="n"/>
      <c r="E528" s="26" t="n"/>
      <c r="F528" s="26" t="n"/>
      <c r="G528" s="26" t="n"/>
      <c r="H528" s="30">
        <f>IF(A528="","",COUNTIF('Access'!$A$4:$A$1503,A528))</f>
        <v/>
      </c>
      <c r="I528" s="30">
        <f t="array" ref="I528">IF(A528="","",_xlfn.TEXTJOIN(", ",TRUE,IF(('Companies'!$A$4:$A$63&lt;&gt;"")*(COUNTIFS('Access'!$A$4:$A$1503,A528,'Access'!$F$4:$F$1503,"*"&amp;'Companies'!$A$4:$A$63&amp;"*")&gt;0),'Companies'!$A$4:$A$63,"")))</f>
        <v/>
      </c>
      <c r="J528" s="30">
        <f>IF(A528="","",IF(COUNTIF($A$4:$A$1003,A528)&gt;1,"Duplicate email",IF(ISERROR(FIND("@",A528)),"Not an email address",IF(AND(H528=0,E528=""),"Investor without holders","OK"))))</f>
        <v/>
      </c>
    </row>
    <row r="529">
      <c r="A529" s="26" t="n"/>
      <c r="B529" s="26" t="n"/>
      <c r="C529" s="26" t="n"/>
      <c r="D529" s="26" t="n"/>
      <c r="E529" s="26" t="n"/>
      <c r="F529" s="26" t="n"/>
      <c r="G529" s="26" t="n"/>
      <c r="H529" s="30">
        <f>IF(A529="","",COUNTIF('Access'!$A$4:$A$1503,A529))</f>
        <v/>
      </c>
      <c r="I529" s="30">
        <f t="array" ref="I529">IF(A529="","",_xlfn.TEXTJOIN(", ",TRUE,IF(('Companies'!$A$4:$A$63&lt;&gt;"")*(COUNTIFS('Access'!$A$4:$A$1503,A529,'Access'!$F$4:$F$1503,"*"&amp;'Companies'!$A$4:$A$63&amp;"*")&gt;0),'Companies'!$A$4:$A$63,"")))</f>
        <v/>
      </c>
      <c r="J529" s="30">
        <f>IF(A529="","",IF(COUNTIF($A$4:$A$1003,A529)&gt;1,"Duplicate email",IF(ISERROR(FIND("@",A529)),"Not an email address",IF(AND(H529=0,E529=""),"Investor without holders","OK"))))</f>
        <v/>
      </c>
    </row>
    <row r="530">
      <c r="A530" s="26" t="n"/>
      <c r="B530" s="26" t="n"/>
      <c r="C530" s="26" t="n"/>
      <c r="D530" s="26" t="n"/>
      <c r="E530" s="26" t="n"/>
      <c r="F530" s="26" t="n"/>
      <c r="G530" s="26" t="n"/>
      <c r="H530" s="30">
        <f>IF(A530="","",COUNTIF('Access'!$A$4:$A$1503,A530))</f>
        <v/>
      </c>
      <c r="I530" s="30">
        <f t="array" ref="I530">IF(A530="","",_xlfn.TEXTJOIN(", ",TRUE,IF(('Companies'!$A$4:$A$63&lt;&gt;"")*(COUNTIFS('Access'!$A$4:$A$1503,A530,'Access'!$F$4:$F$1503,"*"&amp;'Companies'!$A$4:$A$63&amp;"*")&gt;0),'Companies'!$A$4:$A$63,"")))</f>
        <v/>
      </c>
      <c r="J530" s="30">
        <f>IF(A530="","",IF(COUNTIF($A$4:$A$1003,A530)&gt;1,"Duplicate email",IF(ISERROR(FIND("@",A530)),"Not an email address",IF(AND(H530=0,E530=""),"Investor without holders","OK"))))</f>
        <v/>
      </c>
    </row>
    <row r="531">
      <c r="A531" s="26" t="n"/>
      <c r="B531" s="26" t="n"/>
      <c r="C531" s="26" t="n"/>
      <c r="D531" s="26" t="n"/>
      <c r="E531" s="26" t="n"/>
      <c r="F531" s="26" t="n"/>
      <c r="G531" s="26" t="n"/>
      <c r="H531" s="30">
        <f>IF(A531="","",COUNTIF('Access'!$A$4:$A$1503,A531))</f>
        <v/>
      </c>
      <c r="I531" s="30">
        <f t="array" ref="I531">IF(A531="","",_xlfn.TEXTJOIN(", ",TRUE,IF(('Companies'!$A$4:$A$63&lt;&gt;"")*(COUNTIFS('Access'!$A$4:$A$1503,A531,'Access'!$F$4:$F$1503,"*"&amp;'Companies'!$A$4:$A$63&amp;"*")&gt;0),'Companies'!$A$4:$A$63,"")))</f>
        <v/>
      </c>
      <c r="J531" s="30">
        <f>IF(A531="","",IF(COUNTIF($A$4:$A$1003,A531)&gt;1,"Duplicate email",IF(ISERROR(FIND("@",A531)),"Not an email address",IF(AND(H531=0,E531=""),"Investor without holders","OK"))))</f>
        <v/>
      </c>
    </row>
    <row r="532">
      <c r="A532" s="26" t="n"/>
      <c r="B532" s="26" t="n"/>
      <c r="C532" s="26" t="n"/>
      <c r="D532" s="26" t="n"/>
      <c r="E532" s="26" t="n"/>
      <c r="F532" s="26" t="n"/>
      <c r="G532" s="26" t="n"/>
      <c r="H532" s="30">
        <f>IF(A532="","",COUNTIF('Access'!$A$4:$A$1503,A532))</f>
        <v/>
      </c>
      <c r="I532" s="30">
        <f t="array" ref="I532">IF(A532="","",_xlfn.TEXTJOIN(", ",TRUE,IF(('Companies'!$A$4:$A$63&lt;&gt;"")*(COUNTIFS('Access'!$A$4:$A$1503,A532,'Access'!$F$4:$F$1503,"*"&amp;'Companies'!$A$4:$A$63&amp;"*")&gt;0),'Companies'!$A$4:$A$63,"")))</f>
        <v/>
      </c>
      <c r="J532" s="30">
        <f>IF(A532="","",IF(COUNTIF($A$4:$A$1003,A532)&gt;1,"Duplicate email",IF(ISERROR(FIND("@",A532)),"Not an email address",IF(AND(H532=0,E532=""),"Investor without holders","OK"))))</f>
        <v/>
      </c>
    </row>
    <row r="533">
      <c r="A533" s="26" t="n"/>
      <c r="B533" s="26" t="n"/>
      <c r="C533" s="26" t="n"/>
      <c r="D533" s="26" t="n"/>
      <c r="E533" s="26" t="n"/>
      <c r="F533" s="26" t="n"/>
      <c r="G533" s="26" t="n"/>
      <c r="H533" s="30">
        <f>IF(A533="","",COUNTIF('Access'!$A$4:$A$1503,A533))</f>
        <v/>
      </c>
      <c r="I533" s="30">
        <f t="array" ref="I533">IF(A533="","",_xlfn.TEXTJOIN(", ",TRUE,IF(('Companies'!$A$4:$A$63&lt;&gt;"")*(COUNTIFS('Access'!$A$4:$A$1503,A533,'Access'!$F$4:$F$1503,"*"&amp;'Companies'!$A$4:$A$63&amp;"*")&gt;0),'Companies'!$A$4:$A$63,"")))</f>
        <v/>
      </c>
      <c r="J533" s="30">
        <f>IF(A533="","",IF(COUNTIF($A$4:$A$1003,A533)&gt;1,"Duplicate email",IF(ISERROR(FIND("@",A533)),"Not an email address",IF(AND(H533=0,E533=""),"Investor without holders","OK"))))</f>
        <v/>
      </c>
    </row>
    <row r="534">
      <c r="A534" s="26" t="n"/>
      <c r="B534" s="26" t="n"/>
      <c r="C534" s="26" t="n"/>
      <c r="D534" s="26" t="n"/>
      <c r="E534" s="26" t="n"/>
      <c r="F534" s="26" t="n"/>
      <c r="G534" s="26" t="n"/>
      <c r="H534" s="30">
        <f>IF(A534="","",COUNTIF('Access'!$A$4:$A$1503,A534))</f>
        <v/>
      </c>
      <c r="I534" s="30">
        <f t="array" ref="I534">IF(A534="","",_xlfn.TEXTJOIN(", ",TRUE,IF(('Companies'!$A$4:$A$63&lt;&gt;"")*(COUNTIFS('Access'!$A$4:$A$1503,A534,'Access'!$F$4:$F$1503,"*"&amp;'Companies'!$A$4:$A$63&amp;"*")&gt;0),'Companies'!$A$4:$A$63,"")))</f>
        <v/>
      </c>
      <c r="J534" s="30">
        <f>IF(A534="","",IF(COUNTIF($A$4:$A$1003,A534)&gt;1,"Duplicate email",IF(ISERROR(FIND("@",A534)),"Not an email address",IF(AND(H534=0,E534=""),"Investor without holders","OK"))))</f>
        <v/>
      </c>
    </row>
    <row r="535">
      <c r="A535" s="26" t="n"/>
      <c r="B535" s="26" t="n"/>
      <c r="C535" s="26" t="n"/>
      <c r="D535" s="26" t="n"/>
      <c r="E535" s="26" t="n"/>
      <c r="F535" s="26" t="n"/>
      <c r="G535" s="26" t="n"/>
      <c r="H535" s="30">
        <f>IF(A535="","",COUNTIF('Access'!$A$4:$A$1503,A535))</f>
        <v/>
      </c>
      <c r="I535" s="30">
        <f t="array" ref="I535">IF(A535="","",_xlfn.TEXTJOIN(", ",TRUE,IF(('Companies'!$A$4:$A$63&lt;&gt;"")*(COUNTIFS('Access'!$A$4:$A$1503,A535,'Access'!$F$4:$F$1503,"*"&amp;'Companies'!$A$4:$A$63&amp;"*")&gt;0),'Companies'!$A$4:$A$63,"")))</f>
        <v/>
      </c>
      <c r="J535" s="30">
        <f>IF(A535="","",IF(COUNTIF($A$4:$A$1003,A535)&gt;1,"Duplicate email",IF(ISERROR(FIND("@",A535)),"Not an email address",IF(AND(H535=0,E535=""),"Investor without holders","OK"))))</f>
        <v/>
      </c>
    </row>
    <row r="536">
      <c r="A536" s="26" t="n"/>
      <c r="B536" s="26" t="n"/>
      <c r="C536" s="26" t="n"/>
      <c r="D536" s="26" t="n"/>
      <c r="E536" s="26" t="n"/>
      <c r="F536" s="26" t="n"/>
      <c r="G536" s="26" t="n"/>
      <c r="H536" s="30">
        <f>IF(A536="","",COUNTIF('Access'!$A$4:$A$1503,A536))</f>
        <v/>
      </c>
      <c r="I536" s="30">
        <f t="array" ref="I536">IF(A536="","",_xlfn.TEXTJOIN(", ",TRUE,IF(('Companies'!$A$4:$A$63&lt;&gt;"")*(COUNTIFS('Access'!$A$4:$A$1503,A536,'Access'!$F$4:$F$1503,"*"&amp;'Companies'!$A$4:$A$63&amp;"*")&gt;0),'Companies'!$A$4:$A$63,"")))</f>
        <v/>
      </c>
      <c r="J536" s="30">
        <f>IF(A536="","",IF(COUNTIF($A$4:$A$1003,A536)&gt;1,"Duplicate email",IF(ISERROR(FIND("@",A536)),"Not an email address",IF(AND(H536=0,E536=""),"Investor without holders","OK"))))</f>
        <v/>
      </c>
    </row>
    <row r="537">
      <c r="A537" s="26" t="n"/>
      <c r="B537" s="26" t="n"/>
      <c r="C537" s="26" t="n"/>
      <c r="D537" s="26" t="n"/>
      <c r="E537" s="26" t="n"/>
      <c r="F537" s="26" t="n"/>
      <c r="G537" s="26" t="n"/>
      <c r="H537" s="30">
        <f>IF(A537="","",COUNTIF('Access'!$A$4:$A$1503,A537))</f>
        <v/>
      </c>
      <c r="I537" s="30">
        <f t="array" ref="I537">IF(A537="","",_xlfn.TEXTJOIN(", ",TRUE,IF(('Companies'!$A$4:$A$63&lt;&gt;"")*(COUNTIFS('Access'!$A$4:$A$1503,A537,'Access'!$F$4:$F$1503,"*"&amp;'Companies'!$A$4:$A$63&amp;"*")&gt;0),'Companies'!$A$4:$A$63,"")))</f>
        <v/>
      </c>
      <c r="J537" s="30">
        <f>IF(A537="","",IF(COUNTIF($A$4:$A$1003,A537)&gt;1,"Duplicate email",IF(ISERROR(FIND("@",A537)),"Not an email address",IF(AND(H537=0,E537=""),"Investor without holders","OK"))))</f>
        <v/>
      </c>
    </row>
    <row r="538">
      <c r="A538" s="26" t="n"/>
      <c r="B538" s="26" t="n"/>
      <c r="C538" s="26" t="n"/>
      <c r="D538" s="26" t="n"/>
      <c r="E538" s="26" t="n"/>
      <c r="F538" s="26" t="n"/>
      <c r="G538" s="26" t="n"/>
      <c r="H538" s="30">
        <f>IF(A538="","",COUNTIF('Access'!$A$4:$A$1503,A538))</f>
        <v/>
      </c>
      <c r="I538" s="30">
        <f t="array" ref="I538">IF(A538="","",_xlfn.TEXTJOIN(", ",TRUE,IF(('Companies'!$A$4:$A$63&lt;&gt;"")*(COUNTIFS('Access'!$A$4:$A$1503,A538,'Access'!$F$4:$F$1503,"*"&amp;'Companies'!$A$4:$A$63&amp;"*")&gt;0),'Companies'!$A$4:$A$63,"")))</f>
        <v/>
      </c>
      <c r="J538" s="30">
        <f>IF(A538="","",IF(COUNTIF($A$4:$A$1003,A538)&gt;1,"Duplicate email",IF(ISERROR(FIND("@",A538)),"Not an email address",IF(AND(H538=0,E538=""),"Investor without holders","OK"))))</f>
        <v/>
      </c>
    </row>
    <row r="539">
      <c r="A539" s="26" t="n"/>
      <c r="B539" s="26" t="n"/>
      <c r="C539" s="26" t="n"/>
      <c r="D539" s="26" t="n"/>
      <c r="E539" s="26" t="n"/>
      <c r="F539" s="26" t="n"/>
      <c r="G539" s="26" t="n"/>
      <c r="H539" s="30">
        <f>IF(A539="","",COUNTIF('Access'!$A$4:$A$1503,A539))</f>
        <v/>
      </c>
      <c r="I539" s="30">
        <f t="array" ref="I539">IF(A539="","",_xlfn.TEXTJOIN(", ",TRUE,IF(('Companies'!$A$4:$A$63&lt;&gt;"")*(COUNTIFS('Access'!$A$4:$A$1503,A539,'Access'!$F$4:$F$1503,"*"&amp;'Companies'!$A$4:$A$63&amp;"*")&gt;0),'Companies'!$A$4:$A$63,"")))</f>
        <v/>
      </c>
      <c r="J539" s="30">
        <f>IF(A539="","",IF(COUNTIF($A$4:$A$1003,A539)&gt;1,"Duplicate email",IF(ISERROR(FIND("@",A539)),"Not an email address",IF(AND(H539=0,E539=""),"Investor without holders","OK"))))</f>
        <v/>
      </c>
    </row>
    <row r="540">
      <c r="A540" s="26" t="n"/>
      <c r="B540" s="26" t="n"/>
      <c r="C540" s="26" t="n"/>
      <c r="D540" s="26" t="n"/>
      <c r="E540" s="26" t="n"/>
      <c r="F540" s="26" t="n"/>
      <c r="G540" s="26" t="n"/>
      <c r="H540" s="30">
        <f>IF(A540="","",COUNTIF('Access'!$A$4:$A$1503,A540))</f>
        <v/>
      </c>
      <c r="I540" s="30">
        <f t="array" ref="I540">IF(A540="","",_xlfn.TEXTJOIN(", ",TRUE,IF(('Companies'!$A$4:$A$63&lt;&gt;"")*(COUNTIFS('Access'!$A$4:$A$1503,A540,'Access'!$F$4:$F$1503,"*"&amp;'Companies'!$A$4:$A$63&amp;"*")&gt;0),'Companies'!$A$4:$A$63,"")))</f>
        <v/>
      </c>
      <c r="J540" s="30">
        <f>IF(A540="","",IF(COUNTIF($A$4:$A$1003,A540)&gt;1,"Duplicate email",IF(ISERROR(FIND("@",A540)),"Not an email address",IF(AND(H540=0,E540=""),"Investor without holders","OK"))))</f>
        <v/>
      </c>
    </row>
    <row r="541">
      <c r="A541" s="26" t="n"/>
      <c r="B541" s="26" t="n"/>
      <c r="C541" s="26" t="n"/>
      <c r="D541" s="26" t="n"/>
      <c r="E541" s="26" t="n"/>
      <c r="F541" s="26" t="n"/>
      <c r="G541" s="26" t="n"/>
      <c r="H541" s="30">
        <f>IF(A541="","",COUNTIF('Access'!$A$4:$A$1503,A541))</f>
        <v/>
      </c>
      <c r="I541" s="30">
        <f t="array" ref="I541">IF(A541="","",_xlfn.TEXTJOIN(", ",TRUE,IF(('Companies'!$A$4:$A$63&lt;&gt;"")*(COUNTIFS('Access'!$A$4:$A$1503,A541,'Access'!$F$4:$F$1503,"*"&amp;'Companies'!$A$4:$A$63&amp;"*")&gt;0),'Companies'!$A$4:$A$63,"")))</f>
        <v/>
      </c>
      <c r="J541" s="30">
        <f>IF(A541="","",IF(COUNTIF($A$4:$A$1003,A541)&gt;1,"Duplicate email",IF(ISERROR(FIND("@",A541)),"Not an email address",IF(AND(H541=0,E541=""),"Investor without holders","OK"))))</f>
        <v/>
      </c>
    </row>
    <row r="542">
      <c r="A542" s="26" t="n"/>
      <c r="B542" s="26" t="n"/>
      <c r="C542" s="26" t="n"/>
      <c r="D542" s="26" t="n"/>
      <c r="E542" s="26" t="n"/>
      <c r="F542" s="26" t="n"/>
      <c r="G542" s="26" t="n"/>
      <c r="H542" s="30">
        <f>IF(A542="","",COUNTIF('Access'!$A$4:$A$1503,A542))</f>
        <v/>
      </c>
      <c r="I542" s="30">
        <f t="array" ref="I542">IF(A542="","",_xlfn.TEXTJOIN(", ",TRUE,IF(('Companies'!$A$4:$A$63&lt;&gt;"")*(COUNTIFS('Access'!$A$4:$A$1503,A542,'Access'!$F$4:$F$1503,"*"&amp;'Companies'!$A$4:$A$63&amp;"*")&gt;0),'Companies'!$A$4:$A$63,"")))</f>
        <v/>
      </c>
      <c r="J542" s="30">
        <f>IF(A542="","",IF(COUNTIF($A$4:$A$1003,A542)&gt;1,"Duplicate email",IF(ISERROR(FIND("@",A542)),"Not an email address",IF(AND(H542=0,E542=""),"Investor without holders","OK"))))</f>
        <v/>
      </c>
    </row>
    <row r="543">
      <c r="A543" s="26" t="n"/>
      <c r="B543" s="26" t="n"/>
      <c r="C543" s="26" t="n"/>
      <c r="D543" s="26" t="n"/>
      <c r="E543" s="26" t="n"/>
      <c r="F543" s="26" t="n"/>
      <c r="G543" s="26" t="n"/>
      <c r="H543" s="30">
        <f>IF(A543="","",COUNTIF('Access'!$A$4:$A$1503,A543))</f>
        <v/>
      </c>
      <c r="I543" s="30">
        <f t="array" ref="I543">IF(A543="","",_xlfn.TEXTJOIN(", ",TRUE,IF(('Companies'!$A$4:$A$63&lt;&gt;"")*(COUNTIFS('Access'!$A$4:$A$1503,A543,'Access'!$F$4:$F$1503,"*"&amp;'Companies'!$A$4:$A$63&amp;"*")&gt;0),'Companies'!$A$4:$A$63,"")))</f>
        <v/>
      </c>
      <c r="J543" s="30">
        <f>IF(A543="","",IF(COUNTIF($A$4:$A$1003,A543)&gt;1,"Duplicate email",IF(ISERROR(FIND("@",A543)),"Not an email address",IF(AND(H543=0,E543=""),"Investor without holders","OK"))))</f>
        <v/>
      </c>
    </row>
    <row r="544">
      <c r="A544" s="26" t="n"/>
      <c r="B544" s="26" t="n"/>
      <c r="C544" s="26" t="n"/>
      <c r="D544" s="26" t="n"/>
      <c r="E544" s="26" t="n"/>
      <c r="F544" s="26" t="n"/>
      <c r="G544" s="26" t="n"/>
      <c r="H544" s="30">
        <f>IF(A544="","",COUNTIF('Access'!$A$4:$A$1503,A544))</f>
        <v/>
      </c>
      <c r="I544" s="30">
        <f t="array" ref="I544">IF(A544="","",_xlfn.TEXTJOIN(", ",TRUE,IF(('Companies'!$A$4:$A$63&lt;&gt;"")*(COUNTIFS('Access'!$A$4:$A$1503,A544,'Access'!$F$4:$F$1503,"*"&amp;'Companies'!$A$4:$A$63&amp;"*")&gt;0),'Companies'!$A$4:$A$63,"")))</f>
        <v/>
      </c>
      <c r="J544" s="30">
        <f>IF(A544="","",IF(COUNTIF($A$4:$A$1003,A544)&gt;1,"Duplicate email",IF(ISERROR(FIND("@",A544)),"Not an email address",IF(AND(H544=0,E544=""),"Investor without holders","OK"))))</f>
        <v/>
      </c>
    </row>
    <row r="545">
      <c r="A545" s="26" t="n"/>
      <c r="B545" s="26" t="n"/>
      <c r="C545" s="26" t="n"/>
      <c r="D545" s="26" t="n"/>
      <c r="E545" s="26" t="n"/>
      <c r="F545" s="26" t="n"/>
      <c r="G545" s="26" t="n"/>
      <c r="H545" s="30">
        <f>IF(A545="","",COUNTIF('Access'!$A$4:$A$1503,A545))</f>
        <v/>
      </c>
      <c r="I545" s="30">
        <f t="array" ref="I545">IF(A545="","",_xlfn.TEXTJOIN(", ",TRUE,IF(('Companies'!$A$4:$A$63&lt;&gt;"")*(COUNTIFS('Access'!$A$4:$A$1503,A545,'Access'!$F$4:$F$1503,"*"&amp;'Companies'!$A$4:$A$63&amp;"*")&gt;0),'Companies'!$A$4:$A$63,"")))</f>
        <v/>
      </c>
      <c r="J545" s="30">
        <f>IF(A545="","",IF(COUNTIF($A$4:$A$1003,A545)&gt;1,"Duplicate email",IF(ISERROR(FIND("@",A545)),"Not an email address",IF(AND(H545=0,E545=""),"Investor without holders","OK"))))</f>
        <v/>
      </c>
    </row>
    <row r="546">
      <c r="A546" s="26" t="n"/>
      <c r="B546" s="26" t="n"/>
      <c r="C546" s="26" t="n"/>
      <c r="D546" s="26" t="n"/>
      <c r="E546" s="26" t="n"/>
      <c r="F546" s="26" t="n"/>
      <c r="G546" s="26" t="n"/>
      <c r="H546" s="30">
        <f>IF(A546="","",COUNTIF('Access'!$A$4:$A$1503,A546))</f>
        <v/>
      </c>
      <c r="I546" s="30">
        <f t="array" ref="I546">IF(A546="","",_xlfn.TEXTJOIN(", ",TRUE,IF(('Companies'!$A$4:$A$63&lt;&gt;"")*(COUNTIFS('Access'!$A$4:$A$1503,A546,'Access'!$F$4:$F$1503,"*"&amp;'Companies'!$A$4:$A$63&amp;"*")&gt;0),'Companies'!$A$4:$A$63,"")))</f>
        <v/>
      </c>
      <c r="J546" s="30">
        <f>IF(A546="","",IF(COUNTIF($A$4:$A$1003,A546)&gt;1,"Duplicate email",IF(ISERROR(FIND("@",A546)),"Not an email address",IF(AND(H546=0,E546=""),"Investor without holders","OK"))))</f>
        <v/>
      </c>
    </row>
    <row r="547">
      <c r="A547" s="26" t="n"/>
      <c r="B547" s="26" t="n"/>
      <c r="C547" s="26" t="n"/>
      <c r="D547" s="26" t="n"/>
      <c r="E547" s="26" t="n"/>
      <c r="F547" s="26" t="n"/>
      <c r="G547" s="26" t="n"/>
      <c r="H547" s="30">
        <f>IF(A547="","",COUNTIF('Access'!$A$4:$A$1503,A547))</f>
        <v/>
      </c>
      <c r="I547" s="30">
        <f t="array" ref="I547">IF(A547="","",_xlfn.TEXTJOIN(", ",TRUE,IF(('Companies'!$A$4:$A$63&lt;&gt;"")*(COUNTIFS('Access'!$A$4:$A$1503,A547,'Access'!$F$4:$F$1503,"*"&amp;'Companies'!$A$4:$A$63&amp;"*")&gt;0),'Companies'!$A$4:$A$63,"")))</f>
        <v/>
      </c>
      <c r="J547" s="30">
        <f>IF(A547="","",IF(COUNTIF($A$4:$A$1003,A547)&gt;1,"Duplicate email",IF(ISERROR(FIND("@",A547)),"Not an email address",IF(AND(H547=0,E547=""),"Investor without holders","OK"))))</f>
        <v/>
      </c>
    </row>
    <row r="548">
      <c r="A548" s="26" t="n"/>
      <c r="B548" s="26" t="n"/>
      <c r="C548" s="26" t="n"/>
      <c r="D548" s="26" t="n"/>
      <c r="E548" s="26" t="n"/>
      <c r="F548" s="26" t="n"/>
      <c r="G548" s="26" t="n"/>
      <c r="H548" s="30">
        <f>IF(A548="","",COUNTIF('Access'!$A$4:$A$1503,A548))</f>
        <v/>
      </c>
      <c r="I548" s="30">
        <f t="array" ref="I548">IF(A548="","",_xlfn.TEXTJOIN(", ",TRUE,IF(('Companies'!$A$4:$A$63&lt;&gt;"")*(COUNTIFS('Access'!$A$4:$A$1503,A548,'Access'!$F$4:$F$1503,"*"&amp;'Companies'!$A$4:$A$63&amp;"*")&gt;0),'Companies'!$A$4:$A$63,"")))</f>
        <v/>
      </c>
      <c r="J548" s="30">
        <f>IF(A548="","",IF(COUNTIF($A$4:$A$1003,A548)&gt;1,"Duplicate email",IF(ISERROR(FIND("@",A548)),"Not an email address",IF(AND(H548=0,E548=""),"Investor without holders","OK"))))</f>
        <v/>
      </c>
    </row>
    <row r="549">
      <c r="A549" s="26" t="n"/>
      <c r="B549" s="26" t="n"/>
      <c r="C549" s="26" t="n"/>
      <c r="D549" s="26" t="n"/>
      <c r="E549" s="26" t="n"/>
      <c r="F549" s="26" t="n"/>
      <c r="G549" s="26" t="n"/>
      <c r="H549" s="30">
        <f>IF(A549="","",COUNTIF('Access'!$A$4:$A$1503,A549))</f>
        <v/>
      </c>
      <c r="I549" s="30">
        <f t="array" ref="I549">IF(A549="","",_xlfn.TEXTJOIN(", ",TRUE,IF(('Companies'!$A$4:$A$63&lt;&gt;"")*(COUNTIFS('Access'!$A$4:$A$1503,A549,'Access'!$F$4:$F$1503,"*"&amp;'Companies'!$A$4:$A$63&amp;"*")&gt;0),'Companies'!$A$4:$A$63,"")))</f>
        <v/>
      </c>
      <c r="J549" s="30">
        <f>IF(A549="","",IF(COUNTIF($A$4:$A$1003,A549)&gt;1,"Duplicate email",IF(ISERROR(FIND("@",A549)),"Not an email address",IF(AND(H549=0,E549=""),"Investor without holders","OK"))))</f>
        <v/>
      </c>
    </row>
    <row r="550">
      <c r="A550" s="26" t="n"/>
      <c r="B550" s="26" t="n"/>
      <c r="C550" s="26" t="n"/>
      <c r="D550" s="26" t="n"/>
      <c r="E550" s="26" t="n"/>
      <c r="F550" s="26" t="n"/>
      <c r="G550" s="26" t="n"/>
      <c r="H550" s="30">
        <f>IF(A550="","",COUNTIF('Access'!$A$4:$A$1503,A550))</f>
        <v/>
      </c>
      <c r="I550" s="30">
        <f t="array" ref="I550">IF(A550="","",_xlfn.TEXTJOIN(", ",TRUE,IF(('Companies'!$A$4:$A$63&lt;&gt;"")*(COUNTIFS('Access'!$A$4:$A$1503,A550,'Access'!$F$4:$F$1503,"*"&amp;'Companies'!$A$4:$A$63&amp;"*")&gt;0),'Companies'!$A$4:$A$63,"")))</f>
        <v/>
      </c>
      <c r="J550" s="30">
        <f>IF(A550="","",IF(COUNTIF($A$4:$A$1003,A550)&gt;1,"Duplicate email",IF(ISERROR(FIND("@",A550)),"Not an email address",IF(AND(H550=0,E550=""),"Investor without holders","OK"))))</f>
        <v/>
      </c>
    </row>
    <row r="551">
      <c r="A551" s="26" t="n"/>
      <c r="B551" s="26" t="n"/>
      <c r="C551" s="26" t="n"/>
      <c r="D551" s="26" t="n"/>
      <c r="E551" s="26" t="n"/>
      <c r="F551" s="26" t="n"/>
      <c r="G551" s="26" t="n"/>
      <c r="H551" s="30">
        <f>IF(A551="","",COUNTIF('Access'!$A$4:$A$1503,A551))</f>
        <v/>
      </c>
      <c r="I551" s="30">
        <f t="array" ref="I551">IF(A551="","",_xlfn.TEXTJOIN(", ",TRUE,IF(('Companies'!$A$4:$A$63&lt;&gt;"")*(COUNTIFS('Access'!$A$4:$A$1503,A551,'Access'!$F$4:$F$1503,"*"&amp;'Companies'!$A$4:$A$63&amp;"*")&gt;0),'Companies'!$A$4:$A$63,"")))</f>
        <v/>
      </c>
      <c r="J551" s="30">
        <f>IF(A551="","",IF(COUNTIF($A$4:$A$1003,A551)&gt;1,"Duplicate email",IF(ISERROR(FIND("@",A551)),"Not an email address",IF(AND(H551=0,E551=""),"Investor without holders","OK"))))</f>
        <v/>
      </c>
    </row>
    <row r="552">
      <c r="A552" s="26" t="n"/>
      <c r="B552" s="26" t="n"/>
      <c r="C552" s="26" t="n"/>
      <c r="D552" s="26" t="n"/>
      <c r="E552" s="26" t="n"/>
      <c r="F552" s="26" t="n"/>
      <c r="G552" s="26" t="n"/>
      <c r="H552" s="30">
        <f>IF(A552="","",COUNTIF('Access'!$A$4:$A$1503,A552))</f>
        <v/>
      </c>
      <c r="I552" s="30">
        <f t="array" ref="I552">IF(A552="","",_xlfn.TEXTJOIN(", ",TRUE,IF(('Companies'!$A$4:$A$63&lt;&gt;"")*(COUNTIFS('Access'!$A$4:$A$1503,A552,'Access'!$F$4:$F$1503,"*"&amp;'Companies'!$A$4:$A$63&amp;"*")&gt;0),'Companies'!$A$4:$A$63,"")))</f>
        <v/>
      </c>
      <c r="J552" s="30">
        <f>IF(A552="","",IF(COUNTIF($A$4:$A$1003,A552)&gt;1,"Duplicate email",IF(ISERROR(FIND("@",A552)),"Not an email address",IF(AND(H552=0,E552=""),"Investor without holders","OK"))))</f>
        <v/>
      </c>
    </row>
    <row r="553">
      <c r="A553" s="26" t="n"/>
      <c r="B553" s="26" t="n"/>
      <c r="C553" s="26" t="n"/>
      <c r="D553" s="26" t="n"/>
      <c r="E553" s="26" t="n"/>
      <c r="F553" s="26" t="n"/>
      <c r="G553" s="26" t="n"/>
      <c r="H553" s="30">
        <f>IF(A553="","",COUNTIF('Access'!$A$4:$A$1503,A553))</f>
        <v/>
      </c>
      <c r="I553" s="30">
        <f t="array" ref="I553">IF(A553="","",_xlfn.TEXTJOIN(", ",TRUE,IF(('Companies'!$A$4:$A$63&lt;&gt;"")*(COUNTIFS('Access'!$A$4:$A$1503,A553,'Access'!$F$4:$F$1503,"*"&amp;'Companies'!$A$4:$A$63&amp;"*")&gt;0),'Companies'!$A$4:$A$63,"")))</f>
        <v/>
      </c>
      <c r="J553" s="30">
        <f>IF(A553="","",IF(COUNTIF($A$4:$A$1003,A553)&gt;1,"Duplicate email",IF(ISERROR(FIND("@",A553)),"Not an email address",IF(AND(H553=0,E553=""),"Investor without holders","OK"))))</f>
        <v/>
      </c>
    </row>
    <row r="554">
      <c r="A554" s="26" t="n"/>
      <c r="B554" s="26" t="n"/>
      <c r="C554" s="26" t="n"/>
      <c r="D554" s="26" t="n"/>
      <c r="E554" s="26" t="n"/>
      <c r="F554" s="26" t="n"/>
      <c r="G554" s="26" t="n"/>
      <c r="H554" s="30">
        <f>IF(A554="","",COUNTIF('Access'!$A$4:$A$1503,A554))</f>
        <v/>
      </c>
      <c r="I554" s="30">
        <f t="array" ref="I554">IF(A554="","",_xlfn.TEXTJOIN(", ",TRUE,IF(('Companies'!$A$4:$A$63&lt;&gt;"")*(COUNTIFS('Access'!$A$4:$A$1503,A554,'Access'!$F$4:$F$1503,"*"&amp;'Companies'!$A$4:$A$63&amp;"*")&gt;0),'Companies'!$A$4:$A$63,"")))</f>
        <v/>
      </c>
      <c r="J554" s="30">
        <f>IF(A554="","",IF(COUNTIF($A$4:$A$1003,A554)&gt;1,"Duplicate email",IF(ISERROR(FIND("@",A554)),"Not an email address",IF(AND(H554=0,E554=""),"Investor without holders","OK"))))</f>
        <v/>
      </c>
    </row>
    <row r="555">
      <c r="A555" s="26" t="n"/>
      <c r="B555" s="26" t="n"/>
      <c r="C555" s="26" t="n"/>
      <c r="D555" s="26" t="n"/>
      <c r="E555" s="26" t="n"/>
      <c r="F555" s="26" t="n"/>
      <c r="G555" s="26" t="n"/>
      <c r="H555" s="30">
        <f>IF(A555="","",COUNTIF('Access'!$A$4:$A$1503,A555))</f>
        <v/>
      </c>
      <c r="I555" s="30">
        <f t="array" ref="I555">IF(A555="","",_xlfn.TEXTJOIN(", ",TRUE,IF(('Companies'!$A$4:$A$63&lt;&gt;"")*(COUNTIFS('Access'!$A$4:$A$1503,A555,'Access'!$F$4:$F$1503,"*"&amp;'Companies'!$A$4:$A$63&amp;"*")&gt;0),'Companies'!$A$4:$A$63,"")))</f>
        <v/>
      </c>
      <c r="J555" s="30">
        <f>IF(A555="","",IF(COUNTIF($A$4:$A$1003,A555)&gt;1,"Duplicate email",IF(ISERROR(FIND("@",A555)),"Not an email address",IF(AND(H555=0,E555=""),"Investor without holders","OK"))))</f>
        <v/>
      </c>
    </row>
    <row r="556">
      <c r="A556" s="26" t="n"/>
      <c r="B556" s="26" t="n"/>
      <c r="C556" s="26" t="n"/>
      <c r="D556" s="26" t="n"/>
      <c r="E556" s="26" t="n"/>
      <c r="F556" s="26" t="n"/>
      <c r="G556" s="26" t="n"/>
      <c r="H556" s="30">
        <f>IF(A556="","",COUNTIF('Access'!$A$4:$A$1503,A556))</f>
        <v/>
      </c>
      <c r="I556" s="30">
        <f t="array" ref="I556">IF(A556="","",_xlfn.TEXTJOIN(", ",TRUE,IF(('Companies'!$A$4:$A$63&lt;&gt;"")*(COUNTIFS('Access'!$A$4:$A$1503,A556,'Access'!$F$4:$F$1503,"*"&amp;'Companies'!$A$4:$A$63&amp;"*")&gt;0),'Companies'!$A$4:$A$63,"")))</f>
        <v/>
      </c>
      <c r="J556" s="30">
        <f>IF(A556="","",IF(COUNTIF($A$4:$A$1003,A556)&gt;1,"Duplicate email",IF(ISERROR(FIND("@",A556)),"Not an email address",IF(AND(H556=0,E556=""),"Investor without holders","OK"))))</f>
        <v/>
      </c>
    </row>
    <row r="557">
      <c r="A557" s="26" t="n"/>
      <c r="B557" s="26" t="n"/>
      <c r="C557" s="26" t="n"/>
      <c r="D557" s="26" t="n"/>
      <c r="E557" s="26" t="n"/>
      <c r="F557" s="26" t="n"/>
      <c r="G557" s="26" t="n"/>
      <c r="H557" s="30">
        <f>IF(A557="","",COUNTIF('Access'!$A$4:$A$1503,A557))</f>
        <v/>
      </c>
      <c r="I557" s="30">
        <f t="array" ref="I557">IF(A557="","",_xlfn.TEXTJOIN(", ",TRUE,IF(('Companies'!$A$4:$A$63&lt;&gt;"")*(COUNTIFS('Access'!$A$4:$A$1503,A557,'Access'!$F$4:$F$1503,"*"&amp;'Companies'!$A$4:$A$63&amp;"*")&gt;0),'Companies'!$A$4:$A$63,"")))</f>
        <v/>
      </c>
      <c r="J557" s="30">
        <f>IF(A557="","",IF(COUNTIF($A$4:$A$1003,A557)&gt;1,"Duplicate email",IF(ISERROR(FIND("@",A557)),"Not an email address",IF(AND(H557=0,E557=""),"Investor without holders","OK"))))</f>
        <v/>
      </c>
    </row>
    <row r="558">
      <c r="A558" s="26" t="n"/>
      <c r="B558" s="26" t="n"/>
      <c r="C558" s="26" t="n"/>
      <c r="D558" s="26" t="n"/>
      <c r="E558" s="26" t="n"/>
      <c r="F558" s="26" t="n"/>
      <c r="G558" s="26" t="n"/>
      <c r="H558" s="30">
        <f>IF(A558="","",COUNTIF('Access'!$A$4:$A$1503,A558))</f>
        <v/>
      </c>
      <c r="I558" s="30">
        <f t="array" ref="I558">IF(A558="","",_xlfn.TEXTJOIN(", ",TRUE,IF(('Companies'!$A$4:$A$63&lt;&gt;"")*(COUNTIFS('Access'!$A$4:$A$1503,A558,'Access'!$F$4:$F$1503,"*"&amp;'Companies'!$A$4:$A$63&amp;"*")&gt;0),'Companies'!$A$4:$A$63,"")))</f>
        <v/>
      </c>
      <c r="J558" s="30">
        <f>IF(A558="","",IF(COUNTIF($A$4:$A$1003,A558)&gt;1,"Duplicate email",IF(ISERROR(FIND("@",A558)),"Not an email address",IF(AND(H558=0,E558=""),"Investor without holders","OK"))))</f>
        <v/>
      </c>
    </row>
    <row r="559">
      <c r="A559" s="26" t="n"/>
      <c r="B559" s="26" t="n"/>
      <c r="C559" s="26" t="n"/>
      <c r="D559" s="26" t="n"/>
      <c r="E559" s="26" t="n"/>
      <c r="F559" s="26" t="n"/>
      <c r="G559" s="26" t="n"/>
      <c r="H559" s="30">
        <f>IF(A559="","",COUNTIF('Access'!$A$4:$A$1503,A559))</f>
        <v/>
      </c>
      <c r="I559" s="30">
        <f t="array" ref="I559">IF(A559="","",_xlfn.TEXTJOIN(", ",TRUE,IF(('Companies'!$A$4:$A$63&lt;&gt;"")*(COUNTIFS('Access'!$A$4:$A$1503,A559,'Access'!$F$4:$F$1503,"*"&amp;'Companies'!$A$4:$A$63&amp;"*")&gt;0),'Companies'!$A$4:$A$63,"")))</f>
        <v/>
      </c>
      <c r="J559" s="30">
        <f>IF(A559="","",IF(COUNTIF($A$4:$A$1003,A559)&gt;1,"Duplicate email",IF(ISERROR(FIND("@",A559)),"Not an email address",IF(AND(H559=0,E559=""),"Investor without holders","OK"))))</f>
        <v/>
      </c>
    </row>
    <row r="560">
      <c r="A560" s="26" t="n"/>
      <c r="B560" s="26" t="n"/>
      <c r="C560" s="26" t="n"/>
      <c r="D560" s="26" t="n"/>
      <c r="E560" s="26" t="n"/>
      <c r="F560" s="26" t="n"/>
      <c r="G560" s="26" t="n"/>
      <c r="H560" s="30">
        <f>IF(A560="","",COUNTIF('Access'!$A$4:$A$1503,A560))</f>
        <v/>
      </c>
      <c r="I560" s="30">
        <f t="array" ref="I560">IF(A560="","",_xlfn.TEXTJOIN(", ",TRUE,IF(('Companies'!$A$4:$A$63&lt;&gt;"")*(COUNTIFS('Access'!$A$4:$A$1503,A560,'Access'!$F$4:$F$1503,"*"&amp;'Companies'!$A$4:$A$63&amp;"*")&gt;0),'Companies'!$A$4:$A$63,"")))</f>
        <v/>
      </c>
      <c r="J560" s="30">
        <f>IF(A560="","",IF(COUNTIF($A$4:$A$1003,A560)&gt;1,"Duplicate email",IF(ISERROR(FIND("@",A560)),"Not an email address",IF(AND(H560=0,E560=""),"Investor without holders","OK"))))</f>
        <v/>
      </c>
    </row>
    <row r="561">
      <c r="A561" s="26" t="n"/>
      <c r="B561" s="26" t="n"/>
      <c r="C561" s="26" t="n"/>
      <c r="D561" s="26" t="n"/>
      <c r="E561" s="26" t="n"/>
      <c r="F561" s="26" t="n"/>
      <c r="G561" s="26" t="n"/>
      <c r="H561" s="30">
        <f>IF(A561="","",COUNTIF('Access'!$A$4:$A$1503,A561))</f>
        <v/>
      </c>
      <c r="I561" s="30">
        <f t="array" ref="I561">IF(A561="","",_xlfn.TEXTJOIN(", ",TRUE,IF(('Companies'!$A$4:$A$63&lt;&gt;"")*(COUNTIFS('Access'!$A$4:$A$1503,A561,'Access'!$F$4:$F$1503,"*"&amp;'Companies'!$A$4:$A$63&amp;"*")&gt;0),'Companies'!$A$4:$A$63,"")))</f>
        <v/>
      </c>
      <c r="J561" s="30">
        <f>IF(A561="","",IF(COUNTIF($A$4:$A$1003,A561)&gt;1,"Duplicate email",IF(ISERROR(FIND("@",A561)),"Not an email address",IF(AND(H561=0,E561=""),"Investor without holders","OK"))))</f>
        <v/>
      </c>
    </row>
    <row r="562">
      <c r="A562" s="26" t="n"/>
      <c r="B562" s="26" t="n"/>
      <c r="C562" s="26" t="n"/>
      <c r="D562" s="26" t="n"/>
      <c r="E562" s="26" t="n"/>
      <c r="F562" s="26" t="n"/>
      <c r="G562" s="26" t="n"/>
      <c r="H562" s="30">
        <f>IF(A562="","",COUNTIF('Access'!$A$4:$A$1503,A562))</f>
        <v/>
      </c>
      <c r="I562" s="30">
        <f t="array" ref="I562">IF(A562="","",_xlfn.TEXTJOIN(", ",TRUE,IF(('Companies'!$A$4:$A$63&lt;&gt;"")*(COUNTIFS('Access'!$A$4:$A$1503,A562,'Access'!$F$4:$F$1503,"*"&amp;'Companies'!$A$4:$A$63&amp;"*")&gt;0),'Companies'!$A$4:$A$63,"")))</f>
        <v/>
      </c>
      <c r="J562" s="30">
        <f>IF(A562="","",IF(COUNTIF($A$4:$A$1003,A562)&gt;1,"Duplicate email",IF(ISERROR(FIND("@",A562)),"Not an email address",IF(AND(H562=0,E562=""),"Investor without holders","OK"))))</f>
        <v/>
      </c>
    </row>
    <row r="563">
      <c r="A563" s="26" t="n"/>
      <c r="B563" s="26" t="n"/>
      <c r="C563" s="26" t="n"/>
      <c r="D563" s="26" t="n"/>
      <c r="E563" s="26" t="n"/>
      <c r="F563" s="26" t="n"/>
      <c r="G563" s="26" t="n"/>
      <c r="H563" s="30">
        <f>IF(A563="","",COUNTIF('Access'!$A$4:$A$1503,A563))</f>
        <v/>
      </c>
      <c r="I563" s="30">
        <f t="array" ref="I563">IF(A563="","",_xlfn.TEXTJOIN(", ",TRUE,IF(('Companies'!$A$4:$A$63&lt;&gt;"")*(COUNTIFS('Access'!$A$4:$A$1503,A563,'Access'!$F$4:$F$1503,"*"&amp;'Companies'!$A$4:$A$63&amp;"*")&gt;0),'Companies'!$A$4:$A$63,"")))</f>
        <v/>
      </c>
      <c r="J563" s="30">
        <f>IF(A563="","",IF(COUNTIF($A$4:$A$1003,A563)&gt;1,"Duplicate email",IF(ISERROR(FIND("@",A563)),"Not an email address",IF(AND(H563=0,E563=""),"Investor without holders","OK"))))</f>
        <v/>
      </c>
    </row>
    <row r="564">
      <c r="A564" s="26" t="n"/>
      <c r="B564" s="26" t="n"/>
      <c r="C564" s="26" t="n"/>
      <c r="D564" s="26" t="n"/>
      <c r="E564" s="26" t="n"/>
      <c r="F564" s="26" t="n"/>
      <c r="G564" s="26" t="n"/>
      <c r="H564" s="30">
        <f>IF(A564="","",COUNTIF('Access'!$A$4:$A$1503,A564))</f>
        <v/>
      </c>
      <c r="I564" s="30">
        <f t="array" ref="I564">IF(A564="","",_xlfn.TEXTJOIN(", ",TRUE,IF(('Companies'!$A$4:$A$63&lt;&gt;"")*(COUNTIFS('Access'!$A$4:$A$1503,A564,'Access'!$F$4:$F$1503,"*"&amp;'Companies'!$A$4:$A$63&amp;"*")&gt;0),'Companies'!$A$4:$A$63,"")))</f>
        <v/>
      </c>
      <c r="J564" s="30">
        <f>IF(A564="","",IF(COUNTIF($A$4:$A$1003,A564)&gt;1,"Duplicate email",IF(ISERROR(FIND("@",A564)),"Not an email address",IF(AND(H564=0,E564=""),"Investor without holders","OK"))))</f>
        <v/>
      </c>
    </row>
    <row r="565">
      <c r="A565" s="26" t="n"/>
      <c r="B565" s="26" t="n"/>
      <c r="C565" s="26" t="n"/>
      <c r="D565" s="26" t="n"/>
      <c r="E565" s="26" t="n"/>
      <c r="F565" s="26" t="n"/>
      <c r="G565" s="26" t="n"/>
      <c r="H565" s="30">
        <f>IF(A565="","",COUNTIF('Access'!$A$4:$A$1503,A565))</f>
        <v/>
      </c>
      <c r="I565" s="30">
        <f t="array" ref="I565">IF(A565="","",_xlfn.TEXTJOIN(", ",TRUE,IF(('Companies'!$A$4:$A$63&lt;&gt;"")*(COUNTIFS('Access'!$A$4:$A$1503,A565,'Access'!$F$4:$F$1503,"*"&amp;'Companies'!$A$4:$A$63&amp;"*")&gt;0),'Companies'!$A$4:$A$63,"")))</f>
        <v/>
      </c>
      <c r="J565" s="30">
        <f>IF(A565="","",IF(COUNTIF($A$4:$A$1003,A565)&gt;1,"Duplicate email",IF(ISERROR(FIND("@",A565)),"Not an email address",IF(AND(H565=0,E565=""),"Investor without holders","OK"))))</f>
        <v/>
      </c>
    </row>
    <row r="566">
      <c r="A566" s="26" t="n"/>
      <c r="B566" s="26" t="n"/>
      <c r="C566" s="26" t="n"/>
      <c r="D566" s="26" t="n"/>
      <c r="E566" s="26" t="n"/>
      <c r="F566" s="26" t="n"/>
      <c r="G566" s="26" t="n"/>
      <c r="H566" s="30">
        <f>IF(A566="","",COUNTIF('Access'!$A$4:$A$1503,A566))</f>
        <v/>
      </c>
      <c r="I566" s="30">
        <f t="array" ref="I566">IF(A566="","",_xlfn.TEXTJOIN(", ",TRUE,IF(('Companies'!$A$4:$A$63&lt;&gt;"")*(COUNTIFS('Access'!$A$4:$A$1503,A566,'Access'!$F$4:$F$1503,"*"&amp;'Companies'!$A$4:$A$63&amp;"*")&gt;0),'Companies'!$A$4:$A$63,"")))</f>
        <v/>
      </c>
      <c r="J566" s="30">
        <f>IF(A566="","",IF(COUNTIF($A$4:$A$1003,A566)&gt;1,"Duplicate email",IF(ISERROR(FIND("@",A566)),"Not an email address",IF(AND(H566=0,E566=""),"Investor without holders","OK"))))</f>
        <v/>
      </c>
    </row>
    <row r="567">
      <c r="A567" s="26" t="n"/>
      <c r="B567" s="26" t="n"/>
      <c r="C567" s="26" t="n"/>
      <c r="D567" s="26" t="n"/>
      <c r="E567" s="26" t="n"/>
      <c r="F567" s="26" t="n"/>
      <c r="G567" s="26" t="n"/>
      <c r="H567" s="30">
        <f>IF(A567="","",COUNTIF('Access'!$A$4:$A$1503,A567))</f>
        <v/>
      </c>
      <c r="I567" s="30">
        <f t="array" ref="I567">IF(A567="","",_xlfn.TEXTJOIN(", ",TRUE,IF(('Companies'!$A$4:$A$63&lt;&gt;"")*(COUNTIFS('Access'!$A$4:$A$1503,A567,'Access'!$F$4:$F$1503,"*"&amp;'Companies'!$A$4:$A$63&amp;"*")&gt;0),'Companies'!$A$4:$A$63,"")))</f>
        <v/>
      </c>
      <c r="J567" s="30">
        <f>IF(A567="","",IF(COUNTIF($A$4:$A$1003,A567)&gt;1,"Duplicate email",IF(ISERROR(FIND("@",A567)),"Not an email address",IF(AND(H567=0,E567=""),"Investor without holders","OK"))))</f>
        <v/>
      </c>
    </row>
    <row r="568">
      <c r="A568" s="26" t="n"/>
      <c r="B568" s="26" t="n"/>
      <c r="C568" s="26" t="n"/>
      <c r="D568" s="26" t="n"/>
      <c r="E568" s="26" t="n"/>
      <c r="F568" s="26" t="n"/>
      <c r="G568" s="26" t="n"/>
      <c r="H568" s="30">
        <f>IF(A568="","",COUNTIF('Access'!$A$4:$A$1503,A568))</f>
        <v/>
      </c>
      <c r="I568" s="30">
        <f t="array" ref="I568">IF(A568="","",_xlfn.TEXTJOIN(", ",TRUE,IF(('Companies'!$A$4:$A$63&lt;&gt;"")*(COUNTIFS('Access'!$A$4:$A$1503,A568,'Access'!$F$4:$F$1503,"*"&amp;'Companies'!$A$4:$A$63&amp;"*")&gt;0),'Companies'!$A$4:$A$63,"")))</f>
        <v/>
      </c>
      <c r="J568" s="30">
        <f>IF(A568="","",IF(COUNTIF($A$4:$A$1003,A568)&gt;1,"Duplicate email",IF(ISERROR(FIND("@",A568)),"Not an email address",IF(AND(H568=0,E568=""),"Investor without holders","OK"))))</f>
        <v/>
      </c>
    </row>
    <row r="569">
      <c r="A569" s="26" t="n"/>
      <c r="B569" s="26" t="n"/>
      <c r="C569" s="26" t="n"/>
      <c r="D569" s="26" t="n"/>
      <c r="E569" s="26" t="n"/>
      <c r="F569" s="26" t="n"/>
      <c r="G569" s="26" t="n"/>
      <c r="H569" s="30">
        <f>IF(A569="","",COUNTIF('Access'!$A$4:$A$1503,A569))</f>
        <v/>
      </c>
      <c r="I569" s="30">
        <f t="array" ref="I569">IF(A569="","",_xlfn.TEXTJOIN(", ",TRUE,IF(('Companies'!$A$4:$A$63&lt;&gt;"")*(COUNTIFS('Access'!$A$4:$A$1503,A569,'Access'!$F$4:$F$1503,"*"&amp;'Companies'!$A$4:$A$63&amp;"*")&gt;0),'Companies'!$A$4:$A$63,"")))</f>
        <v/>
      </c>
      <c r="J569" s="30">
        <f>IF(A569="","",IF(COUNTIF($A$4:$A$1003,A569)&gt;1,"Duplicate email",IF(ISERROR(FIND("@",A569)),"Not an email address",IF(AND(H569=0,E569=""),"Investor without holders","OK"))))</f>
        <v/>
      </c>
    </row>
    <row r="570">
      <c r="A570" s="26" t="n"/>
      <c r="B570" s="26" t="n"/>
      <c r="C570" s="26" t="n"/>
      <c r="D570" s="26" t="n"/>
      <c r="E570" s="26" t="n"/>
      <c r="F570" s="26" t="n"/>
      <c r="G570" s="26" t="n"/>
      <c r="H570" s="30">
        <f>IF(A570="","",COUNTIF('Access'!$A$4:$A$1503,A570))</f>
        <v/>
      </c>
      <c r="I570" s="30">
        <f t="array" ref="I570">IF(A570="","",_xlfn.TEXTJOIN(", ",TRUE,IF(('Companies'!$A$4:$A$63&lt;&gt;"")*(COUNTIFS('Access'!$A$4:$A$1503,A570,'Access'!$F$4:$F$1503,"*"&amp;'Companies'!$A$4:$A$63&amp;"*")&gt;0),'Companies'!$A$4:$A$63,"")))</f>
        <v/>
      </c>
      <c r="J570" s="30">
        <f>IF(A570="","",IF(COUNTIF($A$4:$A$1003,A570)&gt;1,"Duplicate email",IF(ISERROR(FIND("@",A570)),"Not an email address",IF(AND(H570=0,E570=""),"Investor without holders","OK"))))</f>
        <v/>
      </c>
    </row>
    <row r="571">
      <c r="A571" s="26" t="n"/>
      <c r="B571" s="26" t="n"/>
      <c r="C571" s="26" t="n"/>
      <c r="D571" s="26" t="n"/>
      <c r="E571" s="26" t="n"/>
      <c r="F571" s="26" t="n"/>
      <c r="G571" s="26" t="n"/>
      <c r="H571" s="30">
        <f>IF(A571="","",COUNTIF('Access'!$A$4:$A$1503,A571))</f>
        <v/>
      </c>
      <c r="I571" s="30">
        <f t="array" ref="I571">IF(A571="","",_xlfn.TEXTJOIN(", ",TRUE,IF(('Companies'!$A$4:$A$63&lt;&gt;"")*(COUNTIFS('Access'!$A$4:$A$1503,A571,'Access'!$F$4:$F$1503,"*"&amp;'Companies'!$A$4:$A$63&amp;"*")&gt;0),'Companies'!$A$4:$A$63,"")))</f>
        <v/>
      </c>
      <c r="J571" s="30">
        <f>IF(A571="","",IF(COUNTIF($A$4:$A$1003,A571)&gt;1,"Duplicate email",IF(ISERROR(FIND("@",A571)),"Not an email address",IF(AND(H571=0,E571=""),"Investor without holders","OK"))))</f>
        <v/>
      </c>
    </row>
    <row r="572">
      <c r="A572" s="26" t="n"/>
      <c r="B572" s="26" t="n"/>
      <c r="C572" s="26" t="n"/>
      <c r="D572" s="26" t="n"/>
      <c r="E572" s="26" t="n"/>
      <c r="F572" s="26" t="n"/>
      <c r="G572" s="26" t="n"/>
      <c r="H572" s="30">
        <f>IF(A572="","",COUNTIF('Access'!$A$4:$A$1503,A572))</f>
        <v/>
      </c>
      <c r="I572" s="30">
        <f t="array" ref="I572">IF(A572="","",_xlfn.TEXTJOIN(", ",TRUE,IF(('Companies'!$A$4:$A$63&lt;&gt;"")*(COUNTIFS('Access'!$A$4:$A$1503,A572,'Access'!$F$4:$F$1503,"*"&amp;'Companies'!$A$4:$A$63&amp;"*")&gt;0),'Companies'!$A$4:$A$63,"")))</f>
        <v/>
      </c>
      <c r="J572" s="30">
        <f>IF(A572="","",IF(COUNTIF($A$4:$A$1003,A572)&gt;1,"Duplicate email",IF(ISERROR(FIND("@",A572)),"Not an email address",IF(AND(H572=0,E572=""),"Investor without holders","OK"))))</f>
        <v/>
      </c>
    </row>
    <row r="573">
      <c r="A573" s="26" t="n"/>
      <c r="B573" s="26" t="n"/>
      <c r="C573" s="26" t="n"/>
      <c r="D573" s="26" t="n"/>
      <c r="E573" s="26" t="n"/>
      <c r="F573" s="26" t="n"/>
      <c r="G573" s="26" t="n"/>
      <c r="H573" s="30">
        <f>IF(A573="","",COUNTIF('Access'!$A$4:$A$1503,A573))</f>
        <v/>
      </c>
      <c r="I573" s="30">
        <f t="array" ref="I573">IF(A573="","",_xlfn.TEXTJOIN(", ",TRUE,IF(('Companies'!$A$4:$A$63&lt;&gt;"")*(COUNTIFS('Access'!$A$4:$A$1503,A573,'Access'!$F$4:$F$1503,"*"&amp;'Companies'!$A$4:$A$63&amp;"*")&gt;0),'Companies'!$A$4:$A$63,"")))</f>
        <v/>
      </c>
      <c r="J573" s="30">
        <f>IF(A573="","",IF(COUNTIF($A$4:$A$1003,A573)&gt;1,"Duplicate email",IF(ISERROR(FIND("@",A573)),"Not an email address",IF(AND(H573=0,E573=""),"Investor without holders","OK"))))</f>
        <v/>
      </c>
    </row>
    <row r="574">
      <c r="A574" s="26" t="n"/>
      <c r="B574" s="26" t="n"/>
      <c r="C574" s="26" t="n"/>
      <c r="D574" s="26" t="n"/>
      <c r="E574" s="26" t="n"/>
      <c r="F574" s="26" t="n"/>
      <c r="G574" s="26" t="n"/>
      <c r="H574" s="30">
        <f>IF(A574="","",COUNTIF('Access'!$A$4:$A$1503,A574))</f>
        <v/>
      </c>
      <c r="I574" s="30">
        <f t="array" ref="I574">IF(A574="","",_xlfn.TEXTJOIN(", ",TRUE,IF(('Companies'!$A$4:$A$63&lt;&gt;"")*(COUNTIFS('Access'!$A$4:$A$1503,A574,'Access'!$F$4:$F$1503,"*"&amp;'Companies'!$A$4:$A$63&amp;"*")&gt;0),'Companies'!$A$4:$A$63,"")))</f>
        <v/>
      </c>
      <c r="J574" s="30">
        <f>IF(A574="","",IF(COUNTIF($A$4:$A$1003,A574)&gt;1,"Duplicate email",IF(ISERROR(FIND("@",A574)),"Not an email address",IF(AND(H574=0,E574=""),"Investor without holders","OK"))))</f>
        <v/>
      </c>
    </row>
    <row r="575">
      <c r="A575" s="26" t="n"/>
      <c r="B575" s="26" t="n"/>
      <c r="C575" s="26" t="n"/>
      <c r="D575" s="26" t="n"/>
      <c r="E575" s="26" t="n"/>
      <c r="F575" s="26" t="n"/>
      <c r="G575" s="26" t="n"/>
      <c r="H575" s="30">
        <f>IF(A575="","",COUNTIF('Access'!$A$4:$A$1503,A575))</f>
        <v/>
      </c>
      <c r="I575" s="30">
        <f t="array" ref="I575">IF(A575="","",_xlfn.TEXTJOIN(", ",TRUE,IF(('Companies'!$A$4:$A$63&lt;&gt;"")*(COUNTIFS('Access'!$A$4:$A$1503,A575,'Access'!$F$4:$F$1503,"*"&amp;'Companies'!$A$4:$A$63&amp;"*")&gt;0),'Companies'!$A$4:$A$63,"")))</f>
        <v/>
      </c>
      <c r="J575" s="30">
        <f>IF(A575="","",IF(COUNTIF($A$4:$A$1003,A575)&gt;1,"Duplicate email",IF(ISERROR(FIND("@",A575)),"Not an email address",IF(AND(H575=0,E575=""),"Investor without holders","OK"))))</f>
        <v/>
      </c>
    </row>
    <row r="576">
      <c r="A576" s="26" t="n"/>
      <c r="B576" s="26" t="n"/>
      <c r="C576" s="26" t="n"/>
      <c r="D576" s="26" t="n"/>
      <c r="E576" s="26" t="n"/>
      <c r="F576" s="26" t="n"/>
      <c r="G576" s="26" t="n"/>
      <c r="H576" s="30">
        <f>IF(A576="","",COUNTIF('Access'!$A$4:$A$1503,A576))</f>
        <v/>
      </c>
      <c r="I576" s="30">
        <f t="array" ref="I576">IF(A576="","",_xlfn.TEXTJOIN(", ",TRUE,IF(('Companies'!$A$4:$A$63&lt;&gt;"")*(COUNTIFS('Access'!$A$4:$A$1503,A576,'Access'!$F$4:$F$1503,"*"&amp;'Companies'!$A$4:$A$63&amp;"*")&gt;0),'Companies'!$A$4:$A$63,"")))</f>
        <v/>
      </c>
      <c r="J576" s="30">
        <f>IF(A576="","",IF(COUNTIF($A$4:$A$1003,A576)&gt;1,"Duplicate email",IF(ISERROR(FIND("@",A576)),"Not an email address",IF(AND(H576=0,E576=""),"Investor without holders","OK"))))</f>
        <v/>
      </c>
    </row>
    <row r="577">
      <c r="A577" s="26" t="n"/>
      <c r="B577" s="26" t="n"/>
      <c r="C577" s="26" t="n"/>
      <c r="D577" s="26" t="n"/>
      <c r="E577" s="26" t="n"/>
      <c r="F577" s="26" t="n"/>
      <c r="G577" s="26" t="n"/>
      <c r="H577" s="30">
        <f>IF(A577="","",COUNTIF('Access'!$A$4:$A$1503,A577))</f>
        <v/>
      </c>
      <c r="I577" s="30">
        <f t="array" ref="I577">IF(A577="","",_xlfn.TEXTJOIN(", ",TRUE,IF(('Companies'!$A$4:$A$63&lt;&gt;"")*(COUNTIFS('Access'!$A$4:$A$1503,A577,'Access'!$F$4:$F$1503,"*"&amp;'Companies'!$A$4:$A$63&amp;"*")&gt;0),'Companies'!$A$4:$A$63,"")))</f>
        <v/>
      </c>
      <c r="J577" s="30">
        <f>IF(A577="","",IF(COUNTIF($A$4:$A$1003,A577)&gt;1,"Duplicate email",IF(ISERROR(FIND("@",A577)),"Not an email address",IF(AND(H577=0,E577=""),"Investor without holders","OK"))))</f>
        <v/>
      </c>
    </row>
    <row r="578">
      <c r="A578" s="26" t="n"/>
      <c r="B578" s="26" t="n"/>
      <c r="C578" s="26" t="n"/>
      <c r="D578" s="26" t="n"/>
      <c r="E578" s="26" t="n"/>
      <c r="F578" s="26" t="n"/>
      <c r="G578" s="26" t="n"/>
      <c r="H578" s="30">
        <f>IF(A578="","",COUNTIF('Access'!$A$4:$A$1503,A578))</f>
        <v/>
      </c>
      <c r="I578" s="30">
        <f t="array" ref="I578">IF(A578="","",_xlfn.TEXTJOIN(", ",TRUE,IF(('Companies'!$A$4:$A$63&lt;&gt;"")*(COUNTIFS('Access'!$A$4:$A$1503,A578,'Access'!$F$4:$F$1503,"*"&amp;'Companies'!$A$4:$A$63&amp;"*")&gt;0),'Companies'!$A$4:$A$63,"")))</f>
        <v/>
      </c>
      <c r="J578" s="30">
        <f>IF(A578="","",IF(COUNTIF($A$4:$A$1003,A578)&gt;1,"Duplicate email",IF(ISERROR(FIND("@",A578)),"Not an email address",IF(AND(H578=0,E578=""),"Investor without holders","OK"))))</f>
        <v/>
      </c>
    </row>
    <row r="579">
      <c r="A579" s="26" t="n"/>
      <c r="B579" s="26" t="n"/>
      <c r="C579" s="26" t="n"/>
      <c r="D579" s="26" t="n"/>
      <c r="E579" s="26" t="n"/>
      <c r="F579" s="26" t="n"/>
      <c r="G579" s="26" t="n"/>
      <c r="H579" s="30">
        <f>IF(A579="","",COUNTIF('Access'!$A$4:$A$1503,A579))</f>
        <v/>
      </c>
      <c r="I579" s="30">
        <f t="array" ref="I579">IF(A579="","",_xlfn.TEXTJOIN(", ",TRUE,IF(('Companies'!$A$4:$A$63&lt;&gt;"")*(COUNTIFS('Access'!$A$4:$A$1503,A579,'Access'!$F$4:$F$1503,"*"&amp;'Companies'!$A$4:$A$63&amp;"*")&gt;0),'Companies'!$A$4:$A$63,"")))</f>
        <v/>
      </c>
      <c r="J579" s="30">
        <f>IF(A579="","",IF(COUNTIF($A$4:$A$1003,A579)&gt;1,"Duplicate email",IF(ISERROR(FIND("@",A579)),"Not an email address",IF(AND(H579=0,E579=""),"Investor without holders","OK"))))</f>
        <v/>
      </c>
    </row>
    <row r="580">
      <c r="A580" s="26" t="n"/>
      <c r="B580" s="26" t="n"/>
      <c r="C580" s="26" t="n"/>
      <c r="D580" s="26" t="n"/>
      <c r="E580" s="26" t="n"/>
      <c r="F580" s="26" t="n"/>
      <c r="G580" s="26" t="n"/>
      <c r="H580" s="30">
        <f>IF(A580="","",COUNTIF('Access'!$A$4:$A$1503,A580))</f>
        <v/>
      </c>
      <c r="I580" s="30">
        <f t="array" ref="I580">IF(A580="","",_xlfn.TEXTJOIN(", ",TRUE,IF(('Companies'!$A$4:$A$63&lt;&gt;"")*(COUNTIFS('Access'!$A$4:$A$1503,A580,'Access'!$F$4:$F$1503,"*"&amp;'Companies'!$A$4:$A$63&amp;"*")&gt;0),'Companies'!$A$4:$A$63,"")))</f>
        <v/>
      </c>
      <c r="J580" s="30">
        <f>IF(A580="","",IF(COUNTIF($A$4:$A$1003,A580)&gt;1,"Duplicate email",IF(ISERROR(FIND("@",A580)),"Not an email address",IF(AND(H580=0,E580=""),"Investor without holders","OK"))))</f>
        <v/>
      </c>
    </row>
    <row r="581">
      <c r="A581" s="26" t="n"/>
      <c r="B581" s="26" t="n"/>
      <c r="C581" s="26" t="n"/>
      <c r="D581" s="26" t="n"/>
      <c r="E581" s="26" t="n"/>
      <c r="F581" s="26" t="n"/>
      <c r="G581" s="26" t="n"/>
      <c r="H581" s="30">
        <f>IF(A581="","",COUNTIF('Access'!$A$4:$A$1503,A581))</f>
        <v/>
      </c>
      <c r="I581" s="30">
        <f t="array" ref="I581">IF(A581="","",_xlfn.TEXTJOIN(", ",TRUE,IF(('Companies'!$A$4:$A$63&lt;&gt;"")*(COUNTIFS('Access'!$A$4:$A$1503,A581,'Access'!$F$4:$F$1503,"*"&amp;'Companies'!$A$4:$A$63&amp;"*")&gt;0),'Companies'!$A$4:$A$63,"")))</f>
        <v/>
      </c>
      <c r="J581" s="30">
        <f>IF(A581="","",IF(COUNTIF($A$4:$A$1003,A581)&gt;1,"Duplicate email",IF(ISERROR(FIND("@",A581)),"Not an email address",IF(AND(H581=0,E581=""),"Investor without holders","OK"))))</f>
        <v/>
      </c>
    </row>
    <row r="582">
      <c r="A582" s="26" t="n"/>
      <c r="B582" s="26" t="n"/>
      <c r="C582" s="26" t="n"/>
      <c r="D582" s="26" t="n"/>
      <c r="E582" s="26" t="n"/>
      <c r="F582" s="26" t="n"/>
      <c r="G582" s="26" t="n"/>
      <c r="H582" s="30">
        <f>IF(A582="","",COUNTIF('Access'!$A$4:$A$1503,A582))</f>
        <v/>
      </c>
      <c r="I582" s="30">
        <f t="array" ref="I582">IF(A582="","",_xlfn.TEXTJOIN(", ",TRUE,IF(('Companies'!$A$4:$A$63&lt;&gt;"")*(COUNTIFS('Access'!$A$4:$A$1503,A582,'Access'!$F$4:$F$1503,"*"&amp;'Companies'!$A$4:$A$63&amp;"*")&gt;0),'Companies'!$A$4:$A$63,"")))</f>
        <v/>
      </c>
      <c r="J582" s="30">
        <f>IF(A582="","",IF(COUNTIF($A$4:$A$1003,A582)&gt;1,"Duplicate email",IF(ISERROR(FIND("@",A582)),"Not an email address",IF(AND(H582=0,E582=""),"Investor without holders","OK"))))</f>
        <v/>
      </c>
    </row>
    <row r="583">
      <c r="A583" s="26" t="n"/>
      <c r="B583" s="26" t="n"/>
      <c r="C583" s="26" t="n"/>
      <c r="D583" s="26" t="n"/>
      <c r="E583" s="26" t="n"/>
      <c r="F583" s="26" t="n"/>
      <c r="G583" s="26" t="n"/>
      <c r="H583" s="30">
        <f>IF(A583="","",COUNTIF('Access'!$A$4:$A$1503,A583))</f>
        <v/>
      </c>
      <c r="I583" s="30">
        <f t="array" ref="I583">IF(A583="","",_xlfn.TEXTJOIN(", ",TRUE,IF(('Companies'!$A$4:$A$63&lt;&gt;"")*(COUNTIFS('Access'!$A$4:$A$1503,A583,'Access'!$F$4:$F$1503,"*"&amp;'Companies'!$A$4:$A$63&amp;"*")&gt;0),'Companies'!$A$4:$A$63,"")))</f>
        <v/>
      </c>
      <c r="J583" s="30">
        <f>IF(A583="","",IF(COUNTIF($A$4:$A$1003,A583)&gt;1,"Duplicate email",IF(ISERROR(FIND("@",A583)),"Not an email address",IF(AND(H583=0,E583=""),"Investor without holders","OK"))))</f>
        <v/>
      </c>
    </row>
    <row r="584">
      <c r="A584" s="26" t="n"/>
      <c r="B584" s="26" t="n"/>
      <c r="C584" s="26" t="n"/>
      <c r="D584" s="26" t="n"/>
      <c r="E584" s="26" t="n"/>
      <c r="F584" s="26" t="n"/>
      <c r="G584" s="26" t="n"/>
      <c r="H584" s="30">
        <f>IF(A584="","",COUNTIF('Access'!$A$4:$A$1503,A584))</f>
        <v/>
      </c>
      <c r="I584" s="30">
        <f t="array" ref="I584">IF(A584="","",_xlfn.TEXTJOIN(", ",TRUE,IF(('Companies'!$A$4:$A$63&lt;&gt;"")*(COUNTIFS('Access'!$A$4:$A$1503,A584,'Access'!$F$4:$F$1503,"*"&amp;'Companies'!$A$4:$A$63&amp;"*")&gt;0),'Companies'!$A$4:$A$63,"")))</f>
        <v/>
      </c>
      <c r="J584" s="30">
        <f>IF(A584="","",IF(COUNTIF($A$4:$A$1003,A584)&gt;1,"Duplicate email",IF(ISERROR(FIND("@",A584)),"Not an email address",IF(AND(H584=0,E584=""),"Investor without holders","OK"))))</f>
        <v/>
      </c>
    </row>
    <row r="585">
      <c r="A585" s="26" t="n"/>
      <c r="B585" s="26" t="n"/>
      <c r="C585" s="26" t="n"/>
      <c r="D585" s="26" t="n"/>
      <c r="E585" s="26" t="n"/>
      <c r="F585" s="26" t="n"/>
      <c r="G585" s="26" t="n"/>
      <c r="H585" s="30">
        <f>IF(A585="","",COUNTIF('Access'!$A$4:$A$1503,A585))</f>
        <v/>
      </c>
      <c r="I585" s="30">
        <f t="array" ref="I585">IF(A585="","",_xlfn.TEXTJOIN(", ",TRUE,IF(('Companies'!$A$4:$A$63&lt;&gt;"")*(COUNTIFS('Access'!$A$4:$A$1503,A585,'Access'!$F$4:$F$1503,"*"&amp;'Companies'!$A$4:$A$63&amp;"*")&gt;0),'Companies'!$A$4:$A$63,"")))</f>
        <v/>
      </c>
      <c r="J585" s="30">
        <f>IF(A585="","",IF(COUNTIF($A$4:$A$1003,A585)&gt;1,"Duplicate email",IF(ISERROR(FIND("@",A585)),"Not an email address",IF(AND(H585=0,E585=""),"Investor without holders","OK"))))</f>
        <v/>
      </c>
    </row>
    <row r="586">
      <c r="A586" s="26" t="n"/>
      <c r="B586" s="26" t="n"/>
      <c r="C586" s="26" t="n"/>
      <c r="D586" s="26" t="n"/>
      <c r="E586" s="26" t="n"/>
      <c r="F586" s="26" t="n"/>
      <c r="G586" s="26" t="n"/>
      <c r="H586" s="30">
        <f>IF(A586="","",COUNTIF('Access'!$A$4:$A$1503,A586))</f>
        <v/>
      </c>
      <c r="I586" s="30">
        <f t="array" ref="I586">IF(A586="","",_xlfn.TEXTJOIN(", ",TRUE,IF(('Companies'!$A$4:$A$63&lt;&gt;"")*(COUNTIFS('Access'!$A$4:$A$1503,A586,'Access'!$F$4:$F$1503,"*"&amp;'Companies'!$A$4:$A$63&amp;"*")&gt;0),'Companies'!$A$4:$A$63,"")))</f>
        <v/>
      </c>
      <c r="J586" s="30">
        <f>IF(A586="","",IF(COUNTIF($A$4:$A$1003,A586)&gt;1,"Duplicate email",IF(ISERROR(FIND("@",A586)),"Not an email address",IF(AND(H586=0,E586=""),"Investor without holders","OK"))))</f>
        <v/>
      </c>
    </row>
    <row r="587">
      <c r="A587" s="26" t="n"/>
      <c r="B587" s="26" t="n"/>
      <c r="C587" s="26" t="n"/>
      <c r="D587" s="26" t="n"/>
      <c r="E587" s="26" t="n"/>
      <c r="F587" s="26" t="n"/>
      <c r="G587" s="26" t="n"/>
      <c r="H587" s="30">
        <f>IF(A587="","",COUNTIF('Access'!$A$4:$A$1503,A587))</f>
        <v/>
      </c>
      <c r="I587" s="30">
        <f t="array" ref="I587">IF(A587="","",_xlfn.TEXTJOIN(", ",TRUE,IF(('Companies'!$A$4:$A$63&lt;&gt;"")*(COUNTIFS('Access'!$A$4:$A$1503,A587,'Access'!$F$4:$F$1503,"*"&amp;'Companies'!$A$4:$A$63&amp;"*")&gt;0),'Companies'!$A$4:$A$63,"")))</f>
        <v/>
      </c>
      <c r="J587" s="30">
        <f>IF(A587="","",IF(COUNTIF($A$4:$A$1003,A587)&gt;1,"Duplicate email",IF(ISERROR(FIND("@",A587)),"Not an email address",IF(AND(H587=0,E587=""),"Investor without holders","OK"))))</f>
        <v/>
      </c>
    </row>
    <row r="588">
      <c r="A588" s="26" t="n"/>
      <c r="B588" s="26" t="n"/>
      <c r="C588" s="26" t="n"/>
      <c r="D588" s="26" t="n"/>
      <c r="E588" s="26" t="n"/>
      <c r="F588" s="26" t="n"/>
      <c r="G588" s="26" t="n"/>
      <c r="H588" s="30">
        <f>IF(A588="","",COUNTIF('Access'!$A$4:$A$1503,A588))</f>
        <v/>
      </c>
      <c r="I588" s="30">
        <f t="array" ref="I588">IF(A588="","",_xlfn.TEXTJOIN(", ",TRUE,IF(('Companies'!$A$4:$A$63&lt;&gt;"")*(COUNTIFS('Access'!$A$4:$A$1503,A588,'Access'!$F$4:$F$1503,"*"&amp;'Companies'!$A$4:$A$63&amp;"*")&gt;0),'Companies'!$A$4:$A$63,"")))</f>
        <v/>
      </c>
      <c r="J588" s="30">
        <f>IF(A588="","",IF(COUNTIF($A$4:$A$1003,A588)&gt;1,"Duplicate email",IF(ISERROR(FIND("@",A588)),"Not an email address",IF(AND(H588=0,E588=""),"Investor without holders","OK"))))</f>
        <v/>
      </c>
    </row>
    <row r="589">
      <c r="A589" s="26" t="n"/>
      <c r="B589" s="26" t="n"/>
      <c r="C589" s="26" t="n"/>
      <c r="D589" s="26" t="n"/>
      <c r="E589" s="26" t="n"/>
      <c r="F589" s="26" t="n"/>
      <c r="G589" s="26" t="n"/>
      <c r="H589" s="30">
        <f>IF(A589="","",COUNTIF('Access'!$A$4:$A$1503,A589))</f>
        <v/>
      </c>
      <c r="I589" s="30">
        <f t="array" ref="I589">IF(A589="","",_xlfn.TEXTJOIN(", ",TRUE,IF(('Companies'!$A$4:$A$63&lt;&gt;"")*(COUNTIFS('Access'!$A$4:$A$1503,A589,'Access'!$F$4:$F$1503,"*"&amp;'Companies'!$A$4:$A$63&amp;"*")&gt;0),'Companies'!$A$4:$A$63,"")))</f>
        <v/>
      </c>
      <c r="J589" s="30">
        <f>IF(A589="","",IF(COUNTIF($A$4:$A$1003,A589)&gt;1,"Duplicate email",IF(ISERROR(FIND("@",A589)),"Not an email address",IF(AND(H589=0,E589=""),"Investor without holders","OK"))))</f>
        <v/>
      </c>
    </row>
    <row r="590">
      <c r="A590" s="26" t="n"/>
      <c r="B590" s="26" t="n"/>
      <c r="C590" s="26" t="n"/>
      <c r="D590" s="26" t="n"/>
      <c r="E590" s="26" t="n"/>
      <c r="F590" s="26" t="n"/>
      <c r="G590" s="26" t="n"/>
      <c r="H590" s="30">
        <f>IF(A590="","",COUNTIF('Access'!$A$4:$A$1503,A590))</f>
        <v/>
      </c>
      <c r="I590" s="30">
        <f t="array" ref="I590">IF(A590="","",_xlfn.TEXTJOIN(", ",TRUE,IF(('Companies'!$A$4:$A$63&lt;&gt;"")*(COUNTIFS('Access'!$A$4:$A$1503,A590,'Access'!$F$4:$F$1503,"*"&amp;'Companies'!$A$4:$A$63&amp;"*")&gt;0),'Companies'!$A$4:$A$63,"")))</f>
        <v/>
      </c>
      <c r="J590" s="30">
        <f>IF(A590="","",IF(COUNTIF($A$4:$A$1003,A590)&gt;1,"Duplicate email",IF(ISERROR(FIND("@",A590)),"Not an email address",IF(AND(H590=0,E590=""),"Investor without holders","OK"))))</f>
        <v/>
      </c>
    </row>
    <row r="591">
      <c r="A591" s="26" t="n"/>
      <c r="B591" s="26" t="n"/>
      <c r="C591" s="26" t="n"/>
      <c r="D591" s="26" t="n"/>
      <c r="E591" s="26" t="n"/>
      <c r="F591" s="26" t="n"/>
      <c r="G591" s="26" t="n"/>
      <c r="H591" s="30">
        <f>IF(A591="","",COUNTIF('Access'!$A$4:$A$1503,A591))</f>
        <v/>
      </c>
      <c r="I591" s="30">
        <f t="array" ref="I591">IF(A591="","",_xlfn.TEXTJOIN(", ",TRUE,IF(('Companies'!$A$4:$A$63&lt;&gt;"")*(COUNTIFS('Access'!$A$4:$A$1503,A591,'Access'!$F$4:$F$1503,"*"&amp;'Companies'!$A$4:$A$63&amp;"*")&gt;0),'Companies'!$A$4:$A$63,"")))</f>
        <v/>
      </c>
      <c r="J591" s="30">
        <f>IF(A591="","",IF(COUNTIF($A$4:$A$1003,A591)&gt;1,"Duplicate email",IF(ISERROR(FIND("@",A591)),"Not an email address",IF(AND(H591=0,E591=""),"Investor without holders","OK"))))</f>
        <v/>
      </c>
    </row>
    <row r="592">
      <c r="A592" s="26" t="n"/>
      <c r="B592" s="26" t="n"/>
      <c r="C592" s="26" t="n"/>
      <c r="D592" s="26" t="n"/>
      <c r="E592" s="26" t="n"/>
      <c r="F592" s="26" t="n"/>
      <c r="G592" s="26" t="n"/>
      <c r="H592" s="30">
        <f>IF(A592="","",COUNTIF('Access'!$A$4:$A$1503,A592))</f>
        <v/>
      </c>
      <c r="I592" s="30">
        <f t="array" ref="I592">IF(A592="","",_xlfn.TEXTJOIN(", ",TRUE,IF(('Companies'!$A$4:$A$63&lt;&gt;"")*(COUNTIFS('Access'!$A$4:$A$1503,A592,'Access'!$F$4:$F$1503,"*"&amp;'Companies'!$A$4:$A$63&amp;"*")&gt;0),'Companies'!$A$4:$A$63,"")))</f>
        <v/>
      </c>
      <c r="J592" s="30">
        <f>IF(A592="","",IF(COUNTIF($A$4:$A$1003,A592)&gt;1,"Duplicate email",IF(ISERROR(FIND("@",A592)),"Not an email address",IF(AND(H592=0,E592=""),"Investor without holders","OK"))))</f>
        <v/>
      </c>
    </row>
    <row r="593">
      <c r="A593" s="26" t="n"/>
      <c r="B593" s="26" t="n"/>
      <c r="C593" s="26" t="n"/>
      <c r="D593" s="26" t="n"/>
      <c r="E593" s="26" t="n"/>
      <c r="F593" s="26" t="n"/>
      <c r="G593" s="26" t="n"/>
      <c r="H593" s="30">
        <f>IF(A593="","",COUNTIF('Access'!$A$4:$A$1503,A593))</f>
        <v/>
      </c>
      <c r="I593" s="30">
        <f t="array" ref="I593">IF(A593="","",_xlfn.TEXTJOIN(", ",TRUE,IF(('Companies'!$A$4:$A$63&lt;&gt;"")*(COUNTIFS('Access'!$A$4:$A$1503,A593,'Access'!$F$4:$F$1503,"*"&amp;'Companies'!$A$4:$A$63&amp;"*")&gt;0),'Companies'!$A$4:$A$63,"")))</f>
        <v/>
      </c>
      <c r="J593" s="30">
        <f>IF(A593="","",IF(COUNTIF($A$4:$A$1003,A593)&gt;1,"Duplicate email",IF(ISERROR(FIND("@",A593)),"Not an email address",IF(AND(H593=0,E593=""),"Investor without holders","OK"))))</f>
        <v/>
      </c>
    </row>
    <row r="594">
      <c r="A594" s="26" t="n"/>
      <c r="B594" s="26" t="n"/>
      <c r="C594" s="26" t="n"/>
      <c r="D594" s="26" t="n"/>
      <c r="E594" s="26" t="n"/>
      <c r="F594" s="26" t="n"/>
      <c r="G594" s="26" t="n"/>
      <c r="H594" s="30">
        <f>IF(A594="","",COUNTIF('Access'!$A$4:$A$1503,A594))</f>
        <v/>
      </c>
      <c r="I594" s="30">
        <f t="array" ref="I594">IF(A594="","",_xlfn.TEXTJOIN(", ",TRUE,IF(('Companies'!$A$4:$A$63&lt;&gt;"")*(COUNTIFS('Access'!$A$4:$A$1503,A594,'Access'!$F$4:$F$1503,"*"&amp;'Companies'!$A$4:$A$63&amp;"*")&gt;0),'Companies'!$A$4:$A$63,"")))</f>
        <v/>
      </c>
      <c r="J594" s="30">
        <f>IF(A594="","",IF(COUNTIF($A$4:$A$1003,A594)&gt;1,"Duplicate email",IF(ISERROR(FIND("@",A594)),"Not an email address",IF(AND(H594=0,E594=""),"Investor without holders","OK"))))</f>
        <v/>
      </c>
    </row>
    <row r="595">
      <c r="A595" s="26" t="n"/>
      <c r="B595" s="26" t="n"/>
      <c r="C595" s="26" t="n"/>
      <c r="D595" s="26" t="n"/>
      <c r="E595" s="26" t="n"/>
      <c r="F595" s="26" t="n"/>
      <c r="G595" s="26" t="n"/>
      <c r="H595" s="30">
        <f>IF(A595="","",COUNTIF('Access'!$A$4:$A$1503,A595))</f>
        <v/>
      </c>
      <c r="I595" s="30">
        <f t="array" ref="I595">IF(A595="","",_xlfn.TEXTJOIN(", ",TRUE,IF(('Companies'!$A$4:$A$63&lt;&gt;"")*(COUNTIFS('Access'!$A$4:$A$1503,A595,'Access'!$F$4:$F$1503,"*"&amp;'Companies'!$A$4:$A$63&amp;"*")&gt;0),'Companies'!$A$4:$A$63,"")))</f>
        <v/>
      </c>
      <c r="J595" s="30">
        <f>IF(A595="","",IF(COUNTIF($A$4:$A$1003,A595)&gt;1,"Duplicate email",IF(ISERROR(FIND("@",A595)),"Not an email address",IF(AND(H595=0,E595=""),"Investor without holders","OK"))))</f>
        <v/>
      </c>
    </row>
    <row r="596">
      <c r="A596" s="26" t="n"/>
      <c r="B596" s="26" t="n"/>
      <c r="C596" s="26" t="n"/>
      <c r="D596" s="26" t="n"/>
      <c r="E596" s="26" t="n"/>
      <c r="F596" s="26" t="n"/>
      <c r="G596" s="26" t="n"/>
      <c r="H596" s="30">
        <f>IF(A596="","",COUNTIF('Access'!$A$4:$A$1503,A596))</f>
        <v/>
      </c>
      <c r="I596" s="30">
        <f t="array" ref="I596">IF(A596="","",_xlfn.TEXTJOIN(", ",TRUE,IF(('Companies'!$A$4:$A$63&lt;&gt;"")*(COUNTIFS('Access'!$A$4:$A$1503,A596,'Access'!$F$4:$F$1503,"*"&amp;'Companies'!$A$4:$A$63&amp;"*")&gt;0),'Companies'!$A$4:$A$63,"")))</f>
        <v/>
      </c>
      <c r="J596" s="30">
        <f>IF(A596="","",IF(COUNTIF($A$4:$A$1003,A596)&gt;1,"Duplicate email",IF(ISERROR(FIND("@",A596)),"Not an email address",IF(AND(H596=0,E596=""),"Investor without holders","OK"))))</f>
        <v/>
      </c>
    </row>
    <row r="597">
      <c r="A597" s="26" t="n"/>
      <c r="B597" s="26" t="n"/>
      <c r="C597" s="26" t="n"/>
      <c r="D597" s="26" t="n"/>
      <c r="E597" s="26" t="n"/>
      <c r="F597" s="26" t="n"/>
      <c r="G597" s="26" t="n"/>
      <c r="H597" s="30">
        <f>IF(A597="","",COUNTIF('Access'!$A$4:$A$1503,A597))</f>
        <v/>
      </c>
      <c r="I597" s="30">
        <f t="array" ref="I597">IF(A597="","",_xlfn.TEXTJOIN(", ",TRUE,IF(('Companies'!$A$4:$A$63&lt;&gt;"")*(COUNTIFS('Access'!$A$4:$A$1503,A597,'Access'!$F$4:$F$1503,"*"&amp;'Companies'!$A$4:$A$63&amp;"*")&gt;0),'Companies'!$A$4:$A$63,"")))</f>
        <v/>
      </c>
      <c r="J597" s="30">
        <f>IF(A597="","",IF(COUNTIF($A$4:$A$1003,A597)&gt;1,"Duplicate email",IF(ISERROR(FIND("@",A597)),"Not an email address",IF(AND(H597=0,E597=""),"Investor without holders","OK"))))</f>
        <v/>
      </c>
    </row>
    <row r="598">
      <c r="A598" s="26" t="n"/>
      <c r="B598" s="26" t="n"/>
      <c r="C598" s="26" t="n"/>
      <c r="D598" s="26" t="n"/>
      <c r="E598" s="26" t="n"/>
      <c r="F598" s="26" t="n"/>
      <c r="G598" s="26" t="n"/>
      <c r="H598" s="30">
        <f>IF(A598="","",COUNTIF('Access'!$A$4:$A$1503,A598))</f>
        <v/>
      </c>
      <c r="I598" s="30">
        <f t="array" ref="I598">IF(A598="","",_xlfn.TEXTJOIN(", ",TRUE,IF(('Companies'!$A$4:$A$63&lt;&gt;"")*(COUNTIFS('Access'!$A$4:$A$1503,A598,'Access'!$F$4:$F$1503,"*"&amp;'Companies'!$A$4:$A$63&amp;"*")&gt;0),'Companies'!$A$4:$A$63,"")))</f>
        <v/>
      </c>
      <c r="J598" s="30">
        <f>IF(A598="","",IF(COUNTIF($A$4:$A$1003,A598)&gt;1,"Duplicate email",IF(ISERROR(FIND("@",A598)),"Not an email address",IF(AND(H598=0,E598=""),"Investor without holders","OK"))))</f>
        <v/>
      </c>
    </row>
    <row r="599">
      <c r="A599" s="26" t="n"/>
      <c r="B599" s="26" t="n"/>
      <c r="C599" s="26" t="n"/>
      <c r="D599" s="26" t="n"/>
      <c r="E599" s="26" t="n"/>
      <c r="F599" s="26" t="n"/>
      <c r="G599" s="26" t="n"/>
      <c r="H599" s="30">
        <f>IF(A599="","",COUNTIF('Access'!$A$4:$A$1503,A599))</f>
        <v/>
      </c>
      <c r="I599" s="30">
        <f t="array" ref="I599">IF(A599="","",_xlfn.TEXTJOIN(", ",TRUE,IF(('Companies'!$A$4:$A$63&lt;&gt;"")*(COUNTIFS('Access'!$A$4:$A$1503,A599,'Access'!$F$4:$F$1503,"*"&amp;'Companies'!$A$4:$A$63&amp;"*")&gt;0),'Companies'!$A$4:$A$63,"")))</f>
        <v/>
      </c>
      <c r="J599" s="30">
        <f>IF(A599="","",IF(COUNTIF($A$4:$A$1003,A599)&gt;1,"Duplicate email",IF(ISERROR(FIND("@",A599)),"Not an email address",IF(AND(H599=0,E599=""),"Investor without holders","OK"))))</f>
        <v/>
      </c>
    </row>
    <row r="600">
      <c r="A600" s="26" t="n"/>
      <c r="B600" s="26" t="n"/>
      <c r="C600" s="26" t="n"/>
      <c r="D600" s="26" t="n"/>
      <c r="E600" s="26" t="n"/>
      <c r="F600" s="26" t="n"/>
      <c r="G600" s="26" t="n"/>
      <c r="H600" s="30">
        <f>IF(A600="","",COUNTIF('Access'!$A$4:$A$1503,A600))</f>
        <v/>
      </c>
      <c r="I600" s="30">
        <f t="array" ref="I600">IF(A600="","",_xlfn.TEXTJOIN(", ",TRUE,IF(('Companies'!$A$4:$A$63&lt;&gt;"")*(COUNTIFS('Access'!$A$4:$A$1503,A600,'Access'!$F$4:$F$1503,"*"&amp;'Companies'!$A$4:$A$63&amp;"*")&gt;0),'Companies'!$A$4:$A$63,"")))</f>
        <v/>
      </c>
      <c r="J600" s="30">
        <f>IF(A600="","",IF(COUNTIF($A$4:$A$1003,A600)&gt;1,"Duplicate email",IF(ISERROR(FIND("@",A600)),"Not an email address",IF(AND(H600=0,E600=""),"Investor without holders","OK"))))</f>
        <v/>
      </c>
    </row>
    <row r="601">
      <c r="A601" s="26" t="n"/>
      <c r="B601" s="26" t="n"/>
      <c r="C601" s="26" t="n"/>
      <c r="D601" s="26" t="n"/>
      <c r="E601" s="26" t="n"/>
      <c r="F601" s="26" t="n"/>
      <c r="G601" s="26" t="n"/>
      <c r="H601" s="30">
        <f>IF(A601="","",COUNTIF('Access'!$A$4:$A$1503,A601))</f>
        <v/>
      </c>
      <c r="I601" s="30">
        <f t="array" ref="I601">IF(A601="","",_xlfn.TEXTJOIN(", ",TRUE,IF(('Companies'!$A$4:$A$63&lt;&gt;"")*(COUNTIFS('Access'!$A$4:$A$1503,A601,'Access'!$F$4:$F$1503,"*"&amp;'Companies'!$A$4:$A$63&amp;"*")&gt;0),'Companies'!$A$4:$A$63,"")))</f>
        <v/>
      </c>
      <c r="J601" s="30">
        <f>IF(A601="","",IF(COUNTIF($A$4:$A$1003,A601)&gt;1,"Duplicate email",IF(ISERROR(FIND("@",A601)),"Not an email address",IF(AND(H601=0,E601=""),"Investor without holders","OK"))))</f>
        <v/>
      </c>
    </row>
    <row r="602">
      <c r="A602" s="26" t="n"/>
      <c r="B602" s="26" t="n"/>
      <c r="C602" s="26" t="n"/>
      <c r="D602" s="26" t="n"/>
      <c r="E602" s="26" t="n"/>
      <c r="F602" s="26" t="n"/>
      <c r="G602" s="26" t="n"/>
      <c r="H602" s="30">
        <f>IF(A602="","",COUNTIF('Access'!$A$4:$A$1503,A602))</f>
        <v/>
      </c>
      <c r="I602" s="30">
        <f t="array" ref="I602">IF(A602="","",_xlfn.TEXTJOIN(", ",TRUE,IF(('Companies'!$A$4:$A$63&lt;&gt;"")*(COUNTIFS('Access'!$A$4:$A$1503,A602,'Access'!$F$4:$F$1503,"*"&amp;'Companies'!$A$4:$A$63&amp;"*")&gt;0),'Companies'!$A$4:$A$63,"")))</f>
        <v/>
      </c>
      <c r="J602" s="30">
        <f>IF(A602="","",IF(COUNTIF($A$4:$A$1003,A602)&gt;1,"Duplicate email",IF(ISERROR(FIND("@",A602)),"Not an email address",IF(AND(H602=0,E602=""),"Investor without holders","OK"))))</f>
        <v/>
      </c>
    </row>
    <row r="603">
      <c r="A603" s="26" t="n"/>
      <c r="B603" s="26" t="n"/>
      <c r="C603" s="26" t="n"/>
      <c r="D603" s="26" t="n"/>
      <c r="E603" s="26" t="n"/>
      <c r="F603" s="26" t="n"/>
      <c r="G603" s="26" t="n"/>
      <c r="H603" s="30">
        <f>IF(A603="","",COUNTIF('Access'!$A$4:$A$1503,A603))</f>
        <v/>
      </c>
      <c r="I603" s="30">
        <f t="array" ref="I603">IF(A603="","",_xlfn.TEXTJOIN(", ",TRUE,IF(('Companies'!$A$4:$A$63&lt;&gt;"")*(COUNTIFS('Access'!$A$4:$A$1503,A603,'Access'!$F$4:$F$1503,"*"&amp;'Companies'!$A$4:$A$63&amp;"*")&gt;0),'Companies'!$A$4:$A$63,"")))</f>
        <v/>
      </c>
      <c r="J603" s="30">
        <f>IF(A603="","",IF(COUNTIF($A$4:$A$1003,A603)&gt;1,"Duplicate email",IF(ISERROR(FIND("@",A603)),"Not an email address",IF(AND(H603=0,E603=""),"Investor without holders","OK"))))</f>
        <v/>
      </c>
    </row>
    <row r="604">
      <c r="A604" s="26" t="n"/>
      <c r="B604" s="26" t="n"/>
      <c r="C604" s="26" t="n"/>
      <c r="D604" s="26" t="n"/>
      <c r="E604" s="26" t="n"/>
      <c r="F604" s="26" t="n"/>
      <c r="G604" s="26" t="n"/>
      <c r="H604" s="30">
        <f>IF(A604="","",COUNTIF('Access'!$A$4:$A$1503,A604))</f>
        <v/>
      </c>
      <c r="I604" s="30">
        <f t="array" ref="I604">IF(A604="","",_xlfn.TEXTJOIN(", ",TRUE,IF(('Companies'!$A$4:$A$63&lt;&gt;"")*(COUNTIFS('Access'!$A$4:$A$1503,A604,'Access'!$F$4:$F$1503,"*"&amp;'Companies'!$A$4:$A$63&amp;"*")&gt;0),'Companies'!$A$4:$A$63,"")))</f>
        <v/>
      </c>
      <c r="J604" s="30">
        <f>IF(A604="","",IF(COUNTIF($A$4:$A$1003,A604)&gt;1,"Duplicate email",IF(ISERROR(FIND("@",A604)),"Not an email address",IF(AND(H604=0,E604=""),"Investor without holders","OK"))))</f>
        <v/>
      </c>
    </row>
    <row r="605">
      <c r="A605" s="26" t="n"/>
      <c r="B605" s="26" t="n"/>
      <c r="C605" s="26" t="n"/>
      <c r="D605" s="26" t="n"/>
      <c r="E605" s="26" t="n"/>
      <c r="F605" s="26" t="n"/>
      <c r="G605" s="26" t="n"/>
      <c r="H605" s="30">
        <f>IF(A605="","",COUNTIF('Access'!$A$4:$A$1503,A605))</f>
        <v/>
      </c>
      <c r="I605" s="30">
        <f t="array" ref="I605">IF(A605="","",_xlfn.TEXTJOIN(", ",TRUE,IF(('Companies'!$A$4:$A$63&lt;&gt;"")*(COUNTIFS('Access'!$A$4:$A$1503,A605,'Access'!$F$4:$F$1503,"*"&amp;'Companies'!$A$4:$A$63&amp;"*")&gt;0),'Companies'!$A$4:$A$63,"")))</f>
        <v/>
      </c>
      <c r="J605" s="30">
        <f>IF(A605="","",IF(COUNTIF($A$4:$A$1003,A605)&gt;1,"Duplicate email",IF(ISERROR(FIND("@",A605)),"Not an email address",IF(AND(H605=0,E605=""),"Investor without holders","OK"))))</f>
        <v/>
      </c>
    </row>
    <row r="606">
      <c r="A606" s="26" t="n"/>
      <c r="B606" s="26" t="n"/>
      <c r="C606" s="26" t="n"/>
      <c r="D606" s="26" t="n"/>
      <c r="E606" s="26" t="n"/>
      <c r="F606" s="26" t="n"/>
      <c r="G606" s="26" t="n"/>
      <c r="H606" s="30">
        <f>IF(A606="","",COUNTIF('Access'!$A$4:$A$1503,A606))</f>
        <v/>
      </c>
      <c r="I606" s="30">
        <f t="array" ref="I606">IF(A606="","",_xlfn.TEXTJOIN(", ",TRUE,IF(('Companies'!$A$4:$A$63&lt;&gt;"")*(COUNTIFS('Access'!$A$4:$A$1503,A606,'Access'!$F$4:$F$1503,"*"&amp;'Companies'!$A$4:$A$63&amp;"*")&gt;0),'Companies'!$A$4:$A$63,"")))</f>
        <v/>
      </c>
      <c r="J606" s="30">
        <f>IF(A606="","",IF(COUNTIF($A$4:$A$1003,A606)&gt;1,"Duplicate email",IF(ISERROR(FIND("@",A606)),"Not an email address",IF(AND(H606=0,E606=""),"Investor without holders","OK"))))</f>
        <v/>
      </c>
    </row>
    <row r="607">
      <c r="A607" s="26" t="n"/>
      <c r="B607" s="26" t="n"/>
      <c r="C607" s="26" t="n"/>
      <c r="D607" s="26" t="n"/>
      <c r="E607" s="26" t="n"/>
      <c r="F607" s="26" t="n"/>
      <c r="G607" s="26" t="n"/>
      <c r="H607" s="30">
        <f>IF(A607="","",COUNTIF('Access'!$A$4:$A$1503,A607))</f>
        <v/>
      </c>
      <c r="I607" s="30">
        <f t="array" ref="I607">IF(A607="","",_xlfn.TEXTJOIN(", ",TRUE,IF(('Companies'!$A$4:$A$63&lt;&gt;"")*(COUNTIFS('Access'!$A$4:$A$1503,A607,'Access'!$F$4:$F$1503,"*"&amp;'Companies'!$A$4:$A$63&amp;"*")&gt;0),'Companies'!$A$4:$A$63,"")))</f>
        <v/>
      </c>
      <c r="J607" s="30">
        <f>IF(A607="","",IF(COUNTIF($A$4:$A$1003,A607)&gt;1,"Duplicate email",IF(ISERROR(FIND("@",A607)),"Not an email address",IF(AND(H607=0,E607=""),"Investor without holders","OK"))))</f>
        <v/>
      </c>
    </row>
    <row r="608">
      <c r="A608" s="26" t="n"/>
      <c r="B608" s="26" t="n"/>
      <c r="C608" s="26" t="n"/>
      <c r="D608" s="26" t="n"/>
      <c r="E608" s="26" t="n"/>
      <c r="F608" s="26" t="n"/>
      <c r="G608" s="26" t="n"/>
      <c r="H608" s="30">
        <f>IF(A608="","",COUNTIF('Access'!$A$4:$A$1503,A608))</f>
        <v/>
      </c>
      <c r="I608" s="30">
        <f t="array" ref="I608">IF(A608="","",_xlfn.TEXTJOIN(", ",TRUE,IF(('Companies'!$A$4:$A$63&lt;&gt;"")*(COUNTIFS('Access'!$A$4:$A$1503,A608,'Access'!$F$4:$F$1503,"*"&amp;'Companies'!$A$4:$A$63&amp;"*")&gt;0),'Companies'!$A$4:$A$63,"")))</f>
        <v/>
      </c>
      <c r="J608" s="30">
        <f>IF(A608="","",IF(COUNTIF($A$4:$A$1003,A608)&gt;1,"Duplicate email",IF(ISERROR(FIND("@",A608)),"Not an email address",IF(AND(H608=0,E608=""),"Investor without holders","OK"))))</f>
        <v/>
      </c>
    </row>
    <row r="609">
      <c r="A609" s="26" t="n"/>
      <c r="B609" s="26" t="n"/>
      <c r="C609" s="26" t="n"/>
      <c r="D609" s="26" t="n"/>
      <c r="E609" s="26" t="n"/>
      <c r="F609" s="26" t="n"/>
      <c r="G609" s="26" t="n"/>
      <c r="H609" s="30">
        <f>IF(A609="","",COUNTIF('Access'!$A$4:$A$1503,A609))</f>
        <v/>
      </c>
      <c r="I609" s="30">
        <f t="array" ref="I609">IF(A609="","",_xlfn.TEXTJOIN(", ",TRUE,IF(('Companies'!$A$4:$A$63&lt;&gt;"")*(COUNTIFS('Access'!$A$4:$A$1503,A609,'Access'!$F$4:$F$1503,"*"&amp;'Companies'!$A$4:$A$63&amp;"*")&gt;0),'Companies'!$A$4:$A$63,"")))</f>
        <v/>
      </c>
      <c r="J609" s="30">
        <f>IF(A609="","",IF(COUNTIF($A$4:$A$1003,A609)&gt;1,"Duplicate email",IF(ISERROR(FIND("@",A609)),"Not an email address",IF(AND(H609=0,E609=""),"Investor without holders","OK"))))</f>
        <v/>
      </c>
    </row>
    <row r="610">
      <c r="A610" s="26" t="n"/>
      <c r="B610" s="26" t="n"/>
      <c r="C610" s="26" t="n"/>
      <c r="D610" s="26" t="n"/>
      <c r="E610" s="26" t="n"/>
      <c r="F610" s="26" t="n"/>
      <c r="G610" s="26" t="n"/>
      <c r="H610" s="30">
        <f>IF(A610="","",COUNTIF('Access'!$A$4:$A$1503,A610))</f>
        <v/>
      </c>
      <c r="I610" s="30">
        <f t="array" ref="I610">IF(A610="","",_xlfn.TEXTJOIN(", ",TRUE,IF(('Companies'!$A$4:$A$63&lt;&gt;"")*(COUNTIFS('Access'!$A$4:$A$1503,A610,'Access'!$F$4:$F$1503,"*"&amp;'Companies'!$A$4:$A$63&amp;"*")&gt;0),'Companies'!$A$4:$A$63,"")))</f>
        <v/>
      </c>
      <c r="J610" s="30">
        <f>IF(A610="","",IF(COUNTIF($A$4:$A$1003,A610)&gt;1,"Duplicate email",IF(ISERROR(FIND("@",A610)),"Not an email address",IF(AND(H610=0,E610=""),"Investor without holders","OK"))))</f>
        <v/>
      </c>
    </row>
    <row r="611">
      <c r="A611" s="26" t="n"/>
      <c r="B611" s="26" t="n"/>
      <c r="C611" s="26" t="n"/>
      <c r="D611" s="26" t="n"/>
      <c r="E611" s="26" t="n"/>
      <c r="F611" s="26" t="n"/>
      <c r="G611" s="26" t="n"/>
      <c r="H611" s="30">
        <f>IF(A611="","",COUNTIF('Access'!$A$4:$A$1503,A611))</f>
        <v/>
      </c>
      <c r="I611" s="30">
        <f t="array" ref="I611">IF(A611="","",_xlfn.TEXTJOIN(", ",TRUE,IF(('Companies'!$A$4:$A$63&lt;&gt;"")*(COUNTIFS('Access'!$A$4:$A$1503,A611,'Access'!$F$4:$F$1503,"*"&amp;'Companies'!$A$4:$A$63&amp;"*")&gt;0),'Companies'!$A$4:$A$63,"")))</f>
        <v/>
      </c>
      <c r="J611" s="30">
        <f>IF(A611="","",IF(COUNTIF($A$4:$A$1003,A611)&gt;1,"Duplicate email",IF(ISERROR(FIND("@",A611)),"Not an email address",IF(AND(H611=0,E611=""),"Investor without holders","OK"))))</f>
        <v/>
      </c>
    </row>
    <row r="612">
      <c r="A612" s="26" t="n"/>
      <c r="B612" s="26" t="n"/>
      <c r="C612" s="26" t="n"/>
      <c r="D612" s="26" t="n"/>
      <c r="E612" s="26" t="n"/>
      <c r="F612" s="26" t="n"/>
      <c r="G612" s="26" t="n"/>
      <c r="H612" s="30">
        <f>IF(A612="","",COUNTIF('Access'!$A$4:$A$1503,A612))</f>
        <v/>
      </c>
      <c r="I612" s="30">
        <f t="array" ref="I612">IF(A612="","",_xlfn.TEXTJOIN(", ",TRUE,IF(('Companies'!$A$4:$A$63&lt;&gt;"")*(COUNTIFS('Access'!$A$4:$A$1503,A612,'Access'!$F$4:$F$1503,"*"&amp;'Companies'!$A$4:$A$63&amp;"*")&gt;0),'Companies'!$A$4:$A$63,"")))</f>
        <v/>
      </c>
      <c r="J612" s="30">
        <f>IF(A612="","",IF(COUNTIF($A$4:$A$1003,A612)&gt;1,"Duplicate email",IF(ISERROR(FIND("@",A612)),"Not an email address",IF(AND(H612=0,E612=""),"Investor without holders","OK"))))</f>
        <v/>
      </c>
    </row>
    <row r="613">
      <c r="A613" s="26" t="n"/>
      <c r="B613" s="26" t="n"/>
      <c r="C613" s="26" t="n"/>
      <c r="D613" s="26" t="n"/>
      <c r="E613" s="26" t="n"/>
      <c r="F613" s="26" t="n"/>
      <c r="G613" s="26" t="n"/>
      <c r="H613" s="30">
        <f>IF(A613="","",COUNTIF('Access'!$A$4:$A$1503,A613))</f>
        <v/>
      </c>
      <c r="I613" s="30">
        <f t="array" ref="I613">IF(A613="","",_xlfn.TEXTJOIN(", ",TRUE,IF(('Companies'!$A$4:$A$63&lt;&gt;"")*(COUNTIFS('Access'!$A$4:$A$1503,A613,'Access'!$F$4:$F$1503,"*"&amp;'Companies'!$A$4:$A$63&amp;"*")&gt;0),'Companies'!$A$4:$A$63,"")))</f>
        <v/>
      </c>
      <c r="J613" s="30">
        <f>IF(A613="","",IF(COUNTIF($A$4:$A$1003,A613)&gt;1,"Duplicate email",IF(ISERROR(FIND("@",A613)),"Not an email address",IF(AND(H613=0,E613=""),"Investor without holders","OK"))))</f>
        <v/>
      </c>
    </row>
    <row r="614">
      <c r="A614" s="26" t="n"/>
      <c r="B614" s="26" t="n"/>
      <c r="C614" s="26" t="n"/>
      <c r="D614" s="26" t="n"/>
      <c r="E614" s="26" t="n"/>
      <c r="F614" s="26" t="n"/>
      <c r="G614" s="26" t="n"/>
      <c r="H614" s="30">
        <f>IF(A614="","",COUNTIF('Access'!$A$4:$A$1503,A614))</f>
        <v/>
      </c>
      <c r="I614" s="30">
        <f t="array" ref="I614">IF(A614="","",_xlfn.TEXTJOIN(", ",TRUE,IF(('Companies'!$A$4:$A$63&lt;&gt;"")*(COUNTIFS('Access'!$A$4:$A$1503,A614,'Access'!$F$4:$F$1503,"*"&amp;'Companies'!$A$4:$A$63&amp;"*")&gt;0),'Companies'!$A$4:$A$63,"")))</f>
        <v/>
      </c>
      <c r="J614" s="30">
        <f>IF(A614="","",IF(COUNTIF($A$4:$A$1003,A614)&gt;1,"Duplicate email",IF(ISERROR(FIND("@",A614)),"Not an email address",IF(AND(H614=0,E614=""),"Investor without holders","OK"))))</f>
        <v/>
      </c>
    </row>
    <row r="615">
      <c r="A615" s="26" t="n"/>
      <c r="B615" s="26" t="n"/>
      <c r="C615" s="26" t="n"/>
      <c r="D615" s="26" t="n"/>
      <c r="E615" s="26" t="n"/>
      <c r="F615" s="26" t="n"/>
      <c r="G615" s="26" t="n"/>
      <c r="H615" s="30">
        <f>IF(A615="","",COUNTIF('Access'!$A$4:$A$1503,A615))</f>
        <v/>
      </c>
      <c r="I615" s="30">
        <f t="array" ref="I615">IF(A615="","",_xlfn.TEXTJOIN(", ",TRUE,IF(('Companies'!$A$4:$A$63&lt;&gt;"")*(COUNTIFS('Access'!$A$4:$A$1503,A615,'Access'!$F$4:$F$1503,"*"&amp;'Companies'!$A$4:$A$63&amp;"*")&gt;0),'Companies'!$A$4:$A$63,"")))</f>
        <v/>
      </c>
      <c r="J615" s="30">
        <f>IF(A615="","",IF(COUNTIF($A$4:$A$1003,A615)&gt;1,"Duplicate email",IF(ISERROR(FIND("@",A615)),"Not an email address",IF(AND(H615=0,E615=""),"Investor without holders","OK"))))</f>
        <v/>
      </c>
    </row>
    <row r="616">
      <c r="A616" s="26" t="n"/>
      <c r="B616" s="26" t="n"/>
      <c r="C616" s="26" t="n"/>
      <c r="D616" s="26" t="n"/>
      <c r="E616" s="26" t="n"/>
      <c r="F616" s="26" t="n"/>
      <c r="G616" s="26" t="n"/>
      <c r="H616" s="30">
        <f>IF(A616="","",COUNTIF('Access'!$A$4:$A$1503,A616))</f>
        <v/>
      </c>
      <c r="I616" s="30">
        <f t="array" ref="I616">IF(A616="","",_xlfn.TEXTJOIN(", ",TRUE,IF(('Companies'!$A$4:$A$63&lt;&gt;"")*(COUNTIFS('Access'!$A$4:$A$1503,A616,'Access'!$F$4:$F$1503,"*"&amp;'Companies'!$A$4:$A$63&amp;"*")&gt;0),'Companies'!$A$4:$A$63,"")))</f>
        <v/>
      </c>
      <c r="J616" s="30">
        <f>IF(A616="","",IF(COUNTIF($A$4:$A$1003,A616)&gt;1,"Duplicate email",IF(ISERROR(FIND("@",A616)),"Not an email address",IF(AND(H616=0,E616=""),"Investor without holders","OK"))))</f>
        <v/>
      </c>
    </row>
    <row r="617">
      <c r="A617" s="26" t="n"/>
      <c r="B617" s="26" t="n"/>
      <c r="C617" s="26" t="n"/>
      <c r="D617" s="26" t="n"/>
      <c r="E617" s="26" t="n"/>
      <c r="F617" s="26" t="n"/>
      <c r="G617" s="26" t="n"/>
      <c r="H617" s="30">
        <f>IF(A617="","",COUNTIF('Access'!$A$4:$A$1503,A617))</f>
        <v/>
      </c>
      <c r="I617" s="30">
        <f t="array" ref="I617">IF(A617="","",_xlfn.TEXTJOIN(", ",TRUE,IF(('Companies'!$A$4:$A$63&lt;&gt;"")*(COUNTIFS('Access'!$A$4:$A$1503,A617,'Access'!$F$4:$F$1503,"*"&amp;'Companies'!$A$4:$A$63&amp;"*")&gt;0),'Companies'!$A$4:$A$63,"")))</f>
        <v/>
      </c>
      <c r="J617" s="30">
        <f>IF(A617="","",IF(COUNTIF($A$4:$A$1003,A617)&gt;1,"Duplicate email",IF(ISERROR(FIND("@",A617)),"Not an email address",IF(AND(H617=0,E617=""),"Investor without holders","OK"))))</f>
        <v/>
      </c>
    </row>
    <row r="618">
      <c r="A618" s="26" t="n"/>
      <c r="B618" s="26" t="n"/>
      <c r="C618" s="26" t="n"/>
      <c r="D618" s="26" t="n"/>
      <c r="E618" s="26" t="n"/>
      <c r="F618" s="26" t="n"/>
      <c r="G618" s="26" t="n"/>
      <c r="H618" s="30">
        <f>IF(A618="","",COUNTIF('Access'!$A$4:$A$1503,A618))</f>
        <v/>
      </c>
      <c r="I618" s="30">
        <f t="array" ref="I618">IF(A618="","",_xlfn.TEXTJOIN(", ",TRUE,IF(('Companies'!$A$4:$A$63&lt;&gt;"")*(COUNTIFS('Access'!$A$4:$A$1503,A618,'Access'!$F$4:$F$1503,"*"&amp;'Companies'!$A$4:$A$63&amp;"*")&gt;0),'Companies'!$A$4:$A$63,"")))</f>
        <v/>
      </c>
      <c r="J618" s="30">
        <f>IF(A618="","",IF(COUNTIF($A$4:$A$1003,A618)&gt;1,"Duplicate email",IF(ISERROR(FIND("@",A618)),"Not an email address",IF(AND(H618=0,E618=""),"Investor without holders","OK"))))</f>
        <v/>
      </c>
    </row>
    <row r="619">
      <c r="A619" s="26" t="n"/>
      <c r="B619" s="26" t="n"/>
      <c r="C619" s="26" t="n"/>
      <c r="D619" s="26" t="n"/>
      <c r="E619" s="26" t="n"/>
      <c r="F619" s="26" t="n"/>
      <c r="G619" s="26" t="n"/>
      <c r="H619" s="30">
        <f>IF(A619="","",COUNTIF('Access'!$A$4:$A$1503,A619))</f>
        <v/>
      </c>
      <c r="I619" s="30">
        <f t="array" ref="I619">IF(A619="","",_xlfn.TEXTJOIN(", ",TRUE,IF(('Companies'!$A$4:$A$63&lt;&gt;"")*(COUNTIFS('Access'!$A$4:$A$1503,A619,'Access'!$F$4:$F$1503,"*"&amp;'Companies'!$A$4:$A$63&amp;"*")&gt;0),'Companies'!$A$4:$A$63,"")))</f>
        <v/>
      </c>
      <c r="J619" s="30">
        <f>IF(A619="","",IF(COUNTIF($A$4:$A$1003,A619)&gt;1,"Duplicate email",IF(ISERROR(FIND("@",A619)),"Not an email address",IF(AND(H619=0,E619=""),"Investor without holders","OK"))))</f>
        <v/>
      </c>
    </row>
    <row r="620">
      <c r="A620" s="26" t="n"/>
      <c r="B620" s="26" t="n"/>
      <c r="C620" s="26" t="n"/>
      <c r="D620" s="26" t="n"/>
      <c r="E620" s="26" t="n"/>
      <c r="F620" s="26" t="n"/>
      <c r="G620" s="26" t="n"/>
      <c r="H620" s="30">
        <f>IF(A620="","",COUNTIF('Access'!$A$4:$A$1503,A620))</f>
        <v/>
      </c>
      <c r="I620" s="30">
        <f t="array" ref="I620">IF(A620="","",_xlfn.TEXTJOIN(", ",TRUE,IF(('Companies'!$A$4:$A$63&lt;&gt;"")*(COUNTIFS('Access'!$A$4:$A$1503,A620,'Access'!$F$4:$F$1503,"*"&amp;'Companies'!$A$4:$A$63&amp;"*")&gt;0),'Companies'!$A$4:$A$63,"")))</f>
        <v/>
      </c>
      <c r="J620" s="30">
        <f>IF(A620="","",IF(COUNTIF($A$4:$A$1003,A620)&gt;1,"Duplicate email",IF(ISERROR(FIND("@",A620)),"Not an email address",IF(AND(H620=0,E620=""),"Investor without holders","OK"))))</f>
        <v/>
      </c>
    </row>
    <row r="621">
      <c r="A621" s="26" t="n"/>
      <c r="B621" s="26" t="n"/>
      <c r="C621" s="26" t="n"/>
      <c r="D621" s="26" t="n"/>
      <c r="E621" s="26" t="n"/>
      <c r="F621" s="26" t="n"/>
      <c r="G621" s="26" t="n"/>
      <c r="H621" s="30">
        <f>IF(A621="","",COUNTIF('Access'!$A$4:$A$1503,A621))</f>
        <v/>
      </c>
      <c r="I621" s="30">
        <f t="array" ref="I621">IF(A621="","",_xlfn.TEXTJOIN(", ",TRUE,IF(('Companies'!$A$4:$A$63&lt;&gt;"")*(COUNTIFS('Access'!$A$4:$A$1503,A621,'Access'!$F$4:$F$1503,"*"&amp;'Companies'!$A$4:$A$63&amp;"*")&gt;0),'Companies'!$A$4:$A$63,"")))</f>
        <v/>
      </c>
      <c r="J621" s="30">
        <f>IF(A621="","",IF(COUNTIF($A$4:$A$1003,A621)&gt;1,"Duplicate email",IF(ISERROR(FIND("@",A621)),"Not an email address",IF(AND(H621=0,E621=""),"Investor without holders","OK"))))</f>
        <v/>
      </c>
    </row>
    <row r="622">
      <c r="A622" s="26" t="n"/>
      <c r="B622" s="26" t="n"/>
      <c r="C622" s="26" t="n"/>
      <c r="D622" s="26" t="n"/>
      <c r="E622" s="26" t="n"/>
      <c r="F622" s="26" t="n"/>
      <c r="G622" s="26" t="n"/>
      <c r="H622" s="30">
        <f>IF(A622="","",COUNTIF('Access'!$A$4:$A$1503,A622))</f>
        <v/>
      </c>
      <c r="I622" s="30">
        <f t="array" ref="I622">IF(A622="","",_xlfn.TEXTJOIN(", ",TRUE,IF(('Companies'!$A$4:$A$63&lt;&gt;"")*(COUNTIFS('Access'!$A$4:$A$1503,A622,'Access'!$F$4:$F$1503,"*"&amp;'Companies'!$A$4:$A$63&amp;"*")&gt;0),'Companies'!$A$4:$A$63,"")))</f>
        <v/>
      </c>
      <c r="J622" s="30">
        <f>IF(A622="","",IF(COUNTIF($A$4:$A$1003,A622)&gt;1,"Duplicate email",IF(ISERROR(FIND("@",A622)),"Not an email address",IF(AND(H622=0,E622=""),"Investor without holders","OK"))))</f>
        <v/>
      </c>
    </row>
    <row r="623">
      <c r="A623" s="26" t="n"/>
      <c r="B623" s="26" t="n"/>
      <c r="C623" s="26" t="n"/>
      <c r="D623" s="26" t="n"/>
      <c r="E623" s="26" t="n"/>
      <c r="F623" s="26" t="n"/>
      <c r="G623" s="26" t="n"/>
      <c r="H623" s="30">
        <f>IF(A623="","",COUNTIF('Access'!$A$4:$A$1503,A623))</f>
        <v/>
      </c>
      <c r="I623" s="30">
        <f t="array" ref="I623">IF(A623="","",_xlfn.TEXTJOIN(", ",TRUE,IF(('Companies'!$A$4:$A$63&lt;&gt;"")*(COUNTIFS('Access'!$A$4:$A$1503,A623,'Access'!$F$4:$F$1503,"*"&amp;'Companies'!$A$4:$A$63&amp;"*")&gt;0),'Companies'!$A$4:$A$63,"")))</f>
        <v/>
      </c>
      <c r="J623" s="30">
        <f>IF(A623="","",IF(COUNTIF($A$4:$A$1003,A623)&gt;1,"Duplicate email",IF(ISERROR(FIND("@",A623)),"Not an email address",IF(AND(H623=0,E623=""),"Investor without holders","OK"))))</f>
        <v/>
      </c>
    </row>
    <row r="624">
      <c r="A624" s="26" t="n"/>
      <c r="B624" s="26" t="n"/>
      <c r="C624" s="26" t="n"/>
      <c r="D624" s="26" t="n"/>
      <c r="E624" s="26" t="n"/>
      <c r="F624" s="26" t="n"/>
      <c r="G624" s="26" t="n"/>
      <c r="H624" s="30">
        <f>IF(A624="","",COUNTIF('Access'!$A$4:$A$1503,A624))</f>
        <v/>
      </c>
      <c r="I624" s="30">
        <f t="array" ref="I624">IF(A624="","",_xlfn.TEXTJOIN(", ",TRUE,IF(('Companies'!$A$4:$A$63&lt;&gt;"")*(COUNTIFS('Access'!$A$4:$A$1503,A624,'Access'!$F$4:$F$1503,"*"&amp;'Companies'!$A$4:$A$63&amp;"*")&gt;0),'Companies'!$A$4:$A$63,"")))</f>
        <v/>
      </c>
      <c r="J624" s="30">
        <f>IF(A624="","",IF(COUNTIF($A$4:$A$1003,A624)&gt;1,"Duplicate email",IF(ISERROR(FIND("@",A624)),"Not an email address",IF(AND(H624=0,E624=""),"Investor without holders","OK"))))</f>
        <v/>
      </c>
    </row>
    <row r="625">
      <c r="A625" s="26" t="n"/>
      <c r="B625" s="26" t="n"/>
      <c r="C625" s="26" t="n"/>
      <c r="D625" s="26" t="n"/>
      <c r="E625" s="26" t="n"/>
      <c r="F625" s="26" t="n"/>
      <c r="G625" s="26" t="n"/>
      <c r="H625" s="30">
        <f>IF(A625="","",COUNTIF('Access'!$A$4:$A$1503,A625))</f>
        <v/>
      </c>
      <c r="I625" s="30">
        <f t="array" ref="I625">IF(A625="","",_xlfn.TEXTJOIN(", ",TRUE,IF(('Companies'!$A$4:$A$63&lt;&gt;"")*(COUNTIFS('Access'!$A$4:$A$1503,A625,'Access'!$F$4:$F$1503,"*"&amp;'Companies'!$A$4:$A$63&amp;"*")&gt;0),'Companies'!$A$4:$A$63,"")))</f>
        <v/>
      </c>
      <c r="J625" s="30">
        <f>IF(A625="","",IF(COUNTIF($A$4:$A$1003,A625)&gt;1,"Duplicate email",IF(ISERROR(FIND("@",A625)),"Not an email address",IF(AND(H625=0,E625=""),"Investor without holders","OK"))))</f>
        <v/>
      </c>
    </row>
    <row r="626">
      <c r="A626" s="26" t="n"/>
      <c r="B626" s="26" t="n"/>
      <c r="C626" s="26" t="n"/>
      <c r="D626" s="26" t="n"/>
      <c r="E626" s="26" t="n"/>
      <c r="F626" s="26" t="n"/>
      <c r="G626" s="26" t="n"/>
      <c r="H626" s="30">
        <f>IF(A626="","",COUNTIF('Access'!$A$4:$A$1503,A626))</f>
        <v/>
      </c>
      <c r="I626" s="30">
        <f t="array" ref="I626">IF(A626="","",_xlfn.TEXTJOIN(", ",TRUE,IF(('Companies'!$A$4:$A$63&lt;&gt;"")*(COUNTIFS('Access'!$A$4:$A$1503,A626,'Access'!$F$4:$F$1503,"*"&amp;'Companies'!$A$4:$A$63&amp;"*")&gt;0),'Companies'!$A$4:$A$63,"")))</f>
        <v/>
      </c>
      <c r="J626" s="30">
        <f>IF(A626="","",IF(COUNTIF($A$4:$A$1003,A626)&gt;1,"Duplicate email",IF(ISERROR(FIND("@",A626)),"Not an email address",IF(AND(H626=0,E626=""),"Investor without holders","OK"))))</f>
        <v/>
      </c>
    </row>
    <row r="627">
      <c r="A627" s="26" t="n"/>
      <c r="B627" s="26" t="n"/>
      <c r="C627" s="26" t="n"/>
      <c r="D627" s="26" t="n"/>
      <c r="E627" s="26" t="n"/>
      <c r="F627" s="26" t="n"/>
      <c r="G627" s="26" t="n"/>
      <c r="H627" s="30">
        <f>IF(A627="","",COUNTIF('Access'!$A$4:$A$1503,A627))</f>
        <v/>
      </c>
      <c r="I627" s="30">
        <f t="array" ref="I627">IF(A627="","",_xlfn.TEXTJOIN(", ",TRUE,IF(('Companies'!$A$4:$A$63&lt;&gt;"")*(COUNTIFS('Access'!$A$4:$A$1503,A627,'Access'!$F$4:$F$1503,"*"&amp;'Companies'!$A$4:$A$63&amp;"*")&gt;0),'Companies'!$A$4:$A$63,"")))</f>
        <v/>
      </c>
      <c r="J627" s="30">
        <f>IF(A627="","",IF(COUNTIF($A$4:$A$1003,A627)&gt;1,"Duplicate email",IF(ISERROR(FIND("@",A627)),"Not an email address",IF(AND(H627=0,E627=""),"Investor without holders","OK"))))</f>
        <v/>
      </c>
    </row>
    <row r="628">
      <c r="A628" s="26" t="n"/>
      <c r="B628" s="26" t="n"/>
      <c r="C628" s="26" t="n"/>
      <c r="D628" s="26" t="n"/>
      <c r="E628" s="26" t="n"/>
      <c r="F628" s="26" t="n"/>
      <c r="G628" s="26" t="n"/>
      <c r="H628" s="30">
        <f>IF(A628="","",COUNTIF('Access'!$A$4:$A$1503,A628))</f>
        <v/>
      </c>
      <c r="I628" s="30">
        <f t="array" ref="I628">IF(A628="","",_xlfn.TEXTJOIN(", ",TRUE,IF(('Companies'!$A$4:$A$63&lt;&gt;"")*(COUNTIFS('Access'!$A$4:$A$1503,A628,'Access'!$F$4:$F$1503,"*"&amp;'Companies'!$A$4:$A$63&amp;"*")&gt;0),'Companies'!$A$4:$A$63,"")))</f>
        <v/>
      </c>
      <c r="J628" s="30">
        <f>IF(A628="","",IF(COUNTIF($A$4:$A$1003,A628)&gt;1,"Duplicate email",IF(ISERROR(FIND("@",A628)),"Not an email address",IF(AND(H628=0,E628=""),"Investor without holders","OK"))))</f>
        <v/>
      </c>
    </row>
    <row r="629">
      <c r="A629" s="26" t="n"/>
      <c r="B629" s="26" t="n"/>
      <c r="C629" s="26" t="n"/>
      <c r="D629" s="26" t="n"/>
      <c r="E629" s="26" t="n"/>
      <c r="F629" s="26" t="n"/>
      <c r="G629" s="26" t="n"/>
      <c r="H629" s="30">
        <f>IF(A629="","",COUNTIF('Access'!$A$4:$A$1503,A629))</f>
        <v/>
      </c>
      <c r="I629" s="30">
        <f t="array" ref="I629">IF(A629="","",_xlfn.TEXTJOIN(", ",TRUE,IF(('Companies'!$A$4:$A$63&lt;&gt;"")*(COUNTIFS('Access'!$A$4:$A$1503,A629,'Access'!$F$4:$F$1503,"*"&amp;'Companies'!$A$4:$A$63&amp;"*")&gt;0),'Companies'!$A$4:$A$63,"")))</f>
        <v/>
      </c>
      <c r="J629" s="30">
        <f>IF(A629="","",IF(COUNTIF($A$4:$A$1003,A629)&gt;1,"Duplicate email",IF(ISERROR(FIND("@",A629)),"Not an email address",IF(AND(H629=0,E629=""),"Investor without holders","OK"))))</f>
        <v/>
      </c>
    </row>
    <row r="630">
      <c r="A630" s="26" t="n"/>
      <c r="B630" s="26" t="n"/>
      <c r="C630" s="26" t="n"/>
      <c r="D630" s="26" t="n"/>
      <c r="E630" s="26" t="n"/>
      <c r="F630" s="26" t="n"/>
      <c r="G630" s="26" t="n"/>
      <c r="H630" s="30">
        <f>IF(A630="","",COUNTIF('Access'!$A$4:$A$1503,A630))</f>
        <v/>
      </c>
      <c r="I630" s="30">
        <f t="array" ref="I630">IF(A630="","",_xlfn.TEXTJOIN(", ",TRUE,IF(('Companies'!$A$4:$A$63&lt;&gt;"")*(COUNTIFS('Access'!$A$4:$A$1503,A630,'Access'!$F$4:$F$1503,"*"&amp;'Companies'!$A$4:$A$63&amp;"*")&gt;0),'Companies'!$A$4:$A$63,"")))</f>
        <v/>
      </c>
      <c r="J630" s="30">
        <f>IF(A630="","",IF(COUNTIF($A$4:$A$1003,A630)&gt;1,"Duplicate email",IF(ISERROR(FIND("@",A630)),"Not an email address",IF(AND(H630=0,E630=""),"Investor without holders","OK"))))</f>
        <v/>
      </c>
    </row>
    <row r="631">
      <c r="A631" s="26" t="n"/>
      <c r="B631" s="26" t="n"/>
      <c r="C631" s="26" t="n"/>
      <c r="D631" s="26" t="n"/>
      <c r="E631" s="26" t="n"/>
      <c r="F631" s="26" t="n"/>
      <c r="G631" s="26" t="n"/>
      <c r="H631" s="30">
        <f>IF(A631="","",COUNTIF('Access'!$A$4:$A$1503,A631))</f>
        <v/>
      </c>
      <c r="I631" s="30">
        <f t="array" ref="I631">IF(A631="","",_xlfn.TEXTJOIN(", ",TRUE,IF(('Companies'!$A$4:$A$63&lt;&gt;"")*(COUNTIFS('Access'!$A$4:$A$1503,A631,'Access'!$F$4:$F$1503,"*"&amp;'Companies'!$A$4:$A$63&amp;"*")&gt;0),'Companies'!$A$4:$A$63,"")))</f>
        <v/>
      </c>
      <c r="J631" s="30">
        <f>IF(A631="","",IF(COUNTIF($A$4:$A$1003,A631)&gt;1,"Duplicate email",IF(ISERROR(FIND("@",A631)),"Not an email address",IF(AND(H631=0,E631=""),"Investor without holders","OK"))))</f>
        <v/>
      </c>
    </row>
    <row r="632">
      <c r="A632" s="26" t="n"/>
      <c r="B632" s="26" t="n"/>
      <c r="C632" s="26" t="n"/>
      <c r="D632" s="26" t="n"/>
      <c r="E632" s="26" t="n"/>
      <c r="F632" s="26" t="n"/>
      <c r="G632" s="26" t="n"/>
      <c r="H632" s="30">
        <f>IF(A632="","",COUNTIF('Access'!$A$4:$A$1503,A632))</f>
        <v/>
      </c>
      <c r="I632" s="30">
        <f t="array" ref="I632">IF(A632="","",_xlfn.TEXTJOIN(", ",TRUE,IF(('Companies'!$A$4:$A$63&lt;&gt;"")*(COUNTIFS('Access'!$A$4:$A$1503,A632,'Access'!$F$4:$F$1503,"*"&amp;'Companies'!$A$4:$A$63&amp;"*")&gt;0),'Companies'!$A$4:$A$63,"")))</f>
        <v/>
      </c>
      <c r="J632" s="30">
        <f>IF(A632="","",IF(COUNTIF($A$4:$A$1003,A632)&gt;1,"Duplicate email",IF(ISERROR(FIND("@",A632)),"Not an email address",IF(AND(H632=0,E632=""),"Investor without holders","OK"))))</f>
        <v/>
      </c>
    </row>
    <row r="633">
      <c r="A633" s="26" t="n"/>
      <c r="B633" s="26" t="n"/>
      <c r="C633" s="26" t="n"/>
      <c r="D633" s="26" t="n"/>
      <c r="E633" s="26" t="n"/>
      <c r="F633" s="26" t="n"/>
      <c r="G633" s="26" t="n"/>
      <c r="H633" s="30">
        <f>IF(A633="","",COUNTIF('Access'!$A$4:$A$1503,A633))</f>
        <v/>
      </c>
      <c r="I633" s="30">
        <f t="array" ref="I633">IF(A633="","",_xlfn.TEXTJOIN(", ",TRUE,IF(('Companies'!$A$4:$A$63&lt;&gt;"")*(COUNTIFS('Access'!$A$4:$A$1503,A633,'Access'!$F$4:$F$1503,"*"&amp;'Companies'!$A$4:$A$63&amp;"*")&gt;0),'Companies'!$A$4:$A$63,"")))</f>
        <v/>
      </c>
      <c r="J633" s="30">
        <f>IF(A633="","",IF(COUNTIF($A$4:$A$1003,A633)&gt;1,"Duplicate email",IF(ISERROR(FIND("@",A633)),"Not an email address",IF(AND(H633=0,E633=""),"Investor without holders","OK"))))</f>
        <v/>
      </c>
    </row>
    <row r="634">
      <c r="A634" s="26" t="n"/>
      <c r="B634" s="26" t="n"/>
      <c r="C634" s="26" t="n"/>
      <c r="D634" s="26" t="n"/>
      <c r="E634" s="26" t="n"/>
      <c r="F634" s="26" t="n"/>
      <c r="G634" s="26" t="n"/>
      <c r="H634" s="30">
        <f>IF(A634="","",COUNTIF('Access'!$A$4:$A$1503,A634))</f>
        <v/>
      </c>
      <c r="I634" s="30">
        <f t="array" ref="I634">IF(A634="","",_xlfn.TEXTJOIN(", ",TRUE,IF(('Companies'!$A$4:$A$63&lt;&gt;"")*(COUNTIFS('Access'!$A$4:$A$1503,A634,'Access'!$F$4:$F$1503,"*"&amp;'Companies'!$A$4:$A$63&amp;"*")&gt;0),'Companies'!$A$4:$A$63,"")))</f>
        <v/>
      </c>
      <c r="J634" s="30">
        <f>IF(A634="","",IF(COUNTIF($A$4:$A$1003,A634)&gt;1,"Duplicate email",IF(ISERROR(FIND("@",A634)),"Not an email address",IF(AND(H634=0,E634=""),"Investor without holders","OK"))))</f>
        <v/>
      </c>
    </row>
    <row r="635">
      <c r="A635" s="26" t="n"/>
      <c r="B635" s="26" t="n"/>
      <c r="C635" s="26" t="n"/>
      <c r="D635" s="26" t="n"/>
      <c r="E635" s="26" t="n"/>
      <c r="F635" s="26" t="n"/>
      <c r="G635" s="26" t="n"/>
      <c r="H635" s="30">
        <f>IF(A635="","",COUNTIF('Access'!$A$4:$A$1503,A635))</f>
        <v/>
      </c>
      <c r="I635" s="30">
        <f t="array" ref="I635">IF(A635="","",_xlfn.TEXTJOIN(", ",TRUE,IF(('Companies'!$A$4:$A$63&lt;&gt;"")*(COUNTIFS('Access'!$A$4:$A$1503,A635,'Access'!$F$4:$F$1503,"*"&amp;'Companies'!$A$4:$A$63&amp;"*")&gt;0),'Companies'!$A$4:$A$63,"")))</f>
        <v/>
      </c>
      <c r="J635" s="30">
        <f>IF(A635="","",IF(COUNTIF($A$4:$A$1003,A635)&gt;1,"Duplicate email",IF(ISERROR(FIND("@",A635)),"Not an email address",IF(AND(H635=0,E635=""),"Investor without holders","OK"))))</f>
        <v/>
      </c>
    </row>
    <row r="636">
      <c r="A636" s="26" t="n"/>
      <c r="B636" s="26" t="n"/>
      <c r="C636" s="26" t="n"/>
      <c r="D636" s="26" t="n"/>
      <c r="E636" s="26" t="n"/>
      <c r="F636" s="26" t="n"/>
      <c r="G636" s="26" t="n"/>
      <c r="H636" s="30">
        <f>IF(A636="","",COUNTIF('Access'!$A$4:$A$1503,A636))</f>
        <v/>
      </c>
      <c r="I636" s="30">
        <f t="array" ref="I636">IF(A636="","",_xlfn.TEXTJOIN(", ",TRUE,IF(('Companies'!$A$4:$A$63&lt;&gt;"")*(COUNTIFS('Access'!$A$4:$A$1503,A636,'Access'!$F$4:$F$1503,"*"&amp;'Companies'!$A$4:$A$63&amp;"*")&gt;0),'Companies'!$A$4:$A$63,"")))</f>
        <v/>
      </c>
      <c r="J636" s="30">
        <f>IF(A636="","",IF(COUNTIF($A$4:$A$1003,A636)&gt;1,"Duplicate email",IF(ISERROR(FIND("@",A636)),"Not an email address",IF(AND(H636=0,E636=""),"Investor without holders","OK"))))</f>
        <v/>
      </c>
    </row>
    <row r="637">
      <c r="A637" s="26" t="n"/>
      <c r="B637" s="26" t="n"/>
      <c r="C637" s="26" t="n"/>
      <c r="D637" s="26" t="n"/>
      <c r="E637" s="26" t="n"/>
      <c r="F637" s="26" t="n"/>
      <c r="G637" s="26" t="n"/>
      <c r="H637" s="30">
        <f>IF(A637="","",COUNTIF('Access'!$A$4:$A$1503,A637))</f>
        <v/>
      </c>
      <c r="I637" s="30">
        <f t="array" ref="I637">IF(A637="","",_xlfn.TEXTJOIN(", ",TRUE,IF(('Companies'!$A$4:$A$63&lt;&gt;"")*(COUNTIFS('Access'!$A$4:$A$1503,A637,'Access'!$F$4:$F$1503,"*"&amp;'Companies'!$A$4:$A$63&amp;"*")&gt;0),'Companies'!$A$4:$A$63,"")))</f>
        <v/>
      </c>
      <c r="J637" s="30">
        <f>IF(A637="","",IF(COUNTIF($A$4:$A$1003,A637)&gt;1,"Duplicate email",IF(ISERROR(FIND("@",A637)),"Not an email address",IF(AND(H637=0,E637=""),"Investor without holders","OK"))))</f>
        <v/>
      </c>
    </row>
    <row r="638">
      <c r="A638" s="26" t="n"/>
      <c r="B638" s="26" t="n"/>
      <c r="C638" s="26" t="n"/>
      <c r="D638" s="26" t="n"/>
      <c r="E638" s="26" t="n"/>
      <c r="F638" s="26" t="n"/>
      <c r="G638" s="26" t="n"/>
      <c r="H638" s="30">
        <f>IF(A638="","",COUNTIF('Access'!$A$4:$A$1503,A638))</f>
        <v/>
      </c>
      <c r="I638" s="30">
        <f t="array" ref="I638">IF(A638="","",_xlfn.TEXTJOIN(", ",TRUE,IF(('Companies'!$A$4:$A$63&lt;&gt;"")*(COUNTIFS('Access'!$A$4:$A$1503,A638,'Access'!$F$4:$F$1503,"*"&amp;'Companies'!$A$4:$A$63&amp;"*")&gt;0),'Companies'!$A$4:$A$63,"")))</f>
        <v/>
      </c>
      <c r="J638" s="30">
        <f>IF(A638="","",IF(COUNTIF($A$4:$A$1003,A638)&gt;1,"Duplicate email",IF(ISERROR(FIND("@",A638)),"Not an email address",IF(AND(H638=0,E638=""),"Investor without holders","OK"))))</f>
        <v/>
      </c>
    </row>
    <row r="639">
      <c r="A639" s="26" t="n"/>
      <c r="B639" s="26" t="n"/>
      <c r="C639" s="26" t="n"/>
      <c r="D639" s="26" t="n"/>
      <c r="E639" s="26" t="n"/>
      <c r="F639" s="26" t="n"/>
      <c r="G639" s="26" t="n"/>
      <c r="H639" s="30">
        <f>IF(A639="","",COUNTIF('Access'!$A$4:$A$1503,A639))</f>
        <v/>
      </c>
      <c r="I639" s="30">
        <f t="array" ref="I639">IF(A639="","",_xlfn.TEXTJOIN(", ",TRUE,IF(('Companies'!$A$4:$A$63&lt;&gt;"")*(COUNTIFS('Access'!$A$4:$A$1503,A639,'Access'!$F$4:$F$1503,"*"&amp;'Companies'!$A$4:$A$63&amp;"*")&gt;0),'Companies'!$A$4:$A$63,"")))</f>
        <v/>
      </c>
      <c r="J639" s="30">
        <f>IF(A639="","",IF(COUNTIF($A$4:$A$1003,A639)&gt;1,"Duplicate email",IF(ISERROR(FIND("@",A639)),"Not an email address",IF(AND(H639=0,E639=""),"Investor without holders","OK"))))</f>
        <v/>
      </c>
    </row>
    <row r="640">
      <c r="A640" s="26" t="n"/>
      <c r="B640" s="26" t="n"/>
      <c r="C640" s="26" t="n"/>
      <c r="D640" s="26" t="n"/>
      <c r="E640" s="26" t="n"/>
      <c r="F640" s="26" t="n"/>
      <c r="G640" s="26" t="n"/>
      <c r="H640" s="30">
        <f>IF(A640="","",COUNTIF('Access'!$A$4:$A$1503,A640))</f>
        <v/>
      </c>
      <c r="I640" s="30">
        <f t="array" ref="I640">IF(A640="","",_xlfn.TEXTJOIN(", ",TRUE,IF(('Companies'!$A$4:$A$63&lt;&gt;"")*(COUNTIFS('Access'!$A$4:$A$1503,A640,'Access'!$F$4:$F$1503,"*"&amp;'Companies'!$A$4:$A$63&amp;"*")&gt;0),'Companies'!$A$4:$A$63,"")))</f>
        <v/>
      </c>
      <c r="J640" s="30">
        <f>IF(A640="","",IF(COUNTIF($A$4:$A$1003,A640)&gt;1,"Duplicate email",IF(ISERROR(FIND("@",A640)),"Not an email address",IF(AND(H640=0,E640=""),"Investor without holders","OK"))))</f>
        <v/>
      </c>
    </row>
    <row r="641">
      <c r="A641" s="26" t="n"/>
      <c r="B641" s="26" t="n"/>
      <c r="C641" s="26" t="n"/>
      <c r="D641" s="26" t="n"/>
      <c r="E641" s="26" t="n"/>
      <c r="F641" s="26" t="n"/>
      <c r="G641" s="26" t="n"/>
      <c r="H641" s="30">
        <f>IF(A641="","",COUNTIF('Access'!$A$4:$A$1503,A641))</f>
        <v/>
      </c>
      <c r="I641" s="30">
        <f t="array" ref="I641">IF(A641="","",_xlfn.TEXTJOIN(", ",TRUE,IF(('Companies'!$A$4:$A$63&lt;&gt;"")*(COUNTIFS('Access'!$A$4:$A$1503,A641,'Access'!$F$4:$F$1503,"*"&amp;'Companies'!$A$4:$A$63&amp;"*")&gt;0),'Companies'!$A$4:$A$63,"")))</f>
        <v/>
      </c>
      <c r="J641" s="30">
        <f>IF(A641="","",IF(COUNTIF($A$4:$A$1003,A641)&gt;1,"Duplicate email",IF(ISERROR(FIND("@",A641)),"Not an email address",IF(AND(H641=0,E641=""),"Investor without holders","OK"))))</f>
        <v/>
      </c>
    </row>
    <row r="642">
      <c r="A642" s="26" t="n"/>
      <c r="B642" s="26" t="n"/>
      <c r="C642" s="26" t="n"/>
      <c r="D642" s="26" t="n"/>
      <c r="E642" s="26" t="n"/>
      <c r="F642" s="26" t="n"/>
      <c r="G642" s="26" t="n"/>
      <c r="H642" s="30">
        <f>IF(A642="","",COUNTIF('Access'!$A$4:$A$1503,A642))</f>
        <v/>
      </c>
      <c r="I642" s="30">
        <f t="array" ref="I642">IF(A642="","",_xlfn.TEXTJOIN(", ",TRUE,IF(('Companies'!$A$4:$A$63&lt;&gt;"")*(COUNTIFS('Access'!$A$4:$A$1503,A642,'Access'!$F$4:$F$1503,"*"&amp;'Companies'!$A$4:$A$63&amp;"*")&gt;0),'Companies'!$A$4:$A$63,"")))</f>
        <v/>
      </c>
      <c r="J642" s="30">
        <f>IF(A642="","",IF(COUNTIF($A$4:$A$1003,A642)&gt;1,"Duplicate email",IF(ISERROR(FIND("@",A642)),"Not an email address",IF(AND(H642=0,E642=""),"Investor without holders","OK"))))</f>
        <v/>
      </c>
    </row>
    <row r="643">
      <c r="A643" s="26" t="n"/>
      <c r="B643" s="26" t="n"/>
      <c r="C643" s="26" t="n"/>
      <c r="D643" s="26" t="n"/>
      <c r="E643" s="26" t="n"/>
      <c r="F643" s="26" t="n"/>
      <c r="G643" s="26" t="n"/>
      <c r="H643" s="30">
        <f>IF(A643="","",COUNTIF('Access'!$A$4:$A$1503,A643))</f>
        <v/>
      </c>
      <c r="I643" s="30">
        <f t="array" ref="I643">IF(A643="","",_xlfn.TEXTJOIN(", ",TRUE,IF(('Companies'!$A$4:$A$63&lt;&gt;"")*(COUNTIFS('Access'!$A$4:$A$1503,A643,'Access'!$F$4:$F$1503,"*"&amp;'Companies'!$A$4:$A$63&amp;"*")&gt;0),'Companies'!$A$4:$A$63,"")))</f>
        <v/>
      </c>
      <c r="J643" s="30">
        <f>IF(A643="","",IF(COUNTIF($A$4:$A$1003,A643)&gt;1,"Duplicate email",IF(ISERROR(FIND("@",A643)),"Not an email address",IF(AND(H643=0,E643=""),"Investor without holders","OK"))))</f>
        <v/>
      </c>
    </row>
    <row r="644">
      <c r="A644" s="26" t="n"/>
      <c r="B644" s="26" t="n"/>
      <c r="C644" s="26" t="n"/>
      <c r="D644" s="26" t="n"/>
      <c r="E644" s="26" t="n"/>
      <c r="F644" s="26" t="n"/>
      <c r="G644" s="26" t="n"/>
      <c r="H644" s="30">
        <f>IF(A644="","",COUNTIF('Access'!$A$4:$A$1503,A644))</f>
        <v/>
      </c>
      <c r="I644" s="30">
        <f t="array" ref="I644">IF(A644="","",_xlfn.TEXTJOIN(", ",TRUE,IF(('Companies'!$A$4:$A$63&lt;&gt;"")*(COUNTIFS('Access'!$A$4:$A$1503,A644,'Access'!$F$4:$F$1503,"*"&amp;'Companies'!$A$4:$A$63&amp;"*")&gt;0),'Companies'!$A$4:$A$63,"")))</f>
        <v/>
      </c>
      <c r="J644" s="30">
        <f>IF(A644="","",IF(COUNTIF($A$4:$A$1003,A644)&gt;1,"Duplicate email",IF(ISERROR(FIND("@",A644)),"Not an email address",IF(AND(H644=0,E644=""),"Investor without holders","OK"))))</f>
        <v/>
      </c>
    </row>
    <row r="645">
      <c r="A645" s="26" t="n"/>
      <c r="B645" s="26" t="n"/>
      <c r="C645" s="26" t="n"/>
      <c r="D645" s="26" t="n"/>
      <c r="E645" s="26" t="n"/>
      <c r="F645" s="26" t="n"/>
      <c r="G645" s="26" t="n"/>
      <c r="H645" s="30">
        <f>IF(A645="","",COUNTIF('Access'!$A$4:$A$1503,A645))</f>
        <v/>
      </c>
      <c r="I645" s="30">
        <f t="array" ref="I645">IF(A645="","",_xlfn.TEXTJOIN(", ",TRUE,IF(('Companies'!$A$4:$A$63&lt;&gt;"")*(COUNTIFS('Access'!$A$4:$A$1503,A645,'Access'!$F$4:$F$1503,"*"&amp;'Companies'!$A$4:$A$63&amp;"*")&gt;0),'Companies'!$A$4:$A$63,"")))</f>
        <v/>
      </c>
      <c r="J645" s="30">
        <f>IF(A645="","",IF(COUNTIF($A$4:$A$1003,A645)&gt;1,"Duplicate email",IF(ISERROR(FIND("@",A645)),"Not an email address",IF(AND(H645=0,E645=""),"Investor without holders","OK"))))</f>
        <v/>
      </c>
    </row>
    <row r="646">
      <c r="A646" s="26" t="n"/>
      <c r="B646" s="26" t="n"/>
      <c r="C646" s="26" t="n"/>
      <c r="D646" s="26" t="n"/>
      <c r="E646" s="26" t="n"/>
      <c r="F646" s="26" t="n"/>
      <c r="G646" s="26" t="n"/>
      <c r="H646" s="30">
        <f>IF(A646="","",COUNTIF('Access'!$A$4:$A$1503,A646))</f>
        <v/>
      </c>
      <c r="I646" s="30">
        <f t="array" ref="I646">IF(A646="","",_xlfn.TEXTJOIN(", ",TRUE,IF(('Companies'!$A$4:$A$63&lt;&gt;"")*(COUNTIFS('Access'!$A$4:$A$1503,A646,'Access'!$F$4:$F$1503,"*"&amp;'Companies'!$A$4:$A$63&amp;"*")&gt;0),'Companies'!$A$4:$A$63,"")))</f>
        <v/>
      </c>
      <c r="J646" s="30">
        <f>IF(A646="","",IF(COUNTIF($A$4:$A$1003,A646)&gt;1,"Duplicate email",IF(ISERROR(FIND("@",A646)),"Not an email address",IF(AND(H646=0,E646=""),"Investor without holders","OK"))))</f>
        <v/>
      </c>
    </row>
    <row r="647">
      <c r="A647" s="26" t="n"/>
      <c r="B647" s="26" t="n"/>
      <c r="C647" s="26" t="n"/>
      <c r="D647" s="26" t="n"/>
      <c r="E647" s="26" t="n"/>
      <c r="F647" s="26" t="n"/>
      <c r="G647" s="26" t="n"/>
      <c r="H647" s="30">
        <f>IF(A647="","",COUNTIF('Access'!$A$4:$A$1503,A647))</f>
        <v/>
      </c>
      <c r="I647" s="30">
        <f t="array" ref="I647">IF(A647="","",_xlfn.TEXTJOIN(", ",TRUE,IF(('Companies'!$A$4:$A$63&lt;&gt;"")*(COUNTIFS('Access'!$A$4:$A$1503,A647,'Access'!$F$4:$F$1503,"*"&amp;'Companies'!$A$4:$A$63&amp;"*")&gt;0),'Companies'!$A$4:$A$63,"")))</f>
        <v/>
      </c>
      <c r="J647" s="30">
        <f>IF(A647="","",IF(COUNTIF($A$4:$A$1003,A647)&gt;1,"Duplicate email",IF(ISERROR(FIND("@",A647)),"Not an email address",IF(AND(H647=0,E647=""),"Investor without holders","OK"))))</f>
        <v/>
      </c>
    </row>
    <row r="648">
      <c r="A648" s="26" t="n"/>
      <c r="B648" s="26" t="n"/>
      <c r="C648" s="26" t="n"/>
      <c r="D648" s="26" t="n"/>
      <c r="E648" s="26" t="n"/>
      <c r="F648" s="26" t="n"/>
      <c r="G648" s="26" t="n"/>
      <c r="H648" s="30">
        <f>IF(A648="","",COUNTIF('Access'!$A$4:$A$1503,A648))</f>
        <v/>
      </c>
      <c r="I648" s="30">
        <f t="array" ref="I648">IF(A648="","",_xlfn.TEXTJOIN(", ",TRUE,IF(('Companies'!$A$4:$A$63&lt;&gt;"")*(COUNTIFS('Access'!$A$4:$A$1503,A648,'Access'!$F$4:$F$1503,"*"&amp;'Companies'!$A$4:$A$63&amp;"*")&gt;0),'Companies'!$A$4:$A$63,"")))</f>
        <v/>
      </c>
      <c r="J648" s="30">
        <f>IF(A648="","",IF(COUNTIF($A$4:$A$1003,A648)&gt;1,"Duplicate email",IF(ISERROR(FIND("@",A648)),"Not an email address",IF(AND(H648=0,E648=""),"Investor without holders","OK"))))</f>
        <v/>
      </c>
    </row>
    <row r="649">
      <c r="A649" s="26" t="n"/>
      <c r="B649" s="26" t="n"/>
      <c r="C649" s="26" t="n"/>
      <c r="D649" s="26" t="n"/>
      <c r="E649" s="26" t="n"/>
      <c r="F649" s="26" t="n"/>
      <c r="G649" s="26" t="n"/>
      <c r="H649" s="30">
        <f>IF(A649="","",COUNTIF('Access'!$A$4:$A$1503,A649))</f>
        <v/>
      </c>
      <c r="I649" s="30">
        <f t="array" ref="I649">IF(A649="","",_xlfn.TEXTJOIN(", ",TRUE,IF(('Companies'!$A$4:$A$63&lt;&gt;"")*(COUNTIFS('Access'!$A$4:$A$1503,A649,'Access'!$F$4:$F$1503,"*"&amp;'Companies'!$A$4:$A$63&amp;"*")&gt;0),'Companies'!$A$4:$A$63,"")))</f>
        <v/>
      </c>
      <c r="J649" s="30">
        <f>IF(A649="","",IF(COUNTIF($A$4:$A$1003,A649)&gt;1,"Duplicate email",IF(ISERROR(FIND("@",A649)),"Not an email address",IF(AND(H649=0,E649=""),"Investor without holders","OK"))))</f>
        <v/>
      </c>
    </row>
    <row r="650">
      <c r="A650" s="26" t="n"/>
      <c r="B650" s="26" t="n"/>
      <c r="C650" s="26" t="n"/>
      <c r="D650" s="26" t="n"/>
      <c r="E650" s="26" t="n"/>
      <c r="F650" s="26" t="n"/>
      <c r="G650" s="26" t="n"/>
      <c r="H650" s="30">
        <f>IF(A650="","",COUNTIF('Access'!$A$4:$A$1503,A650))</f>
        <v/>
      </c>
      <c r="I650" s="30">
        <f t="array" ref="I650">IF(A650="","",_xlfn.TEXTJOIN(", ",TRUE,IF(('Companies'!$A$4:$A$63&lt;&gt;"")*(COUNTIFS('Access'!$A$4:$A$1503,A650,'Access'!$F$4:$F$1503,"*"&amp;'Companies'!$A$4:$A$63&amp;"*")&gt;0),'Companies'!$A$4:$A$63,"")))</f>
        <v/>
      </c>
      <c r="J650" s="30">
        <f>IF(A650="","",IF(COUNTIF($A$4:$A$1003,A650)&gt;1,"Duplicate email",IF(ISERROR(FIND("@",A650)),"Not an email address",IF(AND(H650=0,E650=""),"Investor without holders","OK"))))</f>
        <v/>
      </c>
    </row>
    <row r="651">
      <c r="A651" s="26" t="n"/>
      <c r="B651" s="26" t="n"/>
      <c r="C651" s="26" t="n"/>
      <c r="D651" s="26" t="n"/>
      <c r="E651" s="26" t="n"/>
      <c r="F651" s="26" t="n"/>
      <c r="G651" s="26" t="n"/>
      <c r="H651" s="30">
        <f>IF(A651="","",COUNTIF('Access'!$A$4:$A$1503,A651))</f>
        <v/>
      </c>
      <c r="I651" s="30">
        <f t="array" ref="I651">IF(A651="","",_xlfn.TEXTJOIN(", ",TRUE,IF(('Companies'!$A$4:$A$63&lt;&gt;"")*(COUNTIFS('Access'!$A$4:$A$1503,A651,'Access'!$F$4:$F$1503,"*"&amp;'Companies'!$A$4:$A$63&amp;"*")&gt;0),'Companies'!$A$4:$A$63,"")))</f>
        <v/>
      </c>
      <c r="J651" s="30">
        <f>IF(A651="","",IF(COUNTIF($A$4:$A$1003,A651)&gt;1,"Duplicate email",IF(ISERROR(FIND("@",A651)),"Not an email address",IF(AND(H651=0,E651=""),"Investor without holders","OK"))))</f>
        <v/>
      </c>
    </row>
    <row r="652">
      <c r="A652" s="26" t="n"/>
      <c r="B652" s="26" t="n"/>
      <c r="C652" s="26" t="n"/>
      <c r="D652" s="26" t="n"/>
      <c r="E652" s="26" t="n"/>
      <c r="F652" s="26" t="n"/>
      <c r="G652" s="26" t="n"/>
      <c r="H652" s="30">
        <f>IF(A652="","",COUNTIF('Access'!$A$4:$A$1503,A652))</f>
        <v/>
      </c>
      <c r="I652" s="30">
        <f t="array" ref="I652">IF(A652="","",_xlfn.TEXTJOIN(", ",TRUE,IF(('Companies'!$A$4:$A$63&lt;&gt;"")*(COUNTIFS('Access'!$A$4:$A$1503,A652,'Access'!$F$4:$F$1503,"*"&amp;'Companies'!$A$4:$A$63&amp;"*")&gt;0),'Companies'!$A$4:$A$63,"")))</f>
        <v/>
      </c>
      <c r="J652" s="30">
        <f>IF(A652="","",IF(COUNTIF($A$4:$A$1003,A652)&gt;1,"Duplicate email",IF(ISERROR(FIND("@",A652)),"Not an email address",IF(AND(H652=0,E652=""),"Investor without holders","OK"))))</f>
        <v/>
      </c>
    </row>
    <row r="653">
      <c r="A653" s="26" t="n"/>
      <c r="B653" s="26" t="n"/>
      <c r="C653" s="26" t="n"/>
      <c r="D653" s="26" t="n"/>
      <c r="E653" s="26" t="n"/>
      <c r="F653" s="26" t="n"/>
      <c r="G653" s="26" t="n"/>
      <c r="H653" s="30">
        <f>IF(A653="","",COUNTIF('Access'!$A$4:$A$1503,A653))</f>
        <v/>
      </c>
      <c r="I653" s="30">
        <f t="array" ref="I653">IF(A653="","",_xlfn.TEXTJOIN(", ",TRUE,IF(('Companies'!$A$4:$A$63&lt;&gt;"")*(COUNTIFS('Access'!$A$4:$A$1503,A653,'Access'!$F$4:$F$1503,"*"&amp;'Companies'!$A$4:$A$63&amp;"*")&gt;0),'Companies'!$A$4:$A$63,"")))</f>
        <v/>
      </c>
      <c r="J653" s="30">
        <f>IF(A653="","",IF(COUNTIF($A$4:$A$1003,A653)&gt;1,"Duplicate email",IF(ISERROR(FIND("@",A653)),"Not an email address",IF(AND(H653=0,E653=""),"Investor without holders","OK"))))</f>
        <v/>
      </c>
    </row>
    <row r="654">
      <c r="A654" s="26" t="n"/>
      <c r="B654" s="26" t="n"/>
      <c r="C654" s="26" t="n"/>
      <c r="D654" s="26" t="n"/>
      <c r="E654" s="26" t="n"/>
      <c r="F654" s="26" t="n"/>
      <c r="G654" s="26" t="n"/>
      <c r="H654" s="30">
        <f>IF(A654="","",COUNTIF('Access'!$A$4:$A$1503,A654))</f>
        <v/>
      </c>
      <c r="I654" s="30">
        <f t="array" ref="I654">IF(A654="","",_xlfn.TEXTJOIN(", ",TRUE,IF(('Companies'!$A$4:$A$63&lt;&gt;"")*(COUNTIFS('Access'!$A$4:$A$1503,A654,'Access'!$F$4:$F$1503,"*"&amp;'Companies'!$A$4:$A$63&amp;"*")&gt;0),'Companies'!$A$4:$A$63,"")))</f>
        <v/>
      </c>
      <c r="J654" s="30">
        <f>IF(A654="","",IF(COUNTIF($A$4:$A$1003,A654)&gt;1,"Duplicate email",IF(ISERROR(FIND("@",A654)),"Not an email address",IF(AND(H654=0,E654=""),"Investor without holders","OK"))))</f>
        <v/>
      </c>
    </row>
    <row r="655">
      <c r="A655" s="26" t="n"/>
      <c r="B655" s="26" t="n"/>
      <c r="C655" s="26" t="n"/>
      <c r="D655" s="26" t="n"/>
      <c r="E655" s="26" t="n"/>
      <c r="F655" s="26" t="n"/>
      <c r="G655" s="26" t="n"/>
      <c r="H655" s="30">
        <f>IF(A655="","",COUNTIF('Access'!$A$4:$A$1503,A655))</f>
        <v/>
      </c>
      <c r="I655" s="30">
        <f t="array" ref="I655">IF(A655="","",_xlfn.TEXTJOIN(", ",TRUE,IF(('Companies'!$A$4:$A$63&lt;&gt;"")*(COUNTIFS('Access'!$A$4:$A$1503,A655,'Access'!$F$4:$F$1503,"*"&amp;'Companies'!$A$4:$A$63&amp;"*")&gt;0),'Companies'!$A$4:$A$63,"")))</f>
        <v/>
      </c>
      <c r="J655" s="30">
        <f>IF(A655="","",IF(COUNTIF($A$4:$A$1003,A655)&gt;1,"Duplicate email",IF(ISERROR(FIND("@",A655)),"Not an email address",IF(AND(H655=0,E655=""),"Investor without holders","OK"))))</f>
        <v/>
      </c>
    </row>
    <row r="656">
      <c r="A656" s="26" t="n"/>
      <c r="B656" s="26" t="n"/>
      <c r="C656" s="26" t="n"/>
      <c r="D656" s="26" t="n"/>
      <c r="E656" s="26" t="n"/>
      <c r="F656" s="26" t="n"/>
      <c r="G656" s="26" t="n"/>
      <c r="H656" s="30">
        <f>IF(A656="","",COUNTIF('Access'!$A$4:$A$1503,A656))</f>
        <v/>
      </c>
      <c r="I656" s="30">
        <f t="array" ref="I656">IF(A656="","",_xlfn.TEXTJOIN(", ",TRUE,IF(('Companies'!$A$4:$A$63&lt;&gt;"")*(COUNTIFS('Access'!$A$4:$A$1503,A656,'Access'!$F$4:$F$1503,"*"&amp;'Companies'!$A$4:$A$63&amp;"*")&gt;0),'Companies'!$A$4:$A$63,"")))</f>
        <v/>
      </c>
      <c r="J656" s="30">
        <f>IF(A656="","",IF(COUNTIF($A$4:$A$1003,A656)&gt;1,"Duplicate email",IF(ISERROR(FIND("@",A656)),"Not an email address",IF(AND(H656=0,E656=""),"Investor without holders","OK"))))</f>
        <v/>
      </c>
    </row>
    <row r="657">
      <c r="A657" s="26" t="n"/>
      <c r="B657" s="26" t="n"/>
      <c r="C657" s="26" t="n"/>
      <c r="D657" s="26" t="n"/>
      <c r="E657" s="26" t="n"/>
      <c r="F657" s="26" t="n"/>
      <c r="G657" s="26" t="n"/>
      <c r="H657" s="30">
        <f>IF(A657="","",COUNTIF('Access'!$A$4:$A$1503,A657))</f>
        <v/>
      </c>
      <c r="I657" s="30">
        <f t="array" ref="I657">IF(A657="","",_xlfn.TEXTJOIN(", ",TRUE,IF(('Companies'!$A$4:$A$63&lt;&gt;"")*(COUNTIFS('Access'!$A$4:$A$1503,A657,'Access'!$F$4:$F$1503,"*"&amp;'Companies'!$A$4:$A$63&amp;"*")&gt;0),'Companies'!$A$4:$A$63,"")))</f>
        <v/>
      </c>
      <c r="J657" s="30">
        <f>IF(A657="","",IF(COUNTIF($A$4:$A$1003,A657)&gt;1,"Duplicate email",IF(ISERROR(FIND("@",A657)),"Not an email address",IF(AND(H657=0,E657=""),"Investor without holders","OK"))))</f>
        <v/>
      </c>
    </row>
    <row r="658">
      <c r="A658" s="26" t="n"/>
      <c r="B658" s="26" t="n"/>
      <c r="C658" s="26" t="n"/>
      <c r="D658" s="26" t="n"/>
      <c r="E658" s="26" t="n"/>
      <c r="F658" s="26" t="n"/>
      <c r="G658" s="26" t="n"/>
      <c r="H658" s="30">
        <f>IF(A658="","",COUNTIF('Access'!$A$4:$A$1503,A658))</f>
        <v/>
      </c>
      <c r="I658" s="30">
        <f t="array" ref="I658">IF(A658="","",_xlfn.TEXTJOIN(", ",TRUE,IF(('Companies'!$A$4:$A$63&lt;&gt;"")*(COUNTIFS('Access'!$A$4:$A$1503,A658,'Access'!$F$4:$F$1503,"*"&amp;'Companies'!$A$4:$A$63&amp;"*")&gt;0),'Companies'!$A$4:$A$63,"")))</f>
        <v/>
      </c>
      <c r="J658" s="30">
        <f>IF(A658="","",IF(COUNTIF($A$4:$A$1003,A658)&gt;1,"Duplicate email",IF(ISERROR(FIND("@",A658)),"Not an email address",IF(AND(H658=0,E658=""),"Investor without holders","OK"))))</f>
        <v/>
      </c>
    </row>
    <row r="659">
      <c r="A659" s="26" t="n"/>
      <c r="B659" s="26" t="n"/>
      <c r="C659" s="26" t="n"/>
      <c r="D659" s="26" t="n"/>
      <c r="E659" s="26" t="n"/>
      <c r="F659" s="26" t="n"/>
      <c r="G659" s="26" t="n"/>
      <c r="H659" s="30">
        <f>IF(A659="","",COUNTIF('Access'!$A$4:$A$1503,A659))</f>
        <v/>
      </c>
      <c r="I659" s="30">
        <f t="array" ref="I659">IF(A659="","",_xlfn.TEXTJOIN(", ",TRUE,IF(('Companies'!$A$4:$A$63&lt;&gt;"")*(COUNTIFS('Access'!$A$4:$A$1503,A659,'Access'!$F$4:$F$1503,"*"&amp;'Companies'!$A$4:$A$63&amp;"*")&gt;0),'Companies'!$A$4:$A$63,"")))</f>
        <v/>
      </c>
      <c r="J659" s="30">
        <f>IF(A659="","",IF(COUNTIF($A$4:$A$1003,A659)&gt;1,"Duplicate email",IF(ISERROR(FIND("@",A659)),"Not an email address",IF(AND(H659=0,E659=""),"Investor without holders","OK"))))</f>
        <v/>
      </c>
    </row>
    <row r="660">
      <c r="A660" s="26" t="n"/>
      <c r="B660" s="26" t="n"/>
      <c r="C660" s="26" t="n"/>
      <c r="D660" s="26" t="n"/>
      <c r="E660" s="26" t="n"/>
      <c r="F660" s="26" t="n"/>
      <c r="G660" s="26" t="n"/>
      <c r="H660" s="30">
        <f>IF(A660="","",COUNTIF('Access'!$A$4:$A$1503,A660))</f>
        <v/>
      </c>
      <c r="I660" s="30">
        <f t="array" ref="I660">IF(A660="","",_xlfn.TEXTJOIN(", ",TRUE,IF(('Companies'!$A$4:$A$63&lt;&gt;"")*(COUNTIFS('Access'!$A$4:$A$1503,A660,'Access'!$F$4:$F$1503,"*"&amp;'Companies'!$A$4:$A$63&amp;"*")&gt;0),'Companies'!$A$4:$A$63,"")))</f>
        <v/>
      </c>
      <c r="J660" s="30">
        <f>IF(A660="","",IF(COUNTIF($A$4:$A$1003,A660)&gt;1,"Duplicate email",IF(ISERROR(FIND("@",A660)),"Not an email address",IF(AND(H660=0,E660=""),"Investor without holders","OK"))))</f>
        <v/>
      </c>
    </row>
    <row r="661">
      <c r="A661" s="26" t="n"/>
      <c r="B661" s="26" t="n"/>
      <c r="C661" s="26" t="n"/>
      <c r="D661" s="26" t="n"/>
      <c r="E661" s="26" t="n"/>
      <c r="F661" s="26" t="n"/>
      <c r="G661" s="26" t="n"/>
      <c r="H661" s="30">
        <f>IF(A661="","",COUNTIF('Access'!$A$4:$A$1503,A661))</f>
        <v/>
      </c>
      <c r="I661" s="30">
        <f t="array" ref="I661">IF(A661="","",_xlfn.TEXTJOIN(", ",TRUE,IF(('Companies'!$A$4:$A$63&lt;&gt;"")*(COUNTIFS('Access'!$A$4:$A$1503,A661,'Access'!$F$4:$F$1503,"*"&amp;'Companies'!$A$4:$A$63&amp;"*")&gt;0),'Companies'!$A$4:$A$63,"")))</f>
        <v/>
      </c>
      <c r="J661" s="30">
        <f>IF(A661="","",IF(COUNTIF($A$4:$A$1003,A661)&gt;1,"Duplicate email",IF(ISERROR(FIND("@",A661)),"Not an email address",IF(AND(H661=0,E661=""),"Investor without holders","OK"))))</f>
        <v/>
      </c>
    </row>
    <row r="662">
      <c r="A662" s="26" t="n"/>
      <c r="B662" s="26" t="n"/>
      <c r="C662" s="26" t="n"/>
      <c r="D662" s="26" t="n"/>
      <c r="E662" s="26" t="n"/>
      <c r="F662" s="26" t="n"/>
      <c r="G662" s="26" t="n"/>
      <c r="H662" s="30">
        <f>IF(A662="","",COUNTIF('Access'!$A$4:$A$1503,A662))</f>
        <v/>
      </c>
      <c r="I662" s="30">
        <f t="array" ref="I662">IF(A662="","",_xlfn.TEXTJOIN(", ",TRUE,IF(('Companies'!$A$4:$A$63&lt;&gt;"")*(COUNTIFS('Access'!$A$4:$A$1503,A662,'Access'!$F$4:$F$1503,"*"&amp;'Companies'!$A$4:$A$63&amp;"*")&gt;0),'Companies'!$A$4:$A$63,"")))</f>
        <v/>
      </c>
      <c r="J662" s="30">
        <f>IF(A662="","",IF(COUNTIF($A$4:$A$1003,A662)&gt;1,"Duplicate email",IF(ISERROR(FIND("@",A662)),"Not an email address",IF(AND(H662=0,E662=""),"Investor without holders","OK"))))</f>
        <v/>
      </c>
    </row>
    <row r="663">
      <c r="A663" s="26" t="n"/>
      <c r="B663" s="26" t="n"/>
      <c r="C663" s="26" t="n"/>
      <c r="D663" s="26" t="n"/>
      <c r="E663" s="26" t="n"/>
      <c r="F663" s="26" t="n"/>
      <c r="G663" s="26" t="n"/>
      <c r="H663" s="30">
        <f>IF(A663="","",COUNTIF('Access'!$A$4:$A$1503,A663))</f>
        <v/>
      </c>
      <c r="I663" s="30">
        <f t="array" ref="I663">IF(A663="","",_xlfn.TEXTJOIN(", ",TRUE,IF(('Companies'!$A$4:$A$63&lt;&gt;"")*(COUNTIFS('Access'!$A$4:$A$1503,A663,'Access'!$F$4:$F$1503,"*"&amp;'Companies'!$A$4:$A$63&amp;"*")&gt;0),'Companies'!$A$4:$A$63,"")))</f>
        <v/>
      </c>
      <c r="J663" s="30">
        <f>IF(A663="","",IF(COUNTIF($A$4:$A$1003,A663)&gt;1,"Duplicate email",IF(ISERROR(FIND("@",A663)),"Not an email address",IF(AND(H663=0,E663=""),"Investor without holders","OK"))))</f>
        <v/>
      </c>
    </row>
    <row r="664">
      <c r="A664" s="26" t="n"/>
      <c r="B664" s="26" t="n"/>
      <c r="C664" s="26" t="n"/>
      <c r="D664" s="26" t="n"/>
      <c r="E664" s="26" t="n"/>
      <c r="F664" s="26" t="n"/>
      <c r="G664" s="26" t="n"/>
      <c r="H664" s="30">
        <f>IF(A664="","",COUNTIF('Access'!$A$4:$A$1503,A664))</f>
        <v/>
      </c>
      <c r="I664" s="30">
        <f t="array" ref="I664">IF(A664="","",_xlfn.TEXTJOIN(", ",TRUE,IF(('Companies'!$A$4:$A$63&lt;&gt;"")*(COUNTIFS('Access'!$A$4:$A$1503,A664,'Access'!$F$4:$F$1503,"*"&amp;'Companies'!$A$4:$A$63&amp;"*")&gt;0),'Companies'!$A$4:$A$63,"")))</f>
        <v/>
      </c>
      <c r="J664" s="30">
        <f>IF(A664="","",IF(COUNTIF($A$4:$A$1003,A664)&gt;1,"Duplicate email",IF(ISERROR(FIND("@",A664)),"Not an email address",IF(AND(H664=0,E664=""),"Investor without holders","OK"))))</f>
        <v/>
      </c>
    </row>
    <row r="665">
      <c r="A665" s="26" t="n"/>
      <c r="B665" s="26" t="n"/>
      <c r="C665" s="26" t="n"/>
      <c r="D665" s="26" t="n"/>
      <c r="E665" s="26" t="n"/>
      <c r="F665" s="26" t="n"/>
      <c r="G665" s="26" t="n"/>
      <c r="H665" s="30">
        <f>IF(A665="","",COUNTIF('Access'!$A$4:$A$1503,A665))</f>
        <v/>
      </c>
      <c r="I665" s="30">
        <f t="array" ref="I665">IF(A665="","",_xlfn.TEXTJOIN(", ",TRUE,IF(('Companies'!$A$4:$A$63&lt;&gt;"")*(COUNTIFS('Access'!$A$4:$A$1503,A665,'Access'!$F$4:$F$1503,"*"&amp;'Companies'!$A$4:$A$63&amp;"*")&gt;0),'Companies'!$A$4:$A$63,"")))</f>
        <v/>
      </c>
      <c r="J665" s="30">
        <f>IF(A665="","",IF(COUNTIF($A$4:$A$1003,A665)&gt;1,"Duplicate email",IF(ISERROR(FIND("@",A665)),"Not an email address",IF(AND(H665=0,E665=""),"Investor without holders","OK"))))</f>
        <v/>
      </c>
    </row>
    <row r="666">
      <c r="A666" s="26" t="n"/>
      <c r="B666" s="26" t="n"/>
      <c r="C666" s="26" t="n"/>
      <c r="D666" s="26" t="n"/>
      <c r="E666" s="26" t="n"/>
      <c r="F666" s="26" t="n"/>
      <c r="G666" s="26" t="n"/>
      <c r="H666" s="30">
        <f>IF(A666="","",COUNTIF('Access'!$A$4:$A$1503,A666))</f>
        <v/>
      </c>
      <c r="I666" s="30">
        <f t="array" ref="I666">IF(A666="","",_xlfn.TEXTJOIN(", ",TRUE,IF(('Companies'!$A$4:$A$63&lt;&gt;"")*(COUNTIFS('Access'!$A$4:$A$1503,A666,'Access'!$F$4:$F$1503,"*"&amp;'Companies'!$A$4:$A$63&amp;"*")&gt;0),'Companies'!$A$4:$A$63,"")))</f>
        <v/>
      </c>
      <c r="J666" s="30">
        <f>IF(A666="","",IF(COUNTIF($A$4:$A$1003,A666)&gt;1,"Duplicate email",IF(ISERROR(FIND("@",A666)),"Not an email address",IF(AND(H666=0,E666=""),"Investor without holders","OK"))))</f>
        <v/>
      </c>
    </row>
    <row r="667">
      <c r="A667" s="26" t="n"/>
      <c r="B667" s="26" t="n"/>
      <c r="C667" s="26" t="n"/>
      <c r="D667" s="26" t="n"/>
      <c r="E667" s="26" t="n"/>
      <c r="F667" s="26" t="n"/>
      <c r="G667" s="26" t="n"/>
      <c r="H667" s="30">
        <f>IF(A667="","",COUNTIF('Access'!$A$4:$A$1503,A667))</f>
        <v/>
      </c>
      <c r="I667" s="30">
        <f t="array" ref="I667">IF(A667="","",_xlfn.TEXTJOIN(", ",TRUE,IF(('Companies'!$A$4:$A$63&lt;&gt;"")*(COUNTIFS('Access'!$A$4:$A$1503,A667,'Access'!$F$4:$F$1503,"*"&amp;'Companies'!$A$4:$A$63&amp;"*")&gt;0),'Companies'!$A$4:$A$63,"")))</f>
        <v/>
      </c>
      <c r="J667" s="30">
        <f>IF(A667="","",IF(COUNTIF($A$4:$A$1003,A667)&gt;1,"Duplicate email",IF(ISERROR(FIND("@",A667)),"Not an email address",IF(AND(H667=0,E667=""),"Investor without holders","OK"))))</f>
        <v/>
      </c>
    </row>
    <row r="668">
      <c r="A668" s="26" t="n"/>
      <c r="B668" s="26" t="n"/>
      <c r="C668" s="26" t="n"/>
      <c r="D668" s="26" t="n"/>
      <c r="E668" s="26" t="n"/>
      <c r="F668" s="26" t="n"/>
      <c r="G668" s="26" t="n"/>
      <c r="H668" s="30">
        <f>IF(A668="","",COUNTIF('Access'!$A$4:$A$1503,A668))</f>
        <v/>
      </c>
      <c r="I668" s="30">
        <f t="array" ref="I668">IF(A668="","",_xlfn.TEXTJOIN(", ",TRUE,IF(('Companies'!$A$4:$A$63&lt;&gt;"")*(COUNTIFS('Access'!$A$4:$A$1503,A668,'Access'!$F$4:$F$1503,"*"&amp;'Companies'!$A$4:$A$63&amp;"*")&gt;0),'Companies'!$A$4:$A$63,"")))</f>
        <v/>
      </c>
      <c r="J668" s="30">
        <f>IF(A668="","",IF(COUNTIF($A$4:$A$1003,A668)&gt;1,"Duplicate email",IF(ISERROR(FIND("@",A668)),"Not an email address",IF(AND(H668=0,E668=""),"Investor without holders","OK"))))</f>
        <v/>
      </c>
    </row>
    <row r="669">
      <c r="A669" s="26" t="n"/>
      <c r="B669" s="26" t="n"/>
      <c r="C669" s="26" t="n"/>
      <c r="D669" s="26" t="n"/>
      <c r="E669" s="26" t="n"/>
      <c r="F669" s="26" t="n"/>
      <c r="G669" s="26" t="n"/>
      <c r="H669" s="30">
        <f>IF(A669="","",COUNTIF('Access'!$A$4:$A$1503,A669))</f>
        <v/>
      </c>
      <c r="I669" s="30">
        <f t="array" ref="I669">IF(A669="","",_xlfn.TEXTJOIN(", ",TRUE,IF(('Companies'!$A$4:$A$63&lt;&gt;"")*(COUNTIFS('Access'!$A$4:$A$1503,A669,'Access'!$F$4:$F$1503,"*"&amp;'Companies'!$A$4:$A$63&amp;"*")&gt;0),'Companies'!$A$4:$A$63,"")))</f>
        <v/>
      </c>
      <c r="J669" s="30">
        <f>IF(A669="","",IF(COUNTIF($A$4:$A$1003,A669)&gt;1,"Duplicate email",IF(ISERROR(FIND("@",A669)),"Not an email address",IF(AND(H669=0,E669=""),"Investor without holders","OK"))))</f>
        <v/>
      </c>
    </row>
    <row r="670">
      <c r="A670" s="26" t="n"/>
      <c r="B670" s="26" t="n"/>
      <c r="C670" s="26" t="n"/>
      <c r="D670" s="26" t="n"/>
      <c r="E670" s="26" t="n"/>
      <c r="F670" s="26" t="n"/>
      <c r="G670" s="26" t="n"/>
      <c r="H670" s="30">
        <f>IF(A670="","",COUNTIF('Access'!$A$4:$A$1503,A670))</f>
        <v/>
      </c>
      <c r="I670" s="30">
        <f t="array" ref="I670">IF(A670="","",_xlfn.TEXTJOIN(", ",TRUE,IF(('Companies'!$A$4:$A$63&lt;&gt;"")*(COUNTIFS('Access'!$A$4:$A$1503,A670,'Access'!$F$4:$F$1503,"*"&amp;'Companies'!$A$4:$A$63&amp;"*")&gt;0),'Companies'!$A$4:$A$63,"")))</f>
        <v/>
      </c>
      <c r="J670" s="30">
        <f>IF(A670="","",IF(COUNTIF($A$4:$A$1003,A670)&gt;1,"Duplicate email",IF(ISERROR(FIND("@",A670)),"Not an email address",IF(AND(H670=0,E670=""),"Investor without holders","OK"))))</f>
        <v/>
      </c>
    </row>
    <row r="671">
      <c r="A671" s="26" t="n"/>
      <c r="B671" s="26" t="n"/>
      <c r="C671" s="26" t="n"/>
      <c r="D671" s="26" t="n"/>
      <c r="E671" s="26" t="n"/>
      <c r="F671" s="26" t="n"/>
      <c r="G671" s="26" t="n"/>
      <c r="H671" s="30">
        <f>IF(A671="","",COUNTIF('Access'!$A$4:$A$1503,A671))</f>
        <v/>
      </c>
      <c r="I671" s="30">
        <f t="array" ref="I671">IF(A671="","",_xlfn.TEXTJOIN(", ",TRUE,IF(('Companies'!$A$4:$A$63&lt;&gt;"")*(COUNTIFS('Access'!$A$4:$A$1503,A671,'Access'!$F$4:$F$1503,"*"&amp;'Companies'!$A$4:$A$63&amp;"*")&gt;0),'Companies'!$A$4:$A$63,"")))</f>
        <v/>
      </c>
      <c r="J671" s="30">
        <f>IF(A671="","",IF(COUNTIF($A$4:$A$1003,A671)&gt;1,"Duplicate email",IF(ISERROR(FIND("@",A671)),"Not an email address",IF(AND(H671=0,E671=""),"Investor without holders","OK"))))</f>
        <v/>
      </c>
    </row>
    <row r="672">
      <c r="A672" s="26" t="n"/>
      <c r="B672" s="26" t="n"/>
      <c r="C672" s="26" t="n"/>
      <c r="D672" s="26" t="n"/>
      <c r="E672" s="26" t="n"/>
      <c r="F672" s="26" t="n"/>
      <c r="G672" s="26" t="n"/>
      <c r="H672" s="30">
        <f>IF(A672="","",COUNTIF('Access'!$A$4:$A$1503,A672))</f>
        <v/>
      </c>
      <c r="I672" s="30">
        <f t="array" ref="I672">IF(A672="","",_xlfn.TEXTJOIN(", ",TRUE,IF(('Companies'!$A$4:$A$63&lt;&gt;"")*(COUNTIFS('Access'!$A$4:$A$1503,A672,'Access'!$F$4:$F$1503,"*"&amp;'Companies'!$A$4:$A$63&amp;"*")&gt;0),'Companies'!$A$4:$A$63,"")))</f>
        <v/>
      </c>
      <c r="J672" s="30">
        <f>IF(A672="","",IF(COUNTIF($A$4:$A$1003,A672)&gt;1,"Duplicate email",IF(ISERROR(FIND("@",A672)),"Not an email address",IF(AND(H672=0,E672=""),"Investor without holders","OK"))))</f>
        <v/>
      </c>
    </row>
    <row r="673">
      <c r="A673" s="26" t="n"/>
      <c r="B673" s="26" t="n"/>
      <c r="C673" s="26" t="n"/>
      <c r="D673" s="26" t="n"/>
      <c r="E673" s="26" t="n"/>
      <c r="F673" s="26" t="n"/>
      <c r="G673" s="26" t="n"/>
      <c r="H673" s="30">
        <f>IF(A673="","",COUNTIF('Access'!$A$4:$A$1503,A673))</f>
        <v/>
      </c>
      <c r="I673" s="30">
        <f t="array" ref="I673">IF(A673="","",_xlfn.TEXTJOIN(", ",TRUE,IF(('Companies'!$A$4:$A$63&lt;&gt;"")*(COUNTIFS('Access'!$A$4:$A$1503,A673,'Access'!$F$4:$F$1503,"*"&amp;'Companies'!$A$4:$A$63&amp;"*")&gt;0),'Companies'!$A$4:$A$63,"")))</f>
        <v/>
      </c>
      <c r="J673" s="30">
        <f>IF(A673="","",IF(COUNTIF($A$4:$A$1003,A673)&gt;1,"Duplicate email",IF(ISERROR(FIND("@",A673)),"Not an email address",IF(AND(H673=0,E673=""),"Investor without holders","OK"))))</f>
        <v/>
      </c>
    </row>
    <row r="674">
      <c r="A674" s="26" t="n"/>
      <c r="B674" s="26" t="n"/>
      <c r="C674" s="26" t="n"/>
      <c r="D674" s="26" t="n"/>
      <c r="E674" s="26" t="n"/>
      <c r="F674" s="26" t="n"/>
      <c r="G674" s="26" t="n"/>
      <c r="H674" s="30">
        <f>IF(A674="","",COUNTIF('Access'!$A$4:$A$1503,A674))</f>
        <v/>
      </c>
      <c r="I674" s="30">
        <f t="array" ref="I674">IF(A674="","",_xlfn.TEXTJOIN(", ",TRUE,IF(('Companies'!$A$4:$A$63&lt;&gt;"")*(COUNTIFS('Access'!$A$4:$A$1503,A674,'Access'!$F$4:$F$1503,"*"&amp;'Companies'!$A$4:$A$63&amp;"*")&gt;0),'Companies'!$A$4:$A$63,"")))</f>
        <v/>
      </c>
      <c r="J674" s="30">
        <f>IF(A674="","",IF(COUNTIF($A$4:$A$1003,A674)&gt;1,"Duplicate email",IF(ISERROR(FIND("@",A674)),"Not an email address",IF(AND(H674=0,E674=""),"Investor without holders","OK"))))</f>
        <v/>
      </c>
    </row>
    <row r="675">
      <c r="A675" s="26" t="n"/>
      <c r="B675" s="26" t="n"/>
      <c r="C675" s="26" t="n"/>
      <c r="D675" s="26" t="n"/>
      <c r="E675" s="26" t="n"/>
      <c r="F675" s="26" t="n"/>
      <c r="G675" s="26" t="n"/>
      <c r="H675" s="30">
        <f>IF(A675="","",COUNTIF('Access'!$A$4:$A$1503,A675))</f>
        <v/>
      </c>
      <c r="I675" s="30">
        <f t="array" ref="I675">IF(A675="","",_xlfn.TEXTJOIN(", ",TRUE,IF(('Companies'!$A$4:$A$63&lt;&gt;"")*(COUNTIFS('Access'!$A$4:$A$1503,A675,'Access'!$F$4:$F$1503,"*"&amp;'Companies'!$A$4:$A$63&amp;"*")&gt;0),'Companies'!$A$4:$A$63,"")))</f>
        <v/>
      </c>
      <c r="J675" s="30">
        <f>IF(A675="","",IF(COUNTIF($A$4:$A$1003,A675)&gt;1,"Duplicate email",IF(ISERROR(FIND("@",A675)),"Not an email address",IF(AND(H675=0,E675=""),"Investor without holders","OK"))))</f>
        <v/>
      </c>
    </row>
    <row r="676">
      <c r="A676" s="26" t="n"/>
      <c r="B676" s="26" t="n"/>
      <c r="C676" s="26" t="n"/>
      <c r="D676" s="26" t="n"/>
      <c r="E676" s="26" t="n"/>
      <c r="F676" s="26" t="n"/>
      <c r="G676" s="26" t="n"/>
      <c r="H676" s="30">
        <f>IF(A676="","",COUNTIF('Access'!$A$4:$A$1503,A676))</f>
        <v/>
      </c>
      <c r="I676" s="30">
        <f t="array" ref="I676">IF(A676="","",_xlfn.TEXTJOIN(", ",TRUE,IF(('Companies'!$A$4:$A$63&lt;&gt;"")*(COUNTIFS('Access'!$A$4:$A$1503,A676,'Access'!$F$4:$F$1503,"*"&amp;'Companies'!$A$4:$A$63&amp;"*")&gt;0),'Companies'!$A$4:$A$63,"")))</f>
        <v/>
      </c>
      <c r="J676" s="30">
        <f>IF(A676="","",IF(COUNTIF($A$4:$A$1003,A676)&gt;1,"Duplicate email",IF(ISERROR(FIND("@",A676)),"Not an email address",IF(AND(H676=0,E676=""),"Investor without holders","OK"))))</f>
        <v/>
      </c>
    </row>
    <row r="677">
      <c r="A677" s="26" t="n"/>
      <c r="B677" s="26" t="n"/>
      <c r="C677" s="26" t="n"/>
      <c r="D677" s="26" t="n"/>
      <c r="E677" s="26" t="n"/>
      <c r="F677" s="26" t="n"/>
      <c r="G677" s="26" t="n"/>
      <c r="H677" s="30">
        <f>IF(A677="","",COUNTIF('Access'!$A$4:$A$1503,A677))</f>
        <v/>
      </c>
      <c r="I677" s="30">
        <f t="array" ref="I677">IF(A677="","",_xlfn.TEXTJOIN(", ",TRUE,IF(('Companies'!$A$4:$A$63&lt;&gt;"")*(COUNTIFS('Access'!$A$4:$A$1503,A677,'Access'!$F$4:$F$1503,"*"&amp;'Companies'!$A$4:$A$63&amp;"*")&gt;0),'Companies'!$A$4:$A$63,"")))</f>
        <v/>
      </c>
      <c r="J677" s="30">
        <f>IF(A677="","",IF(COUNTIF($A$4:$A$1003,A677)&gt;1,"Duplicate email",IF(ISERROR(FIND("@",A677)),"Not an email address",IF(AND(H677=0,E677=""),"Investor without holders","OK"))))</f>
        <v/>
      </c>
    </row>
    <row r="678">
      <c r="A678" s="26" t="n"/>
      <c r="B678" s="26" t="n"/>
      <c r="C678" s="26" t="n"/>
      <c r="D678" s="26" t="n"/>
      <c r="E678" s="26" t="n"/>
      <c r="F678" s="26" t="n"/>
      <c r="G678" s="26" t="n"/>
      <c r="H678" s="30">
        <f>IF(A678="","",COUNTIF('Access'!$A$4:$A$1503,A678))</f>
        <v/>
      </c>
      <c r="I678" s="30">
        <f t="array" ref="I678">IF(A678="","",_xlfn.TEXTJOIN(", ",TRUE,IF(('Companies'!$A$4:$A$63&lt;&gt;"")*(COUNTIFS('Access'!$A$4:$A$1503,A678,'Access'!$F$4:$F$1503,"*"&amp;'Companies'!$A$4:$A$63&amp;"*")&gt;0),'Companies'!$A$4:$A$63,"")))</f>
        <v/>
      </c>
      <c r="J678" s="30">
        <f>IF(A678="","",IF(COUNTIF($A$4:$A$1003,A678)&gt;1,"Duplicate email",IF(ISERROR(FIND("@",A678)),"Not an email address",IF(AND(H678=0,E678=""),"Investor without holders","OK"))))</f>
        <v/>
      </c>
    </row>
    <row r="679">
      <c r="A679" s="26" t="n"/>
      <c r="B679" s="26" t="n"/>
      <c r="C679" s="26" t="n"/>
      <c r="D679" s="26" t="n"/>
      <c r="E679" s="26" t="n"/>
      <c r="F679" s="26" t="n"/>
      <c r="G679" s="26" t="n"/>
      <c r="H679" s="30">
        <f>IF(A679="","",COUNTIF('Access'!$A$4:$A$1503,A679))</f>
        <v/>
      </c>
      <c r="I679" s="30">
        <f t="array" ref="I679">IF(A679="","",_xlfn.TEXTJOIN(", ",TRUE,IF(('Companies'!$A$4:$A$63&lt;&gt;"")*(COUNTIFS('Access'!$A$4:$A$1503,A679,'Access'!$F$4:$F$1503,"*"&amp;'Companies'!$A$4:$A$63&amp;"*")&gt;0),'Companies'!$A$4:$A$63,"")))</f>
        <v/>
      </c>
      <c r="J679" s="30">
        <f>IF(A679="","",IF(COUNTIF($A$4:$A$1003,A679)&gt;1,"Duplicate email",IF(ISERROR(FIND("@",A679)),"Not an email address",IF(AND(H679=0,E679=""),"Investor without holders","OK"))))</f>
        <v/>
      </c>
    </row>
    <row r="680">
      <c r="A680" s="26" t="n"/>
      <c r="B680" s="26" t="n"/>
      <c r="C680" s="26" t="n"/>
      <c r="D680" s="26" t="n"/>
      <c r="E680" s="26" t="n"/>
      <c r="F680" s="26" t="n"/>
      <c r="G680" s="26" t="n"/>
      <c r="H680" s="30">
        <f>IF(A680="","",COUNTIF('Access'!$A$4:$A$1503,A680))</f>
        <v/>
      </c>
      <c r="I680" s="30">
        <f t="array" ref="I680">IF(A680="","",_xlfn.TEXTJOIN(", ",TRUE,IF(('Companies'!$A$4:$A$63&lt;&gt;"")*(COUNTIFS('Access'!$A$4:$A$1503,A680,'Access'!$F$4:$F$1503,"*"&amp;'Companies'!$A$4:$A$63&amp;"*")&gt;0),'Companies'!$A$4:$A$63,"")))</f>
        <v/>
      </c>
      <c r="J680" s="30">
        <f>IF(A680="","",IF(COUNTIF($A$4:$A$1003,A680)&gt;1,"Duplicate email",IF(ISERROR(FIND("@",A680)),"Not an email address",IF(AND(H680=0,E680=""),"Investor without holders","OK"))))</f>
        <v/>
      </c>
    </row>
    <row r="681">
      <c r="A681" s="26" t="n"/>
      <c r="B681" s="26" t="n"/>
      <c r="C681" s="26" t="n"/>
      <c r="D681" s="26" t="n"/>
      <c r="E681" s="26" t="n"/>
      <c r="F681" s="26" t="n"/>
      <c r="G681" s="26" t="n"/>
      <c r="H681" s="30">
        <f>IF(A681="","",COUNTIF('Access'!$A$4:$A$1503,A681))</f>
        <v/>
      </c>
      <c r="I681" s="30">
        <f t="array" ref="I681">IF(A681="","",_xlfn.TEXTJOIN(", ",TRUE,IF(('Companies'!$A$4:$A$63&lt;&gt;"")*(COUNTIFS('Access'!$A$4:$A$1503,A681,'Access'!$F$4:$F$1503,"*"&amp;'Companies'!$A$4:$A$63&amp;"*")&gt;0),'Companies'!$A$4:$A$63,"")))</f>
        <v/>
      </c>
      <c r="J681" s="30">
        <f>IF(A681="","",IF(COUNTIF($A$4:$A$1003,A681)&gt;1,"Duplicate email",IF(ISERROR(FIND("@",A681)),"Not an email address",IF(AND(H681=0,E681=""),"Investor without holders","OK"))))</f>
        <v/>
      </c>
    </row>
    <row r="682">
      <c r="A682" s="26" t="n"/>
      <c r="B682" s="26" t="n"/>
      <c r="C682" s="26" t="n"/>
      <c r="D682" s="26" t="n"/>
      <c r="E682" s="26" t="n"/>
      <c r="F682" s="26" t="n"/>
      <c r="G682" s="26" t="n"/>
      <c r="H682" s="30">
        <f>IF(A682="","",COUNTIF('Access'!$A$4:$A$1503,A682))</f>
        <v/>
      </c>
      <c r="I682" s="30">
        <f t="array" ref="I682">IF(A682="","",_xlfn.TEXTJOIN(", ",TRUE,IF(('Companies'!$A$4:$A$63&lt;&gt;"")*(COUNTIFS('Access'!$A$4:$A$1503,A682,'Access'!$F$4:$F$1503,"*"&amp;'Companies'!$A$4:$A$63&amp;"*")&gt;0),'Companies'!$A$4:$A$63,"")))</f>
        <v/>
      </c>
      <c r="J682" s="30">
        <f>IF(A682="","",IF(COUNTIF($A$4:$A$1003,A682)&gt;1,"Duplicate email",IF(ISERROR(FIND("@",A682)),"Not an email address",IF(AND(H682=0,E682=""),"Investor without holders","OK"))))</f>
        <v/>
      </c>
    </row>
    <row r="683">
      <c r="A683" s="26" t="n"/>
      <c r="B683" s="26" t="n"/>
      <c r="C683" s="26" t="n"/>
      <c r="D683" s="26" t="n"/>
      <c r="E683" s="26" t="n"/>
      <c r="F683" s="26" t="n"/>
      <c r="G683" s="26" t="n"/>
      <c r="H683" s="30">
        <f>IF(A683="","",COUNTIF('Access'!$A$4:$A$1503,A683))</f>
        <v/>
      </c>
      <c r="I683" s="30">
        <f t="array" ref="I683">IF(A683="","",_xlfn.TEXTJOIN(", ",TRUE,IF(('Companies'!$A$4:$A$63&lt;&gt;"")*(COUNTIFS('Access'!$A$4:$A$1503,A683,'Access'!$F$4:$F$1503,"*"&amp;'Companies'!$A$4:$A$63&amp;"*")&gt;0),'Companies'!$A$4:$A$63,"")))</f>
        <v/>
      </c>
      <c r="J683" s="30">
        <f>IF(A683="","",IF(COUNTIF($A$4:$A$1003,A683)&gt;1,"Duplicate email",IF(ISERROR(FIND("@",A683)),"Not an email address",IF(AND(H683=0,E683=""),"Investor without holders","OK"))))</f>
        <v/>
      </c>
    </row>
    <row r="684">
      <c r="A684" s="26" t="n"/>
      <c r="B684" s="26" t="n"/>
      <c r="C684" s="26" t="n"/>
      <c r="D684" s="26" t="n"/>
      <c r="E684" s="26" t="n"/>
      <c r="F684" s="26" t="n"/>
      <c r="G684" s="26" t="n"/>
      <c r="H684" s="30">
        <f>IF(A684="","",COUNTIF('Access'!$A$4:$A$1503,A684))</f>
        <v/>
      </c>
      <c r="I684" s="30">
        <f t="array" ref="I684">IF(A684="","",_xlfn.TEXTJOIN(", ",TRUE,IF(('Companies'!$A$4:$A$63&lt;&gt;"")*(COUNTIFS('Access'!$A$4:$A$1503,A684,'Access'!$F$4:$F$1503,"*"&amp;'Companies'!$A$4:$A$63&amp;"*")&gt;0),'Companies'!$A$4:$A$63,"")))</f>
        <v/>
      </c>
      <c r="J684" s="30">
        <f>IF(A684="","",IF(COUNTIF($A$4:$A$1003,A684)&gt;1,"Duplicate email",IF(ISERROR(FIND("@",A684)),"Not an email address",IF(AND(H684=0,E684=""),"Investor without holders","OK"))))</f>
        <v/>
      </c>
    </row>
    <row r="685">
      <c r="A685" s="26" t="n"/>
      <c r="B685" s="26" t="n"/>
      <c r="C685" s="26" t="n"/>
      <c r="D685" s="26" t="n"/>
      <c r="E685" s="26" t="n"/>
      <c r="F685" s="26" t="n"/>
      <c r="G685" s="26" t="n"/>
      <c r="H685" s="30">
        <f>IF(A685="","",COUNTIF('Access'!$A$4:$A$1503,A685))</f>
        <v/>
      </c>
      <c r="I685" s="30">
        <f t="array" ref="I685">IF(A685="","",_xlfn.TEXTJOIN(", ",TRUE,IF(('Companies'!$A$4:$A$63&lt;&gt;"")*(COUNTIFS('Access'!$A$4:$A$1503,A685,'Access'!$F$4:$F$1503,"*"&amp;'Companies'!$A$4:$A$63&amp;"*")&gt;0),'Companies'!$A$4:$A$63,"")))</f>
        <v/>
      </c>
      <c r="J685" s="30">
        <f>IF(A685="","",IF(COUNTIF($A$4:$A$1003,A685)&gt;1,"Duplicate email",IF(ISERROR(FIND("@",A685)),"Not an email address",IF(AND(H685=0,E685=""),"Investor without holders","OK"))))</f>
        <v/>
      </c>
    </row>
    <row r="686">
      <c r="A686" s="26" t="n"/>
      <c r="B686" s="26" t="n"/>
      <c r="C686" s="26" t="n"/>
      <c r="D686" s="26" t="n"/>
      <c r="E686" s="26" t="n"/>
      <c r="F686" s="26" t="n"/>
      <c r="G686" s="26" t="n"/>
      <c r="H686" s="30">
        <f>IF(A686="","",COUNTIF('Access'!$A$4:$A$1503,A686))</f>
        <v/>
      </c>
      <c r="I686" s="30">
        <f t="array" ref="I686">IF(A686="","",_xlfn.TEXTJOIN(", ",TRUE,IF(('Companies'!$A$4:$A$63&lt;&gt;"")*(COUNTIFS('Access'!$A$4:$A$1503,A686,'Access'!$F$4:$F$1503,"*"&amp;'Companies'!$A$4:$A$63&amp;"*")&gt;0),'Companies'!$A$4:$A$63,"")))</f>
        <v/>
      </c>
      <c r="J686" s="30">
        <f>IF(A686="","",IF(COUNTIF($A$4:$A$1003,A686)&gt;1,"Duplicate email",IF(ISERROR(FIND("@",A686)),"Not an email address",IF(AND(H686=0,E686=""),"Investor without holders","OK"))))</f>
        <v/>
      </c>
    </row>
    <row r="687">
      <c r="A687" s="26" t="n"/>
      <c r="B687" s="26" t="n"/>
      <c r="C687" s="26" t="n"/>
      <c r="D687" s="26" t="n"/>
      <c r="E687" s="26" t="n"/>
      <c r="F687" s="26" t="n"/>
      <c r="G687" s="26" t="n"/>
      <c r="H687" s="30">
        <f>IF(A687="","",COUNTIF('Access'!$A$4:$A$1503,A687))</f>
        <v/>
      </c>
      <c r="I687" s="30">
        <f t="array" ref="I687">IF(A687="","",_xlfn.TEXTJOIN(", ",TRUE,IF(('Companies'!$A$4:$A$63&lt;&gt;"")*(COUNTIFS('Access'!$A$4:$A$1503,A687,'Access'!$F$4:$F$1503,"*"&amp;'Companies'!$A$4:$A$63&amp;"*")&gt;0),'Companies'!$A$4:$A$63,"")))</f>
        <v/>
      </c>
      <c r="J687" s="30">
        <f>IF(A687="","",IF(COUNTIF($A$4:$A$1003,A687)&gt;1,"Duplicate email",IF(ISERROR(FIND("@",A687)),"Not an email address",IF(AND(H687=0,E687=""),"Investor without holders","OK"))))</f>
        <v/>
      </c>
    </row>
    <row r="688">
      <c r="A688" s="26" t="n"/>
      <c r="B688" s="26" t="n"/>
      <c r="C688" s="26" t="n"/>
      <c r="D688" s="26" t="n"/>
      <c r="E688" s="26" t="n"/>
      <c r="F688" s="26" t="n"/>
      <c r="G688" s="26" t="n"/>
      <c r="H688" s="30">
        <f>IF(A688="","",COUNTIF('Access'!$A$4:$A$1503,A688))</f>
        <v/>
      </c>
      <c r="I688" s="30">
        <f t="array" ref="I688">IF(A688="","",_xlfn.TEXTJOIN(", ",TRUE,IF(('Companies'!$A$4:$A$63&lt;&gt;"")*(COUNTIFS('Access'!$A$4:$A$1503,A688,'Access'!$F$4:$F$1503,"*"&amp;'Companies'!$A$4:$A$63&amp;"*")&gt;0),'Companies'!$A$4:$A$63,"")))</f>
        <v/>
      </c>
      <c r="J688" s="30">
        <f>IF(A688="","",IF(COUNTIF($A$4:$A$1003,A688)&gt;1,"Duplicate email",IF(ISERROR(FIND("@",A688)),"Not an email address",IF(AND(H688=0,E688=""),"Investor without holders","OK"))))</f>
        <v/>
      </c>
    </row>
    <row r="689">
      <c r="A689" s="26" t="n"/>
      <c r="B689" s="26" t="n"/>
      <c r="C689" s="26" t="n"/>
      <c r="D689" s="26" t="n"/>
      <c r="E689" s="26" t="n"/>
      <c r="F689" s="26" t="n"/>
      <c r="G689" s="26" t="n"/>
      <c r="H689" s="30">
        <f>IF(A689="","",COUNTIF('Access'!$A$4:$A$1503,A689))</f>
        <v/>
      </c>
      <c r="I689" s="30">
        <f t="array" ref="I689">IF(A689="","",_xlfn.TEXTJOIN(", ",TRUE,IF(('Companies'!$A$4:$A$63&lt;&gt;"")*(COUNTIFS('Access'!$A$4:$A$1503,A689,'Access'!$F$4:$F$1503,"*"&amp;'Companies'!$A$4:$A$63&amp;"*")&gt;0),'Companies'!$A$4:$A$63,"")))</f>
        <v/>
      </c>
      <c r="J689" s="30">
        <f>IF(A689="","",IF(COUNTIF($A$4:$A$1003,A689)&gt;1,"Duplicate email",IF(ISERROR(FIND("@",A689)),"Not an email address",IF(AND(H689=0,E689=""),"Investor without holders","OK"))))</f>
        <v/>
      </c>
    </row>
    <row r="690">
      <c r="A690" s="26" t="n"/>
      <c r="B690" s="26" t="n"/>
      <c r="C690" s="26" t="n"/>
      <c r="D690" s="26" t="n"/>
      <c r="E690" s="26" t="n"/>
      <c r="F690" s="26" t="n"/>
      <c r="G690" s="26" t="n"/>
      <c r="H690" s="30">
        <f>IF(A690="","",COUNTIF('Access'!$A$4:$A$1503,A690))</f>
        <v/>
      </c>
      <c r="I690" s="30">
        <f t="array" ref="I690">IF(A690="","",_xlfn.TEXTJOIN(", ",TRUE,IF(('Companies'!$A$4:$A$63&lt;&gt;"")*(COUNTIFS('Access'!$A$4:$A$1503,A690,'Access'!$F$4:$F$1503,"*"&amp;'Companies'!$A$4:$A$63&amp;"*")&gt;0),'Companies'!$A$4:$A$63,"")))</f>
        <v/>
      </c>
      <c r="J690" s="30">
        <f>IF(A690="","",IF(COUNTIF($A$4:$A$1003,A690)&gt;1,"Duplicate email",IF(ISERROR(FIND("@",A690)),"Not an email address",IF(AND(H690=0,E690=""),"Investor without holders","OK"))))</f>
        <v/>
      </c>
    </row>
    <row r="691">
      <c r="A691" s="26" t="n"/>
      <c r="B691" s="26" t="n"/>
      <c r="C691" s="26" t="n"/>
      <c r="D691" s="26" t="n"/>
      <c r="E691" s="26" t="n"/>
      <c r="F691" s="26" t="n"/>
      <c r="G691" s="26" t="n"/>
      <c r="H691" s="30">
        <f>IF(A691="","",COUNTIF('Access'!$A$4:$A$1503,A691))</f>
        <v/>
      </c>
      <c r="I691" s="30">
        <f t="array" ref="I691">IF(A691="","",_xlfn.TEXTJOIN(", ",TRUE,IF(('Companies'!$A$4:$A$63&lt;&gt;"")*(COUNTIFS('Access'!$A$4:$A$1503,A691,'Access'!$F$4:$F$1503,"*"&amp;'Companies'!$A$4:$A$63&amp;"*")&gt;0),'Companies'!$A$4:$A$63,"")))</f>
        <v/>
      </c>
      <c r="J691" s="30">
        <f>IF(A691="","",IF(COUNTIF($A$4:$A$1003,A691)&gt;1,"Duplicate email",IF(ISERROR(FIND("@",A691)),"Not an email address",IF(AND(H691=0,E691=""),"Investor without holders","OK"))))</f>
        <v/>
      </c>
    </row>
    <row r="692">
      <c r="A692" s="26" t="n"/>
      <c r="B692" s="26" t="n"/>
      <c r="C692" s="26" t="n"/>
      <c r="D692" s="26" t="n"/>
      <c r="E692" s="26" t="n"/>
      <c r="F692" s="26" t="n"/>
      <c r="G692" s="26" t="n"/>
      <c r="H692" s="30">
        <f>IF(A692="","",COUNTIF('Access'!$A$4:$A$1503,A692))</f>
        <v/>
      </c>
      <c r="I692" s="30">
        <f t="array" ref="I692">IF(A692="","",_xlfn.TEXTJOIN(", ",TRUE,IF(('Companies'!$A$4:$A$63&lt;&gt;"")*(COUNTIFS('Access'!$A$4:$A$1503,A692,'Access'!$F$4:$F$1503,"*"&amp;'Companies'!$A$4:$A$63&amp;"*")&gt;0),'Companies'!$A$4:$A$63,"")))</f>
        <v/>
      </c>
      <c r="J692" s="30">
        <f>IF(A692="","",IF(COUNTIF($A$4:$A$1003,A692)&gt;1,"Duplicate email",IF(ISERROR(FIND("@",A692)),"Not an email address",IF(AND(H692=0,E692=""),"Investor without holders","OK"))))</f>
        <v/>
      </c>
    </row>
    <row r="693">
      <c r="A693" s="26" t="n"/>
      <c r="B693" s="26" t="n"/>
      <c r="C693" s="26" t="n"/>
      <c r="D693" s="26" t="n"/>
      <c r="E693" s="26" t="n"/>
      <c r="F693" s="26" t="n"/>
      <c r="G693" s="26" t="n"/>
      <c r="H693" s="30">
        <f>IF(A693="","",COUNTIF('Access'!$A$4:$A$1503,A693))</f>
        <v/>
      </c>
      <c r="I693" s="30">
        <f t="array" ref="I693">IF(A693="","",_xlfn.TEXTJOIN(", ",TRUE,IF(('Companies'!$A$4:$A$63&lt;&gt;"")*(COUNTIFS('Access'!$A$4:$A$1503,A693,'Access'!$F$4:$F$1503,"*"&amp;'Companies'!$A$4:$A$63&amp;"*")&gt;0),'Companies'!$A$4:$A$63,"")))</f>
        <v/>
      </c>
      <c r="J693" s="30">
        <f>IF(A693="","",IF(COUNTIF($A$4:$A$1003,A693)&gt;1,"Duplicate email",IF(ISERROR(FIND("@",A693)),"Not an email address",IF(AND(H693=0,E693=""),"Investor without holders","OK"))))</f>
        <v/>
      </c>
    </row>
    <row r="694">
      <c r="A694" s="26" t="n"/>
      <c r="B694" s="26" t="n"/>
      <c r="C694" s="26" t="n"/>
      <c r="D694" s="26" t="n"/>
      <c r="E694" s="26" t="n"/>
      <c r="F694" s="26" t="n"/>
      <c r="G694" s="26" t="n"/>
      <c r="H694" s="30">
        <f>IF(A694="","",COUNTIF('Access'!$A$4:$A$1503,A694))</f>
        <v/>
      </c>
      <c r="I694" s="30">
        <f t="array" ref="I694">IF(A694="","",_xlfn.TEXTJOIN(", ",TRUE,IF(('Companies'!$A$4:$A$63&lt;&gt;"")*(COUNTIFS('Access'!$A$4:$A$1503,A694,'Access'!$F$4:$F$1503,"*"&amp;'Companies'!$A$4:$A$63&amp;"*")&gt;0),'Companies'!$A$4:$A$63,"")))</f>
        <v/>
      </c>
      <c r="J694" s="30">
        <f>IF(A694="","",IF(COUNTIF($A$4:$A$1003,A694)&gt;1,"Duplicate email",IF(ISERROR(FIND("@",A694)),"Not an email address",IF(AND(H694=0,E694=""),"Investor without holders","OK"))))</f>
        <v/>
      </c>
    </row>
    <row r="695">
      <c r="A695" s="26" t="n"/>
      <c r="B695" s="26" t="n"/>
      <c r="C695" s="26" t="n"/>
      <c r="D695" s="26" t="n"/>
      <c r="E695" s="26" t="n"/>
      <c r="F695" s="26" t="n"/>
      <c r="G695" s="26" t="n"/>
      <c r="H695" s="30">
        <f>IF(A695="","",COUNTIF('Access'!$A$4:$A$1503,A695))</f>
        <v/>
      </c>
      <c r="I695" s="30">
        <f t="array" ref="I695">IF(A695="","",_xlfn.TEXTJOIN(", ",TRUE,IF(('Companies'!$A$4:$A$63&lt;&gt;"")*(COUNTIFS('Access'!$A$4:$A$1503,A695,'Access'!$F$4:$F$1503,"*"&amp;'Companies'!$A$4:$A$63&amp;"*")&gt;0),'Companies'!$A$4:$A$63,"")))</f>
        <v/>
      </c>
      <c r="J695" s="30">
        <f>IF(A695="","",IF(COUNTIF($A$4:$A$1003,A695)&gt;1,"Duplicate email",IF(ISERROR(FIND("@",A695)),"Not an email address",IF(AND(H695=0,E695=""),"Investor without holders","OK"))))</f>
        <v/>
      </c>
    </row>
    <row r="696">
      <c r="A696" s="26" t="n"/>
      <c r="B696" s="26" t="n"/>
      <c r="C696" s="26" t="n"/>
      <c r="D696" s="26" t="n"/>
      <c r="E696" s="26" t="n"/>
      <c r="F696" s="26" t="n"/>
      <c r="G696" s="26" t="n"/>
      <c r="H696" s="30">
        <f>IF(A696="","",COUNTIF('Access'!$A$4:$A$1503,A696))</f>
        <v/>
      </c>
      <c r="I696" s="30">
        <f t="array" ref="I696">IF(A696="","",_xlfn.TEXTJOIN(", ",TRUE,IF(('Companies'!$A$4:$A$63&lt;&gt;"")*(COUNTIFS('Access'!$A$4:$A$1503,A696,'Access'!$F$4:$F$1503,"*"&amp;'Companies'!$A$4:$A$63&amp;"*")&gt;0),'Companies'!$A$4:$A$63,"")))</f>
        <v/>
      </c>
      <c r="J696" s="30">
        <f>IF(A696="","",IF(COUNTIF($A$4:$A$1003,A696)&gt;1,"Duplicate email",IF(ISERROR(FIND("@",A696)),"Not an email address",IF(AND(H696=0,E696=""),"Investor without holders","OK"))))</f>
        <v/>
      </c>
    </row>
    <row r="697">
      <c r="A697" s="26" t="n"/>
      <c r="B697" s="26" t="n"/>
      <c r="C697" s="26" t="n"/>
      <c r="D697" s="26" t="n"/>
      <c r="E697" s="26" t="n"/>
      <c r="F697" s="26" t="n"/>
      <c r="G697" s="26" t="n"/>
      <c r="H697" s="30">
        <f>IF(A697="","",COUNTIF('Access'!$A$4:$A$1503,A697))</f>
        <v/>
      </c>
      <c r="I697" s="30">
        <f t="array" ref="I697">IF(A697="","",_xlfn.TEXTJOIN(", ",TRUE,IF(('Companies'!$A$4:$A$63&lt;&gt;"")*(COUNTIFS('Access'!$A$4:$A$1503,A697,'Access'!$F$4:$F$1503,"*"&amp;'Companies'!$A$4:$A$63&amp;"*")&gt;0),'Companies'!$A$4:$A$63,"")))</f>
        <v/>
      </c>
      <c r="J697" s="30">
        <f>IF(A697="","",IF(COUNTIF($A$4:$A$1003,A697)&gt;1,"Duplicate email",IF(ISERROR(FIND("@",A697)),"Not an email address",IF(AND(H697=0,E697=""),"Investor without holders","OK"))))</f>
        <v/>
      </c>
    </row>
    <row r="698">
      <c r="A698" s="26" t="n"/>
      <c r="B698" s="26" t="n"/>
      <c r="C698" s="26" t="n"/>
      <c r="D698" s="26" t="n"/>
      <c r="E698" s="26" t="n"/>
      <c r="F698" s="26" t="n"/>
      <c r="G698" s="26" t="n"/>
      <c r="H698" s="30">
        <f>IF(A698="","",COUNTIF('Access'!$A$4:$A$1503,A698))</f>
        <v/>
      </c>
      <c r="I698" s="30">
        <f t="array" ref="I698">IF(A698="","",_xlfn.TEXTJOIN(", ",TRUE,IF(('Companies'!$A$4:$A$63&lt;&gt;"")*(COUNTIFS('Access'!$A$4:$A$1503,A698,'Access'!$F$4:$F$1503,"*"&amp;'Companies'!$A$4:$A$63&amp;"*")&gt;0),'Companies'!$A$4:$A$63,"")))</f>
        <v/>
      </c>
      <c r="J698" s="30">
        <f>IF(A698="","",IF(COUNTIF($A$4:$A$1003,A698)&gt;1,"Duplicate email",IF(ISERROR(FIND("@",A698)),"Not an email address",IF(AND(H698=0,E698=""),"Investor without holders","OK"))))</f>
        <v/>
      </c>
    </row>
    <row r="699">
      <c r="A699" s="26" t="n"/>
      <c r="B699" s="26" t="n"/>
      <c r="C699" s="26" t="n"/>
      <c r="D699" s="26" t="n"/>
      <c r="E699" s="26" t="n"/>
      <c r="F699" s="26" t="n"/>
      <c r="G699" s="26" t="n"/>
      <c r="H699" s="30">
        <f>IF(A699="","",COUNTIF('Access'!$A$4:$A$1503,A699))</f>
        <v/>
      </c>
      <c r="I699" s="30">
        <f t="array" ref="I699">IF(A699="","",_xlfn.TEXTJOIN(", ",TRUE,IF(('Companies'!$A$4:$A$63&lt;&gt;"")*(COUNTIFS('Access'!$A$4:$A$1503,A699,'Access'!$F$4:$F$1503,"*"&amp;'Companies'!$A$4:$A$63&amp;"*")&gt;0),'Companies'!$A$4:$A$63,"")))</f>
        <v/>
      </c>
      <c r="J699" s="30">
        <f>IF(A699="","",IF(COUNTIF($A$4:$A$1003,A699)&gt;1,"Duplicate email",IF(ISERROR(FIND("@",A699)),"Not an email address",IF(AND(H699=0,E699=""),"Investor without holders","OK"))))</f>
        <v/>
      </c>
    </row>
    <row r="700">
      <c r="A700" s="26" t="n"/>
      <c r="B700" s="26" t="n"/>
      <c r="C700" s="26" t="n"/>
      <c r="D700" s="26" t="n"/>
      <c r="E700" s="26" t="n"/>
      <c r="F700" s="26" t="n"/>
      <c r="G700" s="26" t="n"/>
      <c r="H700" s="30">
        <f>IF(A700="","",COUNTIF('Access'!$A$4:$A$1503,A700))</f>
        <v/>
      </c>
      <c r="I700" s="30">
        <f t="array" ref="I700">IF(A700="","",_xlfn.TEXTJOIN(", ",TRUE,IF(('Companies'!$A$4:$A$63&lt;&gt;"")*(COUNTIFS('Access'!$A$4:$A$1503,A700,'Access'!$F$4:$F$1503,"*"&amp;'Companies'!$A$4:$A$63&amp;"*")&gt;0),'Companies'!$A$4:$A$63,"")))</f>
        <v/>
      </c>
      <c r="J700" s="30">
        <f>IF(A700="","",IF(COUNTIF($A$4:$A$1003,A700)&gt;1,"Duplicate email",IF(ISERROR(FIND("@",A700)),"Not an email address",IF(AND(H700=0,E700=""),"Investor without holders","OK"))))</f>
        <v/>
      </c>
    </row>
    <row r="701">
      <c r="A701" s="26" t="n"/>
      <c r="B701" s="26" t="n"/>
      <c r="C701" s="26" t="n"/>
      <c r="D701" s="26" t="n"/>
      <c r="E701" s="26" t="n"/>
      <c r="F701" s="26" t="n"/>
      <c r="G701" s="26" t="n"/>
      <c r="H701" s="30">
        <f>IF(A701="","",COUNTIF('Access'!$A$4:$A$1503,A701))</f>
        <v/>
      </c>
      <c r="I701" s="30">
        <f t="array" ref="I701">IF(A701="","",_xlfn.TEXTJOIN(", ",TRUE,IF(('Companies'!$A$4:$A$63&lt;&gt;"")*(COUNTIFS('Access'!$A$4:$A$1503,A701,'Access'!$F$4:$F$1503,"*"&amp;'Companies'!$A$4:$A$63&amp;"*")&gt;0),'Companies'!$A$4:$A$63,"")))</f>
        <v/>
      </c>
      <c r="J701" s="30">
        <f>IF(A701="","",IF(COUNTIF($A$4:$A$1003,A701)&gt;1,"Duplicate email",IF(ISERROR(FIND("@",A701)),"Not an email address",IF(AND(H701=0,E701=""),"Investor without holders","OK"))))</f>
        <v/>
      </c>
    </row>
    <row r="702">
      <c r="A702" s="26" t="n"/>
      <c r="B702" s="26" t="n"/>
      <c r="C702" s="26" t="n"/>
      <c r="D702" s="26" t="n"/>
      <c r="E702" s="26" t="n"/>
      <c r="F702" s="26" t="n"/>
      <c r="G702" s="26" t="n"/>
      <c r="H702" s="30">
        <f>IF(A702="","",COUNTIF('Access'!$A$4:$A$1503,A702))</f>
        <v/>
      </c>
      <c r="I702" s="30">
        <f t="array" ref="I702">IF(A702="","",_xlfn.TEXTJOIN(", ",TRUE,IF(('Companies'!$A$4:$A$63&lt;&gt;"")*(COUNTIFS('Access'!$A$4:$A$1503,A702,'Access'!$F$4:$F$1503,"*"&amp;'Companies'!$A$4:$A$63&amp;"*")&gt;0),'Companies'!$A$4:$A$63,"")))</f>
        <v/>
      </c>
      <c r="J702" s="30">
        <f>IF(A702="","",IF(COUNTIF($A$4:$A$1003,A702)&gt;1,"Duplicate email",IF(ISERROR(FIND("@",A702)),"Not an email address",IF(AND(H702=0,E702=""),"Investor without holders","OK"))))</f>
        <v/>
      </c>
    </row>
    <row r="703">
      <c r="A703" s="26" t="n"/>
      <c r="B703" s="26" t="n"/>
      <c r="C703" s="26" t="n"/>
      <c r="D703" s="26" t="n"/>
      <c r="E703" s="26" t="n"/>
      <c r="F703" s="26" t="n"/>
      <c r="G703" s="26" t="n"/>
      <c r="H703" s="30">
        <f>IF(A703="","",COUNTIF('Access'!$A$4:$A$1503,A703))</f>
        <v/>
      </c>
      <c r="I703" s="30">
        <f t="array" ref="I703">IF(A703="","",_xlfn.TEXTJOIN(", ",TRUE,IF(('Companies'!$A$4:$A$63&lt;&gt;"")*(COUNTIFS('Access'!$A$4:$A$1503,A703,'Access'!$F$4:$F$1503,"*"&amp;'Companies'!$A$4:$A$63&amp;"*")&gt;0),'Companies'!$A$4:$A$63,"")))</f>
        <v/>
      </c>
      <c r="J703" s="30">
        <f>IF(A703="","",IF(COUNTIF($A$4:$A$1003,A703)&gt;1,"Duplicate email",IF(ISERROR(FIND("@",A703)),"Not an email address",IF(AND(H703=0,E703=""),"Investor without holders","OK"))))</f>
        <v/>
      </c>
    </row>
    <row r="704">
      <c r="A704" s="26" t="n"/>
      <c r="B704" s="26" t="n"/>
      <c r="C704" s="26" t="n"/>
      <c r="D704" s="26" t="n"/>
      <c r="E704" s="26" t="n"/>
      <c r="F704" s="26" t="n"/>
      <c r="G704" s="26" t="n"/>
      <c r="H704" s="30">
        <f>IF(A704="","",COUNTIF('Access'!$A$4:$A$1503,A704))</f>
        <v/>
      </c>
      <c r="I704" s="30">
        <f t="array" ref="I704">IF(A704="","",_xlfn.TEXTJOIN(", ",TRUE,IF(('Companies'!$A$4:$A$63&lt;&gt;"")*(COUNTIFS('Access'!$A$4:$A$1503,A704,'Access'!$F$4:$F$1503,"*"&amp;'Companies'!$A$4:$A$63&amp;"*")&gt;0),'Companies'!$A$4:$A$63,"")))</f>
        <v/>
      </c>
      <c r="J704" s="30">
        <f>IF(A704="","",IF(COUNTIF($A$4:$A$1003,A704)&gt;1,"Duplicate email",IF(ISERROR(FIND("@",A704)),"Not an email address",IF(AND(H704=0,E704=""),"Investor without holders","OK"))))</f>
        <v/>
      </c>
    </row>
    <row r="705">
      <c r="A705" s="26" t="n"/>
      <c r="B705" s="26" t="n"/>
      <c r="C705" s="26" t="n"/>
      <c r="D705" s="26" t="n"/>
      <c r="E705" s="26" t="n"/>
      <c r="F705" s="26" t="n"/>
      <c r="G705" s="26" t="n"/>
      <c r="H705" s="30">
        <f>IF(A705="","",COUNTIF('Access'!$A$4:$A$1503,A705))</f>
        <v/>
      </c>
      <c r="I705" s="30">
        <f t="array" ref="I705">IF(A705="","",_xlfn.TEXTJOIN(", ",TRUE,IF(('Companies'!$A$4:$A$63&lt;&gt;"")*(COUNTIFS('Access'!$A$4:$A$1503,A705,'Access'!$F$4:$F$1503,"*"&amp;'Companies'!$A$4:$A$63&amp;"*")&gt;0),'Companies'!$A$4:$A$63,"")))</f>
        <v/>
      </c>
      <c r="J705" s="30">
        <f>IF(A705="","",IF(COUNTIF($A$4:$A$1003,A705)&gt;1,"Duplicate email",IF(ISERROR(FIND("@",A705)),"Not an email address",IF(AND(H705=0,E705=""),"Investor without holders","OK"))))</f>
        <v/>
      </c>
    </row>
    <row r="706">
      <c r="A706" s="26" t="n"/>
      <c r="B706" s="26" t="n"/>
      <c r="C706" s="26" t="n"/>
      <c r="D706" s="26" t="n"/>
      <c r="E706" s="26" t="n"/>
      <c r="F706" s="26" t="n"/>
      <c r="G706" s="26" t="n"/>
      <c r="H706" s="30">
        <f>IF(A706="","",COUNTIF('Access'!$A$4:$A$1503,A706))</f>
        <v/>
      </c>
      <c r="I706" s="30">
        <f t="array" ref="I706">IF(A706="","",_xlfn.TEXTJOIN(", ",TRUE,IF(('Companies'!$A$4:$A$63&lt;&gt;"")*(COUNTIFS('Access'!$A$4:$A$1503,A706,'Access'!$F$4:$F$1503,"*"&amp;'Companies'!$A$4:$A$63&amp;"*")&gt;0),'Companies'!$A$4:$A$63,"")))</f>
        <v/>
      </c>
      <c r="J706" s="30">
        <f>IF(A706="","",IF(COUNTIF($A$4:$A$1003,A706)&gt;1,"Duplicate email",IF(ISERROR(FIND("@",A706)),"Not an email address",IF(AND(H706=0,E706=""),"Investor without holders","OK"))))</f>
        <v/>
      </c>
    </row>
    <row r="707">
      <c r="A707" s="26" t="n"/>
      <c r="B707" s="26" t="n"/>
      <c r="C707" s="26" t="n"/>
      <c r="D707" s="26" t="n"/>
      <c r="E707" s="26" t="n"/>
      <c r="F707" s="26" t="n"/>
      <c r="G707" s="26" t="n"/>
      <c r="H707" s="30">
        <f>IF(A707="","",COUNTIF('Access'!$A$4:$A$1503,A707))</f>
        <v/>
      </c>
      <c r="I707" s="30">
        <f t="array" ref="I707">IF(A707="","",_xlfn.TEXTJOIN(", ",TRUE,IF(('Companies'!$A$4:$A$63&lt;&gt;"")*(COUNTIFS('Access'!$A$4:$A$1503,A707,'Access'!$F$4:$F$1503,"*"&amp;'Companies'!$A$4:$A$63&amp;"*")&gt;0),'Companies'!$A$4:$A$63,"")))</f>
        <v/>
      </c>
      <c r="J707" s="30">
        <f>IF(A707="","",IF(COUNTIF($A$4:$A$1003,A707)&gt;1,"Duplicate email",IF(ISERROR(FIND("@",A707)),"Not an email address",IF(AND(H707=0,E707=""),"Investor without holders","OK"))))</f>
        <v/>
      </c>
    </row>
    <row r="708">
      <c r="A708" s="26" t="n"/>
      <c r="B708" s="26" t="n"/>
      <c r="C708" s="26" t="n"/>
      <c r="D708" s="26" t="n"/>
      <c r="E708" s="26" t="n"/>
      <c r="F708" s="26" t="n"/>
      <c r="G708" s="26" t="n"/>
      <c r="H708" s="30">
        <f>IF(A708="","",COUNTIF('Access'!$A$4:$A$1503,A708))</f>
        <v/>
      </c>
      <c r="I708" s="30">
        <f t="array" ref="I708">IF(A708="","",_xlfn.TEXTJOIN(", ",TRUE,IF(('Companies'!$A$4:$A$63&lt;&gt;"")*(COUNTIFS('Access'!$A$4:$A$1503,A708,'Access'!$F$4:$F$1503,"*"&amp;'Companies'!$A$4:$A$63&amp;"*")&gt;0),'Companies'!$A$4:$A$63,"")))</f>
        <v/>
      </c>
      <c r="J708" s="30">
        <f>IF(A708="","",IF(COUNTIF($A$4:$A$1003,A708)&gt;1,"Duplicate email",IF(ISERROR(FIND("@",A708)),"Not an email address",IF(AND(H708=0,E708=""),"Investor without holders","OK"))))</f>
        <v/>
      </c>
    </row>
    <row r="709">
      <c r="A709" s="26" t="n"/>
      <c r="B709" s="26" t="n"/>
      <c r="C709" s="26" t="n"/>
      <c r="D709" s="26" t="n"/>
      <c r="E709" s="26" t="n"/>
      <c r="F709" s="26" t="n"/>
      <c r="G709" s="26" t="n"/>
      <c r="H709" s="30">
        <f>IF(A709="","",COUNTIF('Access'!$A$4:$A$1503,A709))</f>
        <v/>
      </c>
      <c r="I709" s="30">
        <f t="array" ref="I709">IF(A709="","",_xlfn.TEXTJOIN(", ",TRUE,IF(('Companies'!$A$4:$A$63&lt;&gt;"")*(COUNTIFS('Access'!$A$4:$A$1503,A709,'Access'!$F$4:$F$1503,"*"&amp;'Companies'!$A$4:$A$63&amp;"*")&gt;0),'Companies'!$A$4:$A$63,"")))</f>
        <v/>
      </c>
      <c r="J709" s="30">
        <f>IF(A709="","",IF(COUNTIF($A$4:$A$1003,A709)&gt;1,"Duplicate email",IF(ISERROR(FIND("@",A709)),"Not an email address",IF(AND(H709=0,E709=""),"Investor without holders","OK"))))</f>
        <v/>
      </c>
    </row>
    <row r="710">
      <c r="A710" s="26" t="n"/>
      <c r="B710" s="26" t="n"/>
      <c r="C710" s="26" t="n"/>
      <c r="D710" s="26" t="n"/>
      <c r="E710" s="26" t="n"/>
      <c r="F710" s="26" t="n"/>
      <c r="G710" s="26" t="n"/>
      <c r="H710" s="30">
        <f>IF(A710="","",COUNTIF('Access'!$A$4:$A$1503,A710))</f>
        <v/>
      </c>
      <c r="I710" s="30">
        <f t="array" ref="I710">IF(A710="","",_xlfn.TEXTJOIN(", ",TRUE,IF(('Companies'!$A$4:$A$63&lt;&gt;"")*(COUNTIFS('Access'!$A$4:$A$1503,A710,'Access'!$F$4:$F$1503,"*"&amp;'Companies'!$A$4:$A$63&amp;"*")&gt;0),'Companies'!$A$4:$A$63,"")))</f>
        <v/>
      </c>
      <c r="J710" s="30">
        <f>IF(A710="","",IF(COUNTIF($A$4:$A$1003,A710)&gt;1,"Duplicate email",IF(ISERROR(FIND("@",A710)),"Not an email address",IF(AND(H710=0,E710=""),"Investor without holders","OK"))))</f>
        <v/>
      </c>
    </row>
    <row r="711">
      <c r="A711" s="26" t="n"/>
      <c r="B711" s="26" t="n"/>
      <c r="C711" s="26" t="n"/>
      <c r="D711" s="26" t="n"/>
      <c r="E711" s="26" t="n"/>
      <c r="F711" s="26" t="n"/>
      <c r="G711" s="26" t="n"/>
      <c r="H711" s="30">
        <f>IF(A711="","",COUNTIF('Access'!$A$4:$A$1503,A711))</f>
        <v/>
      </c>
      <c r="I711" s="30">
        <f t="array" ref="I711">IF(A711="","",_xlfn.TEXTJOIN(", ",TRUE,IF(('Companies'!$A$4:$A$63&lt;&gt;"")*(COUNTIFS('Access'!$A$4:$A$1503,A711,'Access'!$F$4:$F$1503,"*"&amp;'Companies'!$A$4:$A$63&amp;"*")&gt;0),'Companies'!$A$4:$A$63,"")))</f>
        <v/>
      </c>
      <c r="J711" s="30">
        <f>IF(A711="","",IF(COUNTIF($A$4:$A$1003,A711)&gt;1,"Duplicate email",IF(ISERROR(FIND("@",A711)),"Not an email address",IF(AND(H711=0,E711=""),"Investor without holders","OK"))))</f>
        <v/>
      </c>
    </row>
    <row r="712">
      <c r="A712" s="26" t="n"/>
      <c r="B712" s="26" t="n"/>
      <c r="C712" s="26" t="n"/>
      <c r="D712" s="26" t="n"/>
      <c r="E712" s="26" t="n"/>
      <c r="F712" s="26" t="n"/>
      <c r="G712" s="26" t="n"/>
      <c r="H712" s="30">
        <f>IF(A712="","",COUNTIF('Access'!$A$4:$A$1503,A712))</f>
        <v/>
      </c>
      <c r="I712" s="30">
        <f t="array" ref="I712">IF(A712="","",_xlfn.TEXTJOIN(", ",TRUE,IF(('Companies'!$A$4:$A$63&lt;&gt;"")*(COUNTIFS('Access'!$A$4:$A$1503,A712,'Access'!$F$4:$F$1503,"*"&amp;'Companies'!$A$4:$A$63&amp;"*")&gt;0),'Companies'!$A$4:$A$63,"")))</f>
        <v/>
      </c>
      <c r="J712" s="30">
        <f>IF(A712="","",IF(COUNTIF($A$4:$A$1003,A712)&gt;1,"Duplicate email",IF(ISERROR(FIND("@",A712)),"Not an email address",IF(AND(H712=0,E712=""),"Investor without holders","OK"))))</f>
        <v/>
      </c>
    </row>
    <row r="713">
      <c r="A713" s="26" t="n"/>
      <c r="B713" s="26" t="n"/>
      <c r="C713" s="26" t="n"/>
      <c r="D713" s="26" t="n"/>
      <c r="E713" s="26" t="n"/>
      <c r="F713" s="26" t="n"/>
      <c r="G713" s="26" t="n"/>
      <c r="H713" s="30">
        <f>IF(A713="","",COUNTIF('Access'!$A$4:$A$1503,A713))</f>
        <v/>
      </c>
      <c r="I713" s="30">
        <f t="array" ref="I713">IF(A713="","",_xlfn.TEXTJOIN(", ",TRUE,IF(('Companies'!$A$4:$A$63&lt;&gt;"")*(COUNTIFS('Access'!$A$4:$A$1503,A713,'Access'!$F$4:$F$1503,"*"&amp;'Companies'!$A$4:$A$63&amp;"*")&gt;0),'Companies'!$A$4:$A$63,"")))</f>
        <v/>
      </c>
      <c r="J713" s="30">
        <f>IF(A713="","",IF(COUNTIF($A$4:$A$1003,A713)&gt;1,"Duplicate email",IF(ISERROR(FIND("@",A713)),"Not an email address",IF(AND(H713=0,E713=""),"Investor without holders","OK"))))</f>
        <v/>
      </c>
    </row>
    <row r="714">
      <c r="A714" s="26" t="n"/>
      <c r="B714" s="26" t="n"/>
      <c r="C714" s="26" t="n"/>
      <c r="D714" s="26" t="n"/>
      <c r="E714" s="26" t="n"/>
      <c r="F714" s="26" t="n"/>
      <c r="G714" s="26" t="n"/>
      <c r="H714" s="30">
        <f>IF(A714="","",COUNTIF('Access'!$A$4:$A$1503,A714))</f>
        <v/>
      </c>
      <c r="I714" s="30">
        <f t="array" ref="I714">IF(A714="","",_xlfn.TEXTJOIN(", ",TRUE,IF(('Companies'!$A$4:$A$63&lt;&gt;"")*(COUNTIFS('Access'!$A$4:$A$1503,A714,'Access'!$F$4:$F$1503,"*"&amp;'Companies'!$A$4:$A$63&amp;"*")&gt;0),'Companies'!$A$4:$A$63,"")))</f>
        <v/>
      </c>
      <c r="J714" s="30">
        <f>IF(A714="","",IF(COUNTIF($A$4:$A$1003,A714)&gt;1,"Duplicate email",IF(ISERROR(FIND("@",A714)),"Not an email address",IF(AND(H714=0,E714=""),"Investor without holders","OK"))))</f>
        <v/>
      </c>
    </row>
    <row r="715">
      <c r="A715" s="26" t="n"/>
      <c r="B715" s="26" t="n"/>
      <c r="C715" s="26" t="n"/>
      <c r="D715" s="26" t="n"/>
      <c r="E715" s="26" t="n"/>
      <c r="F715" s="26" t="n"/>
      <c r="G715" s="26" t="n"/>
      <c r="H715" s="30">
        <f>IF(A715="","",COUNTIF('Access'!$A$4:$A$1503,A715))</f>
        <v/>
      </c>
      <c r="I715" s="30">
        <f t="array" ref="I715">IF(A715="","",_xlfn.TEXTJOIN(", ",TRUE,IF(('Companies'!$A$4:$A$63&lt;&gt;"")*(COUNTIFS('Access'!$A$4:$A$1503,A715,'Access'!$F$4:$F$1503,"*"&amp;'Companies'!$A$4:$A$63&amp;"*")&gt;0),'Companies'!$A$4:$A$63,"")))</f>
        <v/>
      </c>
      <c r="J715" s="30">
        <f>IF(A715="","",IF(COUNTIF($A$4:$A$1003,A715)&gt;1,"Duplicate email",IF(ISERROR(FIND("@",A715)),"Not an email address",IF(AND(H715=0,E715=""),"Investor without holders","OK"))))</f>
        <v/>
      </c>
    </row>
    <row r="716">
      <c r="A716" s="26" t="n"/>
      <c r="B716" s="26" t="n"/>
      <c r="C716" s="26" t="n"/>
      <c r="D716" s="26" t="n"/>
      <c r="E716" s="26" t="n"/>
      <c r="F716" s="26" t="n"/>
      <c r="G716" s="26" t="n"/>
      <c r="H716" s="30">
        <f>IF(A716="","",COUNTIF('Access'!$A$4:$A$1503,A716))</f>
        <v/>
      </c>
      <c r="I716" s="30">
        <f t="array" ref="I716">IF(A716="","",_xlfn.TEXTJOIN(", ",TRUE,IF(('Companies'!$A$4:$A$63&lt;&gt;"")*(COUNTIFS('Access'!$A$4:$A$1503,A716,'Access'!$F$4:$F$1503,"*"&amp;'Companies'!$A$4:$A$63&amp;"*")&gt;0),'Companies'!$A$4:$A$63,"")))</f>
        <v/>
      </c>
      <c r="J716" s="30">
        <f>IF(A716="","",IF(COUNTIF($A$4:$A$1003,A716)&gt;1,"Duplicate email",IF(ISERROR(FIND("@",A716)),"Not an email address",IF(AND(H716=0,E716=""),"Investor without holders","OK"))))</f>
        <v/>
      </c>
    </row>
    <row r="717">
      <c r="A717" s="26" t="n"/>
      <c r="B717" s="26" t="n"/>
      <c r="C717" s="26" t="n"/>
      <c r="D717" s="26" t="n"/>
      <c r="E717" s="26" t="n"/>
      <c r="F717" s="26" t="n"/>
      <c r="G717" s="26" t="n"/>
      <c r="H717" s="30">
        <f>IF(A717="","",COUNTIF('Access'!$A$4:$A$1503,A717))</f>
        <v/>
      </c>
      <c r="I717" s="30">
        <f t="array" ref="I717">IF(A717="","",_xlfn.TEXTJOIN(", ",TRUE,IF(('Companies'!$A$4:$A$63&lt;&gt;"")*(COUNTIFS('Access'!$A$4:$A$1503,A717,'Access'!$F$4:$F$1503,"*"&amp;'Companies'!$A$4:$A$63&amp;"*")&gt;0),'Companies'!$A$4:$A$63,"")))</f>
        <v/>
      </c>
      <c r="J717" s="30">
        <f>IF(A717="","",IF(COUNTIF($A$4:$A$1003,A717)&gt;1,"Duplicate email",IF(ISERROR(FIND("@",A717)),"Not an email address",IF(AND(H717=0,E717=""),"Investor without holders","OK"))))</f>
        <v/>
      </c>
    </row>
    <row r="718">
      <c r="A718" s="26" t="n"/>
      <c r="B718" s="26" t="n"/>
      <c r="C718" s="26" t="n"/>
      <c r="D718" s="26" t="n"/>
      <c r="E718" s="26" t="n"/>
      <c r="F718" s="26" t="n"/>
      <c r="G718" s="26" t="n"/>
      <c r="H718" s="30">
        <f>IF(A718="","",COUNTIF('Access'!$A$4:$A$1503,A718))</f>
        <v/>
      </c>
      <c r="I718" s="30">
        <f t="array" ref="I718">IF(A718="","",_xlfn.TEXTJOIN(", ",TRUE,IF(('Companies'!$A$4:$A$63&lt;&gt;"")*(COUNTIFS('Access'!$A$4:$A$1503,A718,'Access'!$F$4:$F$1503,"*"&amp;'Companies'!$A$4:$A$63&amp;"*")&gt;0),'Companies'!$A$4:$A$63,"")))</f>
        <v/>
      </c>
      <c r="J718" s="30">
        <f>IF(A718="","",IF(COUNTIF($A$4:$A$1003,A718)&gt;1,"Duplicate email",IF(ISERROR(FIND("@",A718)),"Not an email address",IF(AND(H718=0,E718=""),"Investor without holders","OK"))))</f>
        <v/>
      </c>
    </row>
    <row r="719">
      <c r="A719" s="26" t="n"/>
      <c r="B719" s="26" t="n"/>
      <c r="C719" s="26" t="n"/>
      <c r="D719" s="26" t="n"/>
      <c r="E719" s="26" t="n"/>
      <c r="F719" s="26" t="n"/>
      <c r="G719" s="26" t="n"/>
      <c r="H719" s="30">
        <f>IF(A719="","",COUNTIF('Access'!$A$4:$A$1503,A719))</f>
        <v/>
      </c>
      <c r="I719" s="30">
        <f t="array" ref="I719">IF(A719="","",_xlfn.TEXTJOIN(", ",TRUE,IF(('Companies'!$A$4:$A$63&lt;&gt;"")*(COUNTIFS('Access'!$A$4:$A$1503,A719,'Access'!$F$4:$F$1503,"*"&amp;'Companies'!$A$4:$A$63&amp;"*")&gt;0),'Companies'!$A$4:$A$63,"")))</f>
        <v/>
      </c>
      <c r="J719" s="30">
        <f>IF(A719="","",IF(COUNTIF($A$4:$A$1003,A719)&gt;1,"Duplicate email",IF(ISERROR(FIND("@",A719)),"Not an email address",IF(AND(H719=0,E719=""),"Investor without holders","OK"))))</f>
        <v/>
      </c>
    </row>
    <row r="720">
      <c r="A720" s="26" t="n"/>
      <c r="B720" s="26" t="n"/>
      <c r="C720" s="26" t="n"/>
      <c r="D720" s="26" t="n"/>
      <c r="E720" s="26" t="n"/>
      <c r="F720" s="26" t="n"/>
      <c r="G720" s="26" t="n"/>
      <c r="H720" s="30">
        <f>IF(A720="","",COUNTIF('Access'!$A$4:$A$1503,A720))</f>
        <v/>
      </c>
      <c r="I720" s="30">
        <f t="array" ref="I720">IF(A720="","",_xlfn.TEXTJOIN(", ",TRUE,IF(('Companies'!$A$4:$A$63&lt;&gt;"")*(COUNTIFS('Access'!$A$4:$A$1503,A720,'Access'!$F$4:$F$1503,"*"&amp;'Companies'!$A$4:$A$63&amp;"*")&gt;0),'Companies'!$A$4:$A$63,"")))</f>
        <v/>
      </c>
      <c r="J720" s="30">
        <f>IF(A720="","",IF(COUNTIF($A$4:$A$1003,A720)&gt;1,"Duplicate email",IF(ISERROR(FIND("@",A720)),"Not an email address",IF(AND(H720=0,E720=""),"Investor without holders","OK"))))</f>
        <v/>
      </c>
    </row>
    <row r="721">
      <c r="A721" s="26" t="n"/>
      <c r="B721" s="26" t="n"/>
      <c r="C721" s="26" t="n"/>
      <c r="D721" s="26" t="n"/>
      <c r="E721" s="26" t="n"/>
      <c r="F721" s="26" t="n"/>
      <c r="G721" s="26" t="n"/>
      <c r="H721" s="30">
        <f>IF(A721="","",COUNTIF('Access'!$A$4:$A$1503,A721))</f>
        <v/>
      </c>
      <c r="I721" s="30">
        <f t="array" ref="I721">IF(A721="","",_xlfn.TEXTJOIN(", ",TRUE,IF(('Companies'!$A$4:$A$63&lt;&gt;"")*(COUNTIFS('Access'!$A$4:$A$1503,A721,'Access'!$F$4:$F$1503,"*"&amp;'Companies'!$A$4:$A$63&amp;"*")&gt;0),'Companies'!$A$4:$A$63,"")))</f>
        <v/>
      </c>
      <c r="J721" s="30">
        <f>IF(A721="","",IF(COUNTIF($A$4:$A$1003,A721)&gt;1,"Duplicate email",IF(ISERROR(FIND("@",A721)),"Not an email address",IF(AND(H721=0,E721=""),"Investor without holders","OK"))))</f>
        <v/>
      </c>
    </row>
    <row r="722">
      <c r="A722" s="26" t="n"/>
      <c r="B722" s="26" t="n"/>
      <c r="C722" s="26" t="n"/>
      <c r="D722" s="26" t="n"/>
      <c r="E722" s="26" t="n"/>
      <c r="F722" s="26" t="n"/>
      <c r="G722" s="26" t="n"/>
      <c r="H722" s="30">
        <f>IF(A722="","",COUNTIF('Access'!$A$4:$A$1503,A722))</f>
        <v/>
      </c>
      <c r="I722" s="30">
        <f t="array" ref="I722">IF(A722="","",_xlfn.TEXTJOIN(", ",TRUE,IF(('Companies'!$A$4:$A$63&lt;&gt;"")*(COUNTIFS('Access'!$A$4:$A$1503,A722,'Access'!$F$4:$F$1503,"*"&amp;'Companies'!$A$4:$A$63&amp;"*")&gt;0),'Companies'!$A$4:$A$63,"")))</f>
        <v/>
      </c>
      <c r="J722" s="30">
        <f>IF(A722="","",IF(COUNTIF($A$4:$A$1003,A722)&gt;1,"Duplicate email",IF(ISERROR(FIND("@",A722)),"Not an email address",IF(AND(H722=0,E722=""),"Investor without holders","OK"))))</f>
        <v/>
      </c>
    </row>
    <row r="723">
      <c r="A723" s="26" t="n"/>
      <c r="B723" s="26" t="n"/>
      <c r="C723" s="26" t="n"/>
      <c r="D723" s="26" t="n"/>
      <c r="E723" s="26" t="n"/>
      <c r="F723" s="26" t="n"/>
      <c r="G723" s="26" t="n"/>
      <c r="H723" s="30">
        <f>IF(A723="","",COUNTIF('Access'!$A$4:$A$1503,A723))</f>
        <v/>
      </c>
      <c r="I723" s="30">
        <f t="array" ref="I723">IF(A723="","",_xlfn.TEXTJOIN(", ",TRUE,IF(('Companies'!$A$4:$A$63&lt;&gt;"")*(COUNTIFS('Access'!$A$4:$A$1503,A723,'Access'!$F$4:$F$1503,"*"&amp;'Companies'!$A$4:$A$63&amp;"*")&gt;0),'Companies'!$A$4:$A$63,"")))</f>
        <v/>
      </c>
      <c r="J723" s="30">
        <f>IF(A723="","",IF(COUNTIF($A$4:$A$1003,A723)&gt;1,"Duplicate email",IF(ISERROR(FIND("@",A723)),"Not an email address",IF(AND(H723=0,E723=""),"Investor without holders","OK"))))</f>
        <v/>
      </c>
    </row>
    <row r="724">
      <c r="A724" s="26" t="n"/>
      <c r="B724" s="26" t="n"/>
      <c r="C724" s="26" t="n"/>
      <c r="D724" s="26" t="n"/>
      <c r="E724" s="26" t="n"/>
      <c r="F724" s="26" t="n"/>
      <c r="G724" s="26" t="n"/>
      <c r="H724" s="30">
        <f>IF(A724="","",COUNTIF('Access'!$A$4:$A$1503,A724))</f>
        <v/>
      </c>
      <c r="I724" s="30">
        <f t="array" ref="I724">IF(A724="","",_xlfn.TEXTJOIN(", ",TRUE,IF(('Companies'!$A$4:$A$63&lt;&gt;"")*(COUNTIFS('Access'!$A$4:$A$1503,A724,'Access'!$F$4:$F$1503,"*"&amp;'Companies'!$A$4:$A$63&amp;"*")&gt;0),'Companies'!$A$4:$A$63,"")))</f>
        <v/>
      </c>
      <c r="J724" s="30">
        <f>IF(A724="","",IF(COUNTIF($A$4:$A$1003,A724)&gt;1,"Duplicate email",IF(ISERROR(FIND("@",A724)),"Not an email address",IF(AND(H724=0,E724=""),"Investor without holders","OK"))))</f>
        <v/>
      </c>
    </row>
    <row r="725">
      <c r="A725" s="26" t="n"/>
      <c r="B725" s="26" t="n"/>
      <c r="C725" s="26" t="n"/>
      <c r="D725" s="26" t="n"/>
      <c r="E725" s="26" t="n"/>
      <c r="F725" s="26" t="n"/>
      <c r="G725" s="26" t="n"/>
      <c r="H725" s="30">
        <f>IF(A725="","",COUNTIF('Access'!$A$4:$A$1503,A725))</f>
        <v/>
      </c>
      <c r="I725" s="30">
        <f t="array" ref="I725">IF(A725="","",_xlfn.TEXTJOIN(", ",TRUE,IF(('Companies'!$A$4:$A$63&lt;&gt;"")*(COUNTIFS('Access'!$A$4:$A$1503,A725,'Access'!$F$4:$F$1503,"*"&amp;'Companies'!$A$4:$A$63&amp;"*")&gt;0),'Companies'!$A$4:$A$63,"")))</f>
        <v/>
      </c>
      <c r="J725" s="30">
        <f>IF(A725="","",IF(COUNTIF($A$4:$A$1003,A725)&gt;1,"Duplicate email",IF(ISERROR(FIND("@",A725)),"Not an email address",IF(AND(H725=0,E725=""),"Investor without holders","OK"))))</f>
        <v/>
      </c>
    </row>
    <row r="726">
      <c r="A726" s="26" t="n"/>
      <c r="B726" s="26" t="n"/>
      <c r="C726" s="26" t="n"/>
      <c r="D726" s="26" t="n"/>
      <c r="E726" s="26" t="n"/>
      <c r="F726" s="26" t="n"/>
      <c r="G726" s="26" t="n"/>
      <c r="H726" s="30">
        <f>IF(A726="","",COUNTIF('Access'!$A$4:$A$1503,A726))</f>
        <v/>
      </c>
      <c r="I726" s="30">
        <f t="array" ref="I726">IF(A726="","",_xlfn.TEXTJOIN(", ",TRUE,IF(('Companies'!$A$4:$A$63&lt;&gt;"")*(COUNTIFS('Access'!$A$4:$A$1503,A726,'Access'!$F$4:$F$1503,"*"&amp;'Companies'!$A$4:$A$63&amp;"*")&gt;0),'Companies'!$A$4:$A$63,"")))</f>
        <v/>
      </c>
      <c r="J726" s="30">
        <f>IF(A726="","",IF(COUNTIF($A$4:$A$1003,A726)&gt;1,"Duplicate email",IF(ISERROR(FIND("@",A726)),"Not an email address",IF(AND(H726=0,E726=""),"Investor without holders","OK"))))</f>
        <v/>
      </c>
    </row>
    <row r="727">
      <c r="A727" s="26" t="n"/>
      <c r="B727" s="26" t="n"/>
      <c r="C727" s="26" t="n"/>
      <c r="D727" s="26" t="n"/>
      <c r="E727" s="26" t="n"/>
      <c r="F727" s="26" t="n"/>
      <c r="G727" s="26" t="n"/>
      <c r="H727" s="30">
        <f>IF(A727="","",COUNTIF('Access'!$A$4:$A$1503,A727))</f>
        <v/>
      </c>
      <c r="I727" s="30">
        <f t="array" ref="I727">IF(A727="","",_xlfn.TEXTJOIN(", ",TRUE,IF(('Companies'!$A$4:$A$63&lt;&gt;"")*(COUNTIFS('Access'!$A$4:$A$1503,A727,'Access'!$F$4:$F$1503,"*"&amp;'Companies'!$A$4:$A$63&amp;"*")&gt;0),'Companies'!$A$4:$A$63,"")))</f>
        <v/>
      </c>
      <c r="J727" s="30">
        <f>IF(A727="","",IF(COUNTIF($A$4:$A$1003,A727)&gt;1,"Duplicate email",IF(ISERROR(FIND("@",A727)),"Not an email address",IF(AND(H727=0,E727=""),"Investor without holders","OK"))))</f>
        <v/>
      </c>
    </row>
    <row r="728">
      <c r="A728" s="26" t="n"/>
      <c r="B728" s="26" t="n"/>
      <c r="C728" s="26" t="n"/>
      <c r="D728" s="26" t="n"/>
      <c r="E728" s="26" t="n"/>
      <c r="F728" s="26" t="n"/>
      <c r="G728" s="26" t="n"/>
      <c r="H728" s="30">
        <f>IF(A728="","",COUNTIF('Access'!$A$4:$A$1503,A728))</f>
        <v/>
      </c>
      <c r="I728" s="30">
        <f t="array" ref="I728">IF(A728="","",_xlfn.TEXTJOIN(", ",TRUE,IF(('Companies'!$A$4:$A$63&lt;&gt;"")*(COUNTIFS('Access'!$A$4:$A$1503,A728,'Access'!$F$4:$F$1503,"*"&amp;'Companies'!$A$4:$A$63&amp;"*")&gt;0),'Companies'!$A$4:$A$63,"")))</f>
        <v/>
      </c>
      <c r="J728" s="30">
        <f>IF(A728="","",IF(COUNTIF($A$4:$A$1003,A728)&gt;1,"Duplicate email",IF(ISERROR(FIND("@",A728)),"Not an email address",IF(AND(H728=0,E728=""),"Investor without holders","OK"))))</f>
        <v/>
      </c>
    </row>
    <row r="729">
      <c r="A729" s="26" t="n"/>
      <c r="B729" s="26" t="n"/>
      <c r="C729" s="26" t="n"/>
      <c r="D729" s="26" t="n"/>
      <c r="E729" s="26" t="n"/>
      <c r="F729" s="26" t="n"/>
      <c r="G729" s="26" t="n"/>
      <c r="H729" s="30">
        <f>IF(A729="","",COUNTIF('Access'!$A$4:$A$1503,A729))</f>
        <v/>
      </c>
      <c r="I729" s="30">
        <f t="array" ref="I729">IF(A729="","",_xlfn.TEXTJOIN(", ",TRUE,IF(('Companies'!$A$4:$A$63&lt;&gt;"")*(COUNTIFS('Access'!$A$4:$A$1503,A729,'Access'!$F$4:$F$1503,"*"&amp;'Companies'!$A$4:$A$63&amp;"*")&gt;0),'Companies'!$A$4:$A$63,"")))</f>
        <v/>
      </c>
      <c r="J729" s="30">
        <f>IF(A729="","",IF(COUNTIF($A$4:$A$1003,A729)&gt;1,"Duplicate email",IF(ISERROR(FIND("@",A729)),"Not an email address",IF(AND(H729=0,E729=""),"Investor without holders","OK"))))</f>
        <v/>
      </c>
    </row>
    <row r="730">
      <c r="A730" s="26" t="n"/>
      <c r="B730" s="26" t="n"/>
      <c r="C730" s="26" t="n"/>
      <c r="D730" s="26" t="n"/>
      <c r="E730" s="26" t="n"/>
      <c r="F730" s="26" t="n"/>
      <c r="G730" s="26" t="n"/>
      <c r="H730" s="30">
        <f>IF(A730="","",COUNTIF('Access'!$A$4:$A$1503,A730))</f>
        <v/>
      </c>
      <c r="I730" s="30">
        <f t="array" ref="I730">IF(A730="","",_xlfn.TEXTJOIN(", ",TRUE,IF(('Companies'!$A$4:$A$63&lt;&gt;"")*(COUNTIFS('Access'!$A$4:$A$1503,A730,'Access'!$F$4:$F$1503,"*"&amp;'Companies'!$A$4:$A$63&amp;"*")&gt;0),'Companies'!$A$4:$A$63,"")))</f>
        <v/>
      </c>
      <c r="J730" s="30">
        <f>IF(A730="","",IF(COUNTIF($A$4:$A$1003,A730)&gt;1,"Duplicate email",IF(ISERROR(FIND("@",A730)),"Not an email address",IF(AND(H730=0,E730=""),"Investor without holders","OK"))))</f>
        <v/>
      </c>
    </row>
    <row r="731">
      <c r="A731" s="26" t="n"/>
      <c r="B731" s="26" t="n"/>
      <c r="C731" s="26" t="n"/>
      <c r="D731" s="26" t="n"/>
      <c r="E731" s="26" t="n"/>
      <c r="F731" s="26" t="n"/>
      <c r="G731" s="26" t="n"/>
      <c r="H731" s="30">
        <f>IF(A731="","",COUNTIF('Access'!$A$4:$A$1503,A731))</f>
        <v/>
      </c>
      <c r="I731" s="30">
        <f t="array" ref="I731">IF(A731="","",_xlfn.TEXTJOIN(", ",TRUE,IF(('Companies'!$A$4:$A$63&lt;&gt;"")*(COUNTIFS('Access'!$A$4:$A$1503,A731,'Access'!$F$4:$F$1503,"*"&amp;'Companies'!$A$4:$A$63&amp;"*")&gt;0),'Companies'!$A$4:$A$63,"")))</f>
        <v/>
      </c>
      <c r="J731" s="30">
        <f>IF(A731="","",IF(COUNTIF($A$4:$A$1003,A731)&gt;1,"Duplicate email",IF(ISERROR(FIND("@",A731)),"Not an email address",IF(AND(H731=0,E731=""),"Investor without holders","OK"))))</f>
        <v/>
      </c>
    </row>
    <row r="732">
      <c r="A732" s="26" t="n"/>
      <c r="B732" s="26" t="n"/>
      <c r="C732" s="26" t="n"/>
      <c r="D732" s="26" t="n"/>
      <c r="E732" s="26" t="n"/>
      <c r="F732" s="26" t="n"/>
      <c r="G732" s="26" t="n"/>
      <c r="H732" s="30">
        <f>IF(A732="","",COUNTIF('Access'!$A$4:$A$1503,A732))</f>
        <v/>
      </c>
      <c r="I732" s="30">
        <f t="array" ref="I732">IF(A732="","",_xlfn.TEXTJOIN(", ",TRUE,IF(('Companies'!$A$4:$A$63&lt;&gt;"")*(COUNTIFS('Access'!$A$4:$A$1503,A732,'Access'!$F$4:$F$1503,"*"&amp;'Companies'!$A$4:$A$63&amp;"*")&gt;0),'Companies'!$A$4:$A$63,"")))</f>
        <v/>
      </c>
      <c r="J732" s="30">
        <f>IF(A732="","",IF(COUNTIF($A$4:$A$1003,A732)&gt;1,"Duplicate email",IF(ISERROR(FIND("@",A732)),"Not an email address",IF(AND(H732=0,E732=""),"Investor without holders","OK"))))</f>
        <v/>
      </c>
    </row>
    <row r="733">
      <c r="A733" s="26" t="n"/>
      <c r="B733" s="26" t="n"/>
      <c r="C733" s="26" t="n"/>
      <c r="D733" s="26" t="n"/>
      <c r="E733" s="26" t="n"/>
      <c r="F733" s="26" t="n"/>
      <c r="G733" s="26" t="n"/>
      <c r="H733" s="30">
        <f>IF(A733="","",COUNTIF('Access'!$A$4:$A$1503,A733))</f>
        <v/>
      </c>
      <c r="I733" s="30">
        <f t="array" ref="I733">IF(A733="","",_xlfn.TEXTJOIN(", ",TRUE,IF(('Companies'!$A$4:$A$63&lt;&gt;"")*(COUNTIFS('Access'!$A$4:$A$1503,A733,'Access'!$F$4:$F$1503,"*"&amp;'Companies'!$A$4:$A$63&amp;"*")&gt;0),'Companies'!$A$4:$A$63,"")))</f>
        <v/>
      </c>
      <c r="J733" s="30">
        <f>IF(A733="","",IF(COUNTIF($A$4:$A$1003,A733)&gt;1,"Duplicate email",IF(ISERROR(FIND("@",A733)),"Not an email address",IF(AND(H733=0,E733=""),"Investor without holders","OK"))))</f>
        <v/>
      </c>
    </row>
    <row r="734">
      <c r="A734" s="26" t="n"/>
      <c r="B734" s="26" t="n"/>
      <c r="C734" s="26" t="n"/>
      <c r="D734" s="26" t="n"/>
      <c r="E734" s="26" t="n"/>
      <c r="F734" s="26" t="n"/>
      <c r="G734" s="26" t="n"/>
      <c r="H734" s="30">
        <f>IF(A734="","",COUNTIF('Access'!$A$4:$A$1503,A734))</f>
        <v/>
      </c>
      <c r="I734" s="30">
        <f t="array" ref="I734">IF(A734="","",_xlfn.TEXTJOIN(", ",TRUE,IF(('Companies'!$A$4:$A$63&lt;&gt;"")*(COUNTIFS('Access'!$A$4:$A$1503,A734,'Access'!$F$4:$F$1503,"*"&amp;'Companies'!$A$4:$A$63&amp;"*")&gt;0),'Companies'!$A$4:$A$63,"")))</f>
        <v/>
      </c>
      <c r="J734" s="30">
        <f>IF(A734="","",IF(COUNTIF($A$4:$A$1003,A734)&gt;1,"Duplicate email",IF(ISERROR(FIND("@",A734)),"Not an email address",IF(AND(H734=0,E734=""),"Investor without holders","OK"))))</f>
        <v/>
      </c>
    </row>
    <row r="735">
      <c r="A735" s="26" t="n"/>
      <c r="B735" s="26" t="n"/>
      <c r="C735" s="26" t="n"/>
      <c r="D735" s="26" t="n"/>
      <c r="E735" s="26" t="n"/>
      <c r="F735" s="26" t="n"/>
      <c r="G735" s="26" t="n"/>
      <c r="H735" s="30">
        <f>IF(A735="","",COUNTIF('Access'!$A$4:$A$1503,A735))</f>
        <v/>
      </c>
      <c r="I735" s="30">
        <f t="array" ref="I735">IF(A735="","",_xlfn.TEXTJOIN(", ",TRUE,IF(('Companies'!$A$4:$A$63&lt;&gt;"")*(COUNTIFS('Access'!$A$4:$A$1503,A735,'Access'!$F$4:$F$1503,"*"&amp;'Companies'!$A$4:$A$63&amp;"*")&gt;0),'Companies'!$A$4:$A$63,"")))</f>
        <v/>
      </c>
      <c r="J735" s="30">
        <f>IF(A735="","",IF(COUNTIF($A$4:$A$1003,A735)&gt;1,"Duplicate email",IF(ISERROR(FIND("@",A735)),"Not an email address",IF(AND(H735=0,E735=""),"Investor without holders","OK"))))</f>
        <v/>
      </c>
    </row>
    <row r="736">
      <c r="A736" s="26" t="n"/>
      <c r="B736" s="26" t="n"/>
      <c r="C736" s="26" t="n"/>
      <c r="D736" s="26" t="n"/>
      <c r="E736" s="26" t="n"/>
      <c r="F736" s="26" t="n"/>
      <c r="G736" s="26" t="n"/>
      <c r="H736" s="30">
        <f>IF(A736="","",COUNTIF('Access'!$A$4:$A$1503,A736))</f>
        <v/>
      </c>
      <c r="I736" s="30">
        <f t="array" ref="I736">IF(A736="","",_xlfn.TEXTJOIN(", ",TRUE,IF(('Companies'!$A$4:$A$63&lt;&gt;"")*(COUNTIFS('Access'!$A$4:$A$1503,A736,'Access'!$F$4:$F$1503,"*"&amp;'Companies'!$A$4:$A$63&amp;"*")&gt;0),'Companies'!$A$4:$A$63,"")))</f>
        <v/>
      </c>
      <c r="J736" s="30">
        <f>IF(A736="","",IF(COUNTIF($A$4:$A$1003,A736)&gt;1,"Duplicate email",IF(ISERROR(FIND("@",A736)),"Not an email address",IF(AND(H736=0,E736=""),"Investor without holders","OK"))))</f>
        <v/>
      </c>
    </row>
    <row r="737">
      <c r="A737" s="26" t="n"/>
      <c r="B737" s="26" t="n"/>
      <c r="C737" s="26" t="n"/>
      <c r="D737" s="26" t="n"/>
      <c r="E737" s="26" t="n"/>
      <c r="F737" s="26" t="n"/>
      <c r="G737" s="26" t="n"/>
      <c r="H737" s="30">
        <f>IF(A737="","",COUNTIF('Access'!$A$4:$A$1503,A737))</f>
        <v/>
      </c>
      <c r="I737" s="30">
        <f t="array" ref="I737">IF(A737="","",_xlfn.TEXTJOIN(", ",TRUE,IF(('Companies'!$A$4:$A$63&lt;&gt;"")*(COUNTIFS('Access'!$A$4:$A$1503,A737,'Access'!$F$4:$F$1503,"*"&amp;'Companies'!$A$4:$A$63&amp;"*")&gt;0),'Companies'!$A$4:$A$63,"")))</f>
        <v/>
      </c>
      <c r="J737" s="30">
        <f>IF(A737="","",IF(COUNTIF($A$4:$A$1003,A737)&gt;1,"Duplicate email",IF(ISERROR(FIND("@",A737)),"Not an email address",IF(AND(H737=0,E737=""),"Investor without holders","OK"))))</f>
        <v/>
      </c>
    </row>
    <row r="738">
      <c r="A738" s="26" t="n"/>
      <c r="B738" s="26" t="n"/>
      <c r="C738" s="26" t="n"/>
      <c r="D738" s="26" t="n"/>
      <c r="E738" s="26" t="n"/>
      <c r="F738" s="26" t="n"/>
      <c r="G738" s="26" t="n"/>
      <c r="H738" s="30">
        <f>IF(A738="","",COUNTIF('Access'!$A$4:$A$1503,A738))</f>
        <v/>
      </c>
      <c r="I738" s="30">
        <f t="array" ref="I738">IF(A738="","",_xlfn.TEXTJOIN(", ",TRUE,IF(('Companies'!$A$4:$A$63&lt;&gt;"")*(COUNTIFS('Access'!$A$4:$A$1503,A738,'Access'!$F$4:$F$1503,"*"&amp;'Companies'!$A$4:$A$63&amp;"*")&gt;0),'Companies'!$A$4:$A$63,"")))</f>
        <v/>
      </c>
      <c r="J738" s="30">
        <f>IF(A738="","",IF(COUNTIF($A$4:$A$1003,A738)&gt;1,"Duplicate email",IF(ISERROR(FIND("@",A738)),"Not an email address",IF(AND(H738=0,E738=""),"Investor without holders","OK"))))</f>
        <v/>
      </c>
    </row>
    <row r="739">
      <c r="A739" s="26" t="n"/>
      <c r="B739" s="26" t="n"/>
      <c r="C739" s="26" t="n"/>
      <c r="D739" s="26" t="n"/>
      <c r="E739" s="26" t="n"/>
      <c r="F739" s="26" t="n"/>
      <c r="G739" s="26" t="n"/>
      <c r="H739" s="30">
        <f>IF(A739="","",COUNTIF('Access'!$A$4:$A$1503,A739))</f>
        <v/>
      </c>
      <c r="I739" s="30">
        <f t="array" ref="I739">IF(A739="","",_xlfn.TEXTJOIN(", ",TRUE,IF(('Companies'!$A$4:$A$63&lt;&gt;"")*(COUNTIFS('Access'!$A$4:$A$1503,A739,'Access'!$F$4:$F$1503,"*"&amp;'Companies'!$A$4:$A$63&amp;"*")&gt;0),'Companies'!$A$4:$A$63,"")))</f>
        <v/>
      </c>
      <c r="J739" s="30">
        <f>IF(A739="","",IF(COUNTIF($A$4:$A$1003,A739)&gt;1,"Duplicate email",IF(ISERROR(FIND("@",A739)),"Not an email address",IF(AND(H739=0,E739=""),"Investor without holders","OK"))))</f>
        <v/>
      </c>
    </row>
    <row r="740">
      <c r="A740" s="26" t="n"/>
      <c r="B740" s="26" t="n"/>
      <c r="C740" s="26" t="n"/>
      <c r="D740" s="26" t="n"/>
      <c r="E740" s="26" t="n"/>
      <c r="F740" s="26" t="n"/>
      <c r="G740" s="26" t="n"/>
      <c r="H740" s="30">
        <f>IF(A740="","",COUNTIF('Access'!$A$4:$A$1503,A740))</f>
        <v/>
      </c>
      <c r="I740" s="30">
        <f t="array" ref="I740">IF(A740="","",_xlfn.TEXTJOIN(", ",TRUE,IF(('Companies'!$A$4:$A$63&lt;&gt;"")*(COUNTIFS('Access'!$A$4:$A$1503,A740,'Access'!$F$4:$F$1503,"*"&amp;'Companies'!$A$4:$A$63&amp;"*")&gt;0),'Companies'!$A$4:$A$63,"")))</f>
        <v/>
      </c>
      <c r="J740" s="30">
        <f>IF(A740="","",IF(COUNTIF($A$4:$A$1003,A740)&gt;1,"Duplicate email",IF(ISERROR(FIND("@",A740)),"Not an email address",IF(AND(H740=0,E740=""),"Investor without holders","OK"))))</f>
        <v/>
      </c>
    </row>
    <row r="741">
      <c r="A741" s="26" t="n"/>
      <c r="B741" s="26" t="n"/>
      <c r="C741" s="26" t="n"/>
      <c r="D741" s="26" t="n"/>
      <c r="E741" s="26" t="n"/>
      <c r="F741" s="26" t="n"/>
      <c r="G741" s="26" t="n"/>
      <c r="H741" s="30">
        <f>IF(A741="","",COUNTIF('Access'!$A$4:$A$1503,A741))</f>
        <v/>
      </c>
      <c r="I741" s="30">
        <f t="array" ref="I741">IF(A741="","",_xlfn.TEXTJOIN(", ",TRUE,IF(('Companies'!$A$4:$A$63&lt;&gt;"")*(COUNTIFS('Access'!$A$4:$A$1503,A741,'Access'!$F$4:$F$1503,"*"&amp;'Companies'!$A$4:$A$63&amp;"*")&gt;0),'Companies'!$A$4:$A$63,"")))</f>
        <v/>
      </c>
      <c r="J741" s="30">
        <f>IF(A741="","",IF(COUNTIF($A$4:$A$1003,A741)&gt;1,"Duplicate email",IF(ISERROR(FIND("@",A741)),"Not an email address",IF(AND(H741=0,E741=""),"Investor without holders","OK"))))</f>
        <v/>
      </c>
    </row>
    <row r="742">
      <c r="A742" s="26" t="n"/>
      <c r="B742" s="26" t="n"/>
      <c r="C742" s="26" t="n"/>
      <c r="D742" s="26" t="n"/>
      <c r="E742" s="26" t="n"/>
      <c r="F742" s="26" t="n"/>
      <c r="G742" s="26" t="n"/>
      <c r="H742" s="30">
        <f>IF(A742="","",COUNTIF('Access'!$A$4:$A$1503,A742))</f>
        <v/>
      </c>
      <c r="I742" s="30">
        <f t="array" ref="I742">IF(A742="","",_xlfn.TEXTJOIN(", ",TRUE,IF(('Companies'!$A$4:$A$63&lt;&gt;"")*(COUNTIFS('Access'!$A$4:$A$1503,A742,'Access'!$F$4:$F$1503,"*"&amp;'Companies'!$A$4:$A$63&amp;"*")&gt;0),'Companies'!$A$4:$A$63,"")))</f>
        <v/>
      </c>
      <c r="J742" s="30">
        <f>IF(A742="","",IF(COUNTIF($A$4:$A$1003,A742)&gt;1,"Duplicate email",IF(ISERROR(FIND("@",A742)),"Not an email address",IF(AND(H742=0,E742=""),"Investor without holders","OK"))))</f>
        <v/>
      </c>
    </row>
    <row r="743">
      <c r="A743" s="26" t="n"/>
      <c r="B743" s="26" t="n"/>
      <c r="C743" s="26" t="n"/>
      <c r="D743" s="26" t="n"/>
      <c r="E743" s="26" t="n"/>
      <c r="F743" s="26" t="n"/>
      <c r="G743" s="26" t="n"/>
      <c r="H743" s="30">
        <f>IF(A743="","",COUNTIF('Access'!$A$4:$A$1503,A743))</f>
        <v/>
      </c>
      <c r="I743" s="30">
        <f t="array" ref="I743">IF(A743="","",_xlfn.TEXTJOIN(", ",TRUE,IF(('Companies'!$A$4:$A$63&lt;&gt;"")*(COUNTIFS('Access'!$A$4:$A$1503,A743,'Access'!$F$4:$F$1503,"*"&amp;'Companies'!$A$4:$A$63&amp;"*")&gt;0),'Companies'!$A$4:$A$63,"")))</f>
        <v/>
      </c>
      <c r="J743" s="30">
        <f>IF(A743="","",IF(COUNTIF($A$4:$A$1003,A743)&gt;1,"Duplicate email",IF(ISERROR(FIND("@",A743)),"Not an email address",IF(AND(H743=0,E743=""),"Investor without holders","OK"))))</f>
        <v/>
      </c>
    </row>
    <row r="744">
      <c r="A744" s="26" t="n"/>
      <c r="B744" s="26" t="n"/>
      <c r="C744" s="26" t="n"/>
      <c r="D744" s="26" t="n"/>
      <c r="E744" s="26" t="n"/>
      <c r="F744" s="26" t="n"/>
      <c r="G744" s="26" t="n"/>
      <c r="H744" s="30">
        <f>IF(A744="","",COUNTIF('Access'!$A$4:$A$1503,A744))</f>
        <v/>
      </c>
      <c r="I744" s="30">
        <f t="array" ref="I744">IF(A744="","",_xlfn.TEXTJOIN(", ",TRUE,IF(('Companies'!$A$4:$A$63&lt;&gt;"")*(COUNTIFS('Access'!$A$4:$A$1503,A744,'Access'!$F$4:$F$1503,"*"&amp;'Companies'!$A$4:$A$63&amp;"*")&gt;0),'Companies'!$A$4:$A$63,"")))</f>
        <v/>
      </c>
      <c r="J744" s="30">
        <f>IF(A744="","",IF(COUNTIF($A$4:$A$1003,A744)&gt;1,"Duplicate email",IF(ISERROR(FIND("@",A744)),"Not an email address",IF(AND(H744=0,E744=""),"Investor without holders","OK"))))</f>
        <v/>
      </c>
    </row>
    <row r="745">
      <c r="A745" s="26" t="n"/>
      <c r="B745" s="26" t="n"/>
      <c r="C745" s="26" t="n"/>
      <c r="D745" s="26" t="n"/>
      <c r="E745" s="26" t="n"/>
      <c r="F745" s="26" t="n"/>
      <c r="G745" s="26" t="n"/>
      <c r="H745" s="30">
        <f>IF(A745="","",COUNTIF('Access'!$A$4:$A$1503,A745))</f>
        <v/>
      </c>
      <c r="I745" s="30">
        <f t="array" ref="I745">IF(A745="","",_xlfn.TEXTJOIN(", ",TRUE,IF(('Companies'!$A$4:$A$63&lt;&gt;"")*(COUNTIFS('Access'!$A$4:$A$1503,A745,'Access'!$F$4:$F$1503,"*"&amp;'Companies'!$A$4:$A$63&amp;"*")&gt;0),'Companies'!$A$4:$A$63,"")))</f>
        <v/>
      </c>
      <c r="J745" s="30">
        <f>IF(A745="","",IF(COUNTIF($A$4:$A$1003,A745)&gt;1,"Duplicate email",IF(ISERROR(FIND("@",A745)),"Not an email address",IF(AND(H745=0,E745=""),"Investor without holders","OK"))))</f>
        <v/>
      </c>
    </row>
    <row r="746">
      <c r="A746" s="26" t="n"/>
      <c r="B746" s="26" t="n"/>
      <c r="C746" s="26" t="n"/>
      <c r="D746" s="26" t="n"/>
      <c r="E746" s="26" t="n"/>
      <c r="F746" s="26" t="n"/>
      <c r="G746" s="26" t="n"/>
      <c r="H746" s="30">
        <f>IF(A746="","",COUNTIF('Access'!$A$4:$A$1503,A746))</f>
        <v/>
      </c>
      <c r="I746" s="30">
        <f t="array" ref="I746">IF(A746="","",_xlfn.TEXTJOIN(", ",TRUE,IF(('Companies'!$A$4:$A$63&lt;&gt;"")*(COUNTIFS('Access'!$A$4:$A$1503,A746,'Access'!$F$4:$F$1503,"*"&amp;'Companies'!$A$4:$A$63&amp;"*")&gt;0),'Companies'!$A$4:$A$63,"")))</f>
        <v/>
      </c>
      <c r="J746" s="30">
        <f>IF(A746="","",IF(COUNTIF($A$4:$A$1003,A746)&gt;1,"Duplicate email",IF(ISERROR(FIND("@",A746)),"Not an email address",IF(AND(H746=0,E746=""),"Investor without holders","OK"))))</f>
        <v/>
      </c>
    </row>
    <row r="747">
      <c r="A747" s="26" t="n"/>
      <c r="B747" s="26" t="n"/>
      <c r="C747" s="26" t="n"/>
      <c r="D747" s="26" t="n"/>
      <c r="E747" s="26" t="n"/>
      <c r="F747" s="26" t="n"/>
      <c r="G747" s="26" t="n"/>
      <c r="H747" s="30">
        <f>IF(A747="","",COUNTIF('Access'!$A$4:$A$1503,A747))</f>
        <v/>
      </c>
      <c r="I747" s="30">
        <f t="array" ref="I747">IF(A747="","",_xlfn.TEXTJOIN(", ",TRUE,IF(('Companies'!$A$4:$A$63&lt;&gt;"")*(COUNTIFS('Access'!$A$4:$A$1503,A747,'Access'!$F$4:$F$1503,"*"&amp;'Companies'!$A$4:$A$63&amp;"*")&gt;0),'Companies'!$A$4:$A$63,"")))</f>
        <v/>
      </c>
      <c r="J747" s="30">
        <f>IF(A747="","",IF(COUNTIF($A$4:$A$1003,A747)&gt;1,"Duplicate email",IF(ISERROR(FIND("@",A747)),"Not an email address",IF(AND(H747=0,E747=""),"Investor without holders","OK"))))</f>
        <v/>
      </c>
    </row>
    <row r="748">
      <c r="A748" s="26" t="n"/>
      <c r="B748" s="26" t="n"/>
      <c r="C748" s="26" t="n"/>
      <c r="D748" s="26" t="n"/>
      <c r="E748" s="26" t="n"/>
      <c r="F748" s="26" t="n"/>
      <c r="G748" s="26" t="n"/>
      <c r="H748" s="30">
        <f>IF(A748="","",COUNTIF('Access'!$A$4:$A$1503,A748))</f>
        <v/>
      </c>
      <c r="I748" s="30">
        <f t="array" ref="I748">IF(A748="","",_xlfn.TEXTJOIN(", ",TRUE,IF(('Companies'!$A$4:$A$63&lt;&gt;"")*(COUNTIFS('Access'!$A$4:$A$1503,A748,'Access'!$F$4:$F$1503,"*"&amp;'Companies'!$A$4:$A$63&amp;"*")&gt;0),'Companies'!$A$4:$A$63,"")))</f>
        <v/>
      </c>
      <c r="J748" s="30">
        <f>IF(A748="","",IF(COUNTIF($A$4:$A$1003,A748)&gt;1,"Duplicate email",IF(ISERROR(FIND("@",A748)),"Not an email address",IF(AND(H748=0,E748=""),"Investor without holders","OK"))))</f>
        <v/>
      </c>
    </row>
    <row r="749">
      <c r="A749" s="26" t="n"/>
      <c r="B749" s="26" t="n"/>
      <c r="C749" s="26" t="n"/>
      <c r="D749" s="26" t="n"/>
      <c r="E749" s="26" t="n"/>
      <c r="F749" s="26" t="n"/>
      <c r="G749" s="26" t="n"/>
      <c r="H749" s="30">
        <f>IF(A749="","",COUNTIF('Access'!$A$4:$A$1503,A749))</f>
        <v/>
      </c>
      <c r="I749" s="30">
        <f t="array" ref="I749">IF(A749="","",_xlfn.TEXTJOIN(", ",TRUE,IF(('Companies'!$A$4:$A$63&lt;&gt;"")*(COUNTIFS('Access'!$A$4:$A$1503,A749,'Access'!$F$4:$F$1503,"*"&amp;'Companies'!$A$4:$A$63&amp;"*")&gt;0),'Companies'!$A$4:$A$63,"")))</f>
        <v/>
      </c>
      <c r="J749" s="30">
        <f>IF(A749="","",IF(COUNTIF($A$4:$A$1003,A749)&gt;1,"Duplicate email",IF(ISERROR(FIND("@",A749)),"Not an email address",IF(AND(H749=0,E749=""),"Investor without holders","OK"))))</f>
        <v/>
      </c>
    </row>
    <row r="750">
      <c r="A750" s="26" t="n"/>
      <c r="B750" s="26" t="n"/>
      <c r="C750" s="26" t="n"/>
      <c r="D750" s="26" t="n"/>
      <c r="E750" s="26" t="n"/>
      <c r="F750" s="26" t="n"/>
      <c r="G750" s="26" t="n"/>
      <c r="H750" s="30">
        <f>IF(A750="","",COUNTIF('Access'!$A$4:$A$1503,A750))</f>
        <v/>
      </c>
      <c r="I750" s="30">
        <f t="array" ref="I750">IF(A750="","",_xlfn.TEXTJOIN(", ",TRUE,IF(('Companies'!$A$4:$A$63&lt;&gt;"")*(COUNTIFS('Access'!$A$4:$A$1503,A750,'Access'!$F$4:$F$1503,"*"&amp;'Companies'!$A$4:$A$63&amp;"*")&gt;0),'Companies'!$A$4:$A$63,"")))</f>
        <v/>
      </c>
      <c r="J750" s="30">
        <f>IF(A750="","",IF(COUNTIF($A$4:$A$1003,A750)&gt;1,"Duplicate email",IF(ISERROR(FIND("@",A750)),"Not an email address",IF(AND(H750=0,E750=""),"Investor without holders","OK"))))</f>
        <v/>
      </c>
    </row>
    <row r="751">
      <c r="A751" s="26" t="n"/>
      <c r="B751" s="26" t="n"/>
      <c r="C751" s="26" t="n"/>
      <c r="D751" s="26" t="n"/>
      <c r="E751" s="26" t="n"/>
      <c r="F751" s="26" t="n"/>
      <c r="G751" s="26" t="n"/>
      <c r="H751" s="30">
        <f>IF(A751="","",COUNTIF('Access'!$A$4:$A$1503,A751))</f>
        <v/>
      </c>
      <c r="I751" s="30">
        <f t="array" ref="I751">IF(A751="","",_xlfn.TEXTJOIN(", ",TRUE,IF(('Companies'!$A$4:$A$63&lt;&gt;"")*(COUNTIFS('Access'!$A$4:$A$1503,A751,'Access'!$F$4:$F$1503,"*"&amp;'Companies'!$A$4:$A$63&amp;"*")&gt;0),'Companies'!$A$4:$A$63,"")))</f>
        <v/>
      </c>
      <c r="J751" s="30">
        <f>IF(A751="","",IF(COUNTIF($A$4:$A$1003,A751)&gt;1,"Duplicate email",IF(ISERROR(FIND("@",A751)),"Not an email address",IF(AND(H751=0,E751=""),"Investor without holders","OK"))))</f>
        <v/>
      </c>
    </row>
    <row r="752">
      <c r="A752" s="26" t="n"/>
      <c r="B752" s="26" t="n"/>
      <c r="C752" s="26" t="n"/>
      <c r="D752" s="26" t="n"/>
      <c r="E752" s="26" t="n"/>
      <c r="F752" s="26" t="n"/>
      <c r="G752" s="26" t="n"/>
      <c r="H752" s="30">
        <f>IF(A752="","",COUNTIF('Access'!$A$4:$A$1503,A752))</f>
        <v/>
      </c>
      <c r="I752" s="30">
        <f t="array" ref="I752">IF(A752="","",_xlfn.TEXTJOIN(", ",TRUE,IF(('Companies'!$A$4:$A$63&lt;&gt;"")*(COUNTIFS('Access'!$A$4:$A$1503,A752,'Access'!$F$4:$F$1503,"*"&amp;'Companies'!$A$4:$A$63&amp;"*")&gt;0),'Companies'!$A$4:$A$63,"")))</f>
        <v/>
      </c>
      <c r="J752" s="30">
        <f>IF(A752="","",IF(COUNTIF($A$4:$A$1003,A752)&gt;1,"Duplicate email",IF(ISERROR(FIND("@",A752)),"Not an email address",IF(AND(H752=0,E752=""),"Investor without holders","OK"))))</f>
        <v/>
      </c>
    </row>
    <row r="753">
      <c r="A753" s="26" t="n"/>
      <c r="B753" s="26" t="n"/>
      <c r="C753" s="26" t="n"/>
      <c r="D753" s="26" t="n"/>
      <c r="E753" s="26" t="n"/>
      <c r="F753" s="26" t="n"/>
      <c r="G753" s="26" t="n"/>
      <c r="H753" s="30">
        <f>IF(A753="","",COUNTIF('Access'!$A$4:$A$1503,A753))</f>
        <v/>
      </c>
      <c r="I753" s="30">
        <f t="array" ref="I753">IF(A753="","",_xlfn.TEXTJOIN(", ",TRUE,IF(('Companies'!$A$4:$A$63&lt;&gt;"")*(COUNTIFS('Access'!$A$4:$A$1503,A753,'Access'!$F$4:$F$1503,"*"&amp;'Companies'!$A$4:$A$63&amp;"*")&gt;0),'Companies'!$A$4:$A$63,"")))</f>
        <v/>
      </c>
      <c r="J753" s="30">
        <f>IF(A753="","",IF(COUNTIF($A$4:$A$1003,A753)&gt;1,"Duplicate email",IF(ISERROR(FIND("@",A753)),"Not an email address",IF(AND(H753=0,E753=""),"Investor without holders","OK"))))</f>
        <v/>
      </c>
    </row>
    <row r="754">
      <c r="A754" s="26" t="n"/>
      <c r="B754" s="26" t="n"/>
      <c r="C754" s="26" t="n"/>
      <c r="D754" s="26" t="n"/>
      <c r="E754" s="26" t="n"/>
      <c r="F754" s="26" t="n"/>
      <c r="G754" s="26" t="n"/>
      <c r="H754" s="30">
        <f>IF(A754="","",COUNTIF('Access'!$A$4:$A$1503,A754))</f>
        <v/>
      </c>
      <c r="I754" s="30">
        <f t="array" ref="I754">IF(A754="","",_xlfn.TEXTJOIN(", ",TRUE,IF(('Companies'!$A$4:$A$63&lt;&gt;"")*(COUNTIFS('Access'!$A$4:$A$1503,A754,'Access'!$F$4:$F$1503,"*"&amp;'Companies'!$A$4:$A$63&amp;"*")&gt;0),'Companies'!$A$4:$A$63,"")))</f>
        <v/>
      </c>
      <c r="J754" s="30">
        <f>IF(A754="","",IF(COUNTIF($A$4:$A$1003,A754)&gt;1,"Duplicate email",IF(ISERROR(FIND("@",A754)),"Not an email address",IF(AND(H754=0,E754=""),"Investor without holders","OK"))))</f>
        <v/>
      </c>
    </row>
    <row r="755">
      <c r="A755" s="26" t="n"/>
      <c r="B755" s="26" t="n"/>
      <c r="C755" s="26" t="n"/>
      <c r="D755" s="26" t="n"/>
      <c r="E755" s="26" t="n"/>
      <c r="F755" s="26" t="n"/>
      <c r="G755" s="26" t="n"/>
      <c r="H755" s="30">
        <f>IF(A755="","",COUNTIF('Access'!$A$4:$A$1503,A755))</f>
        <v/>
      </c>
      <c r="I755" s="30">
        <f t="array" ref="I755">IF(A755="","",_xlfn.TEXTJOIN(", ",TRUE,IF(('Companies'!$A$4:$A$63&lt;&gt;"")*(COUNTIFS('Access'!$A$4:$A$1503,A755,'Access'!$F$4:$F$1503,"*"&amp;'Companies'!$A$4:$A$63&amp;"*")&gt;0),'Companies'!$A$4:$A$63,"")))</f>
        <v/>
      </c>
      <c r="J755" s="30">
        <f>IF(A755="","",IF(COUNTIF($A$4:$A$1003,A755)&gt;1,"Duplicate email",IF(ISERROR(FIND("@",A755)),"Not an email address",IF(AND(H755=0,E755=""),"Investor without holders","OK"))))</f>
        <v/>
      </c>
    </row>
    <row r="756">
      <c r="A756" s="26" t="n"/>
      <c r="B756" s="26" t="n"/>
      <c r="C756" s="26" t="n"/>
      <c r="D756" s="26" t="n"/>
      <c r="E756" s="26" t="n"/>
      <c r="F756" s="26" t="n"/>
      <c r="G756" s="26" t="n"/>
      <c r="H756" s="30">
        <f>IF(A756="","",COUNTIF('Access'!$A$4:$A$1503,A756))</f>
        <v/>
      </c>
      <c r="I756" s="30">
        <f t="array" ref="I756">IF(A756="","",_xlfn.TEXTJOIN(", ",TRUE,IF(('Companies'!$A$4:$A$63&lt;&gt;"")*(COUNTIFS('Access'!$A$4:$A$1503,A756,'Access'!$F$4:$F$1503,"*"&amp;'Companies'!$A$4:$A$63&amp;"*")&gt;0),'Companies'!$A$4:$A$63,"")))</f>
        <v/>
      </c>
      <c r="J756" s="30">
        <f>IF(A756="","",IF(COUNTIF($A$4:$A$1003,A756)&gt;1,"Duplicate email",IF(ISERROR(FIND("@",A756)),"Not an email address",IF(AND(H756=0,E756=""),"Investor without holders","OK"))))</f>
        <v/>
      </c>
    </row>
    <row r="757">
      <c r="A757" s="26" t="n"/>
      <c r="B757" s="26" t="n"/>
      <c r="C757" s="26" t="n"/>
      <c r="D757" s="26" t="n"/>
      <c r="E757" s="26" t="n"/>
      <c r="F757" s="26" t="n"/>
      <c r="G757" s="26" t="n"/>
      <c r="H757" s="30">
        <f>IF(A757="","",COUNTIF('Access'!$A$4:$A$1503,A757))</f>
        <v/>
      </c>
      <c r="I757" s="30">
        <f t="array" ref="I757">IF(A757="","",_xlfn.TEXTJOIN(", ",TRUE,IF(('Companies'!$A$4:$A$63&lt;&gt;"")*(COUNTIFS('Access'!$A$4:$A$1503,A757,'Access'!$F$4:$F$1503,"*"&amp;'Companies'!$A$4:$A$63&amp;"*")&gt;0),'Companies'!$A$4:$A$63,"")))</f>
        <v/>
      </c>
      <c r="J757" s="30">
        <f>IF(A757="","",IF(COUNTIF($A$4:$A$1003,A757)&gt;1,"Duplicate email",IF(ISERROR(FIND("@",A757)),"Not an email address",IF(AND(H757=0,E757=""),"Investor without holders","OK"))))</f>
        <v/>
      </c>
    </row>
    <row r="758">
      <c r="A758" s="26" t="n"/>
      <c r="B758" s="26" t="n"/>
      <c r="C758" s="26" t="n"/>
      <c r="D758" s="26" t="n"/>
      <c r="E758" s="26" t="n"/>
      <c r="F758" s="26" t="n"/>
      <c r="G758" s="26" t="n"/>
      <c r="H758" s="30">
        <f>IF(A758="","",COUNTIF('Access'!$A$4:$A$1503,A758))</f>
        <v/>
      </c>
      <c r="I758" s="30">
        <f t="array" ref="I758">IF(A758="","",_xlfn.TEXTJOIN(", ",TRUE,IF(('Companies'!$A$4:$A$63&lt;&gt;"")*(COUNTIFS('Access'!$A$4:$A$1503,A758,'Access'!$F$4:$F$1503,"*"&amp;'Companies'!$A$4:$A$63&amp;"*")&gt;0),'Companies'!$A$4:$A$63,"")))</f>
        <v/>
      </c>
      <c r="J758" s="30">
        <f>IF(A758="","",IF(COUNTIF($A$4:$A$1003,A758)&gt;1,"Duplicate email",IF(ISERROR(FIND("@",A758)),"Not an email address",IF(AND(H758=0,E758=""),"Investor without holders","OK"))))</f>
        <v/>
      </c>
    </row>
    <row r="759">
      <c r="A759" s="26" t="n"/>
      <c r="B759" s="26" t="n"/>
      <c r="C759" s="26" t="n"/>
      <c r="D759" s="26" t="n"/>
      <c r="E759" s="26" t="n"/>
      <c r="F759" s="26" t="n"/>
      <c r="G759" s="26" t="n"/>
      <c r="H759" s="30">
        <f>IF(A759="","",COUNTIF('Access'!$A$4:$A$1503,A759))</f>
        <v/>
      </c>
      <c r="I759" s="30">
        <f t="array" ref="I759">IF(A759="","",_xlfn.TEXTJOIN(", ",TRUE,IF(('Companies'!$A$4:$A$63&lt;&gt;"")*(COUNTIFS('Access'!$A$4:$A$1503,A759,'Access'!$F$4:$F$1503,"*"&amp;'Companies'!$A$4:$A$63&amp;"*")&gt;0),'Companies'!$A$4:$A$63,"")))</f>
        <v/>
      </c>
      <c r="J759" s="30">
        <f>IF(A759="","",IF(COUNTIF($A$4:$A$1003,A759)&gt;1,"Duplicate email",IF(ISERROR(FIND("@",A759)),"Not an email address",IF(AND(H759=0,E759=""),"Investor without holders","OK"))))</f>
        <v/>
      </c>
    </row>
    <row r="760">
      <c r="A760" s="26" t="n"/>
      <c r="B760" s="26" t="n"/>
      <c r="C760" s="26" t="n"/>
      <c r="D760" s="26" t="n"/>
      <c r="E760" s="26" t="n"/>
      <c r="F760" s="26" t="n"/>
      <c r="G760" s="26" t="n"/>
      <c r="H760" s="30">
        <f>IF(A760="","",COUNTIF('Access'!$A$4:$A$1503,A760))</f>
        <v/>
      </c>
      <c r="I760" s="30">
        <f t="array" ref="I760">IF(A760="","",_xlfn.TEXTJOIN(", ",TRUE,IF(('Companies'!$A$4:$A$63&lt;&gt;"")*(COUNTIFS('Access'!$A$4:$A$1503,A760,'Access'!$F$4:$F$1503,"*"&amp;'Companies'!$A$4:$A$63&amp;"*")&gt;0),'Companies'!$A$4:$A$63,"")))</f>
        <v/>
      </c>
      <c r="J760" s="30">
        <f>IF(A760="","",IF(COUNTIF($A$4:$A$1003,A760)&gt;1,"Duplicate email",IF(ISERROR(FIND("@",A760)),"Not an email address",IF(AND(H760=0,E760=""),"Investor without holders","OK"))))</f>
        <v/>
      </c>
    </row>
    <row r="761">
      <c r="A761" s="26" t="n"/>
      <c r="B761" s="26" t="n"/>
      <c r="C761" s="26" t="n"/>
      <c r="D761" s="26" t="n"/>
      <c r="E761" s="26" t="n"/>
      <c r="F761" s="26" t="n"/>
      <c r="G761" s="26" t="n"/>
      <c r="H761" s="30">
        <f>IF(A761="","",COUNTIF('Access'!$A$4:$A$1503,A761))</f>
        <v/>
      </c>
      <c r="I761" s="30">
        <f t="array" ref="I761">IF(A761="","",_xlfn.TEXTJOIN(", ",TRUE,IF(('Companies'!$A$4:$A$63&lt;&gt;"")*(COUNTIFS('Access'!$A$4:$A$1503,A761,'Access'!$F$4:$F$1503,"*"&amp;'Companies'!$A$4:$A$63&amp;"*")&gt;0),'Companies'!$A$4:$A$63,"")))</f>
        <v/>
      </c>
      <c r="J761" s="30">
        <f>IF(A761="","",IF(COUNTIF($A$4:$A$1003,A761)&gt;1,"Duplicate email",IF(ISERROR(FIND("@",A761)),"Not an email address",IF(AND(H761=0,E761=""),"Investor without holders","OK"))))</f>
        <v/>
      </c>
    </row>
    <row r="762">
      <c r="A762" s="26" t="n"/>
      <c r="B762" s="26" t="n"/>
      <c r="C762" s="26" t="n"/>
      <c r="D762" s="26" t="n"/>
      <c r="E762" s="26" t="n"/>
      <c r="F762" s="26" t="n"/>
      <c r="G762" s="26" t="n"/>
      <c r="H762" s="30">
        <f>IF(A762="","",COUNTIF('Access'!$A$4:$A$1503,A762))</f>
        <v/>
      </c>
      <c r="I762" s="30">
        <f t="array" ref="I762">IF(A762="","",_xlfn.TEXTJOIN(", ",TRUE,IF(('Companies'!$A$4:$A$63&lt;&gt;"")*(COUNTIFS('Access'!$A$4:$A$1503,A762,'Access'!$F$4:$F$1503,"*"&amp;'Companies'!$A$4:$A$63&amp;"*")&gt;0),'Companies'!$A$4:$A$63,"")))</f>
        <v/>
      </c>
      <c r="J762" s="30">
        <f>IF(A762="","",IF(COUNTIF($A$4:$A$1003,A762)&gt;1,"Duplicate email",IF(ISERROR(FIND("@",A762)),"Not an email address",IF(AND(H762=0,E762=""),"Investor without holders","OK"))))</f>
        <v/>
      </c>
    </row>
    <row r="763">
      <c r="A763" s="26" t="n"/>
      <c r="B763" s="26" t="n"/>
      <c r="C763" s="26" t="n"/>
      <c r="D763" s="26" t="n"/>
      <c r="E763" s="26" t="n"/>
      <c r="F763" s="26" t="n"/>
      <c r="G763" s="26" t="n"/>
      <c r="H763" s="30">
        <f>IF(A763="","",COUNTIF('Access'!$A$4:$A$1503,A763))</f>
        <v/>
      </c>
      <c r="I763" s="30">
        <f t="array" ref="I763">IF(A763="","",_xlfn.TEXTJOIN(", ",TRUE,IF(('Companies'!$A$4:$A$63&lt;&gt;"")*(COUNTIFS('Access'!$A$4:$A$1503,A763,'Access'!$F$4:$F$1503,"*"&amp;'Companies'!$A$4:$A$63&amp;"*")&gt;0),'Companies'!$A$4:$A$63,"")))</f>
        <v/>
      </c>
      <c r="J763" s="30">
        <f>IF(A763="","",IF(COUNTIF($A$4:$A$1003,A763)&gt;1,"Duplicate email",IF(ISERROR(FIND("@",A763)),"Not an email address",IF(AND(H763=0,E763=""),"Investor without holders","OK"))))</f>
        <v/>
      </c>
    </row>
    <row r="764">
      <c r="A764" s="26" t="n"/>
      <c r="B764" s="26" t="n"/>
      <c r="C764" s="26" t="n"/>
      <c r="D764" s="26" t="n"/>
      <c r="E764" s="26" t="n"/>
      <c r="F764" s="26" t="n"/>
      <c r="G764" s="26" t="n"/>
      <c r="H764" s="30">
        <f>IF(A764="","",COUNTIF('Access'!$A$4:$A$1503,A764))</f>
        <v/>
      </c>
      <c r="I764" s="30">
        <f t="array" ref="I764">IF(A764="","",_xlfn.TEXTJOIN(", ",TRUE,IF(('Companies'!$A$4:$A$63&lt;&gt;"")*(COUNTIFS('Access'!$A$4:$A$1503,A764,'Access'!$F$4:$F$1503,"*"&amp;'Companies'!$A$4:$A$63&amp;"*")&gt;0),'Companies'!$A$4:$A$63,"")))</f>
        <v/>
      </c>
      <c r="J764" s="30">
        <f>IF(A764="","",IF(COUNTIF($A$4:$A$1003,A764)&gt;1,"Duplicate email",IF(ISERROR(FIND("@",A764)),"Not an email address",IF(AND(H764=0,E764=""),"Investor without holders","OK"))))</f>
        <v/>
      </c>
    </row>
    <row r="765">
      <c r="A765" s="26" t="n"/>
      <c r="B765" s="26" t="n"/>
      <c r="C765" s="26" t="n"/>
      <c r="D765" s="26" t="n"/>
      <c r="E765" s="26" t="n"/>
      <c r="F765" s="26" t="n"/>
      <c r="G765" s="26" t="n"/>
      <c r="H765" s="30">
        <f>IF(A765="","",COUNTIF('Access'!$A$4:$A$1503,A765))</f>
        <v/>
      </c>
      <c r="I765" s="30">
        <f t="array" ref="I765">IF(A765="","",_xlfn.TEXTJOIN(", ",TRUE,IF(('Companies'!$A$4:$A$63&lt;&gt;"")*(COUNTIFS('Access'!$A$4:$A$1503,A765,'Access'!$F$4:$F$1503,"*"&amp;'Companies'!$A$4:$A$63&amp;"*")&gt;0),'Companies'!$A$4:$A$63,"")))</f>
        <v/>
      </c>
      <c r="J765" s="30">
        <f>IF(A765="","",IF(COUNTIF($A$4:$A$1003,A765)&gt;1,"Duplicate email",IF(ISERROR(FIND("@",A765)),"Not an email address",IF(AND(H765=0,E765=""),"Investor without holders","OK"))))</f>
        <v/>
      </c>
    </row>
    <row r="766">
      <c r="A766" s="26" t="n"/>
      <c r="B766" s="26" t="n"/>
      <c r="C766" s="26" t="n"/>
      <c r="D766" s="26" t="n"/>
      <c r="E766" s="26" t="n"/>
      <c r="F766" s="26" t="n"/>
      <c r="G766" s="26" t="n"/>
      <c r="H766" s="30">
        <f>IF(A766="","",COUNTIF('Access'!$A$4:$A$1503,A766))</f>
        <v/>
      </c>
      <c r="I766" s="30">
        <f t="array" ref="I766">IF(A766="","",_xlfn.TEXTJOIN(", ",TRUE,IF(('Companies'!$A$4:$A$63&lt;&gt;"")*(COUNTIFS('Access'!$A$4:$A$1503,A766,'Access'!$F$4:$F$1503,"*"&amp;'Companies'!$A$4:$A$63&amp;"*")&gt;0),'Companies'!$A$4:$A$63,"")))</f>
        <v/>
      </c>
      <c r="J766" s="30">
        <f>IF(A766="","",IF(COUNTIF($A$4:$A$1003,A766)&gt;1,"Duplicate email",IF(ISERROR(FIND("@",A766)),"Not an email address",IF(AND(H766=0,E766=""),"Investor without holders","OK"))))</f>
        <v/>
      </c>
    </row>
    <row r="767">
      <c r="A767" s="26" t="n"/>
      <c r="B767" s="26" t="n"/>
      <c r="C767" s="26" t="n"/>
      <c r="D767" s="26" t="n"/>
      <c r="E767" s="26" t="n"/>
      <c r="F767" s="26" t="n"/>
      <c r="G767" s="26" t="n"/>
      <c r="H767" s="30">
        <f>IF(A767="","",COUNTIF('Access'!$A$4:$A$1503,A767))</f>
        <v/>
      </c>
      <c r="I767" s="30">
        <f t="array" ref="I767">IF(A767="","",_xlfn.TEXTJOIN(", ",TRUE,IF(('Companies'!$A$4:$A$63&lt;&gt;"")*(COUNTIFS('Access'!$A$4:$A$1503,A767,'Access'!$F$4:$F$1503,"*"&amp;'Companies'!$A$4:$A$63&amp;"*")&gt;0),'Companies'!$A$4:$A$63,"")))</f>
        <v/>
      </c>
      <c r="J767" s="30">
        <f>IF(A767="","",IF(COUNTIF($A$4:$A$1003,A767)&gt;1,"Duplicate email",IF(ISERROR(FIND("@",A767)),"Not an email address",IF(AND(H767=0,E767=""),"Investor without holders","OK"))))</f>
        <v/>
      </c>
    </row>
    <row r="768">
      <c r="A768" s="26" t="n"/>
      <c r="B768" s="26" t="n"/>
      <c r="C768" s="26" t="n"/>
      <c r="D768" s="26" t="n"/>
      <c r="E768" s="26" t="n"/>
      <c r="F768" s="26" t="n"/>
      <c r="G768" s="26" t="n"/>
      <c r="H768" s="30">
        <f>IF(A768="","",COUNTIF('Access'!$A$4:$A$1503,A768))</f>
        <v/>
      </c>
      <c r="I768" s="30">
        <f t="array" ref="I768">IF(A768="","",_xlfn.TEXTJOIN(", ",TRUE,IF(('Companies'!$A$4:$A$63&lt;&gt;"")*(COUNTIFS('Access'!$A$4:$A$1503,A768,'Access'!$F$4:$F$1503,"*"&amp;'Companies'!$A$4:$A$63&amp;"*")&gt;0),'Companies'!$A$4:$A$63,"")))</f>
        <v/>
      </c>
      <c r="J768" s="30">
        <f>IF(A768="","",IF(COUNTIF($A$4:$A$1003,A768)&gt;1,"Duplicate email",IF(ISERROR(FIND("@",A768)),"Not an email address",IF(AND(H768=0,E768=""),"Investor without holders","OK"))))</f>
        <v/>
      </c>
    </row>
    <row r="769">
      <c r="A769" s="26" t="n"/>
      <c r="B769" s="26" t="n"/>
      <c r="C769" s="26" t="n"/>
      <c r="D769" s="26" t="n"/>
      <c r="E769" s="26" t="n"/>
      <c r="F769" s="26" t="n"/>
      <c r="G769" s="26" t="n"/>
      <c r="H769" s="30">
        <f>IF(A769="","",COUNTIF('Access'!$A$4:$A$1503,A769))</f>
        <v/>
      </c>
      <c r="I769" s="30">
        <f t="array" ref="I769">IF(A769="","",_xlfn.TEXTJOIN(", ",TRUE,IF(('Companies'!$A$4:$A$63&lt;&gt;"")*(COUNTIFS('Access'!$A$4:$A$1503,A769,'Access'!$F$4:$F$1503,"*"&amp;'Companies'!$A$4:$A$63&amp;"*")&gt;0),'Companies'!$A$4:$A$63,"")))</f>
        <v/>
      </c>
      <c r="J769" s="30">
        <f>IF(A769="","",IF(COUNTIF($A$4:$A$1003,A769)&gt;1,"Duplicate email",IF(ISERROR(FIND("@",A769)),"Not an email address",IF(AND(H769=0,E769=""),"Investor without holders","OK"))))</f>
        <v/>
      </c>
    </row>
    <row r="770">
      <c r="A770" s="26" t="n"/>
      <c r="B770" s="26" t="n"/>
      <c r="C770" s="26" t="n"/>
      <c r="D770" s="26" t="n"/>
      <c r="E770" s="26" t="n"/>
      <c r="F770" s="26" t="n"/>
      <c r="G770" s="26" t="n"/>
      <c r="H770" s="30">
        <f>IF(A770="","",COUNTIF('Access'!$A$4:$A$1503,A770))</f>
        <v/>
      </c>
      <c r="I770" s="30">
        <f t="array" ref="I770">IF(A770="","",_xlfn.TEXTJOIN(", ",TRUE,IF(('Companies'!$A$4:$A$63&lt;&gt;"")*(COUNTIFS('Access'!$A$4:$A$1503,A770,'Access'!$F$4:$F$1503,"*"&amp;'Companies'!$A$4:$A$63&amp;"*")&gt;0),'Companies'!$A$4:$A$63,"")))</f>
        <v/>
      </c>
      <c r="J770" s="30">
        <f>IF(A770="","",IF(COUNTIF($A$4:$A$1003,A770)&gt;1,"Duplicate email",IF(ISERROR(FIND("@",A770)),"Not an email address",IF(AND(H770=0,E770=""),"Investor without holders","OK"))))</f>
        <v/>
      </c>
    </row>
    <row r="771">
      <c r="A771" s="26" t="n"/>
      <c r="B771" s="26" t="n"/>
      <c r="C771" s="26" t="n"/>
      <c r="D771" s="26" t="n"/>
      <c r="E771" s="26" t="n"/>
      <c r="F771" s="26" t="n"/>
      <c r="G771" s="26" t="n"/>
      <c r="H771" s="30">
        <f>IF(A771="","",COUNTIF('Access'!$A$4:$A$1503,A771))</f>
        <v/>
      </c>
      <c r="I771" s="30">
        <f t="array" ref="I771">IF(A771="","",_xlfn.TEXTJOIN(", ",TRUE,IF(('Companies'!$A$4:$A$63&lt;&gt;"")*(COUNTIFS('Access'!$A$4:$A$1503,A771,'Access'!$F$4:$F$1503,"*"&amp;'Companies'!$A$4:$A$63&amp;"*")&gt;0),'Companies'!$A$4:$A$63,"")))</f>
        <v/>
      </c>
      <c r="J771" s="30">
        <f>IF(A771="","",IF(COUNTIF($A$4:$A$1003,A771)&gt;1,"Duplicate email",IF(ISERROR(FIND("@",A771)),"Not an email address",IF(AND(H771=0,E771=""),"Investor without holders","OK"))))</f>
        <v/>
      </c>
    </row>
    <row r="772">
      <c r="A772" s="26" t="n"/>
      <c r="B772" s="26" t="n"/>
      <c r="C772" s="26" t="n"/>
      <c r="D772" s="26" t="n"/>
      <c r="E772" s="26" t="n"/>
      <c r="F772" s="26" t="n"/>
      <c r="G772" s="26" t="n"/>
      <c r="H772" s="30">
        <f>IF(A772="","",COUNTIF('Access'!$A$4:$A$1503,A772))</f>
        <v/>
      </c>
      <c r="I772" s="30">
        <f t="array" ref="I772">IF(A772="","",_xlfn.TEXTJOIN(", ",TRUE,IF(('Companies'!$A$4:$A$63&lt;&gt;"")*(COUNTIFS('Access'!$A$4:$A$1503,A772,'Access'!$F$4:$F$1503,"*"&amp;'Companies'!$A$4:$A$63&amp;"*")&gt;0),'Companies'!$A$4:$A$63,"")))</f>
        <v/>
      </c>
      <c r="J772" s="30">
        <f>IF(A772="","",IF(COUNTIF($A$4:$A$1003,A772)&gt;1,"Duplicate email",IF(ISERROR(FIND("@",A772)),"Not an email address",IF(AND(H772=0,E772=""),"Investor without holders","OK"))))</f>
        <v/>
      </c>
    </row>
    <row r="773">
      <c r="A773" s="26" t="n"/>
      <c r="B773" s="26" t="n"/>
      <c r="C773" s="26" t="n"/>
      <c r="D773" s="26" t="n"/>
      <c r="E773" s="26" t="n"/>
      <c r="F773" s="26" t="n"/>
      <c r="G773" s="26" t="n"/>
      <c r="H773" s="30">
        <f>IF(A773="","",COUNTIF('Access'!$A$4:$A$1503,A773))</f>
        <v/>
      </c>
      <c r="I773" s="30">
        <f t="array" ref="I773">IF(A773="","",_xlfn.TEXTJOIN(", ",TRUE,IF(('Companies'!$A$4:$A$63&lt;&gt;"")*(COUNTIFS('Access'!$A$4:$A$1503,A773,'Access'!$F$4:$F$1503,"*"&amp;'Companies'!$A$4:$A$63&amp;"*")&gt;0),'Companies'!$A$4:$A$63,"")))</f>
        <v/>
      </c>
      <c r="J773" s="30">
        <f>IF(A773="","",IF(COUNTIF($A$4:$A$1003,A773)&gt;1,"Duplicate email",IF(ISERROR(FIND("@",A773)),"Not an email address",IF(AND(H773=0,E773=""),"Investor without holders","OK"))))</f>
        <v/>
      </c>
    </row>
    <row r="774">
      <c r="A774" s="26" t="n"/>
      <c r="B774" s="26" t="n"/>
      <c r="C774" s="26" t="n"/>
      <c r="D774" s="26" t="n"/>
      <c r="E774" s="26" t="n"/>
      <c r="F774" s="26" t="n"/>
      <c r="G774" s="26" t="n"/>
      <c r="H774" s="30">
        <f>IF(A774="","",COUNTIF('Access'!$A$4:$A$1503,A774))</f>
        <v/>
      </c>
      <c r="I774" s="30">
        <f t="array" ref="I774">IF(A774="","",_xlfn.TEXTJOIN(", ",TRUE,IF(('Companies'!$A$4:$A$63&lt;&gt;"")*(COUNTIFS('Access'!$A$4:$A$1503,A774,'Access'!$F$4:$F$1503,"*"&amp;'Companies'!$A$4:$A$63&amp;"*")&gt;0),'Companies'!$A$4:$A$63,"")))</f>
        <v/>
      </c>
      <c r="J774" s="30">
        <f>IF(A774="","",IF(COUNTIF($A$4:$A$1003,A774)&gt;1,"Duplicate email",IF(ISERROR(FIND("@",A774)),"Not an email address",IF(AND(H774=0,E774=""),"Investor without holders","OK"))))</f>
        <v/>
      </c>
    </row>
    <row r="775">
      <c r="A775" s="26" t="n"/>
      <c r="B775" s="26" t="n"/>
      <c r="C775" s="26" t="n"/>
      <c r="D775" s="26" t="n"/>
      <c r="E775" s="26" t="n"/>
      <c r="F775" s="26" t="n"/>
      <c r="G775" s="26" t="n"/>
      <c r="H775" s="30">
        <f>IF(A775="","",COUNTIF('Access'!$A$4:$A$1503,A775))</f>
        <v/>
      </c>
      <c r="I775" s="30">
        <f t="array" ref="I775">IF(A775="","",_xlfn.TEXTJOIN(", ",TRUE,IF(('Companies'!$A$4:$A$63&lt;&gt;"")*(COUNTIFS('Access'!$A$4:$A$1503,A775,'Access'!$F$4:$F$1503,"*"&amp;'Companies'!$A$4:$A$63&amp;"*")&gt;0),'Companies'!$A$4:$A$63,"")))</f>
        <v/>
      </c>
      <c r="J775" s="30">
        <f>IF(A775="","",IF(COUNTIF($A$4:$A$1003,A775)&gt;1,"Duplicate email",IF(ISERROR(FIND("@",A775)),"Not an email address",IF(AND(H775=0,E775=""),"Investor without holders","OK"))))</f>
        <v/>
      </c>
    </row>
    <row r="776">
      <c r="A776" s="26" t="n"/>
      <c r="B776" s="26" t="n"/>
      <c r="C776" s="26" t="n"/>
      <c r="D776" s="26" t="n"/>
      <c r="E776" s="26" t="n"/>
      <c r="F776" s="26" t="n"/>
      <c r="G776" s="26" t="n"/>
      <c r="H776" s="30">
        <f>IF(A776="","",COUNTIF('Access'!$A$4:$A$1503,A776))</f>
        <v/>
      </c>
      <c r="I776" s="30">
        <f t="array" ref="I776">IF(A776="","",_xlfn.TEXTJOIN(", ",TRUE,IF(('Companies'!$A$4:$A$63&lt;&gt;"")*(COUNTIFS('Access'!$A$4:$A$1503,A776,'Access'!$F$4:$F$1503,"*"&amp;'Companies'!$A$4:$A$63&amp;"*")&gt;0),'Companies'!$A$4:$A$63,"")))</f>
        <v/>
      </c>
      <c r="J776" s="30">
        <f>IF(A776="","",IF(COUNTIF($A$4:$A$1003,A776)&gt;1,"Duplicate email",IF(ISERROR(FIND("@",A776)),"Not an email address",IF(AND(H776=0,E776=""),"Investor without holders","OK"))))</f>
        <v/>
      </c>
    </row>
    <row r="777">
      <c r="A777" s="26" t="n"/>
      <c r="B777" s="26" t="n"/>
      <c r="C777" s="26" t="n"/>
      <c r="D777" s="26" t="n"/>
      <c r="E777" s="26" t="n"/>
      <c r="F777" s="26" t="n"/>
      <c r="G777" s="26" t="n"/>
      <c r="H777" s="30">
        <f>IF(A777="","",COUNTIF('Access'!$A$4:$A$1503,A777))</f>
        <v/>
      </c>
      <c r="I777" s="30">
        <f t="array" ref="I777">IF(A777="","",_xlfn.TEXTJOIN(", ",TRUE,IF(('Companies'!$A$4:$A$63&lt;&gt;"")*(COUNTIFS('Access'!$A$4:$A$1503,A777,'Access'!$F$4:$F$1503,"*"&amp;'Companies'!$A$4:$A$63&amp;"*")&gt;0),'Companies'!$A$4:$A$63,"")))</f>
        <v/>
      </c>
      <c r="J777" s="30">
        <f>IF(A777="","",IF(COUNTIF($A$4:$A$1003,A777)&gt;1,"Duplicate email",IF(ISERROR(FIND("@",A777)),"Not an email address",IF(AND(H777=0,E777=""),"Investor without holders","OK"))))</f>
        <v/>
      </c>
    </row>
    <row r="778">
      <c r="A778" s="26" t="n"/>
      <c r="B778" s="26" t="n"/>
      <c r="C778" s="26" t="n"/>
      <c r="D778" s="26" t="n"/>
      <c r="E778" s="26" t="n"/>
      <c r="F778" s="26" t="n"/>
      <c r="G778" s="26" t="n"/>
      <c r="H778" s="30">
        <f>IF(A778="","",COUNTIF('Access'!$A$4:$A$1503,A778))</f>
        <v/>
      </c>
      <c r="I778" s="30">
        <f t="array" ref="I778">IF(A778="","",_xlfn.TEXTJOIN(", ",TRUE,IF(('Companies'!$A$4:$A$63&lt;&gt;"")*(COUNTIFS('Access'!$A$4:$A$1503,A778,'Access'!$F$4:$F$1503,"*"&amp;'Companies'!$A$4:$A$63&amp;"*")&gt;0),'Companies'!$A$4:$A$63,"")))</f>
        <v/>
      </c>
      <c r="J778" s="30">
        <f>IF(A778="","",IF(COUNTIF($A$4:$A$1003,A778)&gt;1,"Duplicate email",IF(ISERROR(FIND("@",A778)),"Not an email address",IF(AND(H778=0,E778=""),"Investor without holders","OK"))))</f>
        <v/>
      </c>
    </row>
    <row r="779">
      <c r="A779" s="26" t="n"/>
      <c r="B779" s="26" t="n"/>
      <c r="C779" s="26" t="n"/>
      <c r="D779" s="26" t="n"/>
      <c r="E779" s="26" t="n"/>
      <c r="F779" s="26" t="n"/>
      <c r="G779" s="26" t="n"/>
      <c r="H779" s="30">
        <f>IF(A779="","",COUNTIF('Access'!$A$4:$A$1503,A779))</f>
        <v/>
      </c>
      <c r="I779" s="30">
        <f t="array" ref="I779">IF(A779="","",_xlfn.TEXTJOIN(", ",TRUE,IF(('Companies'!$A$4:$A$63&lt;&gt;"")*(COUNTIFS('Access'!$A$4:$A$1503,A779,'Access'!$F$4:$F$1503,"*"&amp;'Companies'!$A$4:$A$63&amp;"*")&gt;0),'Companies'!$A$4:$A$63,"")))</f>
        <v/>
      </c>
      <c r="J779" s="30">
        <f>IF(A779="","",IF(COUNTIF($A$4:$A$1003,A779)&gt;1,"Duplicate email",IF(ISERROR(FIND("@",A779)),"Not an email address",IF(AND(H779=0,E779=""),"Investor without holders","OK"))))</f>
        <v/>
      </c>
    </row>
    <row r="780">
      <c r="A780" s="26" t="n"/>
      <c r="B780" s="26" t="n"/>
      <c r="C780" s="26" t="n"/>
      <c r="D780" s="26" t="n"/>
      <c r="E780" s="26" t="n"/>
      <c r="F780" s="26" t="n"/>
      <c r="G780" s="26" t="n"/>
      <c r="H780" s="30">
        <f>IF(A780="","",COUNTIF('Access'!$A$4:$A$1503,A780))</f>
        <v/>
      </c>
      <c r="I780" s="30">
        <f t="array" ref="I780">IF(A780="","",_xlfn.TEXTJOIN(", ",TRUE,IF(('Companies'!$A$4:$A$63&lt;&gt;"")*(COUNTIFS('Access'!$A$4:$A$1503,A780,'Access'!$F$4:$F$1503,"*"&amp;'Companies'!$A$4:$A$63&amp;"*")&gt;0),'Companies'!$A$4:$A$63,"")))</f>
        <v/>
      </c>
      <c r="J780" s="30">
        <f>IF(A780="","",IF(COUNTIF($A$4:$A$1003,A780)&gt;1,"Duplicate email",IF(ISERROR(FIND("@",A780)),"Not an email address",IF(AND(H780=0,E780=""),"Investor without holders","OK"))))</f>
        <v/>
      </c>
    </row>
    <row r="781">
      <c r="A781" s="26" t="n"/>
      <c r="B781" s="26" t="n"/>
      <c r="C781" s="26" t="n"/>
      <c r="D781" s="26" t="n"/>
      <c r="E781" s="26" t="n"/>
      <c r="F781" s="26" t="n"/>
      <c r="G781" s="26" t="n"/>
      <c r="H781" s="30">
        <f>IF(A781="","",COUNTIF('Access'!$A$4:$A$1503,A781))</f>
        <v/>
      </c>
      <c r="I781" s="30">
        <f t="array" ref="I781">IF(A781="","",_xlfn.TEXTJOIN(", ",TRUE,IF(('Companies'!$A$4:$A$63&lt;&gt;"")*(COUNTIFS('Access'!$A$4:$A$1503,A781,'Access'!$F$4:$F$1503,"*"&amp;'Companies'!$A$4:$A$63&amp;"*")&gt;0),'Companies'!$A$4:$A$63,"")))</f>
        <v/>
      </c>
      <c r="J781" s="30">
        <f>IF(A781="","",IF(COUNTIF($A$4:$A$1003,A781)&gt;1,"Duplicate email",IF(ISERROR(FIND("@",A781)),"Not an email address",IF(AND(H781=0,E781=""),"Investor without holders","OK"))))</f>
        <v/>
      </c>
    </row>
    <row r="782">
      <c r="A782" s="26" t="n"/>
      <c r="B782" s="26" t="n"/>
      <c r="C782" s="26" t="n"/>
      <c r="D782" s="26" t="n"/>
      <c r="E782" s="26" t="n"/>
      <c r="F782" s="26" t="n"/>
      <c r="G782" s="26" t="n"/>
      <c r="H782" s="30">
        <f>IF(A782="","",COUNTIF('Access'!$A$4:$A$1503,A782))</f>
        <v/>
      </c>
      <c r="I782" s="30">
        <f t="array" ref="I782">IF(A782="","",_xlfn.TEXTJOIN(", ",TRUE,IF(('Companies'!$A$4:$A$63&lt;&gt;"")*(COUNTIFS('Access'!$A$4:$A$1503,A782,'Access'!$F$4:$F$1503,"*"&amp;'Companies'!$A$4:$A$63&amp;"*")&gt;0),'Companies'!$A$4:$A$63,"")))</f>
        <v/>
      </c>
      <c r="J782" s="30">
        <f>IF(A782="","",IF(COUNTIF($A$4:$A$1003,A782)&gt;1,"Duplicate email",IF(ISERROR(FIND("@",A782)),"Not an email address",IF(AND(H782=0,E782=""),"Investor without holders","OK"))))</f>
        <v/>
      </c>
    </row>
    <row r="783">
      <c r="A783" s="26" t="n"/>
      <c r="B783" s="26" t="n"/>
      <c r="C783" s="26" t="n"/>
      <c r="D783" s="26" t="n"/>
      <c r="E783" s="26" t="n"/>
      <c r="F783" s="26" t="n"/>
      <c r="G783" s="26" t="n"/>
      <c r="H783" s="30">
        <f>IF(A783="","",COUNTIF('Access'!$A$4:$A$1503,A783))</f>
        <v/>
      </c>
      <c r="I783" s="30">
        <f t="array" ref="I783">IF(A783="","",_xlfn.TEXTJOIN(", ",TRUE,IF(('Companies'!$A$4:$A$63&lt;&gt;"")*(COUNTIFS('Access'!$A$4:$A$1503,A783,'Access'!$F$4:$F$1503,"*"&amp;'Companies'!$A$4:$A$63&amp;"*")&gt;0),'Companies'!$A$4:$A$63,"")))</f>
        <v/>
      </c>
      <c r="J783" s="30">
        <f>IF(A783="","",IF(COUNTIF($A$4:$A$1003,A783)&gt;1,"Duplicate email",IF(ISERROR(FIND("@",A783)),"Not an email address",IF(AND(H783=0,E783=""),"Investor without holders","OK"))))</f>
        <v/>
      </c>
    </row>
    <row r="784">
      <c r="A784" s="26" t="n"/>
      <c r="B784" s="26" t="n"/>
      <c r="C784" s="26" t="n"/>
      <c r="D784" s="26" t="n"/>
      <c r="E784" s="26" t="n"/>
      <c r="F784" s="26" t="n"/>
      <c r="G784" s="26" t="n"/>
      <c r="H784" s="30">
        <f>IF(A784="","",COUNTIF('Access'!$A$4:$A$1503,A784))</f>
        <v/>
      </c>
      <c r="I784" s="30">
        <f t="array" ref="I784">IF(A784="","",_xlfn.TEXTJOIN(", ",TRUE,IF(('Companies'!$A$4:$A$63&lt;&gt;"")*(COUNTIFS('Access'!$A$4:$A$1503,A784,'Access'!$F$4:$F$1503,"*"&amp;'Companies'!$A$4:$A$63&amp;"*")&gt;0),'Companies'!$A$4:$A$63,"")))</f>
        <v/>
      </c>
      <c r="J784" s="30">
        <f>IF(A784="","",IF(COUNTIF($A$4:$A$1003,A784)&gt;1,"Duplicate email",IF(ISERROR(FIND("@",A784)),"Not an email address",IF(AND(H784=0,E784=""),"Investor without holders","OK"))))</f>
        <v/>
      </c>
    </row>
    <row r="785">
      <c r="A785" s="26" t="n"/>
      <c r="B785" s="26" t="n"/>
      <c r="C785" s="26" t="n"/>
      <c r="D785" s="26" t="n"/>
      <c r="E785" s="26" t="n"/>
      <c r="F785" s="26" t="n"/>
      <c r="G785" s="26" t="n"/>
      <c r="H785" s="30">
        <f>IF(A785="","",COUNTIF('Access'!$A$4:$A$1503,A785))</f>
        <v/>
      </c>
      <c r="I785" s="30">
        <f t="array" ref="I785">IF(A785="","",_xlfn.TEXTJOIN(", ",TRUE,IF(('Companies'!$A$4:$A$63&lt;&gt;"")*(COUNTIFS('Access'!$A$4:$A$1503,A785,'Access'!$F$4:$F$1503,"*"&amp;'Companies'!$A$4:$A$63&amp;"*")&gt;0),'Companies'!$A$4:$A$63,"")))</f>
        <v/>
      </c>
      <c r="J785" s="30">
        <f>IF(A785="","",IF(COUNTIF($A$4:$A$1003,A785)&gt;1,"Duplicate email",IF(ISERROR(FIND("@",A785)),"Not an email address",IF(AND(H785=0,E785=""),"Investor without holders","OK"))))</f>
        <v/>
      </c>
    </row>
    <row r="786">
      <c r="A786" s="26" t="n"/>
      <c r="B786" s="26" t="n"/>
      <c r="C786" s="26" t="n"/>
      <c r="D786" s="26" t="n"/>
      <c r="E786" s="26" t="n"/>
      <c r="F786" s="26" t="n"/>
      <c r="G786" s="26" t="n"/>
      <c r="H786" s="30">
        <f>IF(A786="","",COUNTIF('Access'!$A$4:$A$1503,A786))</f>
        <v/>
      </c>
      <c r="I786" s="30">
        <f t="array" ref="I786">IF(A786="","",_xlfn.TEXTJOIN(", ",TRUE,IF(('Companies'!$A$4:$A$63&lt;&gt;"")*(COUNTIFS('Access'!$A$4:$A$1503,A786,'Access'!$F$4:$F$1503,"*"&amp;'Companies'!$A$4:$A$63&amp;"*")&gt;0),'Companies'!$A$4:$A$63,"")))</f>
        <v/>
      </c>
      <c r="J786" s="30">
        <f>IF(A786="","",IF(COUNTIF($A$4:$A$1003,A786)&gt;1,"Duplicate email",IF(ISERROR(FIND("@",A786)),"Not an email address",IF(AND(H786=0,E786=""),"Investor without holders","OK"))))</f>
        <v/>
      </c>
    </row>
    <row r="787">
      <c r="A787" s="26" t="n"/>
      <c r="B787" s="26" t="n"/>
      <c r="C787" s="26" t="n"/>
      <c r="D787" s="26" t="n"/>
      <c r="E787" s="26" t="n"/>
      <c r="F787" s="26" t="n"/>
      <c r="G787" s="26" t="n"/>
      <c r="H787" s="30">
        <f>IF(A787="","",COUNTIF('Access'!$A$4:$A$1503,A787))</f>
        <v/>
      </c>
      <c r="I787" s="30">
        <f t="array" ref="I787">IF(A787="","",_xlfn.TEXTJOIN(", ",TRUE,IF(('Companies'!$A$4:$A$63&lt;&gt;"")*(COUNTIFS('Access'!$A$4:$A$1503,A787,'Access'!$F$4:$F$1503,"*"&amp;'Companies'!$A$4:$A$63&amp;"*")&gt;0),'Companies'!$A$4:$A$63,"")))</f>
        <v/>
      </c>
      <c r="J787" s="30">
        <f>IF(A787="","",IF(COUNTIF($A$4:$A$1003,A787)&gt;1,"Duplicate email",IF(ISERROR(FIND("@",A787)),"Not an email address",IF(AND(H787=0,E787=""),"Investor without holders","OK"))))</f>
        <v/>
      </c>
    </row>
    <row r="788">
      <c r="A788" s="26" t="n"/>
      <c r="B788" s="26" t="n"/>
      <c r="C788" s="26" t="n"/>
      <c r="D788" s="26" t="n"/>
      <c r="E788" s="26" t="n"/>
      <c r="F788" s="26" t="n"/>
      <c r="G788" s="26" t="n"/>
      <c r="H788" s="30">
        <f>IF(A788="","",COUNTIF('Access'!$A$4:$A$1503,A788))</f>
        <v/>
      </c>
      <c r="I788" s="30">
        <f t="array" ref="I788">IF(A788="","",_xlfn.TEXTJOIN(", ",TRUE,IF(('Companies'!$A$4:$A$63&lt;&gt;"")*(COUNTIFS('Access'!$A$4:$A$1503,A788,'Access'!$F$4:$F$1503,"*"&amp;'Companies'!$A$4:$A$63&amp;"*")&gt;0),'Companies'!$A$4:$A$63,"")))</f>
        <v/>
      </c>
      <c r="J788" s="30">
        <f>IF(A788="","",IF(COUNTIF($A$4:$A$1003,A788)&gt;1,"Duplicate email",IF(ISERROR(FIND("@",A788)),"Not an email address",IF(AND(H788=0,E788=""),"Investor without holders","OK"))))</f>
        <v/>
      </c>
    </row>
    <row r="789">
      <c r="A789" s="26" t="n"/>
      <c r="B789" s="26" t="n"/>
      <c r="C789" s="26" t="n"/>
      <c r="D789" s="26" t="n"/>
      <c r="E789" s="26" t="n"/>
      <c r="F789" s="26" t="n"/>
      <c r="G789" s="26" t="n"/>
      <c r="H789" s="30">
        <f>IF(A789="","",COUNTIF('Access'!$A$4:$A$1503,A789))</f>
        <v/>
      </c>
      <c r="I789" s="30">
        <f t="array" ref="I789">IF(A789="","",_xlfn.TEXTJOIN(", ",TRUE,IF(('Companies'!$A$4:$A$63&lt;&gt;"")*(COUNTIFS('Access'!$A$4:$A$1503,A789,'Access'!$F$4:$F$1503,"*"&amp;'Companies'!$A$4:$A$63&amp;"*")&gt;0),'Companies'!$A$4:$A$63,"")))</f>
        <v/>
      </c>
      <c r="J789" s="30">
        <f>IF(A789="","",IF(COUNTIF($A$4:$A$1003,A789)&gt;1,"Duplicate email",IF(ISERROR(FIND("@",A789)),"Not an email address",IF(AND(H789=0,E789=""),"Investor without holders","OK"))))</f>
        <v/>
      </c>
    </row>
    <row r="790">
      <c r="A790" s="26" t="n"/>
      <c r="B790" s="26" t="n"/>
      <c r="C790" s="26" t="n"/>
      <c r="D790" s="26" t="n"/>
      <c r="E790" s="26" t="n"/>
      <c r="F790" s="26" t="n"/>
      <c r="G790" s="26" t="n"/>
      <c r="H790" s="30">
        <f>IF(A790="","",COUNTIF('Access'!$A$4:$A$1503,A790))</f>
        <v/>
      </c>
      <c r="I790" s="30">
        <f t="array" ref="I790">IF(A790="","",_xlfn.TEXTJOIN(", ",TRUE,IF(('Companies'!$A$4:$A$63&lt;&gt;"")*(COUNTIFS('Access'!$A$4:$A$1503,A790,'Access'!$F$4:$F$1503,"*"&amp;'Companies'!$A$4:$A$63&amp;"*")&gt;0),'Companies'!$A$4:$A$63,"")))</f>
        <v/>
      </c>
      <c r="J790" s="30">
        <f>IF(A790="","",IF(COUNTIF($A$4:$A$1003,A790)&gt;1,"Duplicate email",IF(ISERROR(FIND("@",A790)),"Not an email address",IF(AND(H790=0,E790=""),"Investor without holders","OK"))))</f>
        <v/>
      </c>
    </row>
    <row r="791">
      <c r="A791" s="26" t="n"/>
      <c r="B791" s="26" t="n"/>
      <c r="C791" s="26" t="n"/>
      <c r="D791" s="26" t="n"/>
      <c r="E791" s="26" t="n"/>
      <c r="F791" s="26" t="n"/>
      <c r="G791" s="26" t="n"/>
      <c r="H791" s="30">
        <f>IF(A791="","",COUNTIF('Access'!$A$4:$A$1503,A791))</f>
        <v/>
      </c>
      <c r="I791" s="30">
        <f t="array" ref="I791">IF(A791="","",_xlfn.TEXTJOIN(", ",TRUE,IF(('Companies'!$A$4:$A$63&lt;&gt;"")*(COUNTIFS('Access'!$A$4:$A$1503,A791,'Access'!$F$4:$F$1503,"*"&amp;'Companies'!$A$4:$A$63&amp;"*")&gt;0),'Companies'!$A$4:$A$63,"")))</f>
        <v/>
      </c>
      <c r="J791" s="30">
        <f>IF(A791="","",IF(COUNTIF($A$4:$A$1003,A791)&gt;1,"Duplicate email",IF(ISERROR(FIND("@",A791)),"Not an email address",IF(AND(H791=0,E791=""),"Investor without holders","OK"))))</f>
        <v/>
      </c>
    </row>
    <row r="792">
      <c r="A792" s="26" t="n"/>
      <c r="B792" s="26" t="n"/>
      <c r="C792" s="26" t="n"/>
      <c r="D792" s="26" t="n"/>
      <c r="E792" s="26" t="n"/>
      <c r="F792" s="26" t="n"/>
      <c r="G792" s="26" t="n"/>
      <c r="H792" s="30">
        <f>IF(A792="","",COUNTIF('Access'!$A$4:$A$1503,A792))</f>
        <v/>
      </c>
      <c r="I792" s="30">
        <f t="array" ref="I792">IF(A792="","",_xlfn.TEXTJOIN(", ",TRUE,IF(('Companies'!$A$4:$A$63&lt;&gt;"")*(COUNTIFS('Access'!$A$4:$A$1503,A792,'Access'!$F$4:$F$1503,"*"&amp;'Companies'!$A$4:$A$63&amp;"*")&gt;0),'Companies'!$A$4:$A$63,"")))</f>
        <v/>
      </c>
      <c r="J792" s="30">
        <f>IF(A792="","",IF(COUNTIF($A$4:$A$1003,A792)&gt;1,"Duplicate email",IF(ISERROR(FIND("@",A792)),"Not an email address",IF(AND(H792=0,E792=""),"Investor without holders","OK"))))</f>
        <v/>
      </c>
    </row>
    <row r="793">
      <c r="A793" s="26" t="n"/>
      <c r="B793" s="26" t="n"/>
      <c r="C793" s="26" t="n"/>
      <c r="D793" s="26" t="n"/>
      <c r="E793" s="26" t="n"/>
      <c r="F793" s="26" t="n"/>
      <c r="G793" s="26" t="n"/>
      <c r="H793" s="30">
        <f>IF(A793="","",COUNTIF('Access'!$A$4:$A$1503,A793))</f>
        <v/>
      </c>
      <c r="I793" s="30">
        <f t="array" ref="I793">IF(A793="","",_xlfn.TEXTJOIN(", ",TRUE,IF(('Companies'!$A$4:$A$63&lt;&gt;"")*(COUNTIFS('Access'!$A$4:$A$1503,A793,'Access'!$F$4:$F$1503,"*"&amp;'Companies'!$A$4:$A$63&amp;"*")&gt;0),'Companies'!$A$4:$A$63,"")))</f>
        <v/>
      </c>
      <c r="J793" s="30">
        <f>IF(A793="","",IF(COUNTIF($A$4:$A$1003,A793)&gt;1,"Duplicate email",IF(ISERROR(FIND("@",A793)),"Not an email address",IF(AND(H793=0,E793=""),"Investor without holders","OK"))))</f>
        <v/>
      </c>
    </row>
    <row r="794">
      <c r="A794" s="26" t="n"/>
      <c r="B794" s="26" t="n"/>
      <c r="C794" s="26" t="n"/>
      <c r="D794" s="26" t="n"/>
      <c r="E794" s="26" t="n"/>
      <c r="F794" s="26" t="n"/>
      <c r="G794" s="26" t="n"/>
      <c r="H794" s="30">
        <f>IF(A794="","",COUNTIF('Access'!$A$4:$A$1503,A794))</f>
        <v/>
      </c>
      <c r="I794" s="30">
        <f t="array" ref="I794">IF(A794="","",_xlfn.TEXTJOIN(", ",TRUE,IF(('Companies'!$A$4:$A$63&lt;&gt;"")*(COUNTIFS('Access'!$A$4:$A$1503,A794,'Access'!$F$4:$F$1503,"*"&amp;'Companies'!$A$4:$A$63&amp;"*")&gt;0),'Companies'!$A$4:$A$63,"")))</f>
        <v/>
      </c>
      <c r="J794" s="30">
        <f>IF(A794="","",IF(COUNTIF($A$4:$A$1003,A794)&gt;1,"Duplicate email",IF(ISERROR(FIND("@",A794)),"Not an email address",IF(AND(H794=0,E794=""),"Investor without holders","OK"))))</f>
        <v/>
      </c>
    </row>
    <row r="795">
      <c r="A795" s="26" t="n"/>
      <c r="B795" s="26" t="n"/>
      <c r="C795" s="26" t="n"/>
      <c r="D795" s="26" t="n"/>
      <c r="E795" s="26" t="n"/>
      <c r="F795" s="26" t="n"/>
      <c r="G795" s="26" t="n"/>
      <c r="H795" s="30">
        <f>IF(A795="","",COUNTIF('Access'!$A$4:$A$1503,A795))</f>
        <v/>
      </c>
      <c r="I795" s="30">
        <f t="array" ref="I795">IF(A795="","",_xlfn.TEXTJOIN(", ",TRUE,IF(('Companies'!$A$4:$A$63&lt;&gt;"")*(COUNTIFS('Access'!$A$4:$A$1503,A795,'Access'!$F$4:$F$1503,"*"&amp;'Companies'!$A$4:$A$63&amp;"*")&gt;0),'Companies'!$A$4:$A$63,"")))</f>
        <v/>
      </c>
      <c r="J795" s="30">
        <f>IF(A795="","",IF(COUNTIF($A$4:$A$1003,A795)&gt;1,"Duplicate email",IF(ISERROR(FIND("@",A795)),"Not an email address",IF(AND(H795=0,E795=""),"Investor without holders","OK"))))</f>
        <v/>
      </c>
    </row>
    <row r="796">
      <c r="A796" s="26" t="n"/>
      <c r="B796" s="26" t="n"/>
      <c r="C796" s="26" t="n"/>
      <c r="D796" s="26" t="n"/>
      <c r="E796" s="26" t="n"/>
      <c r="F796" s="26" t="n"/>
      <c r="G796" s="26" t="n"/>
      <c r="H796" s="30">
        <f>IF(A796="","",COUNTIF('Access'!$A$4:$A$1503,A796))</f>
        <v/>
      </c>
      <c r="I796" s="30">
        <f t="array" ref="I796">IF(A796="","",_xlfn.TEXTJOIN(", ",TRUE,IF(('Companies'!$A$4:$A$63&lt;&gt;"")*(COUNTIFS('Access'!$A$4:$A$1503,A796,'Access'!$F$4:$F$1503,"*"&amp;'Companies'!$A$4:$A$63&amp;"*")&gt;0),'Companies'!$A$4:$A$63,"")))</f>
        <v/>
      </c>
      <c r="J796" s="30">
        <f>IF(A796="","",IF(COUNTIF($A$4:$A$1003,A796)&gt;1,"Duplicate email",IF(ISERROR(FIND("@",A796)),"Not an email address",IF(AND(H796=0,E796=""),"Investor without holders","OK"))))</f>
        <v/>
      </c>
    </row>
    <row r="797">
      <c r="A797" s="26" t="n"/>
      <c r="B797" s="26" t="n"/>
      <c r="C797" s="26" t="n"/>
      <c r="D797" s="26" t="n"/>
      <c r="E797" s="26" t="n"/>
      <c r="F797" s="26" t="n"/>
      <c r="G797" s="26" t="n"/>
      <c r="H797" s="30">
        <f>IF(A797="","",COUNTIF('Access'!$A$4:$A$1503,A797))</f>
        <v/>
      </c>
      <c r="I797" s="30">
        <f t="array" ref="I797">IF(A797="","",_xlfn.TEXTJOIN(", ",TRUE,IF(('Companies'!$A$4:$A$63&lt;&gt;"")*(COUNTIFS('Access'!$A$4:$A$1503,A797,'Access'!$F$4:$F$1503,"*"&amp;'Companies'!$A$4:$A$63&amp;"*")&gt;0),'Companies'!$A$4:$A$63,"")))</f>
        <v/>
      </c>
      <c r="J797" s="30">
        <f>IF(A797="","",IF(COUNTIF($A$4:$A$1003,A797)&gt;1,"Duplicate email",IF(ISERROR(FIND("@",A797)),"Not an email address",IF(AND(H797=0,E797=""),"Investor without holders","OK"))))</f>
        <v/>
      </c>
    </row>
    <row r="798">
      <c r="A798" s="26" t="n"/>
      <c r="B798" s="26" t="n"/>
      <c r="C798" s="26" t="n"/>
      <c r="D798" s="26" t="n"/>
      <c r="E798" s="26" t="n"/>
      <c r="F798" s="26" t="n"/>
      <c r="G798" s="26" t="n"/>
      <c r="H798" s="30">
        <f>IF(A798="","",COUNTIF('Access'!$A$4:$A$1503,A798))</f>
        <v/>
      </c>
      <c r="I798" s="30">
        <f t="array" ref="I798">IF(A798="","",_xlfn.TEXTJOIN(", ",TRUE,IF(('Companies'!$A$4:$A$63&lt;&gt;"")*(COUNTIFS('Access'!$A$4:$A$1503,A798,'Access'!$F$4:$F$1503,"*"&amp;'Companies'!$A$4:$A$63&amp;"*")&gt;0),'Companies'!$A$4:$A$63,"")))</f>
        <v/>
      </c>
      <c r="J798" s="30">
        <f>IF(A798="","",IF(COUNTIF($A$4:$A$1003,A798)&gt;1,"Duplicate email",IF(ISERROR(FIND("@",A798)),"Not an email address",IF(AND(H798=0,E798=""),"Investor without holders","OK"))))</f>
        <v/>
      </c>
    </row>
    <row r="799">
      <c r="A799" s="26" t="n"/>
      <c r="B799" s="26" t="n"/>
      <c r="C799" s="26" t="n"/>
      <c r="D799" s="26" t="n"/>
      <c r="E799" s="26" t="n"/>
      <c r="F799" s="26" t="n"/>
      <c r="G799" s="26" t="n"/>
      <c r="H799" s="30">
        <f>IF(A799="","",COUNTIF('Access'!$A$4:$A$1503,A799))</f>
        <v/>
      </c>
      <c r="I799" s="30">
        <f t="array" ref="I799">IF(A799="","",_xlfn.TEXTJOIN(", ",TRUE,IF(('Companies'!$A$4:$A$63&lt;&gt;"")*(COUNTIFS('Access'!$A$4:$A$1503,A799,'Access'!$F$4:$F$1503,"*"&amp;'Companies'!$A$4:$A$63&amp;"*")&gt;0),'Companies'!$A$4:$A$63,"")))</f>
        <v/>
      </c>
      <c r="J799" s="30">
        <f>IF(A799="","",IF(COUNTIF($A$4:$A$1003,A799)&gt;1,"Duplicate email",IF(ISERROR(FIND("@",A799)),"Not an email address",IF(AND(H799=0,E799=""),"Investor without holders","OK"))))</f>
        <v/>
      </c>
    </row>
    <row r="800">
      <c r="A800" s="26" t="n"/>
      <c r="B800" s="26" t="n"/>
      <c r="C800" s="26" t="n"/>
      <c r="D800" s="26" t="n"/>
      <c r="E800" s="26" t="n"/>
      <c r="F800" s="26" t="n"/>
      <c r="G800" s="26" t="n"/>
      <c r="H800" s="30">
        <f>IF(A800="","",COUNTIF('Access'!$A$4:$A$1503,A800))</f>
        <v/>
      </c>
      <c r="I800" s="30">
        <f t="array" ref="I800">IF(A800="","",_xlfn.TEXTJOIN(", ",TRUE,IF(('Companies'!$A$4:$A$63&lt;&gt;"")*(COUNTIFS('Access'!$A$4:$A$1503,A800,'Access'!$F$4:$F$1503,"*"&amp;'Companies'!$A$4:$A$63&amp;"*")&gt;0),'Companies'!$A$4:$A$63,"")))</f>
        <v/>
      </c>
      <c r="J800" s="30">
        <f>IF(A800="","",IF(COUNTIF($A$4:$A$1003,A800)&gt;1,"Duplicate email",IF(ISERROR(FIND("@",A800)),"Not an email address",IF(AND(H800=0,E800=""),"Investor without holders","OK"))))</f>
        <v/>
      </c>
    </row>
    <row r="801">
      <c r="A801" s="26" t="n"/>
      <c r="B801" s="26" t="n"/>
      <c r="C801" s="26" t="n"/>
      <c r="D801" s="26" t="n"/>
      <c r="E801" s="26" t="n"/>
      <c r="F801" s="26" t="n"/>
      <c r="G801" s="26" t="n"/>
      <c r="H801" s="30">
        <f>IF(A801="","",COUNTIF('Access'!$A$4:$A$1503,A801))</f>
        <v/>
      </c>
      <c r="I801" s="30">
        <f t="array" ref="I801">IF(A801="","",_xlfn.TEXTJOIN(", ",TRUE,IF(('Companies'!$A$4:$A$63&lt;&gt;"")*(COUNTIFS('Access'!$A$4:$A$1503,A801,'Access'!$F$4:$F$1503,"*"&amp;'Companies'!$A$4:$A$63&amp;"*")&gt;0),'Companies'!$A$4:$A$63,"")))</f>
        <v/>
      </c>
      <c r="J801" s="30">
        <f>IF(A801="","",IF(COUNTIF($A$4:$A$1003,A801)&gt;1,"Duplicate email",IF(ISERROR(FIND("@",A801)),"Not an email address",IF(AND(H801=0,E801=""),"Investor without holders","OK"))))</f>
        <v/>
      </c>
    </row>
    <row r="802">
      <c r="A802" s="26" t="n"/>
      <c r="B802" s="26" t="n"/>
      <c r="C802" s="26" t="n"/>
      <c r="D802" s="26" t="n"/>
      <c r="E802" s="26" t="n"/>
      <c r="F802" s="26" t="n"/>
      <c r="G802" s="26" t="n"/>
      <c r="H802" s="30">
        <f>IF(A802="","",COUNTIF('Access'!$A$4:$A$1503,A802))</f>
        <v/>
      </c>
      <c r="I802" s="30">
        <f t="array" ref="I802">IF(A802="","",_xlfn.TEXTJOIN(", ",TRUE,IF(('Companies'!$A$4:$A$63&lt;&gt;"")*(COUNTIFS('Access'!$A$4:$A$1503,A802,'Access'!$F$4:$F$1503,"*"&amp;'Companies'!$A$4:$A$63&amp;"*")&gt;0),'Companies'!$A$4:$A$63,"")))</f>
        <v/>
      </c>
      <c r="J802" s="30">
        <f>IF(A802="","",IF(COUNTIF($A$4:$A$1003,A802)&gt;1,"Duplicate email",IF(ISERROR(FIND("@",A802)),"Not an email address",IF(AND(H802=0,E802=""),"Investor without holders","OK"))))</f>
        <v/>
      </c>
    </row>
    <row r="803">
      <c r="A803" s="26" t="n"/>
      <c r="B803" s="26" t="n"/>
      <c r="C803" s="26" t="n"/>
      <c r="D803" s="26" t="n"/>
      <c r="E803" s="26" t="n"/>
      <c r="F803" s="26" t="n"/>
      <c r="G803" s="26" t="n"/>
      <c r="H803" s="30">
        <f>IF(A803="","",COUNTIF('Access'!$A$4:$A$1503,A803))</f>
        <v/>
      </c>
      <c r="I803" s="30">
        <f t="array" ref="I803">IF(A803="","",_xlfn.TEXTJOIN(", ",TRUE,IF(('Companies'!$A$4:$A$63&lt;&gt;"")*(COUNTIFS('Access'!$A$4:$A$1503,A803,'Access'!$F$4:$F$1503,"*"&amp;'Companies'!$A$4:$A$63&amp;"*")&gt;0),'Companies'!$A$4:$A$63,"")))</f>
        <v/>
      </c>
      <c r="J803" s="30">
        <f>IF(A803="","",IF(COUNTIF($A$4:$A$1003,A803)&gt;1,"Duplicate email",IF(ISERROR(FIND("@",A803)),"Not an email address",IF(AND(H803=0,E803=""),"Investor without holders","OK"))))</f>
        <v/>
      </c>
    </row>
    <row r="804">
      <c r="A804" s="26" t="n"/>
      <c r="B804" s="26" t="n"/>
      <c r="C804" s="26" t="n"/>
      <c r="D804" s="26" t="n"/>
      <c r="E804" s="26" t="n"/>
      <c r="F804" s="26" t="n"/>
      <c r="G804" s="26" t="n"/>
      <c r="H804" s="30">
        <f>IF(A804="","",COUNTIF('Access'!$A$4:$A$1503,A804))</f>
        <v/>
      </c>
      <c r="I804" s="30">
        <f t="array" ref="I804">IF(A804="","",_xlfn.TEXTJOIN(", ",TRUE,IF(('Companies'!$A$4:$A$63&lt;&gt;"")*(COUNTIFS('Access'!$A$4:$A$1503,A804,'Access'!$F$4:$F$1503,"*"&amp;'Companies'!$A$4:$A$63&amp;"*")&gt;0),'Companies'!$A$4:$A$63,"")))</f>
        <v/>
      </c>
      <c r="J804" s="30">
        <f>IF(A804="","",IF(COUNTIF($A$4:$A$1003,A804)&gt;1,"Duplicate email",IF(ISERROR(FIND("@",A804)),"Not an email address",IF(AND(H804=0,E804=""),"Investor without holders","OK"))))</f>
        <v/>
      </c>
    </row>
    <row r="805">
      <c r="A805" s="26" t="n"/>
      <c r="B805" s="26" t="n"/>
      <c r="C805" s="26" t="n"/>
      <c r="D805" s="26" t="n"/>
      <c r="E805" s="26" t="n"/>
      <c r="F805" s="26" t="n"/>
      <c r="G805" s="26" t="n"/>
      <c r="H805" s="30">
        <f>IF(A805="","",COUNTIF('Access'!$A$4:$A$1503,A805))</f>
        <v/>
      </c>
      <c r="I805" s="30">
        <f t="array" ref="I805">IF(A805="","",_xlfn.TEXTJOIN(", ",TRUE,IF(('Companies'!$A$4:$A$63&lt;&gt;"")*(COUNTIFS('Access'!$A$4:$A$1503,A805,'Access'!$F$4:$F$1503,"*"&amp;'Companies'!$A$4:$A$63&amp;"*")&gt;0),'Companies'!$A$4:$A$63,"")))</f>
        <v/>
      </c>
      <c r="J805" s="30">
        <f>IF(A805="","",IF(COUNTIF($A$4:$A$1003,A805)&gt;1,"Duplicate email",IF(ISERROR(FIND("@",A805)),"Not an email address",IF(AND(H805=0,E805=""),"Investor without holders","OK"))))</f>
        <v/>
      </c>
    </row>
    <row r="806">
      <c r="A806" s="26" t="n"/>
      <c r="B806" s="26" t="n"/>
      <c r="C806" s="26" t="n"/>
      <c r="D806" s="26" t="n"/>
      <c r="E806" s="26" t="n"/>
      <c r="F806" s="26" t="n"/>
      <c r="G806" s="26" t="n"/>
      <c r="H806" s="30">
        <f>IF(A806="","",COUNTIF('Access'!$A$4:$A$1503,A806))</f>
        <v/>
      </c>
      <c r="I806" s="30">
        <f t="array" ref="I806">IF(A806="","",_xlfn.TEXTJOIN(", ",TRUE,IF(('Companies'!$A$4:$A$63&lt;&gt;"")*(COUNTIFS('Access'!$A$4:$A$1503,A806,'Access'!$F$4:$F$1503,"*"&amp;'Companies'!$A$4:$A$63&amp;"*")&gt;0),'Companies'!$A$4:$A$63,"")))</f>
        <v/>
      </c>
      <c r="J806" s="30">
        <f>IF(A806="","",IF(COUNTIF($A$4:$A$1003,A806)&gt;1,"Duplicate email",IF(ISERROR(FIND("@",A806)),"Not an email address",IF(AND(H806=0,E806=""),"Investor without holders","OK"))))</f>
        <v/>
      </c>
    </row>
    <row r="807">
      <c r="A807" s="26" t="n"/>
      <c r="B807" s="26" t="n"/>
      <c r="C807" s="26" t="n"/>
      <c r="D807" s="26" t="n"/>
      <c r="E807" s="26" t="n"/>
      <c r="F807" s="26" t="n"/>
      <c r="G807" s="26" t="n"/>
      <c r="H807" s="30">
        <f>IF(A807="","",COUNTIF('Access'!$A$4:$A$1503,A807))</f>
        <v/>
      </c>
      <c r="I807" s="30">
        <f t="array" ref="I807">IF(A807="","",_xlfn.TEXTJOIN(", ",TRUE,IF(('Companies'!$A$4:$A$63&lt;&gt;"")*(COUNTIFS('Access'!$A$4:$A$1503,A807,'Access'!$F$4:$F$1503,"*"&amp;'Companies'!$A$4:$A$63&amp;"*")&gt;0),'Companies'!$A$4:$A$63,"")))</f>
        <v/>
      </c>
      <c r="J807" s="30">
        <f>IF(A807="","",IF(COUNTIF($A$4:$A$1003,A807)&gt;1,"Duplicate email",IF(ISERROR(FIND("@",A807)),"Not an email address",IF(AND(H807=0,E807=""),"Investor without holders","OK"))))</f>
        <v/>
      </c>
    </row>
    <row r="808">
      <c r="A808" s="26" t="n"/>
      <c r="B808" s="26" t="n"/>
      <c r="C808" s="26" t="n"/>
      <c r="D808" s="26" t="n"/>
      <c r="E808" s="26" t="n"/>
      <c r="F808" s="26" t="n"/>
      <c r="G808" s="26" t="n"/>
      <c r="H808" s="30">
        <f>IF(A808="","",COUNTIF('Access'!$A$4:$A$1503,A808))</f>
        <v/>
      </c>
      <c r="I808" s="30">
        <f t="array" ref="I808">IF(A808="","",_xlfn.TEXTJOIN(", ",TRUE,IF(('Companies'!$A$4:$A$63&lt;&gt;"")*(COUNTIFS('Access'!$A$4:$A$1503,A808,'Access'!$F$4:$F$1503,"*"&amp;'Companies'!$A$4:$A$63&amp;"*")&gt;0),'Companies'!$A$4:$A$63,"")))</f>
        <v/>
      </c>
      <c r="J808" s="30">
        <f>IF(A808="","",IF(COUNTIF($A$4:$A$1003,A808)&gt;1,"Duplicate email",IF(ISERROR(FIND("@",A808)),"Not an email address",IF(AND(H808=0,E808=""),"Investor without holders","OK"))))</f>
        <v/>
      </c>
    </row>
    <row r="809">
      <c r="A809" s="26" t="n"/>
      <c r="B809" s="26" t="n"/>
      <c r="C809" s="26" t="n"/>
      <c r="D809" s="26" t="n"/>
      <c r="E809" s="26" t="n"/>
      <c r="F809" s="26" t="n"/>
      <c r="G809" s="26" t="n"/>
      <c r="H809" s="30">
        <f>IF(A809="","",COUNTIF('Access'!$A$4:$A$1503,A809))</f>
        <v/>
      </c>
      <c r="I809" s="30">
        <f t="array" ref="I809">IF(A809="","",_xlfn.TEXTJOIN(", ",TRUE,IF(('Companies'!$A$4:$A$63&lt;&gt;"")*(COUNTIFS('Access'!$A$4:$A$1503,A809,'Access'!$F$4:$F$1503,"*"&amp;'Companies'!$A$4:$A$63&amp;"*")&gt;0),'Companies'!$A$4:$A$63,"")))</f>
        <v/>
      </c>
      <c r="J809" s="30">
        <f>IF(A809="","",IF(COUNTIF($A$4:$A$1003,A809)&gt;1,"Duplicate email",IF(ISERROR(FIND("@",A809)),"Not an email address",IF(AND(H809=0,E809=""),"Investor without holders","OK"))))</f>
        <v/>
      </c>
    </row>
    <row r="810">
      <c r="A810" s="26" t="n"/>
      <c r="B810" s="26" t="n"/>
      <c r="C810" s="26" t="n"/>
      <c r="D810" s="26" t="n"/>
      <c r="E810" s="26" t="n"/>
      <c r="F810" s="26" t="n"/>
      <c r="G810" s="26" t="n"/>
      <c r="H810" s="30">
        <f>IF(A810="","",COUNTIF('Access'!$A$4:$A$1503,A810))</f>
        <v/>
      </c>
      <c r="I810" s="30">
        <f t="array" ref="I810">IF(A810="","",_xlfn.TEXTJOIN(", ",TRUE,IF(('Companies'!$A$4:$A$63&lt;&gt;"")*(COUNTIFS('Access'!$A$4:$A$1503,A810,'Access'!$F$4:$F$1503,"*"&amp;'Companies'!$A$4:$A$63&amp;"*")&gt;0),'Companies'!$A$4:$A$63,"")))</f>
        <v/>
      </c>
      <c r="J810" s="30">
        <f>IF(A810="","",IF(COUNTIF($A$4:$A$1003,A810)&gt;1,"Duplicate email",IF(ISERROR(FIND("@",A810)),"Not an email address",IF(AND(H810=0,E810=""),"Investor without holders","OK"))))</f>
        <v/>
      </c>
    </row>
    <row r="811">
      <c r="A811" s="26" t="n"/>
      <c r="B811" s="26" t="n"/>
      <c r="C811" s="26" t="n"/>
      <c r="D811" s="26" t="n"/>
      <c r="E811" s="26" t="n"/>
      <c r="F811" s="26" t="n"/>
      <c r="G811" s="26" t="n"/>
      <c r="H811" s="30">
        <f>IF(A811="","",COUNTIF('Access'!$A$4:$A$1503,A811))</f>
        <v/>
      </c>
      <c r="I811" s="30">
        <f t="array" ref="I811">IF(A811="","",_xlfn.TEXTJOIN(", ",TRUE,IF(('Companies'!$A$4:$A$63&lt;&gt;"")*(COUNTIFS('Access'!$A$4:$A$1503,A811,'Access'!$F$4:$F$1503,"*"&amp;'Companies'!$A$4:$A$63&amp;"*")&gt;0),'Companies'!$A$4:$A$63,"")))</f>
        <v/>
      </c>
      <c r="J811" s="30">
        <f>IF(A811="","",IF(COUNTIF($A$4:$A$1003,A811)&gt;1,"Duplicate email",IF(ISERROR(FIND("@",A811)),"Not an email address",IF(AND(H811=0,E811=""),"Investor without holders","OK"))))</f>
        <v/>
      </c>
    </row>
    <row r="812">
      <c r="A812" s="26" t="n"/>
      <c r="B812" s="26" t="n"/>
      <c r="C812" s="26" t="n"/>
      <c r="D812" s="26" t="n"/>
      <c r="E812" s="26" t="n"/>
      <c r="F812" s="26" t="n"/>
      <c r="G812" s="26" t="n"/>
      <c r="H812" s="30">
        <f>IF(A812="","",COUNTIF('Access'!$A$4:$A$1503,A812))</f>
        <v/>
      </c>
      <c r="I812" s="30">
        <f t="array" ref="I812">IF(A812="","",_xlfn.TEXTJOIN(", ",TRUE,IF(('Companies'!$A$4:$A$63&lt;&gt;"")*(COUNTIFS('Access'!$A$4:$A$1503,A812,'Access'!$F$4:$F$1503,"*"&amp;'Companies'!$A$4:$A$63&amp;"*")&gt;0),'Companies'!$A$4:$A$63,"")))</f>
        <v/>
      </c>
      <c r="J812" s="30">
        <f>IF(A812="","",IF(COUNTIF($A$4:$A$1003,A812)&gt;1,"Duplicate email",IF(ISERROR(FIND("@",A812)),"Not an email address",IF(AND(H812=0,E812=""),"Investor without holders","OK"))))</f>
        <v/>
      </c>
    </row>
    <row r="813">
      <c r="A813" s="26" t="n"/>
      <c r="B813" s="26" t="n"/>
      <c r="C813" s="26" t="n"/>
      <c r="D813" s="26" t="n"/>
      <c r="E813" s="26" t="n"/>
      <c r="F813" s="26" t="n"/>
      <c r="G813" s="26" t="n"/>
      <c r="H813" s="30">
        <f>IF(A813="","",COUNTIF('Access'!$A$4:$A$1503,A813))</f>
        <v/>
      </c>
      <c r="I813" s="30">
        <f t="array" ref="I813">IF(A813="","",_xlfn.TEXTJOIN(", ",TRUE,IF(('Companies'!$A$4:$A$63&lt;&gt;"")*(COUNTIFS('Access'!$A$4:$A$1503,A813,'Access'!$F$4:$F$1503,"*"&amp;'Companies'!$A$4:$A$63&amp;"*")&gt;0),'Companies'!$A$4:$A$63,"")))</f>
        <v/>
      </c>
      <c r="J813" s="30">
        <f>IF(A813="","",IF(COUNTIF($A$4:$A$1003,A813)&gt;1,"Duplicate email",IF(ISERROR(FIND("@",A813)),"Not an email address",IF(AND(H813=0,E813=""),"Investor without holders","OK"))))</f>
        <v/>
      </c>
    </row>
    <row r="814">
      <c r="A814" s="26" t="n"/>
      <c r="B814" s="26" t="n"/>
      <c r="C814" s="26" t="n"/>
      <c r="D814" s="26" t="n"/>
      <c r="E814" s="26" t="n"/>
      <c r="F814" s="26" t="n"/>
      <c r="G814" s="26" t="n"/>
      <c r="H814" s="30">
        <f>IF(A814="","",COUNTIF('Access'!$A$4:$A$1503,A814))</f>
        <v/>
      </c>
      <c r="I814" s="30">
        <f t="array" ref="I814">IF(A814="","",_xlfn.TEXTJOIN(", ",TRUE,IF(('Companies'!$A$4:$A$63&lt;&gt;"")*(COUNTIFS('Access'!$A$4:$A$1503,A814,'Access'!$F$4:$F$1503,"*"&amp;'Companies'!$A$4:$A$63&amp;"*")&gt;0),'Companies'!$A$4:$A$63,"")))</f>
        <v/>
      </c>
      <c r="J814" s="30">
        <f>IF(A814="","",IF(COUNTIF($A$4:$A$1003,A814)&gt;1,"Duplicate email",IF(ISERROR(FIND("@",A814)),"Not an email address",IF(AND(H814=0,E814=""),"Investor without holders","OK"))))</f>
        <v/>
      </c>
    </row>
    <row r="815">
      <c r="A815" s="26" t="n"/>
      <c r="B815" s="26" t="n"/>
      <c r="C815" s="26" t="n"/>
      <c r="D815" s="26" t="n"/>
      <c r="E815" s="26" t="n"/>
      <c r="F815" s="26" t="n"/>
      <c r="G815" s="26" t="n"/>
      <c r="H815" s="30">
        <f>IF(A815="","",COUNTIF('Access'!$A$4:$A$1503,A815))</f>
        <v/>
      </c>
      <c r="I815" s="30">
        <f t="array" ref="I815">IF(A815="","",_xlfn.TEXTJOIN(", ",TRUE,IF(('Companies'!$A$4:$A$63&lt;&gt;"")*(COUNTIFS('Access'!$A$4:$A$1503,A815,'Access'!$F$4:$F$1503,"*"&amp;'Companies'!$A$4:$A$63&amp;"*")&gt;0),'Companies'!$A$4:$A$63,"")))</f>
        <v/>
      </c>
      <c r="J815" s="30">
        <f>IF(A815="","",IF(COUNTIF($A$4:$A$1003,A815)&gt;1,"Duplicate email",IF(ISERROR(FIND("@",A815)),"Not an email address",IF(AND(H815=0,E815=""),"Investor without holders","OK"))))</f>
        <v/>
      </c>
    </row>
    <row r="816">
      <c r="A816" s="26" t="n"/>
      <c r="B816" s="26" t="n"/>
      <c r="C816" s="26" t="n"/>
      <c r="D816" s="26" t="n"/>
      <c r="E816" s="26" t="n"/>
      <c r="F816" s="26" t="n"/>
      <c r="G816" s="26" t="n"/>
      <c r="H816" s="30">
        <f>IF(A816="","",COUNTIF('Access'!$A$4:$A$1503,A816))</f>
        <v/>
      </c>
      <c r="I816" s="30">
        <f t="array" ref="I816">IF(A816="","",_xlfn.TEXTJOIN(", ",TRUE,IF(('Companies'!$A$4:$A$63&lt;&gt;"")*(COUNTIFS('Access'!$A$4:$A$1503,A816,'Access'!$F$4:$F$1503,"*"&amp;'Companies'!$A$4:$A$63&amp;"*")&gt;0),'Companies'!$A$4:$A$63,"")))</f>
        <v/>
      </c>
      <c r="J816" s="30">
        <f>IF(A816="","",IF(COUNTIF($A$4:$A$1003,A816)&gt;1,"Duplicate email",IF(ISERROR(FIND("@",A816)),"Not an email address",IF(AND(H816=0,E816=""),"Investor without holders","OK"))))</f>
        <v/>
      </c>
    </row>
    <row r="817">
      <c r="A817" s="26" t="n"/>
      <c r="B817" s="26" t="n"/>
      <c r="C817" s="26" t="n"/>
      <c r="D817" s="26" t="n"/>
      <c r="E817" s="26" t="n"/>
      <c r="F817" s="26" t="n"/>
      <c r="G817" s="26" t="n"/>
      <c r="H817" s="30">
        <f>IF(A817="","",COUNTIF('Access'!$A$4:$A$1503,A817))</f>
        <v/>
      </c>
      <c r="I817" s="30">
        <f t="array" ref="I817">IF(A817="","",_xlfn.TEXTJOIN(", ",TRUE,IF(('Companies'!$A$4:$A$63&lt;&gt;"")*(COUNTIFS('Access'!$A$4:$A$1503,A817,'Access'!$F$4:$F$1503,"*"&amp;'Companies'!$A$4:$A$63&amp;"*")&gt;0),'Companies'!$A$4:$A$63,"")))</f>
        <v/>
      </c>
      <c r="J817" s="30">
        <f>IF(A817="","",IF(COUNTIF($A$4:$A$1003,A817)&gt;1,"Duplicate email",IF(ISERROR(FIND("@",A817)),"Not an email address",IF(AND(H817=0,E817=""),"Investor without holders","OK"))))</f>
        <v/>
      </c>
    </row>
    <row r="818">
      <c r="A818" s="26" t="n"/>
      <c r="B818" s="26" t="n"/>
      <c r="C818" s="26" t="n"/>
      <c r="D818" s="26" t="n"/>
      <c r="E818" s="26" t="n"/>
      <c r="F818" s="26" t="n"/>
      <c r="G818" s="26" t="n"/>
      <c r="H818" s="30">
        <f>IF(A818="","",COUNTIF('Access'!$A$4:$A$1503,A818))</f>
        <v/>
      </c>
      <c r="I818" s="30">
        <f t="array" ref="I818">IF(A818="","",_xlfn.TEXTJOIN(", ",TRUE,IF(('Companies'!$A$4:$A$63&lt;&gt;"")*(COUNTIFS('Access'!$A$4:$A$1503,A818,'Access'!$F$4:$F$1503,"*"&amp;'Companies'!$A$4:$A$63&amp;"*")&gt;0),'Companies'!$A$4:$A$63,"")))</f>
        <v/>
      </c>
      <c r="J818" s="30">
        <f>IF(A818="","",IF(COUNTIF($A$4:$A$1003,A818)&gt;1,"Duplicate email",IF(ISERROR(FIND("@",A818)),"Not an email address",IF(AND(H818=0,E818=""),"Investor without holders","OK"))))</f>
        <v/>
      </c>
    </row>
    <row r="819">
      <c r="A819" s="26" t="n"/>
      <c r="B819" s="26" t="n"/>
      <c r="C819" s="26" t="n"/>
      <c r="D819" s="26" t="n"/>
      <c r="E819" s="26" t="n"/>
      <c r="F819" s="26" t="n"/>
      <c r="G819" s="26" t="n"/>
      <c r="H819" s="30">
        <f>IF(A819="","",COUNTIF('Access'!$A$4:$A$1503,A819))</f>
        <v/>
      </c>
      <c r="I819" s="30">
        <f t="array" ref="I819">IF(A819="","",_xlfn.TEXTJOIN(", ",TRUE,IF(('Companies'!$A$4:$A$63&lt;&gt;"")*(COUNTIFS('Access'!$A$4:$A$1503,A819,'Access'!$F$4:$F$1503,"*"&amp;'Companies'!$A$4:$A$63&amp;"*")&gt;0),'Companies'!$A$4:$A$63,"")))</f>
        <v/>
      </c>
      <c r="J819" s="30">
        <f>IF(A819="","",IF(COUNTIF($A$4:$A$1003,A819)&gt;1,"Duplicate email",IF(ISERROR(FIND("@",A819)),"Not an email address",IF(AND(H819=0,E819=""),"Investor without holders","OK"))))</f>
        <v/>
      </c>
    </row>
    <row r="820">
      <c r="A820" s="26" t="n"/>
      <c r="B820" s="26" t="n"/>
      <c r="C820" s="26" t="n"/>
      <c r="D820" s="26" t="n"/>
      <c r="E820" s="26" t="n"/>
      <c r="F820" s="26" t="n"/>
      <c r="G820" s="26" t="n"/>
      <c r="H820" s="30">
        <f>IF(A820="","",COUNTIF('Access'!$A$4:$A$1503,A820))</f>
        <v/>
      </c>
      <c r="I820" s="30">
        <f t="array" ref="I820">IF(A820="","",_xlfn.TEXTJOIN(", ",TRUE,IF(('Companies'!$A$4:$A$63&lt;&gt;"")*(COUNTIFS('Access'!$A$4:$A$1503,A820,'Access'!$F$4:$F$1503,"*"&amp;'Companies'!$A$4:$A$63&amp;"*")&gt;0),'Companies'!$A$4:$A$63,"")))</f>
        <v/>
      </c>
      <c r="J820" s="30">
        <f>IF(A820="","",IF(COUNTIF($A$4:$A$1003,A820)&gt;1,"Duplicate email",IF(ISERROR(FIND("@",A820)),"Not an email address",IF(AND(H820=0,E820=""),"Investor without holders","OK"))))</f>
        <v/>
      </c>
    </row>
    <row r="821">
      <c r="A821" s="26" t="n"/>
      <c r="B821" s="26" t="n"/>
      <c r="C821" s="26" t="n"/>
      <c r="D821" s="26" t="n"/>
      <c r="E821" s="26" t="n"/>
      <c r="F821" s="26" t="n"/>
      <c r="G821" s="26" t="n"/>
      <c r="H821" s="30">
        <f>IF(A821="","",COUNTIF('Access'!$A$4:$A$1503,A821))</f>
        <v/>
      </c>
      <c r="I821" s="30">
        <f t="array" ref="I821">IF(A821="","",_xlfn.TEXTJOIN(", ",TRUE,IF(('Companies'!$A$4:$A$63&lt;&gt;"")*(COUNTIFS('Access'!$A$4:$A$1503,A821,'Access'!$F$4:$F$1503,"*"&amp;'Companies'!$A$4:$A$63&amp;"*")&gt;0),'Companies'!$A$4:$A$63,"")))</f>
        <v/>
      </c>
      <c r="J821" s="30">
        <f>IF(A821="","",IF(COUNTIF($A$4:$A$1003,A821)&gt;1,"Duplicate email",IF(ISERROR(FIND("@",A821)),"Not an email address",IF(AND(H821=0,E821=""),"Investor without holders","OK"))))</f>
        <v/>
      </c>
    </row>
    <row r="822">
      <c r="A822" s="26" t="n"/>
      <c r="B822" s="26" t="n"/>
      <c r="C822" s="26" t="n"/>
      <c r="D822" s="26" t="n"/>
      <c r="E822" s="26" t="n"/>
      <c r="F822" s="26" t="n"/>
      <c r="G822" s="26" t="n"/>
      <c r="H822" s="30">
        <f>IF(A822="","",COUNTIF('Access'!$A$4:$A$1503,A822))</f>
        <v/>
      </c>
      <c r="I822" s="30">
        <f t="array" ref="I822">IF(A822="","",_xlfn.TEXTJOIN(", ",TRUE,IF(('Companies'!$A$4:$A$63&lt;&gt;"")*(COUNTIFS('Access'!$A$4:$A$1503,A822,'Access'!$F$4:$F$1503,"*"&amp;'Companies'!$A$4:$A$63&amp;"*")&gt;0),'Companies'!$A$4:$A$63,"")))</f>
        <v/>
      </c>
      <c r="J822" s="30">
        <f>IF(A822="","",IF(COUNTIF($A$4:$A$1003,A822)&gt;1,"Duplicate email",IF(ISERROR(FIND("@",A822)),"Not an email address",IF(AND(H822=0,E822=""),"Investor without holders","OK"))))</f>
        <v/>
      </c>
    </row>
    <row r="823">
      <c r="A823" s="26" t="n"/>
      <c r="B823" s="26" t="n"/>
      <c r="C823" s="26" t="n"/>
      <c r="D823" s="26" t="n"/>
      <c r="E823" s="26" t="n"/>
      <c r="F823" s="26" t="n"/>
      <c r="G823" s="26" t="n"/>
      <c r="H823" s="30">
        <f>IF(A823="","",COUNTIF('Access'!$A$4:$A$1503,A823))</f>
        <v/>
      </c>
      <c r="I823" s="30">
        <f t="array" ref="I823">IF(A823="","",_xlfn.TEXTJOIN(", ",TRUE,IF(('Companies'!$A$4:$A$63&lt;&gt;"")*(COUNTIFS('Access'!$A$4:$A$1503,A823,'Access'!$F$4:$F$1503,"*"&amp;'Companies'!$A$4:$A$63&amp;"*")&gt;0),'Companies'!$A$4:$A$63,"")))</f>
        <v/>
      </c>
      <c r="J823" s="30">
        <f>IF(A823="","",IF(COUNTIF($A$4:$A$1003,A823)&gt;1,"Duplicate email",IF(ISERROR(FIND("@",A823)),"Not an email address",IF(AND(H823=0,E823=""),"Investor without holders","OK"))))</f>
        <v/>
      </c>
    </row>
    <row r="824">
      <c r="A824" s="26" t="n"/>
      <c r="B824" s="26" t="n"/>
      <c r="C824" s="26" t="n"/>
      <c r="D824" s="26" t="n"/>
      <c r="E824" s="26" t="n"/>
      <c r="F824" s="26" t="n"/>
      <c r="G824" s="26" t="n"/>
      <c r="H824" s="30">
        <f>IF(A824="","",COUNTIF('Access'!$A$4:$A$1503,A824))</f>
        <v/>
      </c>
      <c r="I824" s="30">
        <f t="array" ref="I824">IF(A824="","",_xlfn.TEXTJOIN(", ",TRUE,IF(('Companies'!$A$4:$A$63&lt;&gt;"")*(COUNTIFS('Access'!$A$4:$A$1503,A824,'Access'!$F$4:$F$1503,"*"&amp;'Companies'!$A$4:$A$63&amp;"*")&gt;0),'Companies'!$A$4:$A$63,"")))</f>
        <v/>
      </c>
      <c r="J824" s="30">
        <f>IF(A824="","",IF(COUNTIF($A$4:$A$1003,A824)&gt;1,"Duplicate email",IF(ISERROR(FIND("@",A824)),"Not an email address",IF(AND(H824=0,E824=""),"Investor without holders","OK"))))</f>
        <v/>
      </c>
    </row>
    <row r="825">
      <c r="A825" s="26" t="n"/>
      <c r="B825" s="26" t="n"/>
      <c r="C825" s="26" t="n"/>
      <c r="D825" s="26" t="n"/>
      <c r="E825" s="26" t="n"/>
      <c r="F825" s="26" t="n"/>
      <c r="G825" s="26" t="n"/>
      <c r="H825" s="30">
        <f>IF(A825="","",COUNTIF('Access'!$A$4:$A$1503,A825))</f>
        <v/>
      </c>
      <c r="I825" s="30">
        <f t="array" ref="I825">IF(A825="","",_xlfn.TEXTJOIN(", ",TRUE,IF(('Companies'!$A$4:$A$63&lt;&gt;"")*(COUNTIFS('Access'!$A$4:$A$1503,A825,'Access'!$F$4:$F$1503,"*"&amp;'Companies'!$A$4:$A$63&amp;"*")&gt;0),'Companies'!$A$4:$A$63,"")))</f>
        <v/>
      </c>
      <c r="J825" s="30">
        <f>IF(A825="","",IF(COUNTIF($A$4:$A$1003,A825)&gt;1,"Duplicate email",IF(ISERROR(FIND("@",A825)),"Not an email address",IF(AND(H825=0,E825=""),"Investor without holders","OK"))))</f>
        <v/>
      </c>
    </row>
    <row r="826">
      <c r="A826" s="26" t="n"/>
      <c r="B826" s="26" t="n"/>
      <c r="C826" s="26" t="n"/>
      <c r="D826" s="26" t="n"/>
      <c r="E826" s="26" t="n"/>
      <c r="F826" s="26" t="n"/>
      <c r="G826" s="26" t="n"/>
      <c r="H826" s="30">
        <f>IF(A826="","",COUNTIF('Access'!$A$4:$A$1503,A826))</f>
        <v/>
      </c>
      <c r="I826" s="30">
        <f t="array" ref="I826">IF(A826="","",_xlfn.TEXTJOIN(", ",TRUE,IF(('Companies'!$A$4:$A$63&lt;&gt;"")*(COUNTIFS('Access'!$A$4:$A$1503,A826,'Access'!$F$4:$F$1503,"*"&amp;'Companies'!$A$4:$A$63&amp;"*")&gt;0),'Companies'!$A$4:$A$63,"")))</f>
        <v/>
      </c>
      <c r="J826" s="30">
        <f>IF(A826="","",IF(COUNTIF($A$4:$A$1003,A826)&gt;1,"Duplicate email",IF(ISERROR(FIND("@",A826)),"Not an email address",IF(AND(H826=0,E826=""),"Investor without holders","OK"))))</f>
        <v/>
      </c>
    </row>
    <row r="827">
      <c r="A827" s="26" t="n"/>
      <c r="B827" s="26" t="n"/>
      <c r="C827" s="26" t="n"/>
      <c r="D827" s="26" t="n"/>
      <c r="E827" s="26" t="n"/>
      <c r="F827" s="26" t="n"/>
      <c r="G827" s="26" t="n"/>
      <c r="H827" s="30">
        <f>IF(A827="","",COUNTIF('Access'!$A$4:$A$1503,A827))</f>
        <v/>
      </c>
      <c r="I827" s="30">
        <f t="array" ref="I827">IF(A827="","",_xlfn.TEXTJOIN(", ",TRUE,IF(('Companies'!$A$4:$A$63&lt;&gt;"")*(COUNTIFS('Access'!$A$4:$A$1503,A827,'Access'!$F$4:$F$1503,"*"&amp;'Companies'!$A$4:$A$63&amp;"*")&gt;0),'Companies'!$A$4:$A$63,"")))</f>
        <v/>
      </c>
      <c r="J827" s="30">
        <f>IF(A827="","",IF(COUNTIF($A$4:$A$1003,A827)&gt;1,"Duplicate email",IF(ISERROR(FIND("@",A827)),"Not an email address",IF(AND(H827=0,E827=""),"Investor without holders","OK"))))</f>
        <v/>
      </c>
    </row>
    <row r="828">
      <c r="A828" s="26" t="n"/>
      <c r="B828" s="26" t="n"/>
      <c r="C828" s="26" t="n"/>
      <c r="D828" s="26" t="n"/>
      <c r="E828" s="26" t="n"/>
      <c r="F828" s="26" t="n"/>
      <c r="G828" s="26" t="n"/>
      <c r="H828" s="30">
        <f>IF(A828="","",COUNTIF('Access'!$A$4:$A$1503,A828))</f>
        <v/>
      </c>
      <c r="I828" s="30">
        <f t="array" ref="I828">IF(A828="","",_xlfn.TEXTJOIN(", ",TRUE,IF(('Companies'!$A$4:$A$63&lt;&gt;"")*(COUNTIFS('Access'!$A$4:$A$1503,A828,'Access'!$F$4:$F$1503,"*"&amp;'Companies'!$A$4:$A$63&amp;"*")&gt;0),'Companies'!$A$4:$A$63,"")))</f>
        <v/>
      </c>
      <c r="J828" s="30">
        <f>IF(A828="","",IF(COUNTIF($A$4:$A$1003,A828)&gt;1,"Duplicate email",IF(ISERROR(FIND("@",A828)),"Not an email address",IF(AND(H828=0,E828=""),"Investor without holders","OK"))))</f>
        <v/>
      </c>
    </row>
    <row r="829">
      <c r="A829" s="26" t="n"/>
      <c r="B829" s="26" t="n"/>
      <c r="C829" s="26" t="n"/>
      <c r="D829" s="26" t="n"/>
      <c r="E829" s="26" t="n"/>
      <c r="F829" s="26" t="n"/>
      <c r="G829" s="26" t="n"/>
      <c r="H829" s="30">
        <f>IF(A829="","",COUNTIF('Access'!$A$4:$A$1503,A829))</f>
        <v/>
      </c>
      <c r="I829" s="30">
        <f t="array" ref="I829">IF(A829="","",_xlfn.TEXTJOIN(", ",TRUE,IF(('Companies'!$A$4:$A$63&lt;&gt;"")*(COUNTIFS('Access'!$A$4:$A$1503,A829,'Access'!$F$4:$F$1503,"*"&amp;'Companies'!$A$4:$A$63&amp;"*")&gt;0),'Companies'!$A$4:$A$63,"")))</f>
        <v/>
      </c>
      <c r="J829" s="30">
        <f>IF(A829="","",IF(COUNTIF($A$4:$A$1003,A829)&gt;1,"Duplicate email",IF(ISERROR(FIND("@",A829)),"Not an email address",IF(AND(H829=0,E829=""),"Investor without holders","OK"))))</f>
        <v/>
      </c>
    </row>
    <row r="830">
      <c r="A830" s="26" t="n"/>
      <c r="B830" s="26" t="n"/>
      <c r="C830" s="26" t="n"/>
      <c r="D830" s="26" t="n"/>
      <c r="E830" s="26" t="n"/>
      <c r="F830" s="26" t="n"/>
      <c r="G830" s="26" t="n"/>
      <c r="H830" s="30">
        <f>IF(A830="","",COUNTIF('Access'!$A$4:$A$1503,A830))</f>
        <v/>
      </c>
      <c r="I830" s="30">
        <f t="array" ref="I830">IF(A830="","",_xlfn.TEXTJOIN(", ",TRUE,IF(('Companies'!$A$4:$A$63&lt;&gt;"")*(COUNTIFS('Access'!$A$4:$A$1503,A830,'Access'!$F$4:$F$1503,"*"&amp;'Companies'!$A$4:$A$63&amp;"*")&gt;0),'Companies'!$A$4:$A$63,"")))</f>
        <v/>
      </c>
      <c r="J830" s="30">
        <f>IF(A830="","",IF(COUNTIF($A$4:$A$1003,A830)&gt;1,"Duplicate email",IF(ISERROR(FIND("@",A830)),"Not an email address",IF(AND(H830=0,E830=""),"Investor without holders","OK"))))</f>
        <v/>
      </c>
    </row>
    <row r="831">
      <c r="A831" s="26" t="n"/>
      <c r="B831" s="26" t="n"/>
      <c r="C831" s="26" t="n"/>
      <c r="D831" s="26" t="n"/>
      <c r="E831" s="26" t="n"/>
      <c r="F831" s="26" t="n"/>
      <c r="G831" s="26" t="n"/>
      <c r="H831" s="30">
        <f>IF(A831="","",COUNTIF('Access'!$A$4:$A$1503,A831))</f>
        <v/>
      </c>
      <c r="I831" s="30">
        <f t="array" ref="I831">IF(A831="","",_xlfn.TEXTJOIN(", ",TRUE,IF(('Companies'!$A$4:$A$63&lt;&gt;"")*(COUNTIFS('Access'!$A$4:$A$1503,A831,'Access'!$F$4:$F$1503,"*"&amp;'Companies'!$A$4:$A$63&amp;"*")&gt;0),'Companies'!$A$4:$A$63,"")))</f>
        <v/>
      </c>
      <c r="J831" s="30">
        <f>IF(A831="","",IF(COUNTIF($A$4:$A$1003,A831)&gt;1,"Duplicate email",IF(ISERROR(FIND("@",A831)),"Not an email address",IF(AND(H831=0,E831=""),"Investor without holders","OK"))))</f>
        <v/>
      </c>
    </row>
    <row r="832">
      <c r="A832" s="26" t="n"/>
      <c r="B832" s="26" t="n"/>
      <c r="C832" s="26" t="n"/>
      <c r="D832" s="26" t="n"/>
      <c r="E832" s="26" t="n"/>
      <c r="F832" s="26" t="n"/>
      <c r="G832" s="26" t="n"/>
      <c r="H832" s="30">
        <f>IF(A832="","",COUNTIF('Access'!$A$4:$A$1503,A832))</f>
        <v/>
      </c>
      <c r="I832" s="30">
        <f t="array" ref="I832">IF(A832="","",_xlfn.TEXTJOIN(", ",TRUE,IF(('Companies'!$A$4:$A$63&lt;&gt;"")*(COUNTIFS('Access'!$A$4:$A$1503,A832,'Access'!$F$4:$F$1503,"*"&amp;'Companies'!$A$4:$A$63&amp;"*")&gt;0),'Companies'!$A$4:$A$63,"")))</f>
        <v/>
      </c>
      <c r="J832" s="30">
        <f>IF(A832="","",IF(COUNTIF($A$4:$A$1003,A832)&gt;1,"Duplicate email",IF(ISERROR(FIND("@",A832)),"Not an email address",IF(AND(H832=0,E832=""),"Investor without holders","OK"))))</f>
        <v/>
      </c>
    </row>
    <row r="833">
      <c r="A833" s="26" t="n"/>
      <c r="B833" s="26" t="n"/>
      <c r="C833" s="26" t="n"/>
      <c r="D833" s="26" t="n"/>
      <c r="E833" s="26" t="n"/>
      <c r="F833" s="26" t="n"/>
      <c r="G833" s="26" t="n"/>
      <c r="H833" s="30">
        <f>IF(A833="","",COUNTIF('Access'!$A$4:$A$1503,A833))</f>
        <v/>
      </c>
      <c r="I833" s="30">
        <f t="array" ref="I833">IF(A833="","",_xlfn.TEXTJOIN(", ",TRUE,IF(('Companies'!$A$4:$A$63&lt;&gt;"")*(COUNTIFS('Access'!$A$4:$A$1503,A833,'Access'!$F$4:$F$1503,"*"&amp;'Companies'!$A$4:$A$63&amp;"*")&gt;0),'Companies'!$A$4:$A$63,"")))</f>
        <v/>
      </c>
      <c r="J833" s="30">
        <f>IF(A833="","",IF(COUNTIF($A$4:$A$1003,A833)&gt;1,"Duplicate email",IF(ISERROR(FIND("@",A833)),"Not an email address",IF(AND(H833=0,E833=""),"Investor without holders","OK"))))</f>
        <v/>
      </c>
    </row>
    <row r="834">
      <c r="A834" s="26" t="n"/>
      <c r="B834" s="26" t="n"/>
      <c r="C834" s="26" t="n"/>
      <c r="D834" s="26" t="n"/>
      <c r="E834" s="26" t="n"/>
      <c r="F834" s="26" t="n"/>
      <c r="G834" s="26" t="n"/>
      <c r="H834" s="30">
        <f>IF(A834="","",COUNTIF('Access'!$A$4:$A$1503,A834))</f>
        <v/>
      </c>
      <c r="I834" s="30">
        <f t="array" ref="I834">IF(A834="","",_xlfn.TEXTJOIN(", ",TRUE,IF(('Companies'!$A$4:$A$63&lt;&gt;"")*(COUNTIFS('Access'!$A$4:$A$1503,A834,'Access'!$F$4:$F$1503,"*"&amp;'Companies'!$A$4:$A$63&amp;"*")&gt;0),'Companies'!$A$4:$A$63,"")))</f>
        <v/>
      </c>
      <c r="J834" s="30">
        <f>IF(A834="","",IF(COUNTIF($A$4:$A$1003,A834)&gt;1,"Duplicate email",IF(ISERROR(FIND("@",A834)),"Not an email address",IF(AND(H834=0,E834=""),"Investor without holders","OK"))))</f>
        <v/>
      </c>
    </row>
    <row r="835">
      <c r="A835" s="26" t="n"/>
      <c r="B835" s="26" t="n"/>
      <c r="C835" s="26" t="n"/>
      <c r="D835" s="26" t="n"/>
      <c r="E835" s="26" t="n"/>
      <c r="F835" s="26" t="n"/>
      <c r="G835" s="26" t="n"/>
      <c r="H835" s="30">
        <f>IF(A835="","",COUNTIF('Access'!$A$4:$A$1503,A835))</f>
        <v/>
      </c>
      <c r="I835" s="30">
        <f t="array" ref="I835">IF(A835="","",_xlfn.TEXTJOIN(", ",TRUE,IF(('Companies'!$A$4:$A$63&lt;&gt;"")*(COUNTIFS('Access'!$A$4:$A$1503,A835,'Access'!$F$4:$F$1503,"*"&amp;'Companies'!$A$4:$A$63&amp;"*")&gt;0),'Companies'!$A$4:$A$63,"")))</f>
        <v/>
      </c>
      <c r="J835" s="30">
        <f>IF(A835="","",IF(COUNTIF($A$4:$A$1003,A835)&gt;1,"Duplicate email",IF(ISERROR(FIND("@",A835)),"Not an email address",IF(AND(H835=0,E835=""),"Investor without holders","OK"))))</f>
        <v/>
      </c>
    </row>
    <row r="836">
      <c r="A836" s="26" t="n"/>
      <c r="B836" s="26" t="n"/>
      <c r="C836" s="26" t="n"/>
      <c r="D836" s="26" t="n"/>
      <c r="E836" s="26" t="n"/>
      <c r="F836" s="26" t="n"/>
      <c r="G836" s="26" t="n"/>
      <c r="H836" s="30">
        <f>IF(A836="","",COUNTIF('Access'!$A$4:$A$1503,A836))</f>
        <v/>
      </c>
      <c r="I836" s="30">
        <f t="array" ref="I836">IF(A836="","",_xlfn.TEXTJOIN(", ",TRUE,IF(('Companies'!$A$4:$A$63&lt;&gt;"")*(COUNTIFS('Access'!$A$4:$A$1503,A836,'Access'!$F$4:$F$1503,"*"&amp;'Companies'!$A$4:$A$63&amp;"*")&gt;0),'Companies'!$A$4:$A$63,"")))</f>
        <v/>
      </c>
      <c r="J836" s="30">
        <f>IF(A836="","",IF(COUNTIF($A$4:$A$1003,A836)&gt;1,"Duplicate email",IF(ISERROR(FIND("@",A836)),"Not an email address",IF(AND(H836=0,E836=""),"Investor without holders","OK"))))</f>
        <v/>
      </c>
    </row>
    <row r="837">
      <c r="A837" s="26" t="n"/>
      <c r="B837" s="26" t="n"/>
      <c r="C837" s="26" t="n"/>
      <c r="D837" s="26" t="n"/>
      <c r="E837" s="26" t="n"/>
      <c r="F837" s="26" t="n"/>
      <c r="G837" s="26" t="n"/>
      <c r="H837" s="30">
        <f>IF(A837="","",COUNTIF('Access'!$A$4:$A$1503,A837))</f>
        <v/>
      </c>
      <c r="I837" s="30">
        <f t="array" ref="I837">IF(A837="","",_xlfn.TEXTJOIN(", ",TRUE,IF(('Companies'!$A$4:$A$63&lt;&gt;"")*(COUNTIFS('Access'!$A$4:$A$1503,A837,'Access'!$F$4:$F$1503,"*"&amp;'Companies'!$A$4:$A$63&amp;"*")&gt;0),'Companies'!$A$4:$A$63,"")))</f>
        <v/>
      </c>
      <c r="J837" s="30">
        <f>IF(A837="","",IF(COUNTIF($A$4:$A$1003,A837)&gt;1,"Duplicate email",IF(ISERROR(FIND("@",A837)),"Not an email address",IF(AND(H837=0,E837=""),"Investor without holders","OK"))))</f>
        <v/>
      </c>
    </row>
    <row r="838">
      <c r="A838" s="26" t="n"/>
      <c r="B838" s="26" t="n"/>
      <c r="C838" s="26" t="n"/>
      <c r="D838" s="26" t="n"/>
      <c r="E838" s="26" t="n"/>
      <c r="F838" s="26" t="n"/>
      <c r="G838" s="26" t="n"/>
      <c r="H838" s="30">
        <f>IF(A838="","",COUNTIF('Access'!$A$4:$A$1503,A838))</f>
        <v/>
      </c>
      <c r="I838" s="30">
        <f t="array" ref="I838">IF(A838="","",_xlfn.TEXTJOIN(", ",TRUE,IF(('Companies'!$A$4:$A$63&lt;&gt;"")*(COUNTIFS('Access'!$A$4:$A$1503,A838,'Access'!$F$4:$F$1503,"*"&amp;'Companies'!$A$4:$A$63&amp;"*")&gt;0),'Companies'!$A$4:$A$63,"")))</f>
        <v/>
      </c>
      <c r="J838" s="30">
        <f>IF(A838="","",IF(COUNTIF($A$4:$A$1003,A838)&gt;1,"Duplicate email",IF(ISERROR(FIND("@",A838)),"Not an email address",IF(AND(H838=0,E838=""),"Investor without holders","OK"))))</f>
        <v/>
      </c>
    </row>
    <row r="839">
      <c r="A839" s="26" t="n"/>
      <c r="B839" s="26" t="n"/>
      <c r="C839" s="26" t="n"/>
      <c r="D839" s="26" t="n"/>
      <c r="E839" s="26" t="n"/>
      <c r="F839" s="26" t="n"/>
      <c r="G839" s="26" t="n"/>
      <c r="H839" s="30">
        <f>IF(A839="","",COUNTIF('Access'!$A$4:$A$1503,A839))</f>
        <v/>
      </c>
      <c r="I839" s="30">
        <f t="array" ref="I839">IF(A839="","",_xlfn.TEXTJOIN(", ",TRUE,IF(('Companies'!$A$4:$A$63&lt;&gt;"")*(COUNTIFS('Access'!$A$4:$A$1503,A839,'Access'!$F$4:$F$1503,"*"&amp;'Companies'!$A$4:$A$63&amp;"*")&gt;0),'Companies'!$A$4:$A$63,"")))</f>
        <v/>
      </c>
      <c r="J839" s="30">
        <f>IF(A839="","",IF(COUNTIF($A$4:$A$1003,A839)&gt;1,"Duplicate email",IF(ISERROR(FIND("@",A839)),"Not an email address",IF(AND(H839=0,E839=""),"Investor without holders","OK"))))</f>
        <v/>
      </c>
    </row>
    <row r="840">
      <c r="A840" s="26" t="n"/>
      <c r="B840" s="26" t="n"/>
      <c r="C840" s="26" t="n"/>
      <c r="D840" s="26" t="n"/>
      <c r="E840" s="26" t="n"/>
      <c r="F840" s="26" t="n"/>
      <c r="G840" s="26" t="n"/>
      <c r="H840" s="30">
        <f>IF(A840="","",COUNTIF('Access'!$A$4:$A$1503,A840))</f>
        <v/>
      </c>
      <c r="I840" s="30">
        <f t="array" ref="I840">IF(A840="","",_xlfn.TEXTJOIN(", ",TRUE,IF(('Companies'!$A$4:$A$63&lt;&gt;"")*(COUNTIFS('Access'!$A$4:$A$1503,A840,'Access'!$F$4:$F$1503,"*"&amp;'Companies'!$A$4:$A$63&amp;"*")&gt;0),'Companies'!$A$4:$A$63,"")))</f>
        <v/>
      </c>
      <c r="J840" s="30">
        <f>IF(A840="","",IF(COUNTIF($A$4:$A$1003,A840)&gt;1,"Duplicate email",IF(ISERROR(FIND("@",A840)),"Not an email address",IF(AND(H840=0,E840=""),"Investor without holders","OK"))))</f>
        <v/>
      </c>
    </row>
    <row r="841">
      <c r="A841" s="26" t="n"/>
      <c r="B841" s="26" t="n"/>
      <c r="C841" s="26" t="n"/>
      <c r="D841" s="26" t="n"/>
      <c r="E841" s="26" t="n"/>
      <c r="F841" s="26" t="n"/>
      <c r="G841" s="26" t="n"/>
      <c r="H841" s="30">
        <f>IF(A841="","",COUNTIF('Access'!$A$4:$A$1503,A841))</f>
        <v/>
      </c>
      <c r="I841" s="30">
        <f t="array" ref="I841">IF(A841="","",_xlfn.TEXTJOIN(", ",TRUE,IF(('Companies'!$A$4:$A$63&lt;&gt;"")*(COUNTIFS('Access'!$A$4:$A$1503,A841,'Access'!$F$4:$F$1503,"*"&amp;'Companies'!$A$4:$A$63&amp;"*")&gt;0),'Companies'!$A$4:$A$63,"")))</f>
        <v/>
      </c>
      <c r="J841" s="30">
        <f>IF(A841="","",IF(COUNTIF($A$4:$A$1003,A841)&gt;1,"Duplicate email",IF(ISERROR(FIND("@",A841)),"Not an email address",IF(AND(H841=0,E841=""),"Investor without holders","OK"))))</f>
        <v/>
      </c>
    </row>
    <row r="842">
      <c r="A842" s="26" t="n"/>
      <c r="B842" s="26" t="n"/>
      <c r="C842" s="26" t="n"/>
      <c r="D842" s="26" t="n"/>
      <c r="E842" s="26" t="n"/>
      <c r="F842" s="26" t="n"/>
      <c r="G842" s="26" t="n"/>
      <c r="H842" s="30">
        <f>IF(A842="","",COUNTIF('Access'!$A$4:$A$1503,A842))</f>
        <v/>
      </c>
      <c r="I842" s="30">
        <f t="array" ref="I842">IF(A842="","",_xlfn.TEXTJOIN(", ",TRUE,IF(('Companies'!$A$4:$A$63&lt;&gt;"")*(COUNTIFS('Access'!$A$4:$A$1503,A842,'Access'!$F$4:$F$1503,"*"&amp;'Companies'!$A$4:$A$63&amp;"*")&gt;0),'Companies'!$A$4:$A$63,"")))</f>
        <v/>
      </c>
      <c r="J842" s="30">
        <f>IF(A842="","",IF(COUNTIF($A$4:$A$1003,A842)&gt;1,"Duplicate email",IF(ISERROR(FIND("@",A842)),"Not an email address",IF(AND(H842=0,E842=""),"Investor without holders","OK"))))</f>
        <v/>
      </c>
    </row>
    <row r="843">
      <c r="A843" s="26" t="n"/>
      <c r="B843" s="26" t="n"/>
      <c r="C843" s="26" t="n"/>
      <c r="D843" s="26" t="n"/>
      <c r="E843" s="26" t="n"/>
      <c r="F843" s="26" t="n"/>
      <c r="G843" s="26" t="n"/>
      <c r="H843" s="30">
        <f>IF(A843="","",COUNTIF('Access'!$A$4:$A$1503,A843))</f>
        <v/>
      </c>
      <c r="I843" s="30">
        <f t="array" ref="I843">IF(A843="","",_xlfn.TEXTJOIN(", ",TRUE,IF(('Companies'!$A$4:$A$63&lt;&gt;"")*(COUNTIFS('Access'!$A$4:$A$1503,A843,'Access'!$F$4:$F$1503,"*"&amp;'Companies'!$A$4:$A$63&amp;"*")&gt;0),'Companies'!$A$4:$A$63,"")))</f>
        <v/>
      </c>
      <c r="J843" s="30">
        <f>IF(A843="","",IF(COUNTIF($A$4:$A$1003,A843)&gt;1,"Duplicate email",IF(ISERROR(FIND("@",A843)),"Not an email address",IF(AND(H843=0,E843=""),"Investor without holders","OK"))))</f>
        <v/>
      </c>
    </row>
    <row r="844">
      <c r="A844" s="26" t="n"/>
      <c r="B844" s="26" t="n"/>
      <c r="C844" s="26" t="n"/>
      <c r="D844" s="26" t="n"/>
      <c r="E844" s="26" t="n"/>
      <c r="F844" s="26" t="n"/>
      <c r="G844" s="26" t="n"/>
      <c r="H844" s="30">
        <f>IF(A844="","",COUNTIF('Access'!$A$4:$A$1503,A844))</f>
        <v/>
      </c>
      <c r="I844" s="30">
        <f t="array" ref="I844">IF(A844="","",_xlfn.TEXTJOIN(", ",TRUE,IF(('Companies'!$A$4:$A$63&lt;&gt;"")*(COUNTIFS('Access'!$A$4:$A$1503,A844,'Access'!$F$4:$F$1503,"*"&amp;'Companies'!$A$4:$A$63&amp;"*")&gt;0),'Companies'!$A$4:$A$63,"")))</f>
        <v/>
      </c>
      <c r="J844" s="30">
        <f>IF(A844="","",IF(COUNTIF($A$4:$A$1003,A844)&gt;1,"Duplicate email",IF(ISERROR(FIND("@",A844)),"Not an email address",IF(AND(H844=0,E844=""),"Investor without holders","OK"))))</f>
        <v/>
      </c>
    </row>
    <row r="845">
      <c r="A845" s="26" t="n"/>
      <c r="B845" s="26" t="n"/>
      <c r="C845" s="26" t="n"/>
      <c r="D845" s="26" t="n"/>
      <c r="E845" s="26" t="n"/>
      <c r="F845" s="26" t="n"/>
      <c r="G845" s="26" t="n"/>
      <c r="H845" s="30">
        <f>IF(A845="","",COUNTIF('Access'!$A$4:$A$1503,A845))</f>
        <v/>
      </c>
      <c r="I845" s="30">
        <f t="array" ref="I845">IF(A845="","",_xlfn.TEXTJOIN(", ",TRUE,IF(('Companies'!$A$4:$A$63&lt;&gt;"")*(COUNTIFS('Access'!$A$4:$A$1503,A845,'Access'!$F$4:$F$1503,"*"&amp;'Companies'!$A$4:$A$63&amp;"*")&gt;0),'Companies'!$A$4:$A$63,"")))</f>
        <v/>
      </c>
      <c r="J845" s="30">
        <f>IF(A845="","",IF(COUNTIF($A$4:$A$1003,A845)&gt;1,"Duplicate email",IF(ISERROR(FIND("@",A845)),"Not an email address",IF(AND(H845=0,E845=""),"Investor without holders","OK"))))</f>
        <v/>
      </c>
    </row>
    <row r="846">
      <c r="A846" s="26" t="n"/>
      <c r="B846" s="26" t="n"/>
      <c r="C846" s="26" t="n"/>
      <c r="D846" s="26" t="n"/>
      <c r="E846" s="26" t="n"/>
      <c r="F846" s="26" t="n"/>
      <c r="G846" s="26" t="n"/>
      <c r="H846" s="30">
        <f>IF(A846="","",COUNTIF('Access'!$A$4:$A$1503,A846))</f>
        <v/>
      </c>
      <c r="I846" s="30">
        <f t="array" ref="I846">IF(A846="","",_xlfn.TEXTJOIN(", ",TRUE,IF(('Companies'!$A$4:$A$63&lt;&gt;"")*(COUNTIFS('Access'!$A$4:$A$1503,A846,'Access'!$F$4:$F$1503,"*"&amp;'Companies'!$A$4:$A$63&amp;"*")&gt;0),'Companies'!$A$4:$A$63,"")))</f>
        <v/>
      </c>
      <c r="J846" s="30">
        <f>IF(A846="","",IF(COUNTIF($A$4:$A$1003,A846)&gt;1,"Duplicate email",IF(ISERROR(FIND("@",A846)),"Not an email address",IF(AND(H846=0,E846=""),"Investor without holders","OK"))))</f>
        <v/>
      </c>
    </row>
    <row r="847">
      <c r="A847" s="26" t="n"/>
      <c r="B847" s="26" t="n"/>
      <c r="C847" s="26" t="n"/>
      <c r="D847" s="26" t="n"/>
      <c r="E847" s="26" t="n"/>
      <c r="F847" s="26" t="n"/>
      <c r="G847" s="26" t="n"/>
      <c r="H847" s="30">
        <f>IF(A847="","",COUNTIF('Access'!$A$4:$A$1503,A847))</f>
        <v/>
      </c>
      <c r="I847" s="30">
        <f t="array" ref="I847">IF(A847="","",_xlfn.TEXTJOIN(", ",TRUE,IF(('Companies'!$A$4:$A$63&lt;&gt;"")*(COUNTIFS('Access'!$A$4:$A$1503,A847,'Access'!$F$4:$F$1503,"*"&amp;'Companies'!$A$4:$A$63&amp;"*")&gt;0),'Companies'!$A$4:$A$63,"")))</f>
        <v/>
      </c>
      <c r="J847" s="30">
        <f>IF(A847="","",IF(COUNTIF($A$4:$A$1003,A847)&gt;1,"Duplicate email",IF(ISERROR(FIND("@",A847)),"Not an email address",IF(AND(H847=0,E847=""),"Investor without holders","OK"))))</f>
        <v/>
      </c>
    </row>
    <row r="848">
      <c r="A848" s="26" t="n"/>
      <c r="B848" s="26" t="n"/>
      <c r="C848" s="26" t="n"/>
      <c r="D848" s="26" t="n"/>
      <c r="E848" s="26" t="n"/>
      <c r="F848" s="26" t="n"/>
      <c r="G848" s="26" t="n"/>
      <c r="H848" s="30">
        <f>IF(A848="","",COUNTIF('Access'!$A$4:$A$1503,A848))</f>
        <v/>
      </c>
      <c r="I848" s="30">
        <f t="array" ref="I848">IF(A848="","",_xlfn.TEXTJOIN(", ",TRUE,IF(('Companies'!$A$4:$A$63&lt;&gt;"")*(COUNTIFS('Access'!$A$4:$A$1503,A848,'Access'!$F$4:$F$1503,"*"&amp;'Companies'!$A$4:$A$63&amp;"*")&gt;0),'Companies'!$A$4:$A$63,"")))</f>
        <v/>
      </c>
      <c r="J848" s="30">
        <f>IF(A848="","",IF(COUNTIF($A$4:$A$1003,A848)&gt;1,"Duplicate email",IF(ISERROR(FIND("@",A848)),"Not an email address",IF(AND(H848=0,E848=""),"Investor without holders","OK"))))</f>
        <v/>
      </c>
    </row>
    <row r="849">
      <c r="A849" s="26" t="n"/>
      <c r="B849" s="26" t="n"/>
      <c r="C849" s="26" t="n"/>
      <c r="D849" s="26" t="n"/>
      <c r="E849" s="26" t="n"/>
      <c r="F849" s="26" t="n"/>
      <c r="G849" s="26" t="n"/>
      <c r="H849" s="30">
        <f>IF(A849="","",COUNTIF('Access'!$A$4:$A$1503,A849))</f>
        <v/>
      </c>
      <c r="I849" s="30">
        <f t="array" ref="I849">IF(A849="","",_xlfn.TEXTJOIN(", ",TRUE,IF(('Companies'!$A$4:$A$63&lt;&gt;"")*(COUNTIFS('Access'!$A$4:$A$1503,A849,'Access'!$F$4:$F$1503,"*"&amp;'Companies'!$A$4:$A$63&amp;"*")&gt;0),'Companies'!$A$4:$A$63,"")))</f>
        <v/>
      </c>
      <c r="J849" s="30">
        <f>IF(A849="","",IF(COUNTIF($A$4:$A$1003,A849)&gt;1,"Duplicate email",IF(ISERROR(FIND("@",A849)),"Not an email address",IF(AND(H849=0,E849=""),"Investor without holders","OK"))))</f>
        <v/>
      </c>
    </row>
    <row r="850">
      <c r="A850" s="26" t="n"/>
      <c r="B850" s="26" t="n"/>
      <c r="C850" s="26" t="n"/>
      <c r="D850" s="26" t="n"/>
      <c r="E850" s="26" t="n"/>
      <c r="F850" s="26" t="n"/>
      <c r="G850" s="26" t="n"/>
      <c r="H850" s="30">
        <f>IF(A850="","",COUNTIF('Access'!$A$4:$A$1503,A850))</f>
        <v/>
      </c>
      <c r="I850" s="30">
        <f t="array" ref="I850">IF(A850="","",_xlfn.TEXTJOIN(", ",TRUE,IF(('Companies'!$A$4:$A$63&lt;&gt;"")*(COUNTIFS('Access'!$A$4:$A$1503,A850,'Access'!$F$4:$F$1503,"*"&amp;'Companies'!$A$4:$A$63&amp;"*")&gt;0),'Companies'!$A$4:$A$63,"")))</f>
        <v/>
      </c>
      <c r="J850" s="30">
        <f>IF(A850="","",IF(COUNTIF($A$4:$A$1003,A850)&gt;1,"Duplicate email",IF(ISERROR(FIND("@",A850)),"Not an email address",IF(AND(H850=0,E850=""),"Investor without holders","OK"))))</f>
        <v/>
      </c>
    </row>
    <row r="851">
      <c r="A851" s="26" t="n"/>
      <c r="B851" s="26" t="n"/>
      <c r="C851" s="26" t="n"/>
      <c r="D851" s="26" t="n"/>
      <c r="E851" s="26" t="n"/>
      <c r="F851" s="26" t="n"/>
      <c r="G851" s="26" t="n"/>
      <c r="H851" s="30">
        <f>IF(A851="","",COUNTIF('Access'!$A$4:$A$1503,A851))</f>
        <v/>
      </c>
      <c r="I851" s="30">
        <f t="array" ref="I851">IF(A851="","",_xlfn.TEXTJOIN(", ",TRUE,IF(('Companies'!$A$4:$A$63&lt;&gt;"")*(COUNTIFS('Access'!$A$4:$A$1503,A851,'Access'!$F$4:$F$1503,"*"&amp;'Companies'!$A$4:$A$63&amp;"*")&gt;0),'Companies'!$A$4:$A$63,"")))</f>
        <v/>
      </c>
      <c r="J851" s="30">
        <f>IF(A851="","",IF(COUNTIF($A$4:$A$1003,A851)&gt;1,"Duplicate email",IF(ISERROR(FIND("@",A851)),"Not an email address",IF(AND(H851=0,E851=""),"Investor without holders","OK"))))</f>
        <v/>
      </c>
    </row>
    <row r="852">
      <c r="A852" s="26" t="n"/>
      <c r="B852" s="26" t="n"/>
      <c r="C852" s="26" t="n"/>
      <c r="D852" s="26" t="n"/>
      <c r="E852" s="26" t="n"/>
      <c r="F852" s="26" t="n"/>
      <c r="G852" s="26" t="n"/>
      <c r="H852" s="30">
        <f>IF(A852="","",COUNTIF('Access'!$A$4:$A$1503,A852))</f>
        <v/>
      </c>
      <c r="I852" s="30">
        <f t="array" ref="I852">IF(A852="","",_xlfn.TEXTJOIN(", ",TRUE,IF(('Companies'!$A$4:$A$63&lt;&gt;"")*(COUNTIFS('Access'!$A$4:$A$1503,A852,'Access'!$F$4:$F$1503,"*"&amp;'Companies'!$A$4:$A$63&amp;"*")&gt;0),'Companies'!$A$4:$A$63,"")))</f>
        <v/>
      </c>
      <c r="J852" s="30">
        <f>IF(A852="","",IF(COUNTIF($A$4:$A$1003,A852)&gt;1,"Duplicate email",IF(ISERROR(FIND("@",A852)),"Not an email address",IF(AND(H852=0,E852=""),"Investor without holders","OK"))))</f>
        <v/>
      </c>
    </row>
    <row r="853">
      <c r="A853" s="26" t="n"/>
      <c r="B853" s="26" t="n"/>
      <c r="C853" s="26" t="n"/>
      <c r="D853" s="26" t="n"/>
      <c r="E853" s="26" t="n"/>
      <c r="F853" s="26" t="n"/>
      <c r="G853" s="26" t="n"/>
      <c r="H853" s="30">
        <f>IF(A853="","",COUNTIF('Access'!$A$4:$A$1503,A853))</f>
        <v/>
      </c>
      <c r="I853" s="30">
        <f t="array" ref="I853">IF(A853="","",_xlfn.TEXTJOIN(", ",TRUE,IF(('Companies'!$A$4:$A$63&lt;&gt;"")*(COUNTIFS('Access'!$A$4:$A$1503,A853,'Access'!$F$4:$F$1503,"*"&amp;'Companies'!$A$4:$A$63&amp;"*")&gt;0),'Companies'!$A$4:$A$63,"")))</f>
        <v/>
      </c>
      <c r="J853" s="30">
        <f>IF(A853="","",IF(COUNTIF($A$4:$A$1003,A853)&gt;1,"Duplicate email",IF(ISERROR(FIND("@",A853)),"Not an email address",IF(AND(H853=0,E853=""),"Investor without holders","OK"))))</f>
        <v/>
      </c>
    </row>
    <row r="854">
      <c r="A854" s="26" t="n"/>
      <c r="B854" s="26" t="n"/>
      <c r="C854" s="26" t="n"/>
      <c r="D854" s="26" t="n"/>
      <c r="E854" s="26" t="n"/>
      <c r="F854" s="26" t="n"/>
      <c r="G854" s="26" t="n"/>
      <c r="H854" s="30">
        <f>IF(A854="","",COUNTIF('Access'!$A$4:$A$1503,A854))</f>
        <v/>
      </c>
      <c r="I854" s="30">
        <f t="array" ref="I854">IF(A854="","",_xlfn.TEXTJOIN(", ",TRUE,IF(('Companies'!$A$4:$A$63&lt;&gt;"")*(COUNTIFS('Access'!$A$4:$A$1503,A854,'Access'!$F$4:$F$1503,"*"&amp;'Companies'!$A$4:$A$63&amp;"*")&gt;0),'Companies'!$A$4:$A$63,"")))</f>
        <v/>
      </c>
      <c r="J854" s="30">
        <f>IF(A854="","",IF(COUNTIF($A$4:$A$1003,A854)&gt;1,"Duplicate email",IF(ISERROR(FIND("@",A854)),"Not an email address",IF(AND(H854=0,E854=""),"Investor without holders","OK"))))</f>
        <v/>
      </c>
    </row>
    <row r="855">
      <c r="A855" s="26" t="n"/>
      <c r="B855" s="26" t="n"/>
      <c r="C855" s="26" t="n"/>
      <c r="D855" s="26" t="n"/>
      <c r="E855" s="26" t="n"/>
      <c r="F855" s="26" t="n"/>
      <c r="G855" s="26" t="n"/>
      <c r="H855" s="30">
        <f>IF(A855="","",COUNTIF('Access'!$A$4:$A$1503,A855))</f>
        <v/>
      </c>
      <c r="I855" s="30">
        <f t="array" ref="I855">IF(A855="","",_xlfn.TEXTJOIN(", ",TRUE,IF(('Companies'!$A$4:$A$63&lt;&gt;"")*(COUNTIFS('Access'!$A$4:$A$1503,A855,'Access'!$F$4:$F$1503,"*"&amp;'Companies'!$A$4:$A$63&amp;"*")&gt;0),'Companies'!$A$4:$A$63,"")))</f>
        <v/>
      </c>
      <c r="J855" s="30">
        <f>IF(A855="","",IF(COUNTIF($A$4:$A$1003,A855)&gt;1,"Duplicate email",IF(ISERROR(FIND("@",A855)),"Not an email address",IF(AND(H855=0,E855=""),"Investor without holders","OK"))))</f>
        <v/>
      </c>
    </row>
    <row r="856">
      <c r="A856" s="26" t="n"/>
      <c r="B856" s="26" t="n"/>
      <c r="C856" s="26" t="n"/>
      <c r="D856" s="26" t="n"/>
      <c r="E856" s="26" t="n"/>
      <c r="F856" s="26" t="n"/>
      <c r="G856" s="26" t="n"/>
      <c r="H856" s="30">
        <f>IF(A856="","",COUNTIF('Access'!$A$4:$A$1503,A856))</f>
        <v/>
      </c>
      <c r="I856" s="30">
        <f t="array" ref="I856">IF(A856="","",_xlfn.TEXTJOIN(", ",TRUE,IF(('Companies'!$A$4:$A$63&lt;&gt;"")*(COUNTIFS('Access'!$A$4:$A$1503,A856,'Access'!$F$4:$F$1503,"*"&amp;'Companies'!$A$4:$A$63&amp;"*")&gt;0),'Companies'!$A$4:$A$63,"")))</f>
        <v/>
      </c>
      <c r="J856" s="30">
        <f>IF(A856="","",IF(COUNTIF($A$4:$A$1003,A856)&gt;1,"Duplicate email",IF(ISERROR(FIND("@",A856)),"Not an email address",IF(AND(H856=0,E856=""),"Investor without holders","OK"))))</f>
        <v/>
      </c>
    </row>
    <row r="857">
      <c r="A857" s="26" t="n"/>
      <c r="B857" s="26" t="n"/>
      <c r="C857" s="26" t="n"/>
      <c r="D857" s="26" t="n"/>
      <c r="E857" s="26" t="n"/>
      <c r="F857" s="26" t="n"/>
      <c r="G857" s="26" t="n"/>
      <c r="H857" s="30">
        <f>IF(A857="","",COUNTIF('Access'!$A$4:$A$1503,A857))</f>
        <v/>
      </c>
      <c r="I857" s="30">
        <f t="array" ref="I857">IF(A857="","",_xlfn.TEXTJOIN(", ",TRUE,IF(('Companies'!$A$4:$A$63&lt;&gt;"")*(COUNTIFS('Access'!$A$4:$A$1503,A857,'Access'!$F$4:$F$1503,"*"&amp;'Companies'!$A$4:$A$63&amp;"*")&gt;0),'Companies'!$A$4:$A$63,"")))</f>
        <v/>
      </c>
      <c r="J857" s="30">
        <f>IF(A857="","",IF(COUNTIF($A$4:$A$1003,A857)&gt;1,"Duplicate email",IF(ISERROR(FIND("@",A857)),"Not an email address",IF(AND(H857=0,E857=""),"Investor without holders","OK"))))</f>
        <v/>
      </c>
    </row>
    <row r="858">
      <c r="A858" s="26" t="n"/>
      <c r="B858" s="26" t="n"/>
      <c r="C858" s="26" t="n"/>
      <c r="D858" s="26" t="n"/>
      <c r="E858" s="26" t="n"/>
      <c r="F858" s="26" t="n"/>
      <c r="G858" s="26" t="n"/>
      <c r="H858" s="30">
        <f>IF(A858="","",COUNTIF('Access'!$A$4:$A$1503,A858))</f>
        <v/>
      </c>
      <c r="I858" s="30">
        <f t="array" ref="I858">IF(A858="","",_xlfn.TEXTJOIN(", ",TRUE,IF(('Companies'!$A$4:$A$63&lt;&gt;"")*(COUNTIFS('Access'!$A$4:$A$1503,A858,'Access'!$F$4:$F$1503,"*"&amp;'Companies'!$A$4:$A$63&amp;"*")&gt;0),'Companies'!$A$4:$A$63,"")))</f>
        <v/>
      </c>
      <c r="J858" s="30">
        <f>IF(A858="","",IF(COUNTIF($A$4:$A$1003,A858)&gt;1,"Duplicate email",IF(ISERROR(FIND("@",A858)),"Not an email address",IF(AND(H858=0,E858=""),"Investor without holders","OK"))))</f>
        <v/>
      </c>
    </row>
    <row r="859">
      <c r="A859" s="26" t="n"/>
      <c r="B859" s="26" t="n"/>
      <c r="C859" s="26" t="n"/>
      <c r="D859" s="26" t="n"/>
      <c r="E859" s="26" t="n"/>
      <c r="F859" s="26" t="n"/>
      <c r="G859" s="26" t="n"/>
      <c r="H859" s="30">
        <f>IF(A859="","",COUNTIF('Access'!$A$4:$A$1503,A859))</f>
        <v/>
      </c>
      <c r="I859" s="30">
        <f t="array" ref="I859">IF(A859="","",_xlfn.TEXTJOIN(", ",TRUE,IF(('Companies'!$A$4:$A$63&lt;&gt;"")*(COUNTIFS('Access'!$A$4:$A$1503,A859,'Access'!$F$4:$F$1503,"*"&amp;'Companies'!$A$4:$A$63&amp;"*")&gt;0),'Companies'!$A$4:$A$63,"")))</f>
        <v/>
      </c>
      <c r="J859" s="30">
        <f>IF(A859="","",IF(COUNTIF($A$4:$A$1003,A859)&gt;1,"Duplicate email",IF(ISERROR(FIND("@",A859)),"Not an email address",IF(AND(H859=0,E859=""),"Investor without holders","OK"))))</f>
        <v/>
      </c>
    </row>
    <row r="860">
      <c r="A860" s="26" t="n"/>
      <c r="B860" s="26" t="n"/>
      <c r="C860" s="26" t="n"/>
      <c r="D860" s="26" t="n"/>
      <c r="E860" s="26" t="n"/>
      <c r="F860" s="26" t="n"/>
      <c r="G860" s="26" t="n"/>
      <c r="H860" s="30">
        <f>IF(A860="","",COUNTIF('Access'!$A$4:$A$1503,A860))</f>
        <v/>
      </c>
      <c r="I860" s="30">
        <f t="array" ref="I860">IF(A860="","",_xlfn.TEXTJOIN(", ",TRUE,IF(('Companies'!$A$4:$A$63&lt;&gt;"")*(COUNTIFS('Access'!$A$4:$A$1503,A860,'Access'!$F$4:$F$1503,"*"&amp;'Companies'!$A$4:$A$63&amp;"*")&gt;0),'Companies'!$A$4:$A$63,"")))</f>
        <v/>
      </c>
      <c r="J860" s="30">
        <f>IF(A860="","",IF(COUNTIF($A$4:$A$1003,A860)&gt;1,"Duplicate email",IF(ISERROR(FIND("@",A860)),"Not an email address",IF(AND(H860=0,E860=""),"Investor without holders","OK"))))</f>
        <v/>
      </c>
    </row>
    <row r="861">
      <c r="A861" s="26" t="n"/>
      <c r="B861" s="26" t="n"/>
      <c r="C861" s="26" t="n"/>
      <c r="D861" s="26" t="n"/>
      <c r="E861" s="26" t="n"/>
      <c r="F861" s="26" t="n"/>
      <c r="G861" s="26" t="n"/>
      <c r="H861" s="30">
        <f>IF(A861="","",COUNTIF('Access'!$A$4:$A$1503,A861))</f>
        <v/>
      </c>
      <c r="I861" s="30">
        <f t="array" ref="I861">IF(A861="","",_xlfn.TEXTJOIN(", ",TRUE,IF(('Companies'!$A$4:$A$63&lt;&gt;"")*(COUNTIFS('Access'!$A$4:$A$1503,A861,'Access'!$F$4:$F$1503,"*"&amp;'Companies'!$A$4:$A$63&amp;"*")&gt;0),'Companies'!$A$4:$A$63,"")))</f>
        <v/>
      </c>
      <c r="J861" s="30">
        <f>IF(A861="","",IF(COUNTIF($A$4:$A$1003,A861)&gt;1,"Duplicate email",IF(ISERROR(FIND("@",A861)),"Not an email address",IF(AND(H861=0,E861=""),"Investor without holders","OK"))))</f>
        <v/>
      </c>
    </row>
    <row r="862">
      <c r="A862" s="26" t="n"/>
      <c r="B862" s="26" t="n"/>
      <c r="C862" s="26" t="n"/>
      <c r="D862" s="26" t="n"/>
      <c r="E862" s="26" t="n"/>
      <c r="F862" s="26" t="n"/>
      <c r="G862" s="26" t="n"/>
      <c r="H862" s="30">
        <f>IF(A862="","",COUNTIF('Access'!$A$4:$A$1503,A862))</f>
        <v/>
      </c>
      <c r="I862" s="30">
        <f t="array" ref="I862">IF(A862="","",_xlfn.TEXTJOIN(", ",TRUE,IF(('Companies'!$A$4:$A$63&lt;&gt;"")*(COUNTIFS('Access'!$A$4:$A$1503,A862,'Access'!$F$4:$F$1503,"*"&amp;'Companies'!$A$4:$A$63&amp;"*")&gt;0),'Companies'!$A$4:$A$63,"")))</f>
        <v/>
      </c>
      <c r="J862" s="30">
        <f>IF(A862="","",IF(COUNTIF($A$4:$A$1003,A862)&gt;1,"Duplicate email",IF(ISERROR(FIND("@",A862)),"Not an email address",IF(AND(H862=0,E862=""),"Investor without holders","OK"))))</f>
        <v/>
      </c>
    </row>
    <row r="863">
      <c r="A863" s="26" t="n"/>
      <c r="B863" s="26" t="n"/>
      <c r="C863" s="26" t="n"/>
      <c r="D863" s="26" t="n"/>
      <c r="E863" s="26" t="n"/>
      <c r="F863" s="26" t="n"/>
      <c r="G863" s="26" t="n"/>
      <c r="H863" s="30">
        <f>IF(A863="","",COUNTIF('Access'!$A$4:$A$1503,A863))</f>
        <v/>
      </c>
      <c r="I863" s="30">
        <f t="array" ref="I863">IF(A863="","",_xlfn.TEXTJOIN(", ",TRUE,IF(('Companies'!$A$4:$A$63&lt;&gt;"")*(COUNTIFS('Access'!$A$4:$A$1503,A863,'Access'!$F$4:$F$1503,"*"&amp;'Companies'!$A$4:$A$63&amp;"*")&gt;0),'Companies'!$A$4:$A$63,"")))</f>
        <v/>
      </c>
      <c r="J863" s="30">
        <f>IF(A863="","",IF(COUNTIF($A$4:$A$1003,A863)&gt;1,"Duplicate email",IF(ISERROR(FIND("@",A863)),"Not an email address",IF(AND(H863=0,E863=""),"Investor without holders","OK"))))</f>
        <v/>
      </c>
    </row>
    <row r="864">
      <c r="A864" s="26" t="n"/>
      <c r="B864" s="26" t="n"/>
      <c r="C864" s="26" t="n"/>
      <c r="D864" s="26" t="n"/>
      <c r="E864" s="26" t="n"/>
      <c r="F864" s="26" t="n"/>
      <c r="G864" s="26" t="n"/>
      <c r="H864" s="30">
        <f>IF(A864="","",COUNTIF('Access'!$A$4:$A$1503,A864))</f>
        <v/>
      </c>
      <c r="I864" s="30">
        <f t="array" ref="I864">IF(A864="","",_xlfn.TEXTJOIN(", ",TRUE,IF(('Companies'!$A$4:$A$63&lt;&gt;"")*(COUNTIFS('Access'!$A$4:$A$1503,A864,'Access'!$F$4:$F$1503,"*"&amp;'Companies'!$A$4:$A$63&amp;"*")&gt;0),'Companies'!$A$4:$A$63,"")))</f>
        <v/>
      </c>
      <c r="J864" s="30">
        <f>IF(A864="","",IF(COUNTIF($A$4:$A$1003,A864)&gt;1,"Duplicate email",IF(ISERROR(FIND("@",A864)),"Not an email address",IF(AND(H864=0,E864=""),"Investor without holders","OK"))))</f>
        <v/>
      </c>
    </row>
    <row r="865">
      <c r="A865" s="26" t="n"/>
      <c r="B865" s="26" t="n"/>
      <c r="C865" s="26" t="n"/>
      <c r="D865" s="26" t="n"/>
      <c r="E865" s="26" t="n"/>
      <c r="F865" s="26" t="n"/>
      <c r="G865" s="26" t="n"/>
      <c r="H865" s="30">
        <f>IF(A865="","",COUNTIF('Access'!$A$4:$A$1503,A865))</f>
        <v/>
      </c>
      <c r="I865" s="30">
        <f t="array" ref="I865">IF(A865="","",_xlfn.TEXTJOIN(", ",TRUE,IF(('Companies'!$A$4:$A$63&lt;&gt;"")*(COUNTIFS('Access'!$A$4:$A$1503,A865,'Access'!$F$4:$F$1503,"*"&amp;'Companies'!$A$4:$A$63&amp;"*")&gt;0),'Companies'!$A$4:$A$63,"")))</f>
        <v/>
      </c>
      <c r="J865" s="30">
        <f>IF(A865="","",IF(COUNTIF($A$4:$A$1003,A865)&gt;1,"Duplicate email",IF(ISERROR(FIND("@",A865)),"Not an email address",IF(AND(H865=0,E865=""),"Investor without holders","OK"))))</f>
        <v/>
      </c>
    </row>
    <row r="866">
      <c r="A866" s="26" t="n"/>
      <c r="B866" s="26" t="n"/>
      <c r="C866" s="26" t="n"/>
      <c r="D866" s="26" t="n"/>
      <c r="E866" s="26" t="n"/>
      <c r="F866" s="26" t="n"/>
      <c r="G866" s="26" t="n"/>
      <c r="H866" s="30">
        <f>IF(A866="","",COUNTIF('Access'!$A$4:$A$1503,A866))</f>
        <v/>
      </c>
      <c r="I866" s="30">
        <f t="array" ref="I866">IF(A866="","",_xlfn.TEXTJOIN(", ",TRUE,IF(('Companies'!$A$4:$A$63&lt;&gt;"")*(COUNTIFS('Access'!$A$4:$A$1503,A866,'Access'!$F$4:$F$1503,"*"&amp;'Companies'!$A$4:$A$63&amp;"*")&gt;0),'Companies'!$A$4:$A$63,"")))</f>
        <v/>
      </c>
      <c r="J866" s="30">
        <f>IF(A866="","",IF(COUNTIF($A$4:$A$1003,A866)&gt;1,"Duplicate email",IF(ISERROR(FIND("@",A866)),"Not an email address",IF(AND(H866=0,E866=""),"Investor without holders","OK"))))</f>
        <v/>
      </c>
    </row>
    <row r="867">
      <c r="A867" s="26" t="n"/>
      <c r="B867" s="26" t="n"/>
      <c r="C867" s="26" t="n"/>
      <c r="D867" s="26" t="n"/>
      <c r="E867" s="26" t="n"/>
      <c r="F867" s="26" t="n"/>
      <c r="G867" s="26" t="n"/>
      <c r="H867" s="30">
        <f>IF(A867="","",COUNTIF('Access'!$A$4:$A$1503,A867))</f>
        <v/>
      </c>
      <c r="I867" s="30">
        <f t="array" ref="I867">IF(A867="","",_xlfn.TEXTJOIN(", ",TRUE,IF(('Companies'!$A$4:$A$63&lt;&gt;"")*(COUNTIFS('Access'!$A$4:$A$1503,A867,'Access'!$F$4:$F$1503,"*"&amp;'Companies'!$A$4:$A$63&amp;"*")&gt;0),'Companies'!$A$4:$A$63,"")))</f>
        <v/>
      </c>
      <c r="J867" s="30">
        <f>IF(A867="","",IF(COUNTIF($A$4:$A$1003,A867)&gt;1,"Duplicate email",IF(ISERROR(FIND("@",A867)),"Not an email address",IF(AND(H867=0,E867=""),"Investor without holders","OK"))))</f>
        <v/>
      </c>
    </row>
    <row r="868">
      <c r="A868" s="26" t="n"/>
      <c r="B868" s="26" t="n"/>
      <c r="C868" s="26" t="n"/>
      <c r="D868" s="26" t="n"/>
      <c r="E868" s="26" t="n"/>
      <c r="F868" s="26" t="n"/>
      <c r="G868" s="26" t="n"/>
      <c r="H868" s="30">
        <f>IF(A868="","",COUNTIF('Access'!$A$4:$A$1503,A868))</f>
        <v/>
      </c>
      <c r="I868" s="30">
        <f t="array" ref="I868">IF(A868="","",_xlfn.TEXTJOIN(", ",TRUE,IF(('Companies'!$A$4:$A$63&lt;&gt;"")*(COUNTIFS('Access'!$A$4:$A$1503,A868,'Access'!$F$4:$F$1503,"*"&amp;'Companies'!$A$4:$A$63&amp;"*")&gt;0),'Companies'!$A$4:$A$63,"")))</f>
        <v/>
      </c>
      <c r="J868" s="30">
        <f>IF(A868="","",IF(COUNTIF($A$4:$A$1003,A868)&gt;1,"Duplicate email",IF(ISERROR(FIND("@",A868)),"Not an email address",IF(AND(H868=0,E868=""),"Investor without holders","OK"))))</f>
        <v/>
      </c>
    </row>
    <row r="869">
      <c r="A869" s="26" t="n"/>
      <c r="B869" s="26" t="n"/>
      <c r="C869" s="26" t="n"/>
      <c r="D869" s="26" t="n"/>
      <c r="E869" s="26" t="n"/>
      <c r="F869" s="26" t="n"/>
      <c r="G869" s="26" t="n"/>
      <c r="H869" s="30">
        <f>IF(A869="","",COUNTIF('Access'!$A$4:$A$1503,A869))</f>
        <v/>
      </c>
      <c r="I869" s="30">
        <f t="array" ref="I869">IF(A869="","",_xlfn.TEXTJOIN(", ",TRUE,IF(('Companies'!$A$4:$A$63&lt;&gt;"")*(COUNTIFS('Access'!$A$4:$A$1503,A869,'Access'!$F$4:$F$1503,"*"&amp;'Companies'!$A$4:$A$63&amp;"*")&gt;0),'Companies'!$A$4:$A$63,"")))</f>
        <v/>
      </c>
      <c r="J869" s="30">
        <f>IF(A869="","",IF(COUNTIF($A$4:$A$1003,A869)&gt;1,"Duplicate email",IF(ISERROR(FIND("@",A869)),"Not an email address",IF(AND(H869=0,E869=""),"Investor without holders","OK"))))</f>
        <v/>
      </c>
    </row>
    <row r="870">
      <c r="A870" s="26" t="n"/>
      <c r="B870" s="26" t="n"/>
      <c r="C870" s="26" t="n"/>
      <c r="D870" s="26" t="n"/>
      <c r="E870" s="26" t="n"/>
      <c r="F870" s="26" t="n"/>
      <c r="G870" s="26" t="n"/>
      <c r="H870" s="30">
        <f>IF(A870="","",COUNTIF('Access'!$A$4:$A$1503,A870))</f>
        <v/>
      </c>
      <c r="I870" s="30">
        <f t="array" ref="I870">IF(A870="","",_xlfn.TEXTJOIN(", ",TRUE,IF(('Companies'!$A$4:$A$63&lt;&gt;"")*(COUNTIFS('Access'!$A$4:$A$1503,A870,'Access'!$F$4:$F$1503,"*"&amp;'Companies'!$A$4:$A$63&amp;"*")&gt;0),'Companies'!$A$4:$A$63,"")))</f>
        <v/>
      </c>
      <c r="J870" s="30">
        <f>IF(A870="","",IF(COUNTIF($A$4:$A$1003,A870)&gt;1,"Duplicate email",IF(ISERROR(FIND("@",A870)),"Not an email address",IF(AND(H870=0,E870=""),"Investor without holders","OK"))))</f>
        <v/>
      </c>
    </row>
    <row r="871">
      <c r="A871" s="26" t="n"/>
      <c r="B871" s="26" t="n"/>
      <c r="C871" s="26" t="n"/>
      <c r="D871" s="26" t="n"/>
      <c r="E871" s="26" t="n"/>
      <c r="F871" s="26" t="n"/>
      <c r="G871" s="26" t="n"/>
      <c r="H871" s="30">
        <f>IF(A871="","",COUNTIF('Access'!$A$4:$A$1503,A871))</f>
        <v/>
      </c>
      <c r="I871" s="30">
        <f t="array" ref="I871">IF(A871="","",_xlfn.TEXTJOIN(", ",TRUE,IF(('Companies'!$A$4:$A$63&lt;&gt;"")*(COUNTIFS('Access'!$A$4:$A$1503,A871,'Access'!$F$4:$F$1503,"*"&amp;'Companies'!$A$4:$A$63&amp;"*")&gt;0),'Companies'!$A$4:$A$63,"")))</f>
        <v/>
      </c>
      <c r="J871" s="30">
        <f>IF(A871="","",IF(COUNTIF($A$4:$A$1003,A871)&gt;1,"Duplicate email",IF(ISERROR(FIND("@",A871)),"Not an email address",IF(AND(H871=0,E871=""),"Investor without holders","OK"))))</f>
        <v/>
      </c>
    </row>
    <row r="872">
      <c r="A872" s="26" t="n"/>
      <c r="B872" s="26" t="n"/>
      <c r="C872" s="26" t="n"/>
      <c r="D872" s="26" t="n"/>
      <c r="E872" s="26" t="n"/>
      <c r="F872" s="26" t="n"/>
      <c r="G872" s="26" t="n"/>
      <c r="H872" s="30">
        <f>IF(A872="","",COUNTIF('Access'!$A$4:$A$1503,A872))</f>
        <v/>
      </c>
      <c r="I872" s="30">
        <f t="array" ref="I872">IF(A872="","",_xlfn.TEXTJOIN(", ",TRUE,IF(('Companies'!$A$4:$A$63&lt;&gt;"")*(COUNTIFS('Access'!$A$4:$A$1503,A872,'Access'!$F$4:$F$1503,"*"&amp;'Companies'!$A$4:$A$63&amp;"*")&gt;0),'Companies'!$A$4:$A$63,"")))</f>
        <v/>
      </c>
      <c r="J872" s="30">
        <f>IF(A872="","",IF(COUNTIF($A$4:$A$1003,A872)&gt;1,"Duplicate email",IF(ISERROR(FIND("@",A872)),"Not an email address",IF(AND(H872=0,E872=""),"Investor without holders","OK"))))</f>
        <v/>
      </c>
    </row>
    <row r="873">
      <c r="A873" s="26" t="n"/>
      <c r="B873" s="26" t="n"/>
      <c r="C873" s="26" t="n"/>
      <c r="D873" s="26" t="n"/>
      <c r="E873" s="26" t="n"/>
      <c r="F873" s="26" t="n"/>
      <c r="G873" s="26" t="n"/>
      <c r="H873" s="30">
        <f>IF(A873="","",COUNTIF('Access'!$A$4:$A$1503,A873))</f>
        <v/>
      </c>
      <c r="I873" s="30">
        <f t="array" ref="I873">IF(A873="","",_xlfn.TEXTJOIN(", ",TRUE,IF(('Companies'!$A$4:$A$63&lt;&gt;"")*(COUNTIFS('Access'!$A$4:$A$1503,A873,'Access'!$F$4:$F$1503,"*"&amp;'Companies'!$A$4:$A$63&amp;"*")&gt;0),'Companies'!$A$4:$A$63,"")))</f>
        <v/>
      </c>
      <c r="J873" s="30">
        <f>IF(A873="","",IF(COUNTIF($A$4:$A$1003,A873)&gt;1,"Duplicate email",IF(ISERROR(FIND("@",A873)),"Not an email address",IF(AND(H873=0,E873=""),"Investor without holders","OK"))))</f>
        <v/>
      </c>
    </row>
    <row r="874">
      <c r="A874" s="26" t="n"/>
      <c r="B874" s="26" t="n"/>
      <c r="C874" s="26" t="n"/>
      <c r="D874" s="26" t="n"/>
      <c r="E874" s="26" t="n"/>
      <c r="F874" s="26" t="n"/>
      <c r="G874" s="26" t="n"/>
      <c r="H874" s="30">
        <f>IF(A874="","",COUNTIF('Access'!$A$4:$A$1503,A874))</f>
        <v/>
      </c>
      <c r="I874" s="30">
        <f t="array" ref="I874">IF(A874="","",_xlfn.TEXTJOIN(", ",TRUE,IF(('Companies'!$A$4:$A$63&lt;&gt;"")*(COUNTIFS('Access'!$A$4:$A$1503,A874,'Access'!$F$4:$F$1503,"*"&amp;'Companies'!$A$4:$A$63&amp;"*")&gt;0),'Companies'!$A$4:$A$63,"")))</f>
        <v/>
      </c>
      <c r="J874" s="30">
        <f>IF(A874="","",IF(COUNTIF($A$4:$A$1003,A874)&gt;1,"Duplicate email",IF(ISERROR(FIND("@",A874)),"Not an email address",IF(AND(H874=0,E874=""),"Investor without holders","OK"))))</f>
        <v/>
      </c>
    </row>
    <row r="875">
      <c r="A875" s="26" t="n"/>
      <c r="B875" s="26" t="n"/>
      <c r="C875" s="26" t="n"/>
      <c r="D875" s="26" t="n"/>
      <c r="E875" s="26" t="n"/>
      <c r="F875" s="26" t="n"/>
      <c r="G875" s="26" t="n"/>
      <c r="H875" s="30">
        <f>IF(A875="","",COUNTIF('Access'!$A$4:$A$1503,A875))</f>
        <v/>
      </c>
      <c r="I875" s="30">
        <f t="array" ref="I875">IF(A875="","",_xlfn.TEXTJOIN(", ",TRUE,IF(('Companies'!$A$4:$A$63&lt;&gt;"")*(COUNTIFS('Access'!$A$4:$A$1503,A875,'Access'!$F$4:$F$1503,"*"&amp;'Companies'!$A$4:$A$63&amp;"*")&gt;0),'Companies'!$A$4:$A$63,"")))</f>
        <v/>
      </c>
      <c r="J875" s="30">
        <f>IF(A875="","",IF(COUNTIF($A$4:$A$1003,A875)&gt;1,"Duplicate email",IF(ISERROR(FIND("@",A875)),"Not an email address",IF(AND(H875=0,E875=""),"Investor without holders","OK"))))</f>
        <v/>
      </c>
    </row>
    <row r="876">
      <c r="A876" s="26" t="n"/>
      <c r="B876" s="26" t="n"/>
      <c r="C876" s="26" t="n"/>
      <c r="D876" s="26" t="n"/>
      <c r="E876" s="26" t="n"/>
      <c r="F876" s="26" t="n"/>
      <c r="G876" s="26" t="n"/>
      <c r="H876" s="30">
        <f>IF(A876="","",COUNTIF('Access'!$A$4:$A$1503,A876))</f>
        <v/>
      </c>
      <c r="I876" s="30">
        <f t="array" ref="I876">IF(A876="","",_xlfn.TEXTJOIN(", ",TRUE,IF(('Companies'!$A$4:$A$63&lt;&gt;"")*(COUNTIFS('Access'!$A$4:$A$1503,A876,'Access'!$F$4:$F$1503,"*"&amp;'Companies'!$A$4:$A$63&amp;"*")&gt;0),'Companies'!$A$4:$A$63,"")))</f>
        <v/>
      </c>
      <c r="J876" s="30">
        <f>IF(A876="","",IF(COUNTIF($A$4:$A$1003,A876)&gt;1,"Duplicate email",IF(ISERROR(FIND("@",A876)),"Not an email address",IF(AND(H876=0,E876=""),"Investor without holders","OK"))))</f>
        <v/>
      </c>
    </row>
    <row r="877">
      <c r="A877" s="26" t="n"/>
      <c r="B877" s="26" t="n"/>
      <c r="C877" s="26" t="n"/>
      <c r="D877" s="26" t="n"/>
      <c r="E877" s="26" t="n"/>
      <c r="F877" s="26" t="n"/>
      <c r="G877" s="26" t="n"/>
      <c r="H877" s="30">
        <f>IF(A877="","",COUNTIF('Access'!$A$4:$A$1503,A877))</f>
        <v/>
      </c>
      <c r="I877" s="30">
        <f t="array" ref="I877">IF(A877="","",_xlfn.TEXTJOIN(", ",TRUE,IF(('Companies'!$A$4:$A$63&lt;&gt;"")*(COUNTIFS('Access'!$A$4:$A$1503,A877,'Access'!$F$4:$F$1503,"*"&amp;'Companies'!$A$4:$A$63&amp;"*")&gt;0),'Companies'!$A$4:$A$63,"")))</f>
        <v/>
      </c>
      <c r="J877" s="30">
        <f>IF(A877="","",IF(COUNTIF($A$4:$A$1003,A877)&gt;1,"Duplicate email",IF(ISERROR(FIND("@",A877)),"Not an email address",IF(AND(H877=0,E877=""),"Investor without holders","OK"))))</f>
        <v/>
      </c>
    </row>
    <row r="878">
      <c r="A878" s="26" t="n"/>
      <c r="B878" s="26" t="n"/>
      <c r="C878" s="26" t="n"/>
      <c r="D878" s="26" t="n"/>
      <c r="E878" s="26" t="n"/>
      <c r="F878" s="26" t="n"/>
      <c r="G878" s="26" t="n"/>
      <c r="H878" s="30">
        <f>IF(A878="","",COUNTIF('Access'!$A$4:$A$1503,A878))</f>
        <v/>
      </c>
      <c r="I878" s="30">
        <f t="array" ref="I878">IF(A878="","",_xlfn.TEXTJOIN(", ",TRUE,IF(('Companies'!$A$4:$A$63&lt;&gt;"")*(COUNTIFS('Access'!$A$4:$A$1503,A878,'Access'!$F$4:$F$1503,"*"&amp;'Companies'!$A$4:$A$63&amp;"*")&gt;0),'Companies'!$A$4:$A$63,"")))</f>
        <v/>
      </c>
      <c r="J878" s="30">
        <f>IF(A878="","",IF(COUNTIF($A$4:$A$1003,A878)&gt;1,"Duplicate email",IF(ISERROR(FIND("@",A878)),"Not an email address",IF(AND(H878=0,E878=""),"Investor without holders","OK"))))</f>
        <v/>
      </c>
    </row>
    <row r="879">
      <c r="A879" s="26" t="n"/>
      <c r="B879" s="26" t="n"/>
      <c r="C879" s="26" t="n"/>
      <c r="D879" s="26" t="n"/>
      <c r="E879" s="26" t="n"/>
      <c r="F879" s="26" t="n"/>
      <c r="G879" s="26" t="n"/>
      <c r="H879" s="30">
        <f>IF(A879="","",COUNTIF('Access'!$A$4:$A$1503,A879))</f>
        <v/>
      </c>
      <c r="I879" s="30">
        <f t="array" ref="I879">IF(A879="","",_xlfn.TEXTJOIN(", ",TRUE,IF(('Companies'!$A$4:$A$63&lt;&gt;"")*(COUNTIFS('Access'!$A$4:$A$1503,A879,'Access'!$F$4:$F$1503,"*"&amp;'Companies'!$A$4:$A$63&amp;"*")&gt;0),'Companies'!$A$4:$A$63,"")))</f>
        <v/>
      </c>
      <c r="J879" s="30">
        <f>IF(A879="","",IF(COUNTIF($A$4:$A$1003,A879)&gt;1,"Duplicate email",IF(ISERROR(FIND("@",A879)),"Not an email address",IF(AND(H879=0,E879=""),"Investor without holders","OK"))))</f>
        <v/>
      </c>
    </row>
    <row r="880">
      <c r="A880" s="26" t="n"/>
      <c r="B880" s="26" t="n"/>
      <c r="C880" s="26" t="n"/>
      <c r="D880" s="26" t="n"/>
      <c r="E880" s="26" t="n"/>
      <c r="F880" s="26" t="n"/>
      <c r="G880" s="26" t="n"/>
      <c r="H880" s="30">
        <f>IF(A880="","",COUNTIF('Access'!$A$4:$A$1503,A880))</f>
        <v/>
      </c>
      <c r="I880" s="30">
        <f t="array" ref="I880">IF(A880="","",_xlfn.TEXTJOIN(", ",TRUE,IF(('Companies'!$A$4:$A$63&lt;&gt;"")*(COUNTIFS('Access'!$A$4:$A$1503,A880,'Access'!$F$4:$F$1503,"*"&amp;'Companies'!$A$4:$A$63&amp;"*")&gt;0),'Companies'!$A$4:$A$63,"")))</f>
        <v/>
      </c>
      <c r="J880" s="30">
        <f>IF(A880="","",IF(COUNTIF($A$4:$A$1003,A880)&gt;1,"Duplicate email",IF(ISERROR(FIND("@",A880)),"Not an email address",IF(AND(H880=0,E880=""),"Investor without holders","OK"))))</f>
        <v/>
      </c>
    </row>
    <row r="881">
      <c r="A881" s="26" t="n"/>
      <c r="B881" s="26" t="n"/>
      <c r="C881" s="26" t="n"/>
      <c r="D881" s="26" t="n"/>
      <c r="E881" s="26" t="n"/>
      <c r="F881" s="26" t="n"/>
      <c r="G881" s="26" t="n"/>
      <c r="H881" s="30">
        <f>IF(A881="","",COUNTIF('Access'!$A$4:$A$1503,A881))</f>
        <v/>
      </c>
      <c r="I881" s="30">
        <f t="array" ref="I881">IF(A881="","",_xlfn.TEXTJOIN(", ",TRUE,IF(('Companies'!$A$4:$A$63&lt;&gt;"")*(COUNTIFS('Access'!$A$4:$A$1503,A881,'Access'!$F$4:$F$1503,"*"&amp;'Companies'!$A$4:$A$63&amp;"*")&gt;0),'Companies'!$A$4:$A$63,"")))</f>
        <v/>
      </c>
      <c r="J881" s="30">
        <f>IF(A881="","",IF(COUNTIF($A$4:$A$1003,A881)&gt;1,"Duplicate email",IF(ISERROR(FIND("@",A881)),"Not an email address",IF(AND(H881=0,E881=""),"Investor without holders","OK"))))</f>
        <v/>
      </c>
    </row>
    <row r="882">
      <c r="A882" s="26" t="n"/>
      <c r="B882" s="26" t="n"/>
      <c r="C882" s="26" t="n"/>
      <c r="D882" s="26" t="n"/>
      <c r="E882" s="26" t="n"/>
      <c r="F882" s="26" t="n"/>
      <c r="G882" s="26" t="n"/>
      <c r="H882" s="30">
        <f>IF(A882="","",COUNTIF('Access'!$A$4:$A$1503,A882))</f>
        <v/>
      </c>
      <c r="I882" s="30">
        <f t="array" ref="I882">IF(A882="","",_xlfn.TEXTJOIN(", ",TRUE,IF(('Companies'!$A$4:$A$63&lt;&gt;"")*(COUNTIFS('Access'!$A$4:$A$1503,A882,'Access'!$F$4:$F$1503,"*"&amp;'Companies'!$A$4:$A$63&amp;"*")&gt;0),'Companies'!$A$4:$A$63,"")))</f>
        <v/>
      </c>
      <c r="J882" s="30">
        <f>IF(A882="","",IF(COUNTIF($A$4:$A$1003,A882)&gt;1,"Duplicate email",IF(ISERROR(FIND("@",A882)),"Not an email address",IF(AND(H882=0,E882=""),"Investor without holders","OK"))))</f>
        <v/>
      </c>
    </row>
    <row r="883">
      <c r="A883" s="26" t="n"/>
      <c r="B883" s="26" t="n"/>
      <c r="C883" s="26" t="n"/>
      <c r="D883" s="26" t="n"/>
      <c r="E883" s="26" t="n"/>
      <c r="F883" s="26" t="n"/>
      <c r="G883" s="26" t="n"/>
      <c r="H883" s="30">
        <f>IF(A883="","",COUNTIF('Access'!$A$4:$A$1503,A883))</f>
        <v/>
      </c>
      <c r="I883" s="30">
        <f t="array" ref="I883">IF(A883="","",_xlfn.TEXTJOIN(", ",TRUE,IF(('Companies'!$A$4:$A$63&lt;&gt;"")*(COUNTIFS('Access'!$A$4:$A$1503,A883,'Access'!$F$4:$F$1503,"*"&amp;'Companies'!$A$4:$A$63&amp;"*")&gt;0),'Companies'!$A$4:$A$63,"")))</f>
        <v/>
      </c>
      <c r="J883" s="30">
        <f>IF(A883="","",IF(COUNTIF($A$4:$A$1003,A883)&gt;1,"Duplicate email",IF(ISERROR(FIND("@",A883)),"Not an email address",IF(AND(H883=0,E883=""),"Investor without holders","OK"))))</f>
        <v/>
      </c>
    </row>
    <row r="884">
      <c r="A884" s="26" t="n"/>
      <c r="B884" s="26" t="n"/>
      <c r="C884" s="26" t="n"/>
      <c r="D884" s="26" t="n"/>
      <c r="E884" s="26" t="n"/>
      <c r="F884" s="26" t="n"/>
      <c r="G884" s="26" t="n"/>
      <c r="H884" s="30">
        <f>IF(A884="","",COUNTIF('Access'!$A$4:$A$1503,A884))</f>
        <v/>
      </c>
      <c r="I884" s="30">
        <f t="array" ref="I884">IF(A884="","",_xlfn.TEXTJOIN(", ",TRUE,IF(('Companies'!$A$4:$A$63&lt;&gt;"")*(COUNTIFS('Access'!$A$4:$A$1503,A884,'Access'!$F$4:$F$1503,"*"&amp;'Companies'!$A$4:$A$63&amp;"*")&gt;0),'Companies'!$A$4:$A$63,"")))</f>
        <v/>
      </c>
      <c r="J884" s="30">
        <f>IF(A884="","",IF(COUNTIF($A$4:$A$1003,A884)&gt;1,"Duplicate email",IF(ISERROR(FIND("@",A884)),"Not an email address",IF(AND(H884=0,E884=""),"Investor without holders","OK"))))</f>
        <v/>
      </c>
    </row>
    <row r="885">
      <c r="A885" s="26" t="n"/>
      <c r="B885" s="26" t="n"/>
      <c r="C885" s="26" t="n"/>
      <c r="D885" s="26" t="n"/>
      <c r="E885" s="26" t="n"/>
      <c r="F885" s="26" t="n"/>
      <c r="G885" s="26" t="n"/>
      <c r="H885" s="30">
        <f>IF(A885="","",COUNTIF('Access'!$A$4:$A$1503,A885))</f>
        <v/>
      </c>
      <c r="I885" s="30">
        <f t="array" ref="I885">IF(A885="","",_xlfn.TEXTJOIN(", ",TRUE,IF(('Companies'!$A$4:$A$63&lt;&gt;"")*(COUNTIFS('Access'!$A$4:$A$1503,A885,'Access'!$F$4:$F$1503,"*"&amp;'Companies'!$A$4:$A$63&amp;"*")&gt;0),'Companies'!$A$4:$A$63,"")))</f>
        <v/>
      </c>
      <c r="J885" s="30">
        <f>IF(A885="","",IF(COUNTIF($A$4:$A$1003,A885)&gt;1,"Duplicate email",IF(ISERROR(FIND("@",A885)),"Not an email address",IF(AND(H885=0,E885=""),"Investor without holders","OK"))))</f>
        <v/>
      </c>
    </row>
    <row r="886">
      <c r="A886" s="26" t="n"/>
      <c r="B886" s="26" t="n"/>
      <c r="C886" s="26" t="n"/>
      <c r="D886" s="26" t="n"/>
      <c r="E886" s="26" t="n"/>
      <c r="F886" s="26" t="n"/>
      <c r="G886" s="26" t="n"/>
      <c r="H886" s="30">
        <f>IF(A886="","",COUNTIF('Access'!$A$4:$A$1503,A886))</f>
        <v/>
      </c>
      <c r="I886" s="30">
        <f t="array" ref="I886">IF(A886="","",_xlfn.TEXTJOIN(", ",TRUE,IF(('Companies'!$A$4:$A$63&lt;&gt;"")*(COUNTIFS('Access'!$A$4:$A$1503,A886,'Access'!$F$4:$F$1503,"*"&amp;'Companies'!$A$4:$A$63&amp;"*")&gt;0),'Companies'!$A$4:$A$63,"")))</f>
        <v/>
      </c>
      <c r="J886" s="30">
        <f>IF(A886="","",IF(COUNTIF($A$4:$A$1003,A886)&gt;1,"Duplicate email",IF(ISERROR(FIND("@",A886)),"Not an email address",IF(AND(H886=0,E886=""),"Investor without holders","OK"))))</f>
        <v/>
      </c>
    </row>
    <row r="887">
      <c r="A887" s="26" t="n"/>
      <c r="B887" s="26" t="n"/>
      <c r="C887" s="26" t="n"/>
      <c r="D887" s="26" t="n"/>
      <c r="E887" s="26" t="n"/>
      <c r="F887" s="26" t="n"/>
      <c r="G887" s="26" t="n"/>
      <c r="H887" s="30">
        <f>IF(A887="","",COUNTIF('Access'!$A$4:$A$1503,A887))</f>
        <v/>
      </c>
      <c r="I887" s="30">
        <f t="array" ref="I887">IF(A887="","",_xlfn.TEXTJOIN(", ",TRUE,IF(('Companies'!$A$4:$A$63&lt;&gt;"")*(COUNTIFS('Access'!$A$4:$A$1503,A887,'Access'!$F$4:$F$1503,"*"&amp;'Companies'!$A$4:$A$63&amp;"*")&gt;0),'Companies'!$A$4:$A$63,"")))</f>
        <v/>
      </c>
      <c r="J887" s="30">
        <f>IF(A887="","",IF(COUNTIF($A$4:$A$1003,A887)&gt;1,"Duplicate email",IF(ISERROR(FIND("@",A887)),"Not an email address",IF(AND(H887=0,E887=""),"Investor without holders","OK"))))</f>
        <v/>
      </c>
    </row>
    <row r="888">
      <c r="A888" s="26" t="n"/>
      <c r="B888" s="26" t="n"/>
      <c r="C888" s="26" t="n"/>
      <c r="D888" s="26" t="n"/>
      <c r="E888" s="26" t="n"/>
      <c r="F888" s="26" t="n"/>
      <c r="G888" s="26" t="n"/>
      <c r="H888" s="30">
        <f>IF(A888="","",COUNTIF('Access'!$A$4:$A$1503,A888))</f>
        <v/>
      </c>
      <c r="I888" s="30">
        <f t="array" ref="I888">IF(A888="","",_xlfn.TEXTJOIN(", ",TRUE,IF(('Companies'!$A$4:$A$63&lt;&gt;"")*(COUNTIFS('Access'!$A$4:$A$1503,A888,'Access'!$F$4:$F$1503,"*"&amp;'Companies'!$A$4:$A$63&amp;"*")&gt;0),'Companies'!$A$4:$A$63,"")))</f>
        <v/>
      </c>
      <c r="J888" s="30">
        <f>IF(A888="","",IF(COUNTIF($A$4:$A$1003,A888)&gt;1,"Duplicate email",IF(ISERROR(FIND("@",A888)),"Not an email address",IF(AND(H888=0,E888=""),"Investor without holders","OK"))))</f>
        <v/>
      </c>
    </row>
    <row r="889">
      <c r="A889" s="26" t="n"/>
      <c r="B889" s="26" t="n"/>
      <c r="C889" s="26" t="n"/>
      <c r="D889" s="26" t="n"/>
      <c r="E889" s="26" t="n"/>
      <c r="F889" s="26" t="n"/>
      <c r="G889" s="26" t="n"/>
      <c r="H889" s="30">
        <f>IF(A889="","",COUNTIF('Access'!$A$4:$A$1503,A889))</f>
        <v/>
      </c>
      <c r="I889" s="30">
        <f t="array" ref="I889">IF(A889="","",_xlfn.TEXTJOIN(", ",TRUE,IF(('Companies'!$A$4:$A$63&lt;&gt;"")*(COUNTIFS('Access'!$A$4:$A$1503,A889,'Access'!$F$4:$F$1503,"*"&amp;'Companies'!$A$4:$A$63&amp;"*")&gt;0),'Companies'!$A$4:$A$63,"")))</f>
        <v/>
      </c>
      <c r="J889" s="30">
        <f>IF(A889="","",IF(COUNTIF($A$4:$A$1003,A889)&gt;1,"Duplicate email",IF(ISERROR(FIND("@",A889)),"Not an email address",IF(AND(H889=0,E889=""),"Investor without holders","OK"))))</f>
        <v/>
      </c>
    </row>
    <row r="890">
      <c r="A890" s="26" t="n"/>
      <c r="B890" s="26" t="n"/>
      <c r="C890" s="26" t="n"/>
      <c r="D890" s="26" t="n"/>
      <c r="E890" s="26" t="n"/>
      <c r="F890" s="26" t="n"/>
      <c r="G890" s="26" t="n"/>
      <c r="H890" s="30">
        <f>IF(A890="","",COUNTIF('Access'!$A$4:$A$1503,A890))</f>
        <v/>
      </c>
      <c r="I890" s="30">
        <f t="array" ref="I890">IF(A890="","",_xlfn.TEXTJOIN(", ",TRUE,IF(('Companies'!$A$4:$A$63&lt;&gt;"")*(COUNTIFS('Access'!$A$4:$A$1503,A890,'Access'!$F$4:$F$1503,"*"&amp;'Companies'!$A$4:$A$63&amp;"*")&gt;0),'Companies'!$A$4:$A$63,"")))</f>
        <v/>
      </c>
      <c r="J890" s="30">
        <f>IF(A890="","",IF(COUNTIF($A$4:$A$1003,A890)&gt;1,"Duplicate email",IF(ISERROR(FIND("@",A890)),"Not an email address",IF(AND(H890=0,E890=""),"Investor without holders","OK"))))</f>
        <v/>
      </c>
    </row>
    <row r="891">
      <c r="A891" s="26" t="n"/>
      <c r="B891" s="26" t="n"/>
      <c r="C891" s="26" t="n"/>
      <c r="D891" s="26" t="n"/>
      <c r="E891" s="26" t="n"/>
      <c r="F891" s="26" t="n"/>
      <c r="G891" s="26" t="n"/>
      <c r="H891" s="30">
        <f>IF(A891="","",COUNTIF('Access'!$A$4:$A$1503,A891))</f>
        <v/>
      </c>
      <c r="I891" s="30">
        <f t="array" ref="I891">IF(A891="","",_xlfn.TEXTJOIN(", ",TRUE,IF(('Companies'!$A$4:$A$63&lt;&gt;"")*(COUNTIFS('Access'!$A$4:$A$1503,A891,'Access'!$F$4:$F$1503,"*"&amp;'Companies'!$A$4:$A$63&amp;"*")&gt;0),'Companies'!$A$4:$A$63,"")))</f>
        <v/>
      </c>
      <c r="J891" s="30">
        <f>IF(A891="","",IF(COUNTIF($A$4:$A$1003,A891)&gt;1,"Duplicate email",IF(ISERROR(FIND("@",A891)),"Not an email address",IF(AND(H891=0,E891=""),"Investor without holders","OK"))))</f>
        <v/>
      </c>
    </row>
    <row r="892">
      <c r="A892" s="26" t="n"/>
      <c r="B892" s="26" t="n"/>
      <c r="C892" s="26" t="n"/>
      <c r="D892" s="26" t="n"/>
      <c r="E892" s="26" t="n"/>
      <c r="F892" s="26" t="n"/>
      <c r="G892" s="26" t="n"/>
      <c r="H892" s="30">
        <f>IF(A892="","",COUNTIF('Access'!$A$4:$A$1503,A892))</f>
        <v/>
      </c>
      <c r="I892" s="30">
        <f t="array" ref="I892">IF(A892="","",_xlfn.TEXTJOIN(", ",TRUE,IF(('Companies'!$A$4:$A$63&lt;&gt;"")*(COUNTIFS('Access'!$A$4:$A$1503,A892,'Access'!$F$4:$F$1503,"*"&amp;'Companies'!$A$4:$A$63&amp;"*")&gt;0),'Companies'!$A$4:$A$63,"")))</f>
        <v/>
      </c>
      <c r="J892" s="30">
        <f>IF(A892="","",IF(COUNTIF($A$4:$A$1003,A892)&gt;1,"Duplicate email",IF(ISERROR(FIND("@",A892)),"Not an email address",IF(AND(H892=0,E892=""),"Investor without holders","OK"))))</f>
        <v/>
      </c>
    </row>
    <row r="893">
      <c r="A893" s="26" t="n"/>
      <c r="B893" s="26" t="n"/>
      <c r="C893" s="26" t="n"/>
      <c r="D893" s="26" t="n"/>
      <c r="E893" s="26" t="n"/>
      <c r="F893" s="26" t="n"/>
      <c r="G893" s="26" t="n"/>
      <c r="H893" s="30">
        <f>IF(A893="","",COUNTIF('Access'!$A$4:$A$1503,A893))</f>
        <v/>
      </c>
      <c r="I893" s="30">
        <f t="array" ref="I893">IF(A893="","",_xlfn.TEXTJOIN(", ",TRUE,IF(('Companies'!$A$4:$A$63&lt;&gt;"")*(COUNTIFS('Access'!$A$4:$A$1503,A893,'Access'!$F$4:$F$1503,"*"&amp;'Companies'!$A$4:$A$63&amp;"*")&gt;0),'Companies'!$A$4:$A$63,"")))</f>
        <v/>
      </c>
      <c r="J893" s="30">
        <f>IF(A893="","",IF(COUNTIF($A$4:$A$1003,A893)&gt;1,"Duplicate email",IF(ISERROR(FIND("@",A893)),"Not an email address",IF(AND(H893=0,E893=""),"Investor without holders","OK"))))</f>
        <v/>
      </c>
    </row>
    <row r="894">
      <c r="A894" s="26" t="n"/>
      <c r="B894" s="26" t="n"/>
      <c r="C894" s="26" t="n"/>
      <c r="D894" s="26" t="n"/>
      <c r="E894" s="26" t="n"/>
      <c r="F894" s="26" t="n"/>
      <c r="G894" s="26" t="n"/>
      <c r="H894" s="30">
        <f>IF(A894="","",COUNTIF('Access'!$A$4:$A$1503,A894))</f>
        <v/>
      </c>
      <c r="I894" s="30">
        <f t="array" ref="I894">IF(A894="","",_xlfn.TEXTJOIN(", ",TRUE,IF(('Companies'!$A$4:$A$63&lt;&gt;"")*(COUNTIFS('Access'!$A$4:$A$1503,A894,'Access'!$F$4:$F$1503,"*"&amp;'Companies'!$A$4:$A$63&amp;"*")&gt;0),'Companies'!$A$4:$A$63,"")))</f>
        <v/>
      </c>
      <c r="J894" s="30">
        <f>IF(A894="","",IF(COUNTIF($A$4:$A$1003,A894)&gt;1,"Duplicate email",IF(ISERROR(FIND("@",A894)),"Not an email address",IF(AND(H894=0,E894=""),"Investor without holders","OK"))))</f>
        <v/>
      </c>
    </row>
    <row r="895">
      <c r="A895" s="26" t="n"/>
      <c r="B895" s="26" t="n"/>
      <c r="C895" s="26" t="n"/>
      <c r="D895" s="26" t="n"/>
      <c r="E895" s="26" t="n"/>
      <c r="F895" s="26" t="n"/>
      <c r="G895" s="26" t="n"/>
      <c r="H895" s="30">
        <f>IF(A895="","",COUNTIF('Access'!$A$4:$A$1503,A895))</f>
        <v/>
      </c>
      <c r="I895" s="30">
        <f t="array" ref="I895">IF(A895="","",_xlfn.TEXTJOIN(", ",TRUE,IF(('Companies'!$A$4:$A$63&lt;&gt;"")*(COUNTIFS('Access'!$A$4:$A$1503,A895,'Access'!$F$4:$F$1503,"*"&amp;'Companies'!$A$4:$A$63&amp;"*")&gt;0),'Companies'!$A$4:$A$63,"")))</f>
        <v/>
      </c>
      <c r="J895" s="30">
        <f>IF(A895="","",IF(COUNTIF($A$4:$A$1003,A895)&gt;1,"Duplicate email",IF(ISERROR(FIND("@",A895)),"Not an email address",IF(AND(H895=0,E895=""),"Investor without holders","OK"))))</f>
        <v/>
      </c>
    </row>
    <row r="896">
      <c r="A896" s="26" t="n"/>
      <c r="B896" s="26" t="n"/>
      <c r="C896" s="26" t="n"/>
      <c r="D896" s="26" t="n"/>
      <c r="E896" s="26" t="n"/>
      <c r="F896" s="26" t="n"/>
      <c r="G896" s="26" t="n"/>
      <c r="H896" s="30">
        <f>IF(A896="","",COUNTIF('Access'!$A$4:$A$1503,A896))</f>
        <v/>
      </c>
      <c r="I896" s="30">
        <f t="array" ref="I896">IF(A896="","",_xlfn.TEXTJOIN(", ",TRUE,IF(('Companies'!$A$4:$A$63&lt;&gt;"")*(COUNTIFS('Access'!$A$4:$A$1503,A896,'Access'!$F$4:$F$1503,"*"&amp;'Companies'!$A$4:$A$63&amp;"*")&gt;0),'Companies'!$A$4:$A$63,"")))</f>
        <v/>
      </c>
      <c r="J896" s="30">
        <f>IF(A896="","",IF(COUNTIF($A$4:$A$1003,A896)&gt;1,"Duplicate email",IF(ISERROR(FIND("@",A896)),"Not an email address",IF(AND(H896=0,E896=""),"Investor without holders","OK"))))</f>
        <v/>
      </c>
    </row>
    <row r="897">
      <c r="A897" s="26" t="n"/>
      <c r="B897" s="26" t="n"/>
      <c r="C897" s="26" t="n"/>
      <c r="D897" s="26" t="n"/>
      <c r="E897" s="26" t="n"/>
      <c r="F897" s="26" t="n"/>
      <c r="G897" s="26" t="n"/>
      <c r="H897" s="30">
        <f>IF(A897="","",COUNTIF('Access'!$A$4:$A$1503,A897))</f>
        <v/>
      </c>
      <c r="I897" s="30">
        <f t="array" ref="I897">IF(A897="","",_xlfn.TEXTJOIN(", ",TRUE,IF(('Companies'!$A$4:$A$63&lt;&gt;"")*(COUNTIFS('Access'!$A$4:$A$1503,A897,'Access'!$F$4:$F$1503,"*"&amp;'Companies'!$A$4:$A$63&amp;"*")&gt;0),'Companies'!$A$4:$A$63,"")))</f>
        <v/>
      </c>
      <c r="J897" s="30">
        <f>IF(A897="","",IF(COUNTIF($A$4:$A$1003,A897)&gt;1,"Duplicate email",IF(ISERROR(FIND("@",A897)),"Not an email address",IF(AND(H897=0,E897=""),"Investor without holders","OK"))))</f>
        <v/>
      </c>
    </row>
    <row r="898">
      <c r="A898" s="26" t="n"/>
      <c r="B898" s="26" t="n"/>
      <c r="C898" s="26" t="n"/>
      <c r="D898" s="26" t="n"/>
      <c r="E898" s="26" t="n"/>
      <c r="F898" s="26" t="n"/>
      <c r="G898" s="26" t="n"/>
      <c r="H898" s="30">
        <f>IF(A898="","",COUNTIF('Access'!$A$4:$A$1503,A898))</f>
        <v/>
      </c>
      <c r="I898" s="30">
        <f t="array" ref="I898">IF(A898="","",_xlfn.TEXTJOIN(", ",TRUE,IF(('Companies'!$A$4:$A$63&lt;&gt;"")*(COUNTIFS('Access'!$A$4:$A$1503,A898,'Access'!$F$4:$F$1503,"*"&amp;'Companies'!$A$4:$A$63&amp;"*")&gt;0),'Companies'!$A$4:$A$63,"")))</f>
        <v/>
      </c>
      <c r="J898" s="30">
        <f>IF(A898="","",IF(COUNTIF($A$4:$A$1003,A898)&gt;1,"Duplicate email",IF(ISERROR(FIND("@",A898)),"Not an email address",IF(AND(H898=0,E898=""),"Investor without holders","OK"))))</f>
        <v/>
      </c>
    </row>
    <row r="899">
      <c r="A899" s="26" t="n"/>
      <c r="B899" s="26" t="n"/>
      <c r="C899" s="26" t="n"/>
      <c r="D899" s="26" t="n"/>
      <c r="E899" s="26" t="n"/>
      <c r="F899" s="26" t="n"/>
      <c r="G899" s="26" t="n"/>
      <c r="H899" s="30">
        <f>IF(A899="","",COUNTIF('Access'!$A$4:$A$1503,A899))</f>
        <v/>
      </c>
      <c r="I899" s="30">
        <f t="array" ref="I899">IF(A899="","",_xlfn.TEXTJOIN(", ",TRUE,IF(('Companies'!$A$4:$A$63&lt;&gt;"")*(COUNTIFS('Access'!$A$4:$A$1503,A899,'Access'!$F$4:$F$1503,"*"&amp;'Companies'!$A$4:$A$63&amp;"*")&gt;0),'Companies'!$A$4:$A$63,"")))</f>
        <v/>
      </c>
      <c r="J899" s="30">
        <f>IF(A899="","",IF(COUNTIF($A$4:$A$1003,A899)&gt;1,"Duplicate email",IF(ISERROR(FIND("@",A899)),"Not an email address",IF(AND(H899=0,E899=""),"Investor without holders","OK"))))</f>
        <v/>
      </c>
    </row>
    <row r="900">
      <c r="A900" s="26" t="n"/>
      <c r="B900" s="26" t="n"/>
      <c r="C900" s="26" t="n"/>
      <c r="D900" s="26" t="n"/>
      <c r="E900" s="26" t="n"/>
      <c r="F900" s="26" t="n"/>
      <c r="G900" s="26" t="n"/>
      <c r="H900" s="30">
        <f>IF(A900="","",COUNTIF('Access'!$A$4:$A$1503,A900))</f>
        <v/>
      </c>
      <c r="I900" s="30">
        <f t="array" ref="I900">IF(A900="","",_xlfn.TEXTJOIN(", ",TRUE,IF(('Companies'!$A$4:$A$63&lt;&gt;"")*(COUNTIFS('Access'!$A$4:$A$1503,A900,'Access'!$F$4:$F$1503,"*"&amp;'Companies'!$A$4:$A$63&amp;"*")&gt;0),'Companies'!$A$4:$A$63,"")))</f>
        <v/>
      </c>
      <c r="J900" s="30">
        <f>IF(A900="","",IF(COUNTIF($A$4:$A$1003,A900)&gt;1,"Duplicate email",IF(ISERROR(FIND("@",A900)),"Not an email address",IF(AND(H900=0,E900=""),"Investor without holders","OK"))))</f>
        <v/>
      </c>
    </row>
    <row r="901">
      <c r="A901" s="26" t="n"/>
      <c r="B901" s="26" t="n"/>
      <c r="C901" s="26" t="n"/>
      <c r="D901" s="26" t="n"/>
      <c r="E901" s="26" t="n"/>
      <c r="F901" s="26" t="n"/>
      <c r="G901" s="26" t="n"/>
      <c r="H901" s="30">
        <f>IF(A901="","",COUNTIF('Access'!$A$4:$A$1503,A901))</f>
        <v/>
      </c>
      <c r="I901" s="30">
        <f t="array" ref="I901">IF(A901="","",_xlfn.TEXTJOIN(", ",TRUE,IF(('Companies'!$A$4:$A$63&lt;&gt;"")*(COUNTIFS('Access'!$A$4:$A$1503,A901,'Access'!$F$4:$F$1503,"*"&amp;'Companies'!$A$4:$A$63&amp;"*")&gt;0),'Companies'!$A$4:$A$63,"")))</f>
        <v/>
      </c>
      <c r="J901" s="30">
        <f>IF(A901="","",IF(COUNTIF($A$4:$A$1003,A901)&gt;1,"Duplicate email",IF(ISERROR(FIND("@",A901)),"Not an email address",IF(AND(H901=0,E901=""),"Investor without holders","OK"))))</f>
        <v/>
      </c>
    </row>
    <row r="902">
      <c r="A902" s="26" t="n"/>
      <c r="B902" s="26" t="n"/>
      <c r="C902" s="26" t="n"/>
      <c r="D902" s="26" t="n"/>
      <c r="E902" s="26" t="n"/>
      <c r="F902" s="26" t="n"/>
      <c r="G902" s="26" t="n"/>
      <c r="H902" s="30">
        <f>IF(A902="","",COUNTIF('Access'!$A$4:$A$1503,A902))</f>
        <v/>
      </c>
      <c r="I902" s="30">
        <f t="array" ref="I902">IF(A902="","",_xlfn.TEXTJOIN(", ",TRUE,IF(('Companies'!$A$4:$A$63&lt;&gt;"")*(COUNTIFS('Access'!$A$4:$A$1503,A902,'Access'!$F$4:$F$1503,"*"&amp;'Companies'!$A$4:$A$63&amp;"*")&gt;0),'Companies'!$A$4:$A$63,"")))</f>
        <v/>
      </c>
      <c r="J902" s="30">
        <f>IF(A902="","",IF(COUNTIF($A$4:$A$1003,A902)&gt;1,"Duplicate email",IF(ISERROR(FIND("@",A902)),"Not an email address",IF(AND(H902=0,E902=""),"Investor without holders","OK"))))</f>
        <v/>
      </c>
    </row>
    <row r="903">
      <c r="A903" s="26" t="n"/>
      <c r="B903" s="26" t="n"/>
      <c r="C903" s="26" t="n"/>
      <c r="D903" s="26" t="n"/>
      <c r="E903" s="26" t="n"/>
      <c r="F903" s="26" t="n"/>
      <c r="G903" s="26" t="n"/>
      <c r="H903" s="30">
        <f>IF(A903="","",COUNTIF('Access'!$A$4:$A$1503,A903))</f>
        <v/>
      </c>
      <c r="I903" s="30">
        <f t="array" ref="I903">IF(A903="","",_xlfn.TEXTJOIN(", ",TRUE,IF(('Companies'!$A$4:$A$63&lt;&gt;"")*(COUNTIFS('Access'!$A$4:$A$1503,A903,'Access'!$F$4:$F$1503,"*"&amp;'Companies'!$A$4:$A$63&amp;"*")&gt;0),'Companies'!$A$4:$A$63,"")))</f>
        <v/>
      </c>
      <c r="J903" s="30">
        <f>IF(A903="","",IF(COUNTIF($A$4:$A$1003,A903)&gt;1,"Duplicate email",IF(ISERROR(FIND("@",A903)),"Not an email address",IF(AND(H903=0,E903=""),"Investor without holders","OK"))))</f>
        <v/>
      </c>
    </row>
    <row r="904">
      <c r="A904" s="26" t="n"/>
      <c r="B904" s="26" t="n"/>
      <c r="C904" s="26" t="n"/>
      <c r="D904" s="26" t="n"/>
      <c r="E904" s="26" t="n"/>
      <c r="F904" s="26" t="n"/>
      <c r="G904" s="26" t="n"/>
      <c r="H904" s="30">
        <f>IF(A904="","",COUNTIF('Access'!$A$4:$A$1503,A904))</f>
        <v/>
      </c>
      <c r="I904" s="30">
        <f t="array" ref="I904">IF(A904="","",_xlfn.TEXTJOIN(", ",TRUE,IF(('Companies'!$A$4:$A$63&lt;&gt;"")*(COUNTIFS('Access'!$A$4:$A$1503,A904,'Access'!$F$4:$F$1503,"*"&amp;'Companies'!$A$4:$A$63&amp;"*")&gt;0),'Companies'!$A$4:$A$63,"")))</f>
        <v/>
      </c>
      <c r="J904" s="30">
        <f>IF(A904="","",IF(COUNTIF($A$4:$A$1003,A904)&gt;1,"Duplicate email",IF(ISERROR(FIND("@",A904)),"Not an email address",IF(AND(H904=0,E904=""),"Investor without holders","OK"))))</f>
        <v/>
      </c>
    </row>
    <row r="905">
      <c r="A905" s="26" t="n"/>
      <c r="B905" s="26" t="n"/>
      <c r="C905" s="26" t="n"/>
      <c r="D905" s="26" t="n"/>
      <c r="E905" s="26" t="n"/>
      <c r="F905" s="26" t="n"/>
      <c r="G905" s="26" t="n"/>
      <c r="H905" s="30">
        <f>IF(A905="","",COUNTIF('Access'!$A$4:$A$1503,A905))</f>
        <v/>
      </c>
      <c r="I905" s="30">
        <f t="array" ref="I905">IF(A905="","",_xlfn.TEXTJOIN(", ",TRUE,IF(('Companies'!$A$4:$A$63&lt;&gt;"")*(COUNTIFS('Access'!$A$4:$A$1503,A905,'Access'!$F$4:$F$1503,"*"&amp;'Companies'!$A$4:$A$63&amp;"*")&gt;0),'Companies'!$A$4:$A$63,"")))</f>
        <v/>
      </c>
      <c r="J905" s="30">
        <f>IF(A905="","",IF(COUNTIF($A$4:$A$1003,A905)&gt;1,"Duplicate email",IF(ISERROR(FIND("@",A905)),"Not an email address",IF(AND(H905=0,E905=""),"Investor without holders","OK"))))</f>
        <v/>
      </c>
    </row>
    <row r="906">
      <c r="A906" s="26" t="n"/>
      <c r="B906" s="26" t="n"/>
      <c r="C906" s="26" t="n"/>
      <c r="D906" s="26" t="n"/>
      <c r="E906" s="26" t="n"/>
      <c r="F906" s="26" t="n"/>
      <c r="G906" s="26" t="n"/>
      <c r="H906" s="30">
        <f>IF(A906="","",COUNTIF('Access'!$A$4:$A$1503,A906))</f>
        <v/>
      </c>
      <c r="I906" s="30">
        <f t="array" ref="I906">IF(A906="","",_xlfn.TEXTJOIN(", ",TRUE,IF(('Companies'!$A$4:$A$63&lt;&gt;"")*(COUNTIFS('Access'!$A$4:$A$1503,A906,'Access'!$F$4:$F$1503,"*"&amp;'Companies'!$A$4:$A$63&amp;"*")&gt;0),'Companies'!$A$4:$A$63,"")))</f>
        <v/>
      </c>
      <c r="J906" s="30">
        <f>IF(A906="","",IF(COUNTIF($A$4:$A$1003,A906)&gt;1,"Duplicate email",IF(ISERROR(FIND("@",A906)),"Not an email address",IF(AND(H906=0,E906=""),"Investor without holders","OK"))))</f>
        <v/>
      </c>
    </row>
    <row r="907">
      <c r="A907" s="26" t="n"/>
      <c r="B907" s="26" t="n"/>
      <c r="C907" s="26" t="n"/>
      <c r="D907" s="26" t="n"/>
      <c r="E907" s="26" t="n"/>
      <c r="F907" s="26" t="n"/>
      <c r="G907" s="26" t="n"/>
      <c r="H907" s="30">
        <f>IF(A907="","",COUNTIF('Access'!$A$4:$A$1503,A907))</f>
        <v/>
      </c>
      <c r="I907" s="30">
        <f t="array" ref="I907">IF(A907="","",_xlfn.TEXTJOIN(", ",TRUE,IF(('Companies'!$A$4:$A$63&lt;&gt;"")*(COUNTIFS('Access'!$A$4:$A$1503,A907,'Access'!$F$4:$F$1503,"*"&amp;'Companies'!$A$4:$A$63&amp;"*")&gt;0),'Companies'!$A$4:$A$63,"")))</f>
        <v/>
      </c>
      <c r="J907" s="30">
        <f>IF(A907="","",IF(COUNTIF($A$4:$A$1003,A907)&gt;1,"Duplicate email",IF(ISERROR(FIND("@",A907)),"Not an email address",IF(AND(H907=0,E907=""),"Investor without holders","OK"))))</f>
        <v/>
      </c>
    </row>
    <row r="908">
      <c r="A908" s="26" t="n"/>
      <c r="B908" s="26" t="n"/>
      <c r="C908" s="26" t="n"/>
      <c r="D908" s="26" t="n"/>
      <c r="E908" s="26" t="n"/>
      <c r="F908" s="26" t="n"/>
      <c r="G908" s="26" t="n"/>
      <c r="H908" s="30">
        <f>IF(A908="","",COUNTIF('Access'!$A$4:$A$1503,A908))</f>
        <v/>
      </c>
      <c r="I908" s="30">
        <f t="array" ref="I908">IF(A908="","",_xlfn.TEXTJOIN(", ",TRUE,IF(('Companies'!$A$4:$A$63&lt;&gt;"")*(COUNTIFS('Access'!$A$4:$A$1503,A908,'Access'!$F$4:$F$1503,"*"&amp;'Companies'!$A$4:$A$63&amp;"*")&gt;0),'Companies'!$A$4:$A$63,"")))</f>
        <v/>
      </c>
      <c r="J908" s="30">
        <f>IF(A908="","",IF(COUNTIF($A$4:$A$1003,A908)&gt;1,"Duplicate email",IF(ISERROR(FIND("@",A908)),"Not an email address",IF(AND(H908=0,E908=""),"Investor without holders","OK"))))</f>
        <v/>
      </c>
    </row>
    <row r="909">
      <c r="A909" s="26" t="n"/>
      <c r="B909" s="26" t="n"/>
      <c r="C909" s="26" t="n"/>
      <c r="D909" s="26" t="n"/>
      <c r="E909" s="26" t="n"/>
      <c r="F909" s="26" t="n"/>
      <c r="G909" s="26" t="n"/>
      <c r="H909" s="30">
        <f>IF(A909="","",COUNTIF('Access'!$A$4:$A$1503,A909))</f>
        <v/>
      </c>
      <c r="I909" s="30">
        <f t="array" ref="I909">IF(A909="","",_xlfn.TEXTJOIN(", ",TRUE,IF(('Companies'!$A$4:$A$63&lt;&gt;"")*(COUNTIFS('Access'!$A$4:$A$1503,A909,'Access'!$F$4:$F$1503,"*"&amp;'Companies'!$A$4:$A$63&amp;"*")&gt;0),'Companies'!$A$4:$A$63,"")))</f>
        <v/>
      </c>
      <c r="J909" s="30">
        <f>IF(A909="","",IF(COUNTIF($A$4:$A$1003,A909)&gt;1,"Duplicate email",IF(ISERROR(FIND("@",A909)),"Not an email address",IF(AND(H909=0,E909=""),"Investor without holders","OK"))))</f>
        <v/>
      </c>
    </row>
    <row r="910">
      <c r="A910" s="26" t="n"/>
      <c r="B910" s="26" t="n"/>
      <c r="C910" s="26" t="n"/>
      <c r="D910" s="26" t="n"/>
      <c r="E910" s="26" t="n"/>
      <c r="F910" s="26" t="n"/>
      <c r="G910" s="26" t="n"/>
      <c r="H910" s="30">
        <f>IF(A910="","",COUNTIF('Access'!$A$4:$A$1503,A910))</f>
        <v/>
      </c>
      <c r="I910" s="30">
        <f t="array" ref="I910">IF(A910="","",_xlfn.TEXTJOIN(", ",TRUE,IF(('Companies'!$A$4:$A$63&lt;&gt;"")*(COUNTIFS('Access'!$A$4:$A$1503,A910,'Access'!$F$4:$F$1503,"*"&amp;'Companies'!$A$4:$A$63&amp;"*")&gt;0),'Companies'!$A$4:$A$63,"")))</f>
        <v/>
      </c>
      <c r="J910" s="30">
        <f>IF(A910="","",IF(COUNTIF($A$4:$A$1003,A910)&gt;1,"Duplicate email",IF(ISERROR(FIND("@",A910)),"Not an email address",IF(AND(H910=0,E910=""),"Investor without holders","OK"))))</f>
        <v/>
      </c>
    </row>
    <row r="911">
      <c r="A911" s="26" t="n"/>
      <c r="B911" s="26" t="n"/>
      <c r="C911" s="26" t="n"/>
      <c r="D911" s="26" t="n"/>
      <c r="E911" s="26" t="n"/>
      <c r="F911" s="26" t="n"/>
      <c r="G911" s="26" t="n"/>
      <c r="H911" s="30">
        <f>IF(A911="","",COUNTIF('Access'!$A$4:$A$1503,A911))</f>
        <v/>
      </c>
      <c r="I911" s="30">
        <f t="array" ref="I911">IF(A911="","",_xlfn.TEXTJOIN(", ",TRUE,IF(('Companies'!$A$4:$A$63&lt;&gt;"")*(COUNTIFS('Access'!$A$4:$A$1503,A911,'Access'!$F$4:$F$1503,"*"&amp;'Companies'!$A$4:$A$63&amp;"*")&gt;0),'Companies'!$A$4:$A$63,"")))</f>
        <v/>
      </c>
      <c r="J911" s="30">
        <f>IF(A911="","",IF(COUNTIF($A$4:$A$1003,A911)&gt;1,"Duplicate email",IF(ISERROR(FIND("@",A911)),"Not an email address",IF(AND(H911=0,E911=""),"Investor without holders","OK"))))</f>
        <v/>
      </c>
    </row>
    <row r="912">
      <c r="A912" s="26" t="n"/>
      <c r="B912" s="26" t="n"/>
      <c r="C912" s="26" t="n"/>
      <c r="D912" s="26" t="n"/>
      <c r="E912" s="26" t="n"/>
      <c r="F912" s="26" t="n"/>
      <c r="G912" s="26" t="n"/>
      <c r="H912" s="30">
        <f>IF(A912="","",COUNTIF('Access'!$A$4:$A$1503,A912))</f>
        <v/>
      </c>
      <c r="I912" s="30">
        <f t="array" ref="I912">IF(A912="","",_xlfn.TEXTJOIN(", ",TRUE,IF(('Companies'!$A$4:$A$63&lt;&gt;"")*(COUNTIFS('Access'!$A$4:$A$1503,A912,'Access'!$F$4:$F$1503,"*"&amp;'Companies'!$A$4:$A$63&amp;"*")&gt;0),'Companies'!$A$4:$A$63,"")))</f>
        <v/>
      </c>
      <c r="J912" s="30">
        <f>IF(A912="","",IF(COUNTIF($A$4:$A$1003,A912)&gt;1,"Duplicate email",IF(ISERROR(FIND("@",A912)),"Not an email address",IF(AND(H912=0,E912=""),"Investor without holders","OK"))))</f>
        <v/>
      </c>
    </row>
    <row r="913">
      <c r="A913" s="26" t="n"/>
      <c r="B913" s="26" t="n"/>
      <c r="C913" s="26" t="n"/>
      <c r="D913" s="26" t="n"/>
      <c r="E913" s="26" t="n"/>
      <c r="F913" s="26" t="n"/>
      <c r="G913" s="26" t="n"/>
      <c r="H913" s="30">
        <f>IF(A913="","",COUNTIF('Access'!$A$4:$A$1503,A913))</f>
        <v/>
      </c>
      <c r="I913" s="30">
        <f t="array" ref="I913">IF(A913="","",_xlfn.TEXTJOIN(", ",TRUE,IF(('Companies'!$A$4:$A$63&lt;&gt;"")*(COUNTIFS('Access'!$A$4:$A$1503,A913,'Access'!$F$4:$F$1503,"*"&amp;'Companies'!$A$4:$A$63&amp;"*")&gt;0),'Companies'!$A$4:$A$63,"")))</f>
        <v/>
      </c>
      <c r="J913" s="30">
        <f>IF(A913="","",IF(COUNTIF($A$4:$A$1003,A913)&gt;1,"Duplicate email",IF(ISERROR(FIND("@",A913)),"Not an email address",IF(AND(H913=0,E913=""),"Investor without holders","OK"))))</f>
        <v/>
      </c>
    </row>
    <row r="914">
      <c r="A914" s="26" t="n"/>
      <c r="B914" s="26" t="n"/>
      <c r="C914" s="26" t="n"/>
      <c r="D914" s="26" t="n"/>
      <c r="E914" s="26" t="n"/>
      <c r="F914" s="26" t="n"/>
      <c r="G914" s="26" t="n"/>
      <c r="H914" s="30">
        <f>IF(A914="","",COUNTIF('Access'!$A$4:$A$1503,A914))</f>
        <v/>
      </c>
      <c r="I914" s="30">
        <f t="array" ref="I914">IF(A914="","",_xlfn.TEXTJOIN(", ",TRUE,IF(('Companies'!$A$4:$A$63&lt;&gt;"")*(COUNTIFS('Access'!$A$4:$A$1503,A914,'Access'!$F$4:$F$1503,"*"&amp;'Companies'!$A$4:$A$63&amp;"*")&gt;0),'Companies'!$A$4:$A$63,"")))</f>
        <v/>
      </c>
      <c r="J914" s="30">
        <f>IF(A914="","",IF(COUNTIF($A$4:$A$1003,A914)&gt;1,"Duplicate email",IF(ISERROR(FIND("@",A914)),"Not an email address",IF(AND(H914=0,E914=""),"Investor without holders","OK"))))</f>
        <v/>
      </c>
    </row>
    <row r="915">
      <c r="A915" s="26" t="n"/>
      <c r="B915" s="26" t="n"/>
      <c r="C915" s="26" t="n"/>
      <c r="D915" s="26" t="n"/>
      <c r="E915" s="26" t="n"/>
      <c r="F915" s="26" t="n"/>
      <c r="G915" s="26" t="n"/>
      <c r="H915" s="30">
        <f>IF(A915="","",COUNTIF('Access'!$A$4:$A$1503,A915))</f>
        <v/>
      </c>
      <c r="I915" s="30">
        <f t="array" ref="I915">IF(A915="","",_xlfn.TEXTJOIN(", ",TRUE,IF(('Companies'!$A$4:$A$63&lt;&gt;"")*(COUNTIFS('Access'!$A$4:$A$1503,A915,'Access'!$F$4:$F$1503,"*"&amp;'Companies'!$A$4:$A$63&amp;"*")&gt;0),'Companies'!$A$4:$A$63,"")))</f>
        <v/>
      </c>
      <c r="J915" s="30">
        <f>IF(A915="","",IF(COUNTIF($A$4:$A$1003,A915)&gt;1,"Duplicate email",IF(ISERROR(FIND("@",A915)),"Not an email address",IF(AND(H915=0,E915=""),"Investor without holders","OK"))))</f>
        <v/>
      </c>
    </row>
    <row r="916">
      <c r="A916" s="26" t="n"/>
      <c r="B916" s="26" t="n"/>
      <c r="C916" s="26" t="n"/>
      <c r="D916" s="26" t="n"/>
      <c r="E916" s="26" t="n"/>
      <c r="F916" s="26" t="n"/>
      <c r="G916" s="26" t="n"/>
      <c r="H916" s="30">
        <f>IF(A916="","",COUNTIF('Access'!$A$4:$A$1503,A916))</f>
        <v/>
      </c>
      <c r="I916" s="30">
        <f t="array" ref="I916">IF(A916="","",_xlfn.TEXTJOIN(", ",TRUE,IF(('Companies'!$A$4:$A$63&lt;&gt;"")*(COUNTIFS('Access'!$A$4:$A$1503,A916,'Access'!$F$4:$F$1503,"*"&amp;'Companies'!$A$4:$A$63&amp;"*")&gt;0),'Companies'!$A$4:$A$63,"")))</f>
        <v/>
      </c>
      <c r="J916" s="30">
        <f>IF(A916="","",IF(COUNTIF($A$4:$A$1003,A916)&gt;1,"Duplicate email",IF(ISERROR(FIND("@",A916)),"Not an email address",IF(AND(H916=0,E916=""),"Investor without holders","OK"))))</f>
        <v/>
      </c>
    </row>
    <row r="917">
      <c r="A917" s="26" t="n"/>
      <c r="B917" s="26" t="n"/>
      <c r="C917" s="26" t="n"/>
      <c r="D917" s="26" t="n"/>
      <c r="E917" s="26" t="n"/>
      <c r="F917" s="26" t="n"/>
      <c r="G917" s="26" t="n"/>
      <c r="H917" s="30">
        <f>IF(A917="","",COUNTIF('Access'!$A$4:$A$1503,A917))</f>
        <v/>
      </c>
      <c r="I917" s="30">
        <f t="array" ref="I917">IF(A917="","",_xlfn.TEXTJOIN(", ",TRUE,IF(('Companies'!$A$4:$A$63&lt;&gt;"")*(COUNTIFS('Access'!$A$4:$A$1503,A917,'Access'!$F$4:$F$1503,"*"&amp;'Companies'!$A$4:$A$63&amp;"*")&gt;0),'Companies'!$A$4:$A$63,"")))</f>
        <v/>
      </c>
      <c r="J917" s="30">
        <f>IF(A917="","",IF(COUNTIF($A$4:$A$1003,A917)&gt;1,"Duplicate email",IF(ISERROR(FIND("@",A917)),"Not an email address",IF(AND(H917=0,E917=""),"Investor without holders","OK"))))</f>
        <v/>
      </c>
    </row>
    <row r="918">
      <c r="A918" s="26" t="n"/>
      <c r="B918" s="26" t="n"/>
      <c r="C918" s="26" t="n"/>
      <c r="D918" s="26" t="n"/>
      <c r="E918" s="26" t="n"/>
      <c r="F918" s="26" t="n"/>
      <c r="G918" s="26" t="n"/>
      <c r="H918" s="30">
        <f>IF(A918="","",COUNTIF('Access'!$A$4:$A$1503,A918))</f>
        <v/>
      </c>
      <c r="I918" s="30">
        <f t="array" ref="I918">IF(A918="","",_xlfn.TEXTJOIN(", ",TRUE,IF(('Companies'!$A$4:$A$63&lt;&gt;"")*(COUNTIFS('Access'!$A$4:$A$1503,A918,'Access'!$F$4:$F$1503,"*"&amp;'Companies'!$A$4:$A$63&amp;"*")&gt;0),'Companies'!$A$4:$A$63,"")))</f>
        <v/>
      </c>
      <c r="J918" s="30">
        <f>IF(A918="","",IF(COUNTIF($A$4:$A$1003,A918)&gt;1,"Duplicate email",IF(ISERROR(FIND("@",A918)),"Not an email address",IF(AND(H918=0,E918=""),"Investor without holders","OK"))))</f>
        <v/>
      </c>
    </row>
    <row r="919">
      <c r="A919" s="26" t="n"/>
      <c r="B919" s="26" t="n"/>
      <c r="C919" s="26" t="n"/>
      <c r="D919" s="26" t="n"/>
      <c r="E919" s="26" t="n"/>
      <c r="F919" s="26" t="n"/>
      <c r="G919" s="26" t="n"/>
      <c r="H919" s="30">
        <f>IF(A919="","",COUNTIF('Access'!$A$4:$A$1503,A919))</f>
        <v/>
      </c>
      <c r="I919" s="30">
        <f t="array" ref="I919">IF(A919="","",_xlfn.TEXTJOIN(", ",TRUE,IF(('Companies'!$A$4:$A$63&lt;&gt;"")*(COUNTIFS('Access'!$A$4:$A$1503,A919,'Access'!$F$4:$F$1503,"*"&amp;'Companies'!$A$4:$A$63&amp;"*")&gt;0),'Companies'!$A$4:$A$63,"")))</f>
        <v/>
      </c>
      <c r="J919" s="30">
        <f>IF(A919="","",IF(COUNTIF($A$4:$A$1003,A919)&gt;1,"Duplicate email",IF(ISERROR(FIND("@",A919)),"Not an email address",IF(AND(H919=0,E919=""),"Investor without holders","OK"))))</f>
        <v/>
      </c>
    </row>
    <row r="920">
      <c r="A920" s="26" t="n"/>
      <c r="B920" s="26" t="n"/>
      <c r="C920" s="26" t="n"/>
      <c r="D920" s="26" t="n"/>
      <c r="E920" s="26" t="n"/>
      <c r="F920" s="26" t="n"/>
      <c r="G920" s="26" t="n"/>
      <c r="H920" s="30">
        <f>IF(A920="","",COUNTIF('Access'!$A$4:$A$1503,A920))</f>
        <v/>
      </c>
      <c r="I920" s="30">
        <f t="array" ref="I920">IF(A920="","",_xlfn.TEXTJOIN(", ",TRUE,IF(('Companies'!$A$4:$A$63&lt;&gt;"")*(COUNTIFS('Access'!$A$4:$A$1503,A920,'Access'!$F$4:$F$1503,"*"&amp;'Companies'!$A$4:$A$63&amp;"*")&gt;0),'Companies'!$A$4:$A$63,"")))</f>
        <v/>
      </c>
      <c r="J920" s="30">
        <f>IF(A920="","",IF(COUNTIF($A$4:$A$1003,A920)&gt;1,"Duplicate email",IF(ISERROR(FIND("@",A920)),"Not an email address",IF(AND(H920=0,E920=""),"Investor without holders","OK"))))</f>
        <v/>
      </c>
    </row>
    <row r="921">
      <c r="A921" s="26" t="n"/>
      <c r="B921" s="26" t="n"/>
      <c r="C921" s="26" t="n"/>
      <c r="D921" s="26" t="n"/>
      <c r="E921" s="26" t="n"/>
      <c r="F921" s="26" t="n"/>
      <c r="G921" s="26" t="n"/>
      <c r="H921" s="30">
        <f>IF(A921="","",COUNTIF('Access'!$A$4:$A$1503,A921))</f>
        <v/>
      </c>
      <c r="I921" s="30">
        <f t="array" ref="I921">IF(A921="","",_xlfn.TEXTJOIN(", ",TRUE,IF(('Companies'!$A$4:$A$63&lt;&gt;"")*(COUNTIFS('Access'!$A$4:$A$1503,A921,'Access'!$F$4:$F$1503,"*"&amp;'Companies'!$A$4:$A$63&amp;"*")&gt;0),'Companies'!$A$4:$A$63,"")))</f>
        <v/>
      </c>
      <c r="J921" s="30">
        <f>IF(A921="","",IF(COUNTIF($A$4:$A$1003,A921)&gt;1,"Duplicate email",IF(ISERROR(FIND("@",A921)),"Not an email address",IF(AND(H921=0,E921=""),"Investor without holders","OK"))))</f>
        <v/>
      </c>
    </row>
    <row r="922">
      <c r="A922" s="26" t="n"/>
      <c r="B922" s="26" t="n"/>
      <c r="C922" s="26" t="n"/>
      <c r="D922" s="26" t="n"/>
      <c r="E922" s="26" t="n"/>
      <c r="F922" s="26" t="n"/>
      <c r="G922" s="26" t="n"/>
      <c r="H922" s="30">
        <f>IF(A922="","",COUNTIF('Access'!$A$4:$A$1503,A922))</f>
        <v/>
      </c>
      <c r="I922" s="30">
        <f t="array" ref="I922">IF(A922="","",_xlfn.TEXTJOIN(", ",TRUE,IF(('Companies'!$A$4:$A$63&lt;&gt;"")*(COUNTIFS('Access'!$A$4:$A$1503,A922,'Access'!$F$4:$F$1503,"*"&amp;'Companies'!$A$4:$A$63&amp;"*")&gt;0),'Companies'!$A$4:$A$63,"")))</f>
        <v/>
      </c>
      <c r="J922" s="30">
        <f>IF(A922="","",IF(COUNTIF($A$4:$A$1003,A922)&gt;1,"Duplicate email",IF(ISERROR(FIND("@",A922)),"Not an email address",IF(AND(H922=0,E922=""),"Investor without holders","OK"))))</f>
        <v/>
      </c>
    </row>
    <row r="923">
      <c r="A923" s="26" t="n"/>
      <c r="B923" s="26" t="n"/>
      <c r="C923" s="26" t="n"/>
      <c r="D923" s="26" t="n"/>
      <c r="E923" s="26" t="n"/>
      <c r="F923" s="26" t="n"/>
      <c r="G923" s="26" t="n"/>
      <c r="H923" s="30">
        <f>IF(A923="","",COUNTIF('Access'!$A$4:$A$1503,A923))</f>
        <v/>
      </c>
      <c r="I923" s="30">
        <f t="array" ref="I923">IF(A923="","",_xlfn.TEXTJOIN(", ",TRUE,IF(('Companies'!$A$4:$A$63&lt;&gt;"")*(COUNTIFS('Access'!$A$4:$A$1503,A923,'Access'!$F$4:$F$1503,"*"&amp;'Companies'!$A$4:$A$63&amp;"*")&gt;0),'Companies'!$A$4:$A$63,"")))</f>
        <v/>
      </c>
      <c r="J923" s="30">
        <f>IF(A923="","",IF(COUNTIF($A$4:$A$1003,A923)&gt;1,"Duplicate email",IF(ISERROR(FIND("@",A923)),"Not an email address",IF(AND(H923=0,E923=""),"Investor without holders","OK"))))</f>
        <v/>
      </c>
    </row>
    <row r="924">
      <c r="A924" s="26" t="n"/>
      <c r="B924" s="26" t="n"/>
      <c r="C924" s="26" t="n"/>
      <c r="D924" s="26" t="n"/>
      <c r="E924" s="26" t="n"/>
      <c r="F924" s="26" t="n"/>
      <c r="G924" s="26" t="n"/>
      <c r="H924" s="30">
        <f>IF(A924="","",COUNTIF('Access'!$A$4:$A$1503,A924))</f>
        <v/>
      </c>
      <c r="I924" s="30">
        <f t="array" ref="I924">IF(A924="","",_xlfn.TEXTJOIN(", ",TRUE,IF(('Companies'!$A$4:$A$63&lt;&gt;"")*(COUNTIFS('Access'!$A$4:$A$1503,A924,'Access'!$F$4:$F$1503,"*"&amp;'Companies'!$A$4:$A$63&amp;"*")&gt;0),'Companies'!$A$4:$A$63,"")))</f>
        <v/>
      </c>
      <c r="J924" s="30">
        <f>IF(A924="","",IF(COUNTIF($A$4:$A$1003,A924)&gt;1,"Duplicate email",IF(ISERROR(FIND("@",A924)),"Not an email address",IF(AND(H924=0,E924=""),"Investor without holders","OK"))))</f>
        <v/>
      </c>
    </row>
    <row r="925">
      <c r="A925" s="26" t="n"/>
      <c r="B925" s="26" t="n"/>
      <c r="C925" s="26" t="n"/>
      <c r="D925" s="26" t="n"/>
      <c r="E925" s="26" t="n"/>
      <c r="F925" s="26" t="n"/>
      <c r="G925" s="26" t="n"/>
      <c r="H925" s="30">
        <f>IF(A925="","",COUNTIF('Access'!$A$4:$A$1503,A925))</f>
        <v/>
      </c>
      <c r="I925" s="30">
        <f t="array" ref="I925">IF(A925="","",_xlfn.TEXTJOIN(", ",TRUE,IF(('Companies'!$A$4:$A$63&lt;&gt;"")*(COUNTIFS('Access'!$A$4:$A$1503,A925,'Access'!$F$4:$F$1503,"*"&amp;'Companies'!$A$4:$A$63&amp;"*")&gt;0),'Companies'!$A$4:$A$63,"")))</f>
        <v/>
      </c>
      <c r="J925" s="30">
        <f>IF(A925="","",IF(COUNTIF($A$4:$A$1003,A925)&gt;1,"Duplicate email",IF(ISERROR(FIND("@",A925)),"Not an email address",IF(AND(H925=0,E925=""),"Investor without holders","OK"))))</f>
        <v/>
      </c>
    </row>
    <row r="926">
      <c r="A926" s="26" t="n"/>
      <c r="B926" s="26" t="n"/>
      <c r="C926" s="26" t="n"/>
      <c r="D926" s="26" t="n"/>
      <c r="E926" s="26" t="n"/>
      <c r="F926" s="26" t="n"/>
      <c r="G926" s="26" t="n"/>
      <c r="H926" s="30">
        <f>IF(A926="","",COUNTIF('Access'!$A$4:$A$1503,A926))</f>
        <v/>
      </c>
      <c r="I926" s="30">
        <f t="array" ref="I926">IF(A926="","",_xlfn.TEXTJOIN(", ",TRUE,IF(('Companies'!$A$4:$A$63&lt;&gt;"")*(COUNTIFS('Access'!$A$4:$A$1503,A926,'Access'!$F$4:$F$1503,"*"&amp;'Companies'!$A$4:$A$63&amp;"*")&gt;0),'Companies'!$A$4:$A$63,"")))</f>
        <v/>
      </c>
      <c r="J926" s="30">
        <f>IF(A926="","",IF(COUNTIF($A$4:$A$1003,A926)&gt;1,"Duplicate email",IF(ISERROR(FIND("@",A926)),"Not an email address",IF(AND(H926=0,E926=""),"Investor without holders","OK"))))</f>
        <v/>
      </c>
    </row>
    <row r="927">
      <c r="A927" s="26" t="n"/>
      <c r="B927" s="26" t="n"/>
      <c r="C927" s="26" t="n"/>
      <c r="D927" s="26" t="n"/>
      <c r="E927" s="26" t="n"/>
      <c r="F927" s="26" t="n"/>
      <c r="G927" s="26" t="n"/>
      <c r="H927" s="30">
        <f>IF(A927="","",COUNTIF('Access'!$A$4:$A$1503,A927))</f>
        <v/>
      </c>
      <c r="I927" s="30">
        <f t="array" ref="I927">IF(A927="","",_xlfn.TEXTJOIN(", ",TRUE,IF(('Companies'!$A$4:$A$63&lt;&gt;"")*(COUNTIFS('Access'!$A$4:$A$1503,A927,'Access'!$F$4:$F$1503,"*"&amp;'Companies'!$A$4:$A$63&amp;"*")&gt;0),'Companies'!$A$4:$A$63,"")))</f>
        <v/>
      </c>
      <c r="J927" s="30">
        <f>IF(A927="","",IF(COUNTIF($A$4:$A$1003,A927)&gt;1,"Duplicate email",IF(ISERROR(FIND("@",A927)),"Not an email address",IF(AND(H927=0,E927=""),"Investor without holders","OK"))))</f>
        <v/>
      </c>
    </row>
    <row r="928">
      <c r="A928" s="26" t="n"/>
      <c r="B928" s="26" t="n"/>
      <c r="C928" s="26" t="n"/>
      <c r="D928" s="26" t="n"/>
      <c r="E928" s="26" t="n"/>
      <c r="F928" s="26" t="n"/>
      <c r="G928" s="26" t="n"/>
      <c r="H928" s="30">
        <f>IF(A928="","",COUNTIF('Access'!$A$4:$A$1503,A928))</f>
        <v/>
      </c>
      <c r="I928" s="30">
        <f t="array" ref="I928">IF(A928="","",_xlfn.TEXTJOIN(", ",TRUE,IF(('Companies'!$A$4:$A$63&lt;&gt;"")*(COUNTIFS('Access'!$A$4:$A$1503,A928,'Access'!$F$4:$F$1503,"*"&amp;'Companies'!$A$4:$A$63&amp;"*")&gt;0),'Companies'!$A$4:$A$63,"")))</f>
        <v/>
      </c>
      <c r="J928" s="30">
        <f>IF(A928="","",IF(COUNTIF($A$4:$A$1003,A928)&gt;1,"Duplicate email",IF(ISERROR(FIND("@",A928)),"Not an email address",IF(AND(H928=0,E928=""),"Investor without holders","OK"))))</f>
        <v/>
      </c>
    </row>
    <row r="929">
      <c r="A929" s="26" t="n"/>
      <c r="B929" s="26" t="n"/>
      <c r="C929" s="26" t="n"/>
      <c r="D929" s="26" t="n"/>
      <c r="E929" s="26" t="n"/>
      <c r="F929" s="26" t="n"/>
      <c r="G929" s="26" t="n"/>
      <c r="H929" s="30">
        <f>IF(A929="","",COUNTIF('Access'!$A$4:$A$1503,A929))</f>
        <v/>
      </c>
      <c r="I929" s="30">
        <f t="array" ref="I929">IF(A929="","",_xlfn.TEXTJOIN(", ",TRUE,IF(('Companies'!$A$4:$A$63&lt;&gt;"")*(COUNTIFS('Access'!$A$4:$A$1503,A929,'Access'!$F$4:$F$1503,"*"&amp;'Companies'!$A$4:$A$63&amp;"*")&gt;0),'Companies'!$A$4:$A$63,"")))</f>
        <v/>
      </c>
      <c r="J929" s="30">
        <f>IF(A929="","",IF(COUNTIF($A$4:$A$1003,A929)&gt;1,"Duplicate email",IF(ISERROR(FIND("@",A929)),"Not an email address",IF(AND(H929=0,E929=""),"Investor without holders","OK"))))</f>
        <v/>
      </c>
    </row>
    <row r="930">
      <c r="A930" s="26" t="n"/>
      <c r="B930" s="26" t="n"/>
      <c r="C930" s="26" t="n"/>
      <c r="D930" s="26" t="n"/>
      <c r="E930" s="26" t="n"/>
      <c r="F930" s="26" t="n"/>
      <c r="G930" s="26" t="n"/>
      <c r="H930" s="30">
        <f>IF(A930="","",COUNTIF('Access'!$A$4:$A$1503,A930))</f>
        <v/>
      </c>
      <c r="I930" s="30">
        <f t="array" ref="I930">IF(A930="","",_xlfn.TEXTJOIN(", ",TRUE,IF(('Companies'!$A$4:$A$63&lt;&gt;"")*(COUNTIFS('Access'!$A$4:$A$1503,A930,'Access'!$F$4:$F$1503,"*"&amp;'Companies'!$A$4:$A$63&amp;"*")&gt;0),'Companies'!$A$4:$A$63,"")))</f>
        <v/>
      </c>
      <c r="J930" s="30">
        <f>IF(A930="","",IF(COUNTIF($A$4:$A$1003,A930)&gt;1,"Duplicate email",IF(ISERROR(FIND("@",A930)),"Not an email address",IF(AND(H930=0,E930=""),"Investor without holders","OK"))))</f>
        <v/>
      </c>
    </row>
    <row r="931">
      <c r="A931" s="26" t="n"/>
      <c r="B931" s="26" t="n"/>
      <c r="C931" s="26" t="n"/>
      <c r="D931" s="26" t="n"/>
      <c r="E931" s="26" t="n"/>
      <c r="F931" s="26" t="n"/>
      <c r="G931" s="26" t="n"/>
      <c r="H931" s="30">
        <f>IF(A931="","",COUNTIF('Access'!$A$4:$A$1503,A931))</f>
        <v/>
      </c>
      <c r="I931" s="30">
        <f t="array" ref="I931">IF(A931="","",_xlfn.TEXTJOIN(", ",TRUE,IF(('Companies'!$A$4:$A$63&lt;&gt;"")*(COUNTIFS('Access'!$A$4:$A$1503,A931,'Access'!$F$4:$F$1503,"*"&amp;'Companies'!$A$4:$A$63&amp;"*")&gt;0),'Companies'!$A$4:$A$63,"")))</f>
        <v/>
      </c>
      <c r="J931" s="30">
        <f>IF(A931="","",IF(COUNTIF($A$4:$A$1003,A931)&gt;1,"Duplicate email",IF(ISERROR(FIND("@",A931)),"Not an email address",IF(AND(H931=0,E931=""),"Investor without holders","OK"))))</f>
        <v/>
      </c>
    </row>
    <row r="932">
      <c r="A932" s="26" t="n"/>
      <c r="B932" s="26" t="n"/>
      <c r="C932" s="26" t="n"/>
      <c r="D932" s="26" t="n"/>
      <c r="E932" s="26" t="n"/>
      <c r="F932" s="26" t="n"/>
      <c r="G932" s="26" t="n"/>
      <c r="H932" s="30">
        <f>IF(A932="","",COUNTIF('Access'!$A$4:$A$1503,A932))</f>
        <v/>
      </c>
      <c r="I932" s="30">
        <f t="array" ref="I932">IF(A932="","",_xlfn.TEXTJOIN(", ",TRUE,IF(('Companies'!$A$4:$A$63&lt;&gt;"")*(COUNTIFS('Access'!$A$4:$A$1503,A932,'Access'!$F$4:$F$1503,"*"&amp;'Companies'!$A$4:$A$63&amp;"*")&gt;0),'Companies'!$A$4:$A$63,"")))</f>
        <v/>
      </c>
      <c r="J932" s="30">
        <f>IF(A932="","",IF(COUNTIF($A$4:$A$1003,A932)&gt;1,"Duplicate email",IF(ISERROR(FIND("@",A932)),"Not an email address",IF(AND(H932=0,E932=""),"Investor without holders","OK"))))</f>
        <v/>
      </c>
    </row>
    <row r="933">
      <c r="A933" s="26" t="n"/>
      <c r="B933" s="26" t="n"/>
      <c r="C933" s="26" t="n"/>
      <c r="D933" s="26" t="n"/>
      <c r="E933" s="26" t="n"/>
      <c r="F933" s="26" t="n"/>
      <c r="G933" s="26" t="n"/>
      <c r="H933" s="30">
        <f>IF(A933="","",COUNTIF('Access'!$A$4:$A$1503,A933))</f>
        <v/>
      </c>
      <c r="I933" s="30">
        <f t="array" ref="I933">IF(A933="","",_xlfn.TEXTJOIN(", ",TRUE,IF(('Companies'!$A$4:$A$63&lt;&gt;"")*(COUNTIFS('Access'!$A$4:$A$1503,A933,'Access'!$F$4:$F$1503,"*"&amp;'Companies'!$A$4:$A$63&amp;"*")&gt;0),'Companies'!$A$4:$A$63,"")))</f>
        <v/>
      </c>
      <c r="J933" s="30">
        <f>IF(A933="","",IF(COUNTIF($A$4:$A$1003,A933)&gt;1,"Duplicate email",IF(ISERROR(FIND("@",A933)),"Not an email address",IF(AND(H933=0,E933=""),"Investor without holders","OK"))))</f>
        <v/>
      </c>
    </row>
    <row r="934">
      <c r="A934" s="26" t="n"/>
      <c r="B934" s="26" t="n"/>
      <c r="C934" s="26" t="n"/>
      <c r="D934" s="26" t="n"/>
      <c r="E934" s="26" t="n"/>
      <c r="F934" s="26" t="n"/>
      <c r="G934" s="26" t="n"/>
      <c r="H934" s="30">
        <f>IF(A934="","",COUNTIF('Access'!$A$4:$A$1503,A934))</f>
        <v/>
      </c>
      <c r="I934" s="30">
        <f t="array" ref="I934">IF(A934="","",_xlfn.TEXTJOIN(", ",TRUE,IF(('Companies'!$A$4:$A$63&lt;&gt;"")*(COUNTIFS('Access'!$A$4:$A$1503,A934,'Access'!$F$4:$F$1503,"*"&amp;'Companies'!$A$4:$A$63&amp;"*")&gt;0),'Companies'!$A$4:$A$63,"")))</f>
        <v/>
      </c>
      <c r="J934" s="30">
        <f>IF(A934="","",IF(COUNTIF($A$4:$A$1003,A934)&gt;1,"Duplicate email",IF(ISERROR(FIND("@",A934)),"Not an email address",IF(AND(H934=0,E934=""),"Investor without holders","OK"))))</f>
        <v/>
      </c>
    </row>
    <row r="935">
      <c r="A935" s="26" t="n"/>
      <c r="B935" s="26" t="n"/>
      <c r="C935" s="26" t="n"/>
      <c r="D935" s="26" t="n"/>
      <c r="E935" s="26" t="n"/>
      <c r="F935" s="26" t="n"/>
      <c r="G935" s="26" t="n"/>
      <c r="H935" s="30">
        <f>IF(A935="","",COUNTIF('Access'!$A$4:$A$1503,A935))</f>
        <v/>
      </c>
      <c r="I935" s="30">
        <f t="array" ref="I935">IF(A935="","",_xlfn.TEXTJOIN(", ",TRUE,IF(('Companies'!$A$4:$A$63&lt;&gt;"")*(COUNTIFS('Access'!$A$4:$A$1503,A935,'Access'!$F$4:$F$1503,"*"&amp;'Companies'!$A$4:$A$63&amp;"*")&gt;0),'Companies'!$A$4:$A$63,"")))</f>
        <v/>
      </c>
      <c r="J935" s="30">
        <f>IF(A935="","",IF(COUNTIF($A$4:$A$1003,A935)&gt;1,"Duplicate email",IF(ISERROR(FIND("@",A935)),"Not an email address",IF(AND(H935=0,E935=""),"Investor without holders","OK"))))</f>
        <v/>
      </c>
    </row>
    <row r="936">
      <c r="A936" s="26" t="n"/>
      <c r="B936" s="26" t="n"/>
      <c r="C936" s="26" t="n"/>
      <c r="D936" s="26" t="n"/>
      <c r="E936" s="26" t="n"/>
      <c r="F936" s="26" t="n"/>
      <c r="G936" s="26" t="n"/>
      <c r="H936" s="30">
        <f>IF(A936="","",COUNTIF('Access'!$A$4:$A$1503,A936))</f>
        <v/>
      </c>
      <c r="I936" s="30">
        <f t="array" ref="I936">IF(A936="","",_xlfn.TEXTJOIN(", ",TRUE,IF(('Companies'!$A$4:$A$63&lt;&gt;"")*(COUNTIFS('Access'!$A$4:$A$1503,A936,'Access'!$F$4:$F$1503,"*"&amp;'Companies'!$A$4:$A$63&amp;"*")&gt;0),'Companies'!$A$4:$A$63,"")))</f>
        <v/>
      </c>
      <c r="J936" s="30">
        <f>IF(A936="","",IF(COUNTIF($A$4:$A$1003,A936)&gt;1,"Duplicate email",IF(ISERROR(FIND("@",A936)),"Not an email address",IF(AND(H936=0,E936=""),"Investor without holders","OK"))))</f>
        <v/>
      </c>
    </row>
    <row r="937">
      <c r="A937" s="26" t="n"/>
      <c r="B937" s="26" t="n"/>
      <c r="C937" s="26" t="n"/>
      <c r="D937" s="26" t="n"/>
      <c r="E937" s="26" t="n"/>
      <c r="F937" s="26" t="n"/>
      <c r="G937" s="26" t="n"/>
      <c r="H937" s="30">
        <f>IF(A937="","",COUNTIF('Access'!$A$4:$A$1503,A937))</f>
        <v/>
      </c>
      <c r="I937" s="30">
        <f t="array" ref="I937">IF(A937="","",_xlfn.TEXTJOIN(", ",TRUE,IF(('Companies'!$A$4:$A$63&lt;&gt;"")*(COUNTIFS('Access'!$A$4:$A$1503,A937,'Access'!$F$4:$F$1503,"*"&amp;'Companies'!$A$4:$A$63&amp;"*")&gt;0),'Companies'!$A$4:$A$63,"")))</f>
        <v/>
      </c>
      <c r="J937" s="30">
        <f>IF(A937="","",IF(COUNTIF($A$4:$A$1003,A937)&gt;1,"Duplicate email",IF(ISERROR(FIND("@",A937)),"Not an email address",IF(AND(H937=0,E937=""),"Investor without holders","OK"))))</f>
        <v/>
      </c>
    </row>
    <row r="938">
      <c r="A938" s="26" t="n"/>
      <c r="B938" s="26" t="n"/>
      <c r="C938" s="26" t="n"/>
      <c r="D938" s="26" t="n"/>
      <c r="E938" s="26" t="n"/>
      <c r="F938" s="26" t="n"/>
      <c r="G938" s="26" t="n"/>
      <c r="H938" s="30">
        <f>IF(A938="","",COUNTIF('Access'!$A$4:$A$1503,A938))</f>
        <v/>
      </c>
      <c r="I938" s="30">
        <f t="array" ref="I938">IF(A938="","",_xlfn.TEXTJOIN(", ",TRUE,IF(('Companies'!$A$4:$A$63&lt;&gt;"")*(COUNTIFS('Access'!$A$4:$A$1503,A938,'Access'!$F$4:$F$1503,"*"&amp;'Companies'!$A$4:$A$63&amp;"*")&gt;0),'Companies'!$A$4:$A$63,"")))</f>
        <v/>
      </c>
      <c r="J938" s="30">
        <f>IF(A938="","",IF(COUNTIF($A$4:$A$1003,A938)&gt;1,"Duplicate email",IF(ISERROR(FIND("@",A938)),"Not an email address",IF(AND(H938=0,E938=""),"Investor without holders","OK"))))</f>
        <v/>
      </c>
    </row>
    <row r="939">
      <c r="A939" s="26" t="n"/>
      <c r="B939" s="26" t="n"/>
      <c r="C939" s="26" t="n"/>
      <c r="D939" s="26" t="n"/>
      <c r="E939" s="26" t="n"/>
      <c r="F939" s="26" t="n"/>
      <c r="G939" s="26" t="n"/>
      <c r="H939" s="30">
        <f>IF(A939="","",COUNTIF('Access'!$A$4:$A$1503,A939))</f>
        <v/>
      </c>
      <c r="I939" s="30">
        <f t="array" ref="I939">IF(A939="","",_xlfn.TEXTJOIN(", ",TRUE,IF(('Companies'!$A$4:$A$63&lt;&gt;"")*(COUNTIFS('Access'!$A$4:$A$1503,A939,'Access'!$F$4:$F$1503,"*"&amp;'Companies'!$A$4:$A$63&amp;"*")&gt;0),'Companies'!$A$4:$A$63,"")))</f>
        <v/>
      </c>
      <c r="J939" s="30">
        <f>IF(A939="","",IF(COUNTIF($A$4:$A$1003,A939)&gt;1,"Duplicate email",IF(ISERROR(FIND("@",A939)),"Not an email address",IF(AND(H939=0,E939=""),"Investor without holders","OK"))))</f>
        <v/>
      </c>
    </row>
    <row r="940">
      <c r="A940" s="26" t="n"/>
      <c r="B940" s="26" t="n"/>
      <c r="C940" s="26" t="n"/>
      <c r="D940" s="26" t="n"/>
      <c r="E940" s="26" t="n"/>
      <c r="F940" s="26" t="n"/>
      <c r="G940" s="26" t="n"/>
      <c r="H940" s="30">
        <f>IF(A940="","",COUNTIF('Access'!$A$4:$A$1503,A940))</f>
        <v/>
      </c>
      <c r="I940" s="30">
        <f t="array" ref="I940">IF(A940="","",_xlfn.TEXTJOIN(", ",TRUE,IF(('Companies'!$A$4:$A$63&lt;&gt;"")*(COUNTIFS('Access'!$A$4:$A$1503,A940,'Access'!$F$4:$F$1503,"*"&amp;'Companies'!$A$4:$A$63&amp;"*")&gt;0),'Companies'!$A$4:$A$63,"")))</f>
        <v/>
      </c>
      <c r="J940" s="30">
        <f>IF(A940="","",IF(COUNTIF($A$4:$A$1003,A940)&gt;1,"Duplicate email",IF(ISERROR(FIND("@",A940)),"Not an email address",IF(AND(H940=0,E940=""),"Investor without holders","OK"))))</f>
        <v/>
      </c>
    </row>
    <row r="941">
      <c r="A941" s="26" t="n"/>
      <c r="B941" s="26" t="n"/>
      <c r="C941" s="26" t="n"/>
      <c r="D941" s="26" t="n"/>
      <c r="E941" s="26" t="n"/>
      <c r="F941" s="26" t="n"/>
      <c r="G941" s="26" t="n"/>
      <c r="H941" s="30">
        <f>IF(A941="","",COUNTIF('Access'!$A$4:$A$1503,A941))</f>
        <v/>
      </c>
      <c r="I941" s="30">
        <f t="array" ref="I941">IF(A941="","",_xlfn.TEXTJOIN(", ",TRUE,IF(('Companies'!$A$4:$A$63&lt;&gt;"")*(COUNTIFS('Access'!$A$4:$A$1503,A941,'Access'!$F$4:$F$1503,"*"&amp;'Companies'!$A$4:$A$63&amp;"*")&gt;0),'Companies'!$A$4:$A$63,"")))</f>
        <v/>
      </c>
      <c r="J941" s="30">
        <f>IF(A941="","",IF(COUNTIF($A$4:$A$1003,A941)&gt;1,"Duplicate email",IF(ISERROR(FIND("@",A941)),"Not an email address",IF(AND(H941=0,E941=""),"Investor without holders","OK"))))</f>
        <v/>
      </c>
    </row>
    <row r="942">
      <c r="A942" s="26" t="n"/>
      <c r="B942" s="26" t="n"/>
      <c r="C942" s="26" t="n"/>
      <c r="D942" s="26" t="n"/>
      <c r="E942" s="26" t="n"/>
      <c r="F942" s="26" t="n"/>
      <c r="G942" s="26" t="n"/>
      <c r="H942" s="30">
        <f>IF(A942="","",COUNTIF('Access'!$A$4:$A$1503,A942))</f>
        <v/>
      </c>
      <c r="I942" s="30">
        <f t="array" ref="I942">IF(A942="","",_xlfn.TEXTJOIN(", ",TRUE,IF(('Companies'!$A$4:$A$63&lt;&gt;"")*(COUNTIFS('Access'!$A$4:$A$1503,A942,'Access'!$F$4:$F$1503,"*"&amp;'Companies'!$A$4:$A$63&amp;"*")&gt;0),'Companies'!$A$4:$A$63,"")))</f>
        <v/>
      </c>
      <c r="J942" s="30">
        <f>IF(A942="","",IF(COUNTIF($A$4:$A$1003,A942)&gt;1,"Duplicate email",IF(ISERROR(FIND("@",A942)),"Not an email address",IF(AND(H942=0,E942=""),"Investor without holders","OK"))))</f>
        <v/>
      </c>
    </row>
    <row r="943">
      <c r="A943" s="26" t="n"/>
      <c r="B943" s="26" t="n"/>
      <c r="C943" s="26" t="n"/>
      <c r="D943" s="26" t="n"/>
      <c r="E943" s="26" t="n"/>
      <c r="F943" s="26" t="n"/>
      <c r="G943" s="26" t="n"/>
      <c r="H943" s="30">
        <f>IF(A943="","",COUNTIF('Access'!$A$4:$A$1503,A943))</f>
        <v/>
      </c>
      <c r="I943" s="30">
        <f t="array" ref="I943">IF(A943="","",_xlfn.TEXTJOIN(", ",TRUE,IF(('Companies'!$A$4:$A$63&lt;&gt;"")*(COUNTIFS('Access'!$A$4:$A$1503,A943,'Access'!$F$4:$F$1503,"*"&amp;'Companies'!$A$4:$A$63&amp;"*")&gt;0),'Companies'!$A$4:$A$63,"")))</f>
        <v/>
      </c>
      <c r="J943" s="30">
        <f>IF(A943="","",IF(COUNTIF($A$4:$A$1003,A943)&gt;1,"Duplicate email",IF(ISERROR(FIND("@",A943)),"Not an email address",IF(AND(H943=0,E943=""),"Investor without holders","OK"))))</f>
        <v/>
      </c>
    </row>
    <row r="944">
      <c r="A944" s="26" t="n"/>
      <c r="B944" s="26" t="n"/>
      <c r="C944" s="26" t="n"/>
      <c r="D944" s="26" t="n"/>
      <c r="E944" s="26" t="n"/>
      <c r="F944" s="26" t="n"/>
      <c r="G944" s="26" t="n"/>
      <c r="H944" s="30">
        <f>IF(A944="","",COUNTIF('Access'!$A$4:$A$1503,A944))</f>
        <v/>
      </c>
      <c r="I944" s="30">
        <f t="array" ref="I944">IF(A944="","",_xlfn.TEXTJOIN(", ",TRUE,IF(('Companies'!$A$4:$A$63&lt;&gt;"")*(COUNTIFS('Access'!$A$4:$A$1503,A944,'Access'!$F$4:$F$1503,"*"&amp;'Companies'!$A$4:$A$63&amp;"*")&gt;0),'Companies'!$A$4:$A$63,"")))</f>
        <v/>
      </c>
      <c r="J944" s="30">
        <f>IF(A944="","",IF(COUNTIF($A$4:$A$1003,A944)&gt;1,"Duplicate email",IF(ISERROR(FIND("@",A944)),"Not an email address",IF(AND(H944=0,E944=""),"Investor without holders","OK"))))</f>
        <v/>
      </c>
    </row>
    <row r="945">
      <c r="A945" s="26" t="n"/>
      <c r="B945" s="26" t="n"/>
      <c r="C945" s="26" t="n"/>
      <c r="D945" s="26" t="n"/>
      <c r="E945" s="26" t="n"/>
      <c r="F945" s="26" t="n"/>
      <c r="G945" s="26" t="n"/>
      <c r="H945" s="30">
        <f>IF(A945="","",COUNTIF('Access'!$A$4:$A$1503,A945))</f>
        <v/>
      </c>
      <c r="I945" s="30">
        <f t="array" ref="I945">IF(A945="","",_xlfn.TEXTJOIN(", ",TRUE,IF(('Companies'!$A$4:$A$63&lt;&gt;"")*(COUNTIFS('Access'!$A$4:$A$1503,A945,'Access'!$F$4:$F$1503,"*"&amp;'Companies'!$A$4:$A$63&amp;"*")&gt;0),'Companies'!$A$4:$A$63,"")))</f>
        <v/>
      </c>
      <c r="J945" s="30">
        <f>IF(A945="","",IF(COUNTIF($A$4:$A$1003,A945)&gt;1,"Duplicate email",IF(ISERROR(FIND("@",A945)),"Not an email address",IF(AND(H945=0,E945=""),"Investor without holders","OK"))))</f>
        <v/>
      </c>
    </row>
    <row r="946">
      <c r="A946" s="26" t="n"/>
      <c r="B946" s="26" t="n"/>
      <c r="C946" s="26" t="n"/>
      <c r="D946" s="26" t="n"/>
      <c r="E946" s="26" t="n"/>
      <c r="F946" s="26" t="n"/>
      <c r="G946" s="26" t="n"/>
      <c r="H946" s="30">
        <f>IF(A946="","",COUNTIF('Access'!$A$4:$A$1503,A946))</f>
        <v/>
      </c>
      <c r="I946" s="30">
        <f t="array" ref="I946">IF(A946="","",_xlfn.TEXTJOIN(", ",TRUE,IF(('Companies'!$A$4:$A$63&lt;&gt;"")*(COUNTIFS('Access'!$A$4:$A$1503,A946,'Access'!$F$4:$F$1503,"*"&amp;'Companies'!$A$4:$A$63&amp;"*")&gt;0),'Companies'!$A$4:$A$63,"")))</f>
        <v/>
      </c>
      <c r="J946" s="30">
        <f>IF(A946="","",IF(COUNTIF($A$4:$A$1003,A946)&gt;1,"Duplicate email",IF(ISERROR(FIND("@",A946)),"Not an email address",IF(AND(H946=0,E946=""),"Investor without holders","OK"))))</f>
        <v/>
      </c>
    </row>
    <row r="947">
      <c r="A947" s="26" t="n"/>
      <c r="B947" s="26" t="n"/>
      <c r="C947" s="26" t="n"/>
      <c r="D947" s="26" t="n"/>
      <c r="E947" s="26" t="n"/>
      <c r="F947" s="26" t="n"/>
      <c r="G947" s="26" t="n"/>
      <c r="H947" s="30">
        <f>IF(A947="","",COUNTIF('Access'!$A$4:$A$1503,A947))</f>
        <v/>
      </c>
      <c r="I947" s="30">
        <f t="array" ref="I947">IF(A947="","",_xlfn.TEXTJOIN(", ",TRUE,IF(('Companies'!$A$4:$A$63&lt;&gt;"")*(COUNTIFS('Access'!$A$4:$A$1503,A947,'Access'!$F$4:$F$1503,"*"&amp;'Companies'!$A$4:$A$63&amp;"*")&gt;0),'Companies'!$A$4:$A$63,"")))</f>
        <v/>
      </c>
      <c r="J947" s="30">
        <f>IF(A947="","",IF(COUNTIF($A$4:$A$1003,A947)&gt;1,"Duplicate email",IF(ISERROR(FIND("@",A947)),"Not an email address",IF(AND(H947=0,E947=""),"Investor without holders","OK"))))</f>
        <v/>
      </c>
    </row>
    <row r="948">
      <c r="A948" s="26" t="n"/>
      <c r="B948" s="26" t="n"/>
      <c r="C948" s="26" t="n"/>
      <c r="D948" s="26" t="n"/>
      <c r="E948" s="26" t="n"/>
      <c r="F948" s="26" t="n"/>
      <c r="G948" s="26" t="n"/>
      <c r="H948" s="30">
        <f>IF(A948="","",COUNTIF('Access'!$A$4:$A$1503,A948))</f>
        <v/>
      </c>
      <c r="I948" s="30">
        <f t="array" ref="I948">IF(A948="","",_xlfn.TEXTJOIN(", ",TRUE,IF(('Companies'!$A$4:$A$63&lt;&gt;"")*(COUNTIFS('Access'!$A$4:$A$1503,A948,'Access'!$F$4:$F$1503,"*"&amp;'Companies'!$A$4:$A$63&amp;"*")&gt;0),'Companies'!$A$4:$A$63,"")))</f>
        <v/>
      </c>
      <c r="J948" s="30">
        <f>IF(A948="","",IF(COUNTIF($A$4:$A$1003,A948)&gt;1,"Duplicate email",IF(ISERROR(FIND("@",A948)),"Not an email address",IF(AND(H948=0,E948=""),"Investor without holders","OK"))))</f>
        <v/>
      </c>
    </row>
    <row r="949">
      <c r="A949" s="26" t="n"/>
      <c r="B949" s="26" t="n"/>
      <c r="C949" s="26" t="n"/>
      <c r="D949" s="26" t="n"/>
      <c r="E949" s="26" t="n"/>
      <c r="F949" s="26" t="n"/>
      <c r="G949" s="26" t="n"/>
      <c r="H949" s="30">
        <f>IF(A949="","",COUNTIF('Access'!$A$4:$A$1503,A949))</f>
        <v/>
      </c>
      <c r="I949" s="30">
        <f t="array" ref="I949">IF(A949="","",_xlfn.TEXTJOIN(", ",TRUE,IF(('Companies'!$A$4:$A$63&lt;&gt;"")*(COUNTIFS('Access'!$A$4:$A$1503,A949,'Access'!$F$4:$F$1503,"*"&amp;'Companies'!$A$4:$A$63&amp;"*")&gt;0),'Companies'!$A$4:$A$63,"")))</f>
        <v/>
      </c>
      <c r="J949" s="30">
        <f>IF(A949="","",IF(COUNTIF($A$4:$A$1003,A949)&gt;1,"Duplicate email",IF(ISERROR(FIND("@",A949)),"Not an email address",IF(AND(H949=0,E949=""),"Investor without holders","OK"))))</f>
        <v/>
      </c>
    </row>
    <row r="950">
      <c r="A950" s="26" t="n"/>
      <c r="B950" s="26" t="n"/>
      <c r="C950" s="26" t="n"/>
      <c r="D950" s="26" t="n"/>
      <c r="E950" s="26" t="n"/>
      <c r="F950" s="26" t="n"/>
      <c r="G950" s="26" t="n"/>
      <c r="H950" s="30">
        <f>IF(A950="","",COUNTIF('Access'!$A$4:$A$1503,A950))</f>
        <v/>
      </c>
      <c r="I950" s="30">
        <f t="array" ref="I950">IF(A950="","",_xlfn.TEXTJOIN(", ",TRUE,IF(('Companies'!$A$4:$A$63&lt;&gt;"")*(COUNTIFS('Access'!$A$4:$A$1503,A950,'Access'!$F$4:$F$1503,"*"&amp;'Companies'!$A$4:$A$63&amp;"*")&gt;0),'Companies'!$A$4:$A$63,"")))</f>
        <v/>
      </c>
      <c r="J950" s="30">
        <f>IF(A950="","",IF(COUNTIF($A$4:$A$1003,A950)&gt;1,"Duplicate email",IF(ISERROR(FIND("@",A950)),"Not an email address",IF(AND(H950=0,E950=""),"Investor without holders","OK"))))</f>
        <v/>
      </c>
    </row>
    <row r="951">
      <c r="A951" s="26" t="n"/>
      <c r="B951" s="26" t="n"/>
      <c r="C951" s="26" t="n"/>
      <c r="D951" s="26" t="n"/>
      <c r="E951" s="26" t="n"/>
      <c r="F951" s="26" t="n"/>
      <c r="G951" s="26" t="n"/>
      <c r="H951" s="30">
        <f>IF(A951="","",COUNTIF('Access'!$A$4:$A$1503,A951))</f>
        <v/>
      </c>
      <c r="I951" s="30">
        <f t="array" ref="I951">IF(A951="","",_xlfn.TEXTJOIN(", ",TRUE,IF(('Companies'!$A$4:$A$63&lt;&gt;"")*(COUNTIFS('Access'!$A$4:$A$1503,A951,'Access'!$F$4:$F$1503,"*"&amp;'Companies'!$A$4:$A$63&amp;"*")&gt;0),'Companies'!$A$4:$A$63,"")))</f>
        <v/>
      </c>
      <c r="J951" s="30">
        <f>IF(A951="","",IF(COUNTIF($A$4:$A$1003,A951)&gt;1,"Duplicate email",IF(ISERROR(FIND("@",A951)),"Not an email address",IF(AND(H951=0,E951=""),"Investor without holders","OK"))))</f>
        <v/>
      </c>
    </row>
    <row r="952">
      <c r="A952" s="26" t="n"/>
      <c r="B952" s="26" t="n"/>
      <c r="C952" s="26" t="n"/>
      <c r="D952" s="26" t="n"/>
      <c r="E952" s="26" t="n"/>
      <c r="F952" s="26" t="n"/>
      <c r="G952" s="26" t="n"/>
      <c r="H952" s="30">
        <f>IF(A952="","",COUNTIF('Access'!$A$4:$A$1503,A952))</f>
        <v/>
      </c>
      <c r="I952" s="30">
        <f t="array" ref="I952">IF(A952="","",_xlfn.TEXTJOIN(", ",TRUE,IF(('Companies'!$A$4:$A$63&lt;&gt;"")*(COUNTIFS('Access'!$A$4:$A$1503,A952,'Access'!$F$4:$F$1503,"*"&amp;'Companies'!$A$4:$A$63&amp;"*")&gt;0),'Companies'!$A$4:$A$63,"")))</f>
        <v/>
      </c>
      <c r="J952" s="30">
        <f>IF(A952="","",IF(COUNTIF($A$4:$A$1003,A952)&gt;1,"Duplicate email",IF(ISERROR(FIND("@",A952)),"Not an email address",IF(AND(H952=0,E952=""),"Investor without holders","OK"))))</f>
        <v/>
      </c>
    </row>
    <row r="953">
      <c r="A953" s="26" t="n"/>
      <c r="B953" s="26" t="n"/>
      <c r="C953" s="26" t="n"/>
      <c r="D953" s="26" t="n"/>
      <c r="E953" s="26" t="n"/>
      <c r="F953" s="26" t="n"/>
      <c r="G953" s="26" t="n"/>
      <c r="H953" s="30">
        <f>IF(A953="","",COUNTIF('Access'!$A$4:$A$1503,A953))</f>
        <v/>
      </c>
      <c r="I953" s="30">
        <f t="array" ref="I953">IF(A953="","",_xlfn.TEXTJOIN(", ",TRUE,IF(('Companies'!$A$4:$A$63&lt;&gt;"")*(COUNTIFS('Access'!$A$4:$A$1503,A953,'Access'!$F$4:$F$1503,"*"&amp;'Companies'!$A$4:$A$63&amp;"*")&gt;0),'Companies'!$A$4:$A$63,"")))</f>
        <v/>
      </c>
      <c r="J953" s="30">
        <f>IF(A953="","",IF(COUNTIF($A$4:$A$1003,A953)&gt;1,"Duplicate email",IF(ISERROR(FIND("@",A953)),"Not an email address",IF(AND(H953=0,E953=""),"Investor without holders","OK"))))</f>
        <v/>
      </c>
    </row>
    <row r="954">
      <c r="A954" s="26" t="n"/>
      <c r="B954" s="26" t="n"/>
      <c r="C954" s="26" t="n"/>
      <c r="D954" s="26" t="n"/>
      <c r="E954" s="26" t="n"/>
      <c r="F954" s="26" t="n"/>
      <c r="G954" s="26" t="n"/>
      <c r="H954" s="30">
        <f>IF(A954="","",COUNTIF('Access'!$A$4:$A$1503,A954))</f>
        <v/>
      </c>
      <c r="I954" s="30">
        <f t="array" ref="I954">IF(A954="","",_xlfn.TEXTJOIN(", ",TRUE,IF(('Companies'!$A$4:$A$63&lt;&gt;"")*(COUNTIFS('Access'!$A$4:$A$1503,A954,'Access'!$F$4:$F$1503,"*"&amp;'Companies'!$A$4:$A$63&amp;"*")&gt;0),'Companies'!$A$4:$A$63,"")))</f>
        <v/>
      </c>
      <c r="J954" s="30">
        <f>IF(A954="","",IF(COUNTIF($A$4:$A$1003,A954)&gt;1,"Duplicate email",IF(ISERROR(FIND("@",A954)),"Not an email address",IF(AND(H954=0,E954=""),"Investor without holders","OK"))))</f>
        <v/>
      </c>
    </row>
    <row r="955">
      <c r="A955" s="26" t="n"/>
      <c r="B955" s="26" t="n"/>
      <c r="C955" s="26" t="n"/>
      <c r="D955" s="26" t="n"/>
      <c r="E955" s="26" t="n"/>
      <c r="F955" s="26" t="n"/>
      <c r="G955" s="26" t="n"/>
      <c r="H955" s="30">
        <f>IF(A955="","",COUNTIF('Access'!$A$4:$A$1503,A955))</f>
        <v/>
      </c>
      <c r="I955" s="30">
        <f t="array" ref="I955">IF(A955="","",_xlfn.TEXTJOIN(", ",TRUE,IF(('Companies'!$A$4:$A$63&lt;&gt;"")*(COUNTIFS('Access'!$A$4:$A$1503,A955,'Access'!$F$4:$F$1503,"*"&amp;'Companies'!$A$4:$A$63&amp;"*")&gt;0),'Companies'!$A$4:$A$63,"")))</f>
        <v/>
      </c>
      <c r="J955" s="30">
        <f>IF(A955="","",IF(COUNTIF($A$4:$A$1003,A955)&gt;1,"Duplicate email",IF(ISERROR(FIND("@",A955)),"Not an email address",IF(AND(H955=0,E955=""),"Investor without holders","OK"))))</f>
        <v/>
      </c>
    </row>
    <row r="956">
      <c r="A956" s="26" t="n"/>
      <c r="B956" s="26" t="n"/>
      <c r="C956" s="26" t="n"/>
      <c r="D956" s="26" t="n"/>
      <c r="E956" s="26" t="n"/>
      <c r="F956" s="26" t="n"/>
      <c r="G956" s="26" t="n"/>
      <c r="H956" s="30">
        <f>IF(A956="","",COUNTIF('Access'!$A$4:$A$1503,A956))</f>
        <v/>
      </c>
      <c r="I956" s="30">
        <f t="array" ref="I956">IF(A956="","",_xlfn.TEXTJOIN(", ",TRUE,IF(('Companies'!$A$4:$A$63&lt;&gt;"")*(COUNTIFS('Access'!$A$4:$A$1503,A956,'Access'!$F$4:$F$1503,"*"&amp;'Companies'!$A$4:$A$63&amp;"*")&gt;0),'Companies'!$A$4:$A$63,"")))</f>
        <v/>
      </c>
      <c r="J956" s="30">
        <f>IF(A956="","",IF(COUNTIF($A$4:$A$1003,A956)&gt;1,"Duplicate email",IF(ISERROR(FIND("@",A956)),"Not an email address",IF(AND(H956=0,E956=""),"Investor without holders","OK"))))</f>
        <v/>
      </c>
    </row>
    <row r="957">
      <c r="A957" s="26" t="n"/>
      <c r="B957" s="26" t="n"/>
      <c r="C957" s="26" t="n"/>
      <c r="D957" s="26" t="n"/>
      <c r="E957" s="26" t="n"/>
      <c r="F957" s="26" t="n"/>
      <c r="G957" s="26" t="n"/>
      <c r="H957" s="30">
        <f>IF(A957="","",COUNTIF('Access'!$A$4:$A$1503,A957))</f>
        <v/>
      </c>
      <c r="I957" s="30">
        <f t="array" ref="I957">IF(A957="","",_xlfn.TEXTJOIN(", ",TRUE,IF(('Companies'!$A$4:$A$63&lt;&gt;"")*(COUNTIFS('Access'!$A$4:$A$1503,A957,'Access'!$F$4:$F$1503,"*"&amp;'Companies'!$A$4:$A$63&amp;"*")&gt;0),'Companies'!$A$4:$A$63,"")))</f>
        <v/>
      </c>
      <c r="J957" s="30">
        <f>IF(A957="","",IF(COUNTIF($A$4:$A$1003,A957)&gt;1,"Duplicate email",IF(ISERROR(FIND("@",A957)),"Not an email address",IF(AND(H957=0,E957=""),"Investor without holders","OK"))))</f>
        <v/>
      </c>
    </row>
    <row r="958">
      <c r="A958" s="26" t="n"/>
      <c r="B958" s="26" t="n"/>
      <c r="C958" s="26" t="n"/>
      <c r="D958" s="26" t="n"/>
      <c r="E958" s="26" t="n"/>
      <c r="F958" s="26" t="n"/>
      <c r="G958" s="26" t="n"/>
      <c r="H958" s="30">
        <f>IF(A958="","",COUNTIF('Access'!$A$4:$A$1503,A958))</f>
        <v/>
      </c>
      <c r="I958" s="30">
        <f t="array" ref="I958">IF(A958="","",_xlfn.TEXTJOIN(", ",TRUE,IF(('Companies'!$A$4:$A$63&lt;&gt;"")*(COUNTIFS('Access'!$A$4:$A$1503,A958,'Access'!$F$4:$F$1503,"*"&amp;'Companies'!$A$4:$A$63&amp;"*")&gt;0),'Companies'!$A$4:$A$63,"")))</f>
        <v/>
      </c>
      <c r="J958" s="30">
        <f>IF(A958="","",IF(COUNTIF($A$4:$A$1003,A958)&gt;1,"Duplicate email",IF(ISERROR(FIND("@",A958)),"Not an email address",IF(AND(H958=0,E958=""),"Investor without holders","OK"))))</f>
        <v/>
      </c>
    </row>
    <row r="959">
      <c r="A959" s="26" t="n"/>
      <c r="B959" s="26" t="n"/>
      <c r="C959" s="26" t="n"/>
      <c r="D959" s="26" t="n"/>
      <c r="E959" s="26" t="n"/>
      <c r="F959" s="26" t="n"/>
      <c r="G959" s="26" t="n"/>
      <c r="H959" s="30">
        <f>IF(A959="","",COUNTIF('Access'!$A$4:$A$1503,A959))</f>
        <v/>
      </c>
      <c r="I959" s="30">
        <f t="array" ref="I959">IF(A959="","",_xlfn.TEXTJOIN(", ",TRUE,IF(('Companies'!$A$4:$A$63&lt;&gt;"")*(COUNTIFS('Access'!$A$4:$A$1503,A959,'Access'!$F$4:$F$1503,"*"&amp;'Companies'!$A$4:$A$63&amp;"*")&gt;0),'Companies'!$A$4:$A$63,"")))</f>
        <v/>
      </c>
      <c r="J959" s="30">
        <f>IF(A959="","",IF(COUNTIF($A$4:$A$1003,A959)&gt;1,"Duplicate email",IF(ISERROR(FIND("@",A959)),"Not an email address",IF(AND(H959=0,E959=""),"Investor without holders","OK"))))</f>
        <v/>
      </c>
    </row>
    <row r="960">
      <c r="A960" s="26" t="n"/>
      <c r="B960" s="26" t="n"/>
      <c r="C960" s="26" t="n"/>
      <c r="D960" s="26" t="n"/>
      <c r="E960" s="26" t="n"/>
      <c r="F960" s="26" t="n"/>
      <c r="G960" s="26" t="n"/>
      <c r="H960" s="30">
        <f>IF(A960="","",COUNTIF('Access'!$A$4:$A$1503,A960))</f>
        <v/>
      </c>
      <c r="I960" s="30">
        <f t="array" ref="I960">IF(A960="","",_xlfn.TEXTJOIN(", ",TRUE,IF(('Companies'!$A$4:$A$63&lt;&gt;"")*(COUNTIFS('Access'!$A$4:$A$1503,A960,'Access'!$F$4:$F$1503,"*"&amp;'Companies'!$A$4:$A$63&amp;"*")&gt;0),'Companies'!$A$4:$A$63,"")))</f>
        <v/>
      </c>
      <c r="J960" s="30">
        <f>IF(A960="","",IF(COUNTIF($A$4:$A$1003,A960)&gt;1,"Duplicate email",IF(ISERROR(FIND("@",A960)),"Not an email address",IF(AND(H960=0,E960=""),"Investor without holders","OK"))))</f>
        <v/>
      </c>
    </row>
    <row r="961">
      <c r="A961" s="26" t="n"/>
      <c r="B961" s="26" t="n"/>
      <c r="C961" s="26" t="n"/>
      <c r="D961" s="26" t="n"/>
      <c r="E961" s="26" t="n"/>
      <c r="F961" s="26" t="n"/>
      <c r="G961" s="26" t="n"/>
      <c r="H961" s="30">
        <f>IF(A961="","",COUNTIF('Access'!$A$4:$A$1503,A961))</f>
        <v/>
      </c>
      <c r="I961" s="30">
        <f t="array" ref="I961">IF(A961="","",_xlfn.TEXTJOIN(", ",TRUE,IF(('Companies'!$A$4:$A$63&lt;&gt;"")*(COUNTIFS('Access'!$A$4:$A$1503,A961,'Access'!$F$4:$F$1503,"*"&amp;'Companies'!$A$4:$A$63&amp;"*")&gt;0),'Companies'!$A$4:$A$63,"")))</f>
        <v/>
      </c>
      <c r="J961" s="30">
        <f>IF(A961="","",IF(COUNTIF($A$4:$A$1003,A961)&gt;1,"Duplicate email",IF(ISERROR(FIND("@",A961)),"Not an email address",IF(AND(H961=0,E961=""),"Investor without holders","OK"))))</f>
        <v/>
      </c>
    </row>
    <row r="962">
      <c r="A962" s="26" t="n"/>
      <c r="B962" s="26" t="n"/>
      <c r="C962" s="26" t="n"/>
      <c r="D962" s="26" t="n"/>
      <c r="E962" s="26" t="n"/>
      <c r="F962" s="26" t="n"/>
      <c r="G962" s="26" t="n"/>
      <c r="H962" s="30">
        <f>IF(A962="","",COUNTIF('Access'!$A$4:$A$1503,A962))</f>
        <v/>
      </c>
      <c r="I962" s="30">
        <f t="array" ref="I962">IF(A962="","",_xlfn.TEXTJOIN(", ",TRUE,IF(('Companies'!$A$4:$A$63&lt;&gt;"")*(COUNTIFS('Access'!$A$4:$A$1503,A962,'Access'!$F$4:$F$1503,"*"&amp;'Companies'!$A$4:$A$63&amp;"*")&gt;0),'Companies'!$A$4:$A$63,"")))</f>
        <v/>
      </c>
      <c r="J962" s="30">
        <f>IF(A962="","",IF(COUNTIF($A$4:$A$1003,A962)&gt;1,"Duplicate email",IF(ISERROR(FIND("@",A962)),"Not an email address",IF(AND(H962=0,E962=""),"Investor without holders","OK"))))</f>
        <v/>
      </c>
    </row>
    <row r="963">
      <c r="A963" s="26" t="n"/>
      <c r="B963" s="26" t="n"/>
      <c r="C963" s="26" t="n"/>
      <c r="D963" s="26" t="n"/>
      <c r="E963" s="26" t="n"/>
      <c r="F963" s="26" t="n"/>
      <c r="G963" s="26" t="n"/>
      <c r="H963" s="30">
        <f>IF(A963="","",COUNTIF('Access'!$A$4:$A$1503,A963))</f>
        <v/>
      </c>
      <c r="I963" s="30">
        <f t="array" ref="I963">IF(A963="","",_xlfn.TEXTJOIN(", ",TRUE,IF(('Companies'!$A$4:$A$63&lt;&gt;"")*(COUNTIFS('Access'!$A$4:$A$1503,A963,'Access'!$F$4:$F$1503,"*"&amp;'Companies'!$A$4:$A$63&amp;"*")&gt;0),'Companies'!$A$4:$A$63,"")))</f>
        <v/>
      </c>
      <c r="J963" s="30">
        <f>IF(A963="","",IF(COUNTIF($A$4:$A$1003,A963)&gt;1,"Duplicate email",IF(ISERROR(FIND("@",A963)),"Not an email address",IF(AND(H963=0,E963=""),"Investor without holders","OK"))))</f>
        <v/>
      </c>
    </row>
    <row r="964">
      <c r="A964" s="26" t="n"/>
      <c r="B964" s="26" t="n"/>
      <c r="C964" s="26" t="n"/>
      <c r="D964" s="26" t="n"/>
      <c r="E964" s="26" t="n"/>
      <c r="F964" s="26" t="n"/>
      <c r="G964" s="26" t="n"/>
      <c r="H964" s="30">
        <f>IF(A964="","",COUNTIF('Access'!$A$4:$A$1503,A964))</f>
        <v/>
      </c>
      <c r="I964" s="30">
        <f t="array" ref="I964">IF(A964="","",_xlfn.TEXTJOIN(", ",TRUE,IF(('Companies'!$A$4:$A$63&lt;&gt;"")*(COUNTIFS('Access'!$A$4:$A$1503,A964,'Access'!$F$4:$F$1503,"*"&amp;'Companies'!$A$4:$A$63&amp;"*")&gt;0),'Companies'!$A$4:$A$63,"")))</f>
        <v/>
      </c>
      <c r="J964" s="30">
        <f>IF(A964="","",IF(COUNTIF($A$4:$A$1003,A964)&gt;1,"Duplicate email",IF(ISERROR(FIND("@",A964)),"Not an email address",IF(AND(H964=0,E964=""),"Investor without holders","OK"))))</f>
        <v/>
      </c>
    </row>
    <row r="965">
      <c r="A965" s="26" t="n"/>
      <c r="B965" s="26" t="n"/>
      <c r="C965" s="26" t="n"/>
      <c r="D965" s="26" t="n"/>
      <c r="E965" s="26" t="n"/>
      <c r="F965" s="26" t="n"/>
      <c r="G965" s="26" t="n"/>
      <c r="H965" s="30">
        <f>IF(A965="","",COUNTIF('Access'!$A$4:$A$1503,A965))</f>
        <v/>
      </c>
      <c r="I965" s="30">
        <f t="array" ref="I965">IF(A965="","",_xlfn.TEXTJOIN(", ",TRUE,IF(('Companies'!$A$4:$A$63&lt;&gt;"")*(COUNTIFS('Access'!$A$4:$A$1503,A965,'Access'!$F$4:$F$1503,"*"&amp;'Companies'!$A$4:$A$63&amp;"*")&gt;0),'Companies'!$A$4:$A$63,"")))</f>
        <v/>
      </c>
      <c r="J965" s="30">
        <f>IF(A965="","",IF(COUNTIF($A$4:$A$1003,A965)&gt;1,"Duplicate email",IF(ISERROR(FIND("@",A965)),"Not an email address",IF(AND(H965=0,E965=""),"Investor without holders","OK"))))</f>
        <v/>
      </c>
    </row>
    <row r="966">
      <c r="A966" s="26" t="n"/>
      <c r="B966" s="26" t="n"/>
      <c r="C966" s="26" t="n"/>
      <c r="D966" s="26" t="n"/>
      <c r="E966" s="26" t="n"/>
      <c r="F966" s="26" t="n"/>
      <c r="G966" s="26" t="n"/>
      <c r="H966" s="30">
        <f>IF(A966="","",COUNTIF('Access'!$A$4:$A$1503,A966))</f>
        <v/>
      </c>
      <c r="I966" s="30">
        <f t="array" ref="I966">IF(A966="","",_xlfn.TEXTJOIN(", ",TRUE,IF(('Companies'!$A$4:$A$63&lt;&gt;"")*(COUNTIFS('Access'!$A$4:$A$1503,A966,'Access'!$F$4:$F$1503,"*"&amp;'Companies'!$A$4:$A$63&amp;"*")&gt;0),'Companies'!$A$4:$A$63,"")))</f>
        <v/>
      </c>
      <c r="J966" s="30">
        <f>IF(A966="","",IF(COUNTIF($A$4:$A$1003,A966)&gt;1,"Duplicate email",IF(ISERROR(FIND("@",A966)),"Not an email address",IF(AND(H966=0,E966=""),"Investor without holders","OK"))))</f>
        <v/>
      </c>
    </row>
    <row r="967">
      <c r="A967" s="26" t="n"/>
      <c r="B967" s="26" t="n"/>
      <c r="C967" s="26" t="n"/>
      <c r="D967" s="26" t="n"/>
      <c r="E967" s="26" t="n"/>
      <c r="F967" s="26" t="n"/>
      <c r="G967" s="26" t="n"/>
      <c r="H967" s="30">
        <f>IF(A967="","",COUNTIF('Access'!$A$4:$A$1503,A967))</f>
        <v/>
      </c>
      <c r="I967" s="30">
        <f t="array" ref="I967">IF(A967="","",_xlfn.TEXTJOIN(", ",TRUE,IF(('Companies'!$A$4:$A$63&lt;&gt;"")*(COUNTIFS('Access'!$A$4:$A$1503,A967,'Access'!$F$4:$F$1503,"*"&amp;'Companies'!$A$4:$A$63&amp;"*")&gt;0),'Companies'!$A$4:$A$63,"")))</f>
        <v/>
      </c>
      <c r="J967" s="30">
        <f>IF(A967="","",IF(COUNTIF($A$4:$A$1003,A967)&gt;1,"Duplicate email",IF(ISERROR(FIND("@",A967)),"Not an email address",IF(AND(H967=0,E967=""),"Investor without holders","OK"))))</f>
        <v/>
      </c>
    </row>
    <row r="968">
      <c r="A968" s="26" t="n"/>
      <c r="B968" s="26" t="n"/>
      <c r="C968" s="26" t="n"/>
      <c r="D968" s="26" t="n"/>
      <c r="E968" s="26" t="n"/>
      <c r="F968" s="26" t="n"/>
      <c r="G968" s="26" t="n"/>
      <c r="H968" s="30">
        <f>IF(A968="","",COUNTIF('Access'!$A$4:$A$1503,A968))</f>
        <v/>
      </c>
      <c r="I968" s="30">
        <f t="array" ref="I968">IF(A968="","",_xlfn.TEXTJOIN(", ",TRUE,IF(('Companies'!$A$4:$A$63&lt;&gt;"")*(COUNTIFS('Access'!$A$4:$A$1503,A968,'Access'!$F$4:$F$1503,"*"&amp;'Companies'!$A$4:$A$63&amp;"*")&gt;0),'Companies'!$A$4:$A$63,"")))</f>
        <v/>
      </c>
      <c r="J968" s="30">
        <f>IF(A968="","",IF(COUNTIF($A$4:$A$1003,A968)&gt;1,"Duplicate email",IF(ISERROR(FIND("@",A968)),"Not an email address",IF(AND(H968=0,E968=""),"Investor without holders","OK"))))</f>
        <v/>
      </c>
    </row>
    <row r="969">
      <c r="A969" s="26" t="n"/>
      <c r="B969" s="26" t="n"/>
      <c r="C969" s="26" t="n"/>
      <c r="D969" s="26" t="n"/>
      <c r="E969" s="26" t="n"/>
      <c r="F969" s="26" t="n"/>
      <c r="G969" s="26" t="n"/>
      <c r="H969" s="30">
        <f>IF(A969="","",COUNTIF('Access'!$A$4:$A$1503,A969))</f>
        <v/>
      </c>
      <c r="I969" s="30">
        <f t="array" ref="I969">IF(A969="","",_xlfn.TEXTJOIN(", ",TRUE,IF(('Companies'!$A$4:$A$63&lt;&gt;"")*(COUNTIFS('Access'!$A$4:$A$1503,A969,'Access'!$F$4:$F$1503,"*"&amp;'Companies'!$A$4:$A$63&amp;"*")&gt;0),'Companies'!$A$4:$A$63,"")))</f>
        <v/>
      </c>
      <c r="J969" s="30">
        <f>IF(A969="","",IF(COUNTIF($A$4:$A$1003,A969)&gt;1,"Duplicate email",IF(ISERROR(FIND("@",A969)),"Not an email address",IF(AND(H969=0,E969=""),"Investor without holders","OK"))))</f>
        <v/>
      </c>
    </row>
    <row r="970">
      <c r="A970" s="26" t="n"/>
      <c r="B970" s="26" t="n"/>
      <c r="C970" s="26" t="n"/>
      <c r="D970" s="26" t="n"/>
      <c r="E970" s="26" t="n"/>
      <c r="F970" s="26" t="n"/>
      <c r="G970" s="26" t="n"/>
      <c r="H970" s="30">
        <f>IF(A970="","",COUNTIF('Access'!$A$4:$A$1503,A970))</f>
        <v/>
      </c>
      <c r="I970" s="30">
        <f t="array" ref="I970">IF(A970="","",_xlfn.TEXTJOIN(", ",TRUE,IF(('Companies'!$A$4:$A$63&lt;&gt;"")*(COUNTIFS('Access'!$A$4:$A$1503,A970,'Access'!$F$4:$F$1503,"*"&amp;'Companies'!$A$4:$A$63&amp;"*")&gt;0),'Companies'!$A$4:$A$63,"")))</f>
        <v/>
      </c>
      <c r="J970" s="30">
        <f>IF(A970="","",IF(COUNTIF($A$4:$A$1003,A970)&gt;1,"Duplicate email",IF(ISERROR(FIND("@",A970)),"Not an email address",IF(AND(H970=0,E970=""),"Investor without holders","OK"))))</f>
        <v/>
      </c>
    </row>
    <row r="971">
      <c r="A971" s="26" t="n"/>
      <c r="B971" s="26" t="n"/>
      <c r="C971" s="26" t="n"/>
      <c r="D971" s="26" t="n"/>
      <c r="E971" s="26" t="n"/>
      <c r="F971" s="26" t="n"/>
      <c r="G971" s="26" t="n"/>
      <c r="H971" s="30">
        <f>IF(A971="","",COUNTIF('Access'!$A$4:$A$1503,A971))</f>
        <v/>
      </c>
      <c r="I971" s="30">
        <f t="array" ref="I971">IF(A971="","",_xlfn.TEXTJOIN(", ",TRUE,IF(('Companies'!$A$4:$A$63&lt;&gt;"")*(COUNTIFS('Access'!$A$4:$A$1503,A971,'Access'!$F$4:$F$1503,"*"&amp;'Companies'!$A$4:$A$63&amp;"*")&gt;0),'Companies'!$A$4:$A$63,"")))</f>
        <v/>
      </c>
      <c r="J971" s="30">
        <f>IF(A971="","",IF(COUNTIF($A$4:$A$1003,A971)&gt;1,"Duplicate email",IF(ISERROR(FIND("@",A971)),"Not an email address",IF(AND(H971=0,E971=""),"Investor without holders","OK"))))</f>
        <v/>
      </c>
    </row>
    <row r="972">
      <c r="A972" s="26" t="n"/>
      <c r="B972" s="26" t="n"/>
      <c r="C972" s="26" t="n"/>
      <c r="D972" s="26" t="n"/>
      <c r="E972" s="26" t="n"/>
      <c r="F972" s="26" t="n"/>
      <c r="G972" s="26" t="n"/>
      <c r="H972" s="30">
        <f>IF(A972="","",COUNTIF('Access'!$A$4:$A$1503,A972))</f>
        <v/>
      </c>
      <c r="I972" s="30">
        <f t="array" ref="I972">IF(A972="","",_xlfn.TEXTJOIN(", ",TRUE,IF(('Companies'!$A$4:$A$63&lt;&gt;"")*(COUNTIFS('Access'!$A$4:$A$1503,A972,'Access'!$F$4:$F$1503,"*"&amp;'Companies'!$A$4:$A$63&amp;"*")&gt;0),'Companies'!$A$4:$A$63,"")))</f>
        <v/>
      </c>
      <c r="J972" s="30">
        <f>IF(A972="","",IF(COUNTIF($A$4:$A$1003,A972)&gt;1,"Duplicate email",IF(ISERROR(FIND("@",A972)),"Not an email address",IF(AND(H972=0,E972=""),"Investor without holders","OK"))))</f>
        <v/>
      </c>
    </row>
    <row r="973">
      <c r="A973" s="26" t="n"/>
      <c r="B973" s="26" t="n"/>
      <c r="C973" s="26" t="n"/>
      <c r="D973" s="26" t="n"/>
      <c r="E973" s="26" t="n"/>
      <c r="F973" s="26" t="n"/>
      <c r="G973" s="26" t="n"/>
      <c r="H973" s="30">
        <f>IF(A973="","",COUNTIF('Access'!$A$4:$A$1503,A973))</f>
        <v/>
      </c>
      <c r="I973" s="30">
        <f t="array" ref="I973">IF(A973="","",_xlfn.TEXTJOIN(", ",TRUE,IF(('Companies'!$A$4:$A$63&lt;&gt;"")*(COUNTIFS('Access'!$A$4:$A$1503,A973,'Access'!$F$4:$F$1503,"*"&amp;'Companies'!$A$4:$A$63&amp;"*")&gt;0),'Companies'!$A$4:$A$63,"")))</f>
        <v/>
      </c>
      <c r="J973" s="30">
        <f>IF(A973="","",IF(COUNTIF($A$4:$A$1003,A973)&gt;1,"Duplicate email",IF(ISERROR(FIND("@",A973)),"Not an email address",IF(AND(H973=0,E973=""),"Investor without holders","OK"))))</f>
        <v/>
      </c>
    </row>
    <row r="974">
      <c r="A974" s="26" t="n"/>
      <c r="B974" s="26" t="n"/>
      <c r="C974" s="26" t="n"/>
      <c r="D974" s="26" t="n"/>
      <c r="E974" s="26" t="n"/>
      <c r="F974" s="26" t="n"/>
      <c r="G974" s="26" t="n"/>
      <c r="H974" s="30">
        <f>IF(A974="","",COUNTIF('Access'!$A$4:$A$1503,A974))</f>
        <v/>
      </c>
      <c r="I974" s="30">
        <f t="array" ref="I974">IF(A974="","",_xlfn.TEXTJOIN(", ",TRUE,IF(('Companies'!$A$4:$A$63&lt;&gt;"")*(COUNTIFS('Access'!$A$4:$A$1503,A974,'Access'!$F$4:$F$1503,"*"&amp;'Companies'!$A$4:$A$63&amp;"*")&gt;0),'Companies'!$A$4:$A$63,"")))</f>
        <v/>
      </c>
      <c r="J974" s="30">
        <f>IF(A974="","",IF(COUNTIF($A$4:$A$1003,A974)&gt;1,"Duplicate email",IF(ISERROR(FIND("@",A974)),"Not an email address",IF(AND(H974=0,E974=""),"Investor without holders","OK"))))</f>
        <v/>
      </c>
    </row>
    <row r="975">
      <c r="A975" s="26" t="n"/>
      <c r="B975" s="26" t="n"/>
      <c r="C975" s="26" t="n"/>
      <c r="D975" s="26" t="n"/>
      <c r="E975" s="26" t="n"/>
      <c r="F975" s="26" t="n"/>
      <c r="G975" s="26" t="n"/>
      <c r="H975" s="30">
        <f>IF(A975="","",COUNTIF('Access'!$A$4:$A$1503,A975))</f>
        <v/>
      </c>
      <c r="I975" s="30">
        <f t="array" ref="I975">IF(A975="","",_xlfn.TEXTJOIN(", ",TRUE,IF(('Companies'!$A$4:$A$63&lt;&gt;"")*(COUNTIFS('Access'!$A$4:$A$1503,A975,'Access'!$F$4:$F$1503,"*"&amp;'Companies'!$A$4:$A$63&amp;"*")&gt;0),'Companies'!$A$4:$A$63,"")))</f>
        <v/>
      </c>
      <c r="J975" s="30">
        <f>IF(A975="","",IF(COUNTIF($A$4:$A$1003,A975)&gt;1,"Duplicate email",IF(ISERROR(FIND("@",A975)),"Not an email address",IF(AND(H975=0,E975=""),"Investor without holders","OK"))))</f>
        <v/>
      </c>
    </row>
    <row r="976">
      <c r="A976" s="26" t="n"/>
      <c r="B976" s="26" t="n"/>
      <c r="C976" s="26" t="n"/>
      <c r="D976" s="26" t="n"/>
      <c r="E976" s="26" t="n"/>
      <c r="F976" s="26" t="n"/>
      <c r="G976" s="26" t="n"/>
      <c r="H976" s="30">
        <f>IF(A976="","",COUNTIF('Access'!$A$4:$A$1503,A976))</f>
        <v/>
      </c>
      <c r="I976" s="30">
        <f t="array" ref="I976">IF(A976="","",_xlfn.TEXTJOIN(", ",TRUE,IF(('Companies'!$A$4:$A$63&lt;&gt;"")*(COUNTIFS('Access'!$A$4:$A$1503,A976,'Access'!$F$4:$F$1503,"*"&amp;'Companies'!$A$4:$A$63&amp;"*")&gt;0),'Companies'!$A$4:$A$63,"")))</f>
        <v/>
      </c>
      <c r="J976" s="30">
        <f>IF(A976="","",IF(COUNTIF($A$4:$A$1003,A976)&gt;1,"Duplicate email",IF(ISERROR(FIND("@",A976)),"Not an email address",IF(AND(H976=0,E976=""),"Investor without holders","OK"))))</f>
        <v/>
      </c>
    </row>
    <row r="977">
      <c r="A977" s="26" t="n"/>
      <c r="B977" s="26" t="n"/>
      <c r="C977" s="26" t="n"/>
      <c r="D977" s="26" t="n"/>
      <c r="E977" s="26" t="n"/>
      <c r="F977" s="26" t="n"/>
      <c r="G977" s="26" t="n"/>
      <c r="H977" s="30">
        <f>IF(A977="","",COUNTIF('Access'!$A$4:$A$1503,A977))</f>
        <v/>
      </c>
      <c r="I977" s="30">
        <f t="array" ref="I977">IF(A977="","",_xlfn.TEXTJOIN(", ",TRUE,IF(('Companies'!$A$4:$A$63&lt;&gt;"")*(COUNTIFS('Access'!$A$4:$A$1503,A977,'Access'!$F$4:$F$1503,"*"&amp;'Companies'!$A$4:$A$63&amp;"*")&gt;0),'Companies'!$A$4:$A$63,"")))</f>
        <v/>
      </c>
      <c r="J977" s="30">
        <f>IF(A977="","",IF(COUNTIF($A$4:$A$1003,A977)&gt;1,"Duplicate email",IF(ISERROR(FIND("@",A977)),"Not an email address",IF(AND(H977=0,E977=""),"Investor without holders","OK"))))</f>
        <v/>
      </c>
    </row>
    <row r="978">
      <c r="A978" s="26" t="n"/>
      <c r="B978" s="26" t="n"/>
      <c r="C978" s="26" t="n"/>
      <c r="D978" s="26" t="n"/>
      <c r="E978" s="26" t="n"/>
      <c r="F978" s="26" t="n"/>
      <c r="G978" s="26" t="n"/>
      <c r="H978" s="30">
        <f>IF(A978="","",COUNTIF('Access'!$A$4:$A$1503,A978))</f>
        <v/>
      </c>
      <c r="I978" s="30">
        <f t="array" ref="I978">IF(A978="","",_xlfn.TEXTJOIN(", ",TRUE,IF(('Companies'!$A$4:$A$63&lt;&gt;"")*(COUNTIFS('Access'!$A$4:$A$1503,A978,'Access'!$F$4:$F$1503,"*"&amp;'Companies'!$A$4:$A$63&amp;"*")&gt;0),'Companies'!$A$4:$A$63,"")))</f>
        <v/>
      </c>
      <c r="J978" s="30">
        <f>IF(A978="","",IF(COUNTIF($A$4:$A$1003,A978)&gt;1,"Duplicate email",IF(ISERROR(FIND("@",A978)),"Not an email address",IF(AND(H978=0,E978=""),"Investor without holders","OK"))))</f>
        <v/>
      </c>
    </row>
    <row r="979">
      <c r="A979" s="26" t="n"/>
      <c r="B979" s="26" t="n"/>
      <c r="C979" s="26" t="n"/>
      <c r="D979" s="26" t="n"/>
      <c r="E979" s="26" t="n"/>
      <c r="F979" s="26" t="n"/>
      <c r="G979" s="26" t="n"/>
      <c r="H979" s="30">
        <f>IF(A979="","",COUNTIF('Access'!$A$4:$A$1503,A979))</f>
        <v/>
      </c>
      <c r="I979" s="30">
        <f t="array" ref="I979">IF(A979="","",_xlfn.TEXTJOIN(", ",TRUE,IF(('Companies'!$A$4:$A$63&lt;&gt;"")*(COUNTIFS('Access'!$A$4:$A$1503,A979,'Access'!$F$4:$F$1503,"*"&amp;'Companies'!$A$4:$A$63&amp;"*")&gt;0),'Companies'!$A$4:$A$63,"")))</f>
        <v/>
      </c>
      <c r="J979" s="30">
        <f>IF(A979="","",IF(COUNTIF($A$4:$A$1003,A979)&gt;1,"Duplicate email",IF(ISERROR(FIND("@",A979)),"Not an email address",IF(AND(H979=0,E979=""),"Investor without holders","OK"))))</f>
        <v/>
      </c>
    </row>
    <row r="980">
      <c r="A980" s="26" t="n"/>
      <c r="B980" s="26" t="n"/>
      <c r="C980" s="26" t="n"/>
      <c r="D980" s="26" t="n"/>
      <c r="E980" s="26" t="n"/>
      <c r="F980" s="26" t="n"/>
      <c r="G980" s="26" t="n"/>
      <c r="H980" s="30">
        <f>IF(A980="","",COUNTIF('Access'!$A$4:$A$1503,A980))</f>
        <v/>
      </c>
      <c r="I980" s="30">
        <f t="array" ref="I980">IF(A980="","",_xlfn.TEXTJOIN(", ",TRUE,IF(('Companies'!$A$4:$A$63&lt;&gt;"")*(COUNTIFS('Access'!$A$4:$A$1503,A980,'Access'!$F$4:$F$1503,"*"&amp;'Companies'!$A$4:$A$63&amp;"*")&gt;0),'Companies'!$A$4:$A$63,"")))</f>
        <v/>
      </c>
      <c r="J980" s="30">
        <f>IF(A980="","",IF(COUNTIF($A$4:$A$1003,A980)&gt;1,"Duplicate email",IF(ISERROR(FIND("@",A980)),"Not an email address",IF(AND(H980=0,E980=""),"Investor without holders","OK"))))</f>
        <v/>
      </c>
    </row>
    <row r="981">
      <c r="A981" s="26" t="n"/>
      <c r="B981" s="26" t="n"/>
      <c r="C981" s="26" t="n"/>
      <c r="D981" s="26" t="n"/>
      <c r="E981" s="26" t="n"/>
      <c r="F981" s="26" t="n"/>
      <c r="G981" s="26" t="n"/>
      <c r="H981" s="30">
        <f>IF(A981="","",COUNTIF('Access'!$A$4:$A$1503,A981))</f>
        <v/>
      </c>
      <c r="I981" s="30">
        <f t="array" ref="I981">IF(A981="","",_xlfn.TEXTJOIN(", ",TRUE,IF(('Companies'!$A$4:$A$63&lt;&gt;"")*(COUNTIFS('Access'!$A$4:$A$1503,A981,'Access'!$F$4:$F$1503,"*"&amp;'Companies'!$A$4:$A$63&amp;"*")&gt;0),'Companies'!$A$4:$A$63,"")))</f>
        <v/>
      </c>
      <c r="J981" s="30">
        <f>IF(A981="","",IF(COUNTIF($A$4:$A$1003,A981)&gt;1,"Duplicate email",IF(ISERROR(FIND("@",A981)),"Not an email address",IF(AND(H981=0,E981=""),"Investor without holders","OK"))))</f>
        <v/>
      </c>
    </row>
    <row r="982">
      <c r="A982" s="26" t="n"/>
      <c r="B982" s="26" t="n"/>
      <c r="C982" s="26" t="n"/>
      <c r="D982" s="26" t="n"/>
      <c r="E982" s="26" t="n"/>
      <c r="F982" s="26" t="n"/>
      <c r="G982" s="26" t="n"/>
      <c r="H982" s="30">
        <f>IF(A982="","",COUNTIF('Access'!$A$4:$A$1503,A982))</f>
        <v/>
      </c>
      <c r="I982" s="30">
        <f t="array" ref="I982">IF(A982="","",_xlfn.TEXTJOIN(", ",TRUE,IF(('Companies'!$A$4:$A$63&lt;&gt;"")*(COUNTIFS('Access'!$A$4:$A$1503,A982,'Access'!$F$4:$F$1503,"*"&amp;'Companies'!$A$4:$A$63&amp;"*")&gt;0),'Companies'!$A$4:$A$63,"")))</f>
        <v/>
      </c>
      <c r="J982" s="30">
        <f>IF(A982="","",IF(COUNTIF($A$4:$A$1003,A982)&gt;1,"Duplicate email",IF(ISERROR(FIND("@",A982)),"Not an email address",IF(AND(H982=0,E982=""),"Investor without holders","OK"))))</f>
        <v/>
      </c>
    </row>
    <row r="983">
      <c r="A983" s="26" t="n"/>
      <c r="B983" s="26" t="n"/>
      <c r="C983" s="26" t="n"/>
      <c r="D983" s="26" t="n"/>
      <c r="E983" s="26" t="n"/>
      <c r="F983" s="26" t="n"/>
      <c r="G983" s="26" t="n"/>
      <c r="H983" s="30">
        <f>IF(A983="","",COUNTIF('Access'!$A$4:$A$1503,A983))</f>
        <v/>
      </c>
      <c r="I983" s="30">
        <f t="array" ref="I983">IF(A983="","",_xlfn.TEXTJOIN(", ",TRUE,IF(('Companies'!$A$4:$A$63&lt;&gt;"")*(COUNTIFS('Access'!$A$4:$A$1503,A983,'Access'!$F$4:$F$1503,"*"&amp;'Companies'!$A$4:$A$63&amp;"*")&gt;0),'Companies'!$A$4:$A$63,"")))</f>
        <v/>
      </c>
      <c r="J983" s="30">
        <f>IF(A983="","",IF(COUNTIF($A$4:$A$1003,A983)&gt;1,"Duplicate email",IF(ISERROR(FIND("@",A983)),"Not an email address",IF(AND(H983=0,E983=""),"Investor without holders","OK"))))</f>
        <v/>
      </c>
    </row>
    <row r="984">
      <c r="A984" s="26" t="n"/>
      <c r="B984" s="26" t="n"/>
      <c r="C984" s="26" t="n"/>
      <c r="D984" s="26" t="n"/>
      <c r="E984" s="26" t="n"/>
      <c r="F984" s="26" t="n"/>
      <c r="G984" s="26" t="n"/>
      <c r="H984" s="30">
        <f>IF(A984="","",COUNTIF('Access'!$A$4:$A$1503,A984))</f>
        <v/>
      </c>
      <c r="I984" s="30">
        <f t="array" ref="I984">IF(A984="","",_xlfn.TEXTJOIN(", ",TRUE,IF(('Companies'!$A$4:$A$63&lt;&gt;"")*(COUNTIFS('Access'!$A$4:$A$1503,A984,'Access'!$F$4:$F$1503,"*"&amp;'Companies'!$A$4:$A$63&amp;"*")&gt;0),'Companies'!$A$4:$A$63,"")))</f>
        <v/>
      </c>
      <c r="J984" s="30">
        <f>IF(A984="","",IF(COUNTIF($A$4:$A$1003,A984)&gt;1,"Duplicate email",IF(ISERROR(FIND("@",A984)),"Not an email address",IF(AND(H984=0,E984=""),"Investor without holders","OK"))))</f>
        <v/>
      </c>
    </row>
    <row r="985">
      <c r="A985" s="26" t="n"/>
      <c r="B985" s="26" t="n"/>
      <c r="C985" s="26" t="n"/>
      <c r="D985" s="26" t="n"/>
      <c r="E985" s="26" t="n"/>
      <c r="F985" s="26" t="n"/>
      <c r="G985" s="26" t="n"/>
      <c r="H985" s="30">
        <f>IF(A985="","",COUNTIF('Access'!$A$4:$A$1503,A985))</f>
        <v/>
      </c>
      <c r="I985" s="30">
        <f t="array" ref="I985">IF(A985="","",_xlfn.TEXTJOIN(", ",TRUE,IF(('Companies'!$A$4:$A$63&lt;&gt;"")*(COUNTIFS('Access'!$A$4:$A$1503,A985,'Access'!$F$4:$F$1503,"*"&amp;'Companies'!$A$4:$A$63&amp;"*")&gt;0),'Companies'!$A$4:$A$63,"")))</f>
        <v/>
      </c>
      <c r="J985" s="30">
        <f>IF(A985="","",IF(COUNTIF($A$4:$A$1003,A985)&gt;1,"Duplicate email",IF(ISERROR(FIND("@",A985)),"Not an email address",IF(AND(H985=0,E985=""),"Investor without holders","OK"))))</f>
        <v/>
      </c>
    </row>
    <row r="986">
      <c r="A986" s="26" t="n"/>
      <c r="B986" s="26" t="n"/>
      <c r="C986" s="26" t="n"/>
      <c r="D986" s="26" t="n"/>
      <c r="E986" s="26" t="n"/>
      <c r="F986" s="26" t="n"/>
      <c r="G986" s="26" t="n"/>
      <c r="H986" s="30">
        <f>IF(A986="","",COUNTIF('Access'!$A$4:$A$1503,A986))</f>
        <v/>
      </c>
      <c r="I986" s="30">
        <f t="array" ref="I986">IF(A986="","",_xlfn.TEXTJOIN(", ",TRUE,IF(('Companies'!$A$4:$A$63&lt;&gt;"")*(COUNTIFS('Access'!$A$4:$A$1503,A986,'Access'!$F$4:$F$1503,"*"&amp;'Companies'!$A$4:$A$63&amp;"*")&gt;0),'Companies'!$A$4:$A$63,"")))</f>
        <v/>
      </c>
      <c r="J986" s="30">
        <f>IF(A986="","",IF(COUNTIF($A$4:$A$1003,A986)&gt;1,"Duplicate email",IF(ISERROR(FIND("@",A986)),"Not an email address",IF(AND(H986=0,E986=""),"Investor without holders","OK"))))</f>
        <v/>
      </c>
    </row>
    <row r="987">
      <c r="A987" s="26" t="n"/>
      <c r="B987" s="26" t="n"/>
      <c r="C987" s="26" t="n"/>
      <c r="D987" s="26" t="n"/>
      <c r="E987" s="26" t="n"/>
      <c r="F987" s="26" t="n"/>
      <c r="G987" s="26" t="n"/>
      <c r="H987" s="30">
        <f>IF(A987="","",COUNTIF('Access'!$A$4:$A$1503,A987))</f>
        <v/>
      </c>
      <c r="I987" s="30">
        <f t="array" ref="I987">IF(A987="","",_xlfn.TEXTJOIN(", ",TRUE,IF(('Companies'!$A$4:$A$63&lt;&gt;"")*(COUNTIFS('Access'!$A$4:$A$1503,A987,'Access'!$F$4:$F$1503,"*"&amp;'Companies'!$A$4:$A$63&amp;"*")&gt;0),'Companies'!$A$4:$A$63,"")))</f>
        <v/>
      </c>
      <c r="J987" s="30">
        <f>IF(A987="","",IF(COUNTIF($A$4:$A$1003,A987)&gt;1,"Duplicate email",IF(ISERROR(FIND("@",A987)),"Not an email address",IF(AND(H987=0,E987=""),"Investor without holders","OK"))))</f>
        <v/>
      </c>
    </row>
    <row r="988">
      <c r="A988" s="26" t="n"/>
      <c r="B988" s="26" t="n"/>
      <c r="C988" s="26" t="n"/>
      <c r="D988" s="26" t="n"/>
      <c r="E988" s="26" t="n"/>
      <c r="F988" s="26" t="n"/>
      <c r="G988" s="26" t="n"/>
      <c r="H988" s="30">
        <f>IF(A988="","",COUNTIF('Access'!$A$4:$A$1503,A988))</f>
        <v/>
      </c>
      <c r="I988" s="30">
        <f t="array" ref="I988">IF(A988="","",_xlfn.TEXTJOIN(", ",TRUE,IF(('Companies'!$A$4:$A$63&lt;&gt;"")*(COUNTIFS('Access'!$A$4:$A$1503,A988,'Access'!$F$4:$F$1503,"*"&amp;'Companies'!$A$4:$A$63&amp;"*")&gt;0),'Companies'!$A$4:$A$63,"")))</f>
        <v/>
      </c>
      <c r="J988" s="30">
        <f>IF(A988="","",IF(COUNTIF($A$4:$A$1003,A988)&gt;1,"Duplicate email",IF(ISERROR(FIND("@",A988)),"Not an email address",IF(AND(H988=0,E988=""),"Investor without holders","OK"))))</f>
        <v/>
      </c>
    </row>
    <row r="989">
      <c r="A989" s="26" t="n"/>
      <c r="B989" s="26" t="n"/>
      <c r="C989" s="26" t="n"/>
      <c r="D989" s="26" t="n"/>
      <c r="E989" s="26" t="n"/>
      <c r="F989" s="26" t="n"/>
      <c r="G989" s="26" t="n"/>
      <c r="H989" s="30">
        <f>IF(A989="","",COUNTIF('Access'!$A$4:$A$1503,A989))</f>
        <v/>
      </c>
      <c r="I989" s="30">
        <f t="array" ref="I989">IF(A989="","",_xlfn.TEXTJOIN(", ",TRUE,IF(('Companies'!$A$4:$A$63&lt;&gt;"")*(COUNTIFS('Access'!$A$4:$A$1503,A989,'Access'!$F$4:$F$1503,"*"&amp;'Companies'!$A$4:$A$63&amp;"*")&gt;0),'Companies'!$A$4:$A$63,"")))</f>
        <v/>
      </c>
      <c r="J989" s="30">
        <f>IF(A989="","",IF(COUNTIF($A$4:$A$1003,A989)&gt;1,"Duplicate email",IF(ISERROR(FIND("@",A989)),"Not an email address",IF(AND(H989=0,E989=""),"Investor without holders","OK"))))</f>
        <v/>
      </c>
    </row>
    <row r="990">
      <c r="A990" s="26" t="n"/>
      <c r="B990" s="26" t="n"/>
      <c r="C990" s="26" t="n"/>
      <c r="D990" s="26" t="n"/>
      <c r="E990" s="26" t="n"/>
      <c r="F990" s="26" t="n"/>
      <c r="G990" s="26" t="n"/>
      <c r="H990" s="30">
        <f>IF(A990="","",COUNTIF('Access'!$A$4:$A$1503,A990))</f>
        <v/>
      </c>
      <c r="I990" s="30">
        <f t="array" ref="I990">IF(A990="","",_xlfn.TEXTJOIN(", ",TRUE,IF(('Companies'!$A$4:$A$63&lt;&gt;"")*(COUNTIFS('Access'!$A$4:$A$1503,A990,'Access'!$F$4:$F$1503,"*"&amp;'Companies'!$A$4:$A$63&amp;"*")&gt;0),'Companies'!$A$4:$A$63,"")))</f>
        <v/>
      </c>
      <c r="J990" s="30">
        <f>IF(A990="","",IF(COUNTIF($A$4:$A$1003,A990)&gt;1,"Duplicate email",IF(ISERROR(FIND("@",A990)),"Not an email address",IF(AND(H990=0,E990=""),"Investor without holders","OK"))))</f>
        <v/>
      </c>
    </row>
    <row r="991">
      <c r="A991" s="26" t="n"/>
      <c r="B991" s="26" t="n"/>
      <c r="C991" s="26" t="n"/>
      <c r="D991" s="26" t="n"/>
      <c r="E991" s="26" t="n"/>
      <c r="F991" s="26" t="n"/>
      <c r="G991" s="26" t="n"/>
      <c r="H991" s="30">
        <f>IF(A991="","",COUNTIF('Access'!$A$4:$A$1503,A991))</f>
        <v/>
      </c>
      <c r="I991" s="30">
        <f t="array" ref="I991">IF(A991="","",_xlfn.TEXTJOIN(", ",TRUE,IF(('Companies'!$A$4:$A$63&lt;&gt;"")*(COUNTIFS('Access'!$A$4:$A$1503,A991,'Access'!$F$4:$F$1503,"*"&amp;'Companies'!$A$4:$A$63&amp;"*")&gt;0),'Companies'!$A$4:$A$63,"")))</f>
        <v/>
      </c>
      <c r="J991" s="30">
        <f>IF(A991="","",IF(COUNTIF($A$4:$A$1003,A991)&gt;1,"Duplicate email",IF(ISERROR(FIND("@",A991)),"Not an email address",IF(AND(H991=0,E991=""),"Investor without holders","OK"))))</f>
        <v/>
      </c>
    </row>
    <row r="992">
      <c r="A992" s="26" t="n"/>
      <c r="B992" s="26" t="n"/>
      <c r="C992" s="26" t="n"/>
      <c r="D992" s="26" t="n"/>
      <c r="E992" s="26" t="n"/>
      <c r="F992" s="26" t="n"/>
      <c r="G992" s="26" t="n"/>
      <c r="H992" s="30">
        <f>IF(A992="","",COUNTIF('Access'!$A$4:$A$1503,A992))</f>
        <v/>
      </c>
      <c r="I992" s="30">
        <f t="array" ref="I992">IF(A992="","",_xlfn.TEXTJOIN(", ",TRUE,IF(('Companies'!$A$4:$A$63&lt;&gt;"")*(COUNTIFS('Access'!$A$4:$A$1503,A992,'Access'!$F$4:$F$1503,"*"&amp;'Companies'!$A$4:$A$63&amp;"*")&gt;0),'Companies'!$A$4:$A$63,"")))</f>
        <v/>
      </c>
      <c r="J992" s="30">
        <f>IF(A992="","",IF(COUNTIF($A$4:$A$1003,A992)&gt;1,"Duplicate email",IF(ISERROR(FIND("@",A992)),"Not an email address",IF(AND(H992=0,E992=""),"Investor without holders","OK"))))</f>
        <v/>
      </c>
    </row>
    <row r="993">
      <c r="A993" s="26" t="n"/>
      <c r="B993" s="26" t="n"/>
      <c r="C993" s="26" t="n"/>
      <c r="D993" s="26" t="n"/>
      <c r="E993" s="26" t="n"/>
      <c r="F993" s="26" t="n"/>
      <c r="G993" s="26" t="n"/>
      <c r="H993" s="30">
        <f>IF(A993="","",COUNTIF('Access'!$A$4:$A$1503,A993))</f>
        <v/>
      </c>
      <c r="I993" s="30">
        <f t="array" ref="I993">IF(A993="","",_xlfn.TEXTJOIN(", ",TRUE,IF(('Companies'!$A$4:$A$63&lt;&gt;"")*(COUNTIFS('Access'!$A$4:$A$1503,A993,'Access'!$F$4:$F$1503,"*"&amp;'Companies'!$A$4:$A$63&amp;"*")&gt;0),'Companies'!$A$4:$A$63,"")))</f>
        <v/>
      </c>
      <c r="J993" s="30">
        <f>IF(A993="","",IF(COUNTIF($A$4:$A$1003,A993)&gt;1,"Duplicate email",IF(ISERROR(FIND("@",A993)),"Not an email address",IF(AND(H993=0,E993=""),"Investor without holders","OK"))))</f>
        <v/>
      </c>
    </row>
    <row r="994">
      <c r="A994" s="26" t="n"/>
      <c r="B994" s="26" t="n"/>
      <c r="C994" s="26" t="n"/>
      <c r="D994" s="26" t="n"/>
      <c r="E994" s="26" t="n"/>
      <c r="F994" s="26" t="n"/>
      <c r="G994" s="26" t="n"/>
      <c r="H994" s="30">
        <f>IF(A994="","",COUNTIF('Access'!$A$4:$A$1503,A994))</f>
        <v/>
      </c>
      <c r="I994" s="30">
        <f t="array" ref="I994">IF(A994="","",_xlfn.TEXTJOIN(", ",TRUE,IF(('Companies'!$A$4:$A$63&lt;&gt;"")*(COUNTIFS('Access'!$A$4:$A$1503,A994,'Access'!$F$4:$F$1503,"*"&amp;'Companies'!$A$4:$A$63&amp;"*")&gt;0),'Companies'!$A$4:$A$63,"")))</f>
        <v/>
      </c>
      <c r="J994" s="30">
        <f>IF(A994="","",IF(COUNTIF($A$4:$A$1003,A994)&gt;1,"Duplicate email",IF(ISERROR(FIND("@",A994)),"Not an email address",IF(AND(H994=0,E994=""),"Investor without holders","OK"))))</f>
        <v/>
      </c>
    </row>
    <row r="995">
      <c r="A995" s="26" t="n"/>
      <c r="B995" s="26" t="n"/>
      <c r="C995" s="26" t="n"/>
      <c r="D995" s="26" t="n"/>
      <c r="E995" s="26" t="n"/>
      <c r="F995" s="26" t="n"/>
      <c r="G995" s="26" t="n"/>
      <c r="H995" s="30">
        <f>IF(A995="","",COUNTIF('Access'!$A$4:$A$1503,A995))</f>
        <v/>
      </c>
      <c r="I995" s="30">
        <f t="array" ref="I995">IF(A995="","",_xlfn.TEXTJOIN(", ",TRUE,IF(('Companies'!$A$4:$A$63&lt;&gt;"")*(COUNTIFS('Access'!$A$4:$A$1503,A995,'Access'!$F$4:$F$1503,"*"&amp;'Companies'!$A$4:$A$63&amp;"*")&gt;0),'Companies'!$A$4:$A$63,"")))</f>
        <v/>
      </c>
      <c r="J995" s="30">
        <f>IF(A995="","",IF(COUNTIF($A$4:$A$1003,A995)&gt;1,"Duplicate email",IF(ISERROR(FIND("@",A995)),"Not an email address",IF(AND(H995=0,E995=""),"Investor without holders","OK"))))</f>
        <v/>
      </c>
    </row>
    <row r="996">
      <c r="A996" s="26" t="n"/>
      <c r="B996" s="26" t="n"/>
      <c r="C996" s="26" t="n"/>
      <c r="D996" s="26" t="n"/>
      <c r="E996" s="26" t="n"/>
      <c r="F996" s="26" t="n"/>
      <c r="G996" s="26" t="n"/>
      <c r="H996" s="30">
        <f>IF(A996="","",COUNTIF('Access'!$A$4:$A$1503,A996))</f>
        <v/>
      </c>
      <c r="I996" s="30">
        <f t="array" ref="I996">IF(A996="","",_xlfn.TEXTJOIN(", ",TRUE,IF(('Companies'!$A$4:$A$63&lt;&gt;"")*(COUNTIFS('Access'!$A$4:$A$1503,A996,'Access'!$F$4:$F$1503,"*"&amp;'Companies'!$A$4:$A$63&amp;"*")&gt;0),'Companies'!$A$4:$A$63,"")))</f>
        <v/>
      </c>
      <c r="J996" s="30">
        <f>IF(A996="","",IF(COUNTIF($A$4:$A$1003,A996)&gt;1,"Duplicate email",IF(ISERROR(FIND("@",A996)),"Not an email address",IF(AND(H996=0,E996=""),"Investor without holders","OK"))))</f>
        <v/>
      </c>
    </row>
    <row r="997">
      <c r="A997" s="26" t="n"/>
      <c r="B997" s="26" t="n"/>
      <c r="C997" s="26" t="n"/>
      <c r="D997" s="26" t="n"/>
      <c r="E997" s="26" t="n"/>
      <c r="F997" s="26" t="n"/>
      <c r="G997" s="26" t="n"/>
      <c r="H997" s="30">
        <f>IF(A997="","",COUNTIF('Access'!$A$4:$A$1503,A997))</f>
        <v/>
      </c>
      <c r="I997" s="30">
        <f t="array" ref="I997">IF(A997="","",_xlfn.TEXTJOIN(", ",TRUE,IF(('Companies'!$A$4:$A$63&lt;&gt;"")*(COUNTIFS('Access'!$A$4:$A$1503,A997,'Access'!$F$4:$F$1503,"*"&amp;'Companies'!$A$4:$A$63&amp;"*")&gt;0),'Companies'!$A$4:$A$63,"")))</f>
        <v/>
      </c>
      <c r="J997" s="30">
        <f>IF(A997="","",IF(COUNTIF($A$4:$A$1003,A997)&gt;1,"Duplicate email",IF(ISERROR(FIND("@",A997)),"Not an email address",IF(AND(H997=0,E997=""),"Investor without holders","OK"))))</f>
        <v/>
      </c>
    </row>
    <row r="998">
      <c r="A998" s="26" t="n"/>
      <c r="B998" s="26" t="n"/>
      <c r="C998" s="26" t="n"/>
      <c r="D998" s="26" t="n"/>
      <c r="E998" s="26" t="n"/>
      <c r="F998" s="26" t="n"/>
      <c r="G998" s="26" t="n"/>
      <c r="H998" s="30">
        <f>IF(A998="","",COUNTIF('Access'!$A$4:$A$1503,A998))</f>
        <v/>
      </c>
      <c r="I998" s="30">
        <f t="array" ref="I998">IF(A998="","",_xlfn.TEXTJOIN(", ",TRUE,IF(('Companies'!$A$4:$A$63&lt;&gt;"")*(COUNTIFS('Access'!$A$4:$A$1503,A998,'Access'!$F$4:$F$1503,"*"&amp;'Companies'!$A$4:$A$63&amp;"*")&gt;0),'Companies'!$A$4:$A$63,"")))</f>
        <v/>
      </c>
      <c r="J998" s="30">
        <f>IF(A998="","",IF(COUNTIF($A$4:$A$1003,A998)&gt;1,"Duplicate email",IF(ISERROR(FIND("@",A998)),"Not an email address",IF(AND(H998=0,E998=""),"Investor without holders","OK"))))</f>
        <v/>
      </c>
    </row>
    <row r="999">
      <c r="A999" s="26" t="n"/>
      <c r="B999" s="26" t="n"/>
      <c r="C999" s="26" t="n"/>
      <c r="D999" s="26" t="n"/>
      <c r="E999" s="26" t="n"/>
      <c r="F999" s="26" t="n"/>
      <c r="G999" s="26" t="n"/>
      <c r="H999" s="30">
        <f>IF(A999="","",COUNTIF('Access'!$A$4:$A$1503,A999))</f>
        <v/>
      </c>
      <c r="I999" s="30">
        <f t="array" ref="I999">IF(A999="","",_xlfn.TEXTJOIN(", ",TRUE,IF(('Companies'!$A$4:$A$63&lt;&gt;"")*(COUNTIFS('Access'!$A$4:$A$1503,A999,'Access'!$F$4:$F$1503,"*"&amp;'Companies'!$A$4:$A$63&amp;"*")&gt;0),'Companies'!$A$4:$A$63,"")))</f>
        <v/>
      </c>
      <c r="J999" s="30">
        <f>IF(A999="","",IF(COUNTIF($A$4:$A$1003,A999)&gt;1,"Duplicate email",IF(ISERROR(FIND("@",A999)),"Not an email address",IF(AND(H999=0,E999=""),"Investor without holders","OK"))))</f>
        <v/>
      </c>
    </row>
    <row r="1000">
      <c r="A1000" s="26" t="n"/>
      <c r="B1000" s="26" t="n"/>
      <c r="C1000" s="26" t="n"/>
      <c r="D1000" s="26" t="n"/>
      <c r="E1000" s="26" t="n"/>
      <c r="F1000" s="26" t="n"/>
      <c r="G1000" s="26" t="n"/>
      <c r="H1000" s="30">
        <f>IF(A1000="","",COUNTIF('Access'!$A$4:$A$1503,A1000))</f>
        <v/>
      </c>
      <c r="I1000" s="30">
        <f t="array" ref="I1000">IF(A1000="","",_xlfn.TEXTJOIN(", ",TRUE,IF(('Companies'!$A$4:$A$63&lt;&gt;"")*(COUNTIFS('Access'!$A$4:$A$1503,A1000,'Access'!$F$4:$F$1503,"*"&amp;'Companies'!$A$4:$A$63&amp;"*")&gt;0),'Companies'!$A$4:$A$63,"")))</f>
        <v/>
      </c>
      <c r="J1000" s="30">
        <f>IF(A1000="","",IF(COUNTIF($A$4:$A$1003,A1000)&gt;1,"Duplicate email",IF(ISERROR(FIND("@",A1000)),"Not an email address",IF(AND(H1000=0,E1000=""),"Investor without holders","OK"))))</f>
        <v/>
      </c>
    </row>
    <row r="1001">
      <c r="A1001" s="26" t="n"/>
      <c r="B1001" s="26" t="n"/>
      <c r="C1001" s="26" t="n"/>
      <c r="D1001" s="26" t="n"/>
      <c r="E1001" s="26" t="n"/>
      <c r="F1001" s="26" t="n"/>
      <c r="G1001" s="26" t="n"/>
      <c r="H1001" s="30">
        <f>IF(A1001="","",COUNTIF('Access'!$A$4:$A$1503,A1001))</f>
        <v/>
      </c>
      <c r="I1001" s="30">
        <f t="array" ref="I1001">IF(A1001="","",_xlfn.TEXTJOIN(", ",TRUE,IF(('Companies'!$A$4:$A$63&lt;&gt;"")*(COUNTIFS('Access'!$A$4:$A$1503,A1001,'Access'!$F$4:$F$1503,"*"&amp;'Companies'!$A$4:$A$63&amp;"*")&gt;0),'Companies'!$A$4:$A$63,"")))</f>
        <v/>
      </c>
      <c r="J1001" s="30">
        <f>IF(A1001="","",IF(COUNTIF($A$4:$A$1003,A1001)&gt;1,"Duplicate email",IF(ISERROR(FIND("@",A1001)),"Not an email address",IF(AND(H1001=0,E1001=""),"Investor without holders","OK"))))</f>
        <v/>
      </c>
    </row>
    <row r="1002">
      <c r="A1002" s="26" t="n"/>
      <c r="B1002" s="26" t="n"/>
      <c r="C1002" s="26" t="n"/>
      <c r="D1002" s="26" t="n"/>
      <c r="E1002" s="26" t="n"/>
      <c r="F1002" s="26" t="n"/>
      <c r="G1002" s="26" t="n"/>
      <c r="H1002" s="30">
        <f>IF(A1002="","",COUNTIF('Access'!$A$4:$A$1503,A1002))</f>
        <v/>
      </c>
      <c r="I1002" s="30">
        <f t="array" ref="I1002">IF(A1002="","",_xlfn.TEXTJOIN(", ",TRUE,IF(('Companies'!$A$4:$A$63&lt;&gt;"")*(COUNTIFS('Access'!$A$4:$A$1503,A1002,'Access'!$F$4:$F$1503,"*"&amp;'Companies'!$A$4:$A$63&amp;"*")&gt;0),'Companies'!$A$4:$A$63,"")))</f>
        <v/>
      </c>
      <c r="J1002" s="30">
        <f>IF(A1002="","",IF(COUNTIF($A$4:$A$1003,A1002)&gt;1,"Duplicate email",IF(ISERROR(FIND("@",A1002)),"Not an email address",IF(AND(H1002=0,E1002=""),"Investor without holders","OK"))))</f>
        <v/>
      </c>
    </row>
    <row r="1003">
      <c r="A1003" s="26" t="n"/>
      <c r="B1003" s="26" t="n"/>
      <c r="C1003" s="26" t="n"/>
      <c r="D1003" s="26" t="n"/>
      <c r="E1003" s="26" t="n"/>
      <c r="F1003" s="26" t="n"/>
      <c r="G1003" s="26" t="n"/>
      <c r="H1003" s="30">
        <f>IF(A1003="","",COUNTIF('Access'!$A$4:$A$1503,A1003))</f>
        <v/>
      </c>
      <c r="I1003" s="30">
        <f t="array" ref="I1003">IF(A1003="","",_xlfn.TEXTJOIN(", ",TRUE,IF(('Companies'!$A$4:$A$63&lt;&gt;"")*(COUNTIFS('Access'!$A$4:$A$1503,A1003,'Access'!$F$4:$F$1503,"*"&amp;'Companies'!$A$4:$A$63&amp;"*")&gt;0),'Companies'!$A$4:$A$63,"")))</f>
        <v/>
      </c>
      <c r="J1003" s="30">
        <f>IF(A1003="","",IF(COUNTIF($A$4:$A$1003,A1003)&gt;1,"Duplicate email",IF(ISERROR(FIND("@",A1003)),"Not an email address",IF(AND(H1003=0,E1003=""),"Investor without holders","OK"))))</f>
        <v/>
      </c>
    </row>
  </sheetData>
  <autoFilter ref="A2:J1003"/>
  <conditionalFormatting sqref="J4:J1003">
    <cfRule type="expression" priority="1" dxfId="0">
      <formula>AND(J4&lt;&gt;"",J4&lt;&gt;"OK")</formula>
    </cfRule>
  </conditionalFormatting>
  <dataValidations count="1">
    <dataValidation sqref="F4:F1003" showDropDown="0" showInputMessage="0" showErrorMessage="1" allowBlank="1" errorTitle="Choose from the list" error="Pick one of: Yes, No" type="list">
      <formula1>=Lists!$D$2:$D$3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6" customWidth="1" min="4" max="4"/>
    <col width="34" customWidth="1" min="5" max="5"/>
    <col width="22" customWidth="1" min="6" max="6"/>
    <col width="24" customWidth="1" min="7" max="7"/>
  </cols>
  <sheetData>
    <row r="1">
      <c r="A1" s="9" t="inlineStr">
        <is>
          <t>Access (who sees which holder)</t>
        </is>
      </c>
      <c r="C1" s="10" t="inlineStr">
        <is>
          <t>Links a login to the holders it may see. A person who holds via a trust and personally has two rows.</t>
        </is>
      </c>
    </row>
    <row r="2" ht="32" customHeight="1">
      <c r="A2" s="20" t="inlineStr">
        <is>
          <t>Email *</t>
        </is>
      </c>
      <c r="B2" s="20" t="inlineStr">
        <is>
          <t>Holder ID *</t>
        </is>
      </c>
      <c r="C2" s="20" t="inlineStr">
        <is>
          <t>Access *</t>
        </is>
      </c>
      <c r="D2" s="20" t="inlineStr">
        <is>
          <t>Notes</t>
        </is>
      </c>
      <c r="E2" s="21" t="inlineStr">
        <is>
          <t>Holder name</t>
        </is>
      </c>
      <c r="F2" s="21" t="inlineStr">
        <is>
          <t>Companies (via holdings)</t>
        </is>
      </c>
      <c r="G2" s="21" t="inlineStr">
        <is>
          <t>Check</t>
        </is>
      </c>
    </row>
    <row r="3">
      <c r="A3" s="22" t="inlineStr">
        <is>
          <t>jane@example.com</t>
        </is>
      </c>
      <c r="B3" s="22" t="inlineStr">
        <is>
          <t>H-0001</t>
        </is>
      </c>
      <c r="C3" s="22" t="inlineStr">
        <is>
          <t>Owner</t>
        </is>
      </c>
      <c r="D3" s="22" t="inlineStr"/>
      <c r="H3" s="10" t="inlineStr">
        <is>
          <t>← example row, not imported</t>
        </is>
      </c>
    </row>
    <row r="4">
      <c r="A4" s="26" t="n"/>
      <c r="B4" s="26" t="n"/>
      <c r="C4" s="26" t="n"/>
      <c r="D4" s="26" t="n"/>
      <c r="E4" s="30">
        <f>IF(B4="","",IFERROR(INDEX('Holders'!$B$4:$B$1003,MATCH(B4,'Holders'!$A$4:$A$1003,0)),""))</f>
        <v/>
      </c>
      <c r="F4" s="30">
        <f t="array" ref="F4">IF(B4="","",_xlfn.TEXTJOIN(", ",TRUE,IF(('Companies'!$A$4:$A$63&lt;&gt;"")*(COUNTIFS('Holdings'!$A$4:$A$2503,B4,'Holdings'!$J$4:$J$2503,'Companies'!$A$4:$A$63,'Holdings'!$L$4:$L$2503,"Yes",'Holdings'!$C$4:$C$2503,"&gt;0")&gt;0),'Companies'!$A$4:$A$63,"")))</f>
        <v/>
      </c>
      <c r="G4" s="30">
        <f>IF(A4="","",IF(COUNTIF('People'!$A$4:$A$1003,A4)=0,"Email not on People",IF(COUNTIF('Holders'!$A$4:$A$1003,B4)=0,"Unknown holder ID",IF(COUNTIFS($A$4:$A$1503,A4,$B$4:$B$1503,B4)&gt;1,"Duplicate link",IF(C4="","Missing access","OK")))))</f>
        <v/>
      </c>
    </row>
    <row r="5">
      <c r="A5" s="26" t="n"/>
      <c r="B5" s="26" t="n"/>
      <c r="C5" s="26" t="n"/>
      <c r="D5" s="26" t="n"/>
      <c r="E5" s="30">
        <f>IF(B5="","",IFERROR(INDEX('Holders'!$B$4:$B$1003,MATCH(B5,'Holders'!$A$4:$A$1003,0)),""))</f>
        <v/>
      </c>
      <c r="F5" s="30">
        <f t="array" ref="F5">IF(B5="","",_xlfn.TEXTJOIN(", ",TRUE,IF(('Companies'!$A$4:$A$63&lt;&gt;"")*(COUNTIFS('Holdings'!$A$4:$A$2503,B5,'Holdings'!$J$4:$J$2503,'Companies'!$A$4:$A$63,'Holdings'!$L$4:$L$2503,"Yes",'Holdings'!$C$4:$C$2503,"&gt;0")&gt;0),'Companies'!$A$4:$A$63,"")))</f>
        <v/>
      </c>
      <c r="G5" s="30">
        <f>IF(A5="","",IF(COUNTIF('People'!$A$4:$A$1003,A5)=0,"Email not on People",IF(COUNTIF('Holders'!$A$4:$A$1003,B5)=0,"Unknown holder ID",IF(COUNTIFS($A$4:$A$1503,A5,$B$4:$B$1503,B5)&gt;1,"Duplicate link",IF(C5="","Missing access","OK")))))</f>
        <v/>
      </c>
    </row>
    <row r="6">
      <c r="A6" s="26" t="n"/>
      <c r="B6" s="26" t="n"/>
      <c r="C6" s="26" t="n"/>
      <c r="D6" s="26" t="n"/>
      <c r="E6" s="30">
        <f>IF(B6="","",IFERROR(INDEX('Holders'!$B$4:$B$1003,MATCH(B6,'Holders'!$A$4:$A$1003,0)),""))</f>
        <v/>
      </c>
      <c r="F6" s="30">
        <f t="array" ref="F6">IF(B6="","",_xlfn.TEXTJOIN(", ",TRUE,IF(('Companies'!$A$4:$A$63&lt;&gt;"")*(COUNTIFS('Holdings'!$A$4:$A$2503,B6,'Holdings'!$J$4:$J$2503,'Companies'!$A$4:$A$63,'Holdings'!$L$4:$L$2503,"Yes",'Holdings'!$C$4:$C$2503,"&gt;0")&gt;0),'Companies'!$A$4:$A$63,"")))</f>
        <v/>
      </c>
      <c r="G6" s="30">
        <f>IF(A6="","",IF(COUNTIF('People'!$A$4:$A$1003,A6)=0,"Email not on People",IF(COUNTIF('Holders'!$A$4:$A$1003,B6)=0,"Unknown holder ID",IF(COUNTIFS($A$4:$A$1503,A6,$B$4:$B$1503,B6)&gt;1,"Duplicate link",IF(C6="","Missing access","OK")))))</f>
        <v/>
      </c>
    </row>
    <row r="7">
      <c r="A7" s="26" t="n"/>
      <c r="B7" s="26" t="n"/>
      <c r="C7" s="26" t="n"/>
      <c r="D7" s="26" t="n"/>
      <c r="E7" s="30">
        <f>IF(B7="","",IFERROR(INDEX('Holders'!$B$4:$B$1003,MATCH(B7,'Holders'!$A$4:$A$1003,0)),""))</f>
        <v/>
      </c>
      <c r="F7" s="30">
        <f t="array" ref="F7">IF(B7="","",_xlfn.TEXTJOIN(", ",TRUE,IF(('Companies'!$A$4:$A$63&lt;&gt;"")*(COUNTIFS('Holdings'!$A$4:$A$2503,B7,'Holdings'!$J$4:$J$2503,'Companies'!$A$4:$A$63,'Holdings'!$L$4:$L$2503,"Yes",'Holdings'!$C$4:$C$2503,"&gt;0")&gt;0),'Companies'!$A$4:$A$63,"")))</f>
        <v/>
      </c>
      <c r="G7" s="30">
        <f>IF(A7="","",IF(COUNTIF('People'!$A$4:$A$1003,A7)=0,"Email not on People",IF(COUNTIF('Holders'!$A$4:$A$1003,B7)=0,"Unknown holder ID",IF(COUNTIFS($A$4:$A$1503,A7,$B$4:$B$1503,B7)&gt;1,"Duplicate link",IF(C7="","Missing access","OK")))))</f>
        <v/>
      </c>
    </row>
    <row r="8">
      <c r="A8" s="26" t="n"/>
      <c r="B8" s="26" t="n"/>
      <c r="C8" s="26" t="n"/>
      <c r="D8" s="26" t="n"/>
      <c r="E8" s="30">
        <f>IF(B8="","",IFERROR(INDEX('Holders'!$B$4:$B$1003,MATCH(B8,'Holders'!$A$4:$A$1003,0)),""))</f>
        <v/>
      </c>
      <c r="F8" s="30">
        <f t="array" ref="F8">IF(B8="","",_xlfn.TEXTJOIN(", ",TRUE,IF(('Companies'!$A$4:$A$63&lt;&gt;"")*(COUNTIFS('Holdings'!$A$4:$A$2503,B8,'Holdings'!$J$4:$J$2503,'Companies'!$A$4:$A$63,'Holdings'!$L$4:$L$2503,"Yes",'Holdings'!$C$4:$C$2503,"&gt;0")&gt;0),'Companies'!$A$4:$A$63,"")))</f>
        <v/>
      </c>
      <c r="G8" s="30">
        <f>IF(A8="","",IF(COUNTIF('People'!$A$4:$A$1003,A8)=0,"Email not on People",IF(COUNTIF('Holders'!$A$4:$A$1003,B8)=0,"Unknown holder ID",IF(COUNTIFS($A$4:$A$1503,A8,$B$4:$B$1503,B8)&gt;1,"Duplicate link",IF(C8="","Missing access","OK")))))</f>
        <v/>
      </c>
    </row>
    <row r="9">
      <c r="A9" s="26" t="n"/>
      <c r="B9" s="26" t="n"/>
      <c r="C9" s="26" t="n"/>
      <c r="D9" s="26" t="n"/>
      <c r="E9" s="30">
        <f>IF(B9="","",IFERROR(INDEX('Holders'!$B$4:$B$1003,MATCH(B9,'Holders'!$A$4:$A$1003,0)),""))</f>
        <v/>
      </c>
      <c r="F9" s="30">
        <f t="array" ref="F9">IF(B9="","",_xlfn.TEXTJOIN(", ",TRUE,IF(('Companies'!$A$4:$A$63&lt;&gt;"")*(COUNTIFS('Holdings'!$A$4:$A$2503,B9,'Holdings'!$J$4:$J$2503,'Companies'!$A$4:$A$63,'Holdings'!$L$4:$L$2503,"Yes",'Holdings'!$C$4:$C$2503,"&gt;0")&gt;0),'Companies'!$A$4:$A$63,"")))</f>
        <v/>
      </c>
      <c r="G9" s="30">
        <f>IF(A9="","",IF(COUNTIF('People'!$A$4:$A$1003,A9)=0,"Email not on People",IF(COUNTIF('Holders'!$A$4:$A$1003,B9)=0,"Unknown holder ID",IF(COUNTIFS($A$4:$A$1503,A9,$B$4:$B$1503,B9)&gt;1,"Duplicate link",IF(C9="","Missing access","OK")))))</f>
        <v/>
      </c>
    </row>
    <row r="10">
      <c r="A10" s="26" t="n"/>
      <c r="B10" s="26" t="n"/>
      <c r="C10" s="26" t="n"/>
      <c r="D10" s="26" t="n"/>
      <c r="E10" s="30">
        <f>IF(B10="","",IFERROR(INDEX('Holders'!$B$4:$B$1003,MATCH(B10,'Holders'!$A$4:$A$1003,0)),""))</f>
        <v/>
      </c>
      <c r="F10" s="30">
        <f t="array" ref="F10">IF(B10="","",_xlfn.TEXTJOIN(", ",TRUE,IF(('Companies'!$A$4:$A$63&lt;&gt;"")*(COUNTIFS('Holdings'!$A$4:$A$2503,B10,'Holdings'!$J$4:$J$2503,'Companies'!$A$4:$A$63,'Holdings'!$L$4:$L$2503,"Yes",'Holdings'!$C$4:$C$2503,"&gt;0")&gt;0),'Companies'!$A$4:$A$63,"")))</f>
        <v/>
      </c>
      <c r="G10" s="30">
        <f>IF(A10="","",IF(COUNTIF('People'!$A$4:$A$1003,A10)=0,"Email not on People",IF(COUNTIF('Holders'!$A$4:$A$1003,B10)=0,"Unknown holder ID",IF(COUNTIFS($A$4:$A$1503,A10,$B$4:$B$1503,B10)&gt;1,"Duplicate link",IF(C10="","Missing access","OK")))))</f>
        <v/>
      </c>
    </row>
    <row r="11">
      <c r="A11" s="26" t="n"/>
      <c r="B11" s="26" t="n"/>
      <c r="C11" s="26" t="n"/>
      <c r="D11" s="26" t="n"/>
      <c r="E11" s="30">
        <f>IF(B11="","",IFERROR(INDEX('Holders'!$B$4:$B$1003,MATCH(B11,'Holders'!$A$4:$A$1003,0)),""))</f>
        <v/>
      </c>
      <c r="F11" s="30">
        <f t="array" ref="F11">IF(B11="","",_xlfn.TEXTJOIN(", ",TRUE,IF(('Companies'!$A$4:$A$63&lt;&gt;"")*(COUNTIFS('Holdings'!$A$4:$A$2503,B11,'Holdings'!$J$4:$J$2503,'Companies'!$A$4:$A$63,'Holdings'!$L$4:$L$2503,"Yes",'Holdings'!$C$4:$C$2503,"&gt;0")&gt;0),'Companies'!$A$4:$A$63,"")))</f>
        <v/>
      </c>
      <c r="G11" s="30">
        <f>IF(A11="","",IF(COUNTIF('People'!$A$4:$A$1003,A11)=0,"Email not on People",IF(COUNTIF('Holders'!$A$4:$A$1003,B11)=0,"Unknown holder ID",IF(COUNTIFS($A$4:$A$1503,A11,$B$4:$B$1503,B11)&gt;1,"Duplicate link",IF(C11="","Missing access","OK")))))</f>
        <v/>
      </c>
    </row>
    <row r="12">
      <c r="A12" s="26" t="n"/>
      <c r="B12" s="26" t="n"/>
      <c r="C12" s="26" t="n"/>
      <c r="D12" s="26" t="n"/>
      <c r="E12" s="30">
        <f>IF(B12="","",IFERROR(INDEX('Holders'!$B$4:$B$1003,MATCH(B12,'Holders'!$A$4:$A$1003,0)),""))</f>
        <v/>
      </c>
      <c r="F12" s="30">
        <f t="array" ref="F12">IF(B12="","",_xlfn.TEXTJOIN(", ",TRUE,IF(('Companies'!$A$4:$A$63&lt;&gt;"")*(COUNTIFS('Holdings'!$A$4:$A$2503,B12,'Holdings'!$J$4:$J$2503,'Companies'!$A$4:$A$63,'Holdings'!$L$4:$L$2503,"Yes",'Holdings'!$C$4:$C$2503,"&gt;0")&gt;0),'Companies'!$A$4:$A$63,"")))</f>
        <v/>
      </c>
      <c r="G12" s="30">
        <f>IF(A12="","",IF(COUNTIF('People'!$A$4:$A$1003,A12)=0,"Email not on People",IF(COUNTIF('Holders'!$A$4:$A$1003,B12)=0,"Unknown holder ID",IF(COUNTIFS($A$4:$A$1503,A12,$B$4:$B$1503,B12)&gt;1,"Duplicate link",IF(C12="","Missing access","OK")))))</f>
        <v/>
      </c>
    </row>
    <row r="13">
      <c r="A13" s="26" t="n"/>
      <c r="B13" s="26" t="n"/>
      <c r="C13" s="26" t="n"/>
      <c r="D13" s="26" t="n"/>
      <c r="E13" s="30">
        <f>IF(B13="","",IFERROR(INDEX('Holders'!$B$4:$B$1003,MATCH(B13,'Holders'!$A$4:$A$1003,0)),""))</f>
        <v/>
      </c>
      <c r="F13" s="30">
        <f t="array" ref="F13">IF(B13="","",_xlfn.TEXTJOIN(", ",TRUE,IF(('Companies'!$A$4:$A$63&lt;&gt;"")*(COUNTIFS('Holdings'!$A$4:$A$2503,B13,'Holdings'!$J$4:$J$2503,'Companies'!$A$4:$A$63,'Holdings'!$L$4:$L$2503,"Yes",'Holdings'!$C$4:$C$2503,"&gt;0")&gt;0),'Companies'!$A$4:$A$63,"")))</f>
        <v/>
      </c>
      <c r="G13" s="30">
        <f>IF(A13="","",IF(COUNTIF('People'!$A$4:$A$1003,A13)=0,"Email not on People",IF(COUNTIF('Holders'!$A$4:$A$1003,B13)=0,"Unknown holder ID",IF(COUNTIFS($A$4:$A$1503,A13,$B$4:$B$1503,B13)&gt;1,"Duplicate link",IF(C13="","Missing access","OK")))))</f>
        <v/>
      </c>
    </row>
    <row r="14">
      <c r="A14" s="26" t="n"/>
      <c r="B14" s="26" t="n"/>
      <c r="C14" s="26" t="n"/>
      <c r="D14" s="26" t="n"/>
      <c r="E14" s="30">
        <f>IF(B14="","",IFERROR(INDEX('Holders'!$B$4:$B$1003,MATCH(B14,'Holders'!$A$4:$A$1003,0)),""))</f>
        <v/>
      </c>
      <c r="F14" s="30">
        <f t="array" ref="F14">IF(B14="","",_xlfn.TEXTJOIN(", ",TRUE,IF(('Companies'!$A$4:$A$63&lt;&gt;"")*(COUNTIFS('Holdings'!$A$4:$A$2503,B14,'Holdings'!$J$4:$J$2503,'Companies'!$A$4:$A$63,'Holdings'!$L$4:$L$2503,"Yes",'Holdings'!$C$4:$C$2503,"&gt;0")&gt;0),'Companies'!$A$4:$A$63,"")))</f>
        <v/>
      </c>
      <c r="G14" s="30">
        <f>IF(A14="","",IF(COUNTIF('People'!$A$4:$A$1003,A14)=0,"Email not on People",IF(COUNTIF('Holders'!$A$4:$A$1003,B14)=0,"Unknown holder ID",IF(COUNTIFS($A$4:$A$1503,A14,$B$4:$B$1503,B14)&gt;1,"Duplicate link",IF(C14="","Missing access","OK")))))</f>
        <v/>
      </c>
    </row>
    <row r="15">
      <c r="A15" s="26" t="n"/>
      <c r="B15" s="26" t="n"/>
      <c r="C15" s="26" t="n"/>
      <c r="D15" s="26" t="n"/>
      <c r="E15" s="30">
        <f>IF(B15="","",IFERROR(INDEX('Holders'!$B$4:$B$1003,MATCH(B15,'Holders'!$A$4:$A$1003,0)),""))</f>
        <v/>
      </c>
      <c r="F15" s="30">
        <f t="array" ref="F15">IF(B15="","",_xlfn.TEXTJOIN(", ",TRUE,IF(('Companies'!$A$4:$A$63&lt;&gt;"")*(COUNTIFS('Holdings'!$A$4:$A$2503,B15,'Holdings'!$J$4:$J$2503,'Companies'!$A$4:$A$63,'Holdings'!$L$4:$L$2503,"Yes",'Holdings'!$C$4:$C$2503,"&gt;0")&gt;0),'Companies'!$A$4:$A$63,"")))</f>
        <v/>
      </c>
      <c r="G15" s="30">
        <f>IF(A15="","",IF(COUNTIF('People'!$A$4:$A$1003,A15)=0,"Email not on People",IF(COUNTIF('Holders'!$A$4:$A$1003,B15)=0,"Unknown holder ID",IF(COUNTIFS($A$4:$A$1503,A15,$B$4:$B$1503,B15)&gt;1,"Duplicate link",IF(C15="","Missing access","OK")))))</f>
        <v/>
      </c>
    </row>
    <row r="16">
      <c r="A16" s="26" t="n"/>
      <c r="B16" s="26" t="n"/>
      <c r="C16" s="26" t="n"/>
      <c r="D16" s="26" t="n"/>
      <c r="E16" s="30">
        <f>IF(B16="","",IFERROR(INDEX('Holders'!$B$4:$B$1003,MATCH(B16,'Holders'!$A$4:$A$1003,0)),""))</f>
        <v/>
      </c>
      <c r="F16" s="30">
        <f t="array" ref="F16">IF(B16="","",_xlfn.TEXTJOIN(", ",TRUE,IF(('Companies'!$A$4:$A$63&lt;&gt;"")*(COUNTIFS('Holdings'!$A$4:$A$2503,B16,'Holdings'!$J$4:$J$2503,'Companies'!$A$4:$A$63,'Holdings'!$L$4:$L$2503,"Yes",'Holdings'!$C$4:$C$2503,"&gt;0")&gt;0),'Companies'!$A$4:$A$63,"")))</f>
        <v/>
      </c>
      <c r="G16" s="30">
        <f>IF(A16="","",IF(COUNTIF('People'!$A$4:$A$1003,A16)=0,"Email not on People",IF(COUNTIF('Holders'!$A$4:$A$1003,B16)=0,"Unknown holder ID",IF(COUNTIFS($A$4:$A$1503,A16,$B$4:$B$1503,B16)&gt;1,"Duplicate link",IF(C16="","Missing access","OK")))))</f>
        <v/>
      </c>
    </row>
    <row r="17">
      <c r="A17" s="26" t="n"/>
      <c r="B17" s="26" t="n"/>
      <c r="C17" s="26" t="n"/>
      <c r="D17" s="26" t="n"/>
      <c r="E17" s="30">
        <f>IF(B17="","",IFERROR(INDEX('Holders'!$B$4:$B$1003,MATCH(B17,'Holders'!$A$4:$A$1003,0)),""))</f>
        <v/>
      </c>
      <c r="F17" s="30">
        <f t="array" ref="F17">IF(B17="","",_xlfn.TEXTJOIN(", ",TRUE,IF(('Companies'!$A$4:$A$63&lt;&gt;"")*(COUNTIFS('Holdings'!$A$4:$A$2503,B17,'Holdings'!$J$4:$J$2503,'Companies'!$A$4:$A$63,'Holdings'!$L$4:$L$2503,"Yes",'Holdings'!$C$4:$C$2503,"&gt;0")&gt;0),'Companies'!$A$4:$A$63,"")))</f>
        <v/>
      </c>
      <c r="G17" s="30">
        <f>IF(A17="","",IF(COUNTIF('People'!$A$4:$A$1003,A17)=0,"Email not on People",IF(COUNTIF('Holders'!$A$4:$A$1003,B17)=0,"Unknown holder ID",IF(COUNTIFS($A$4:$A$1503,A17,$B$4:$B$1503,B17)&gt;1,"Duplicate link",IF(C17="","Missing access","OK")))))</f>
        <v/>
      </c>
    </row>
    <row r="18">
      <c r="A18" s="26" t="n"/>
      <c r="B18" s="26" t="n"/>
      <c r="C18" s="26" t="n"/>
      <c r="D18" s="26" t="n"/>
      <c r="E18" s="30">
        <f>IF(B18="","",IFERROR(INDEX('Holders'!$B$4:$B$1003,MATCH(B18,'Holders'!$A$4:$A$1003,0)),""))</f>
        <v/>
      </c>
      <c r="F18" s="30">
        <f t="array" ref="F18">IF(B18="","",_xlfn.TEXTJOIN(", ",TRUE,IF(('Companies'!$A$4:$A$63&lt;&gt;"")*(COUNTIFS('Holdings'!$A$4:$A$2503,B18,'Holdings'!$J$4:$J$2503,'Companies'!$A$4:$A$63,'Holdings'!$L$4:$L$2503,"Yes",'Holdings'!$C$4:$C$2503,"&gt;0")&gt;0),'Companies'!$A$4:$A$63,"")))</f>
        <v/>
      </c>
      <c r="G18" s="30">
        <f>IF(A18="","",IF(COUNTIF('People'!$A$4:$A$1003,A18)=0,"Email not on People",IF(COUNTIF('Holders'!$A$4:$A$1003,B18)=0,"Unknown holder ID",IF(COUNTIFS($A$4:$A$1503,A18,$B$4:$B$1503,B18)&gt;1,"Duplicate link",IF(C18="","Missing access","OK")))))</f>
        <v/>
      </c>
    </row>
    <row r="19">
      <c r="A19" s="26" t="n"/>
      <c r="B19" s="26" t="n"/>
      <c r="C19" s="26" t="n"/>
      <c r="D19" s="26" t="n"/>
      <c r="E19" s="30">
        <f>IF(B19="","",IFERROR(INDEX('Holders'!$B$4:$B$1003,MATCH(B19,'Holders'!$A$4:$A$1003,0)),""))</f>
        <v/>
      </c>
      <c r="F19" s="30">
        <f t="array" ref="F19">IF(B19="","",_xlfn.TEXTJOIN(", ",TRUE,IF(('Companies'!$A$4:$A$63&lt;&gt;"")*(COUNTIFS('Holdings'!$A$4:$A$2503,B19,'Holdings'!$J$4:$J$2503,'Companies'!$A$4:$A$63,'Holdings'!$L$4:$L$2503,"Yes",'Holdings'!$C$4:$C$2503,"&gt;0")&gt;0),'Companies'!$A$4:$A$63,"")))</f>
        <v/>
      </c>
      <c r="G19" s="30">
        <f>IF(A19="","",IF(COUNTIF('People'!$A$4:$A$1003,A19)=0,"Email not on People",IF(COUNTIF('Holders'!$A$4:$A$1003,B19)=0,"Unknown holder ID",IF(COUNTIFS($A$4:$A$1503,A19,$B$4:$B$1503,B19)&gt;1,"Duplicate link",IF(C19="","Missing access","OK")))))</f>
        <v/>
      </c>
    </row>
    <row r="20">
      <c r="A20" s="26" t="n"/>
      <c r="B20" s="26" t="n"/>
      <c r="C20" s="26" t="n"/>
      <c r="D20" s="26" t="n"/>
      <c r="E20" s="30">
        <f>IF(B20="","",IFERROR(INDEX('Holders'!$B$4:$B$1003,MATCH(B20,'Holders'!$A$4:$A$1003,0)),""))</f>
        <v/>
      </c>
      <c r="F20" s="30">
        <f t="array" ref="F20">IF(B20="","",_xlfn.TEXTJOIN(", ",TRUE,IF(('Companies'!$A$4:$A$63&lt;&gt;"")*(COUNTIFS('Holdings'!$A$4:$A$2503,B20,'Holdings'!$J$4:$J$2503,'Companies'!$A$4:$A$63,'Holdings'!$L$4:$L$2503,"Yes",'Holdings'!$C$4:$C$2503,"&gt;0")&gt;0),'Companies'!$A$4:$A$63,"")))</f>
        <v/>
      </c>
      <c r="G20" s="30">
        <f>IF(A20="","",IF(COUNTIF('People'!$A$4:$A$1003,A20)=0,"Email not on People",IF(COUNTIF('Holders'!$A$4:$A$1003,B20)=0,"Unknown holder ID",IF(COUNTIFS($A$4:$A$1503,A20,$B$4:$B$1503,B20)&gt;1,"Duplicate link",IF(C20="","Missing access","OK")))))</f>
        <v/>
      </c>
    </row>
    <row r="21">
      <c r="A21" s="26" t="n"/>
      <c r="B21" s="26" t="n"/>
      <c r="C21" s="26" t="n"/>
      <c r="D21" s="26" t="n"/>
      <c r="E21" s="30">
        <f>IF(B21="","",IFERROR(INDEX('Holders'!$B$4:$B$1003,MATCH(B21,'Holders'!$A$4:$A$1003,0)),""))</f>
        <v/>
      </c>
      <c r="F21" s="30">
        <f t="array" ref="F21">IF(B21="","",_xlfn.TEXTJOIN(", ",TRUE,IF(('Companies'!$A$4:$A$63&lt;&gt;"")*(COUNTIFS('Holdings'!$A$4:$A$2503,B21,'Holdings'!$J$4:$J$2503,'Companies'!$A$4:$A$63,'Holdings'!$L$4:$L$2503,"Yes",'Holdings'!$C$4:$C$2503,"&gt;0")&gt;0),'Companies'!$A$4:$A$63,"")))</f>
        <v/>
      </c>
      <c r="G21" s="30">
        <f>IF(A21="","",IF(COUNTIF('People'!$A$4:$A$1003,A21)=0,"Email not on People",IF(COUNTIF('Holders'!$A$4:$A$1003,B21)=0,"Unknown holder ID",IF(COUNTIFS($A$4:$A$1503,A21,$B$4:$B$1503,B21)&gt;1,"Duplicate link",IF(C21="","Missing access","OK")))))</f>
        <v/>
      </c>
    </row>
    <row r="22">
      <c r="A22" s="26" t="n"/>
      <c r="B22" s="26" t="n"/>
      <c r="C22" s="26" t="n"/>
      <c r="D22" s="26" t="n"/>
      <c r="E22" s="30">
        <f>IF(B22="","",IFERROR(INDEX('Holders'!$B$4:$B$1003,MATCH(B22,'Holders'!$A$4:$A$1003,0)),""))</f>
        <v/>
      </c>
      <c r="F22" s="30">
        <f t="array" ref="F22">IF(B22="","",_xlfn.TEXTJOIN(", ",TRUE,IF(('Companies'!$A$4:$A$63&lt;&gt;"")*(COUNTIFS('Holdings'!$A$4:$A$2503,B22,'Holdings'!$J$4:$J$2503,'Companies'!$A$4:$A$63,'Holdings'!$L$4:$L$2503,"Yes",'Holdings'!$C$4:$C$2503,"&gt;0")&gt;0),'Companies'!$A$4:$A$63,"")))</f>
        <v/>
      </c>
      <c r="G22" s="30">
        <f>IF(A22="","",IF(COUNTIF('People'!$A$4:$A$1003,A22)=0,"Email not on People",IF(COUNTIF('Holders'!$A$4:$A$1003,B22)=0,"Unknown holder ID",IF(COUNTIFS($A$4:$A$1503,A22,$B$4:$B$1503,B22)&gt;1,"Duplicate link",IF(C22="","Missing access","OK")))))</f>
        <v/>
      </c>
    </row>
    <row r="23">
      <c r="A23" s="26" t="n"/>
      <c r="B23" s="26" t="n"/>
      <c r="C23" s="26" t="n"/>
      <c r="D23" s="26" t="n"/>
      <c r="E23" s="30">
        <f>IF(B23="","",IFERROR(INDEX('Holders'!$B$4:$B$1003,MATCH(B23,'Holders'!$A$4:$A$1003,0)),""))</f>
        <v/>
      </c>
      <c r="F23" s="30">
        <f t="array" ref="F23">IF(B23="","",_xlfn.TEXTJOIN(", ",TRUE,IF(('Companies'!$A$4:$A$63&lt;&gt;"")*(COUNTIFS('Holdings'!$A$4:$A$2503,B23,'Holdings'!$J$4:$J$2503,'Companies'!$A$4:$A$63,'Holdings'!$L$4:$L$2503,"Yes",'Holdings'!$C$4:$C$2503,"&gt;0")&gt;0),'Companies'!$A$4:$A$63,"")))</f>
        <v/>
      </c>
      <c r="G23" s="30">
        <f>IF(A23="","",IF(COUNTIF('People'!$A$4:$A$1003,A23)=0,"Email not on People",IF(COUNTIF('Holders'!$A$4:$A$1003,B23)=0,"Unknown holder ID",IF(COUNTIFS($A$4:$A$1503,A23,$B$4:$B$1503,B23)&gt;1,"Duplicate link",IF(C23="","Missing access","OK")))))</f>
        <v/>
      </c>
    </row>
    <row r="24">
      <c r="A24" s="26" t="n"/>
      <c r="B24" s="26" t="n"/>
      <c r="C24" s="26" t="n"/>
      <c r="D24" s="26" t="n"/>
      <c r="E24" s="30">
        <f>IF(B24="","",IFERROR(INDEX('Holders'!$B$4:$B$1003,MATCH(B24,'Holders'!$A$4:$A$1003,0)),""))</f>
        <v/>
      </c>
      <c r="F24" s="30">
        <f t="array" ref="F24">IF(B24="","",_xlfn.TEXTJOIN(", ",TRUE,IF(('Companies'!$A$4:$A$63&lt;&gt;"")*(COUNTIFS('Holdings'!$A$4:$A$2503,B24,'Holdings'!$J$4:$J$2503,'Companies'!$A$4:$A$63,'Holdings'!$L$4:$L$2503,"Yes",'Holdings'!$C$4:$C$2503,"&gt;0")&gt;0),'Companies'!$A$4:$A$63,"")))</f>
        <v/>
      </c>
      <c r="G24" s="30">
        <f>IF(A24="","",IF(COUNTIF('People'!$A$4:$A$1003,A24)=0,"Email not on People",IF(COUNTIF('Holders'!$A$4:$A$1003,B24)=0,"Unknown holder ID",IF(COUNTIFS($A$4:$A$1503,A24,$B$4:$B$1503,B24)&gt;1,"Duplicate link",IF(C24="","Missing access","OK")))))</f>
        <v/>
      </c>
    </row>
    <row r="25">
      <c r="A25" s="26" t="n"/>
      <c r="B25" s="26" t="n"/>
      <c r="C25" s="26" t="n"/>
      <c r="D25" s="26" t="n"/>
      <c r="E25" s="30">
        <f>IF(B25="","",IFERROR(INDEX('Holders'!$B$4:$B$1003,MATCH(B25,'Holders'!$A$4:$A$1003,0)),""))</f>
        <v/>
      </c>
      <c r="F25" s="30">
        <f t="array" ref="F25">IF(B25="","",_xlfn.TEXTJOIN(", ",TRUE,IF(('Companies'!$A$4:$A$63&lt;&gt;"")*(COUNTIFS('Holdings'!$A$4:$A$2503,B25,'Holdings'!$J$4:$J$2503,'Companies'!$A$4:$A$63,'Holdings'!$L$4:$L$2503,"Yes",'Holdings'!$C$4:$C$2503,"&gt;0")&gt;0),'Companies'!$A$4:$A$63,"")))</f>
        <v/>
      </c>
      <c r="G25" s="30">
        <f>IF(A25="","",IF(COUNTIF('People'!$A$4:$A$1003,A25)=0,"Email not on People",IF(COUNTIF('Holders'!$A$4:$A$1003,B25)=0,"Unknown holder ID",IF(COUNTIFS($A$4:$A$1503,A25,$B$4:$B$1503,B25)&gt;1,"Duplicate link",IF(C25="","Missing access","OK")))))</f>
        <v/>
      </c>
    </row>
    <row r="26">
      <c r="A26" s="26" t="n"/>
      <c r="B26" s="26" t="n"/>
      <c r="C26" s="26" t="n"/>
      <c r="D26" s="26" t="n"/>
      <c r="E26" s="30">
        <f>IF(B26="","",IFERROR(INDEX('Holders'!$B$4:$B$1003,MATCH(B26,'Holders'!$A$4:$A$1003,0)),""))</f>
        <v/>
      </c>
      <c r="F26" s="30">
        <f t="array" ref="F26">IF(B26="","",_xlfn.TEXTJOIN(", ",TRUE,IF(('Companies'!$A$4:$A$63&lt;&gt;"")*(COUNTIFS('Holdings'!$A$4:$A$2503,B26,'Holdings'!$J$4:$J$2503,'Companies'!$A$4:$A$63,'Holdings'!$L$4:$L$2503,"Yes",'Holdings'!$C$4:$C$2503,"&gt;0")&gt;0),'Companies'!$A$4:$A$63,"")))</f>
        <v/>
      </c>
      <c r="G26" s="30">
        <f>IF(A26="","",IF(COUNTIF('People'!$A$4:$A$1003,A26)=0,"Email not on People",IF(COUNTIF('Holders'!$A$4:$A$1003,B26)=0,"Unknown holder ID",IF(COUNTIFS($A$4:$A$1503,A26,$B$4:$B$1503,B26)&gt;1,"Duplicate link",IF(C26="","Missing access","OK")))))</f>
        <v/>
      </c>
    </row>
    <row r="27">
      <c r="A27" s="26" t="n"/>
      <c r="B27" s="26" t="n"/>
      <c r="C27" s="26" t="n"/>
      <c r="D27" s="26" t="n"/>
      <c r="E27" s="30">
        <f>IF(B27="","",IFERROR(INDEX('Holders'!$B$4:$B$1003,MATCH(B27,'Holders'!$A$4:$A$1003,0)),""))</f>
        <v/>
      </c>
      <c r="F27" s="30">
        <f t="array" ref="F27">IF(B27="","",_xlfn.TEXTJOIN(", ",TRUE,IF(('Companies'!$A$4:$A$63&lt;&gt;"")*(COUNTIFS('Holdings'!$A$4:$A$2503,B27,'Holdings'!$J$4:$J$2503,'Companies'!$A$4:$A$63,'Holdings'!$L$4:$L$2503,"Yes",'Holdings'!$C$4:$C$2503,"&gt;0")&gt;0),'Companies'!$A$4:$A$63,"")))</f>
        <v/>
      </c>
      <c r="G27" s="30">
        <f>IF(A27="","",IF(COUNTIF('People'!$A$4:$A$1003,A27)=0,"Email not on People",IF(COUNTIF('Holders'!$A$4:$A$1003,B27)=0,"Unknown holder ID",IF(COUNTIFS($A$4:$A$1503,A27,$B$4:$B$1503,B27)&gt;1,"Duplicate link",IF(C27="","Missing access","OK")))))</f>
        <v/>
      </c>
    </row>
    <row r="28">
      <c r="A28" s="26" t="n"/>
      <c r="B28" s="26" t="n"/>
      <c r="C28" s="26" t="n"/>
      <c r="D28" s="26" t="n"/>
      <c r="E28" s="30">
        <f>IF(B28="","",IFERROR(INDEX('Holders'!$B$4:$B$1003,MATCH(B28,'Holders'!$A$4:$A$1003,0)),""))</f>
        <v/>
      </c>
      <c r="F28" s="30">
        <f t="array" ref="F28">IF(B28="","",_xlfn.TEXTJOIN(", ",TRUE,IF(('Companies'!$A$4:$A$63&lt;&gt;"")*(COUNTIFS('Holdings'!$A$4:$A$2503,B28,'Holdings'!$J$4:$J$2503,'Companies'!$A$4:$A$63,'Holdings'!$L$4:$L$2503,"Yes",'Holdings'!$C$4:$C$2503,"&gt;0")&gt;0),'Companies'!$A$4:$A$63,"")))</f>
        <v/>
      </c>
      <c r="G28" s="30">
        <f>IF(A28="","",IF(COUNTIF('People'!$A$4:$A$1003,A28)=0,"Email not on People",IF(COUNTIF('Holders'!$A$4:$A$1003,B28)=0,"Unknown holder ID",IF(COUNTIFS($A$4:$A$1503,A28,$B$4:$B$1503,B28)&gt;1,"Duplicate link",IF(C28="","Missing access","OK")))))</f>
        <v/>
      </c>
    </row>
    <row r="29">
      <c r="A29" s="26" t="n"/>
      <c r="B29" s="26" t="n"/>
      <c r="C29" s="26" t="n"/>
      <c r="D29" s="26" t="n"/>
      <c r="E29" s="30">
        <f>IF(B29="","",IFERROR(INDEX('Holders'!$B$4:$B$1003,MATCH(B29,'Holders'!$A$4:$A$1003,0)),""))</f>
        <v/>
      </c>
      <c r="F29" s="30">
        <f t="array" ref="F29">IF(B29="","",_xlfn.TEXTJOIN(", ",TRUE,IF(('Companies'!$A$4:$A$63&lt;&gt;"")*(COUNTIFS('Holdings'!$A$4:$A$2503,B29,'Holdings'!$J$4:$J$2503,'Companies'!$A$4:$A$63,'Holdings'!$L$4:$L$2503,"Yes",'Holdings'!$C$4:$C$2503,"&gt;0")&gt;0),'Companies'!$A$4:$A$63,"")))</f>
        <v/>
      </c>
      <c r="G29" s="30">
        <f>IF(A29="","",IF(COUNTIF('People'!$A$4:$A$1003,A29)=0,"Email not on People",IF(COUNTIF('Holders'!$A$4:$A$1003,B29)=0,"Unknown holder ID",IF(COUNTIFS($A$4:$A$1503,A29,$B$4:$B$1503,B29)&gt;1,"Duplicate link",IF(C29="","Missing access","OK")))))</f>
        <v/>
      </c>
    </row>
    <row r="30">
      <c r="A30" s="26" t="n"/>
      <c r="B30" s="26" t="n"/>
      <c r="C30" s="26" t="n"/>
      <c r="D30" s="26" t="n"/>
      <c r="E30" s="30">
        <f>IF(B30="","",IFERROR(INDEX('Holders'!$B$4:$B$1003,MATCH(B30,'Holders'!$A$4:$A$1003,0)),""))</f>
        <v/>
      </c>
      <c r="F30" s="30">
        <f t="array" ref="F30">IF(B30="","",_xlfn.TEXTJOIN(", ",TRUE,IF(('Companies'!$A$4:$A$63&lt;&gt;"")*(COUNTIFS('Holdings'!$A$4:$A$2503,B30,'Holdings'!$J$4:$J$2503,'Companies'!$A$4:$A$63,'Holdings'!$L$4:$L$2503,"Yes",'Holdings'!$C$4:$C$2503,"&gt;0")&gt;0),'Companies'!$A$4:$A$63,"")))</f>
        <v/>
      </c>
      <c r="G30" s="30">
        <f>IF(A30="","",IF(COUNTIF('People'!$A$4:$A$1003,A30)=0,"Email not on People",IF(COUNTIF('Holders'!$A$4:$A$1003,B30)=0,"Unknown holder ID",IF(COUNTIFS($A$4:$A$1503,A30,$B$4:$B$1503,B30)&gt;1,"Duplicate link",IF(C30="","Missing access","OK")))))</f>
        <v/>
      </c>
    </row>
    <row r="31">
      <c r="A31" s="26" t="n"/>
      <c r="B31" s="26" t="n"/>
      <c r="C31" s="26" t="n"/>
      <c r="D31" s="26" t="n"/>
      <c r="E31" s="30">
        <f>IF(B31="","",IFERROR(INDEX('Holders'!$B$4:$B$1003,MATCH(B31,'Holders'!$A$4:$A$1003,0)),""))</f>
        <v/>
      </c>
      <c r="F31" s="30">
        <f t="array" ref="F31">IF(B31="","",_xlfn.TEXTJOIN(", ",TRUE,IF(('Companies'!$A$4:$A$63&lt;&gt;"")*(COUNTIFS('Holdings'!$A$4:$A$2503,B31,'Holdings'!$J$4:$J$2503,'Companies'!$A$4:$A$63,'Holdings'!$L$4:$L$2503,"Yes",'Holdings'!$C$4:$C$2503,"&gt;0")&gt;0),'Companies'!$A$4:$A$63,"")))</f>
        <v/>
      </c>
      <c r="G31" s="30">
        <f>IF(A31="","",IF(COUNTIF('People'!$A$4:$A$1003,A31)=0,"Email not on People",IF(COUNTIF('Holders'!$A$4:$A$1003,B31)=0,"Unknown holder ID",IF(COUNTIFS($A$4:$A$1503,A31,$B$4:$B$1503,B31)&gt;1,"Duplicate link",IF(C31="","Missing access","OK")))))</f>
        <v/>
      </c>
    </row>
    <row r="32">
      <c r="A32" s="26" t="n"/>
      <c r="B32" s="26" t="n"/>
      <c r="C32" s="26" t="n"/>
      <c r="D32" s="26" t="n"/>
      <c r="E32" s="30">
        <f>IF(B32="","",IFERROR(INDEX('Holders'!$B$4:$B$1003,MATCH(B32,'Holders'!$A$4:$A$1003,0)),""))</f>
        <v/>
      </c>
      <c r="F32" s="30">
        <f t="array" ref="F32">IF(B32="","",_xlfn.TEXTJOIN(", ",TRUE,IF(('Companies'!$A$4:$A$63&lt;&gt;"")*(COUNTIFS('Holdings'!$A$4:$A$2503,B32,'Holdings'!$J$4:$J$2503,'Companies'!$A$4:$A$63,'Holdings'!$L$4:$L$2503,"Yes",'Holdings'!$C$4:$C$2503,"&gt;0")&gt;0),'Companies'!$A$4:$A$63,"")))</f>
        <v/>
      </c>
      <c r="G32" s="30">
        <f>IF(A32="","",IF(COUNTIF('People'!$A$4:$A$1003,A32)=0,"Email not on People",IF(COUNTIF('Holders'!$A$4:$A$1003,B32)=0,"Unknown holder ID",IF(COUNTIFS($A$4:$A$1503,A32,$B$4:$B$1503,B32)&gt;1,"Duplicate link",IF(C32="","Missing access","OK")))))</f>
        <v/>
      </c>
    </row>
    <row r="33">
      <c r="A33" s="26" t="n"/>
      <c r="B33" s="26" t="n"/>
      <c r="C33" s="26" t="n"/>
      <c r="D33" s="26" t="n"/>
      <c r="E33" s="30">
        <f>IF(B33="","",IFERROR(INDEX('Holders'!$B$4:$B$1003,MATCH(B33,'Holders'!$A$4:$A$1003,0)),""))</f>
        <v/>
      </c>
      <c r="F33" s="30">
        <f t="array" ref="F33">IF(B33="","",_xlfn.TEXTJOIN(", ",TRUE,IF(('Companies'!$A$4:$A$63&lt;&gt;"")*(COUNTIFS('Holdings'!$A$4:$A$2503,B33,'Holdings'!$J$4:$J$2503,'Companies'!$A$4:$A$63,'Holdings'!$L$4:$L$2503,"Yes",'Holdings'!$C$4:$C$2503,"&gt;0")&gt;0),'Companies'!$A$4:$A$63,"")))</f>
        <v/>
      </c>
      <c r="G33" s="30">
        <f>IF(A33="","",IF(COUNTIF('People'!$A$4:$A$1003,A33)=0,"Email not on People",IF(COUNTIF('Holders'!$A$4:$A$1003,B33)=0,"Unknown holder ID",IF(COUNTIFS($A$4:$A$1503,A33,$B$4:$B$1503,B33)&gt;1,"Duplicate link",IF(C33="","Missing access","OK")))))</f>
        <v/>
      </c>
    </row>
    <row r="34">
      <c r="A34" s="26" t="n"/>
      <c r="B34" s="26" t="n"/>
      <c r="C34" s="26" t="n"/>
      <c r="D34" s="26" t="n"/>
      <c r="E34" s="30">
        <f>IF(B34="","",IFERROR(INDEX('Holders'!$B$4:$B$1003,MATCH(B34,'Holders'!$A$4:$A$1003,0)),""))</f>
        <v/>
      </c>
      <c r="F34" s="30">
        <f t="array" ref="F34">IF(B34="","",_xlfn.TEXTJOIN(", ",TRUE,IF(('Companies'!$A$4:$A$63&lt;&gt;"")*(COUNTIFS('Holdings'!$A$4:$A$2503,B34,'Holdings'!$J$4:$J$2503,'Companies'!$A$4:$A$63,'Holdings'!$L$4:$L$2503,"Yes",'Holdings'!$C$4:$C$2503,"&gt;0")&gt;0),'Companies'!$A$4:$A$63,"")))</f>
        <v/>
      </c>
      <c r="G34" s="30">
        <f>IF(A34="","",IF(COUNTIF('People'!$A$4:$A$1003,A34)=0,"Email not on People",IF(COUNTIF('Holders'!$A$4:$A$1003,B34)=0,"Unknown holder ID",IF(COUNTIFS($A$4:$A$1503,A34,$B$4:$B$1503,B34)&gt;1,"Duplicate link",IF(C34="","Missing access","OK")))))</f>
        <v/>
      </c>
    </row>
    <row r="35">
      <c r="A35" s="26" t="n"/>
      <c r="B35" s="26" t="n"/>
      <c r="C35" s="26" t="n"/>
      <c r="D35" s="26" t="n"/>
      <c r="E35" s="30">
        <f>IF(B35="","",IFERROR(INDEX('Holders'!$B$4:$B$1003,MATCH(B35,'Holders'!$A$4:$A$1003,0)),""))</f>
        <v/>
      </c>
      <c r="F35" s="30">
        <f t="array" ref="F35">IF(B35="","",_xlfn.TEXTJOIN(", ",TRUE,IF(('Companies'!$A$4:$A$63&lt;&gt;"")*(COUNTIFS('Holdings'!$A$4:$A$2503,B35,'Holdings'!$J$4:$J$2503,'Companies'!$A$4:$A$63,'Holdings'!$L$4:$L$2503,"Yes",'Holdings'!$C$4:$C$2503,"&gt;0")&gt;0),'Companies'!$A$4:$A$63,"")))</f>
        <v/>
      </c>
      <c r="G35" s="30">
        <f>IF(A35="","",IF(COUNTIF('People'!$A$4:$A$1003,A35)=0,"Email not on People",IF(COUNTIF('Holders'!$A$4:$A$1003,B35)=0,"Unknown holder ID",IF(COUNTIFS($A$4:$A$1503,A35,$B$4:$B$1503,B35)&gt;1,"Duplicate link",IF(C35="","Missing access","OK")))))</f>
        <v/>
      </c>
    </row>
    <row r="36">
      <c r="A36" s="26" t="n"/>
      <c r="B36" s="26" t="n"/>
      <c r="C36" s="26" t="n"/>
      <c r="D36" s="26" t="n"/>
      <c r="E36" s="30">
        <f>IF(B36="","",IFERROR(INDEX('Holders'!$B$4:$B$1003,MATCH(B36,'Holders'!$A$4:$A$1003,0)),""))</f>
        <v/>
      </c>
      <c r="F36" s="30">
        <f t="array" ref="F36">IF(B36="","",_xlfn.TEXTJOIN(", ",TRUE,IF(('Companies'!$A$4:$A$63&lt;&gt;"")*(COUNTIFS('Holdings'!$A$4:$A$2503,B36,'Holdings'!$J$4:$J$2503,'Companies'!$A$4:$A$63,'Holdings'!$L$4:$L$2503,"Yes",'Holdings'!$C$4:$C$2503,"&gt;0")&gt;0),'Companies'!$A$4:$A$63,"")))</f>
        <v/>
      </c>
      <c r="G36" s="30">
        <f>IF(A36="","",IF(COUNTIF('People'!$A$4:$A$1003,A36)=0,"Email not on People",IF(COUNTIF('Holders'!$A$4:$A$1003,B36)=0,"Unknown holder ID",IF(COUNTIFS($A$4:$A$1503,A36,$B$4:$B$1503,B36)&gt;1,"Duplicate link",IF(C36="","Missing access","OK")))))</f>
        <v/>
      </c>
    </row>
    <row r="37">
      <c r="A37" s="26" t="n"/>
      <c r="B37" s="26" t="n"/>
      <c r="C37" s="26" t="n"/>
      <c r="D37" s="26" t="n"/>
      <c r="E37" s="30">
        <f>IF(B37="","",IFERROR(INDEX('Holders'!$B$4:$B$1003,MATCH(B37,'Holders'!$A$4:$A$1003,0)),""))</f>
        <v/>
      </c>
      <c r="F37" s="30">
        <f t="array" ref="F37">IF(B37="","",_xlfn.TEXTJOIN(", ",TRUE,IF(('Companies'!$A$4:$A$63&lt;&gt;"")*(COUNTIFS('Holdings'!$A$4:$A$2503,B37,'Holdings'!$J$4:$J$2503,'Companies'!$A$4:$A$63,'Holdings'!$L$4:$L$2503,"Yes",'Holdings'!$C$4:$C$2503,"&gt;0")&gt;0),'Companies'!$A$4:$A$63,"")))</f>
        <v/>
      </c>
      <c r="G37" s="30">
        <f>IF(A37="","",IF(COUNTIF('People'!$A$4:$A$1003,A37)=0,"Email not on People",IF(COUNTIF('Holders'!$A$4:$A$1003,B37)=0,"Unknown holder ID",IF(COUNTIFS($A$4:$A$1503,A37,$B$4:$B$1503,B37)&gt;1,"Duplicate link",IF(C37="","Missing access","OK")))))</f>
        <v/>
      </c>
    </row>
    <row r="38">
      <c r="A38" s="26" t="n"/>
      <c r="B38" s="26" t="n"/>
      <c r="C38" s="26" t="n"/>
      <c r="D38" s="26" t="n"/>
      <c r="E38" s="30">
        <f>IF(B38="","",IFERROR(INDEX('Holders'!$B$4:$B$1003,MATCH(B38,'Holders'!$A$4:$A$1003,0)),""))</f>
        <v/>
      </c>
      <c r="F38" s="30">
        <f t="array" ref="F38">IF(B38="","",_xlfn.TEXTJOIN(", ",TRUE,IF(('Companies'!$A$4:$A$63&lt;&gt;"")*(COUNTIFS('Holdings'!$A$4:$A$2503,B38,'Holdings'!$J$4:$J$2503,'Companies'!$A$4:$A$63,'Holdings'!$L$4:$L$2503,"Yes",'Holdings'!$C$4:$C$2503,"&gt;0")&gt;0),'Companies'!$A$4:$A$63,"")))</f>
        <v/>
      </c>
      <c r="G38" s="30">
        <f>IF(A38="","",IF(COUNTIF('People'!$A$4:$A$1003,A38)=0,"Email not on People",IF(COUNTIF('Holders'!$A$4:$A$1003,B38)=0,"Unknown holder ID",IF(COUNTIFS($A$4:$A$1503,A38,$B$4:$B$1503,B38)&gt;1,"Duplicate link",IF(C38="","Missing access","OK")))))</f>
        <v/>
      </c>
    </row>
    <row r="39">
      <c r="A39" s="26" t="n"/>
      <c r="B39" s="26" t="n"/>
      <c r="C39" s="26" t="n"/>
      <c r="D39" s="26" t="n"/>
      <c r="E39" s="30">
        <f>IF(B39="","",IFERROR(INDEX('Holders'!$B$4:$B$1003,MATCH(B39,'Holders'!$A$4:$A$1003,0)),""))</f>
        <v/>
      </c>
      <c r="F39" s="30">
        <f t="array" ref="F39">IF(B39="","",_xlfn.TEXTJOIN(", ",TRUE,IF(('Companies'!$A$4:$A$63&lt;&gt;"")*(COUNTIFS('Holdings'!$A$4:$A$2503,B39,'Holdings'!$J$4:$J$2503,'Companies'!$A$4:$A$63,'Holdings'!$L$4:$L$2503,"Yes",'Holdings'!$C$4:$C$2503,"&gt;0")&gt;0),'Companies'!$A$4:$A$63,"")))</f>
        <v/>
      </c>
      <c r="G39" s="30">
        <f>IF(A39="","",IF(COUNTIF('People'!$A$4:$A$1003,A39)=0,"Email not on People",IF(COUNTIF('Holders'!$A$4:$A$1003,B39)=0,"Unknown holder ID",IF(COUNTIFS($A$4:$A$1503,A39,$B$4:$B$1503,B39)&gt;1,"Duplicate link",IF(C39="","Missing access","OK")))))</f>
        <v/>
      </c>
    </row>
    <row r="40">
      <c r="A40" s="26" t="n"/>
      <c r="B40" s="26" t="n"/>
      <c r="C40" s="26" t="n"/>
      <c r="D40" s="26" t="n"/>
      <c r="E40" s="30">
        <f>IF(B40="","",IFERROR(INDEX('Holders'!$B$4:$B$1003,MATCH(B40,'Holders'!$A$4:$A$1003,0)),""))</f>
        <v/>
      </c>
      <c r="F40" s="30">
        <f t="array" ref="F40">IF(B40="","",_xlfn.TEXTJOIN(", ",TRUE,IF(('Companies'!$A$4:$A$63&lt;&gt;"")*(COUNTIFS('Holdings'!$A$4:$A$2503,B40,'Holdings'!$J$4:$J$2503,'Companies'!$A$4:$A$63,'Holdings'!$L$4:$L$2503,"Yes",'Holdings'!$C$4:$C$2503,"&gt;0")&gt;0),'Companies'!$A$4:$A$63,"")))</f>
        <v/>
      </c>
      <c r="G40" s="30">
        <f>IF(A40="","",IF(COUNTIF('People'!$A$4:$A$1003,A40)=0,"Email not on People",IF(COUNTIF('Holders'!$A$4:$A$1003,B40)=0,"Unknown holder ID",IF(COUNTIFS($A$4:$A$1503,A40,$B$4:$B$1503,B40)&gt;1,"Duplicate link",IF(C40="","Missing access","OK")))))</f>
        <v/>
      </c>
    </row>
    <row r="41">
      <c r="A41" s="26" t="n"/>
      <c r="B41" s="26" t="n"/>
      <c r="C41" s="26" t="n"/>
      <c r="D41" s="26" t="n"/>
      <c r="E41" s="30">
        <f>IF(B41="","",IFERROR(INDEX('Holders'!$B$4:$B$1003,MATCH(B41,'Holders'!$A$4:$A$1003,0)),""))</f>
        <v/>
      </c>
      <c r="F41" s="30">
        <f t="array" ref="F41">IF(B41="","",_xlfn.TEXTJOIN(", ",TRUE,IF(('Companies'!$A$4:$A$63&lt;&gt;"")*(COUNTIFS('Holdings'!$A$4:$A$2503,B41,'Holdings'!$J$4:$J$2503,'Companies'!$A$4:$A$63,'Holdings'!$L$4:$L$2503,"Yes",'Holdings'!$C$4:$C$2503,"&gt;0")&gt;0),'Companies'!$A$4:$A$63,"")))</f>
        <v/>
      </c>
      <c r="G41" s="30">
        <f>IF(A41="","",IF(COUNTIF('People'!$A$4:$A$1003,A41)=0,"Email not on People",IF(COUNTIF('Holders'!$A$4:$A$1003,B41)=0,"Unknown holder ID",IF(COUNTIFS($A$4:$A$1503,A41,$B$4:$B$1503,B41)&gt;1,"Duplicate link",IF(C41="","Missing access","OK")))))</f>
        <v/>
      </c>
    </row>
    <row r="42">
      <c r="A42" s="26" t="n"/>
      <c r="B42" s="26" t="n"/>
      <c r="C42" s="26" t="n"/>
      <c r="D42" s="26" t="n"/>
      <c r="E42" s="30">
        <f>IF(B42="","",IFERROR(INDEX('Holders'!$B$4:$B$1003,MATCH(B42,'Holders'!$A$4:$A$1003,0)),""))</f>
        <v/>
      </c>
      <c r="F42" s="30">
        <f t="array" ref="F42">IF(B42="","",_xlfn.TEXTJOIN(", ",TRUE,IF(('Companies'!$A$4:$A$63&lt;&gt;"")*(COUNTIFS('Holdings'!$A$4:$A$2503,B42,'Holdings'!$J$4:$J$2503,'Companies'!$A$4:$A$63,'Holdings'!$L$4:$L$2503,"Yes",'Holdings'!$C$4:$C$2503,"&gt;0")&gt;0),'Companies'!$A$4:$A$63,"")))</f>
        <v/>
      </c>
      <c r="G42" s="30">
        <f>IF(A42="","",IF(COUNTIF('People'!$A$4:$A$1003,A42)=0,"Email not on People",IF(COUNTIF('Holders'!$A$4:$A$1003,B42)=0,"Unknown holder ID",IF(COUNTIFS($A$4:$A$1503,A42,$B$4:$B$1503,B42)&gt;1,"Duplicate link",IF(C42="","Missing access","OK")))))</f>
        <v/>
      </c>
    </row>
    <row r="43">
      <c r="A43" s="26" t="n"/>
      <c r="B43" s="26" t="n"/>
      <c r="C43" s="26" t="n"/>
      <c r="D43" s="26" t="n"/>
      <c r="E43" s="30">
        <f>IF(B43="","",IFERROR(INDEX('Holders'!$B$4:$B$1003,MATCH(B43,'Holders'!$A$4:$A$1003,0)),""))</f>
        <v/>
      </c>
      <c r="F43" s="30">
        <f t="array" ref="F43">IF(B43="","",_xlfn.TEXTJOIN(", ",TRUE,IF(('Companies'!$A$4:$A$63&lt;&gt;"")*(COUNTIFS('Holdings'!$A$4:$A$2503,B43,'Holdings'!$J$4:$J$2503,'Companies'!$A$4:$A$63,'Holdings'!$L$4:$L$2503,"Yes",'Holdings'!$C$4:$C$2503,"&gt;0")&gt;0),'Companies'!$A$4:$A$63,"")))</f>
        <v/>
      </c>
      <c r="G43" s="30">
        <f>IF(A43="","",IF(COUNTIF('People'!$A$4:$A$1003,A43)=0,"Email not on People",IF(COUNTIF('Holders'!$A$4:$A$1003,B43)=0,"Unknown holder ID",IF(COUNTIFS($A$4:$A$1503,A43,$B$4:$B$1503,B43)&gt;1,"Duplicate link",IF(C43="","Missing access","OK")))))</f>
        <v/>
      </c>
    </row>
    <row r="44">
      <c r="A44" s="26" t="n"/>
      <c r="B44" s="26" t="n"/>
      <c r="C44" s="26" t="n"/>
      <c r="D44" s="26" t="n"/>
      <c r="E44" s="30">
        <f>IF(B44="","",IFERROR(INDEX('Holders'!$B$4:$B$1003,MATCH(B44,'Holders'!$A$4:$A$1003,0)),""))</f>
        <v/>
      </c>
      <c r="F44" s="30">
        <f t="array" ref="F44">IF(B44="","",_xlfn.TEXTJOIN(", ",TRUE,IF(('Companies'!$A$4:$A$63&lt;&gt;"")*(COUNTIFS('Holdings'!$A$4:$A$2503,B44,'Holdings'!$J$4:$J$2503,'Companies'!$A$4:$A$63,'Holdings'!$L$4:$L$2503,"Yes",'Holdings'!$C$4:$C$2503,"&gt;0")&gt;0),'Companies'!$A$4:$A$63,"")))</f>
        <v/>
      </c>
      <c r="G44" s="30">
        <f>IF(A44="","",IF(COUNTIF('People'!$A$4:$A$1003,A44)=0,"Email not on People",IF(COUNTIF('Holders'!$A$4:$A$1003,B44)=0,"Unknown holder ID",IF(COUNTIFS($A$4:$A$1503,A44,$B$4:$B$1503,B44)&gt;1,"Duplicate link",IF(C44="","Missing access","OK")))))</f>
        <v/>
      </c>
    </row>
    <row r="45">
      <c r="A45" s="26" t="n"/>
      <c r="B45" s="26" t="n"/>
      <c r="C45" s="26" t="n"/>
      <c r="D45" s="26" t="n"/>
      <c r="E45" s="30">
        <f>IF(B45="","",IFERROR(INDEX('Holders'!$B$4:$B$1003,MATCH(B45,'Holders'!$A$4:$A$1003,0)),""))</f>
        <v/>
      </c>
      <c r="F45" s="30">
        <f t="array" ref="F45">IF(B45="","",_xlfn.TEXTJOIN(", ",TRUE,IF(('Companies'!$A$4:$A$63&lt;&gt;"")*(COUNTIFS('Holdings'!$A$4:$A$2503,B45,'Holdings'!$J$4:$J$2503,'Companies'!$A$4:$A$63,'Holdings'!$L$4:$L$2503,"Yes",'Holdings'!$C$4:$C$2503,"&gt;0")&gt;0),'Companies'!$A$4:$A$63,"")))</f>
        <v/>
      </c>
      <c r="G45" s="30">
        <f>IF(A45="","",IF(COUNTIF('People'!$A$4:$A$1003,A45)=0,"Email not on People",IF(COUNTIF('Holders'!$A$4:$A$1003,B45)=0,"Unknown holder ID",IF(COUNTIFS($A$4:$A$1503,A45,$B$4:$B$1503,B45)&gt;1,"Duplicate link",IF(C45="","Missing access","OK")))))</f>
        <v/>
      </c>
    </row>
    <row r="46">
      <c r="A46" s="26" t="n"/>
      <c r="B46" s="26" t="n"/>
      <c r="C46" s="26" t="n"/>
      <c r="D46" s="26" t="n"/>
      <c r="E46" s="30">
        <f>IF(B46="","",IFERROR(INDEX('Holders'!$B$4:$B$1003,MATCH(B46,'Holders'!$A$4:$A$1003,0)),""))</f>
        <v/>
      </c>
      <c r="F46" s="30">
        <f t="array" ref="F46">IF(B46="","",_xlfn.TEXTJOIN(", ",TRUE,IF(('Companies'!$A$4:$A$63&lt;&gt;"")*(COUNTIFS('Holdings'!$A$4:$A$2503,B46,'Holdings'!$J$4:$J$2503,'Companies'!$A$4:$A$63,'Holdings'!$L$4:$L$2503,"Yes",'Holdings'!$C$4:$C$2503,"&gt;0")&gt;0),'Companies'!$A$4:$A$63,"")))</f>
        <v/>
      </c>
      <c r="G46" s="30">
        <f>IF(A46="","",IF(COUNTIF('People'!$A$4:$A$1003,A46)=0,"Email not on People",IF(COUNTIF('Holders'!$A$4:$A$1003,B46)=0,"Unknown holder ID",IF(COUNTIFS($A$4:$A$1503,A46,$B$4:$B$1503,B46)&gt;1,"Duplicate link",IF(C46="","Missing access","OK")))))</f>
        <v/>
      </c>
    </row>
    <row r="47">
      <c r="A47" s="26" t="n"/>
      <c r="B47" s="26" t="n"/>
      <c r="C47" s="26" t="n"/>
      <c r="D47" s="26" t="n"/>
      <c r="E47" s="30">
        <f>IF(B47="","",IFERROR(INDEX('Holders'!$B$4:$B$1003,MATCH(B47,'Holders'!$A$4:$A$1003,0)),""))</f>
        <v/>
      </c>
      <c r="F47" s="30">
        <f t="array" ref="F47">IF(B47="","",_xlfn.TEXTJOIN(", ",TRUE,IF(('Companies'!$A$4:$A$63&lt;&gt;"")*(COUNTIFS('Holdings'!$A$4:$A$2503,B47,'Holdings'!$J$4:$J$2503,'Companies'!$A$4:$A$63,'Holdings'!$L$4:$L$2503,"Yes",'Holdings'!$C$4:$C$2503,"&gt;0")&gt;0),'Companies'!$A$4:$A$63,"")))</f>
        <v/>
      </c>
      <c r="G47" s="30">
        <f>IF(A47="","",IF(COUNTIF('People'!$A$4:$A$1003,A47)=0,"Email not on People",IF(COUNTIF('Holders'!$A$4:$A$1003,B47)=0,"Unknown holder ID",IF(COUNTIFS($A$4:$A$1503,A47,$B$4:$B$1503,B47)&gt;1,"Duplicate link",IF(C47="","Missing access","OK")))))</f>
        <v/>
      </c>
    </row>
    <row r="48">
      <c r="A48" s="26" t="n"/>
      <c r="B48" s="26" t="n"/>
      <c r="C48" s="26" t="n"/>
      <c r="D48" s="26" t="n"/>
      <c r="E48" s="30">
        <f>IF(B48="","",IFERROR(INDEX('Holders'!$B$4:$B$1003,MATCH(B48,'Holders'!$A$4:$A$1003,0)),""))</f>
        <v/>
      </c>
      <c r="F48" s="30">
        <f t="array" ref="F48">IF(B48="","",_xlfn.TEXTJOIN(", ",TRUE,IF(('Companies'!$A$4:$A$63&lt;&gt;"")*(COUNTIFS('Holdings'!$A$4:$A$2503,B48,'Holdings'!$J$4:$J$2503,'Companies'!$A$4:$A$63,'Holdings'!$L$4:$L$2503,"Yes",'Holdings'!$C$4:$C$2503,"&gt;0")&gt;0),'Companies'!$A$4:$A$63,"")))</f>
        <v/>
      </c>
      <c r="G48" s="30">
        <f>IF(A48="","",IF(COUNTIF('People'!$A$4:$A$1003,A48)=0,"Email not on People",IF(COUNTIF('Holders'!$A$4:$A$1003,B48)=0,"Unknown holder ID",IF(COUNTIFS($A$4:$A$1503,A48,$B$4:$B$1503,B48)&gt;1,"Duplicate link",IF(C48="","Missing access","OK")))))</f>
        <v/>
      </c>
    </row>
    <row r="49">
      <c r="A49" s="26" t="n"/>
      <c r="B49" s="26" t="n"/>
      <c r="C49" s="26" t="n"/>
      <c r="D49" s="26" t="n"/>
      <c r="E49" s="30">
        <f>IF(B49="","",IFERROR(INDEX('Holders'!$B$4:$B$1003,MATCH(B49,'Holders'!$A$4:$A$1003,0)),""))</f>
        <v/>
      </c>
      <c r="F49" s="30">
        <f t="array" ref="F49">IF(B49="","",_xlfn.TEXTJOIN(", ",TRUE,IF(('Companies'!$A$4:$A$63&lt;&gt;"")*(COUNTIFS('Holdings'!$A$4:$A$2503,B49,'Holdings'!$J$4:$J$2503,'Companies'!$A$4:$A$63,'Holdings'!$L$4:$L$2503,"Yes",'Holdings'!$C$4:$C$2503,"&gt;0")&gt;0),'Companies'!$A$4:$A$63,"")))</f>
        <v/>
      </c>
      <c r="G49" s="30">
        <f>IF(A49="","",IF(COUNTIF('People'!$A$4:$A$1003,A49)=0,"Email not on People",IF(COUNTIF('Holders'!$A$4:$A$1003,B49)=0,"Unknown holder ID",IF(COUNTIFS($A$4:$A$1503,A49,$B$4:$B$1503,B49)&gt;1,"Duplicate link",IF(C49="","Missing access","OK")))))</f>
        <v/>
      </c>
    </row>
    <row r="50">
      <c r="A50" s="26" t="n"/>
      <c r="B50" s="26" t="n"/>
      <c r="C50" s="26" t="n"/>
      <c r="D50" s="26" t="n"/>
      <c r="E50" s="30">
        <f>IF(B50="","",IFERROR(INDEX('Holders'!$B$4:$B$1003,MATCH(B50,'Holders'!$A$4:$A$1003,0)),""))</f>
        <v/>
      </c>
      <c r="F50" s="30">
        <f t="array" ref="F50">IF(B50="","",_xlfn.TEXTJOIN(", ",TRUE,IF(('Companies'!$A$4:$A$63&lt;&gt;"")*(COUNTIFS('Holdings'!$A$4:$A$2503,B50,'Holdings'!$J$4:$J$2503,'Companies'!$A$4:$A$63,'Holdings'!$L$4:$L$2503,"Yes",'Holdings'!$C$4:$C$2503,"&gt;0")&gt;0),'Companies'!$A$4:$A$63,"")))</f>
        <v/>
      </c>
      <c r="G50" s="30">
        <f>IF(A50="","",IF(COUNTIF('People'!$A$4:$A$1003,A50)=0,"Email not on People",IF(COUNTIF('Holders'!$A$4:$A$1003,B50)=0,"Unknown holder ID",IF(COUNTIFS($A$4:$A$1503,A50,$B$4:$B$1503,B50)&gt;1,"Duplicate link",IF(C50="","Missing access","OK")))))</f>
        <v/>
      </c>
    </row>
    <row r="51">
      <c r="A51" s="26" t="n"/>
      <c r="B51" s="26" t="n"/>
      <c r="C51" s="26" t="n"/>
      <c r="D51" s="26" t="n"/>
      <c r="E51" s="30">
        <f>IF(B51="","",IFERROR(INDEX('Holders'!$B$4:$B$1003,MATCH(B51,'Holders'!$A$4:$A$1003,0)),""))</f>
        <v/>
      </c>
      <c r="F51" s="30">
        <f t="array" ref="F51">IF(B51="","",_xlfn.TEXTJOIN(", ",TRUE,IF(('Companies'!$A$4:$A$63&lt;&gt;"")*(COUNTIFS('Holdings'!$A$4:$A$2503,B51,'Holdings'!$J$4:$J$2503,'Companies'!$A$4:$A$63,'Holdings'!$L$4:$L$2503,"Yes",'Holdings'!$C$4:$C$2503,"&gt;0")&gt;0),'Companies'!$A$4:$A$63,"")))</f>
        <v/>
      </c>
      <c r="G51" s="30">
        <f>IF(A51="","",IF(COUNTIF('People'!$A$4:$A$1003,A51)=0,"Email not on People",IF(COUNTIF('Holders'!$A$4:$A$1003,B51)=0,"Unknown holder ID",IF(COUNTIFS($A$4:$A$1503,A51,$B$4:$B$1503,B51)&gt;1,"Duplicate link",IF(C51="","Missing access","OK")))))</f>
        <v/>
      </c>
    </row>
    <row r="52">
      <c r="A52" s="26" t="n"/>
      <c r="B52" s="26" t="n"/>
      <c r="C52" s="26" t="n"/>
      <c r="D52" s="26" t="n"/>
      <c r="E52" s="30">
        <f>IF(B52="","",IFERROR(INDEX('Holders'!$B$4:$B$1003,MATCH(B52,'Holders'!$A$4:$A$1003,0)),""))</f>
        <v/>
      </c>
      <c r="F52" s="30">
        <f t="array" ref="F52">IF(B52="","",_xlfn.TEXTJOIN(", ",TRUE,IF(('Companies'!$A$4:$A$63&lt;&gt;"")*(COUNTIFS('Holdings'!$A$4:$A$2503,B52,'Holdings'!$J$4:$J$2503,'Companies'!$A$4:$A$63,'Holdings'!$L$4:$L$2503,"Yes",'Holdings'!$C$4:$C$2503,"&gt;0")&gt;0),'Companies'!$A$4:$A$63,"")))</f>
        <v/>
      </c>
      <c r="G52" s="30">
        <f>IF(A52="","",IF(COUNTIF('People'!$A$4:$A$1003,A52)=0,"Email not on People",IF(COUNTIF('Holders'!$A$4:$A$1003,B52)=0,"Unknown holder ID",IF(COUNTIFS($A$4:$A$1503,A52,$B$4:$B$1503,B52)&gt;1,"Duplicate link",IF(C52="","Missing access","OK")))))</f>
        <v/>
      </c>
    </row>
    <row r="53">
      <c r="A53" s="26" t="n"/>
      <c r="B53" s="26" t="n"/>
      <c r="C53" s="26" t="n"/>
      <c r="D53" s="26" t="n"/>
      <c r="E53" s="30">
        <f>IF(B53="","",IFERROR(INDEX('Holders'!$B$4:$B$1003,MATCH(B53,'Holders'!$A$4:$A$1003,0)),""))</f>
        <v/>
      </c>
      <c r="F53" s="30">
        <f t="array" ref="F53">IF(B53="","",_xlfn.TEXTJOIN(", ",TRUE,IF(('Companies'!$A$4:$A$63&lt;&gt;"")*(COUNTIFS('Holdings'!$A$4:$A$2503,B53,'Holdings'!$J$4:$J$2503,'Companies'!$A$4:$A$63,'Holdings'!$L$4:$L$2503,"Yes",'Holdings'!$C$4:$C$2503,"&gt;0")&gt;0),'Companies'!$A$4:$A$63,"")))</f>
        <v/>
      </c>
      <c r="G53" s="30">
        <f>IF(A53="","",IF(COUNTIF('People'!$A$4:$A$1003,A53)=0,"Email not on People",IF(COUNTIF('Holders'!$A$4:$A$1003,B53)=0,"Unknown holder ID",IF(COUNTIFS($A$4:$A$1503,A53,$B$4:$B$1503,B53)&gt;1,"Duplicate link",IF(C53="","Missing access","OK")))))</f>
        <v/>
      </c>
    </row>
    <row r="54">
      <c r="A54" s="26" t="n"/>
      <c r="B54" s="26" t="n"/>
      <c r="C54" s="26" t="n"/>
      <c r="D54" s="26" t="n"/>
      <c r="E54" s="30">
        <f>IF(B54="","",IFERROR(INDEX('Holders'!$B$4:$B$1003,MATCH(B54,'Holders'!$A$4:$A$1003,0)),""))</f>
        <v/>
      </c>
      <c r="F54" s="30">
        <f t="array" ref="F54">IF(B54="","",_xlfn.TEXTJOIN(", ",TRUE,IF(('Companies'!$A$4:$A$63&lt;&gt;"")*(COUNTIFS('Holdings'!$A$4:$A$2503,B54,'Holdings'!$J$4:$J$2503,'Companies'!$A$4:$A$63,'Holdings'!$L$4:$L$2503,"Yes",'Holdings'!$C$4:$C$2503,"&gt;0")&gt;0),'Companies'!$A$4:$A$63,"")))</f>
        <v/>
      </c>
      <c r="G54" s="30">
        <f>IF(A54="","",IF(COUNTIF('People'!$A$4:$A$1003,A54)=0,"Email not on People",IF(COUNTIF('Holders'!$A$4:$A$1003,B54)=0,"Unknown holder ID",IF(COUNTIFS($A$4:$A$1503,A54,$B$4:$B$1503,B54)&gt;1,"Duplicate link",IF(C54="","Missing access","OK")))))</f>
        <v/>
      </c>
    </row>
    <row r="55">
      <c r="A55" s="26" t="n"/>
      <c r="B55" s="26" t="n"/>
      <c r="C55" s="26" t="n"/>
      <c r="D55" s="26" t="n"/>
      <c r="E55" s="30">
        <f>IF(B55="","",IFERROR(INDEX('Holders'!$B$4:$B$1003,MATCH(B55,'Holders'!$A$4:$A$1003,0)),""))</f>
        <v/>
      </c>
      <c r="F55" s="30">
        <f t="array" ref="F55">IF(B55="","",_xlfn.TEXTJOIN(", ",TRUE,IF(('Companies'!$A$4:$A$63&lt;&gt;"")*(COUNTIFS('Holdings'!$A$4:$A$2503,B55,'Holdings'!$J$4:$J$2503,'Companies'!$A$4:$A$63,'Holdings'!$L$4:$L$2503,"Yes",'Holdings'!$C$4:$C$2503,"&gt;0")&gt;0),'Companies'!$A$4:$A$63,"")))</f>
        <v/>
      </c>
      <c r="G55" s="30">
        <f>IF(A55="","",IF(COUNTIF('People'!$A$4:$A$1003,A55)=0,"Email not on People",IF(COUNTIF('Holders'!$A$4:$A$1003,B55)=0,"Unknown holder ID",IF(COUNTIFS($A$4:$A$1503,A55,$B$4:$B$1503,B55)&gt;1,"Duplicate link",IF(C55="","Missing access","OK")))))</f>
        <v/>
      </c>
    </row>
    <row r="56">
      <c r="A56" s="26" t="n"/>
      <c r="B56" s="26" t="n"/>
      <c r="C56" s="26" t="n"/>
      <c r="D56" s="26" t="n"/>
      <c r="E56" s="30">
        <f>IF(B56="","",IFERROR(INDEX('Holders'!$B$4:$B$1003,MATCH(B56,'Holders'!$A$4:$A$1003,0)),""))</f>
        <v/>
      </c>
      <c r="F56" s="30">
        <f t="array" ref="F56">IF(B56="","",_xlfn.TEXTJOIN(", ",TRUE,IF(('Companies'!$A$4:$A$63&lt;&gt;"")*(COUNTIFS('Holdings'!$A$4:$A$2503,B56,'Holdings'!$J$4:$J$2503,'Companies'!$A$4:$A$63,'Holdings'!$L$4:$L$2503,"Yes",'Holdings'!$C$4:$C$2503,"&gt;0")&gt;0),'Companies'!$A$4:$A$63,"")))</f>
        <v/>
      </c>
      <c r="G56" s="30">
        <f>IF(A56="","",IF(COUNTIF('People'!$A$4:$A$1003,A56)=0,"Email not on People",IF(COUNTIF('Holders'!$A$4:$A$1003,B56)=0,"Unknown holder ID",IF(COUNTIFS($A$4:$A$1503,A56,$B$4:$B$1503,B56)&gt;1,"Duplicate link",IF(C56="","Missing access","OK")))))</f>
        <v/>
      </c>
    </row>
    <row r="57">
      <c r="A57" s="26" t="n"/>
      <c r="B57" s="26" t="n"/>
      <c r="C57" s="26" t="n"/>
      <c r="D57" s="26" t="n"/>
      <c r="E57" s="30">
        <f>IF(B57="","",IFERROR(INDEX('Holders'!$B$4:$B$1003,MATCH(B57,'Holders'!$A$4:$A$1003,0)),""))</f>
        <v/>
      </c>
      <c r="F57" s="30">
        <f t="array" ref="F57">IF(B57="","",_xlfn.TEXTJOIN(", ",TRUE,IF(('Companies'!$A$4:$A$63&lt;&gt;"")*(COUNTIFS('Holdings'!$A$4:$A$2503,B57,'Holdings'!$J$4:$J$2503,'Companies'!$A$4:$A$63,'Holdings'!$L$4:$L$2503,"Yes",'Holdings'!$C$4:$C$2503,"&gt;0")&gt;0),'Companies'!$A$4:$A$63,"")))</f>
        <v/>
      </c>
      <c r="G57" s="30">
        <f>IF(A57="","",IF(COUNTIF('People'!$A$4:$A$1003,A57)=0,"Email not on People",IF(COUNTIF('Holders'!$A$4:$A$1003,B57)=0,"Unknown holder ID",IF(COUNTIFS($A$4:$A$1503,A57,$B$4:$B$1503,B57)&gt;1,"Duplicate link",IF(C57="","Missing access","OK")))))</f>
        <v/>
      </c>
    </row>
    <row r="58">
      <c r="A58" s="26" t="n"/>
      <c r="B58" s="26" t="n"/>
      <c r="C58" s="26" t="n"/>
      <c r="D58" s="26" t="n"/>
      <c r="E58" s="30">
        <f>IF(B58="","",IFERROR(INDEX('Holders'!$B$4:$B$1003,MATCH(B58,'Holders'!$A$4:$A$1003,0)),""))</f>
        <v/>
      </c>
      <c r="F58" s="30">
        <f t="array" ref="F58">IF(B58="","",_xlfn.TEXTJOIN(", ",TRUE,IF(('Companies'!$A$4:$A$63&lt;&gt;"")*(COUNTIFS('Holdings'!$A$4:$A$2503,B58,'Holdings'!$J$4:$J$2503,'Companies'!$A$4:$A$63,'Holdings'!$L$4:$L$2503,"Yes",'Holdings'!$C$4:$C$2503,"&gt;0")&gt;0),'Companies'!$A$4:$A$63,"")))</f>
        <v/>
      </c>
      <c r="G58" s="30">
        <f>IF(A58="","",IF(COUNTIF('People'!$A$4:$A$1003,A58)=0,"Email not on People",IF(COUNTIF('Holders'!$A$4:$A$1003,B58)=0,"Unknown holder ID",IF(COUNTIFS($A$4:$A$1503,A58,$B$4:$B$1503,B58)&gt;1,"Duplicate link",IF(C58="","Missing access","OK")))))</f>
        <v/>
      </c>
    </row>
    <row r="59">
      <c r="A59" s="26" t="n"/>
      <c r="B59" s="26" t="n"/>
      <c r="C59" s="26" t="n"/>
      <c r="D59" s="26" t="n"/>
      <c r="E59" s="30">
        <f>IF(B59="","",IFERROR(INDEX('Holders'!$B$4:$B$1003,MATCH(B59,'Holders'!$A$4:$A$1003,0)),""))</f>
        <v/>
      </c>
      <c r="F59" s="30">
        <f t="array" ref="F59">IF(B59="","",_xlfn.TEXTJOIN(", ",TRUE,IF(('Companies'!$A$4:$A$63&lt;&gt;"")*(COUNTIFS('Holdings'!$A$4:$A$2503,B59,'Holdings'!$J$4:$J$2503,'Companies'!$A$4:$A$63,'Holdings'!$L$4:$L$2503,"Yes",'Holdings'!$C$4:$C$2503,"&gt;0")&gt;0),'Companies'!$A$4:$A$63,"")))</f>
        <v/>
      </c>
      <c r="G59" s="30">
        <f>IF(A59="","",IF(COUNTIF('People'!$A$4:$A$1003,A59)=0,"Email not on People",IF(COUNTIF('Holders'!$A$4:$A$1003,B59)=0,"Unknown holder ID",IF(COUNTIFS($A$4:$A$1503,A59,$B$4:$B$1503,B59)&gt;1,"Duplicate link",IF(C59="","Missing access","OK")))))</f>
        <v/>
      </c>
    </row>
    <row r="60">
      <c r="A60" s="26" t="n"/>
      <c r="B60" s="26" t="n"/>
      <c r="C60" s="26" t="n"/>
      <c r="D60" s="26" t="n"/>
      <c r="E60" s="30">
        <f>IF(B60="","",IFERROR(INDEX('Holders'!$B$4:$B$1003,MATCH(B60,'Holders'!$A$4:$A$1003,0)),""))</f>
        <v/>
      </c>
      <c r="F60" s="30">
        <f t="array" ref="F60">IF(B60="","",_xlfn.TEXTJOIN(", ",TRUE,IF(('Companies'!$A$4:$A$63&lt;&gt;"")*(COUNTIFS('Holdings'!$A$4:$A$2503,B60,'Holdings'!$J$4:$J$2503,'Companies'!$A$4:$A$63,'Holdings'!$L$4:$L$2503,"Yes",'Holdings'!$C$4:$C$2503,"&gt;0")&gt;0),'Companies'!$A$4:$A$63,"")))</f>
        <v/>
      </c>
      <c r="G60" s="30">
        <f>IF(A60="","",IF(COUNTIF('People'!$A$4:$A$1003,A60)=0,"Email not on People",IF(COUNTIF('Holders'!$A$4:$A$1003,B60)=0,"Unknown holder ID",IF(COUNTIFS($A$4:$A$1503,A60,$B$4:$B$1503,B60)&gt;1,"Duplicate link",IF(C60="","Missing access","OK")))))</f>
        <v/>
      </c>
    </row>
    <row r="61">
      <c r="A61" s="26" t="n"/>
      <c r="B61" s="26" t="n"/>
      <c r="C61" s="26" t="n"/>
      <c r="D61" s="26" t="n"/>
      <c r="E61" s="30">
        <f>IF(B61="","",IFERROR(INDEX('Holders'!$B$4:$B$1003,MATCH(B61,'Holders'!$A$4:$A$1003,0)),""))</f>
        <v/>
      </c>
      <c r="F61" s="30">
        <f t="array" ref="F61">IF(B61="","",_xlfn.TEXTJOIN(", ",TRUE,IF(('Companies'!$A$4:$A$63&lt;&gt;"")*(COUNTIFS('Holdings'!$A$4:$A$2503,B61,'Holdings'!$J$4:$J$2503,'Companies'!$A$4:$A$63,'Holdings'!$L$4:$L$2503,"Yes",'Holdings'!$C$4:$C$2503,"&gt;0")&gt;0),'Companies'!$A$4:$A$63,"")))</f>
        <v/>
      </c>
      <c r="G61" s="30">
        <f>IF(A61="","",IF(COUNTIF('People'!$A$4:$A$1003,A61)=0,"Email not on People",IF(COUNTIF('Holders'!$A$4:$A$1003,B61)=0,"Unknown holder ID",IF(COUNTIFS($A$4:$A$1503,A61,$B$4:$B$1503,B61)&gt;1,"Duplicate link",IF(C61="","Missing access","OK")))))</f>
        <v/>
      </c>
    </row>
    <row r="62">
      <c r="A62" s="26" t="n"/>
      <c r="B62" s="26" t="n"/>
      <c r="C62" s="26" t="n"/>
      <c r="D62" s="26" t="n"/>
      <c r="E62" s="30">
        <f>IF(B62="","",IFERROR(INDEX('Holders'!$B$4:$B$1003,MATCH(B62,'Holders'!$A$4:$A$1003,0)),""))</f>
        <v/>
      </c>
      <c r="F62" s="30">
        <f t="array" ref="F62">IF(B62="","",_xlfn.TEXTJOIN(", ",TRUE,IF(('Companies'!$A$4:$A$63&lt;&gt;"")*(COUNTIFS('Holdings'!$A$4:$A$2503,B62,'Holdings'!$J$4:$J$2503,'Companies'!$A$4:$A$63,'Holdings'!$L$4:$L$2503,"Yes",'Holdings'!$C$4:$C$2503,"&gt;0")&gt;0),'Companies'!$A$4:$A$63,"")))</f>
        <v/>
      </c>
      <c r="G62" s="30">
        <f>IF(A62="","",IF(COUNTIF('People'!$A$4:$A$1003,A62)=0,"Email not on People",IF(COUNTIF('Holders'!$A$4:$A$1003,B62)=0,"Unknown holder ID",IF(COUNTIFS($A$4:$A$1503,A62,$B$4:$B$1503,B62)&gt;1,"Duplicate link",IF(C62="","Missing access","OK")))))</f>
        <v/>
      </c>
    </row>
    <row r="63">
      <c r="A63" s="26" t="n"/>
      <c r="B63" s="26" t="n"/>
      <c r="C63" s="26" t="n"/>
      <c r="D63" s="26" t="n"/>
      <c r="E63" s="30">
        <f>IF(B63="","",IFERROR(INDEX('Holders'!$B$4:$B$1003,MATCH(B63,'Holders'!$A$4:$A$1003,0)),""))</f>
        <v/>
      </c>
      <c r="F63" s="30">
        <f t="array" ref="F63">IF(B63="","",_xlfn.TEXTJOIN(", ",TRUE,IF(('Companies'!$A$4:$A$63&lt;&gt;"")*(COUNTIFS('Holdings'!$A$4:$A$2503,B63,'Holdings'!$J$4:$J$2503,'Companies'!$A$4:$A$63,'Holdings'!$L$4:$L$2503,"Yes",'Holdings'!$C$4:$C$2503,"&gt;0")&gt;0),'Companies'!$A$4:$A$63,"")))</f>
        <v/>
      </c>
      <c r="G63" s="30">
        <f>IF(A63="","",IF(COUNTIF('People'!$A$4:$A$1003,A63)=0,"Email not on People",IF(COUNTIF('Holders'!$A$4:$A$1003,B63)=0,"Unknown holder ID",IF(COUNTIFS($A$4:$A$1503,A63,$B$4:$B$1503,B63)&gt;1,"Duplicate link",IF(C63="","Missing access","OK")))))</f>
        <v/>
      </c>
    </row>
    <row r="64">
      <c r="A64" s="26" t="n"/>
      <c r="B64" s="26" t="n"/>
      <c r="C64" s="26" t="n"/>
      <c r="D64" s="26" t="n"/>
      <c r="E64" s="30">
        <f>IF(B64="","",IFERROR(INDEX('Holders'!$B$4:$B$1003,MATCH(B64,'Holders'!$A$4:$A$1003,0)),""))</f>
        <v/>
      </c>
      <c r="F64" s="30">
        <f t="array" ref="F64">IF(B64="","",_xlfn.TEXTJOIN(", ",TRUE,IF(('Companies'!$A$4:$A$63&lt;&gt;"")*(COUNTIFS('Holdings'!$A$4:$A$2503,B64,'Holdings'!$J$4:$J$2503,'Companies'!$A$4:$A$63,'Holdings'!$L$4:$L$2503,"Yes",'Holdings'!$C$4:$C$2503,"&gt;0")&gt;0),'Companies'!$A$4:$A$63,"")))</f>
        <v/>
      </c>
      <c r="G64" s="30">
        <f>IF(A64="","",IF(COUNTIF('People'!$A$4:$A$1003,A64)=0,"Email not on People",IF(COUNTIF('Holders'!$A$4:$A$1003,B64)=0,"Unknown holder ID",IF(COUNTIFS($A$4:$A$1503,A64,$B$4:$B$1503,B64)&gt;1,"Duplicate link",IF(C64="","Missing access","OK")))))</f>
        <v/>
      </c>
    </row>
    <row r="65">
      <c r="A65" s="26" t="n"/>
      <c r="B65" s="26" t="n"/>
      <c r="C65" s="26" t="n"/>
      <c r="D65" s="26" t="n"/>
      <c r="E65" s="30">
        <f>IF(B65="","",IFERROR(INDEX('Holders'!$B$4:$B$1003,MATCH(B65,'Holders'!$A$4:$A$1003,0)),""))</f>
        <v/>
      </c>
      <c r="F65" s="30">
        <f t="array" ref="F65">IF(B65="","",_xlfn.TEXTJOIN(", ",TRUE,IF(('Companies'!$A$4:$A$63&lt;&gt;"")*(COUNTIFS('Holdings'!$A$4:$A$2503,B65,'Holdings'!$J$4:$J$2503,'Companies'!$A$4:$A$63,'Holdings'!$L$4:$L$2503,"Yes",'Holdings'!$C$4:$C$2503,"&gt;0")&gt;0),'Companies'!$A$4:$A$63,"")))</f>
        <v/>
      </c>
      <c r="G65" s="30">
        <f>IF(A65="","",IF(COUNTIF('People'!$A$4:$A$1003,A65)=0,"Email not on People",IF(COUNTIF('Holders'!$A$4:$A$1003,B65)=0,"Unknown holder ID",IF(COUNTIFS($A$4:$A$1503,A65,$B$4:$B$1503,B65)&gt;1,"Duplicate link",IF(C65="","Missing access","OK")))))</f>
        <v/>
      </c>
    </row>
    <row r="66">
      <c r="A66" s="26" t="n"/>
      <c r="B66" s="26" t="n"/>
      <c r="C66" s="26" t="n"/>
      <c r="D66" s="26" t="n"/>
      <c r="E66" s="30">
        <f>IF(B66="","",IFERROR(INDEX('Holders'!$B$4:$B$1003,MATCH(B66,'Holders'!$A$4:$A$1003,0)),""))</f>
        <v/>
      </c>
      <c r="F66" s="30">
        <f t="array" ref="F66">IF(B66="","",_xlfn.TEXTJOIN(", ",TRUE,IF(('Companies'!$A$4:$A$63&lt;&gt;"")*(COUNTIFS('Holdings'!$A$4:$A$2503,B66,'Holdings'!$J$4:$J$2503,'Companies'!$A$4:$A$63,'Holdings'!$L$4:$L$2503,"Yes",'Holdings'!$C$4:$C$2503,"&gt;0")&gt;0),'Companies'!$A$4:$A$63,"")))</f>
        <v/>
      </c>
      <c r="G66" s="30">
        <f>IF(A66="","",IF(COUNTIF('People'!$A$4:$A$1003,A66)=0,"Email not on People",IF(COUNTIF('Holders'!$A$4:$A$1003,B66)=0,"Unknown holder ID",IF(COUNTIFS($A$4:$A$1503,A66,$B$4:$B$1503,B66)&gt;1,"Duplicate link",IF(C66="","Missing access","OK")))))</f>
        <v/>
      </c>
    </row>
    <row r="67">
      <c r="A67" s="26" t="n"/>
      <c r="B67" s="26" t="n"/>
      <c r="C67" s="26" t="n"/>
      <c r="D67" s="26" t="n"/>
      <c r="E67" s="30">
        <f>IF(B67="","",IFERROR(INDEX('Holders'!$B$4:$B$1003,MATCH(B67,'Holders'!$A$4:$A$1003,0)),""))</f>
        <v/>
      </c>
      <c r="F67" s="30">
        <f t="array" ref="F67">IF(B67="","",_xlfn.TEXTJOIN(", ",TRUE,IF(('Companies'!$A$4:$A$63&lt;&gt;"")*(COUNTIFS('Holdings'!$A$4:$A$2503,B67,'Holdings'!$J$4:$J$2503,'Companies'!$A$4:$A$63,'Holdings'!$L$4:$L$2503,"Yes",'Holdings'!$C$4:$C$2503,"&gt;0")&gt;0),'Companies'!$A$4:$A$63,"")))</f>
        <v/>
      </c>
      <c r="G67" s="30">
        <f>IF(A67="","",IF(COUNTIF('People'!$A$4:$A$1003,A67)=0,"Email not on People",IF(COUNTIF('Holders'!$A$4:$A$1003,B67)=0,"Unknown holder ID",IF(COUNTIFS($A$4:$A$1503,A67,$B$4:$B$1503,B67)&gt;1,"Duplicate link",IF(C67="","Missing access","OK")))))</f>
        <v/>
      </c>
    </row>
    <row r="68">
      <c r="A68" s="26" t="n"/>
      <c r="B68" s="26" t="n"/>
      <c r="C68" s="26" t="n"/>
      <c r="D68" s="26" t="n"/>
      <c r="E68" s="30">
        <f>IF(B68="","",IFERROR(INDEX('Holders'!$B$4:$B$1003,MATCH(B68,'Holders'!$A$4:$A$1003,0)),""))</f>
        <v/>
      </c>
      <c r="F68" s="30">
        <f t="array" ref="F68">IF(B68="","",_xlfn.TEXTJOIN(", ",TRUE,IF(('Companies'!$A$4:$A$63&lt;&gt;"")*(COUNTIFS('Holdings'!$A$4:$A$2503,B68,'Holdings'!$J$4:$J$2503,'Companies'!$A$4:$A$63,'Holdings'!$L$4:$L$2503,"Yes",'Holdings'!$C$4:$C$2503,"&gt;0")&gt;0),'Companies'!$A$4:$A$63,"")))</f>
        <v/>
      </c>
      <c r="G68" s="30">
        <f>IF(A68="","",IF(COUNTIF('People'!$A$4:$A$1003,A68)=0,"Email not on People",IF(COUNTIF('Holders'!$A$4:$A$1003,B68)=0,"Unknown holder ID",IF(COUNTIFS($A$4:$A$1503,A68,$B$4:$B$1503,B68)&gt;1,"Duplicate link",IF(C68="","Missing access","OK")))))</f>
        <v/>
      </c>
    </row>
    <row r="69">
      <c r="A69" s="26" t="n"/>
      <c r="B69" s="26" t="n"/>
      <c r="C69" s="26" t="n"/>
      <c r="D69" s="26" t="n"/>
      <c r="E69" s="30">
        <f>IF(B69="","",IFERROR(INDEX('Holders'!$B$4:$B$1003,MATCH(B69,'Holders'!$A$4:$A$1003,0)),""))</f>
        <v/>
      </c>
      <c r="F69" s="30">
        <f t="array" ref="F69">IF(B69="","",_xlfn.TEXTJOIN(", ",TRUE,IF(('Companies'!$A$4:$A$63&lt;&gt;"")*(COUNTIFS('Holdings'!$A$4:$A$2503,B69,'Holdings'!$J$4:$J$2503,'Companies'!$A$4:$A$63,'Holdings'!$L$4:$L$2503,"Yes",'Holdings'!$C$4:$C$2503,"&gt;0")&gt;0),'Companies'!$A$4:$A$63,"")))</f>
        <v/>
      </c>
      <c r="G69" s="30">
        <f>IF(A69="","",IF(COUNTIF('People'!$A$4:$A$1003,A69)=0,"Email not on People",IF(COUNTIF('Holders'!$A$4:$A$1003,B69)=0,"Unknown holder ID",IF(COUNTIFS($A$4:$A$1503,A69,$B$4:$B$1503,B69)&gt;1,"Duplicate link",IF(C69="","Missing access","OK")))))</f>
        <v/>
      </c>
    </row>
    <row r="70">
      <c r="A70" s="26" t="n"/>
      <c r="B70" s="26" t="n"/>
      <c r="C70" s="26" t="n"/>
      <c r="D70" s="26" t="n"/>
      <c r="E70" s="30">
        <f>IF(B70="","",IFERROR(INDEX('Holders'!$B$4:$B$1003,MATCH(B70,'Holders'!$A$4:$A$1003,0)),""))</f>
        <v/>
      </c>
      <c r="F70" s="30">
        <f t="array" ref="F70">IF(B70="","",_xlfn.TEXTJOIN(", ",TRUE,IF(('Companies'!$A$4:$A$63&lt;&gt;"")*(COUNTIFS('Holdings'!$A$4:$A$2503,B70,'Holdings'!$J$4:$J$2503,'Companies'!$A$4:$A$63,'Holdings'!$L$4:$L$2503,"Yes",'Holdings'!$C$4:$C$2503,"&gt;0")&gt;0),'Companies'!$A$4:$A$63,"")))</f>
        <v/>
      </c>
      <c r="G70" s="30">
        <f>IF(A70="","",IF(COUNTIF('People'!$A$4:$A$1003,A70)=0,"Email not on People",IF(COUNTIF('Holders'!$A$4:$A$1003,B70)=0,"Unknown holder ID",IF(COUNTIFS($A$4:$A$1503,A70,$B$4:$B$1503,B70)&gt;1,"Duplicate link",IF(C70="","Missing access","OK")))))</f>
        <v/>
      </c>
    </row>
    <row r="71">
      <c r="A71" s="26" t="n"/>
      <c r="B71" s="26" t="n"/>
      <c r="C71" s="26" t="n"/>
      <c r="D71" s="26" t="n"/>
      <c r="E71" s="30">
        <f>IF(B71="","",IFERROR(INDEX('Holders'!$B$4:$B$1003,MATCH(B71,'Holders'!$A$4:$A$1003,0)),""))</f>
        <v/>
      </c>
      <c r="F71" s="30">
        <f t="array" ref="F71">IF(B71="","",_xlfn.TEXTJOIN(", ",TRUE,IF(('Companies'!$A$4:$A$63&lt;&gt;"")*(COUNTIFS('Holdings'!$A$4:$A$2503,B71,'Holdings'!$J$4:$J$2503,'Companies'!$A$4:$A$63,'Holdings'!$L$4:$L$2503,"Yes",'Holdings'!$C$4:$C$2503,"&gt;0")&gt;0),'Companies'!$A$4:$A$63,"")))</f>
        <v/>
      </c>
      <c r="G71" s="30">
        <f>IF(A71="","",IF(COUNTIF('People'!$A$4:$A$1003,A71)=0,"Email not on People",IF(COUNTIF('Holders'!$A$4:$A$1003,B71)=0,"Unknown holder ID",IF(COUNTIFS($A$4:$A$1503,A71,$B$4:$B$1503,B71)&gt;1,"Duplicate link",IF(C71="","Missing access","OK")))))</f>
        <v/>
      </c>
    </row>
    <row r="72">
      <c r="A72" s="26" t="n"/>
      <c r="B72" s="26" t="n"/>
      <c r="C72" s="26" t="n"/>
      <c r="D72" s="26" t="n"/>
      <c r="E72" s="30">
        <f>IF(B72="","",IFERROR(INDEX('Holders'!$B$4:$B$1003,MATCH(B72,'Holders'!$A$4:$A$1003,0)),""))</f>
        <v/>
      </c>
      <c r="F72" s="30">
        <f t="array" ref="F72">IF(B72="","",_xlfn.TEXTJOIN(", ",TRUE,IF(('Companies'!$A$4:$A$63&lt;&gt;"")*(COUNTIFS('Holdings'!$A$4:$A$2503,B72,'Holdings'!$J$4:$J$2503,'Companies'!$A$4:$A$63,'Holdings'!$L$4:$L$2503,"Yes",'Holdings'!$C$4:$C$2503,"&gt;0")&gt;0),'Companies'!$A$4:$A$63,"")))</f>
        <v/>
      </c>
      <c r="G72" s="30">
        <f>IF(A72="","",IF(COUNTIF('People'!$A$4:$A$1003,A72)=0,"Email not on People",IF(COUNTIF('Holders'!$A$4:$A$1003,B72)=0,"Unknown holder ID",IF(COUNTIFS($A$4:$A$1503,A72,$B$4:$B$1503,B72)&gt;1,"Duplicate link",IF(C72="","Missing access","OK")))))</f>
        <v/>
      </c>
    </row>
    <row r="73">
      <c r="A73" s="26" t="n"/>
      <c r="B73" s="26" t="n"/>
      <c r="C73" s="26" t="n"/>
      <c r="D73" s="26" t="n"/>
      <c r="E73" s="30">
        <f>IF(B73="","",IFERROR(INDEX('Holders'!$B$4:$B$1003,MATCH(B73,'Holders'!$A$4:$A$1003,0)),""))</f>
        <v/>
      </c>
      <c r="F73" s="30">
        <f t="array" ref="F73">IF(B73="","",_xlfn.TEXTJOIN(", ",TRUE,IF(('Companies'!$A$4:$A$63&lt;&gt;"")*(COUNTIFS('Holdings'!$A$4:$A$2503,B73,'Holdings'!$J$4:$J$2503,'Companies'!$A$4:$A$63,'Holdings'!$L$4:$L$2503,"Yes",'Holdings'!$C$4:$C$2503,"&gt;0")&gt;0),'Companies'!$A$4:$A$63,"")))</f>
        <v/>
      </c>
      <c r="G73" s="30">
        <f>IF(A73="","",IF(COUNTIF('People'!$A$4:$A$1003,A73)=0,"Email not on People",IF(COUNTIF('Holders'!$A$4:$A$1003,B73)=0,"Unknown holder ID",IF(COUNTIFS($A$4:$A$1503,A73,$B$4:$B$1503,B73)&gt;1,"Duplicate link",IF(C73="","Missing access","OK")))))</f>
        <v/>
      </c>
    </row>
    <row r="74">
      <c r="A74" s="26" t="n"/>
      <c r="B74" s="26" t="n"/>
      <c r="C74" s="26" t="n"/>
      <c r="D74" s="26" t="n"/>
      <c r="E74" s="30">
        <f>IF(B74="","",IFERROR(INDEX('Holders'!$B$4:$B$1003,MATCH(B74,'Holders'!$A$4:$A$1003,0)),""))</f>
        <v/>
      </c>
      <c r="F74" s="30">
        <f t="array" ref="F74">IF(B74="","",_xlfn.TEXTJOIN(", ",TRUE,IF(('Companies'!$A$4:$A$63&lt;&gt;"")*(COUNTIFS('Holdings'!$A$4:$A$2503,B74,'Holdings'!$J$4:$J$2503,'Companies'!$A$4:$A$63,'Holdings'!$L$4:$L$2503,"Yes",'Holdings'!$C$4:$C$2503,"&gt;0")&gt;0),'Companies'!$A$4:$A$63,"")))</f>
        <v/>
      </c>
      <c r="G74" s="30">
        <f>IF(A74="","",IF(COUNTIF('People'!$A$4:$A$1003,A74)=0,"Email not on People",IF(COUNTIF('Holders'!$A$4:$A$1003,B74)=0,"Unknown holder ID",IF(COUNTIFS($A$4:$A$1503,A74,$B$4:$B$1503,B74)&gt;1,"Duplicate link",IF(C74="","Missing access","OK")))))</f>
        <v/>
      </c>
    </row>
    <row r="75">
      <c r="A75" s="26" t="n"/>
      <c r="B75" s="26" t="n"/>
      <c r="C75" s="26" t="n"/>
      <c r="D75" s="26" t="n"/>
      <c r="E75" s="30">
        <f>IF(B75="","",IFERROR(INDEX('Holders'!$B$4:$B$1003,MATCH(B75,'Holders'!$A$4:$A$1003,0)),""))</f>
        <v/>
      </c>
      <c r="F75" s="30">
        <f t="array" ref="F75">IF(B75="","",_xlfn.TEXTJOIN(", ",TRUE,IF(('Companies'!$A$4:$A$63&lt;&gt;"")*(COUNTIFS('Holdings'!$A$4:$A$2503,B75,'Holdings'!$J$4:$J$2503,'Companies'!$A$4:$A$63,'Holdings'!$L$4:$L$2503,"Yes",'Holdings'!$C$4:$C$2503,"&gt;0")&gt;0),'Companies'!$A$4:$A$63,"")))</f>
        <v/>
      </c>
      <c r="G75" s="30">
        <f>IF(A75="","",IF(COUNTIF('People'!$A$4:$A$1003,A75)=0,"Email not on People",IF(COUNTIF('Holders'!$A$4:$A$1003,B75)=0,"Unknown holder ID",IF(COUNTIFS($A$4:$A$1503,A75,$B$4:$B$1503,B75)&gt;1,"Duplicate link",IF(C75="","Missing access","OK")))))</f>
        <v/>
      </c>
    </row>
    <row r="76">
      <c r="A76" s="26" t="n"/>
      <c r="B76" s="26" t="n"/>
      <c r="C76" s="26" t="n"/>
      <c r="D76" s="26" t="n"/>
      <c r="E76" s="30">
        <f>IF(B76="","",IFERROR(INDEX('Holders'!$B$4:$B$1003,MATCH(B76,'Holders'!$A$4:$A$1003,0)),""))</f>
        <v/>
      </c>
      <c r="F76" s="30">
        <f t="array" ref="F76">IF(B76="","",_xlfn.TEXTJOIN(", ",TRUE,IF(('Companies'!$A$4:$A$63&lt;&gt;"")*(COUNTIFS('Holdings'!$A$4:$A$2503,B76,'Holdings'!$J$4:$J$2503,'Companies'!$A$4:$A$63,'Holdings'!$L$4:$L$2503,"Yes",'Holdings'!$C$4:$C$2503,"&gt;0")&gt;0),'Companies'!$A$4:$A$63,"")))</f>
        <v/>
      </c>
      <c r="G76" s="30">
        <f>IF(A76="","",IF(COUNTIF('People'!$A$4:$A$1003,A76)=0,"Email not on People",IF(COUNTIF('Holders'!$A$4:$A$1003,B76)=0,"Unknown holder ID",IF(COUNTIFS($A$4:$A$1503,A76,$B$4:$B$1503,B76)&gt;1,"Duplicate link",IF(C76="","Missing access","OK")))))</f>
        <v/>
      </c>
    </row>
    <row r="77">
      <c r="A77" s="26" t="n"/>
      <c r="B77" s="26" t="n"/>
      <c r="C77" s="26" t="n"/>
      <c r="D77" s="26" t="n"/>
      <c r="E77" s="30">
        <f>IF(B77="","",IFERROR(INDEX('Holders'!$B$4:$B$1003,MATCH(B77,'Holders'!$A$4:$A$1003,0)),""))</f>
        <v/>
      </c>
      <c r="F77" s="30">
        <f t="array" ref="F77">IF(B77="","",_xlfn.TEXTJOIN(", ",TRUE,IF(('Companies'!$A$4:$A$63&lt;&gt;"")*(COUNTIFS('Holdings'!$A$4:$A$2503,B77,'Holdings'!$J$4:$J$2503,'Companies'!$A$4:$A$63,'Holdings'!$L$4:$L$2503,"Yes",'Holdings'!$C$4:$C$2503,"&gt;0")&gt;0),'Companies'!$A$4:$A$63,"")))</f>
        <v/>
      </c>
      <c r="G77" s="30">
        <f>IF(A77="","",IF(COUNTIF('People'!$A$4:$A$1003,A77)=0,"Email not on People",IF(COUNTIF('Holders'!$A$4:$A$1003,B77)=0,"Unknown holder ID",IF(COUNTIFS($A$4:$A$1503,A77,$B$4:$B$1503,B77)&gt;1,"Duplicate link",IF(C77="","Missing access","OK")))))</f>
        <v/>
      </c>
    </row>
    <row r="78">
      <c r="A78" s="26" t="n"/>
      <c r="B78" s="26" t="n"/>
      <c r="C78" s="26" t="n"/>
      <c r="D78" s="26" t="n"/>
      <c r="E78" s="30">
        <f>IF(B78="","",IFERROR(INDEX('Holders'!$B$4:$B$1003,MATCH(B78,'Holders'!$A$4:$A$1003,0)),""))</f>
        <v/>
      </c>
      <c r="F78" s="30">
        <f t="array" ref="F78">IF(B78="","",_xlfn.TEXTJOIN(", ",TRUE,IF(('Companies'!$A$4:$A$63&lt;&gt;"")*(COUNTIFS('Holdings'!$A$4:$A$2503,B78,'Holdings'!$J$4:$J$2503,'Companies'!$A$4:$A$63,'Holdings'!$L$4:$L$2503,"Yes",'Holdings'!$C$4:$C$2503,"&gt;0")&gt;0),'Companies'!$A$4:$A$63,"")))</f>
        <v/>
      </c>
      <c r="G78" s="30">
        <f>IF(A78="","",IF(COUNTIF('People'!$A$4:$A$1003,A78)=0,"Email not on People",IF(COUNTIF('Holders'!$A$4:$A$1003,B78)=0,"Unknown holder ID",IF(COUNTIFS($A$4:$A$1503,A78,$B$4:$B$1503,B78)&gt;1,"Duplicate link",IF(C78="","Missing access","OK")))))</f>
        <v/>
      </c>
    </row>
    <row r="79">
      <c r="A79" s="26" t="n"/>
      <c r="B79" s="26" t="n"/>
      <c r="C79" s="26" t="n"/>
      <c r="D79" s="26" t="n"/>
      <c r="E79" s="30">
        <f>IF(B79="","",IFERROR(INDEX('Holders'!$B$4:$B$1003,MATCH(B79,'Holders'!$A$4:$A$1003,0)),""))</f>
        <v/>
      </c>
      <c r="F79" s="30">
        <f t="array" ref="F79">IF(B79="","",_xlfn.TEXTJOIN(", ",TRUE,IF(('Companies'!$A$4:$A$63&lt;&gt;"")*(COUNTIFS('Holdings'!$A$4:$A$2503,B79,'Holdings'!$J$4:$J$2503,'Companies'!$A$4:$A$63,'Holdings'!$L$4:$L$2503,"Yes",'Holdings'!$C$4:$C$2503,"&gt;0")&gt;0),'Companies'!$A$4:$A$63,"")))</f>
        <v/>
      </c>
      <c r="G79" s="30">
        <f>IF(A79="","",IF(COUNTIF('People'!$A$4:$A$1003,A79)=0,"Email not on People",IF(COUNTIF('Holders'!$A$4:$A$1003,B79)=0,"Unknown holder ID",IF(COUNTIFS($A$4:$A$1503,A79,$B$4:$B$1503,B79)&gt;1,"Duplicate link",IF(C79="","Missing access","OK")))))</f>
        <v/>
      </c>
    </row>
    <row r="80">
      <c r="A80" s="26" t="n"/>
      <c r="B80" s="26" t="n"/>
      <c r="C80" s="26" t="n"/>
      <c r="D80" s="26" t="n"/>
      <c r="E80" s="30">
        <f>IF(B80="","",IFERROR(INDEX('Holders'!$B$4:$B$1003,MATCH(B80,'Holders'!$A$4:$A$1003,0)),""))</f>
        <v/>
      </c>
      <c r="F80" s="30">
        <f t="array" ref="F80">IF(B80="","",_xlfn.TEXTJOIN(", ",TRUE,IF(('Companies'!$A$4:$A$63&lt;&gt;"")*(COUNTIFS('Holdings'!$A$4:$A$2503,B80,'Holdings'!$J$4:$J$2503,'Companies'!$A$4:$A$63,'Holdings'!$L$4:$L$2503,"Yes",'Holdings'!$C$4:$C$2503,"&gt;0")&gt;0),'Companies'!$A$4:$A$63,"")))</f>
        <v/>
      </c>
      <c r="G80" s="30">
        <f>IF(A80="","",IF(COUNTIF('People'!$A$4:$A$1003,A80)=0,"Email not on People",IF(COUNTIF('Holders'!$A$4:$A$1003,B80)=0,"Unknown holder ID",IF(COUNTIFS($A$4:$A$1503,A80,$B$4:$B$1503,B80)&gt;1,"Duplicate link",IF(C80="","Missing access","OK")))))</f>
        <v/>
      </c>
    </row>
    <row r="81">
      <c r="A81" s="26" t="n"/>
      <c r="B81" s="26" t="n"/>
      <c r="C81" s="26" t="n"/>
      <c r="D81" s="26" t="n"/>
      <c r="E81" s="30">
        <f>IF(B81="","",IFERROR(INDEX('Holders'!$B$4:$B$1003,MATCH(B81,'Holders'!$A$4:$A$1003,0)),""))</f>
        <v/>
      </c>
      <c r="F81" s="30">
        <f t="array" ref="F81">IF(B81="","",_xlfn.TEXTJOIN(", ",TRUE,IF(('Companies'!$A$4:$A$63&lt;&gt;"")*(COUNTIFS('Holdings'!$A$4:$A$2503,B81,'Holdings'!$J$4:$J$2503,'Companies'!$A$4:$A$63,'Holdings'!$L$4:$L$2503,"Yes",'Holdings'!$C$4:$C$2503,"&gt;0")&gt;0),'Companies'!$A$4:$A$63,"")))</f>
        <v/>
      </c>
      <c r="G81" s="30">
        <f>IF(A81="","",IF(COUNTIF('People'!$A$4:$A$1003,A81)=0,"Email not on People",IF(COUNTIF('Holders'!$A$4:$A$1003,B81)=0,"Unknown holder ID",IF(COUNTIFS($A$4:$A$1503,A81,$B$4:$B$1503,B81)&gt;1,"Duplicate link",IF(C81="","Missing access","OK")))))</f>
        <v/>
      </c>
    </row>
    <row r="82">
      <c r="A82" s="26" t="n"/>
      <c r="B82" s="26" t="n"/>
      <c r="C82" s="26" t="n"/>
      <c r="D82" s="26" t="n"/>
      <c r="E82" s="30">
        <f>IF(B82="","",IFERROR(INDEX('Holders'!$B$4:$B$1003,MATCH(B82,'Holders'!$A$4:$A$1003,0)),""))</f>
        <v/>
      </c>
      <c r="F82" s="30">
        <f t="array" ref="F82">IF(B82="","",_xlfn.TEXTJOIN(", ",TRUE,IF(('Companies'!$A$4:$A$63&lt;&gt;"")*(COUNTIFS('Holdings'!$A$4:$A$2503,B82,'Holdings'!$J$4:$J$2503,'Companies'!$A$4:$A$63,'Holdings'!$L$4:$L$2503,"Yes",'Holdings'!$C$4:$C$2503,"&gt;0")&gt;0),'Companies'!$A$4:$A$63,"")))</f>
        <v/>
      </c>
      <c r="G82" s="30">
        <f>IF(A82="","",IF(COUNTIF('People'!$A$4:$A$1003,A82)=0,"Email not on People",IF(COUNTIF('Holders'!$A$4:$A$1003,B82)=0,"Unknown holder ID",IF(COUNTIFS($A$4:$A$1503,A82,$B$4:$B$1503,B82)&gt;1,"Duplicate link",IF(C82="","Missing access","OK")))))</f>
        <v/>
      </c>
    </row>
    <row r="83">
      <c r="A83" s="26" t="n"/>
      <c r="B83" s="26" t="n"/>
      <c r="C83" s="26" t="n"/>
      <c r="D83" s="26" t="n"/>
      <c r="E83" s="30">
        <f>IF(B83="","",IFERROR(INDEX('Holders'!$B$4:$B$1003,MATCH(B83,'Holders'!$A$4:$A$1003,0)),""))</f>
        <v/>
      </c>
      <c r="F83" s="30">
        <f t="array" ref="F83">IF(B83="","",_xlfn.TEXTJOIN(", ",TRUE,IF(('Companies'!$A$4:$A$63&lt;&gt;"")*(COUNTIFS('Holdings'!$A$4:$A$2503,B83,'Holdings'!$J$4:$J$2503,'Companies'!$A$4:$A$63,'Holdings'!$L$4:$L$2503,"Yes",'Holdings'!$C$4:$C$2503,"&gt;0")&gt;0),'Companies'!$A$4:$A$63,"")))</f>
        <v/>
      </c>
      <c r="G83" s="30">
        <f>IF(A83="","",IF(COUNTIF('People'!$A$4:$A$1003,A83)=0,"Email not on People",IF(COUNTIF('Holders'!$A$4:$A$1003,B83)=0,"Unknown holder ID",IF(COUNTIFS($A$4:$A$1503,A83,$B$4:$B$1503,B83)&gt;1,"Duplicate link",IF(C83="","Missing access","OK")))))</f>
        <v/>
      </c>
    </row>
    <row r="84">
      <c r="A84" s="26" t="n"/>
      <c r="B84" s="26" t="n"/>
      <c r="C84" s="26" t="n"/>
      <c r="D84" s="26" t="n"/>
      <c r="E84" s="30">
        <f>IF(B84="","",IFERROR(INDEX('Holders'!$B$4:$B$1003,MATCH(B84,'Holders'!$A$4:$A$1003,0)),""))</f>
        <v/>
      </c>
      <c r="F84" s="30">
        <f t="array" ref="F84">IF(B84="","",_xlfn.TEXTJOIN(", ",TRUE,IF(('Companies'!$A$4:$A$63&lt;&gt;"")*(COUNTIFS('Holdings'!$A$4:$A$2503,B84,'Holdings'!$J$4:$J$2503,'Companies'!$A$4:$A$63,'Holdings'!$L$4:$L$2503,"Yes",'Holdings'!$C$4:$C$2503,"&gt;0")&gt;0),'Companies'!$A$4:$A$63,"")))</f>
        <v/>
      </c>
      <c r="G84" s="30">
        <f>IF(A84="","",IF(COUNTIF('People'!$A$4:$A$1003,A84)=0,"Email not on People",IF(COUNTIF('Holders'!$A$4:$A$1003,B84)=0,"Unknown holder ID",IF(COUNTIFS($A$4:$A$1503,A84,$B$4:$B$1503,B84)&gt;1,"Duplicate link",IF(C84="","Missing access","OK")))))</f>
        <v/>
      </c>
    </row>
    <row r="85">
      <c r="A85" s="26" t="n"/>
      <c r="B85" s="26" t="n"/>
      <c r="C85" s="26" t="n"/>
      <c r="D85" s="26" t="n"/>
      <c r="E85" s="30">
        <f>IF(B85="","",IFERROR(INDEX('Holders'!$B$4:$B$1003,MATCH(B85,'Holders'!$A$4:$A$1003,0)),""))</f>
        <v/>
      </c>
      <c r="F85" s="30">
        <f t="array" ref="F85">IF(B85="","",_xlfn.TEXTJOIN(", ",TRUE,IF(('Companies'!$A$4:$A$63&lt;&gt;"")*(COUNTIFS('Holdings'!$A$4:$A$2503,B85,'Holdings'!$J$4:$J$2503,'Companies'!$A$4:$A$63,'Holdings'!$L$4:$L$2503,"Yes",'Holdings'!$C$4:$C$2503,"&gt;0")&gt;0),'Companies'!$A$4:$A$63,"")))</f>
        <v/>
      </c>
      <c r="G85" s="30">
        <f>IF(A85="","",IF(COUNTIF('People'!$A$4:$A$1003,A85)=0,"Email not on People",IF(COUNTIF('Holders'!$A$4:$A$1003,B85)=0,"Unknown holder ID",IF(COUNTIFS($A$4:$A$1503,A85,$B$4:$B$1503,B85)&gt;1,"Duplicate link",IF(C85="","Missing access","OK")))))</f>
        <v/>
      </c>
    </row>
    <row r="86">
      <c r="A86" s="26" t="n"/>
      <c r="B86" s="26" t="n"/>
      <c r="C86" s="26" t="n"/>
      <c r="D86" s="26" t="n"/>
      <c r="E86" s="30">
        <f>IF(B86="","",IFERROR(INDEX('Holders'!$B$4:$B$1003,MATCH(B86,'Holders'!$A$4:$A$1003,0)),""))</f>
        <v/>
      </c>
      <c r="F86" s="30">
        <f t="array" ref="F86">IF(B86="","",_xlfn.TEXTJOIN(", ",TRUE,IF(('Companies'!$A$4:$A$63&lt;&gt;"")*(COUNTIFS('Holdings'!$A$4:$A$2503,B86,'Holdings'!$J$4:$J$2503,'Companies'!$A$4:$A$63,'Holdings'!$L$4:$L$2503,"Yes",'Holdings'!$C$4:$C$2503,"&gt;0")&gt;0),'Companies'!$A$4:$A$63,"")))</f>
        <v/>
      </c>
      <c r="G86" s="30">
        <f>IF(A86="","",IF(COUNTIF('People'!$A$4:$A$1003,A86)=0,"Email not on People",IF(COUNTIF('Holders'!$A$4:$A$1003,B86)=0,"Unknown holder ID",IF(COUNTIFS($A$4:$A$1503,A86,$B$4:$B$1503,B86)&gt;1,"Duplicate link",IF(C86="","Missing access","OK")))))</f>
        <v/>
      </c>
    </row>
    <row r="87">
      <c r="A87" s="26" t="n"/>
      <c r="B87" s="26" t="n"/>
      <c r="C87" s="26" t="n"/>
      <c r="D87" s="26" t="n"/>
      <c r="E87" s="30">
        <f>IF(B87="","",IFERROR(INDEX('Holders'!$B$4:$B$1003,MATCH(B87,'Holders'!$A$4:$A$1003,0)),""))</f>
        <v/>
      </c>
      <c r="F87" s="30">
        <f t="array" ref="F87">IF(B87="","",_xlfn.TEXTJOIN(", ",TRUE,IF(('Companies'!$A$4:$A$63&lt;&gt;"")*(COUNTIFS('Holdings'!$A$4:$A$2503,B87,'Holdings'!$J$4:$J$2503,'Companies'!$A$4:$A$63,'Holdings'!$L$4:$L$2503,"Yes",'Holdings'!$C$4:$C$2503,"&gt;0")&gt;0),'Companies'!$A$4:$A$63,"")))</f>
        <v/>
      </c>
      <c r="G87" s="30">
        <f>IF(A87="","",IF(COUNTIF('People'!$A$4:$A$1003,A87)=0,"Email not on People",IF(COUNTIF('Holders'!$A$4:$A$1003,B87)=0,"Unknown holder ID",IF(COUNTIFS($A$4:$A$1503,A87,$B$4:$B$1503,B87)&gt;1,"Duplicate link",IF(C87="","Missing access","OK")))))</f>
        <v/>
      </c>
    </row>
    <row r="88">
      <c r="A88" s="26" t="n"/>
      <c r="B88" s="26" t="n"/>
      <c r="C88" s="26" t="n"/>
      <c r="D88" s="26" t="n"/>
      <c r="E88" s="30">
        <f>IF(B88="","",IFERROR(INDEX('Holders'!$B$4:$B$1003,MATCH(B88,'Holders'!$A$4:$A$1003,0)),""))</f>
        <v/>
      </c>
      <c r="F88" s="30">
        <f t="array" ref="F88">IF(B88="","",_xlfn.TEXTJOIN(", ",TRUE,IF(('Companies'!$A$4:$A$63&lt;&gt;"")*(COUNTIFS('Holdings'!$A$4:$A$2503,B88,'Holdings'!$J$4:$J$2503,'Companies'!$A$4:$A$63,'Holdings'!$L$4:$L$2503,"Yes",'Holdings'!$C$4:$C$2503,"&gt;0")&gt;0),'Companies'!$A$4:$A$63,"")))</f>
        <v/>
      </c>
      <c r="G88" s="30">
        <f>IF(A88="","",IF(COUNTIF('People'!$A$4:$A$1003,A88)=0,"Email not on People",IF(COUNTIF('Holders'!$A$4:$A$1003,B88)=0,"Unknown holder ID",IF(COUNTIFS($A$4:$A$1503,A88,$B$4:$B$1503,B88)&gt;1,"Duplicate link",IF(C88="","Missing access","OK")))))</f>
        <v/>
      </c>
    </row>
    <row r="89">
      <c r="A89" s="26" t="n"/>
      <c r="B89" s="26" t="n"/>
      <c r="C89" s="26" t="n"/>
      <c r="D89" s="26" t="n"/>
      <c r="E89" s="30">
        <f>IF(B89="","",IFERROR(INDEX('Holders'!$B$4:$B$1003,MATCH(B89,'Holders'!$A$4:$A$1003,0)),""))</f>
        <v/>
      </c>
      <c r="F89" s="30">
        <f t="array" ref="F89">IF(B89="","",_xlfn.TEXTJOIN(", ",TRUE,IF(('Companies'!$A$4:$A$63&lt;&gt;"")*(COUNTIFS('Holdings'!$A$4:$A$2503,B89,'Holdings'!$J$4:$J$2503,'Companies'!$A$4:$A$63,'Holdings'!$L$4:$L$2503,"Yes",'Holdings'!$C$4:$C$2503,"&gt;0")&gt;0),'Companies'!$A$4:$A$63,"")))</f>
        <v/>
      </c>
      <c r="G89" s="30">
        <f>IF(A89="","",IF(COUNTIF('People'!$A$4:$A$1003,A89)=0,"Email not on People",IF(COUNTIF('Holders'!$A$4:$A$1003,B89)=0,"Unknown holder ID",IF(COUNTIFS($A$4:$A$1503,A89,$B$4:$B$1503,B89)&gt;1,"Duplicate link",IF(C89="","Missing access","OK")))))</f>
        <v/>
      </c>
    </row>
    <row r="90">
      <c r="A90" s="26" t="n"/>
      <c r="B90" s="26" t="n"/>
      <c r="C90" s="26" t="n"/>
      <c r="D90" s="26" t="n"/>
      <c r="E90" s="30">
        <f>IF(B90="","",IFERROR(INDEX('Holders'!$B$4:$B$1003,MATCH(B90,'Holders'!$A$4:$A$1003,0)),""))</f>
        <v/>
      </c>
      <c r="F90" s="30">
        <f t="array" ref="F90">IF(B90="","",_xlfn.TEXTJOIN(", ",TRUE,IF(('Companies'!$A$4:$A$63&lt;&gt;"")*(COUNTIFS('Holdings'!$A$4:$A$2503,B90,'Holdings'!$J$4:$J$2503,'Companies'!$A$4:$A$63,'Holdings'!$L$4:$L$2503,"Yes",'Holdings'!$C$4:$C$2503,"&gt;0")&gt;0),'Companies'!$A$4:$A$63,"")))</f>
        <v/>
      </c>
      <c r="G90" s="30">
        <f>IF(A90="","",IF(COUNTIF('People'!$A$4:$A$1003,A90)=0,"Email not on People",IF(COUNTIF('Holders'!$A$4:$A$1003,B90)=0,"Unknown holder ID",IF(COUNTIFS($A$4:$A$1503,A90,$B$4:$B$1503,B90)&gt;1,"Duplicate link",IF(C90="","Missing access","OK")))))</f>
        <v/>
      </c>
    </row>
    <row r="91">
      <c r="A91" s="26" t="n"/>
      <c r="B91" s="26" t="n"/>
      <c r="C91" s="26" t="n"/>
      <c r="D91" s="26" t="n"/>
      <c r="E91" s="30">
        <f>IF(B91="","",IFERROR(INDEX('Holders'!$B$4:$B$1003,MATCH(B91,'Holders'!$A$4:$A$1003,0)),""))</f>
        <v/>
      </c>
      <c r="F91" s="30">
        <f t="array" ref="F91">IF(B91="","",_xlfn.TEXTJOIN(", ",TRUE,IF(('Companies'!$A$4:$A$63&lt;&gt;"")*(COUNTIFS('Holdings'!$A$4:$A$2503,B91,'Holdings'!$J$4:$J$2503,'Companies'!$A$4:$A$63,'Holdings'!$L$4:$L$2503,"Yes",'Holdings'!$C$4:$C$2503,"&gt;0")&gt;0),'Companies'!$A$4:$A$63,"")))</f>
        <v/>
      </c>
      <c r="G91" s="30">
        <f>IF(A91="","",IF(COUNTIF('People'!$A$4:$A$1003,A91)=0,"Email not on People",IF(COUNTIF('Holders'!$A$4:$A$1003,B91)=0,"Unknown holder ID",IF(COUNTIFS($A$4:$A$1503,A91,$B$4:$B$1503,B91)&gt;1,"Duplicate link",IF(C91="","Missing access","OK")))))</f>
        <v/>
      </c>
    </row>
    <row r="92">
      <c r="A92" s="26" t="n"/>
      <c r="B92" s="26" t="n"/>
      <c r="C92" s="26" t="n"/>
      <c r="D92" s="26" t="n"/>
      <c r="E92" s="30">
        <f>IF(B92="","",IFERROR(INDEX('Holders'!$B$4:$B$1003,MATCH(B92,'Holders'!$A$4:$A$1003,0)),""))</f>
        <v/>
      </c>
      <c r="F92" s="30">
        <f t="array" ref="F92">IF(B92="","",_xlfn.TEXTJOIN(", ",TRUE,IF(('Companies'!$A$4:$A$63&lt;&gt;"")*(COUNTIFS('Holdings'!$A$4:$A$2503,B92,'Holdings'!$J$4:$J$2503,'Companies'!$A$4:$A$63,'Holdings'!$L$4:$L$2503,"Yes",'Holdings'!$C$4:$C$2503,"&gt;0")&gt;0),'Companies'!$A$4:$A$63,"")))</f>
        <v/>
      </c>
      <c r="G92" s="30">
        <f>IF(A92="","",IF(COUNTIF('People'!$A$4:$A$1003,A92)=0,"Email not on People",IF(COUNTIF('Holders'!$A$4:$A$1003,B92)=0,"Unknown holder ID",IF(COUNTIFS($A$4:$A$1503,A92,$B$4:$B$1503,B92)&gt;1,"Duplicate link",IF(C92="","Missing access","OK")))))</f>
        <v/>
      </c>
    </row>
    <row r="93">
      <c r="A93" s="26" t="n"/>
      <c r="B93" s="26" t="n"/>
      <c r="C93" s="26" t="n"/>
      <c r="D93" s="26" t="n"/>
      <c r="E93" s="30">
        <f>IF(B93="","",IFERROR(INDEX('Holders'!$B$4:$B$1003,MATCH(B93,'Holders'!$A$4:$A$1003,0)),""))</f>
        <v/>
      </c>
      <c r="F93" s="30">
        <f t="array" ref="F93">IF(B93="","",_xlfn.TEXTJOIN(", ",TRUE,IF(('Companies'!$A$4:$A$63&lt;&gt;"")*(COUNTIFS('Holdings'!$A$4:$A$2503,B93,'Holdings'!$J$4:$J$2503,'Companies'!$A$4:$A$63,'Holdings'!$L$4:$L$2503,"Yes",'Holdings'!$C$4:$C$2503,"&gt;0")&gt;0),'Companies'!$A$4:$A$63,"")))</f>
        <v/>
      </c>
      <c r="G93" s="30">
        <f>IF(A93="","",IF(COUNTIF('People'!$A$4:$A$1003,A93)=0,"Email not on People",IF(COUNTIF('Holders'!$A$4:$A$1003,B93)=0,"Unknown holder ID",IF(COUNTIFS($A$4:$A$1503,A93,$B$4:$B$1503,B93)&gt;1,"Duplicate link",IF(C93="","Missing access","OK")))))</f>
        <v/>
      </c>
    </row>
    <row r="94">
      <c r="A94" s="26" t="n"/>
      <c r="B94" s="26" t="n"/>
      <c r="C94" s="26" t="n"/>
      <c r="D94" s="26" t="n"/>
      <c r="E94" s="30">
        <f>IF(B94="","",IFERROR(INDEX('Holders'!$B$4:$B$1003,MATCH(B94,'Holders'!$A$4:$A$1003,0)),""))</f>
        <v/>
      </c>
      <c r="F94" s="30">
        <f t="array" ref="F94">IF(B94="","",_xlfn.TEXTJOIN(", ",TRUE,IF(('Companies'!$A$4:$A$63&lt;&gt;"")*(COUNTIFS('Holdings'!$A$4:$A$2503,B94,'Holdings'!$J$4:$J$2503,'Companies'!$A$4:$A$63,'Holdings'!$L$4:$L$2503,"Yes",'Holdings'!$C$4:$C$2503,"&gt;0")&gt;0),'Companies'!$A$4:$A$63,"")))</f>
        <v/>
      </c>
      <c r="G94" s="30">
        <f>IF(A94="","",IF(COUNTIF('People'!$A$4:$A$1003,A94)=0,"Email not on People",IF(COUNTIF('Holders'!$A$4:$A$1003,B94)=0,"Unknown holder ID",IF(COUNTIFS($A$4:$A$1503,A94,$B$4:$B$1503,B94)&gt;1,"Duplicate link",IF(C94="","Missing access","OK")))))</f>
        <v/>
      </c>
    </row>
    <row r="95">
      <c r="A95" s="26" t="n"/>
      <c r="B95" s="26" t="n"/>
      <c r="C95" s="26" t="n"/>
      <c r="D95" s="26" t="n"/>
      <c r="E95" s="30">
        <f>IF(B95="","",IFERROR(INDEX('Holders'!$B$4:$B$1003,MATCH(B95,'Holders'!$A$4:$A$1003,0)),""))</f>
        <v/>
      </c>
      <c r="F95" s="30">
        <f t="array" ref="F95">IF(B95="","",_xlfn.TEXTJOIN(", ",TRUE,IF(('Companies'!$A$4:$A$63&lt;&gt;"")*(COUNTIFS('Holdings'!$A$4:$A$2503,B95,'Holdings'!$J$4:$J$2503,'Companies'!$A$4:$A$63,'Holdings'!$L$4:$L$2503,"Yes",'Holdings'!$C$4:$C$2503,"&gt;0")&gt;0),'Companies'!$A$4:$A$63,"")))</f>
        <v/>
      </c>
      <c r="G95" s="30">
        <f>IF(A95="","",IF(COUNTIF('People'!$A$4:$A$1003,A95)=0,"Email not on People",IF(COUNTIF('Holders'!$A$4:$A$1003,B95)=0,"Unknown holder ID",IF(COUNTIFS($A$4:$A$1503,A95,$B$4:$B$1503,B95)&gt;1,"Duplicate link",IF(C95="","Missing access","OK")))))</f>
        <v/>
      </c>
    </row>
    <row r="96">
      <c r="A96" s="26" t="n"/>
      <c r="B96" s="26" t="n"/>
      <c r="C96" s="26" t="n"/>
      <c r="D96" s="26" t="n"/>
      <c r="E96" s="30">
        <f>IF(B96="","",IFERROR(INDEX('Holders'!$B$4:$B$1003,MATCH(B96,'Holders'!$A$4:$A$1003,0)),""))</f>
        <v/>
      </c>
      <c r="F96" s="30">
        <f t="array" ref="F96">IF(B96="","",_xlfn.TEXTJOIN(", ",TRUE,IF(('Companies'!$A$4:$A$63&lt;&gt;"")*(COUNTIFS('Holdings'!$A$4:$A$2503,B96,'Holdings'!$J$4:$J$2503,'Companies'!$A$4:$A$63,'Holdings'!$L$4:$L$2503,"Yes",'Holdings'!$C$4:$C$2503,"&gt;0")&gt;0),'Companies'!$A$4:$A$63,"")))</f>
        <v/>
      </c>
      <c r="G96" s="30">
        <f>IF(A96="","",IF(COUNTIF('People'!$A$4:$A$1003,A96)=0,"Email not on People",IF(COUNTIF('Holders'!$A$4:$A$1003,B96)=0,"Unknown holder ID",IF(COUNTIFS($A$4:$A$1503,A96,$B$4:$B$1503,B96)&gt;1,"Duplicate link",IF(C96="","Missing access","OK")))))</f>
        <v/>
      </c>
    </row>
    <row r="97">
      <c r="A97" s="26" t="n"/>
      <c r="B97" s="26" t="n"/>
      <c r="C97" s="26" t="n"/>
      <c r="D97" s="26" t="n"/>
      <c r="E97" s="30">
        <f>IF(B97="","",IFERROR(INDEX('Holders'!$B$4:$B$1003,MATCH(B97,'Holders'!$A$4:$A$1003,0)),""))</f>
        <v/>
      </c>
      <c r="F97" s="30">
        <f t="array" ref="F97">IF(B97="","",_xlfn.TEXTJOIN(", ",TRUE,IF(('Companies'!$A$4:$A$63&lt;&gt;"")*(COUNTIFS('Holdings'!$A$4:$A$2503,B97,'Holdings'!$J$4:$J$2503,'Companies'!$A$4:$A$63,'Holdings'!$L$4:$L$2503,"Yes",'Holdings'!$C$4:$C$2503,"&gt;0")&gt;0),'Companies'!$A$4:$A$63,"")))</f>
        <v/>
      </c>
      <c r="G97" s="30">
        <f>IF(A97="","",IF(COUNTIF('People'!$A$4:$A$1003,A97)=0,"Email not on People",IF(COUNTIF('Holders'!$A$4:$A$1003,B97)=0,"Unknown holder ID",IF(COUNTIFS($A$4:$A$1503,A97,$B$4:$B$1503,B97)&gt;1,"Duplicate link",IF(C97="","Missing access","OK")))))</f>
        <v/>
      </c>
    </row>
    <row r="98">
      <c r="A98" s="26" t="n"/>
      <c r="B98" s="26" t="n"/>
      <c r="C98" s="26" t="n"/>
      <c r="D98" s="26" t="n"/>
      <c r="E98" s="30">
        <f>IF(B98="","",IFERROR(INDEX('Holders'!$B$4:$B$1003,MATCH(B98,'Holders'!$A$4:$A$1003,0)),""))</f>
        <v/>
      </c>
      <c r="F98" s="30">
        <f t="array" ref="F98">IF(B98="","",_xlfn.TEXTJOIN(", ",TRUE,IF(('Companies'!$A$4:$A$63&lt;&gt;"")*(COUNTIFS('Holdings'!$A$4:$A$2503,B98,'Holdings'!$J$4:$J$2503,'Companies'!$A$4:$A$63,'Holdings'!$L$4:$L$2503,"Yes",'Holdings'!$C$4:$C$2503,"&gt;0")&gt;0),'Companies'!$A$4:$A$63,"")))</f>
        <v/>
      </c>
      <c r="G98" s="30">
        <f>IF(A98="","",IF(COUNTIF('People'!$A$4:$A$1003,A98)=0,"Email not on People",IF(COUNTIF('Holders'!$A$4:$A$1003,B98)=0,"Unknown holder ID",IF(COUNTIFS($A$4:$A$1503,A98,$B$4:$B$1503,B98)&gt;1,"Duplicate link",IF(C98="","Missing access","OK")))))</f>
        <v/>
      </c>
    </row>
    <row r="99">
      <c r="A99" s="26" t="n"/>
      <c r="B99" s="26" t="n"/>
      <c r="C99" s="26" t="n"/>
      <c r="D99" s="26" t="n"/>
      <c r="E99" s="30">
        <f>IF(B99="","",IFERROR(INDEX('Holders'!$B$4:$B$1003,MATCH(B99,'Holders'!$A$4:$A$1003,0)),""))</f>
        <v/>
      </c>
      <c r="F99" s="30">
        <f t="array" ref="F99">IF(B99="","",_xlfn.TEXTJOIN(", ",TRUE,IF(('Companies'!$A$4:$A$63&lt;&gt;"")*(COUNTIFS('Holdings'!$A$4:$A$2503,B99,'Holdings'!$J$4:$J$2503,'Companies'!$A$4:$A$63,'Holdings'!$L$4:$L$2503,"Yes",'Holdings'!$C$4:$C$2503,"&gt;0")&gt;0),'Companies'!$A$4:$A$63,"")))</f>
        <v/>
      </c>
      <c r="G99" s="30">
        <f>IF(A99="","",IF(COUNTIF('People'!$A$4:$A$1003,A99)=0,"Email not on People",IF(COUNTIF('Holders'!$A$4:$A$1003,B99)=0,"Unknown holder ID",IF(COUNTIFS($A$4:$A$1503,A99,$B$4:$B$1503,B99)&gt;1,"Duplicate link",IF(C99="","Missing access","OK")))))</f>
        <v/>
      </c>
    </row>
    <row r="100">
      <c r="A100" s="26" t="n"/>
      <c r="B100" s="26" t="n"/>
      <c r="C100" s="26" t="n"/>
      <c r="D100" s="26" t="n"/>
      <c r="E100" s="30">
        <f>IF(B100="","",IFERROR(INDEX('Holders'!$B$4:$B$1003,MATCH(B100,'Holders'!$A$4:$A$1003,0)),""))</f>
        <v/>
      </c>
      <c r="F100" s="30">
        <f t="array" ref="F100">IF(B100="","",_xlfn.TEXTJOIN(", ",TRUE,IF(('Companies'!$A$4:$A$63&lt;&gt;"")*(COUNTIFS('Holdings'!$A$4:$A$2503,B100,'Holdings'!$J$4:$J$2503,'Companies'!$A$4:$A$63,'Holdings'!$L$4:$L$2503,"Yes",'Holdings'!$C$4:$C$2503,"&gt;0")&gt;0),'Companies'!$A$4:$A$63,"")))</f>
        <v/>
      </c>
      <c r="G100" s="30">
        <f>IF(A100="","",IF(COUNTIF('People'!$A$4:$A$1003,A100)=0,"Email not on People",IF(COUNTIF('Holders'!$A$4:$A$1003,B100)=0,"Unknown holder ID",IF(COUNTIFS($A$4:$A$1503,A100,$B$4:$B$1503,B100)&gt;1,"Duplicate link",IF(C100="","Missing access","OK")))))</f>
        <v/>
      </c>
    </row>
    <row r="101">
      <c r="A101" s="26" t="n"/>
      <c r="B101" s="26" t="n"/>
      <c r="C101" s="26" t="n"/>
      <c r="D101" s="26" t="n"/>
      <c r="E101" s="30">
        <f>IF(B101="","",IFERROR(INDEX('Holders'!$B$4:$B$1003,MATCH(B101,'Holders'!$A$4:$A$1003,0)),""))</f>
        <v/>
      </c>
      <c r="F101" s="30">
        <f t="array" ref="F101">IF(B101="","",_xlfn.TEXTJOIN(", ",TRUE,IF(('Companies'!$A$4:$A$63&lt;&gt;"")*(COUNTIFS('Holdings'!$A$4:$A$2503,B101,'Holdings'!$J$4:$J$2503,'Companies'!$A$4:$A$63,'Holdings'!$L$4:$L$2503,"Yes",'Holdings'!$C$4:$C$2503,"&gt;0")&gt;0),'Companies'!$A$4:$A$63,"")))</f>
        <v/>
      </c>
      <c r="G101" s="30">
        <f>IF(A101="","",IF(COUNTIF('People'!$A$4:$A$1003,A101)=0,"Email not on People",IF(COUNTIF('Holders'!$A$4:$A$1003,B101)=0,"Unknown holder ID",IF(COUNTIFS($A$4:$A$1503,A101,$B$4:$B$1503,B101)&gt;1,"Duplicate link",IF(C101="","Missing access","OK")))))</f>
        <v/>
      </c>
    </row>
    <row r="102">
      <c r="A102" s="26" t="n"/>
      <c r="B102" s="26" t="n"/>
      <c r="C102" s="26" t="n"/>
      <c r="D102" s="26" t="n"/>
      <c r="E102" s="30">
        <f>IF(B102="","",IFERROR(INDEX('Holders'!$B$4:$B$1003,MATCH(B102,'Holders'!$A$4:$A$1003,0)),""))</f>
        <v/>
      </c>
      <c r="F102" s="30">
        <f t="array" ref="F102">IF(B102="","",_xlfn.TEXTJOIN(", ",TRUE,IF(('Companies'!$A$4:$A$63&lt;&gt;"")*(COUNTIFS('Holdings'!$A$4:$A$2503,B102,'Holdings'!$J$4:$J$2503,'Companies'!$A$4:$A$63,'Holdings'!$L$4:$L$2503,"Yes",'Holdings'!$C$4:$C$2503,"&gt;0")&gt;0),'Companies'!$A$4:$A$63,"")))</f>
        <v/>
      </c>
      <c r="G102" s="30">
        <f>IF(A102="","",IF(COUNTIF('People'!$A$4:$A$1003,A102)=0,"Email not on People",IF(COUNTIF('Holders'!$A$4:$A$1003,B102)=0,"Unknown holder ID",IF(COUNTIFS($A$4:$A$1503,A102,$B$4:$B$1503,B102)&gt;1,"Duplicate link",IF(C102="","Missing access","OK")))))</f>
        <v/>
      </c>
    </row>
    <row r="103">
      <c r="A103" s="26" t="n"/>
      <c r="B103" s="26" t="n"/>
      <c r="C103" s="26" t="n"/>
      <c r="D103" s="26" t="n"/>
      <c r="E103" s="30">
        <f>IF(B103="","",IFERROR(INDEX('Holders'!$B$4:$B$1003,MATCH(B103,'Holders'!$A$4:$A$1003,0)),""))</f>
        <v/>
      </c>
      <c r="F103" s="30">
        <f t="array" ref="F103">IF(B103="","",_xlfn.TEXTJOIN(", ",TRUE,IF(('Companies'!$A$4:$A$63&lt;&gt;"")*(COUNTIFS('Holdings'!$A$4:$A$2503,B103,'Holdings'!$J$4:$J$2503,'Companies'!$A$4:$A$63,'Holdings'!$L$4:$L$2503,"Yes",'Holdings'!$C$4:$C$2503,"&gt;0")&gt;0),'Companies'!$A$4:$A$63,"")))</f>
        <v/>
      </c>
      <c r="G103" s="30">
        <f>IF(A103="","",IF(COUNTIF('People'!$A$4:$A$1003,A103)=0,"Email not on People",IF(COUNTIF('Holders'!$A$4:$A$1003,B103)=0,"Unknown holder ID",IF(COUNTIFS($A$4:$A$1503,A103,$B$4:$B$1503,B103)&gt;1,"Duplicate link",IF(C103="","Missing access","OK")))))</f>
        <v/>
      </c>
    </row>
    <row r="104">
      <c r="A104" s="26" t="n"/>
      <c r="B104" s="26" t="n"/>
      <c r="C104" s="26" t="n"/>
      <c r="D104" s="26" t="n"/>
      <c r="E104" s="30">
        <f>IF(B104="","",IFERROR(INDEX('Holders'!$B$4:$B$1003,MATCH(B104,'Holders'!$A$4:$A$1003,0)),""))</f>
        <v/>
      </c>
      <c r="F104" s="30">
        <f t="array" ref="F104">IF(B104="","",_xlfn.TEXTJOIN(", ",TRUE,IF(('Companies'!$A$4:$A$63&lt;&gt;"")*(COUNTIFS('Holdings'!$A$4:$A$2503,B104,'Holdings'!$J$4:$J$2503,'Companies'!$A$4:$A$63,'Holdings'!$L$4:$L$2503,"Yes",'Holdings'!$C$4:$C$2503,"&gt;0")&gt;0),'Companies'!$A$4:$A$63,"")))</f>
        <v/>
      </c>
      <c r="G104" s="30">
        <f>IF(A104="","",IF(COUNTIF('People'!$A$4:$A$1003,A104)=0,"Email not on People",IF(COUNTIF('Holders'!$A$4:$A$1003,B104)=0,"Unknown holder ID",IF(COUNTIFS($A$4:$A$1503,A104,$B$4:$B$1503,B104)&gt;1,"Duplicate link",IF(C104="","Missing access","OK")))))</f>
        <v/>
      </c>
    </row>
    <row r="105">
      <c r="A105" s="26" t="n"/>
      <c r="B105" s="26" t="n"/>
      <c r="C105" s="26" t="n"/>
      <c r="D105" s="26" t="n"/>
      <c r="E105" s="30">
        <f>IF(B105="","",IFERROR(INDEX('Holders'!$B$4:$B$1003,MATCH(B105,'Holders'!$A$4:$A$1003,0)),""))</f>
        <v/>
      </c>
      <c r="F105" s="30">
        <f t="array" ref="F105">IF(B105="","",_xlfn.TEXTJOIN(", ",TRUE,IF(('Companies'!$A$4:$A$63&lt;&gt;"")*(COUNTIFS('Holdings'!$A$4:$A$2503,B105,'Holdings'!$J$4:$J$2503,'Companies'!$A$4:$A$63,'Holdings'!$L$4:$L$2503,"Yes",'Holdings'!$C$4:$C$2503,"&gt;0")&gt;0),'Companies'!$A$4:$A$63,"")))</f>
        <v/>
      </c>
      <c r="G105" s="30">
        <f>IF(A105="","",IF(COUNTIF('People'!$A$4:$A$1003,A105)=0,"Email not on People",IF(COUNTIF('Holders'!$A$4:$A$1003,B105)=0,"Unknown holder ID",IF(COUNTIFS($A$4:$A$1503,A105,$B$4:$B$1503,B105)&gt;1,"Duplicate link",IF(C105="","Missing access","OK")))))</f>
        <v/>
      </c>
    </row>
    <row r="106">
      <c r="A106" s="26" t="n"/>
      <c r="B106" s="26" t="n"/>
      <c r="C106" s="26" t="n"/>
      <c r="D106" s="26" t="n"/>
      <c r="E106" s="30">
        <f>IF(B106="","",IFERROR(INDEX('Holders'!$B$4:$B$1003,MATCH(B106,'Holders'!$A$4:$A$1003,0)),""))</f>
        <v/>
      </c>
      <c r="F106" s="30">
        <f t="array" ref="F106">IF(B106="","",_xlfn.TEXTJOIN(", ",TRUE,IF(('Companies'!$A$4:$A$63&lt;&gt;"")*(COUNTIFS('Holdings'!$A$4:$A$2503,B106,'Holdings'!$J$4:$J$2503,'Companies'!$A$4:$A$63,'Holdings'!$L$4:$L$2503,"Yes",'Holdings'!$C$4:$C$2503,"&gt;0")&gt;0),'Companies'!$A$4:$A$63,"")))</f>
        <v/>
      </c>
      <c r="G106" s="30">
        <f>IF(A106="","",IF(COUNTIF('People'!$A$4:$A$1003,A106)=0,"Email not on People",IF(COUNTIF('Holders'!$A$4:$A$1003,B106)=0,"Unknown holder ID",IF(COUNTIFS($A$4:$A$1503,A106,$B$4:$B$1503,B106)&gt;1,"Duplicate link",IF(C106="","Missing access","OK")))))</f>
        <v/>
      </c>
    </row>
    <row r="107">
      <c r="A107" s="26" t="n"/>
      <c r="B107" s="26" t="n"/>
      <c r="C107" s="26" t="n"/>
      <c r="D107" s="26" t="n"/>
      <c r="E107" s="30">
        <f>IF(B107="","",IFERROR(INDEX('Holders'!$B$4:$B$1003,MATCH(B107,'Holders'!$A$4:$A$1003,0)),""))</f>
        <v/>
      </c>
      <c r="F107" s="30">
        <f t="array" ref="F107">IF(B107="","",_xlfn.TEXTJOIN(", ",TRUE,IF(('Companies'!$A$4:$A$63&lt;&gt;"")*(COUNTIFS('Holdings'!$A$4:$A$2503,B107,'Holdings'!$J$4:$J$2503,'Companies'!$A$4:$A$63,'Holdings'!$L$4:$L$2503,"Yes",'Holdings'!$C$4:$C$2503,"&gt;0")&gt;0),'Companies'!$A$4:$A$63,"")))</f>
        <v/>
      </c>
      <c r="G107" s="30">
        <f>IF(A107="","",IF(COUNTIF('People'!$A$4:$A$1003,A107)=0,"Email not on People",IF(COUNTIF('Holders'!$A$4:$A$1003,B107)=0,"Unknown holder ID",IF(COUNTIFS($A$4:$A$1503,A107,$B$4:$B$1503,B107)&gt;1,"Duplicate link",IF(C107="","Missing access","OK")))))</f>
        <v/>
      </c>
    </row>
    <row r="108">
      <c r="A108" s="26" t="n"/>
      <c r="B108" s="26" t="n"/>
      <c r="C108" s="26" t="n"/>
      <c r="D108" s="26" t="n"/>
      <c r="E108" s="30">
        <f>IF(B108="","",IFERROR(INDEX('Holders'!$B$4:$B$1003,MATCH(B108,'Holders'!$A$4:$A$1003,0)),""))</f>
        <v/>
      </c>
      <c r="F108" s="30">
        <f t="array" ref="F108">IF(B108="","",_xlfn.TEXTJOIN(", ",TRUE,IF(('Companies'!$A$4:$A$63&lt;&gt;"")*(COUNTIFS('Holdings'!$A$4:$A$2503,B108,'Holdings'!$J$4:$J$2503,'Companies'!$A$4:$A$63,'Holdings'!$L$4:$L$2503,"Yes",'Holdings'!$C$4:$C$2503,"&gt;0")&gt;0),'Companies'!$A$4:$A$63,"")))</f>
        <v/>
      </c>
      <c r="G108" s="30">
        <f>IF(A108="","",IF(COUNTIF('People'!$A$4:$A$1003,A108)=0,"Email not on People",IF(COUNTIF('Holders'!$A$4:$A$1003,B108)=0,"Unknown holder ID",IF(COUNTIFS($A$4:$A$1503,A108,$B$4:$B$1503,B108)&gt;1,"Duplicate link",IF(C108="","Missing access","OK")))))</f>
        <v/>
      </c>
    </row>
    <row r="109">
      <c r="A109" s="26" t="n"/>
      <c r="B109" s="26" t="n"/>
      <c r="C109" s="26" t="n"/>
      <c r="D109" s="26" t="n"/>
      <c r="E109" s="30">
        <f>IF(B109="","",IFERROR(INDEX('Holders'!$B$4:$B$1003,MATCH(B109,'Holders'!$A$4:$A$1003,0)),""))</f>
        <v/>
      </c>
      <c r="F109" s="30">
        <f t="array" ref="F109">IF(B109="","",_xlfn.TEXTJOIN(", ",TRUE,IF(('Companies'!$A$4:$A$63&lt;&gt;"")*(COUNTIFS('Holdings'!$A$4:$A$2503,B109,'Holdings'!$J$4:$J$2503,'Companies'!$A$4:$A$63,'Holdings'!$L$4:$L$2503,"Yes",'Holdings'!$C$4:$C$2503,"&gt;0")&gt;0),'Companies'!$A$4:$A$63,"")))</f>
        <v/>
      </c>
      <c r="G109" s="30">
        <f>IF(A109="","",IF(COUNTIF('People'!$A$4:$A$1003,A109)=0,"Email not on People",IF(COUNTIF('Holders'!$A$4:$A$1003,B109)=0,"Unknown holder ID",IF(COUNTIFS($A$4:$A$1503,A109,$B$4:$B$1503,B109)&gt;1,"Duplicate link",IF(C109="","Missing access","OK")))))</f>
        <v/>
      </c>
    </row>
    <row r="110">
      <c r="A110" s="26" t="n"/>
      <c r="B110" s="26" t="n"/>
      <c r="C110" s="26" t="n"/>
      <c r="D110" s="26" t="n"/>
      <c r="E110" s="30">
        <f>IF(B110="","",IFERROR(INDEX('Holders'!$B$4:$B$1003,MATCH(B110,'Holders'!$A$4:$A$1003,0)),""))</f>
        <v/>
      </c>
      <c r="F110" s="30">
        <f t="array" ref="F110">IF(B110="","",_xlfn.TEXTJOIN(", ",TRUE,IF(('Companies'!$A$4:$A$63&lt;&gt;"")*(COUNTIFS('Holdings'!$A$4:$A$2503,B110,'Holdings'!$J$4:$J$2503,'Companies'!$A$4:$A$63,'Holdings'!$L$4:$L$2503,"Yes",'Holdings'!$C$4:$C$2503,"&gt;0")&gt;0),'Companies'!$A$4:$A$63,"")))</f>
        <v/>
      </c>
      <c r="G110" s="30">
        <f>IF(A110="","",IF(COUNTIF('People'!$A$4:$A$1003,A110)=0,"Email not on People",IF(COUNTIF('Holders'!$A$4:$A$1003,B110)=0,"Unknown holder ID",IF(COUNTIFS($A$4:$A$1503,A110,$B$4:$B$1503,B110)&gt;1,"Duplicate link",IF(C110="","Missing access","OK")))))</f>
        <v/>
      </c>
    </row>
    <row r="111">
      <c r="A111" s="26" t="n"/>
      <c r="B111" s="26" t="n"/>
      <c r="C111" s="26" t="n"/>
      <c r="D111" s="26" t="n"/>
      <c r="E111" s="30">
        <f>IF(B111="","",IFERROR(INDEX('Holders'!$B$4:$B$1003,MATCH(B111,'Holders'!$A$4:$A$1003,0)),""))</f>
        <v/>
      </c>
      <c r="F111" s="30">
        <f t="array" ref="F111">IF(B111="","",_xlfn.TEXTJOIN(", ",TRUE,IF(('Companies'!$A$4:$A$63&lt;&gt;"")*(COUNTIFS('Holdings'!$A$4:$A$2503,B111,'Holdings'!$J$4:$J$2503,'Companies'!$A$4:$A$63,'Holdings'!$L$4:$L$2503,"Yes",'Holdings'!$C$4:$C$2503,"&gt;0")&gt;0),'Companies'!$A$4:$A$63,"")))</f>
        <v/>
      </c>
      <c r="G111" s="30">
        <f>IF(A111="","",IF(COUNTIF('People'!$A$4:$A$1003,A111)=0,"Email not on People",IF(COUNTIF('Holders'!$A$4:$A$1003,B111)=0,"Unknown holder ID",IF(COUNTIFS($A$4:$A$1503,A111,$B$4:$B$1503,B111)&gt;1,"Duplicate link",IF(C111="","Missing access","OK")))))</f>
        <v/>
      </c>
    </row>
    <row r="112">
      <c r="A112" s="26" t="n"/>
      <c r="B112" s="26" t="n"/>
      <c r="C112" s="26" t="n"/>
      <c r="D112" s="26" t="n"/>
      <c r="E112" s="30">
        <f>IF(B112="","",IFERROR(INDEX('Holders'!$B$4:$B$1003,MATCH(B112,'Holders'!$A$4:$A$1003,0)),""))</f>
        <v/>
      </c>
      <c r="F112" s="30">
        <f t="array" ref="F112">IF(B112="","",_xlfn.TEXTJOIN(", ",TRUE,IF(('Companies'!$A$4:$A$63&lt;&gt;"")*(COUNTIFS('Holdings'!$A$4:$A$2503,B112,'Holdings'!$J$4:$J$2503,'Companies'!$A$4:$A$63,'Holdings'!$L$4:$L$2503,"Yes",'Holdings'!$C$4:$C$2503,"&gt;0")&gt;0),'Companies'!$A$4:$A$63,"")))</f>
        <v/>
      </c>
      <c r="G112" s="30">
        <f>IF(A112="","",IF(COUNTIF('People'!$A$4:$A$1003,A112)=0,"Email not on People",IF(COUNTIF('Holders'!$A$4:$A$1003,B112)=0,"Unknown holder ID",IF(COUNTIFS($A$4:$A$1503,A112,$B$4:$B$1503,B112)&gt;1,"Duplicate link",IF(C112="","Missing access","OK")))))</f>
        <v/>
      </c>
    </row>
    <row r="113">
      <c r="A113" s="26" t="n"/>
      <c r="B113" s="26" t="n"/>
      <c r="C113" s="26" t="n"/>
      <c r="D113" s="26" t="n"/>
      <c r="E113" s="30">
        <f>IF(B113="","",IFERROR(INDEX('Holders'!$B$4:$B$1003,MATCH(B113,'Holders'!$A$4:$A$1003,0)),""))</f>
        <v/>
      </c>
      <c r="F113" s="30">
        <f t="array" ref="F113">IF(B113="","",_xlfn.TEXTJOIN(", ",TRUE,IF(('Companies'!$A$4:$A$63&lt;&gt;"")*(COUNTIFS('Holdings'!$A$4:$A$2503,B113,'Holdings'!$J$4:$J$2503,'Companies'!$A$4:$A$63,'Holdings'!$L$4:$L$2503,"Yes",'Holdings'!$C$4:$C$2503,"&gt;0")&gt;0),'Companies'!$A$4:$A$63,"")))</f>
        <v/>
      </c>
      <c r="G113" s="30">
        <f>IF(A113="","",IF(COUNTIF('People'!$A$4:$A$1003,A113)=0,"Email not on People",IF(COUNTIF('Holders'!$A$4:$A$1003,B113)=0,"Unknown holder ID",IF(COUNTIFS($A$4:$A$1503,A113,$B$4:$B$1503,B113)&gt;1,"Duplicate link",IF(C113="","Missing access","OK")))))</f>
        <v/>
      </c>
    </row>
    <row r="114">
      <c r="A114" s="26" t="n"/>
      <c r="B114" s="26" t="n"/>
      <c r="C114" s="26" t="n"/>
      <c r="D114" s="26" t="n"/>
      <c r="E114" s="30">
        <f>IF(B114="","",IFERROR(INDEX('Holders'!$B$4:$B$1003,MATCH(B114,'Holders'!$A$4:$A$1003,0)),""))</f>
        <v/>
      </c>
      <c r="F114" s="30">
        <f t="array" ref="F114">IF(B114="","",_xlfn.TEXTJOIN(", ",TRUE,IF(('Companies'!$A$4:$A$63&lt;&gt;"")*(COUNTIFS('Holdings'!$A$4:$A$2503,B114,'Holdings'!$J$4:$J$2503,'Companies'!$A$4:$A$63,'Holdings'!$L$4:$L$2503,"Yes",'Holdings'!$C$4:$C$2503,"&gt;0")&gt;0),'Companies'!$A$4:$A$63,"")))</f>
        <v/>
      </c>
      <c r="G114" s="30">
        <f>IF(A114="","",IF(COUNTIF('People'!$A$4:$A$1003,A114)=0,"Email not on People",IF(COUNTIF('Holders'!$A$4:$A$1003,B114)=0,"Unknown holder ID",IF(COUNTIFS($A$4:$A$1503,A114,$B$4:$B$1503,B114)&gt;1,"Duplicate link",IF(C114="","Missing access","OK")))))</f>
        <v/>
      </c>
    </row>
    <row r="115">
      <c r="A115" s="26" t="n"/>
      <c r="B115" s="26" t="n"/>
      <c r="C115" s="26" t="n"/>
      <c r="D115" s="26" t="n"/>
      <c r="E115" s="30">
        <f>IF(B115="","",IFERROR(INDEX('Holders'!$B$4:$B$1003,MATCH(B115,'Holders'!$A$4:$A$1003,0)),""))</f>
        <v/>
      </c>
      <c r="F115" s="30">
        <f t="array" ref="F115">IF(B115="","",_xlfn.TEXTJOIN(", ",TRUE,IF(('Companies'!$A$4:$A$63&lt;&gt;"")*(COUNTIFS('Holdings'!$A$4:$A$2503,B115,'Holdings'!$J$4:$J$2503,'Companies'!$A$4:$A$63,'Holdings'!$L$4:$L$2503,"Yes",'Holdings'!$C$4:$C$2503,"&gt;0")&gt;0),'Companies'!$A$4:$A$63,"")))</f>
        <v/>
      </c>
      <c r="G115" s="30">
        <f>IF(A115="","",IF(COUNTIF('People'!$A$4:$A$1003,A115)=0,"Email not on People",IF(COUNTIF('Holders'!$A$4:$A$1003,B115)=0,"Unknown holder ID",IF(COUNTIFS($A$4:$A$1503,A115,$B$4:$B$1503,B115)&gt;1,"Duplicate link",IF(C115="","Missing access","OK")))))</f>
        <v/>
      </c>
    </row>
    <row r="116">
      <c r="A116" s="26" t="n"/>
      <c r="B116" s="26" t="n"/>
      <c r="C116" s="26" t="n"/>
      <c r="D116" s="26" t="n"/>
      <c r="E116" s="30">
        <f>IF(B116="","",IFERROR(INDEX('Holders'!$B$4:$B$1003,MATCH(B116,'Holders'!$A$4:$A$1003,0)),""))</f>
        <v/>
      </c>
      <c r="F116" s="30">
        <f t="array" ref="F116">IF(B116="","",_xlfn.TEXTJOIN(", ",TRUE,IF(('Companies'!$A$4:$A$63&lt;&gt;"")*(COUNTIFS('Holdings'!$A$4:$A$2503,B116,'Holdings'!$J$4:$J$2503,'Companies'!$A$4:$A$63,'Holdings'!$L$4:$L$2503,"Yes",'Holdings'!$C$4:$C$2503,"&gt;0")&gt;0),'Companies'!$A$4:$A$63,"")))</f>
        <v/>
      </c>
      <c r="G116" s="30">
        <f>IF(A116="","",IF(COUNTIF('People'!$A$4:$A$1003,A116)=0,"Email not on People",IF(COUNTIF('Holders'!$A$4:$A$1003,B116)=0,"Unknown holder ID",IF(COUNTIFS($A$4:$A$1503,A116,$B$4:$B$1503,B116)&gt;1,"Duplicate link",IF(C116="","Missing access","OK")))))</f>
        <v/>
      </c>
    </row>
    <row r="117">
      <c r="A117" s="26" t="n"/>
      <c r="B117" s="26" t="n"/>
      <c r="C117" s="26" t="n"/>
      <c r="D117" s="26" t="n"/>
      <c r="E117" s="30">
        <f>IF(B117="","",IFERROR(INDEX('Holders'!$B$4:$B$1003,MATCH(B117,'Holders'!$A$4:$A$1003,0)),""))</f>
        <v/>
      </c>
      <c r="F117" s="30">
        <f t="array" ref="F117">IF(B117="","",_xlfn.TEXTJOIN(", ",TRUE,IF(('Companies'!$A$4:$A$63&lt;&gt;"")*(COUNTIFS('Holdings'!$A$4:$A$2503,B117,'Holdings'!$J$4:$J$2503,'Companies'!$A$4:$A$63,'Holdings'!$L$4:$L$2503,"Yes",'Holdings'!$C$4:$C$2503,"&gt;0")&gt;0),'Companies'!$A$4:$A$63,"")))</f>
        <v/>
      </c>
      <c r="G117" s="30">
        <f>IF(A117="","",IF(COUNTIF('People'!$A$4:$A$1003,A117)=0,"Email not on People",IF(COUNTIF('Holders'!$A$4:$A$1003,B117)=0,"Unknown holder ID",IF(COUNTIFS($A$4:$A$1503,A117,$B$4:$B$1503,B117)&gt;1,"Duplicate link",IF(C117="","Missing access","OK")))))</f>
        <v/>
      </c>
    </row>
    <row r="118">
      <c r="A118" s="26" t="n"/>
      <c r="B118" s="26" t="n"/>
      <c r="C118" s="26" t="n"/>
      <c r="D118" s="26" t="n"/>
      <c r="E118" s="30">
        <f>IF(B118="","",IFERROR(INDEX('Holders'!$B$4:$B$1003,MATCH(B118,'Holders'!$A$4:$A$1003,0)),""))</f>
        <v/>
      </c>
      <c r="F118" s="30">
        <f t="array" ref="F118">IF(B118="","",_xlfn.TEXTJOIN(", ",TRUE,IF(('Companies'!$A$4:$A$63&lt;&gt;"")*(COUNTIFS('Holdings'!$A$4:$A$2503,B118,'Holdings'!$J$4:$J$2503,'Companies'!$A$4:$A$63,'Holdings'!$L$4:$L$2503,"Yes",'Holdings'!$C$4:$C$2503,"&gt;0")&gt;0),'Companies'!$A$4:$A$63,"")))</f>
        <v/>
      </c>
      <c r="G118" s="30">
        <f>IF(A118="","",IF(COUNTIF('People'!$A$4:$A$1003,A118)=0,"Email not on People",IF(COUNTIF('Holders'!$A$4:$A$1003,B118)=0,"Unknown holder ID",IF(COUNTIFS($A$4:$A$1503,A118,$B$4:$B$1503,B118)&gt;1,"Duplicate link",IF(C118="","Missing access","OK")))))</f>
        <v/>
      </c>
    </row>
    <row r="119">
      <c r="A119" s="26" t="n"/>
      <c r="B119" s="26" t="n"/>
      <c r="C119" s="26" t="n"/>
      <c r="D119" s="26" t="n"/>
      <c r="E119" s="30">
        <f>IF(B119="","",IFERROR(INDEX('Holders'!$B$4:$B$1003,MATCH(B119,'Holders'!$A$4:$A$1003,0)),""))</f>
        <v/>
      </c>
      <c r="F119" s="30">
        <f t="array" ref="F119">IF(B119="","",_xlfn.TEXTJOIN(", ",TRUE,IF(('Companies'!$A$4:$A$63&lt;&gt;"")*(COUNTIFS('Holdings'!$A$4:$A$2503,B119,'Holdings'!$J$4:$J$2503,'Companies'!$A$4:$A$63,'Holdings'!$L$4:$L$2503,"Yes",'Holdings'!$C$4:$C$2503,"&gt;0")&gt;0),'Companies'!$A$4:$A$63,"")))</f>
        <v/>
      </c>
      <c r="G119" s="30">
        <f>IF(A119="","",IF(COUNTIF('People'!$A$4:$A$1003,A119)=0,"Email not on People",IF(COUNTIF('Holders'!$A$4:$A$1003,B119)=0,"Unknown holder ID",IF(COUNTIFS($A$4:$A$1503,A119,$B$4:$B$1503,B119)&gt;1,"Duplicate link",IF(C119="","Missing access","OK")))))</f>
        <v/>
      </c>
    </row>
    <row r="120">
      <c r="A120" s="26" t="n"/>
      <c r="B120" s="26" t="n"/>
      <c r="C120" s="26" t="n"/>
      <c r="D120" s="26" t="n"/>
      <c r="E120" s="30">
        <f>IF(B120="","",IFERROR(INDEX('Holders'!$B$4:$B$1003,MATCH(B120,'Holders'!$A$4:$A$1003,0)),""))</f>
        <v/>
      </c>
      <c r="F120" s="30">
        <f t="array" ref="F120">IF(B120="","",_xlfn.TEXTJOIN(", ",TRUE,IF(('Companies'!$A$4:$A$63&lt;&gt;"")*(COUNTIFS('Holdings'!$A$4:$A$2503,B120,'Holdings'!$J$4:$J$2503,'Companies'!$A$4:$A$63,'Holdings'!$L$4:$L$2503,"Yes",'Holdings'!$C$4:$C$2503,"&gt;0")&gt;0),'Companies'!$A$4:$A$63,"")))</f>
        <v/>
      </c>
      <c r="G120" s="30">
        <f>IF(A120="","",IF(COUNTIF('People'!$A$4:$A$1003,A120)=0,"Email not on People",IF(COUNTIF('Holders'!$A$4:$A$1003,B120)=0,"Unknown holder ID",IF(COUNTIFS($A$4:$A$1503,A120,$B$4:$B$1503,B120)&gt;1,"Duplicate link",IF(C120="","Missing access","OK")))))</f>
        <v/>
      </c>
    </row>
    <row r="121">
      <c r="A121" s="26" t="n"/>
      <c r="B121" s="26" t="n"/>
      <c r="C121" s="26" t="n"/>
      <c r="D121" s="26" t="n"/>
      <c r="E121" s="30">
        <f>IF(B121="","",IFERROR(INDEX('Holders'!$B$4:$B$1003,MATCH(B121,'Holders'!$A$4:$A$1003,0)),""))</f>
        <v/>
      </c>
      <c r="F121" s="30">
        <f t="array" ref="F121">IF(B121="","",_xlfn.TEXTJOIN(", ",TRUE,IF(('Companies'!$A$4:$A$63&lt;&gt;"")*(COUNTIFS('Holdings'!$A$4:$A$2503,B121,'Holdings'!$J$4:$J$2503,'Companies'!$A$4:$A$63,'Holdings'!$L$4:$L$2503,"Yes",'Holdings'!$C$4:$C$2503,"&gt;0")&gt;0),'Companies'!$A$4:$A$63,"")))</f>
        <v/>
      </c>
      <c r="G121" s="30">
        <f>IF(A121="","",IF(COUNTIF('People'!$A$4:$A$1003,A121)=0,"Email not on People",IF(COUNTIF('Holders'!$A$4:$A$1003,B121)=0,"Unknown holder ID",IF(COUNTIFS($A$4:$A$1503,A121,$B$4:$B$1503,B121)&gt;1,"Duplicate link",IF(C121="","Missing access","OK")))))</f>
        <v/>
      </c>
    </row>
    <row r="122">
      <c r="A122" s="26" t="n"/>
      <c r="B122" s="26" t="n"/>
      <c r="C122" s="26" t="n"/>
      <c r="D122" s="26" t="n"/>
      <c r="E122" s="30">
        <f>IF(B122="","",IFERROR(INDEX('Holders'!$B$4:$B$1003,MATCH(B122,'Holders'!$A$4:$A$1003,0)),""))</f>
        <v/>
      </c>
      <c r="F122" s="30">
        <f t="array" ref="F122">IF(B122="","",_xlfn.TEXTJOIN(", ",TRUE,IF(('Companies'!$A$4:$A$63&lt;&gt;"")*(COUNTIFS('Holdings'!$A$4:$A$2503,B122,'Holdings'!$J$4:$J$2503,'Companies'!$A$4:$A$63,'Holdings'!$L$4:$L$2503,"Yes",'Holdings'!$C$4:$C$2503,"&gt;0")&gt;0),'Companies'!$A$4:$A$63,"")))</f>
        <v/>
      </c>
      <c r="G122" s="30">
        <f>IF(A122="","",IF(COUNTIF('People'!$A$4:$A$1003,A122)=0,"Email not on People",IF(COUNTIF('Holders'!$A$4:$A$1003,B122)=0,"Unknown holder ID",IF(COUNTIFS($A$4:$A$1503,A122,$B$4:$B$1503,B122)&gt;1,"Duplicate link",IF(C122="","Missing access","OK")))))</f>
        <v/>
      </c>
    </row>
    <row r="123">
      <c r="A123" s="26" t="n"/>
      <c r="B123" s="26" t="n"/>
      <c r="C123" s="26" t="n"/>
      <c r="D123" s="26" t="n"/>
      <c r="E123" s="30">
        <f>IF(B123="","",IFERROR(INDEX('Holders'!$B$4:$B$1003,MATCH(B123,'Holders'!$A$4:$A$1003,0)),""))</f>
        <v/>
      </c>
      <c r="F123" s="30">
        <f t="array" ref="F123">IF(B123="","",_xlfn.TEXTJOIN(", ",TRUE,IF(('Companies'!$A$4:$A$63&lt;&gt;"")*(COUNTIFS('Holdings'!$A$4:$A$2503,B123,'Holdings'!$J$4:$J$2503,'Companies'!$A$4:$A$63,'Holdings'!$L$4:$L$2503,"Yes",'Holdings'!$C$4:$C$2503,"&gt;0")&gt;0),'Companies'!$A$4:$A$63,"")))</f>
        <v/>
      </c>
      <c r="G123" s="30">
        <f>IF(A123="","",IF(COUNTIF('People'!$A$4:$A$1003,A123)=0,"Email not on People",IF(COUNTIF('Holders'!$A$4:$A$1003,B123)=0,"Unknown holder ID",IF(COUNTIFS($A$4:$A$1503,A123,$B$4:$B$1503,B123)&gt;1,"Duplicate link",IF(C123="","Missing access","OK")))))</f>
        <v/>
      </c>
    </row>
    <row r="124">
      <c r="A124" s="26" t="n"/>
      <c r="B124" s="26" t="n"/>
      <c r="C124" s="26" t="n"/>
      <c r="D124" s="26" t="n"/>
      <c r="E124" s="30">
        <f>IF(B124="","",IFERROR(INDEX('Holders'!$B$4:$B$1003,MATCH(B124,'Holders'!$A$4:$A$1003,0)),""))</f>
        <v/>
      </c>
      <c r="F124" s="30">
        <f t="array" ref="F124">IF(B124="","",_xlfn.TEXTJOIN(", ",TRUE,IF(('Companies'!$A$4:$A$63&lt;&gt;"")*(COUNTIFS('Holdings'!$A$4:$A$2503,B124,'Holdings'!$J$4:$J$2503,'Companies'!$A$4:$A$63,'Holdings'!$L$4:$L$2503,"Yes",'Holdings'!$C$4:$C$2503,"&gt;0")&gt;0),'Companies'!$A$4:$A$63,"")))</f>
        <v/>
      </c>
      <c r="G124" s="30">
        <f>IF(A124="","",IF(COUNTIF('People'!$A$4:$A$1003,A124)=0,"Email not on People",IF(COUNTIF('Holders'!$A$4:$A$1003,B124)=0,"Unknown holder ID",IF(COUNTIFS($A$4:$A$1503,A124,$B$4:$B$1503,B124)&gt;1,"Duplicate link",IF(C124="","Missing access","OK")))))</f>
        <v/>
      </c>
    </row>
    <row r="125">
      <c r="A125" s="26" t="n"/>
      <c r="B125" s="26" t="n"/>
      <c r="C125" s="26" t="n"/>
      <c r="D125" s="26" t="n"/>
      <c r="E125" s="30">
        <f>IF(B125="","",IFERROR(INDEX('Holders'!$B$4:$B$1003,MATCH(B125,'Holders'!$A$4:$A$1003,0)),""))</f>
        <v/>
      </c>
      <c r="F125" s="30">
        <f t="array" ref="F125">IF(B125="","",_xlfn.TEXTJOIN(", ",TRUE,IF(('Companies'!$A$4:$A$63&lt;&gt;"")*(COUNTIFS('Holdings'!$A$4:$A$2503,B125,'Holdings'!$J$4:$J$2503,'Companies'!$A$4:$A$63,'Holdings'!$L$4:$L$2503,"Yes",'Holdings'!$C$4:$C$2503,"&gt;0")&gt;0),'Companies'!$A$4:$A$63,"")))</f>
        <v/>
      </c>
      <c r="G125" s="30">
        <f>IF(A125="","",IF(COUNTIF('People'!$A$4:$A$1003,A125)=0,"Email not on People",IF(COUNTIF('Holders'!$A$4:$A$1003,B125)=0,"Unknown holder ID",IF(COUNTIFS($A$4:$A$1503,A125,$B$4:$B$1503,B125)&gt;1,"Duplicate link",IF(C125="","Missing access","OK")))))</f>
        <v/>
      </c>
    </row>
    <row r="126">
      <c r="A126" s="26" t="n"/>
      <c r="B126" s="26" t="n"/>
      <c r="C126" s="26" t="n"/>
      <c r="D126" s="26" t="n"/>
      <c r="E126" s="30">
        <f>IF(B126="","",IFERROR(INDEX('Holders'!$B$4:$B$1003,MATCH(B126,'Holders'!$A$4:$A$1003,0)),""))</f>
        <v/>
      </c>
      <c r="F126" s="30">
        <f t="array" ref="F126">IF(B126="","",_xlfn.TEXTJOIN(", ",TRUE,IF(('Companies'!$A$4:$A$63&lt;&gt;"")*(COUNTIFS('Holdings'!$A$4:$A$2503,B126,'Holdings'!$J$4:$J$2503,'Companies'!$A$4:$A$63,'Holdings'!$L$4:$L$2503,"Yes",'Holdings'!$C$4:$C$2503,"&gt;0")&gt;0),'Companies'!$A$4:$A$63,"")))</f>
        <v/>
      </c>
      <c r="G126" s="30">
        <f>IF(A126="","",IF(COUNTIF('People'!$A$4:$A$1003,A126)=0,"Email not on People",IF(COUNTIF('Holders'!$A$4:$A$1003,B126)=0,"Unknown holder ID",IF(COUNTIFS($A$4:$A$1503,A126,$B$4:$B$1503,B126)&gt;1,"Duplicate link",IF(C126="","Missing access","OK")))))</f>
        <v/>
      </c>
    </row>
    <row r="127">
      <c r="A127" s="26" t="n"/>
      <c r="B127" s="26" t="n"/>
      <c r="C127" s="26" t="n"/>
      <c r="D127" s="26" t="n"/>
      <c r="E127" s="30">
        <f>IF(B127="","",IFERROR(INDEX('Holders'!$B$4:$B$1003,MATCH(B127,'Holders'!$A$4:$A$1003,0)),""))</f>
        <v/>
      </c>
      <c r="F127" s="30">
        <f t="array" ref="F127">IF(B127="","",_xlfn.TEXTJOIN(", ",TRUE,IF(('Companies'!$A$4:$A$63&lt;&gt;"")*(COUNTIFS('Holdings'!$A$4:$A$2503,B127,'Holdings'!$J$4:$J$2503,'Companies'!$A$4:$A$63,'Holdings'!$L$4:$L$2503,"Yes",'Holdings'!$C$4:$C$2503,"&gt;0")&gt;0),'Companies'!$A$4:$A$63,"")))</f>
        <v/>
      </c>
      <c r="G127" s="30">
        <f>IF(A127="","",IF(COUNTIF('People'!$A$4:$A$1003,A127)=0,"Email not on People",IF(COUNTIF('Holders'!$A$4:$A$1003,B127)=0,"Unknown holder ID",IF(COUNTIFS($A$4:$A$1503,A127,$B$4:$B$1503,B127)&gt;1,"Duplicate link",IF(C127="","Missing access","OK")))))</f>
        <v/>
      </c>
    </row>
    <row r="128">
      <c r="A128" s="26" t="n"/>
      <c r="B128" s="26" t="n"/>
      <c r="C128" s="26" t="n"/>
      <c r="D128" s="26" t="n"/>
      <c r="E128" s="30">
        <f>IF(B128="","",IFERROR(INDEX('Holders'!$B$4:$B$1003,MATCH(B128,'Holders'!$A$4:$A$1003,0)),""))</f>
        <v/>
      </c>
      <c r="F128" s="30">
        <f t="array" ref="F128">IF(B128="","",_xlfn.TEXTJOIN(", ",TRUE,IF(('Companies'!$A$4:$A$63&lt;&gt;"")*(COUNTIFS('Holdings'!$A$4:$A$2503,B128,'Holdings'!$J$4:$J$2503,'Companies'!$A$4:$A$63,'Holdings'!$L$4:$L$2503,"Yes",'Holdings'!$C$4:$C$2503,"&gt;0")&gt;0),'Companies'!$A$4:$A$63,"")))</f>
        <v/>
      </c>
      <c r="G128" s="30">
        <f>IF(A128="","",IF(COUNTIF('People'!$A$4:$A$1003,A128)=0,"Email not on People",IF(COUNTIF('Holders'!$A$4:$A$1003,B128)=0,"Unknown holder ID",IF(COUNTIFS($A$4:$A$1503,A128,$B$4:$B$1503,B128)&gt;1,"Duplicate link",IF(C128="","Missing access","OK")))))</f>
        <v/>
      </c>
    </row>
    <row r="129">
      <c r="A129" s="26" t="n"/>
      <c r="B129" s="26" t="n"/>
      <c r="C129" s="26" t="n"/>
      <c r="D129" s="26" t="n"/>
      <c r="E129" s="30">
        <f>IF(B129="","",IFERROR(INDEX('Holders'!$B$4:$B$1003,MATCH(B129,'Holders'!$A$4:$A$1003,0)),""))</f>
        <v/>
      </c>
      <c r="F129" s="30">
        <f t="array" ref="F129">IF(B129="","",_xlfn.TEXTJOIN(", ",TRUE,IF(('Companies'!$A$4:$A$63&lt;&gt;"")*(COUNTIFS('Holdings'!$A$4:$A$2503,B129,'Holdings'!$J$4:$J$2503,'Companies'!$A$4:$A$63,'Holdings'!$L$4:$L$2503,"Yes",'Holdings'!$C$4:$C$2503,"&gt;0")&gt;0),'Companies'!$A$4:$A$63,"")))</f>
        <v/>
      </c>
      <c r="G129" s="30">
        <f>IF(A129="","",IF(COUNTIF('People'!$A$4:$A$1003,A129)=0,"Email not on People",IF(COUNTIF('Holders'!$A$4:$A$1003,B129)=0,"Unknown holder ID",IF(COUNTIFS($A$4:$A$1503,A129,$B$4:$B$1503,B129)&gt;1,"Duplicate link",IF(C129="","Missing access","OK")))))</f>
        <v/>
      </c>
    </row>
    <row r="130">
      <c r="A130" s="26" t="n"/>
      <c r="B130" s="26" t="n"/>
      <c r="C130" s="26" t="n"/>
      <c r="D130" s="26" t="n"/>
      <c r="E130" s="30">
        <f>IF(B130="","",IFERROR(INDEX('Holders'!$B$4:$B$1003,MATCH(B130,'Holders'!$A$4:$A$1003,0)),""))</f>
        <v/>
      </c>
      <c r="F130" s="30">
        <f t="array" ref="F130">IF(B130="","",_xlfn.TEXTJOIN(", ",TRUE,IF(('Companies'!$A$4:$A$63&lt;&gt;"")*(COUNTIFS('Holdings'!$A$4:$A$2503,B130,'Holdings'!$J$4:$J$2503,'Companies'!$A$4:$A$63,'Holdings'!$L$4:$L$2503,"Yes",'Holdings'!$C$4:$C$2503,"&gt;0")&gt;0),'Companies'!$A$4:$A$63,"")))</f>
        <v/>
      </c>
      <c r="G130" s="30">
        <f>IF(A130="","",IF(COUNTIF('People'!$A$4:$A$1003,A130)=0,"Email not on People",IF(COUNTIF('Holders'!$A$4:$A$1003,B130)=0,"Unknown holder ID",IF(COUNTIFS($A$4:$A$1503,A130,$B$4:$B$1503,B130)&gt;1,"Duplicate link",IF(C130="","Missing access","OK")))))</f>
        <v/>
      </c>
    </row>
    <row r="131">
      <c r="A131" s="26" t="n"/>
      <c r="B131" s="26" t="n"/>
      <c r="C131" s="26" t="n"/>
      <c r="D131" s="26" t="n"/>
      <c r="E131" s="30">
        <f>IF(B131="","",IFERROR(INDEX('Holders'!$B$4:$B$1003,MATCH(B131,'Holders'!$A$4:$A$1003,0)),""))</f>
        <v/>
      </c>
      <c r="F131" s="30">
        <f t="array" ref="F131">IF(B131="","",_xlfn.TEXTJOIN(", ",TRUE,IF(('Companies'!$A$4:$A$63&lt;&gt;"")*(COUNTIFS('Holdings'!$A$4:$A$2503,B131,'Holdings'!$J$4:$J$2503,'Companies'!$A$4:$A$63,'Holdings'!$L$4:$L$2503,"Yes",'Holdings'!$C$4:$C$2503,"&gt;0")&gt;0),'Companies'!$A$4:$A$63,"")))</f>
        <v/>
      </c>
      <c r="G131" s="30">
        <f>IF(A131="","",IF(COUNTIF('People'!$A$4:$A$1003,A131)=0,"Email not on People",IF(COUNTIF('Holders'!$A$4:$A$1003,B131)=0,"Unknown holder ID",IF(COUNTIFS($A$4:$A$1503,A131,$B$4:$B$1503,B131)&gt;1,"Duplicate link",IF(C131="","Missing access","OK")))))</f>
        <v/>
      </c>
    </row>
    <row r="132">
      <c r="A132" s="26" t="n"/>
      <c r="B132" s="26" t="n"/>
      <c r="C132" s="26" t="n"/>
      <c r="D132" s="26" t="n"/>
      <c r="E132" s="30">
        <f>IF(B132="","",IFERROR(INDEX('Holders'!$B$4:$B$1003,MATCH(B132,'Holders'!$A$4:$A$1003,0)),""))</f>
        <v/>
      </c>
      <c r="F132" s="30">
        <f t="array" ref="F132">IF(B132="","",_xlfn.TEXTJOIN(", ",TRUE,IF(('Companies'!$A$4:$A$63&lt;&gt;"")*(COUNTIFS('Holdings'!$A$4:$A$2503,B132,'Holdings'!$J$4:$J$2503,'Companies'!$A$4:$A$63,'Holdings'!$L$4:$L$2503,"Yes",'Holdings'!$C$4:$C$2503,"&gt;0")&gt;0),'Companies'!$A$4:$A$63,"")))</f>
        <v/>
      </c>
      <c r="G132" s="30">
        <f>IF(A132="","",IF(COUNTIF('People'!$A$4:$A$1003,A132)=0,"Email not on People",IF(COUNTIF('Holders'!$A$4:$A$1003,B132)=0,"Unknown holder ID",IF(COUNTIFS($A$4:$A$1503,A132,$B$4:$B$1503,B132)&gt;1,"Duplicate link",IF(C132="","Missing access","OK")))))</f>
        <v/>
      </c>
    </row>
    <row r="133">
      <c r="A133" s="26" t="n"/>
      <c r="B133" s="26" t="n"/>
      <c r="C133" s="26" t="n"/>
      <c r="D133" s="26" t="n"/>
      <c r="E133" s="30">
        <f>IF(B133="","",IFERROR(INDEX('Holders'!$B$4:$B$1003,MATCH(B133,'Holders'!$A$4:$A$1003,0)),""))</f>
        <v/>
      </c>
      <c r="F133" s="30">
        <f t="array" ref="F133">IF(B133="","",_xlfn.TEXTJOIN(", ",TRUE,IF(('Companies'!$A$4:$A$63&lt;&gt;"")*(COUNTIFS('Holdings'!$A$4:$A$2503,B133,'Holdings'!$J$4:$J$2503,'Companies'!$A$4:$A$63,'Holdings'!$L$4:$L$2503,"Yes",'Holdings'!$C$4:$C$2503,"&gt;0")&gt;0),'Companies'!$A$4:$A$63,"")))</f>
        <v/>
      </c>
      <c r="G133" s="30">
        <f>IF(A133="","",IF(COUNTIF('People'!$A$4:$A$1003,A133)=0,"Email not on People",IF(COUNTIF('Holders'!$A$4:$A$1003,B133)=0,"Unknown holder ID",IF(COUNTIFS($A$4:$A$1503,A133,$B$4:$B$1503,B133)&gt;1,"Duplicate link",IF(C133="","Missing access","OK")))))</f>
        <v/>
      </c>
    </row>
    <row r="134">
      <c r="A134" s="26" t="n"/>
      <c r="B134" s="26" t="n"/>
      <c r="C134" s="26" t="n"/>
      <c r="D134" s="26" t="n"/>
      <c r="E134" s="30">
        <f>IF(B134="","",IFERROR(INDEX('Holders'!$B$4:$B$1003,MATCH(B134,'Holders'!$A$4:$A$1003,0)),""))</f>
        <v/>
      </c>
      <c r="F134" s="30">
        <f t="array" ref="F134">IF(B134="","",_xlfn.TEXTJOIN(", ",TRUE,IF(('Companies'!$A$4:$A$63&lt;&gt;"")*(COUNTIFS('Holdings'!$A$4:$A$2503,B134,'Holdings'!$J$4:$J$2503,'Companies'!$A$4:$A$63,'Holdings'!$L$4:$L$2503,"Yes",'Holdings'!$C$4:$C$2503,"&gt;0")&gt;0),'Companies'!$A$4:$A$63,"")))</f>
        <v/>
      </c>
      <c r="G134" s="30">
        <f>IF(A134="","",IF(COUNTIF('People'!$A$4:$A$1003,A134)=0,"Email not on People",IF(COUNTIF('Holders'!$A$4:$A$1003,B134)=0,"Unknown holder ID",IF(COUNTIFS($A$4:$A$1503,A134,$B$4:$B$1503,B134)&gt;1,"Duplicate link",IF(C134="","Missing access","OK")))))</f>
        <v/>
      </c>
    </row>
    <row r="135">
      <c r="A135" s="26" t="n"/>
      <c r="B135" s="26" t="n"/>
      <c r="C135" s="26" t="n"/>
      <c r="D135" s="26" t="n"/>
      <c r="E135" s="30">
        <f>IF(B135="","",IFERROR(INDEX('Holders'!$B$4:$B$1003,MATCH(B135,'Holders'!$A$4:$A$1003,0)),""))</f>
        <v/>
      </c>
      <c r="F135" s="30">
        <f t="array" ref="F135">IF(B135="","",_xlfn.TEXTJOIN(", ",TRUE,IF(('Companies'!$A$4:$A$63&lt;&gt;"")*(COUNTIFS('Holdings'!$A$4:$A$2503,B135,'Holdings'!$J$4:$J$2503,'Companies'!$A$4:$A$63,'Holdings'!$L$4:$L$2503,"Yes",'Holdings'!$C$4:$C$2503,"&gt;0")&gt;0),'Companies'!$A$4:$A$63,"")))</f>
        <v/>
      </c>
      <c r="G135" s="30">
        <f>IF(A135="","",IF(COUNTIF('People'!$A$4:$A$1003,A135)=0,"Email not on People",IF(COUNTIF('Holders'!$A$4:$A$1003,B135)=0,"Unknown holder ID",IF(COUNTIFS($A$4:$A$1503,A135,$B$4:$B$1503,B135)&gt;1,"Duplicate link",IF(C135="","Missing access","OK")))))</f>
        <v/>
      </c>
    </row>
    <row r="136">
      <c r="A136" s="26" t="n"/>
      <c r="B136" s="26" t="n"/>
      <c r="C136" s="26" t="n"/>
      <c r="D136" s="26" t="n"/>
      <c r="E136" s="30">
        <f>IF(B136="","",IFERROR(INDEX('Holders'!$B$4:$B$1003,MATCH(B136,'Holders'!$A$4:$A$1003,0)),""))</f>
        <v/>
      </c>
      <c r="F136" s="30">
        <f t="array" ref="F136">IF(B136="","",_xlfn.TEXTJOIN(", ",TRUE,IF(('Companies'!$A$4:$A$63&lt;&gt;"")*(COUNTIFS('Holdings'!$A$4:$A$2503,B136,'Holdings'!$J$4:$J$2503,'Companies'!$A$4:$A$63,'Holdings'!$L$4:$L$2503,"Yes",'Holdings'!$C$4:$C$2503,"&gt;0")&gt;0),'Companies'!$A$4:$A$63,"")))</f>
        <v/>
      </c>
      <c r="G136" s="30">
        <f>IF(A136="","",IF(COUNTIF('People'!$A$4:$A$1003,A136)=0,"Email not on People",IF(COUNTIF('Holders'!$A$4:$A$1003,B136)=0,"Unknown holder ID",IF(COUNTIFS($A$4:$A$1503,A136,$B$4:$B$1503,B136)&gt;1,"Duplicate link",IF(C136="","Missing access","OK")))))</f>
        <v/>
      </c>
    </row>
    <row r="137">
      <c r="A137" s="26" t="n"/>
      <c r="B137" s="26" t="n"/>
      <c r="C137" s="26" t="n"/>
      <c r="D137" s="26" t="n"/>
      <c r="E137" s="30">
        <f>IF(B137="","",IFERROR(INDEX('Holders'!$B$4:$B$1003,MATCH(B137,'Holders'!$A$4:$A$1003,0)),""))</f>
        <v/>
      </c>
      <c r="F137" s="30">
        <f t="array" ref="F137">IF(B137="","",_xlfn.TEXTJOIN(", ",TRUE,IF(('Companies'!$A$4:$A$63&lt;&gt;"")*(COUNTIFS('Holdings'!$A$4:$A$2503,B137,'Holdings'!$J$4:$J$2503,'Companies'!$A$4:$A$63,'Holdings'!$L$4:$L$2503,"Yes",'Holdings'!$C$4:$C$2503,"&gt;0")&gt;0),'Companies'!$A$4:$A$63,"")))</f>
        <v/>
      </c>
      <c r="G137" s="30">
        <f>IF(A137="","",IF(COUNTIF('People'!$A$4:$A$1003,A137)=0,"Email not on People",IF(COUNTIF('Holders'!$A$4:$A$1003,B137)=0,"Unknown holder ID",IF(COUNTIFS($A$4:$A$1503,A137,$B$4:$B$1503,B137)&gt;1,"Duplicate link",IF(C137="","Missing access","OK")))))</f>
        <v/>
      </c>
    </row>
    <row r="138">
      <c r="A138" s="26" t="n"/>
      <c r="B138" s="26" t="n"/>
      <c r="C138" s="26" t="n"/>
      <c r="D138" s="26" t="n"/>
      <c r="E138" s="30">
        <f>IF(B138="","",IFERROR(INDEX('Holders'!$B$4:$B$1003,MATCH(B138,'Holders'!$A$4:$A$1003,0)),""))</f>
        <v/>
      </c>
      <c r="F138" s="30">
        <f t="array" ref="F138">IF(B138="","",_xlfn.TEXTJOIN(", ",TRUE,IF(('Companies'!$A$4:$A$63&lt;&gt;"")*(COUNTIFS('Holdings'!$A$4:$A$2503,B138,'Holdings'!$J$4:$J$2503,'Companies'!$A$4:$A$63,'Holdings'!$L$4:$L$2503,"Yes",'Holdings'!$C$4:$C$2503,"&gt;0")&gt;0),'Companies'!$A$4:$A$63,"")))</f>
        <v/>
      </c>
      <c r="G138" s="30">
        <f>IF(A138="","",IF(COUNTIF('People'!$A$4:$A$1003,A138)=0,"Email not on People",IF(COUNTIF('Holders'!$A$4:$A$1003,B138)=0,"Unknown holder ID",IF(COUNTIFS($A$4:$A$1503,A138,$B$4:$B$1503,B138)&gt;1,"Duplicate link",IF(C138="","Missing access","OK")))))</f>
        <v/>
      </c>
    </row>
    <row r="139">
      <c r="A139" s="26" t="n"/>
      <c r="B139" s="26" t="n"/>
      <c r="C139" s="26" t="n"/>
      <c r="D139" s="26" t="n"/>
      <c r="E139" s="30">
        <f>IF(B139="","",IFERROR(INDEX('Holders'!$B$4:$B$1003,MATCH(B139,'Holders'!$A$4:$A$1003,0)),""))</f>
        <v/>
      </c>
      <c r="F139" s="30">
        <f t="array" ref="F139">IF(B139="","",_xlfn.TEXTJOIN(", ",TRUE,IF(('Companies'!$A$4:$A$63&lt;&gt;"")*(COUNTIFS('Holdings'!$A$4:$A$2503,B139,'Holdings'!$J$4:$J$2503,'Companies'!$A$4:$A$63,'Holdings'!$L$4:$L$2503,"Yes",'Holdings'!$C$4:$C$2503,"&gt;0")&gt;0),'Companies'!$A$4:$A$63,"")))</f>
        <v/>
      </c>
      <c r="G139" s="30">
        <f>IF(A139="","",IF(COUNTIF('People'!$A$4:$A$1003,A139)=0,"Email not on People",IF(COUNTIF('Holders'!$A$4:$A$1003,B139)=0,"Unknown holder ID",IF(COUNTIFS($A$4:$A$1503,A139,$B$4:$B$1503,B139)&gt;1,"Duplicate link",IF(C139="","Missing access","OK")))))</f>
        <v/>
      </c>
    </row>
    <row r="140">
      <c r="A140" s="26" t="n"/>
      <c r="B140" s="26" t="n"/>
      <c r="C140" s="26" t="n"/>
      <c r="D140" s="26" t="n"/>
      <c r="E140" s="30">
        <f>IF(B140="","",IFERROR(INDEX('Holders'!$B$4:$B$1003,MATCH(B140,'Holders'!$A$4:$A$1003,0)),""))</f>
        <v/>
      </c>
      <c r="F140" s="30">
        <f t="array" ref="F140">IF(B140="","",_xlfn.TEXTJOIN(", ",TRUE,IF(('Companies'!$A$4:$A$63&lt;&gt;"")*(COUNTIFS('Holdings'!$A$4:$A$2503,B140,'Holdings'!$J$4:$J$2503,'Companies'!$A$4:$A$63,'Holdings'!$L$4:$L$2503,"Yes",'Holdings'!$C$4:$C$2503,"&gt;0")&gt;0),'Companies'!$A$4:$A$63,"")))</f>
        <v/>
      </c>
      <c r="G140" s="30">
        <f>IF(A140="","",IF(COUNTIF('People'!$A$4:$A$1003,A140)=0,"Email not on People",IF(COUNTIF('Holders'!$A$4:$A$1003,B140)=0,"Unknown holder ID",IF(COUNTIFS($A$4:$A$1503,A140,$B$4:$B$1503,B140)&gt;1,"Duplicate link",IF(C140="","Missing access","OK")))))</f>
        <v/>
      </c>
    </row>
    <row r="141">
      <c r="A141" s="26" t="n"/>
      <c r="B141" s="26" t="n"/>
      <c r="C141" s="26" t="n"/>
      <c r="D141" s="26" t="n"/>
      <c r="E141" s="30">
        <f>IF(B141="","",IFERROR(INDEX('Holders'!$B$4:$B$1003,MATCH(B141,'Holders'!$A$4:$A$1003,0)),""))</f>
        <v/>
      </c>
      <c r="F141" s="30">
        <f t="array" ref="F141">IF(B141="","",_xlfn.TEXTJOIN(", ",TRUE,IF(('Companies'!$A$4:$A$63&lt;&gt;"")*(COUNTIFS('Holdings'!$A$4:$A$2503,B141,'Holdings'!$J$4:$J$2503,'Companies'!$A$4:$A$63,'Holdings'!$L$4:$L$2503,"Yes",'Holdings'!$C$4:$C$2503,"&gt;0")&gt;0),'Companies'!$A$4:$A$63,"")))</f>
        <v/>
      </c>
      <c r="G141" s="30">
        <f>IF(A141="","",IF(COUNTIF('People'!$A$4:$A$1003,A141)=0,"Email not on People",IF(COUNTIF('Holders'!$A$4:$A$1003,B141)=0,"Unknown holder ID",IF(COUNTIFS($A$4:$A$1503,A141,$B$4:$B$1503,B141)&gt;1,"Duplicate link",IF(C141="","Missing access","OK")))))</f>
        <v/>
      </c>
    </row>
    <row r="142">
      <c r="A142" s="26" t="n"/>
      <c r="B142" s="26" t="n"/>
      <c r="C142" s="26" t="n"/>
      <c r="D142" s="26" t="n"/>
      <c r="E142" s="30">
        <f>IF(B142="","",IFERROR(INDEX('Holders'!$B$4:$B$1003,MATCH(B142,'Holders'!$A$4:$A$1003,0)),""))</f>
        <v/>
      </c>
      <c r="F142" s="30">
        <f t="array" ref="F142">IF(B142="","",_xlfn.TEXTJOIN(", ",TRUE,IF(('Companies'!$A$4:$A$63&lt;&gt;"")*(COUNTIFS('Holdings'!$A$4:$A$2503,B142,'Holdings'!$J$4:$J$2503,'Companies'!$A$4:$A$63,'Holdings'!$L$4:$L$2503,"Yes",'Holdings'!$C$4:$C$2503,"&gt;0")&gt;0),'Companies'!$A$4:$A$63,"")))</f>
        <v/>
      </c>
      <c r="G142" s="30">
        <f>IF(A142="","",IF(COUNTIF('People'!$A$4:$A$1003,A142)=0,"Email not on People",IF(COUNTIF('Holders'!$A$4:$A$1003,B142)=0,"Unknown holder ID",IF(COUNTIFS($A$4:$A$1503,A142,$B$4:$B$1503,B142)&gt;1,"Duplicate link",IF(C142="","Missing access","OK")))))</f>
        <v/>
      </c>
    </row>
    <row r="143">
      <c r="A143" s="26" t="n"/>
      <c r="B143" s="26" t="n"/>
      <c r="C143" s="26" t="n"/>
      <c r="D143" s="26" t="n"/>
      <c r="E143" s="30">
        <f>IF(B143="","",IFERROR(INDEX('Holders'!$B$4:$B$1003,MATCH(B143,'Holders'!$A$4:$A$1003,0)),""))</f>
        <v/>
      </c>
      <c r="F143" s="30">
        <f t="array" ref="F143">IF(B143="","",_xlfn.TEXTJOIN(", ",TRUE,IF(('Companies'!$A$4:$A$63&lt;&gt;"")*(COUNTIFS('Holdings'!$A$4:$A$2503,B143,'Holdings'!$J$4:$J$2503,'Companies'!$A$4:$A$63,'Holdings'!$L$4:$L$2503,"Yes",'Holdings'!$C$4:$C$2503,"&gt;0")&gt;0),'Companies'!$A$4:$A$63,"")))</f>
        <v/>
      </c>
      <c r="G143" s="30">
        <f>IF(A143="","",IF(COUNTIF('People'!$A$4:$A$1003,A143)=0,"Email not on People",IF(COUNTIF('Holders'!$A$4:$A$1003,B143)=0,"Unknown holder ID",IF(COUNTIFS($A$4:$A$1503,A143,$B$4:$B$1503,B143)&gt;1,"Duplicate link",IF(C143="","Missing access","OK")))))</f>
        <v/>
      </c>
    </row>
    <row r="144">
      <c r="A144" s="26" t="n"/>
      <c r="B144" s="26" t="n"/>
      <c r="C144" s="26" t="n"/>
      <c r="D144" s="26" t="n"/>
      <c r="E144" s="30">
        <f>IF(B144="","",IFERROR(INDEX('Holders'!$B$4:$B$1003,MATCH(B144,'Holders'!$A$4:$A$1003,0)),""))</f>
        <v/>
      </c>
      <c r="F144" s="30">
        <f t="array" ref="F144">IF(B144="","",_xlfn.TEXTJOIN(", ",TRUE,IF(('Companies'!$A$4:$A$63&lt;&gt;"")*(COUNTIFS('Holdings'!$A$4:$A$2503,B144,'Holdings'!$J$4:$J$2503,'Companies'!$A$4:$A$63,'Holdings'!$L$4:$L$2503,"Yes",'Holdings'!$C$4:$C$2503,"&gt;0")&gt;0),'Companies'!$A$4:$A$63,"")))</f>
        <v/>
      </c>
      <c r="G144" s="30">
        <f>IF(A144="","",IF(COUNTIF('People'!$A$4:$A$1003,A144)=0,"Email not on People",IF(COUNTIF('Holders'!$A$4:$A$1003,B144)=0,"Unknown holder ID",IF(COUNTIFS($A$4:$A$1503,A144,$B$4:$B$1503,B144)&gt;1,"Duplicate link",IF(C144="","Missing access","OK")))))</f>
        <v/>
      </c>
    </row>
    <row r="145">
      <c r="A145" s="26" t="n"/>
      <c r="B145" s="26" t="n"/>
      <c r="C145" s="26" t="n"/>
      <c r="D145" s="26" t="n"/>
      <c r="E145" s="30">
        <f>IF(B145="","",IFERROR(INDEX('Holders'!$B$4:$B$1003,MATCH(B145,'Holders'!$A$4:$A$1003,0)),""))</f>
        <v/>
      </c>
      <c r="F145" s="30">
        <f t="array" ref="F145">IF(B145="","",_xlfn.TEXTJOIN(", ",TRUE,IF(('Companies'!$A$4:$A$63&lt;&gt;"")*(COUNTIFS('Holdings'!$A$4:$A$2503,B145,'Holdings'!$J$4:$J$2503,'Companies'!$A$4:$A$63,'Holdings'!$L$4:$L$2503,"Yes",'Holdings'!$C$4:$C$2503,"&gt;0")&gt;0),'Companies'!$A$4:$A$63,"")))</f>
        <v/>
      </c>
      <c r="G145" s="30">
        <f>IF(A145="","",IF(COUNTIF('People'!$A$4:$A$1003,A145)=0,"Email not on People",IF(COUNTIF('Holders'!$A$4:$A$1003,B145)=0,"Unknown holder ID",IF(COUNTIFS($A$4:$A$1503,A145,$B$4:$B$1503,B145)&gt;1,"Duplicate link",IF(C145="","Missing access","OK")))))</f>
        <v/>
      </c>
    </row>
    <row r="146">
      <c r="A146" s="26" t="n"/>
      <c r="B146" s="26" t="n"/>
      <c r="C146" s="26" t="n"/>
      <c r="D146" s="26" t="n"/>
      <c r="E146" s="30">
        <f>IF(B146="","",IFERROR(INDEX('Holders'!$B$4:$B$1003,MATCH(B146,'Holders'!$A$4:$A$1003,0)),""))</f>
        <v/>
      </c>
      <c r="F146" s="30">
        <f t="array" ref="F146">IF(B146="","",_xlfn.TEXTJOIN(", ",TRUE,IF(('Companies'!$A$4:$A$63&lt;&gt;"")*(COUNTIFS('Holdings'!$A$4:$A$2503,B146,'Holdings'!$J$4:$J$2503,'Companies'!$A$4:$A$63,'Holdings'!$L$4:$L$2503,"Yes",'Holdings'!$C$4:$C$2503,"&gt;0")&gt;0),'Companies'!$A$4:$A$63,"")))</f>
        <v/>
      </c>
      <c r="G146" s="30">
        <f>IF(A146="","",IF(COUNTIF('People'!$A$4:$A$1003,A146)=0,"Email not on People",IF(COUNTIF('Holders'!$A$4:$A$1003,B146)=0,"Unknown holder ID",IF(COUNTIFS($A$4:$A$1503,A146,$B$4:$B$1503,B146)&gt;1,"Duplicate link",IF(C146="","Missing access","OK")))))</f>
        <v/>
      </c>
    </row>
    <row r="147">
      <c r="A147" s="26" t="n"/>
      <c r="B147" s="26" t="n"/>
      <c r="C147" s="26" t="n"/>
      <c r="D147" s="26" t="n"/>
      <c r="E147" s="30">
        <f>IF(B147="","",IFERROR(INDEX('Holders'!$B$4:$B$1003,MATCH(B147,'Holders'!$A$4:$A$1003,0)),""))</f>
        <v/>
      </c>
      <c r="F147" s="30">
        <f t="array" ref="F147">IF(B147="","",_xlfn.TEXTJOIN(", ",TRUE,IF(('Companies'!$A$4:$A$63&lt;&gt;"")*(COUNTIFS('Holdings'!$A$4:$A$2503,B147,'Holdings'!$J$4:$J$2503,'Companies'!$A$4:$A$63,'Holdings'!$L$4:$L$2503,"Yes",'Holdings'!$C$4:$C$2503,"&gt;0")&gt;0),'Companies'!$A$4:$A$63,"")))</f>
        <v/>
      </c>
      <c r="G147" s="30">
        <f>IF(A147="","",IF(COUNTIF('People'!$A$4:$A$1003,A147)=0,"Email not on People",IF(COUNTIF('Holders'!$A$4:$A$1003,B147)=0,"Unknown holder ID",IF(COUNTIFS($A$4:$A$1503,A147,$B$4:$B$1503,B147)&gt;1,"Duplicate link",IF(C147="","Missing access","OK")))))</f>
        <v/>
      </c>
    </row>
    <row r="148">
      <c r="A148" s="26" t="n"/>
      <c r="B148" s="26" t="n"/>
      <c r="C148" s="26" t="n"/>
      <c r="D148" s="26" t="n"/>
      <c r="E148" s="30">
        <f>IF(B148="","",IFERROR(INDEX('Holders'!$B$4:$B$1003,MATCH(B148,'Holders'!$A$4:$A$1003,0)),""))</f>
        <v/>
      </c>
      <c r="F148" s="30">
        <f t="array" ref="F148">IF(B148="","",_xlfn.TEXTJOIN(", ",TRUE,IF(('Companies'!$A$4:$A$63&lt;&gt;"")*(COUNTIFS('Holdings'!$A$4:$A$2503,B148,'Holdings'!$J$4:$J$2503,'Companies'!$A$4:$A$63,'Holdings'!$L$4:$L$2503,"Yes",'Holdings'!$C$4:$C$2503,"&gt;0")&gt;0),'Companies'!$A$4:$A$63,"")))</f>
        <v/>
      </c>
      <c r="G148" s="30">
        <f>IF(A148="","",IF(COUNTIF('People'!$A$4:$A$1003,A148)=0,"Email not on People",IF(COUNTIF('Holders'!$A$4:$A$1003,B148)=0,"Unknown holder ID",IF(COUNTIFS($A$4:$A$1503,A148,$B$4:$B$1503,B148)&gt;1,"Duplicate link",IF(C148="","Missing access","OK")))))</f>
        <v/>
      </c>
    </row>
    <row r="149">
      <c r="A149" s="26" t="n"/>
      <c r="B149" s="26" t="n"/>
      <c r="C149" s="26" t="n"/>
      <c r="D149" s="26" t="n"/>
      <c r="E149" s="30">
        <f>IF(B149="","",IFERROR(INDEX('Holders'!$B$4:$B$1003,MATCH(B149,'Holders'!$A$4:$A$1003,0)),""))</f>
        <v/>
      </c>
      <c r="F149" s="30">
        <f t="array" ref="F149">IF(B149="","",_xlfn.TEXTJOIN(", ",TRUE,IF(('Companies'!$A$4:$A$63&lt;&gt;"")*(COUNTIFS('Holdings'!$A$4:$A$2503,B149,'Holdings'!$J$4:$J$2503,'Companies'!$A$4:$A$63,'Holdings'!$L$4:$L$2503,"Yes",'Holdings'!$C$4:$C$2503,"&gt;0")&gt;0),'Companies'!$A$4:$A$63,"")))</f>
        <v/>
      </c>
      <c r="G149" s="30">
        <f>IF(A149="","",IF(COUNTIF('People'!$A$4:$A$1003,A149)=0,"Email not on People",IF(COUNTIF('Holders'!$A$4:$A$1003,B149)=0,"Unknown holder ID",IF(COUNTIFS($A$4:$A$1503,A149,$B$4:$B$1503,B149)&gt;1,"Duplicate link",IF(C149="","Missing access","OK")))))</f>
        <v/>
      </c>
    </row>
    <row r="150">
      <c r="A150" s="26" t="n"/>
      <c r="B150" s="26" t="n"/>
      <c r="C150" s="26" t="n"/>
      <c r="D150" s="26" t="n"/>
      <c r="E150" s="30">
        <f>IF(B150="","",IFERROR(INDEX('Holders'!$B$4:$B$1003,MATCH(B150,'Holders'!$A$4:$A$1003,0)),""))</f>
        <v/>
      </c>
      <c r="F150" s="30">
        <f t="array" ref="F150">IF(B150="","",_xlfn.TEXTJOIN(", ",TRUE,IF(('Companies'!$A$4:$A$63&lt;&gt;"")*(COUNTIFS('Holdings'!$A$4:$A$2503,B150,'Holdings'!$J$4:$J$2503,'Companies'!$A$4:$A$63,'Holdings'!$L$4:$L$2503,"Yes",'Holdings'!$C$4:$C$2503,"&gt;0")&gt;0),'Companies'!$A$4:$A$63,"")))</f>
        <v/>
      </c>
      <c r="G150" s="30">
        <f>IF(A150="","",IF(COUNTIF('People'!$A$4:$A$1003,A150)=0,"Email not on People",IF(COUNTIF('Holders'!$A$4:$A$1003,B150)=0,"Unknown holder ID",IF(COUNTIFS($A$4:$A$1503,A150,$B$4:$B$1503,B150)&gt;1,"Duplicate link",IF(C150="","Missing access","OK")))))</f>
        <v/>
      </c>
    </row>
    <row r="151">
      <c r="A151" s="26" t="n"/>
      <c r="B151" s="26" t="n"/>
      <c r="C151" s="26" t="n"/>
      <c r="D151" s="26" t="n"/>
      <c r="E151" s="30">
        <f>IF(B151="","",IFERROR(INDEX('Holders'!$B$4:$B$1003,MATCH(B151,'Holders'!$A$4:$A$1003,0)),""))</f>
        <v/>
      </c>
      <c r="F151" s="30">
        <f t="array" ref="F151">IF(B151="","",_xlfn.TEXTJOIN(", ",TRUE,IF(('Companies'!$A$4:$A$63&lt;&gt;"")*(COUNTIFS('Holdings'!$A$4:$A$2503,B151,'Holdings'!$J$4:$J$2503,'Companies'!$A$4:$A$63,'Holdings'!$L$4:$L$2503,"Yes",'Holdings'!$C$4:$C$2503,"&gt;0")&gt;0),'Companies'!$A$4:$A$63,"")))</f>
        <v/>
      </c>
      <c r="G151" s="30">
        <f>IF(A151="","",IF(COUNTIF('People'!$A$4:$A$1003,A151)=0,"Email not on People",IF(COUNTIF('Holders'!$A$4:$A$1003,B151)=0,"Unknown holder ID",IF(COUNTIFS($A$4:$A$1503,A151,$B$4:$B$1503,B151)&gt;1,"Duplicate link",IF(C151="","Missing access","OK")))))</f>
        <v/>
      </c>
    </row>
    <row r="152">
      <c r="A152" s="26" t="n"/>
      <c r="B152" s="26" t="n"/>
      <c r="C152" s="26" t="n"/>
      <c r="D152" s="26" t="n"/>
      <c r="E152" s="30">
        <f>IF(B152="","",IFERROR(INDEX('Holders'!$B$4:$B$1003,MATCH(B152,'Holders'!$A$4:$A$1003,0)),""))</f>
        <v/>
      </c>
      <c r="F152" s="30">
        <f t="array" ref="F152">IF(B152="","",_xlfn.TEXTJOIN(", ",TRUE,IF(('Companies'!$A$4:$A$63&lt;&gt;"")*(COUNTIFS('Holdings'!$A$4:$A$2503,B152,'Holdings'!$J$4:$J$2503,'Companies'!$A$4:$A$63,'Holdings'!$L$4:$L$2503,"Yes",'Holdings'!$C$4:$C$2503,"&gt;0")&gt;0),'Companies'!$A$4:$A$63,"")))</f>
        <v/>
      </c>
      <c r="G152" s="30">
        <f>IF(A152="","",IF(COUNTIF('People'!$A$4:$A$1003,A152)=0,"Email not on People",IF(COUNTIF('Holders'!$A$4:$A$1003,B152)=0,"Unknown holder ID",IF(COUNTIFS($A$4:$A$1503,A152,$B$4:$B$1503,B152)&gt;1,"Duplicate link",IF(C152="","Missing access","OK")))))</f>
        <v/>
      </c>
    </row>
    <row r="153">
      <c r="A153" s="26" t="n"/>
      <c r="B153" s="26" t="n"/>
      <c r="C153" s="26" t="n"/>
      <c r="D153" s="26" t="n"/>
      <c r="E153" s="30">
        <f>IF(B153="","",IFERROR(INDEX('Holders'!$B$4:$B$1003,MATCH(B153,'Holders'!$A$4:$A$1003,0)),""))</f>
        <v/>
      </c>
      <c r="F153" s="30">
        <f t="array" ref="F153">IF(B153="","",_xlfn.TEXTJOIN(", ",TRUE,IF(('Companies'!$A$4:$A$63&lt;&gt;"")*(COUNTIFS('Holdings'!$A$4:$A$2503,B153,'Holdings'!$J$4:$J$2503,'Companies'!$A$4:$A$63,'Holdings'!$L$4:$L$2503,"Yes",'Holdings'!$C$4:$C$2503,"&gt;0")&gt;0),'Companies'!$A$4:$A$63,"")))</f>
        <v/>
      </c>
      <c r="G153" s="30">
        <f>IF(A153="","",IF(COUNTIF('People'!$A$4:$A$1003,A153)=0,"Email not on People",IF(COUNTIF('Holders'!$A$4:$A$1003,B153)=0,"Unknown holder ID",IF(COUNTIFS($A$4:$A$1503,A153,$B$4:$B$1503,B153)&gt;1,"Duplicate link",IF(C153="","Missing access","OK")))))</f>
        <v/>
      </c>
    </row>
    <row r="154">
      <c r="A154" s="26" t="n"/>
      <c r="B154" s="26" t="n"/>
      <c r="C154" s="26" t="n"/>
      <c r="D154" s="26" t="n"/>
      <c r="E154" s="30">
        <f>IF(B154="","",IFERROR(INDEX('Holders'!$B$4:$B$1003,MATCH(B154,'Holders'!$A$4:$A$1003,0)),""))</f>
        <v/>
      </c>
      <c r="F154" s="30">
        <f t="array" ref="F154">IF(B154="","",_xlfn.TEXTJOIN(", ",TRUE,IF(('Companies'!$A$4:$A$63&lt;&gt;"")*(COUNTIFS('Holdings'!$A$4:$A$2503,B154,'Holdings'!$J$4:$J$2503,'Companies'!$A$4:$A$63,'Holdings'!$L$4:$L$2503,"Yes",'Holdings'!$C$4:$C$2503,"&gt;0")&gt;0),'Companies'!$A$4:$A$63,"")))</f>
        <v/>
      </c>
      <c r="G154" s="30">
        <f>IF(A154="","",IF(COUNTIF('People'!$A$4:$A$1003,A154)=0,"Email not on People",IF(COUNTIF('Holders'!$A$4:$A$1003,B154)=0,"Unknown holder ID",IF(COUNTIFS($A$4:$A$1503,A154,$B$4:$B$1503,B154)&gt;1,"Duplicate link",IF(C154="","Missing access","OK")))))</f>
        <v/>
      </c>
    </row>
    <row r="155">
      <c r="A155" s="26" t="n"/>
      <c r="B155" s="26" t="n"/>
      <c r="C155" s="26" t="n"/>
      <c r="D155" s="26" t="n"/>
      <c r="E155" s="30">
        <f>IF(B155="","",IFERROR(INDEX('Holders'!$B$4:$B$1003,MATCH(B155,'Holders'!$A$4:$A$1003,0)),""))</f>
        <v/>
      </c>
      <c r="F155" s="30">
        <f t="array" ref="F155">IF(B155="","",_xlfn.TEXTJOIN(", ",TRUE,IF(('Companies'!$A$4:$A$63&lt;&gt;"")*(COUNTIFS('Holdings'!$A$4:$A$2503,B155,'Holdings'!$J$4:$J$2503,'Companies'!$A$4:$A$63,'Holdings'!$L$4:$L$2503,"Yes",'Holdings'!$C$4:$C$2503,"&gt;0")&gt;0),'Companies'!$A$4:$A$63,"")))</f>
        <v/>
      </c>
      <c r="G155" s="30">
        <f>IF(A155="","",IF(COUNTIF('People'!$A$4:$A$1003,A155)=0,"Email not on People",IF(COUNTIF('Holders'!$A$4:$A$1003,B155)=0,"Unknown holder ID",IF(COUNTIFS($A$4:$A$1503,A155,$B$4:$B$1503,B155)&gt;1,"Duplicate link",IF(C155="","Missing access","OK")))))</f>
        <v/>
      </c>
    </row>
    <row r="156">
      <c r="A156" s="26" t="n"/>
      <c r="B156" s="26" t="n"/>
      <c r="C156" s="26" t="n"/>
      <c r="D156" s="26" t="n"/>
      <c r="E156" s="30">
        <f>IF(B156="","",IFERROR(INDEX('Holders'!$B$4:$B$1003,MATCH(B156,'Holders'!$A$4:$A$1003,0)),""))</f>
        <v/>
      </c>
      <c r="F156" s="30">
        <f t="array" ref="F156">IF(B156="","",_xlfn.TEXTJOIN(", ",TRUE,IF(('Companies'!$A$4:$A$63&lt;&gt;"")*(COUNTIFS('Holdings'!$A$4:$A$2503,B156,'Holdings'!$J$4:$J$2503,'Companies'!$A$4:$A$63,'Holdings'!$L$4:$L$2503,"Yes",'Holdings'!$C$4:$C$2503,"&gt;0")&gt;0),'Companies'!$A$4:$A$63,"")))</f>
        <v/>
      </c>
      <c r="G156" s="30">
        <f>IF(A156="","",IF(COUNTIF('People'!$A$4:$A$1003,A156)=0,"Email not on People",IF(COUNTIF('Holders'!$A$4:$A$1003,B156)=0,"Unknown holder ID",IF(COUNTIFS($A$4:$A$1503,A156,$B$4:$B$1503,B156)&gt;1,"Duplicate link",IF(C156="","Missing access","OK")))))</f>
        <v/>
      </c>
    </row>
    <row r="157">
      <c r="A157" s="26" t="n"/>
      <c r="B157" s="26" t="n"/>
      <c r="C157" s="26" t="n"/>
      <c r="D157" s="26" t="n"/>
      <c r="E157" s="30">
        <f>IF(B157="","",IFERROR(INDEX('Holders'!$B$4:$B$1003,MATCH(B157,'Holders'!$A$4:$A$1003,0)),""))</f>
        <v/>
      </c>
      <c r="F157" s="30">
        <f t="array" ref="F157">IF(B157="","",_xlfn.TEXTJOIN(", ",TRUE,IF(('Companies'!$A$4:$A$63&lt;&gt;"")*(COUNTIFS('Holdings'!$A$4:$A$2503,B157,'Holdings'!$J$4:$J$2503,'Companies'!$A$4:$A$63,'Holdings'!$L$4:$L$2503,"Yes",'Holdings'!$C$4:$C$2503,"&gt;0")&gt;0),'Companies'!$A$4:$A$63,"")))</f>
        <v/>
      </c>
      <c r="G157" s="30">
        <f>IF(A157="","",IF(COUNTIF('People'!$A$4:$A$1003,A157)=0,"Email not on People",IF(COUNTIF('Holders'!$A$4:$A$1003,B157)=0,"Unknown holder ID",IF(COUNTIFS($A$4:$A$1503,A157,$B$4:$B$1503,B157)&gt;1,"Duplicate link",IF(C157="","Missing access","OK")))))</f>
        <v/>
      </c>
    </row>
    <row r="158">
      <c r="A158" s="26" t="n"/>
      <c r="B158" s="26" t="n"/>
      <c r="C158" s="26" t="n"/>
      <c r="D158" s="26" t="n"/>
      <c r="E158" s="30">
        <f>IF(B158="","",IFERROR(INDEX('Holders'!$B$4:$B$1003,MATCH(B158,'Holders'!$A$4:$A$1003,0)),""))</f>
        <v/>
      </c>
      <c r="F158" s="30">
        <f t="array" ref="F158">IF(B158="","",_xlfn.TEXTJOIN(", ",TRUE,IF(('Companies'!$A$4:$A$63&lt;&gt;"")*(COUNTIFS('Holdings'!$A$4:$A$2503,B158,'Holdings'!$J$4:$J$2503,'Companies'!$A$4:$A$63,'Holdings'!$L$4:$L$2503,"Yes",'Holdings'!$C$4:$C$2503,"&gt;0")&gt;0),'Companies'!$A$4:$A$63,"")))</f>
        <v/>
      </c>
      <c r="G158" s="30">
        <f>IF(A158="","",IF(COUNTIF('People'!$A$4:$A$1003,A158)=0,"Email not on People",IF(COUNTIF('Holders'!$A$4:$A$1003,B158)=0,"Unknown holder ID",IF(COUNTIFS($A$4:$A$1503,A158,$B$4:$B$1503,B158)&gt;1,"Duplicate link",IF(C158="","Missing access","OK")))))</f>
        <v/>
      </c>
    </row>
    <row r="159">
      <c r="A159" s="26" t="n"/>
      <c r="B159" s="26" t="n"/>
      <c r="C159" s="26" t="n"/>
      <c r="D159" s="26" t="n"/>
      <c r="E159" s="30">
        <f>IF(B159="","",IFERROR(INDEX('Holders'!$B$4:$B$1003,MATCH(B159,'Holders'!$A$4:$A$1003,0)),""))</f>
        <v/>
      </c>
      <c r="F159" s="30">
        <f t="array" ref="F159">IF(B159="","",_xlfn.TEXTJOIN(", ",TRUE,IF(('Companies'!$A$4:$A$63&lt;&gt;"")*(COUNTIFS('Holdings'!$A$4:$A$2503,B159,'Holdings'!$J$4:$J$2503,'Companies'!$A$4:$A$63,'Holdings'!$L$4:$L$2503,"Yes",'Holdings'!$C$4:$C$2503,"&gt;0")&gt;0),'Companies'!$A$4:$A$63,"")))</f>
        <v/>
      </c>
      <c r="G159" s="30">
        <f>IF(A159="","",IF(COUNTIF('People'!$A$4:$A$1003,A159)=0,"Email not on People",IF(COUNTIF('Holders'!$A$4:$A$1003,B159)=0,"Unknown holder ID",IF(COUNTIFS($A$4:$A$1503,A159,$B$4:$B$1503,B159)&gt;1,"Duplicate link",IF(C159="","Missing access","OK")))))</f>
        <v/>
      </c>
    </row>
    <row r="160">
      <c r="A160" s="26" t="n"/>
      <c r="B160" s="26" t="n"/>
      <c r="C160" s="26" t="n"/>
      <c r="D160" s="26" t="n"/>
      <c r="E160" s="30">
        <f>IF(B160="","",IFERROR(INDEX('Holders'!$B$4:$B$1003,MATCH(B160,'Holders'!$A$4:$A$1003,0)),""))</f>
        <v/>
      </c>
      <c r="F160" s="30">
        <f t="array" ref="F160">IF(B160="","",_xlfn.TEXTJOIN(", ",TRUE,IF(('Companies'!$A$4:$A$63&lt;&gt;"")*(COUNTIFS('Holdings'!$A$4:$A$2503,B160,'Holdings'!$J$4:$J$2503,'Companies'!$A$4:$A$63,'Holdings'!$L$4:$L$2503,"Yes",'Holdings'!$C$4:$C$2503,"&gt;0")&gt;0),'Companies'!$A$4:$A$63,"")))</f>
        <v/>
      </c>
      <c r="G160" s="30">
        <f>IF(A160="","",IF(COUNTIF('People'!$A$4:$A$1003,A160)=0,"Email not on People",IF(COUNTIF('Holders'!$A$4:$A$1003,B160)=0,"Unknown holder ID",IF(COUNTIFS($A$4:$A$1503,A160,$B$4:$B$1503,B160)&gt;1,"Duplicate link",IF(C160="","Missing access","OK")))))</f>
        <v/>
      </c>
    </row>
    <row r="161">
      <c r="A161" s="26" t="n"/>
      <c r="B161" s="26" t="n"/>
      <c r="C161" s="26" t="n"/>
      <c r="D161" s="26" t="n"/>
      <c r="E161" s="30">
        <f>IF(B161="","",IFERROR(INDEX('Holders'!$B$4:$B$1003,MATCH(B161,'Holders'!$A$4:$A$1003,0)),""))</f>
        <v/>
      </c>
      <c r="F161" s="30">
        <f t="array" ref="F161">IF(B161="","",_xlfn.TEXTJOIN(", ",TRUE,IF(('Companies'!$A$4:$A$63&lt;&gt;"")*(COUNTIFS('Holdings'!$A$4:$A$2503,B161,'Holdings'!$J$4:$J$2503,'Companies'!$A$4:$A$63,'Holdings'!$L$4:$L$2503,"Yes",'Holdings'!$C$4:$C$2503,"&gt;0")&gt;0),'Companies'!$A$4:$A$63,"")))</f>
        <v/>
      </c>
      <c r="G161" s="30">
        <f>IF(A161="","",IF(COUNTIF('People'!$A$4:$A$1003,A161)=0,"Email not on People",IF(COUNTIF('Holders'!$A$4:$A$1003,B161)=0,"Unknown holder ID",IF(COUNTIFS($A$4:$A$1503,A161,$B$4:$B$1503,B161)&gt;1,"Duplicate link",IF(C161="","Missing access","OK")))))</f>
        <v/>
      </c>
    </row>
    <row r="162">
      <c r="A162" s="26" t="n"/>
      <c r="B162" s="26" t="n"/>
      <c r="C162" s="26" t="n"/>
      <c r="D162" s="26" t="n"/>
      <c r="E162" s="30">
        <f>IF(B162="","",IFERROR(INDEX('Holders'!$B$4:$B$1003,MATCH(B162,'Holders'!$A$4:$A$1003,0)),""))</f>
        <v/>
      </c>
      <c r="F162" s="30">
        <f t="array" ref="F162">IF(B162="","",_xlfn.TEXTJOIN(", ",TRUE,IF(('Companies'!$A$4:$A$63&lt;&gt;"")*(COUNTIFS('Holdings'!$A$4:$A$2503,B162,'Holdings'!$J$4:$J$2503,'Companies'!$A$4:$A$63,'Holdings'!$L$4:$L$2503,"Yes",'Holdings'!$C$4:$C$2503,"&gt;0")&gt;0),'Companies'!$A$4:$A$63,"")))</f>
        <v/>
      </c>
      <c r="G162" s="30">
        <f>IF(A162="","",IF(COUNTIF('People'!$A$4:$A$1003,A162)=0,"Email not on People",IF(COUNTIF('Holders'!$A$4:$A$1003,B162)=0,"Unknown holder ID",IF(COUNTIFS($A$4:$A$1503,A162,$B$4:$B$1503,B162)&gt;1,"Duplicate link",IF(C162="","Missing access","OK")))))</f>
        <v/>
      </c>
    </row>
    <row r="163">
      <c r="A163" s="26" t="n"/>
      <c r="B163" s="26" t="n"/>
      <c r="C163" s="26" t="n"/>
      <c r="D163" s="26" t="n"/>
      <c r="E163" s="30">
        <f>IF(B163="","",IFERROR(INDEX('Holders'!$B$4:$B$1003,MATCH(B163,'Holders'!$A$4:$A$1003,0)),""))</f>
        <v/>
      </c>
      <c r="F163" s="30">
        <f t="array" ref="F163">IF(B163="","",_xlfn.TEXTJOIN(", ",TRUE,IF(('Companies'!$A$4:$A$63&lt;&gt;"")*(COUNTIFS('Holdings'!$A$4:$A$2503,B163,'Holdings'!$J$4:$J$2503,'Companies'!$A$4:$A$63,'Holdings'!$L$4:$L$2503,"Yes",'Holdings'!$C$4:$C$2503,"&gt;0")&gt;0),'Companies'!$A$4:$A$63,"")))</f>
        <v/>
      </c>
      <c r="G163" s="30">
        <f>IF(A163="","",IF(COUNTIF('People'!$A$4:$A$1003,A163)=0,"Email not on People",IF(COUNTIF('Holders'!$A$4:$A$1003,B163)=0,"Unknown holder ID",IF(COUNTIFS($A$4:$A$1503,A163,$B$4:$B$1503,B163)&gt;1,"Duplicate link",IF(C163="","Missing access","OK")))))</f>
        <v/>
      </c>
    </row>
    <row r="164">
      <c r="A164" s="26" t="n"/>
      <c r="B164" s="26" t="n"/>
      <c r="C164" s="26" t="n"/>
      <c r="D164" s="26" t="n"/>
      <c r="E164" s="30">
        <f>IF(B164="","",IFERROR(INDEX('Holders'!$B$4:$B$1003,MATCH(B164,'Holders'!$A$4:$A$1003,0)),""))</f>
        <v/>
      </c>
      <c r="F164" s="30">
        <f t="array" ref="F164">IF(B164="","",_xlfn.TEXTJOIN(", ",TRUE,IF(('Companies'!$A$4:$A$63&lt;&gt;"")*(COUNTIFS('Holdings'!$A$4:$A$2503,B164,'Holdings'!$J$4:$J$2503,'Companies'!$A$4:$A$63,'Holdings'!$L$4:$L$2503,"Yes",'Holdings'!$C$4:$C$2503,"&gt;0")&gt;0),'Companies'!$A$4:$A$63,"")))</f>
        <v/>
      </c>
      <c r="G164" s="30">
        <f>IF(A164="","",IF(COUNTIF('People'!$A$4:$A$1003,A164)=0,"Email not on People",IF(COUNTIF('Holders'!$A$4:$A$1003,B164)=0,"Unknown holder ID",IF(COUNTIFS($A$4:$A$1503,A164,$B$4:$B$1503,B164)&gt;1,"Duplicate link",IF(C164="","Missing access","OK")))))</f>
        <v/>
      </c>
    </row>
    <row r="165">
      <c r="A165" s="26" t="n"/>
      <c r="B165" s="26" t="n"/>
      <c r="C165" s="26" t="n"/>
      <c r="D165" s="26" t="n"/>
      <c r="E165" s="30">
        <f>IF(B165="","",IFERROR(INDEX('Holders'!$B$4:$B$1003,MATCH(B165,'Holders'!$A$4:$A$1003,0)),""))</f>
        <v/>
      </c>
      <c r="F165" s="30">
        <f t="array" ref="F165">IF(B165="","",_xlfn.TEXTJOIN(", ",TRUE,IF(('Companies'!$A$4:$A$63&lt;&gt;"")*(COUNTIFS('Holdings'!$A$4:$A$2503,B165,'Holdings'!$J$4:$J$2503,'Companies'!$A$4:$A$63,'Holdings'!$L$4:$L$2503,"Yes",'Holdings'!$C$4:$C$2503,"&gt;0")&gt;0),'Companies'!$A$4:$A$63,"")))</f>
        <v/>
      </c>
      <c r="G165" s="30">
        <f>IF(A165="","",IF(COUNTIF('People'!$A$4:$A$1003,A165)=0,"Email not on People",IF(COUNTIF('Holders'!$A$4:$A$1003,B165)=0,"Unknown holder ID",IF(COUNTIFS($A$4:$A$1503,A165,$B$4:$B$1503,B165)&gt;1,"Duplicate link",IF(C165="","Missing access","OK")))))</f>
        <v/>
      </c>
    </row>
    <row r="166">
      <c r="A166" s="26" t="n"/>
      <c r="B166" s="26" t="n"/>
      <c r="C166" s="26" t="n"/>
      <c r="D166" s="26" t="n"/>
      <c r="E166" s="30">
        <f>IF(B166="","",IFERROR(INDEX('Holders'!$B$4:$B$1003,MATCH(B166,'Holders'!$A$4:$A$1003,0)),""))</f>
        <v/>
      </c>
      <c r="F166" s="30">
        <f t="array" ref="F166">IF(B166="","",_xlfn.TEXTJOIN(", ",TRUE,IF(('Companies'!$A$4:$A$63&lt;&gt;"")*(COUNTIFS('Holdings'!$A$4:$A$2503,B166,'Holdings'!$J$4:$J$2503,'Companies'!$A$4:$A$63,'Holdings'!$L$4:$L$2503,"Yes",'Holdings'!$C$4:$C$2503,"&gt;0")&gt;0),'Companies'!$A$4:$A$63,"")))</f>
        <v/>
      </c>
      <c r="G166" s="30">
        <f>IF(A166="","",IF(COUNTIF('People'!$A$4:$A$1003,A166)=0,"Email not on People",IF(COUNTIF('Holders'!$A$4:$A$1003,B166)=0,"Unknown holder ID",IF(COUNTIFS($A$4:$A$1503,A166,$B$4:$B$1503,B166)&gt;1,"Duplicate link",IF(C166="","Missing access","OK")))))</f>
        <v/>
      </c>
    </row>
    <row r="167">
      <c r="A167" s="26" t="n"/>
      <c r="B167" s="26" t="n"/>
      <c r="C167" s="26" t="n"/>
      <c r="D167" s="26" t="n"/>
      <c r="E167" s="30">
        <f>IF(B167="","",IFERROR(INDEX('Holders'!$B$4:$B$1003,MATCH(B167,'Holders'!$A$4:$A$1003,0)),""))</f>
        <v/>
      </c>
      <c r="F167" s="30">
        <f t="array" ref="F167">IF(B167="","",_xlfn.TEXTJOIN(", ",TRUE,IF(('Companies'!$A$4:$A$63&lt;&gt;"")*(COUNTIFS('Holdings'!$A$4:$A$2503,B167,'Holdings'!$J$4:$J$2503,'Companies'!$A$4:$A$63,'Holdings'!$L$4:$L$2503,"Yes",'Holdings'!$C$4:$C$2503,"&gt;0")&gt;0),'Companies'!$A$4:$A$63,"")))</f>
        <v/>
      </c>
      <c r="G167" s="30">
        <f>IF(A167="","",IF(COUNTIF('People'!$A$4:$A$1003,A167)=0,"Email not on People",IF(COUNTIF('Holders'!$A$4:$A$1003,B167)=0,"Unknown holder ID",IF(COUNTIFS($A$4:$A$1503,A167,$B$4:$B$1503,B167)&gt;1,"Duplicate link",IF(C167="","Missing access","OK")))))</f>
        <v/>
      </c>
    </row>
    <row r="168">
      <c r="A168" s="26" t="n"/>
      <c r="B168" s="26" t="n"/>
      <c r="C168" s="26" t="n"/>
      <c r="D168" s="26" t="n"/>
      <c r="E168" s="30">
        <f>IF(B168="","",IFERROR(INDEX('Holders'!$B$4:$B$1003,MATCH(B168,'Holders'!$A$4:$A$1003,0)),""))</f>
        <v/>
      </c>
      <c r="F168" s="30">
        <f t="array" ref="F168">IF(B168="","",_xlfn.TEXTJOIN(", ",TRUE,IF(('Companies'!$A$4:$A$63&lt;&gt;"")*(COUNTIFS('Holdings'!$A$4:$A$2503,B168,'Holdings'!$J$4:$J$2503,'Companies'!$A$4:$A$63,'Holdings'!$L$4:$L$2503,"Yes",'Holdings'!$C$4:$C$2503,"&gt;0")&gt;0),'Companies'!$A$4:$A$63,"")))</f>
        <v/>
      </c>
      <c r="G168" s="30">
        <f>IF(A168="","",IF(COUNTIF('People'!$A$4:$A$1003,A168)=0,"Email not on People",IF(COUNTIF('Holders'!$A$4:$A$1003,B168)=0,"Unknown holder ID",IF(COUNTIFS($A$4:$A$1503,A168,$B$4:$B$1503,B168)&gt;1,"Duplicate link",IF(C168="","Missing access","OK")))))</f>
        <v/>
      </c>
    </row>
    <row r="169">
      <c r="A169" s="26" t="n"/>
      <c r="B169" s="26" t="n"/>
      <c r="C169" s="26" t="n"/>
      <c r="D169" s="26" t="n"/>
      <c r="E169" s="30">
        <f>IF(B169="","",IFERROR(INDEX('Holders'!$B$4:$B$1003,MATCH(B169,'Holders'!$A$4:$A$1003,0)),""))</f>
        <v/>
      </c>
      <c r="F169" s="30">
        <f t="array" ref="F169">IF(B169="","",_xlfn.TEXTJOIN(", ",TRUE,IF(('Companies'!$A$4:$A$63&lt;&gt;"")*(COUNTIFS('Holdings'!$A$4:$A$2503,B169,'Holdings'!$J$4:$J$2503,'Companies'!$A$4:$A$63,'Holdings'!$L$4:$L$2503,"Yes",'Holdings'!$C$4:$C$2503,"&gt;0")&gt;0),'Companies'!$A$4:$A$63,"")))</f>
        <v/>
      </c>
      <c r="G169" s="30">
        <f>IF(A169="","",IF(COUNTIF('People'!$A$4:$A$1003,A169)=0,"Email not on People",IF(COUNTIF('Holders'!$A$4:$A$1003,B169)=0,"Unknown holder ID",IF(COUNTIFS($A$4:$A$1503,A169,$B$4:$B$1503,B169)&gt;1,"Duplicate link",IF(C169="","Missing access","OK")))))</f>
        <v/>
      </c>
    </row>
    <row r="170">
      <c r="A170" s="26" t="n"/>
      <c r="B170" s="26" t="n"/>
      <c r="C170" s="26" t="n"/>
      <c r="D170" s="26" t="n"/>
      <c r="E170" s="30">
        <f>IF(B170="","",IFERROR(INDEX('Holders'!$B$4:$B$1003,MATCH(B170,'Holders'!$A$4:$A$1003,0)),""))</f>
        <v/>
      </c>
      <c r="F170" s="30">
        <f t="array" ref="F170">IF(B170="","",_xlfn.TEXTJOIN(", ",TRUE,IF(('Companies'!$A$4:$A$63&lt;&gt;"")*(COUNTIFS('Holdings'!$A$4:$A$2503,B170,'Holdings'!$J$4:$J$2503,'Companies'!$A$4:$A$63,'Holdings'!$L$4:$L$2503,"Yes",'Holdings'!$C$4:$C$2503,"&gt;0")&gt;0),'Companies'!$A$4:$A$63,"")))</f>
        <v/>
      </c>
      <c r="G170" s="30">
        <f>IF(A170="","",IF(COUNTIF('People'!$A$4:$A$1003,A170)=0,"Email not on People",IF(COUNTIF('Holders'!$A$4:$A$1003,B170)=0,"Unknown holder ID",IF(COUNTIFS($A$4:$A$1503,A170,$B$4:$B$1503,B170)&gt;1,"Duplicate link",IF(C170="","Missing access","OK")))))</f>
        <v/>
      </c>
    </row>
    <row r="171">
      <c r="A171" s="26" t="n"/>
      <c r="B171" s="26" t="n"/>
      <c r="C171" s="26" t="n"/>
      <c r="D171" s="26" t="n"/>
      <c r="E171" s="30">
        <f>IF(B171="","",IFERROR(INDEX('Holders'!$B$4:$B$1003,MATCH(B171,'Holders'!$A$4:$A$1003,0)),""))</f>
        <v/>
      </c>
      <c r="F171" s="30">
        <f t="array" ref="F171">IF(B171="","",_xlfn.TEXTJOIN(", ",TRUE,IF(('Companies'!$A$4:$A$63&lt;&gt;"")*(COUNTIFS('Holdings'!$A$4:$A$2503,B171,'Holdings'!$J$4:$J$2503,'Companies'!$A$4:$A$63,'Holdings'!$L$4:$L$2503,"Yes",'Holdings'!$C$4:$C$2503,"&gt;0")&gt;0),'Companies'!$A$4:$A$63,"")))</f>
        <v/>
      </c>
      <c r="G171" s="30">
        <f>IF(A171="","",IF(COUNTIF('People'!$A$4:$A$1003,A171)=0,"Email not on People",IF(COUNTIF('Holders'!$A$4:$A$1003,B171)=0,"Unknown holder ID",IF(COUNTIFS($A$4:$A$1503,A171,$B$4:$B$1503,B171)&gt;1,"Duplicate link",IF(C171="","Missing access","OK")))))</f>
        <v/>
      </c>
    </row>
    <row r="172">
      <c r="A172" s="26" t="n"/>
      <c r="B172" s="26" t="n"/>
      <c r="C172" s="26" t="n"/>
      <c r="D172" s="26" t="n"/>
      <c r="E172" s="30">
        <f>IF(B172="","",IFERROR(INDEX('Holders'!$B$4:$B$1003,MATCH(B172,'Holders'!$A$4:$A$1003,0)),""))</f>
        <v/>
      </c>
      <c r="F172" s="30">
        <f t="array" ref="F172">IF(B172="","",_xlfn.TEXTJOIN(", ",TRUE,IF(('Companies'!$A$4:$A$63&lt;&gt;"")*(COUNTIFS('Holdings'!$A$4:$A$2503,B172,'Holdings'!$J$4:$J$2503,'Companies'!$A$4:$A$63,'Holdings'!$L$4:$L$2503,"Yes",'Holdings'!$C$4:$C$2503,"&gt;0")&gt;0),'Companies'!$A$4:$A$63,"")))</f>
        <v/>
      </c>
      <c r="G172" s="30">
        <f>IF(A172="","",IF(COUNTIF('People'!$A$4:$A$1003,A172)=0,"Email not on People",IF(COUNTIF('Holders'!$A$4:$A$1003,B172)=0,"Unknown holder ID",IF(COUNTIFS($A$4:$A$1503,A172,$B$4:$B$1503,B172)&gt;1,"Duplicate link",IF(C172="","Missing access","OK")))))</f>
        <v/>
      </c>
    </row>
    <row r="173">
      <c r="A173" s="26" t="n"/>
      <c r="B173" s="26" t="n"/>
      <c r="C173" s="26" t="n"/>
      <c r="D173" s="26" t="n"/>
      <c r="E173" s="30">
        <f>IF(B173="","",IFERROR(INDEX('Holders'!$B$4:$B$1003,MATCH(B173,'Holders'!$A$4:$A$1003,0)),""))</f>
        <v/>
      </c>
      <c r="F173" s="30">
        <f t="array" ref="F173">IF(B173="","",_xlfn.TEXTJOIN(", ",TRUE,IF(('Companies'!$A$4:$A$63&lt;&gt;"")*(COUNTIFS('Holdings'!$A$4:$A$2503,B173,'Holdings'!$J$4:$J$2503,'Companies'!$A$4:$A$63,'Holdings'!$L$4:$L$2503,"Yes",'Holdings'!$C$4:$C$2503,"&gt;0")&gt;0),'Companies'!$A$4:$A$63,"")))</f>
        <v/>
      </c>
      <c r="G173" s="30">
        <f>IF(A173="","",IF(COUNTIF('People'!$A$4:$A$1003,A173)=0,"Email not on People",IF(COUNTIF('Holders'!$A$4:$A$1003,B173)=0,"Unknown holder ID",IF(COUNTIFS($A$4:$A$1503,A173,$B$4:$B$1503,B173)&gt;1,"Duplicate link",IF(C173="","Missing access","OK")))))</f>
        <v/>
      </c>
    </row>
    <row r="174">
      <c r="A174" s="26" t="n"/>
      <c r="B174" s="26" t="n"/>
      <c r="C174" s="26" t="n"/>
      <c r="D174" s="26" t="n"/>
      <c r="E174" s="30">
        <f>IF(B174="","",IFERROR(INDEX('Holders'!$B$4:$B$1003,MATCH(B174,'Holders'!$A$4:$A$1003,0)),""))</f>
        <v/>
      </c>
      <c r="F174" s="30">
        <f t="array" ref="F174">IF(B174="","",_xlfn.TEXTJOIN(", ",TRUE,IF(('Companies'!$A$4:$A$63&lt;&gt;"")*(COUNTIFS('Holdings'!$A$4:$A$2503,B174,'Holdings'!$J$4:$J$2503,'Companies'!$A$4:$A$63,'Holdings'!$L$4:$L$2503,"Yes",'Holdings'!$C$4:$C$2503,"&gt;0")&gt;0),'Companies'!$A$4:$A$63,"")))</f>
        <v/>
      </c>
      <c r="G174" s="30">
        <f>IF(A174="","",IF(COUNTIF('People'!$A$4:$A$1003,A174)=0,"Email not on People",IF(COUNTIF('Holders'!$A$4:$A$1003,B174)=0,"Unknown holder ID",IF(COUNTIFS($A$4:$A$1503,A174,$B$4:$B$1503,B174)&gt;1,"Duplicate link",IF(C174="","Missing access","OK")))))</f>
        <v/>
      </c>
    </row>
    <row r="175">
      <c r="A175" s="26" t="n"/>
      <c r="B175" s="26" t="n"/>
      <c r="C175" s="26" t="n"/>
      <c r="D175" s="26" t="n"/>
      <c r="E175" s="30">
        <f>IF(B175="","",IFERROR(INDEX('Holders'!$B$4:$B$1003,MATCH(B175,'Holders'!$A$4:$A$1003,0)),""))</f>
        <v/>
      </c>
      <c r="F175" s="30">
        <f t="array" ref="F175">IF(B175="","",_xlfn.TEXTJOIN(", ",TRUE,IF(('Companies'!$A$4:$A$63&lt;&gt;"")*(COUNTIFS('Holdings'!$A$4:$A$2503,B175,'Holdings'!$J$4:$J$2503,'Companies'!$A$4:$A$63,'Holdings'!$L$4:$L$2503,"Yes",'Holdings'!$C$4:$C$2503,"&gt;0")&gt;0),'Companies'!$A$4:$A$63,"")))</f>
        <v/>
      </c>
      <c r="G175" s="30">
        <f>IF(A175="","",IF(COUNTIF('People'!$A$4:$A$1003,A175)=0,"Email not on People",IF(COUNTIF('Holders'!$A$4:$A$1003,B175)=0,"Unknown holder ID",IF(COUNTIFS($A$4:$A$1503,A175,$B$4:$B$1503,B175)&gt;1,"Duplicate link",IF(C175="","Missing access","OK")))))</f>
        <v/>
      </c>
    </row>
    <row r="176">
      <c r="A176" s="26" t="n"/>
      <c r="B176" s="26" t="n"/>
      <c r="C176" s="26" t="n"/>
      <c r="D176" s="26" t="n"/>
      <c r="E176" s="30">
        <f>IF(B176="","",IFERROR(INDEX('Holders'!$B$4:$B$1003,MATCH(B176,'Holders'!$A$4:$A$1003,0)),""))</f>
        <v/>
      </c>
      <c r="F176" s="30">
        <f t="array" ref="F176">IF(B176="","",_xlfn.TEXTJOIN(", ",TRUE,IF(('Companies'!$A$4:$A$63&lt;&gt;"")*(COUNTIFS('Holdings'!$A$4:$A$2503,B176,'Holdings'!$J$4:$J$2503,'Companies'!$A$4:$A$63,'Holdings'!$L$4:$L$2503,"Yes",'Holdings'!$C$4:$C$2503,"&gt;0")&gt;0),'Companies'!$A$4:$A$63,"")))</f>
        <v/>
      </c>
      <c r="G176" s="30">
        <f>IF(A176="","",IF(COUNTIF('People'!$A$4:$A$1003,A176)=0,"Email not on People",IF(COUNTIF('Holders'!$A$4:$A$1003,B176)=0,"Unknown holder ID",IF(COUNTIFS($A$4:$A$1503,A176,$B$4:$B$1503,B176)&gt;1,"Duplicate link",IF(C176="","Missing access","OK")))))</f>
        <v/>
      </c>
    </row>
    <row r="177">
      <c r="A177" s="26" t="n"/>
      <c r="B177" s="26" t="n"/>
      <c r="C177" s="26" t="n"/>
      <c r="D177" s="26" t="n"/>
      <c r="E177" s="30">
        <f>IF(B177="","",IFERROR(INDEX('Holders'!$B$4:$B$1003,MATCH(B177,'Holders'!$A$4:$A$1003,0)),""))</f>
        <v/>
      </c>
      <c r="F177" s="30">
        <f t="array" ref="F177">IF(B177="","",_xlfn.TEXTJOIN(", ",TRUE,IF(('Companies'!$A$4:$A$63&lt;&gt;"")*(COUNTIFS('Holdings'!$A$4:$A$2503,B177,'Holdings'!$J$4:$J$2503,'Companies'!$A$4:$A$63,'Holdings'!$L$4:$L$2503,"Yes",'Holdings'!$C$4:$C$2503,"&gt;0")&gt;0),'Companies'!$A$4:$A$63,"")))</f>
        <v/>
      </c>
      <c r="G177" s="30">
        <f>IF(A177="","",IF(COUNTIF('People'!$A$4:$A$1003,A177)=0,"Email not on People",IF(COUNTIF('Holders'!$A$4:$A$1003,B177)=0,"Unknown holder ID",IF(COUNTIFS($A$4:$A$1503,A177,$B$4:$B$1503,B177)&gt;1,"Duplicate link",IF(C177="","Missing access","OK")))))</f>
        <v/>
      </c>
    </row>
    <row r="178">
      <c r="A178" s="26" t="n"/>
      <c r="B178" s="26" t="n"/>
      <c r="C178" s="26" t="n"/>
      <c r="D178" s="26" t="n"/>
      <c r="E178" s="30">
        <f>IF(B178="","",IFERROR(INDEX('Holders'!$B$4:$B$1003,MATCH(B178,'Holders'!$A$4:$A$1003,0)),""))</f>
        <v/>
      </c>
      <c r="F178" s="30">
        <f t="array" ref="F178">IF(B178="","",_xlfn.TEXTJOIN(", ",TRUE,IF(('Companies'!$A$4:$A$63&lt;&gt;"")*(COUNTIFS('Holdings'!$A$4:$A$2503,B178,'Holdings'!$J$4:$J$2503,'Companies'!$A$4:$A$63,'Holdings'!$L$4:$L$2503,"Yes",'Holdings'!$C$4:$C$2503,"&gt;0")&gt;0),'Companies'!$A$4:$A$63,"")))</f>
        <v/>
      </c>
      <c r="G178" s="30">
        <f>IF(A178="","",IF(COUNTIF('People'!$A$4:$A$1003,A178)=0,"Email not on People",IF(COUNTIF('Holders'!$A$4:$A$1003,B178)=0,"Unknown holder ID",IF(COUNTIFS($A$4:$A$1503,A178,$B$4:$B$1503,B178)&gt;1,"Duplicate link",IF(C178="","Missing access","OK")))))</f>
        <v/>
      </c>
    </row>
    <row r="179">
      <c r="A179" s="26" t="n"/>
      <c r="B179" s="26" t="n"/>
      <c r="C179" s="26" t="n"/>
      <c r="D179" s="26" t="n"/>
      <c r="E179" s="30">
        <f>IF(B179="","",IFERROR(INDEX('Holders'!$B$4:$B$1003,MATCH(B179,'Holders'!$A$4:$A$1003,0)),""))</f>
        <v/>
      </c>
      <c r="F179" s="30">
        <f t="array" ref="F179">IF(B179="","",_xlfn.TEXTJOIN(", ",TRUE,IF(('Companies'!$A$4:$A$63&lt;&gt;"")*(COUNTIFS('Holdings'!$A$4:$A$2503,B179,'Holdings'!$J$4:$J$2503,'Companies'!$A$4:$A$63,'Holdings'!$L$4:$L$2503,"Yes",'Holdings'!$C$4:$C$2503,"&gt;0")&gt;0),'Companies'!$A$4:$A$63,"")))</f>
        <v/>
      </c>
      <c r="G179" s="30">
        <f>IF(A179="","",IF(COUNTIF('People'!$A$4:$A$1003,A179)=0,"Email not on People",IF(COUNTIF('Holders'!$A$4:$A$1003,B179)=0,"Unknown holder ID",IF(COUNTIFS($A$4:$A$1503,A179,$B$4:$B$1503,B179)&gt;1,"Duplicate link",IF(C179="","Missing access","OK")))))</f>
        <v/>
      </c>
    </row>
    <row r="180">
      <c r="A180" s="26" t="n"/>
      <c r="B180" s="26" t="n"/>
      <c r="C180" s="26" t="n"/>
      <c r="D180" s="26" t="n"/>
      <c r="E180" s="30">
        <f>IF(B180="","",IFERROR(INDEX('Holders'!$B$4:$B$1003,MATCH(B180,'Holders'!$A$4:$A$1003,0)),""))</f>
        <v/>
      </c>
      <c r="F180" s="30">
        <f t="array" ref="F180">IF(B180="","",_xlfn.TEXTJOIN(", ",TRUE,IF(('Companies'!$A$4:$A$63&lt;&gt;"")*(COUNTIFS('Holdings'!$A$4:$A$2503,B180,'Holdings'!$J$4:$J$2503,'Companies'!$A$4:$A$63,'Holdings'!$L$4:$L$2503,"Yes",'Holdings'!$C$4:$C$2503,"&gt;0")&gt;0),'Companies'!$A$4:$A$63,"")))</f>
        <v/>
      </c>
      <c r="G180" s="30">
        <f>IF(A180="","",IF(COUNTIF('People'!$A$4:$A$1003,A180)=0,"Email not on People",IF(COUNTIF('Holders'!$A$4:$A$1003,B180)=0,"Unknown holder ID",IF(COUNTIFS($A$4:$A$1503,A180,$B$4:$B$1503,B180)&gt;1,"Duplicate link",IF(C180="","Missing access","OK")))))</f>
        <v/>
      </c>
    </row>
    <row r="181">
      <c r="A181" s="26" t="n"/>
      <c r="B181" s="26" t="n"/>
      <c r="C181" s="26" t="n"/>
      <c r="D181" s="26" t="n"/>
      <c r="E181" s="30">
        <f>IF(B181="","",IFERROR(INDEX('Holders'!$B$4:$B$1003,MATCH(B181,'Holders'!$A$4:$A$1003,0)),""))</f>
        <v/>
      </c>
      <c r="F181" s="30">
        <f t="array" ref="F181">IF(B181="","",_xlfn.TEXTJOIN(", ",TRUE,IF(('Companies'!$A$4:$A$63&lt;&gt;"")*(COUNTIFS('Holdings'!$A$4:$A$2503,B181,'Holdings'!$J$4:$J$2503,'Companies'!$A$4:$A$63,'Holdings'!$L$4:$L$2503,"Yes",'Holdings'!$C$4:$C$2503,"&gt;0")&gt;0),'Companies'!$A$4:$A$63,"")))</f>
        <v/>
      </c>
      <c r="G181" s="30">
        <f>IF(A181="","",IF(COUNTIF('People'!$A$4:$A$1003,A181)=0,"Email not on People",IF(COUNTIF('Holders'!$A$4:$A$1003,B181)=0,"Unknown holder ID",IF(COUNTIFS($A$4:$A$1503,A181,$B$4:$B$1503,B181)&gt;1,"Duplicate link",IF(C181="","Missing access","OK")))))</f>
        <v/>
      </c>
    </row>
    <row r="182">
      <c r="A182" s="26" t="n"/>
      <c r="B182" s="26" t="n"/>
      <c r="C182" s="26" t="n"/>
      <c r="D182" s="26" t="n"/>
      <c r="E182" s="30">
        <f>IF(B182="","",IFERROR(INDEX('Holders'!$B$4:$B$1003,MATCH(B182,'Holders'!$A$4:$A$1003,0)),""))</f>
        <v/>
      </c>
      <c r="F182" s="30">
        <f t="array" ref="F182">IF(B182="","",_xlfn.TEXTJOIN(", ",TRUE,IF(('Companies'!$A$4:$A$63&lt;&gt;"")*(COUNTIFS('Holdings'!$A$4:$A$2503,B182,'Holdings'!$J$4:$J$2503,'Companies'!$A$4:$A$63,'Holdings'!$L$4:$L$2503,"Yes",'Holdings'!$C$4:$C$2503,"&gt;0")&gt;0),'Companies'!$A$4:$A$63,"")))</f>
        <v/>
      </c>
      <c r="G182" s="30">
        <f>IF(A182="","",IF(COUNTIF('People'!$A$4:$A$1003,A182)=0,"Email not on People",IF(COUNTIF('Holders'!$A$4:$A$1003,B182)=0,"Unknown holder ID",IF(COUNTIFS($A$4:$A$1503,A182,$B$4:$B$1503,B182)&gt;1,"Duplicate link",IF(C182="","Missing access","OK")))))</f>
        <v/>
      </c>
    </row>
    <row r="183">
      <c r="A183" s="26" t="n"/>
      <c r="B183" s="26" t="n"/>
      <c r="C183" s="26" t="n"/>
      <c r="D183" s="26" t="n"/>
      <c r="E183" s="30">
        <f>IF(B183="","",IFERROR(INDEX('Holders'!$B$4:$B$1003,MATCH(B183,'Holders'!$A$4:$A$1003,0)),""))</f>
        <v/>
      </c>
      <c r="F183" s="30">
        <f t="array" ref="F183">IF(B183="","",_xlfn.TEXTJOIN(", ",TRUE,IF(('Companies'!$A$4:$A$63&lt;&gt;"")*(COUNTIFS('Holdings'!$A$4:$A$2503,B183,'Holdings'!$J$4:$J$2503,'Companies'!$A$4:$A$63,'Holdings'!$L$4:$L$2503,"Yes",'Holdings'!$C$4:$C$2503,"&gt;0")&gt;0),'Companies'!$A$4:$A$63,"")))</f>
        <v/>
      </c>
      <c r="G183" s="30">
        <f>IF(A183="","",IF(COUNTIF('People'!$A$4:$A$1003,A183)=0,"Email not on People",IF(COUNTIF('Holders'!$A$4:$A$1003,B183)=0,"Unknown holder ID",IF(COUNTIFS($A$4:$A$1503,A183,$B$4:$B$1503,B183)&gt;1,"Duplicate link",IF(C183="","Missing access","OK")))))</f>
        <v/>
      </c>
    </row>
    <row r="184">
      <c r="A184" s="26" t="n"/>
      <c r="B184" s="26" t="n"/>
      <c r="C184" s="26" t="n"/>
      <c r="D184" s="26" t="n"/>
      <c r="E184" s="30">
        <f>IF(B184="","",IFERROR(INDEX('Holders'!$B$4:$B$1003,MATCH(B184,'Holders'!$A$4:$A$1003,0)),""))</f>
        <v/>
      </c>
      <c r="F184" s="30">
        <f t="array" ref="F184">IF(B184="","",_xlfn.TEXTJOIN(", ",TRUE,IF(('Companies'!$A$4:$A$63&lt;&gt;"")*(COUNTIFS('Holdings'!$A$4:$A$2503,B184,'Holdings'!$J$4:$J$2503,'Companies'!$A$4:$A$63,'Holdings'!$L$4:$L$2503,"Yes",'Holdings'!$C$4:$C$2503,"&gt;0")&gt;0),'Companies'!$A$4:$A$63,"")))</f>
        <v/>
      </c>
      <c r="G184" s="30">
        <f>IF(A184="","",IF(COUNTIF('People'!$A$4:$A$1003,A184)=0,"Email not on People",IF(COUNTIF('Holders'!$A$4:$A$1003,B184)=0,"Unknown holder ID",IF(COUNTIFS($A$4:$A$1503,A184,$B$4:$B$1503,B184)&gt;1,"Duplicate link",IF(C184="","Missing access","OK")))))</f>
        <v/>
      </c>
    </row>
    <row r="185">
      <c r="A185" s="26" t="n"/>
      <c r="B185" s="26" t="n"/>
      <c r="C185" s="26" t="n"/>
      <c r="D185" s="26" t="n"/>
      <c r="E185" s="30">
        <f>IF(B185="","",IFERROR(INDEX('Holders'!$B$4:$B$1003,MATCH(B185,'Holders'!$A$4:$A$1003,0)),""))</f>
        <v/>
      </c>
      <c r="F185" s="30">
        <f t="array" ref="F185">IF(B185="","",_xlfn.TEXTJOIN(", ",TRUE,IF(('Companies'!$A$4:$A$63&lt;&gt;"")*(COUNTIFS('Holdings'!$A$4:$A$2503,B185,'Holdings'!$J$4:$J$2503,'Companies'!$A$4:$A$63,'Holdings'!$L$4:$L$2503,"Yes",'Holdings'!$C$4:$C$2503,"&gt;0")&gt;0),'Companies'!$A$4:$A$63,"")))</f>
        <v/>
      </c>
      <c r="G185" s="30">
        <f>IF(A185="","",IF(COUNTIF('People'!$A$4:$A$1003,A185)=0,"Email not on People",IF(COUNTIF('Holders'!$A$4:$A$1003,B185)=0,"Unknown holder ID",IF(COUNTIFS($A$4:$A$1503,A185,$B$4:$B$1503,B185)&gt;1,"Duplicate link",IF(C185="","Missing access","OK")))))</f>
        <v/>
      </c>
    </row>
    <row r="186">
      <c r="A186" s="26" t="n"/>
      <c r="B186" s="26" t="n"/>
      <c r="C186" s="26" t="n"/>
      <c r="D186" s="26" t="n"/>
      <c r="E186" s="30">
        <f>IF(B186="","",IFERROR(INDEX('Holders'!$B$4:$B$1003,MATCH(B186,'Holders'!$A$4:$A$1003,0)),""))</f>
        <v/>
      </c>
      <c r="F186" s="30">
        <f t="array" ref="F186">IF(B186="","",_xlfn.TEXTJOIN(", ",TRUE,IF(('Companies'!$A$4:$A$63&lt;&gt;"")*(COUNTIFS('Holdings'!$A$4:$A$2503,B186,'Holdings'!$J$4:$J$2503,'Companies'!$A$4:$A$63,'Holdings'!$L$4:$L$2503,"Yes",'Holdings'!$C$4:$C$2503,"&gt;0")&gt;0),'Companies'!$A$4:$A$63,"")))</f>
        <v/>
      </c>
      <c r="G186" s="30">
        <f>IF(A186="","",IF(COUNTIF('People'!$A$4:$A$1003,A186)=0,"Email not on People",IF(COUNTIF('Holders'!$A$4:$A$1003,B186)=0,"Unknown holder ID",IF(COUNTIFS($A$4:$A$1503,A186,$B$4:$B$1503,B186)&gt;1,"Duplicate link",IF(C186="","Missing access","OK")))))</f>
        <v/>
      </c>
    </row>
    <row r="187">
      <c r="A187" s="26" t="n"/>
      <c r="B187" s="26" t="n"/>
      <c r="C187" s="26" t="n"/>
      <c r="D187" s="26" t="n"/>
      <c r="E187" s="30">
        <f>IF(B187="","",IFERROR(INDEX('Holders'!$B$4:$B$1003,MATCH(B187,'Holders'!$A$4:$A$1003,0)),""))</f>
        <v/>
      </c>
      <c r="F187" s="30">
        <f t="array" ref="F187">IF(B187="","",_xlfn.TEXTJOIN(", ",TRUE,IF(('Companies'!$A$4:$A$63&lt;&gt;"")*(COUNTIFS('Holdings'!$A$4:$A$2503,B187,'Holdings'!$J$4:$J$2503,'Companies'!$A$4:$A$63,'Holdings'!$L$4:$L$2503,"Yes",'Holdings'!$C$4:$C$2503,"&gt;0")&gt;0),'Companies'!$A$4:$A$63,"")))</f>
        <v/>
      </c>
      <c r="G187" s="30">
        <f>IF(A187="","",IF(COUNTIF('People'!$A$4:$A$1003,A187)=0,"Email not on People",IF(COUNTIF('Holders'!$A$4:$A$1003,B187)=0,"Unknown holder ID",IF(COUNTIFS($A$4:$A$1503,A187,$B$4:$B$1503,B187)&gt;1,"Duplicate link",IF(C187="","Missing access","OK")))))</f>
        <v/>
      </c>
    </row>
    <row r="188">
      <c r="A188" s="26" t="n"/>
      <c r="B188" s="26" t="n"/>
      <c r="C188" s="26" t="n"/>
      <c r="D188" s="26" t="n"/>
      <c r="E188" s="30">
        <f>IF(B188="","",IFERROR(INDEX('Holders'!$B$4:$B$1003,MATCH(B188,'Holders'!$A$4:$A$1003,0)),""))</f>
        <v/>
      </c>
      <c r="F188" s="30">
        <f t="array" ref="F188">IF(B188="","",_xlfn.TEXTJOIN(", ",TRUE,IF(('Companies'!$A$4:$A$63&lt;&gt;"")*(COUNTIFS('Holdings'!$A$4:$A$2503,B188,'Holdings'!$J$4:$J$2503,'Companies'!$A$4:$A$63,'Holdings'!$L$4:$L$2503,"Yes",'Holdings'!$C$4:$C$2503,"&gt;0")&gt;0),'Companies'!$A$4:$A$63,"")))</f>
        <v/>
      </c>
      <c r="G188" s="30">
        <f>IF(A188="","",IF(COUNTIF('People'!$A$4:$A$1003,A188)=0,"Email not on People",IF(COUNTIF('Holders'!$A$4:$A$1003,B188)=0,"Unknown holder ID",IF(COUNTIFS($A$4:$A$1503,A188,$B$4:$B$1503,B188)&gt;1,"Duplicate link",IF(C188="","Missing access","OK")))))</f>
        <v/>
      </c>
    </row>
    <row r="189">
      <c r="A189" s="26" t="n"/>
      <c r="B189" s="26" t="n"/>
      <c r="C189" s="26" t="n"/>
      <c r="D189" s="26" t="n"/>
      <c r="E189" s="30">
        <f>IF(B189="","",IFERROR(INDEX('Holders'!$B$4:$B$1003,MATCH(B189,'Holders'!$A$4:$A$1003,0)),""))</f>
        <v/>
      </c>
      <c r="F189" s="30">
        <f t="array" ref="F189">IF(B189="","",_xlfn.TEXTJOIN(", ",TRUE,IF(('Companies'!$A$4:$A$63&lt;&gt;"")*(COUNTIFS('Holdings'!$A$4:$A$2503,B189,'Holdings'!$J$4:$J$2503,'Companies'!$A$4:$A$63,'Holdings'!$L$4:$L$2503,"Yes",'Holdings'!$C$4:$C$2503,"&gt;0")&gt;0),'Companies'!$A$4:$A$63,"")))</f>
        <v/>
      </c>
      <c r="G189" s="30">
        <f>IF(A189="","",IF(COUNTIF('People'!$A$4:$A$1003,A189)=0,"Email not on People",IF(COUNTIF('Holders'!$A$4:$A$1003,B189)=0,"Unknown holder ID",IF(COUNTIFS($A$4:$A$1503,A189,$B$4:$B$1503,B189)&gt;1,"Duplicate link",IF(C189="","Missing access","OK")))))</f>
        <v/>
      </c>
    </row>
    <row r="190">
      <c r="A190" s="26" t="n"/>
      <c r="B190" s="26" t="n"/>
      <c r="C190" s="26" t="n"/>
      <c r="D190" s="26" t="n"/>
      <c r="E190" s="30">
        <f>IF(B190="","",IFERROR(INDEX('Holders'!$B$4:$B$1003,MATCH(B190,'Holders'!$A$4:$A$1003,0)),""))</f>
        <v/>
      </c>
      <c r="F190" s="30">
        <f t="array" ref="F190">IF(B190="","",_xlfn.TEXTJOIN(", ",TRUE,IF(('Companies'!$A$4:$A$63&lt;&gt;"")*(COUNTIFS('Holdings'!$A$4:$A$2503,B190,'Holdings'!$J$4:$J$2503,'Companies'!$A$4:$A$63,'Holdings'!$L$4:$L$2503,"Yes",'Holdings'!$C$4:$C$2503,"&gt;0")&gt;0),'Companies'!$A$4:$A$63,"")))</f>
        <v/>
      </c>
      <c r="G190" s="30">
        <f>IF(A190="","",IF(COUNTIF('People'!$A$4:$A$1003,A190)=0,"Email not on People",IF(COUNTIF('Holders'!$A$4:$A$1003,B190)=0,"Unknown holder ID",IF(COUNTIFS($A$4:$A$1503,A190,$B$4:$B$1503,B190)&gt;1,"Duplicate link",IF(C190="","Missing access","OK")))))</f>
        <v/>
      </c>
    </row>
    <row r="191">
      <c r="A191" s="26" t="n"/>
      <c r="B191" s="26" t="n"/>
      <c r="C191" s="26" t="n"/>
      <c r="D191" s="26" t="n"/>
      <c r="E191" s="30">
        <f>IF(B191="","",IFERROR(INDEX('Holders'!$B$4:$B$1003,MATCH(B191,'Holders'!$A$4:$A$1003,0)),""))</f>
        <v/>
      </c>
      <c r="F191" s="30">
        <f t="array" ref="F191">IF(B191="","",_xlfn.TEXTJOIN(", ",TRUE,IF(('Companies'!$A$4:$A$63&lt;&gt;"")*(COUNTIFS('Holdings'!$A$4:$A$2503,B191,'Holdings'!$J$4:$J$2503,'Companies'!$A$4:$A$63,'Holdings'!$L$4:$L$2503,"Yes",'Holdings'!$C$4:$C$2503,"&gt;0")&gt;0),'Companies'!$A$4:$A$63,"")))</f>
        <v/>
      </c>
      <c r="G191" s="30">
        <f>IF(A191="","",IF(COUNTIF('People'!$A$4:$A$1003,A191)=0,"Email not on People",IF(COUNTIF('Holders'!$A$4:$A$1003,B191)=0,"Unknown holder ID",IF(COUNTIFS($A$4:$A$1503,A191,$B$4:$B$1503,B191)&gt;1,"Duplicate link",IF(C191="","Missing access","OK")))))</f>
        <v/>
      </c>
    </row>
    <row r="192">
      <c r="A192" s="26" t="n"/>
      <c r="B192" s="26" t="n"/>
      <c r="C192" s="26" t="n"/>
      <c r="D192" s="26" t="n"/>
      <c r="E192" s="30">
        <f>IF(B192="","",IFERROR(INDEX('Holders'!$B$4:$B$1003,MATCH(B192,'Holders'!$A$4:$A$1003,0)),""))</f>
        <v/>
      </c>
      <c r="F192" s="30">
        <f t="array" ref="F192">IF(B192="","",_xlfn.TEXTJOIN(", ",TRUE,IF(('Companies'!$A$4:$A$63&lt;&gt;"")*(COUNTIFS('Holdings'!$A$4:$A$2503,B192,'Holdings'!$J$4:$J$2503,'Companies'!$A$4:$A$63,'Holdings'!$L$4:$L$2503,"Yes",'Holdings'!$C$4:$C$2503,"&gt;0")&gt;0),'Companies'!$A$4:$A$63,"")))</f>
        <v/>
      </c>
      <c r="G192" s="30">
        <f>IF(A192="","",IF(COUNTIF('People'!$A$4:$A$1003,A192)=0,"Email not on People",IF(COUNTIF('Holders'!$A$4:$A$1003,B192)=0,"Unknown holder ID",IF(COUNTIFS($A$4:$A$1503,A192,$B$4:$B$1503,B192)&gt;1,"Duplicate link",IF(C192="","Missing access","OK")))))</f>
        <v/>
      </c>
    </row>
    <row r="193">
      <c r="A193" s="26" t="n"/>
      <c r="B193" s="26" t="n"/>
      <c r="C193" s="26" t="n"/>
      <c r="D193" s="26" t="n"/>
      <c r="E193" s="30">
        <f>IF(B193="","",IFERROR(INDEX('Holders'!$B$4:$B$1003,MATCH(B193,'Holders'!$A$4:$A$1003,0)),""))</f>
        <v/>
      </c>
      <c r="F193" s="30">
        <f t="array" ref="F193">IF(B193="","",_xlfn.TEXTJOIN(", ",TRUE,IF(('Companies'!$A$4:$A$63&lt;&gt;"")*(COUNTIFS('Holdings'!$A$4:$A$2503,B193,'Holdings'!$J$4:$J$2503,'Companies'!$A$4:$A$63,'Holdings'!$L$4:$L$2503,"Yes",'Holdings'!$C$4:$C$2503,"&gt;0")&gt;0),'Companies'!$A$4:$A$63,"")))</f>
        <v/>
      </c>
      <c r="G193" s="30">
        <f>IF(A193="","",IF(COUNTIF('People'!$A$4:$A$1003,A193)=0,"Email not on People",IF(COUNTIF('Holders'!$A$4:$A$1003,B193)=0,"Unknown holder ID",IF(COUNTIFS($A$4:$A$1503,A193,$B$4:$B$1503,B193)&gt;1,"Duplicate link",IF(C193="","Missing access","OK")))))</f>
        <v/>
      </c>
    </row>
    <row r="194">
      <c r="A194" s="26" t="n"/>
      <c r="B194" s="26" t="n"/>
      <c r="C194" s="26" t="n"/>
      <c r="D194" s="26" t="n"/>
      <c r="E194" s="30">
        <f>IF(B194="","",IFERROR(INDEX('Holders'!$B$4:$B$1003,MATCH(B194,'Holders'!$A$4:$A$1003,0)),""))</f>
        <v/>
      </c>
      <c r="F194" s="30">
        <f t="array" ref="F194">IF(B194="","",_xlfn.TEXTJOIN(", ",TRUE,IF(('Companies'!$A$4:$A$63&lt;&gt;"")*(COUNTIFS('Holdings'!$A$4:$A$2503,B194,'Holdings'!$J$4:$J$2503,'Companies'!$A$4:$A$63,'Holdings'!$L$4:$L$2503,"Yes",'Holdings'!$C$4:$C$2503,"&gt;0")&gt;0),'Companies'!$A$4:$A$63,"")))</f>
        <v/>
      </c>
      <c r="G194" s="30">
        <f>IF(A194="","",IF(COUNTIF('People'!$A$4:$A$1003,A194)=0,"Email not on People",IF(COUNTIF('Holders'!$A$4:$A$1003,B194)=0,"Unknown holder ID",IF(COUNTIFS($A$4:$A$1503,A194,$B$4:$B$1503,B194)&gt;1,"Duplicate link",IF(C194="","Missing access","OK")))))</f>
        <v/>
      </c>
    </row>
    <row r="195">
      <c r="A195" s="26" t="n"/>
      <c r="B195" s="26" t="n"/>
      <c r="C195" s="26" t="n"/>
      <c r="D195" s="26" t="n"/>
      <c r="E195" s="30">
        <f>IF(B195="","",IFERROR(INDEX('Holders'!$B$4:$B$1003,MATCH(B195,'Holders'!$A$4:$A$1003,0)),""))</f>
        <v/>
      </c>
      <c r="F195" s="30">
        <f t="array" ref="F195">IF(B195="","",_xlfn.TEXTJOIN(", ",TRUE,IF(('Companies'!$A$4:$A$63&lt;&gt;"")*(COUNTIFS('Holdings'!$A$4:$A$2503,B195,'Holdings'!$J$4:$J$2503,'Companies'!$A$4:$A$63,'Holdings'!$L$4:$L$2503,"Yes",'Holdings'!$C$4:$C$2503,"&gt;0")&gt;0),'Companies'!$A$4:$A$63,"")))</f>
        <v/>
      </c>
      <c r="G195" s="30">
        <f>IF(A195="","",IF(COUNTIF('People'!$A$4:$A$1003,A195)=0,"Email not on People",IF(COUNTIF('Holders'!$A$4:$A$1003,B195)=0,"Unknown holder ID",IF(COUNTIFS($A$4:$A$1503,A195,$B$4:$B$1503,B195)&gt;1,"Duplicate link",IF(C195="","Missing access","OK")))))</f>
        <v/>
      </c>
    </row>
    <row r="196">
      <c r="A196" s="26" t="n"/>
      <c r="B196" s="26" t="n"/>
      <c r="C196" s="26" t="n"/>
      <c r="D196" s="26" t="n"/>
      <c r="E196" s="30">
        <f>IF(B196="","",IFERROR(INDEX('Holders'!$B$4:$B$1003,MATCH(B196,'Holders'!$A$4:$A$1003,0)),""))</f>
        <v/>
      </c>
      <c r="F196" s="30">
        <f t="array" ref="F196">IF(B196="","",_xlfn.TEXTJOIN(", ",TRUE,IF(('Companies'!$A$4:$A$63&lt;&gt;"")*(COUNTIFS('Holdings'!$A$4:$A$2503,B196,'Holdings'!$J$4:$J$2503,'Companies'!$A$4:$A$63,'Holdings'!$L$4:$L$2503,"Yes",'Holdings'!$C$4:$C$2503,"&gt;0")&gt;0),'Companies'!$A$4:$A$63,"")))</f>
        <v/>
      </c>
      <c r="G196" s="30">
        <f>IF(A196="","",IF(COUNTIF('People'!$A$4:$A$1003,A196)=0,"Email not on People",IF(COUNTIF('Holders'!$A$4:$A$1003,B196)=0,"Unknown holder ID",IF(COUNTIFS($A$4:$A$1503,A196,$B$4:$B$1503,B196)&gt;1,"Duplicate link",IF(C196="","Missing access","OK")))))</f>
        <v/>
      </c>
    </row>
    <row r="197">
      <c r="A197" s="26" t="n"/>
      <c r="B197" s="26" t="n"/>
      <c r="C197" s="26" t="n"/>
      <c r="D197" s="26" t="n"/>
      <c r="E197" s="30">
        <f>IF(B197="","",IFERROR(INDEX('Holders'!$B$4:$B$1003,MATCH(B197,'Holders'!$A$4:$A$1003,0)),""))</f>
        <v/>
      </c>
      <c r="F197" s="30">
        <f t="array" ref="F197">IF(B197="","",_xlfn.TEXTJOIN(", ",TRUE,IF(('Companies'!$A$4:$A$63&lt;&gt;"")*(COUNTIFS('Holdings'!$A$4:$A$2503,B197,'Holdings'!$J$4:$J$2503,'Companies'!$A$4:$A$63,'Holdings'!$L$4:$L$2503,"Yes",'Holdings'!$C$4:$C$2503,"&gt;0")&gt;0),'Companies'!$A$4:$A$63,"")))</f>
        <v/>
      </c>
      <c r="G197" s="30">
        <f>IF(A197="","",IF(COUNTIF('People'!$A$4:$A$1003,A197)=0,"Email not on People",IF(COUNTIF('Holders'!$A$4:$A$1003,B197)=0,"Unknown holder ID",IF(COUNTIFS($A$4:$A$1503,A197,$B$4:$B$1503,B197)&gt;1,"Duplicate link",IF(C197="","Missing access","OK")))))</f>
        <v/>
      </c>
    </row>
    <row r="198">
      <c r="A198" s="26" t="n"/>
      <c r="B198" s="26" t="n"/>
      <c r="C198" s="26" t="n"/>
      <c r="D198" s="26" t="n"/>
      <c r="E198" s="30">
        <f>IF(B198="","",IFERROR(INDEX('Holders'!$B$4:$B$1003,MATCH(B198,'Holders'!$A$4:$A$1003,0)),""))</f>
        <v/>
      </c>
      <c r="F198" s="30">
        <f t="array" ref="F198">IF(B198="","",_xlfn.TEXTJOIN(", ",TRUE,IF(('Companies'!$A$4:$A$63&lt;&gt;"")*(COUNTIFS('Holdings'!$A$4:$A$2503,B198,'Holdings'!$J$4:$J$2503,'Companies'!$A$4:$A$63,'Holdings'!$L$4:$L$2503,"Yes",'Holdings'!$C$4:$C$2503,"&gt;0")&gt;0),'Companies'!$A$4:$A$63,"")))</f>
        <v/>
      </c>
      <c r="G198" s="30">
        <f>IF(A198="","",IF(COUNTIF('People'!$A$4:$A$1003,A198)=0,"Email not on People",IF(COUNTIF('Holders'!$A$4:$A$1003,B198)=0,"Unknown holder ID",IF(COUNTIFS($A$4:$A$1503,A198,$B$4:$B$1503,B198)&gt;1,"Duplicate link",IF(C198="","Missing access","OK")))))</f>
        <v/>
      </c>
    </row>
    <row r="199">
      <c r="A199" s="26" t="n"/>
      <c r="B199" s="26" t="n"/>
      <c r="C199" s="26" t="n"/>
      <c r="D199" s="26" t="n"/>
      <c r="E199" s="30">
        <f>IF(B199="","",IFERROR(INDEX('Holders'!$B$4:$B$1003,MATCH(B199,'Holders'!$A$4:$A$1003,0)),""))</f>
        <v/>
      </c>
      <c r="F199" s="30">
        <f t="array" ref="F199">IF(B199="","",_xlfn.TEXTJOIN(", ",TRUE,IF(('Companies'!$A$4:$A$63&lt;&gt;"")*(COUNTIFS('Holdings'!$A$4:$A$2503,B199,'Holdings'!$J$4:$J$2503,'Companies'!$A$4:$A$63,'Holdings'!$L$4:$L$2503,"Yes",'Holdings'!$C$4:$C$2503,"&gt;0")&gt;0),'Companies'!$A$4:$A$63,"")))</f>
        <v/>
      </c>
      <c r="G199" s="30">
        <f>IF(A199="","",IF(COUNTIF('People'!$A$4:$A$1003,A199)=0,"Email not on People",IF(COUNTIF('Holders'!$A$4:$A$1003,B199)=0,"Unknown holder ID",IF(COUNTIFS($A$4:$A$1503,A199,$B$4:$B$1503,B199)&gt;1,"Duplicate link",IF(C199="","Missing access","OK")))))</f>
        <v/>
      </c>
    </row>
    <row r="200">
      <c r="A200" s="26" t="n"/>
      <c r="B200" s="26" t="n"/>
      <c r="C200" s="26" t="n"/>
      <c r="D200" s="26" t="n"/>
      <c r="E200" s="30">
        <f>IF(B200="","",IFERROR(INDEX('Holders'!$B$4:$B$1003,MATCH(B200,'Holders'!$A$4:$A$1003,0)),""))</f>
        <v/>
      </c>
      <c r="F200" s="30">
        <f t="array" ref="F200">IF(B200="","",_xlfn.TEXTJOIN(", ",TRUE,IF(('Companies'!$A$4:$A$63&lt;&gt;"")*(COUNTIFS('Holdings'!$A$4:$A$2503,B200,'Holdings'!$J$4:$J$2503,'Companies'!$A$4:$A$63,'Holdings'!$L$4:$L$2503,"Yes",'Holdings'!$C$4:$C$2503,"&gt;0")&gt;0),'Companies'!$A$4:$A$63,"")))</f>
        <v/>
      </c>
      <c r="G200" s="30">
        <f>IF(A200="","",IF(COUNTIF('People'!$A$4:$A$1003,A200)=0,"Email not on People",IF(COUNTIF('Holders'!$A$4:$A$1003,B200)=0,"Unknown holder ID",IF(COUNTIFS($A$4:$A$1503,A200,$B$4:$B$1503,B200)&gt;1,"Duplicate link",IF(C200="","Missing access","OK")))))</f>
        <v/>
      </c>
    </row>
    <row r="201">
      <c r="A201" s="26" t="n"/>
      <c r="B201" s="26" t="n"/>
      <c r="C201" s="26" t="n"/>
      <c r="D201" s="26" t="n"/>
      <c r="E201" s="30">
        <f>IF(B201="","",IFERROR(INDEX('Holders'!$B$4:$B$1003,MATCH(B201,'Holders'!$A$4:$A$1003,0)),""))</f>
        <v/>
      </c>
      <c r="F201" s="30">
        <f t="array" ref="F201">IF(B201="","",_xlfn.TEXTJOIN(", ",TRUE,IF(('Companies'!$A$4:$A$63&lt;&gt;"")*(COUNTIFS('Holdings'!$A$4:$A$2503,B201,'Holdings'!$J$4:$J$2503,'Companies'!$A$4:$A$63,'Holdings'!$L$4:$L$2503,"Yes",'Holdings'!$C$4:$C$2503,"&gt;0")&gt;0),'Companies'!$A$4:$A$63,"")))</f>
        <v/>
      </c>
      <c r="G201" s="30">
        <f>IF(A201="","",IF(COUNTIF('People'!$A$4:$A$1003,A201)=0,"Email not on People",IF(COUNTIF('Holders'!$A$4:$A$1003,B201)=0,"Unknown holder ID",IF(COUNTIFS($A$4:$A$1503,A201,$B$4:$B$1503,B201)&gt;1,"Duplicate link",IF(C201="","Missing access","OK")))))</f>
        <v/>
      </c>
    </row>
    <row r="202">
      <c r="A202" s="26" t="n"/>
      <c r="B202" s="26" t="n"/>
      <c r="C202" s="26" t="n"/>
      <c r="D202" s="26" t="n"/>
      <c r="E202" s="30">
        <f>IF(B202="","",IFERROR(INDEX('Holders'!$B$4:$B$1003,MATCH(B202,'Holders'!$A$4:$A$1003,0)),""))</f>
        <v/>
      </c>
      <c r="F202" s="30">
        <f t="array" ref="F202">IF(B202="","",_xlfn.TEXTJOIN(", ",TRUE,IF(('Companies'!$A$4:$A$63&lt;&gt;"")*(COUNTIFS('Holdings'!$A$4:$A$2503,B202,'Holdings'!$J$4:$J$2503,'Companies'!$A$4:$A$63,'Holdings'!$L$4:$L$2503,"Yes",'Holdings'!$C$4:$C$2503,"&gt;0")&gt;0),'Companies'!$A$4:$A$63,"")))</f>
        <v/>
      </c>
      <c r="G202" s="30">
        <f>IF(A202="","",IF(COUNTIF('People'!$A$4:$A$1003,A202)=0,"Email not on People",IF(COUNTIF('Holders'!$A$4:$A$1003,B202)=0,"Unknown holder ID",IF(COUNTIFS($A$4:$A$1503,A202,$B$4:$B$1503,B202)&gt;1,"Duplicate link",IF(C202="","Missing access","OK")))))</f>
        <v/>
      </c>
    </row>
    <row r="203">
      <c r="A203" s="26" t="n"/>
      <c r="B203" s="26" t="n"/>
      <c r="C203" s="26" t="n"/>
      <c r="D203" s="26" t="n"/>
      <c r="E203" s="30">
        <f>IF(B203="","",IFERROR(INDEX('Holders'!$B$4:$B$1003,MATCH(B203,'Holders'!$A$4:$A$1003,0)),""))</f>
        <v/>
      </c>
      <c r="F203" s="30">
        <f t="array" ref="F203">IF(B203="","",_xlfn.TEXTJOIN(", ",TRUE,IF(('Companies'!$A$4:$A$63&lt;&gt;"")*(COUNTIFS('Holdings'!$A$4:$A$2503,B203,'Holdings'!$J$4:$J$2503,'Companies'!$A$4:$A$63,'Holdings'!$L$4:$L$2503,"Yes",'Holdings'!$C$4:$C$2503,"&gt;0")&gt;0),'Companies'!$A$4:$A$63,"")))</f>
        <v/>
      </c>
      <c r="G203" s="30">
        <f>IF(A203="","",IF(COUNTIF('People'!$A$4:$A$1003,A203)=0,"Email not on People",IF(COUNTIF('Holders'!$A$4:$A$1003,B203)=0,"Unknown holder ID",IF(COUNTIFS($A$4:$A$1503,A203,$B$4:$B$1503,B203)&gt;1,"Duplicate link",IF(C203="","Missing access","OK")))))</f>
        <v/>
      </c>
    </row>
    <row r="204">
      <c r="A204" s="26" t="n"/>
      <c r="B204" s="26" t="n"/>
      <c r="C204" s="26" t="n"/>
      <c r="D204" s="26" t="n"/>
      <c r="E204" s="30">
        <f>IF(B204="","",IFERROR(INDEX('Holders'!$B$4:$B$1003,MATCH(B204,'Holders'!$A$4:$A$1003,0)),""))</f>
        <v/>
      </c>
      <c r="F204" s="30">
        <f t="array" ref="F204">IF(B204="","",_xlfn.TEXTJOIN(", ",TRUE,IF(('Companies'!$A$4:$A$63&lt;&gt;"")*(COUNTIFS('Holdings'!$A$4:$A$2503,B204,'Holdings'!$J$4:$J$2503,'Companies'!$A$4:$A$63,'Holdings'!$L$4:$L$2503,"Yes",'Holdings'!$C$4:$C$2503,"&gt;0")&gt;0),'Companies'!$A$4:$A$63,"")))</f>
        <v/>
      </c>
      <c r="G204" s="30">
        <f>IF(A204="","",IF(COUNTIF('People'!$A$4:$A$1003,A204)=0,"Email not on People",IF(COUNTIF('Holders'!$A$4:$A$1003,B204)=0,"Unknown holder ID",IF(COUNTIFS($A$4:$A$1503,A204,$B$4:$B$1503,B204)&gt;1,"Duplicate link",IF(C204="","Missing access","OK")))))</f>
        <v/>
      </c>
    </row>
    <row r="205">
      <c r="A205" s="26" t="n"/>
      <c r="B205" s="26" t="n"/>
      <c r="C205" s="26" t="n"/>
      <c r="D205" s="26" t="n"/>
      <c r="E205" s="30">
        <f>IF(B205="","",IFERROR(INDEX('Holders'!$B$4:$B$1003,MATCH(B205,'Holders'!$A$4:$A$1003,0)),""))</f>
        <v/>
      </c>
      <c r="F205" s="30">
        <f t="array" ref="F205">IF(B205="","",_xlfn.TEXTJOIN(", ",TRUE,IF(('Companies'!$A$4:$A$63&lt;&gt;"")*(COUNTIFS('Holdings'!$A$4:$A$2503,B205,'Holdings'!$J$4:$J$2503,'Companies'!$A$4:$A$63,'Holdings'!$L$4:$L$2503,"Yes",'Holdings'!$C$4:$C$2503,"&gt;0")&gt;0),'Companies'!$A$4:$A$63,"")))</f>
        <v/>
      </c>
      <c r="G205" s="30">
        <f>IF(A205="","",IF(COUNTIF('People'!$A$4:$A$1003,A205)=0,"Email not on People",IF(COUNTIF('Holders'!$A$4:$A$1003,B205)=0,"Unknown holder ID",IF(COUNTIFS($A$4:$A$1503,A205,$B$4:$B$1503,B205)&gt;1,"Duplicate link",IF(C205="","Missing access","OK")))))</f>
        <v/>
      </c>
    </row>
    <row r="206">
      <c r="A206" s="26" t="n"/>
      <c r="B206" s="26" t="n"/>
      <c r="C206" s="26" t="n"/>
      <c r="D206" s="26" t="n"/>
      <c r="E206" s="30">
        <f>IF(B206="","",IFERROR(INDEX('Holders'!$B$4:$B$1003,MATCH(B206,'Holders'!$A$4:$A$1003,0)),""))</f>
        <v/>
      </c>
      <c r="F206" s="30">
        <f t="array" ref="F206">IF(B206="","",_xlfn.TEXTJOIN(", ",TRUE,IF(('Companies'!$A$4:$A$63&lt;&gt;"")*(COUNTIFS('Holdings'!$A$4:$A$2503,B206,'Holdings'!$J$4:$J$2503,'Companies'!$A$4:$A$63,'Holdings'!$L$4:$L$2503,"Yes",'Holdings'!$C$4:$C$2503,"&gt;0")&gt;0),'Companies'!$A$4:$A$63,"")))</f>
        <v/>
      </c>
      <c r="G206" s="30">
        <f>IF(A206="","",IF(COUNTIF('People'!$A$4:$A$1003,A206)=0,"Email not on People",IF(COUNTIF('Holders'!$A$4:$A$1003,B206)=0,"Unknown holder ID",IF(COUNTIFS($A$4:$A$1503,A206,$B$4:$B$1503,B206)&gt;1,"Duplicate link",IF(C206="","Missing access","OK")))))</f>
        <v/>
      </c>
    </row>
    <row r="207">
      <c r="A207" s="26" t="n"/>
      <c r="B207" s="26" t="n"/>
      <c r="C207" s="26" t="n"/>
      <c r="D207" s="26" t="n"/>
      <c r="E207" s="30">
        <f>IF(B207="","",IFERROR(INDEX('Holders'!$B$4:$B$1003,MATCH(B207,'Holders'!$A$4:$A$1003,0)),""))</f>
        <v/>
      </c>
      <c r="F207" s="30">
        <f t="array" ref="F207">IF(B207="","",_xlfn.TEXTJOIN(", ",TRUE,IF(('Companies'!$A$4:$A$63&lt;&gt;"")*(COUNTIFS('Holdings'!$A$4:$A$2503,B207,'Holdings'!$J$4:$J$2503,'Companies'!$A$4:$A$63,'Holdings'!$L$4:$L$2503,"Yes",'Holdings'!$C$4:$C$2503,"&gt;0")&gt;0),'Companies'!$A$4:$A$63,"")))</f>
        <v/>
      </c>
      <c r="G207" s="30">
        <f>IF(A207="","",IF(COUNTIF('People'!$A$4:$A$1003,A207)=0,"Email not on People",IF(COUNTIF('Holders'!$A$4:$A$1003,B207)=0,"Unknown holder ID",IF(COUNTIFS($A$4:$A$1503,A207,$B$4:$B$1503,B207)&gt;1,"Duplicate link",IF(C207="","Missing access","OK")))))</f>
        <v/>
      </c>
    </row>
    <row r="208">
      <c r="A208" s="26" t="n"/>
      <c r="B208" s="26" t="n"/>
      <c r="C208" s="26" t="n"/>
      <c r="D208" s="26" t="n"/>
      <c r="E208" s="30">
        <f>IF(B208="","",IFERROR(INDEX('Holders'!$B$4:$B$1003,MATCH(B208,'Holders'!$A$4:$A$1003,0)),""))</f>
        <v/>
      </c>
      <c r="F208" s="30">
        <f t="array" ref="F208">IF(B208="","",_xlfn.TEXTJOIN(", ",TRUE,IF(('Companies'!$A$4:$A$63&lt;&gt;"")*(COUNTIFS('Holdings'!$A$4:$A$2503,B208,'Holdings'!$J$4:$J$2503,'Companies'!$A$4:$A$63,'Holdings'!$L$4:$L$2503,"Yes",'Holdings'!$C$4:$C$2503,"&gt;0")&gt;0),'Companies'!$A$4:$A$63,"")))</f>
        <v/>
      </c>
      <c r="G208" s="30">
        <f>IF(A208="","",IF(COUNTIF('People'!$A$4:$A$1003,A208)=0,"Email not on People",IF(COUNTIF('Holders'!$A$4:$A$1003,B208)=0,"Unknown holder ID",IF(COUNTIFS($A$4:$A$1503,A208,$B$4:$B$1503,B208)&gt;1,"Duplicate link",IF(C208="","Missing access","OK")))))</f>
        <v/>
      </c>
    </row>
    <row r="209">
      <c r="A209" s="26" t="n"/>
      <c r="B209" s="26" t="n"/>
      <c r="C209" s="26" t="n"/>
      <c r="D209" s="26" t="n"/>
      <c r="E209" s="30">
        <f>IF(B209="","",IFERROR(INDEX('Holders'!$B$4:$B$1003,MATCH(B209,'Holders'!$A$4:$A$1003,0)),""))</f>
        <v/>
      </c>
      <c r="F209" s="30">
        <f t="array" ref="F209">IF(B209="","",_xlfn.TEXTJOIN(", ",TRUE,IF(('Companies'!$A$4:$A$63&lt;&gt;"")*(COUNTIFS('Holdings'!$A$4:$A$2503,B209,'Holdings'!$J$4:$J$2503,'Companies'!$A$4:$A$63,'Holdings'!$L$4:$L$2503,"Yes",'Holdings'!$C$4:$C$2503,"&gt;0")&gt;0),'Companies'!$A$4:$A$63,"")))</f>
        <v/>
      </c>
      <c r="G209" s="30">
        <f>IF(A209="","",IF(COUNTIF('People'!$A$4:$A$1003,A209)=0,"Email not on People",IF(COUNTIF('Holders'!$A$4:$A$1003,B209)=0,"Unknown holder ID",IF(COUNTIFS($A$4:$A$1503,A209,$B$4:$B$1503,B209)&gt;1,"Duplicate link",IF(C209="","Missing access","OK")))))</f>
        <v/>
      </c>
    </row>
    <row r="210">
      <c r="A210" s="26" t="n"/>
      <c r="B210" s="26" t="n"/>
      <c r="C210" s="26" t="n"/>
      <c r="D210" s="26" t="n"/>
      <c r="E210" s="30">
        <f>IF(B210="","",IFERROR(INDEX('Holders'!$B$4:$B$1003,MATCH(B210,'Holders'!$A$4:$A$1003,0)),""))</f>
        <v/>
      </c>
      <c r="F210" s="30">
        <f t="array" ref="F210">IF(B210="","",_xlfn.TEXTJOIN(", ",TRUE,IF(('Companies'!$A$4:$A$63&lt;&gt;"")*(COUNTIFS('Holdings'!$A$4:$A$2503,B210,'Holdings'!$J$4:$J$2503,'Companies'!$A$4:$A$63,'Holdings'!$L$4:$L$2503,"Yes",'Holdings'!$C$4:$C$2503,"&gt;0")&gt;0),'Companies'!$A$4:$A$63,"")))</f>
        <v/>
      </c>
      <c r="G210" s="30">
        <f>IF(A210="","",IF(COUNTIF('People'!$A$4:$A$1003,A210)=0,"Email not on People",IF(COUNTIF('Holders'!$A$4:$A$1003,B210)=0,"Unknown holder ID",IF(COUNTIFS($A$4:$A$1503,A210,$B$4:$B$1503,B210)&gt;1,"Duplicate link",IF(C210="","Missing access","OK")))))</f>
        <v/>
      </c>
    </row>
    <row r="211">
      <c r="A211" s="26" t="n"/>
      <c r="B211" s="26" t="n"/>
      <c r="C211" s="26" t="n"/>
      <c r="D211" s="26" t="n"/>
      <c r="E211" s="30">
        <f>IF(B211="","",IFERROR(INDEX('Holders'!$B$4:$B$1003,MATCH(B211,'Holders'!$A$4:$A$1003,0)),""))</f>
        <v/>
      </c>
      <c r="F211" s="30">
        <f t="array" ref="F211">IF(B211="","",_xlfn.TEXTJOIN(", ",TRUE,IF(('Companies'!$A$4:$A$63&lt;&gt;"")*(COUNTIFS('Holdings'!$A$4:$A$2503,B211,'Holdings'!$J$4:$J$2503,'Companies'!$A$4:$A$63,'Holdings'!$L$4:$L$2503,"Yes",'Holdings'!$C$4:$C$2503,"&gt;0")&gt;0),'Companies'!$A$4:$A$63,"")))</f>
        <v/>
      </c>
      <c r="G211" s="30">
        <f>IF(A211="","",IF(COUNTIF('People'!$A$4:$A$1003,A211)=0,"Email not on People",IF(COUNTIF('Holders'!$A$4:$A$1003,B211)=0,"Unknown holder ID",IF(COUNTIFS($A$4:$A$1503,A211,$B$4:$B$1503,B211)&gt;1,"Duplicate link",IF(C211="","Missing access","OK")))))</f>
        <v/>
      </c>
    </row>
    <row r="212">
      <c r="A212" s="26" t="n"/>
      <c r="B212" s="26" t="n"/>
      <c r="C212" s="26" t="n"/>
      <c r="D212" s="26" t="n"/>
      <c r="E212" s="30">
        <f>IF(B212="","",IFERROR(INDEX('Holders'!$B$4:$B$1003,MATCH(B212,'Holders'!$A$4:$A$1003,0)),""))</f>
        <v/>
      </c>
      <c r="F212" s="30">
        <f t="array" ref="F212">IF(B212="","",_xlfn.TEXTJOIN(", ",TRUE,IF(('Companies'!$A$4:$A$63&lt;&gt;"")*(COUNTIFS('Holdings'!$A$4:$A$2503,B212,'Holdings'!$J$4:$J$2503,'Companies'!$A$4:$A$63,'Holdings'!$L$4:$L$2503,"Yes",'Holdings'!$C$4:$C$2503,"&gt;0")&gt;0),'Companies'!$A$4:$A$63,"")))</f>
        <v/>
      </c>
      <c r="G212" s="30">
        <f>IF(A212="","",IF(COUNTIF('People'!$A$4:$A$1003,A212)=0,"Email not on People",IF(COUNTIF('Holders'!$A$4:$A$1003,B212)=0,"Unknown holder ID",IF(COUNTIFS($A$4:$A$1503,A212,$B$4:$B$1503,B212)&gt;1,"Duplicate link",IF(C212="","Missing access","OK")))))</f>
        <v/>
      </c>
    </row>
    <row r="213">
      <c r="A213" s="26" t="n"/>
      <c r="B213" s="26" t="n"/>
      <c r="C213" s="26" t="n"/>
      <c r="D213" s="26" t="n"/>
      <c r="E213" s="30">
        <f>IF(B213="","",IFERROR(INDEX('Holders'!$B$4:$B$1003,MATCH(B213,'Holders'!$A$4:$A$1003,0)),""))</f>
        <v/>
      </c>
      <c r="F213" s="30">
        <f t="array" ref="F213">IF(B213="","",_xlfn.TEXTJOIN(", ",TRUE,IF(('Companies'!$A$4:$A$63&lt;&gt;"")*(COUNTIFS('Holdings'!$A$4:$A$2503,B213,'Holdings'!$J$4:$J$2503,'Companies'!$A$4:$A$63,'Holdings'!$L$4:$L$2503,"Yes",'Holdings'!$C$4:$C$2503,"&gt;0")&gt;0),'Companies'!$A$4:$A$63,"")))</f>
        <v/>
      </c>
      <c r="G213" s="30">
        <f>IF(A213="","",IF(COUNTIF('People'!$A$4:$A$1003,A213)=0,"Email not on People",IF(COUNTIF('Holders'!$A$4:$A$1003,B213)=0,"Unknown holder ID",IF(COUNTIFS($A$4:$A$1503,A213,$B$4:$B$1503,B213)&gt;1,"Duplicate link",IF(C213="","Missing access","OK")))))</f>
        <v/>
      </c>
    </row>
    <row r="214">
      <c r="A214" s="26" t="n"/>
      <c r="B214" s="26" t="n"/>
      <c r="C214" s="26" t="n"/>
      <c r="D214" s="26" t="n"/>
      <c r="E214" s="30">
        <f>IF(B214="","",IFERROR(INDEX('Holders'!$B$4:$B$1003,MATCH(B214,'Holders'!$A$4:$A$1003,0)),""))</f>
        <v/>
      </c>
      <c r="F214" s="30">
        <f t="array" ref="F214">IF(B214="","",_xlfn.TEXTJOIN(", ",TRUE,IF(('Companies'!$A$4:$A$63&lt;&gt;"")*(COUNTIFS('Holdings'!$A$4:$A$2503,B214,'Holdings'!$J$4:$J$2503,'Companies'!$A$4:$A$63,'Holdings'!$L$4:$L$2503,"Yes",'Holdings'!$C$4:$C$2503,"&gt;0")&gt;0),'Companies'!$A$4:$A$63,"")))</f>
        <v/>
      </c>
      <c r="G214" s="30">
        <f>IF(A214="","",IF(COUNTIF('People'!$A$4:$A$1003,A214)=0,"Email not on People",IF(COUNTIF('Holders'!$A$4:$A$1003,B214)=0,"Unknown holder ID",IF(COUNTIFS($A$4:$A$1503,A214,$B$4:$B$1503,B214)&gt;1,"Duplicate link",IF(C214="","Missing access","OK")))))</f>
        <v/>
      </c>
    </row>
    <row r="215">
      <c r="A215" s="26" t="n"/>
      <c r="B215" s="26" t="n"/>
      <c r="C215" s="26" t="n"/>
      <c r="D215" s="26" t="n"/>
      <c r="E215" s="30">
        <f>IF(B215="","",IFERROR(INDEX('Holders'!$B$4:$B$1003,MATCH(B215,'Holders'!$A$4:$A$1003,0)),""))</f>
        <v/>
      </c>
      <c r="F215" s="30">
        <f t="array" ref="F215">IF(B215="","",_xlfn.TEXTJOIN(", ",TRUE,IF(('Companies'!$A$4:$A$63&lt;&gt;"")*(COUNTIFS('Holdings'!$A$4:$A$2503,B215,'Holdings'!$J$4:$J$2503,'Companies'!$A$4:$A$63,'Holdings'!$L$4:$L$2503,"Yes",'Holdings'!$C$4:$C$2503,"&gt;0")&gt;0),'Companies'!$A$4:$A$63,"")))</f>
        <v/>
      </c>
      <c r="G215" s="30">
        <f>IF(A215="","",IF(COUNTIF('People'!$A$4:$A$1003,A215)=0,"Email not on People",IF(COUNTIF('Holders'!$A$4:$A$1003,B215)=0,"Unknown holder ID",IF(COUNTIFS($A$4:$A$1503,A215,$B$4:$B$1503,B215)&gt;1,"Duplicate link",IF(C215="","Missing access","OK")))))</f>
        <v/>
      </c>
    </row>
    <row r="216">
      <c r="A216" s="26" t="n"/>
      <c r="B216" s="26" t="n"/>
      <c r="C216" s="26" t="n"/>
      <c r="D216" s="26" t="n"/>
      <c r="E216" s="30">
        <f>IF(B216="","",IFERROR(INDEX('Holders'!$B$4:$B$1003,MATCH(B216,'Holders'!$A$4:$A$1003,0)),""))</f>
        <v/>
      </c>
      <c r="F216" s="30">
        <f t="array" ref="F216">IF(B216="","",_xlfn.TEXTJOIN(", ",TRUE,IF(('Companies'!$A$4:$A$63&lt;&gt;"")*(COUNTIFS('Holdings'!$A$4:$A$2503,B216,'Holdings'!$J$4:$J$2503,'Companies'!$A$4:$A$63,'Holdings'!$L$4:$L$2503,"Yes",'Holdings'!$C$4:$C$2503,"&gt;0")&gt;0),'Companies'!$A$4:$A$63,"")))</f>
        <v/>
      </c>
      <c r="G216" s="30">
        <f>IF(A216="","",IF(COUNTIF('People'!$A$4:$A$1003,A216)=0,"Email not on People",IF(COUNTIF('Holders'!$A$4:$A$1003,B216)=0,"Unknown holder ID",IF(COUNTIFS($A$4:$A$1503,A216,$B$4:$B$1503,B216)&gt;1,"Duplicate link",IF(C216="","Missing access","OK")))))</f>
        <v/>
      </c>
    </row>
    <row r="217">
      <c r="A217" s="26" t="n"/>
      <c r="B217" s="26" t="n"/>
      <c r="C217" s="26" t="n"/>
      <c r="D217" s="26" t="n"/>
      <c r="E217" s="30">
        <f>IF(B217="","",IFERROR(INDEX('Holders'!$B$4:$B$1003,MATCH(B217,'Holders'!$A$4:$A$1003,0)),""))</f>
        <v/>
      </c>
      <c r="F217" s="30">
        <f t="array" ref="F217">IF(B217="","",_xlfn.TEXTJOIN(", ",TRUE,IF(('Companies'!$A$4:$A$63&lt;&gt;"")*(COUNTIFS('Holdings'!$A$4:$A$2503,B217,'Holdings'!$J$4:$J$2503,'Companies'!$A$4:$A$63,'Holdings'!$L$4:$L$2503,"Yes",'Holdings'!$C$4:$C$2503,"&gt;0")&gt;0),'Companies'!$A$4:$A$63,"")))</f>
        <v/>
      </c>
      <c r="G217" s="30">
        <f>IF(A217="","",IF(COUNTIF('People'!$A$4:$A$1003,A217)=0,"Email not on People",IF(COUNTIF('Holders'!$A$4:$A$1003,B217)=0,"Unknown holder ID",IF(COUNTIFS($A$4:$A$1503,A217,$B$4:$B$1503,B217)&gt;1,"Duplicate link",IF(C217="","Missing access","OK")))))</f>
        <v/>
      </c>
    </row>
    <row r="218">
      <c r="A218" s="26" t="n"/>
      <c r="B218" s="26" t="n"/>
      <c r="C218" s="26" t="n"/>
      <c r="D218" s="26" t="n"/>
      <c r="E218" s="30">
        <f>IF(B218="","",IFERROR(INDEX('Holders'!$B$4:$B$1003,MATCH(B218,'Holders'!$A$4:$A$1003,0)),""))</f>
        <v/>
      </c>
      <c r="F218" s="30">
        <f t="array" ref="F218">IF(B218="","",_xlfn.TEXTJOIN(", ",TRUE,IF(('Companies'!$A$4:$A$63&lt;&gt;"")*(COUNTIFS('Holdings'!$A$4:$A$2503,B218,'Holdings'!$J$4:$J$2503,'Companies'!$A$4:$A$63,'Holdings'!$L$4:$L$2503,"Yes",'Holdings'!$C$4:$C$2503,"&gt;0")&gt;0),'Companies'!$A$4:$A$63,"")))</f>
        <v/>
      </c>
      <c r="G218" s="30">
        <f>IF(A218="","",IF(COUNTIF('People'!$A$4:$A$1003,A218)=0,"Email not on People",IF(COUNTIF('Holders'!$A$4:$A$1003,B218)=0,"Unknown holder ID",IF(COUNTIFS($A$4:$A$1503,A218,$B$4:$B$1503,B218)&gt;1,"Duplicate link",IF(C218="","Missing access","OK")))))</f>
        <v/>
      </c>
    </row>
    <row r="219">
      <c r="A219" s="26" t="n"/>
      <c r="B219" s="26" t="n"/>
      <c r="C219" s="26" t="n"/>
      <c r="D219" s="26" t="n"/>
      <c r="E219" s="30">
        <f>IF(B219="","",IFERROR(INDEX('Holders'!$B$4:$B$1003,MATCH(B219,'Holders'!$A$4:$A$1003,0)),""))</f>
        <v/>
      </c>
      <c r="F219" s="30">
        <f t="array" ref="F219">IF(B219="","",_xlfn.TEXTJOIN(", ",TRUE,IF(('Companies'!$A$4:$A$63&lt;&gt;"")*(COUNTIFS('Holdings'!$A$4:$A$2503,B219,'Holdings'!$J$4:$J$2503,'Companies'!$A$4:$A$63,'Holdings'!$L$4:$L$2503,"Yes",'Holdings'!$C$4:$C$2503,"&gt;0")&gt;0),'Companies'!$A$4:$A$63,"")))</f>
        <v/>
      </c>
      <c r="G219" s="30">
        <f>IF(A219="","",IF(COUNTIF('People'!$A$4:$A$1003,A219)=0,"Email not on People",IF(COUNTIF('Holders'!$A$4:$A$1003,B219)=0,"Unknown holder ID",IF(COUNTIFS($A$4:$A$1503,A219,$B$4:$B$1503,B219)&gt;1,"Duplicate link",IF(C219="","Missing access","OK")))))</f>
        <v/>
      </c>
    </row>
    <row r="220">
      <c r="A220" s="26" t="n"/>
      <c r="B220" s="26" t="n"/>
      <c r="C220" s="26" t="n"/>
      <c r="D220" s="26" t="n"/>
      <c r="E220" s="30">
        <f>IF(B220="","",IFERROR(INDEX('Holders'!$B$4:$B$1003,MATCH(B220,'Holders'!$A$4:$A$1003,0)),""))</f>
        <v/>
      </c>
      <c r="F220" s="30">
        <f t="array" ref="F220">IF(B220="","",_xlfn.TEXTJOIN(", ",TRUE,IF(('Companies'!$A$4:$A$63&lt;&gt;"")*(COUNTIFS('Holdings'!$A$4:$A$2503,B220,'Holdings'!$J$4:$J$2503,'Companies'!$A$4:$A$63,'Holdings'!$L$4:$L$2503,"Yes",'Holdings'!$C$4:$C$2503,"&gt;0")&gt;0),'Companies'!$A$4:$A$63,"")))</f>
        <v/>
      </c>
      <c r="G220" s="30">
        <f>IF(A220="","",IF(COUNTIF('People'!$A$4:$A$1003,A220)=0,"Email not on People",IF(COUNTIF('Holders'!$A$4:$A$1003,B220)=0,"Unknown holder ID",IF(COUNTIFS($A$4:$A$1503,A220,$B$4:$B$1503,B220)&gt;1,"Duplicate link",IF(C220="","Missing access","OK")))))</f>
        <v/>
      </c>
    </row>
    <row r="221">
      <c r="A221" s="26" t="n"/>
      <c r="B221" s="26" t="n"/>
      <c r="C221" s="26" t="n"/>
      <c r="D221" s="26" t="n"/>
      <c r="E221" s="30">
        <f>IF(B221="","",IFERROR(INDEX('Holders'!$B$4:$B$1003,MATCH(B221,'Holders'!$A$4:$A$1003,0)),""))</f>
        <v/>
      </c>
      <c r="F221" s="30">
        <f t="array" ref="F221">IF(B221="","",_xlfn.TEXTJOIN(", ",TRUE,IF(('Companies'!$A$4:$A$63&lt;&gt;"")*(COUNTIFS('Holdings'!$A$4:$A$2503,B221,'Holdings'!$J$4:$J$2503,'Companies'!$A$4:$A$63,'Holdings'!$L$4:$L$2503,"Yes",'Holdings'!$C$4:$C$2503,"&gt;0")&gt;0),'Companies'!$A$4:$A$63,"")))</f>
        <v/>
      </c>
      <c r="G221" s="30">
        <f>IF(A221="","",IF(COUNTIF('People'!$A$4:$A$1003,A221)=0,"Email not on People",IF(COUNTIF('Holders'!$A$4:$A$1003,B221)=0,"Unknown holder ID",IF(COUNTIFS($A$4:$A$1503,A221,$B$4:$B$1503,B221)&gt;1,"Duplicate link",IF(C221="","Missing access","OK")))))</f>
        <v/>
      </c>
    </row>
    <row r="222">
      <c r="A222" s="26" t="n"/>
      <c r="B222" s="26" t="n"/>
      <c r="C222" s="26" t="n"/>
      <c r="D222" s="26" t="n"/>
      <c r="E222" s="30">
        <f>IF(B222="","",IFERROR(INDEX('Holders'!$B$4:$B$1003,MATCH(B222,'Holders'!$A$4:$A$1003,0)),""))</f>
        <v/>
      </c>
      <c r="F222" s="30">
        <f t="array" ref="F222">IF(B222="","",_xlfn.TEXTJOIN(", ",TRUE,IF(('Companies'!$A$4:$A$63&lt;&gt;"")*(COUNTIFS('Holdings'!$A$4:$A$2503,B222,'Holdings'!$J$4:$J$2503,'Companies'!$A$4:$A$63,'Holdings'!$L$4:$L$2503,"Yes",'Holdings'!$C$4:$C$2503,"&gt;0")&gt;0),'Companies'!$A$4:$A$63,"")))</f>
        <v/>
      </c>
      <c r="G222" s="30">
        <f>IF(A222="","",IF(COUNTIF('People'!$A$4:$A$1003,A222)=0,"Email not on People",IF(COUNTIF('Holders'!$A$4:$A$1003,B222)=0,"Unknown holder ID",IF(COUNTIFS($A$4:$A$1503,A222,$B$4:$B$1503,B222)&gt;1,"Duplicate link",IF(C222="","Missing access","OK")))))</f>
        <v/>
      </c>
    </row>
    <row r="223">
      <c r="A223" s="26" t="n"/>
      <c r="B223" s="26" t="n"/>
      <c r="C223" s="26" t="n"/>
      <c r="D223" s="26" t="n"/>
      <c r="E223" s="30">
        <f>IF(B223="","",IFERROR(INDEX('Holders'!$B$4:$B$1003,MATCH(B223,'Holders'!$A$4:$A$1003,0)),""))</f>
        <v/>
      </c>
      <c r="F223" s="30">
        <f t="array" ref="F223">IF(B223="","",_xlfn.TEXTJOIN(", ",TRUE,IF(('Companies'!$A$4:$A$63&lt;&gt;"")*(COUNTIFS('Holdings'!$A$4:$A$2503,B223,'Holdings'!$J$4:$J$2503,'Companies'!$A$4:$A$63,'Holdings'!$L$4:$L$2503,"Yes",'Holdings'!$C$4:$C$2503,"&gt;0")&gt;0),'Companies'!$A$4:$A$63,"")))</f>
        <v/>
      </c>
      <c r="G223" s="30">
        <f>IF(A223="","",IF(COUNTIF('People'!$A$4:$A$1003,A223)=0,"Email not on People",IF(COUNTIF('Holders'!$A$4:$A$1003,B223)=0,"Unknown holder ID",IF(COUNTIFS($A$4:$A$1503,A223,$B$4:$B$1503,B223)&gt;1,"Duplicate link",IF(C223="","Missing access","OK")))))</f>
        <v/>
      </c>
    </row>
    <row r="224">
      <c r="A224" s="26" t="n"/>
      <c r="B224" s="26" t="n"/>
      <c r="C224" s="26" t="n"/>
      <c r="D224" s="26" t="n"/>
      <c r="E224" s="30">
        <f>IF(B224="","",IFERROR(INDEX('Holders'!$B$4:$B$1003,MATCH(B224,'Holders'!$A$4:$A$1003,0)),""))</f>
        <v/>
      </c>
      <c r="F224" s="30">
        <f t="array" ref="F224">IF(B224="","",_xlfn.TEXTJOIN(", ",TRUE,IF(('Companies'!$A$4:$A$63&lt;&gt;"")*(COUNTIFS('Holdings'!$A$4:$A$2503,B224,'Holdings'!$J$4:$J$2503,'Companies'!$A$4:$A$63,'Holdings'!$L$4:$L$2503,"Yes",'Holdings'!$C$4:$C$2503,"&gt;0")&gt;0),'Companies'!$A$4:$A$63,"")))</f>
        <v/>
      </c>
      <c r="G224" s="30">
        <f>IF(A224="","",IF(COUNTIF('People'!$A$4:$A$1003,A224)=0,"Email not on People",IF(COUNTIF('Holders'!$A$4:$A$1003,B224)=0,"Unknown holder ID",IF(COUNTIFS($A$4:$A$1503,A224,$B$4:$B$1503,B224)&gt;1,"Duplicate link",IF(C224="","Missing access","OK")))))</f>
        <v/>
      </c>
    </row>
    <row r="225">
      <c r="A225" s="26" t="n"/>
      <c r="B225" s="26" t="n"/>
      <c r="C225" s="26" t="n"/>
      <c r="D225" s="26" t="n"/>
      <c r="E225" s="30">
        <f>IF(B225="","",IFERROR(INDEX('Holders'!$B$4:$B$1003,MATCH(B225,'Holders'!$A$4:$A$1003,0)),""))</f>
        <v/>
      </c>
      <c r="F225" s="30">
        <f t="array" ref="F225">IF(B225="","",_xlfn.TEXTJOIN(", ",TRUE,IF(('Companies'!$A$4:$A$63&lt;&gt;"")*(COUNTIFS('Holdings'!$A$4:$A$2503,B225,'Holdings'!$J$4:$J$2503,'Companies'!$A$4:$A$63,'Holdings'!$L$4:$L$2503,"Yes",'Holdings'!$C$4:$C$2503,"&gt;0")&gt;0),'Companies'!$A$4:$A$63,"")))</f>
        <v/>
      </c>
      <c r="G225" s="30">
        <f>IF(A225="","",IF(COUNTIF('People'!$A$4:$A$1003,A225)=0,"Email not on People",IF(COUNTIF('Holders'!$A$4:$A$1003,B225)=0,"Unknown holder ID",IF(COUNTIFS($A$4:$A$1503,A225,$B$4:$B$1503,B225)&gt;1,"Duplicate link",IF(C225="","Missing access","OK")))))</f>
        <v/>
      </c>
    </row>
    <row r="226">
      <c r="A226" s="26" t="n"/>
      <c r="B226" s="26" t="n"/>
      <c r="C226" s="26" t="n"/>
      <c r="D226" s="26" t="n"/>
      <c r="E226" s="30">
        <f>IF(B226="","",IFERROR(INDEX('Holders'!$B$4:$B$1003,MATCH(B226,'Holders'!$A$4:$A$1003,0)),""))</f>
        <v/>
      </c>
      <c r="F226" s="30">
        <f t="array" ref="F226">IF(B226="","",_xlfn.TEXTJOIN(", ",TRUE,IF(('Companies'!$A$4:$A$63&lt;&gt;"")*(COUNTIFS('Holdings'!$A$4:$A$2503,B226,'Holdings'!$J$4:$J$2503,'Companies'!$A$4:$A$63,'Holdings'!$L$4:$L$2503,"Yes",'Holdings'!$C$4:$C$2503,"&gt;0")&gt;0),'Companies'!$A$4:$A$63,"")))</f>
        <v/>
      </c>
      <c r="G226" s="30">
        <f>IF(A226="","",IF(COUNTIF('People'!$A$4:$A$1003,A226)=0,"Email not on People",IF(COUNTIF('Holders'!$A$4:$A$1003,B226)=0,"Unknown holder ID",IF(COUNTIFS($A$4:$A$1503,A226,$B$4:$B$1503,B226)&gt;1,"Duplicate link",IF(C226="","Missing access","OK")))))</f>
        <v/>
      </c>
    </row>
    <row r="227">
      <c r="A227" s="26" t="n"/>
      <c r="B227" s="26" t="n"/>
      <c r="C227" s="26" t="n"/>
      <c r="D227" s="26" t="n"/>
      <c r="E227" s="30">
        <f>IF(B227="","",IFERROR(INDEX('Holders'!$B$4:$B$1003,MATCH(B227,'Holders'!$A$4:$A$1003,0)),""))</f>
        <v/>
      </c>
      <c r="F227" s="30">
        <f t="array" ref="F227">IF(B227="","",_xlfn.TEXTJOIN(", ",TRUE,IF(('Companies'!$A$4:$A$63&lt;&gt;"")*(COUNTIFS('Holdings'!$A$4:$A$2503,B227,'Holdings'!$J$4:$J$2503,'Companies'!$A$4:$A$63,'Holdings'!$L$4:$L$2503,"Yes",'Holdings'!$C$4:$C$2503,"&gt;0")&gt;0),'Companies'!$A$4:$A$63,"")))</f>
        <v/>
      </c>
      <c r="G227" s="30">
        <f>IF(A227="","",IF(COUNTIF('People'!$A$4:$A$1003,A227)=0,"Email not on People",IF(COUNTIF('Holders'!$A$4:$A$1003,B227)=0,"Unknown holder ID",IF(COUNTIFS($A$4:$A$1503,A227,$B$4:$B$1503,B227)&gt;1,"Duplicate link",IF(C227="","Missing access","OK")))))</f>
        <v/>
      </c>
    </row>
    <row r="228">
      <c r="A228" s="26" t="n"/>
      <c r="B228" s="26" t="n"/>
      <c r="C228" s="26" t="n"/>
      <c r="D228" s="26" t="n"/>
      <c r="E228" s="30">
        <f>IF(B228="","",IFERROR(INDEX('Holders'!$B$4:$B$1003,MATCH(B228,'Holders'!$A$4:$A$1003,0)),""))</f>
        <v/>
      </c>
      <c r="F228" s="30">
        <f t="array" ref="F228">IF(B228="","",_xlfn.TEXTJOIN(", ",TRUE,IF(('Companies'!$A$4:$A$63&lt;&gt;"")*(COUNTIFS('Holdings'!$A$4:$A$2503,B228,'Holdings'!$J$4:$J$2503,'Companies'!$A$4:$A$63,'Holdings'!$L$4:$L$2503,"Yes",'Holdings'!$C$4:$C$2503,"&gt;0")&gt;0),'Companies'!$A$4:$A$63,"")))</f>
        <v/>
      </c>
      <c r="G228" s="30">
        <f>IF(A228="","",IF(COUNTIF('People'!$A$4:$A$1003,A228)=0,"Email not on People",IF(COUNTIF('Holders'!$A$4:$A$1003,B228)=0,"Unknown holder ID",IF(COUNTIFS($A$4:$A$1503,A228,$B$4:$B$1503,B228)&gt;1,"Duplicate link",IF(C228="","Missing access","OK")))))</f>
        <v/>
      </c>
    </row>
    <row r="229">
      <c r="A229" s="26" t="n"/>
      <c r="B229" s="26" t="n"/>
      <c r="C229" s="26" t="n"/>
      <c r="D229" s="26" t="n"/>
      <c r="E229" s="30">
        <f>IF(B229="","",IFERROR(INDEX('Holders'!$B$4:$B$1003,MATCH(B229,'Holders'!$A$4:$A$1003,0)),""))</f>
        <v/>
      </c>
      <c r="F229" s="30">
        <f t="array" ref="F229">IF(B229="","",_xlfn.TEXTJOIN(", ",TRUE,IF(('Companies'!$A$4:$A$63&lt;&gt;"")*(COUNTIFS('Holdings'!$A$4:$A$2503,B229,'Holdings'!$J$4:$J$2503,'Companies'!$A$4:$A$63,'Holdings'!$L$4:$L$2503,"Yes",'Holdings'!$C$4:$C$2503,"&gt;0")&gt;0),'Companies'!$A$4:$A$63,"")))</f>
        <v/>
      </c>
      <c r="G229" s="30">
        <f>IF(A229="","",IF(COUNTIF('People'!$A$4:$A$1003,A229)=0,"Email not on People",IF(COUNTIF('Holders'!$A$4:$A$1003,B229)=0,"Unknown holder ID",IF(COUNTIFS($A$4:$A$1503,A229,$B$4:$B$1503,B229)&gt;1,"Duplicate link",IF(C229="","Missing access","OK")))))</f>
        <v/>
      </c>
    </row>
    <row r="230">
      <c r="A230" s="26" t="n"/>
      <c r="B230" s="26" t="n"/>
      <c r="C230" s="26" t="n"/>
      <c r="D230" s="26" t="n"/>
      <c r="E230" s="30">
        <f>IF(B230="","",IFERROR(INDEX('Holders'!$B$4:$B$1003,MATCH(B230,'Holders'!$A$4:$A$1003,0)),""))</f>
        <v/>
      </c>
      <c r="F230" s="30">
        <f t="array" ref="F230">IF(B230="","",_xlfn.TEXTJOIN(", ",TRUE,IF(('Companies'!$A$4:$A$63&lt;&gt;"")*(COUNTIFS('Holdings'!$A$4:$A$2503,B230,'Holdings'!$J$4:$J$2503,'Companies'!$A$4:$A$63,'Holdings'!$L$4:$L$2503,"Yes",'Holdings'!$C$4:$C$2503,"&gt;0")&gt;0),'Companies'!$A$4:$A$63,"")))</f>
        <v/>
      </c>
      <c r="G230" s="30">
        <f>IF(A230="","",IF(COUNTIF('People'!$A$4:$A$1003,A230)=0,"Email not on People",IF(COUNTIF('Holders'!$A$4:$A$1003,B230)=0,"Unknown holder ID",IF(COUNTIFS($A$4:$A$1503,A230,$B$4:$B$1503,B230)&gt;1,"Duplicate link",IF(C230="","Missing access","OK")))))</f>
        <v/>
      </c>
    </row>
    <row r="231">
      <c r="A231" s="26" t="n"/>
      <c r="B231" s="26" t="n"/>
      <c r="C231" s="26" t="n"/>
      <c r="D231" s="26" t="n"/>
      <c r="E231" s="30">
        <f>IF(B231="","",IFERROR(INDEX('Holders'!$B$4:$B$1003,MATCH(B231,'Holders'!$A$4:$A$1003,0)),""))</f>
        <v/>
      </c>
      <c r="F231" s="30">
        <f t="array" ref="F231">IF(B231="","",_xlfn.TEXTJOIN(", ",TRUE,IF(('Companies'!$A$4:$A$63&lt;&gt;"")*(COUNTIFS('Holdings'!$A$4:$A$2503,B231,'Holdings'!$J$4:$J$2503,'Companies'!$A$4:$A$63,'Holdings'!$L$4:$L$2503,"Yes",'Holdings'!$C$4:$C$2503,"&gt;0")&gt;0),'Companies'!$A$4:$A$63,"")))</f>
        <v/>
      </c>
      <c r="G231" s="30">
        <f>IF(A231="","",IF(COUNTIF('People'!$A$4:$A$1003,A231)=0,"Email not on People",IF(COUNTIF('Holders'!$A$4:$A$1003,B231)=0,"Unknown holder ID",IF(COUNTIFS($A$4:$A$1503,A231,$B$4:$B$1503,B231)&gt;1,"Duplicate link",IF(C231="","Missing access","OK")))))</f>
        <v/>
      </c>
    </row>
    <row r="232">
      <c r="A232" s="26" t="n"/>
      <c r="B232" s="26" t="n"/>
      <c r="C232" s="26" t="n"/>
      <c r="D232" s="26" t="n"/>
      <c r="E232" s="30">
        <f>IF(B232="","",IFERROR(INDEX('Holders'!$B$4:$B$1003,MATCH(B232,'Holders'!$A$4:$A$1003,0)),""))</f>
        <v/>
      </c>
      <c r="F232" s="30">
        <f t="array" ref="F232">IF(B232="","",_xlfn.TEXTJOIN(", ",TRUE,IF(('Companies'!$A$4:$A$63&lt;&gt;"")*(COUNTIFS('Holdings'!$A$4:$A$2503,B232,'Holdings'!$J$4:$J$2503,'Companies'!$A$4:$A$63,'Holdings'!$L$4:$L$2503,"Yes",'Holdings'!$C$4:$C$2503,"&gt;0")&gt;0),'Companies'!$A$4:$A$63,"")))</f>
        <v/>
      </c>
      <c r="G232" s="30">
        <f>IF(A232="","",IF(COUNTIF('People'!$A$4:$A$1003,A232)=0,"Email not on People",IF(COUNTIF('Holders'!$A$4:$A$1003,B232)=0,"Unknown holder ID",IF(COUNTIFS($A$4:$A$1503,A232,$B$4:$B$1503,B232)&gt;1,"Duplicate link",IF(C232="","Missing access","OK")))))</f>
        <v/>
      </c>
    </row>
    <row r="233">
      <c r="A233" s="26" t="n"/>
      <c r="B233" s="26" t="n"/>
      <c r="C233" s="26" t="n"/>
      <c r="D233" s="26" t="n"/>
      <c r="E233" s="30">
        <f>IF(B233="","",IFERROR(INDEX('Holders'!$B$4:$B$1003,MATCH(B233,'Holders'!$A$4:$A$1003,0)),""))</f>
        <v/>
      </c>
      <c r="F233" s="30">
        <f t="array" ref="F233">IF(B233="","",_xlfn.TEXTJOIN(", ",TRUE,IF(('Companies'!$A$4:$A$63&lt;&gt;"")*(COUNTIFS('Holdings'!$A$4:$A$2503,B233,'Holdings'!$J$4:$J$2503,'Companies'!$A$4:$A$63,'Holdings'!$L$4:$L$2503,"Yes",'Holdings'!$C$4:$C$2503,"&gt;0")&gt;0),'Companies'!$A$4:$A$63,"")))</f>
        <v/>
      </c>
      <c r="G233" s="30">
        <f>IF(A233="","",IF(COUNTIF('People'!$A$4:$A$1003,A233)=0,"Email not on People",IF(COUNTIF('Holders'!$A$4:$A$1003,B233)=0,"Unknown holder ID",IF(COUNTIFS($A$4:$A$1503,A233,$B$4:$B$1503,B233)&gt;1,"Duplicate link",IF(C233="","Missing access","OK")))))</f>
        <v/>
      </c>
    </row>
    <row r="234">
      <c r="A234" s="26" t="n"/>
      <c r="B234" s="26" t="n"/>
      <c r="C234" s="26" t="n"/>
      <c r="D234" s="26" t="n"/>
      <c r="E234" s="30">
        <f>IF(B234="","",IFERROR(INDEX('Holders'!$B$4:$B$1003,MATCH(B234,'Holders'!$A$4:$A$1003,0)),""))</f>
        <v/>
      </c>
      <c r="F234" s="30">
        <f t="array" ref="F234">IF(B234="","",_xlfn.TEXTJOIN(", ",TRUE,IF(('Companies'!$A$4:$A$63&lt;&gt;"")*(COUNTIFS('Holdings'!$A$4:$A$2503,B234,'Holdings'!$J$4:$J$2503,'Companies'!$A$4:$A$63,'Holdings'!$L$4:$L$2503,"Yes",'Holdings'!$C$4:$C$2503,"&gt;0")&gt;0),'Companies'!$A$4:$A$63,"")))</f>
        <v/>
      </c>
      <c r="G234" s="30">
        <f>IF(A234="","",IF(COUNTIF('People'!$A$4:$A$1003,A234)=0,"Email not on People",IF(COUNTIF('Holders'!$A$4:$A$1003,B234)=0,"Unknown holder ID",IF(COUNTIFS($A$4:$A$1503,A234,$B$4:$B$1503,B234)&gt;1,"Duplicate link",IF(C234="","Missing access","OK")))))</f>
        <v/>
      </c>
    </row>
    <row r="235">
      <c r="A235" s="26" t="n"/>
      <c r="B235" s="26" t="n"/>
      <c r="C235" s="26" t="n"/>
      <c r="D235" s="26" t="n"/>
      <c r="E235" s="30">
        <f>IF(B235="","",IFERROR(INDEX('Holders'!$B$4:$B$1003,MATCH(B235,'Holders'!$A$4:$A$1003,0)),""))</f>
        <v/>
      </c>
      <c r="F235" s="30">
        <f t="array" ref="F235">IF(B235="","",_xlfn.TEXTJOIN(", ",TRUE,IF(('Companies'!$A$4:$A$63&lt;&gt;"")*(COUNTIFS('Holdings'!$A$4:$A$2503,B235,'Holdings'!$J$4:$J$2503,'Companies'!$A$4:$A$63,'Holdings'!$L$4:$L$2503,"Yes",'Holdings'!$C$4:$C$2503,"&gt;0")&gt;0),'Companies'!$A$4:$A$63,"")))</f>
        <v/>
      </c>
      <c r="G235" s="30">
        <f>IF(A235="","",IF(COUNTIF('People'!$A$4:$A$1003,A235)=0,"Email not on People",IF(COUNTIF('Holders'!$A$4:$A$1003,B235)=0,"Unknown holder ID",IF(COUNTIFS($A$4:$A$1503,A235,$B$4:$B$1503,B235)&gt;1,"Duplicate link",IF(C235="","Missing access","OK")))))</f>
        <v/>
      </c>
    </row>
    <row r="236">
      <c r="A236" s="26" t="n"/>
      <c r="B236" s="26" t="n"/>
      <c r="C236" s="26" t="n"/>
      <c r="D236" s="26" t="n"/>
      <c r="E236" s="30">
        <f>IF(B236="","",IFERROR(INDEX('Holders'!$B$4:$B$1003,MATCH(B236,'Holders'!$A$4:$A$1003,0)),""))</f>
        <v/>
      </c>
      <c r="F236" s="30">
        <f t="array" ref="F236">IF(B236="","",_xlfn.TEXTJOIN(", ",TRUE,IF(('Companies'!$A$4:$A$63&lt;&gt;"")*(COUNTIFS('Holdings'!$A$4:$A$2503,B236,'Holdings'!$J$4:$J$2503,'Companies'!$A$4:$A$63,'Holdings'!$L$4:$L$2503,"Yes",'Holdings'!$C$4:$C$2503,"&gt;0")&gt;0),'Companies'!$A$4:$A$63,"")))</f>
        <v/>
      </c>
      <c r="G236" s="30">
        <f>IF(A236="","",IF(COUNTIF('People'!$A$4:$A$1003,A236)=0,"Email not on People",IF(COUNTIF('Holders'!$A$4:$A$1003,B236)=0,"Unknown holder ID",IF(COUNTIFS($A$4:$A$1503,A236,$B$4:$B$1503,B236)&gt;1,"Duplicate link",IF(C236="","Missing access","OK")))))</f>
        <v/>
      </c>
    </row>
    <row r="237">
      <c r="A237" s="26" t="n"/>
      <c r="B237" s="26" t="n"/>
      <c r="C237" s="26" t="n"/>
      <c r="D237" s="26" t="n"/>
      <c r="E237" s="30">
        <f>IF(B237="","",IFERROR(INDEX('Holders'!$B$4:$B$1003,MATCH(B237,'Holders'!$A$4:$A$1003,0)),""))</f>
        <v/>
      </c>
      <c r="F237" s="30">
        <f t="array" ref="F237">IF(B237="","",_xlfn.TEXTJOIN(", ",TRUE,IF(('Companies'!$A$4:$A$63&lt;&gt;"")*(COUNTIFS('Holdings'!$A$4:$A$2503,B237,'Holdings'!$J$4:$J$2503,'Companies'!$A$4:$A$63,'Holdings'!$L$4:$L$2503,"Yes",'Holdings'!$C$4:$C$2503,"&gt;0")&gt;0),'Companies'!$A$4:$A$63,"")))</f>
        <v/>
      </c>
      <c r="G237" s="30">
        <f>IF(A237="","",IF(COUNTIF('People'!$A$4:$A$1003,A237)=0,"Email not on People",IF(COUNTIF('Holders'!$A$4:$A$1003,B237)=0,"Unknown holder ID",IF(COUNTIFS($A$4:$A$1503,A237,$B$4:$B$1503,B237)&gt;1,"Duplicate link",IF(C237="","Missing access","OK")))))</f>
        <v/>
      </c>
    </row>
    <row r="238">
      <c r="A238" s="26" t="n"/>
      <c r="B238" s="26" t="n"/>
      <c r="C238" s="26" t="n"/>
      <c r="D238" s="26" t="n"/>
      <c r="E238" s="30">
        <f>IF(B238="","",IFERROR(INDEX('Holders'!$B$4:$B$1003,MATCH(B238,'Holders'!$A$4:$A$1003,0)),""))</f>
        <v/>
      </c>
      <c r="F238" s="30">
        <f t="array" ref="F238">IF(B238="","",_xlfn.TEXTJOIN(", ",TRUE,IF(('Companies'!$A$4:$A$63&lt;&gt;"")*(COUNTIFS('Holdings'!$A$4:$A$2503,B238,'Holdings'!$J$4:$J$2503,'Companies'!$A$4:$A$63,'Holdings'!$L$4:$L$2503,"Yes",'Holdings'!$C$4:$C$2503,"&gt;0")&gt;0),'Companies'!$A$4:$A$63,"")))</f>
        <v/>
      </c>
      <c r="G238" s="30">
        <f>IF(A238="","",IF(COUNTIF('People'!$A$4:$A$1003,A238)=0,"Email not on People",IF(COUNTIF('Holders'!$A$4:$A$1003,B238)=0,"Unknown holder ID",IF(COUNTIFS($A$4:$A$1503,A238,$B$4:$B$1503,B238)&gt;1,"Duplicate link",IF(C238="","Missing access","OK")))))</f>
        <v/>
      </c>
    </row>
    <row r="239">
      <c r="A239" s="26" t="n"/>
      <c r="B239" s="26" t="n"/>
      <c r="C239" s="26" t="n"/>
      <c r="D239" s="26" t="n"/>
      <c r="E239" s="30">
        <f>IF(B239="","",IFERROR(INDEX('Holders'!$B$4:$B$1003,MATCH(B239,'Holders'!$A$4:$A$1003,0)),""))</f>
        <v/>
      </c>
      <c r="F239" s="30">
        <f t="array" ref="F239">IF(B239="","",_xlfn.TEXTJOIN(", ",TRUE,IF(('Companies'!$A$4:$A$63&lt;&gt;"")*(COUNTIFS('Holdings'!$A$4:$A$2503,B239,'Holdings'!$J$4:$J$2503,'Companies'!$A$4:$A$63,'Holdings'!$L$4:$L$2503,"Yes",'Holdings'!$C$4:$C$2503,"&gt;0")&gt;0),'Companies'!$A$4:$A$63,"")))</f>
        <v/>
      </c>
      <c r="G239" s="30">
        <f>IF(A239="","",IF(COUNTIF('People'!$A$4:$A$1003,A239)=0,"Email not on People",IF(COUNTIF('Holders'!$A$4:$A$1003,B239)=0,"Unknown holder ID",IF(COUNTIFS($A$4:$A$1503,A239,$B$4:$B$1503,B239)&gt;1,"Duplicate link",IF(C239="","Missing access","OK")))))</f>
        <v/>
      </c>
    </row>
    <row r="240">
      <c r="A240" s="26" t="n"/>
      <c r="B240" s="26" t="n"/>
      <c r="C240" s="26" t="n"/>
      <c r="D240" s="26" t="n"/>
      <c r="E240" s="30">
        <f>IF(B240="","",IFERROR(INDEX('Holders'!$B$4:$B$1003,MATCH(B240,'Holders'!$A$4:$A$1003,0)),""))</f>
        <v/>
      </c>
      <c r="F240" s="30">
        <f t="array" ref="F240">IF(B240="","",_xlfn.TEXTJOIN(", ",TRUE,IF(('Companies'!$A$4:$A$63&lt;&gt;"")*(COUNTIFS('Holdings'!$A$4:$A$2503,B240,'Holdings'!$J$4:$J$2503,'Companies'!$A$4:$A$63,'Holdings'!$L$4:$L$2503,"Yes",'Holdings'!$C$4:$C$2503,"&gt;0")&gt;0),'Companies'!$A$4:$A$63,"")))</f>
        <v/>
      </c>
      <c r="G240" s="30">
        <f>IF(A240="","",IF(COUNTIF('People'!$A$4:$A$1003,A240)=0,"Email not on People",IF(COUNTIF('Holders'!$A$4:$A$1003,B240)=0,"Unknown holder ID",IF(COUNTIFS($A$4:$A$1503,A240,$B$4:$B$1503,B240)&gt;1,"Duplicate link",IF(C240="","Missing access","OK")))))</f>
        <v/>
      </c>
    </row>
    <row r="241">
      <c r="A241" s="26" t="n"/>
      <c r="B241" s="26" t="n"/>
      <c r="C241" s="26" t="n"/>
      <c r="D241" s="26" t="n"/>
      <c r="E241" s="30">
        <f>IF(B241="","",IFERROR(INDEX('Holders'!$B$4:$B$1003,MATCH(B241,'Holders'!$A$4:$A$1003,0)),""))</f>
        <v/>
      </c>
      <c r="F241" s="30">
        <f t="array" ref="F241">IF(B241="","",_xlfn.TEXTJOIN(", ",TRUE,IF(('Companies'!$A$4:$A$63&lt;&gt;"")*(COUNTIFS('Holdings'!$A$4:$A$2503,B241,'Holdings'!$J$4:$J$2503,'Companies'!$A$4:$A$63,'Holdings'!$L$4:$L$2503,"Yes",'Holdings'!$C$4:$C$2503,"&gt;0")&gt;0),'Companies'!$A$4:$A$63,"")))</f>
        <v/>
      </c>
      <c r="G241" s="30">
        <f>IF(A241="","",IF(COUNTIF('People'!$A$4:$A$1003,A241)=0,"Email not on People",IF(COUNTIF('Holders'!$A$4:$A$1003,B241)=0,"Unknown holder ID",IF(COUNTIFS($A$4:$A$1503,A241,$B$4:$B$1503,B241)&gt;1,"Duplicate link",IF(C241="","Missing access","OK")))))</f>
        <v/>
      </c>
    </row>
    <row r="242">
      <c r="A242" s="26" t="n"/>
      <c r="B242" s="26" t="n"/>
      <c r="C242" s="26" t="n"/>
      <c r="D242" s="26" t="n"/>
      <c r="E242" s="30">
        <f>IF(B242="","",IFERROR(INDEX('Holders'!$B$4:$B$1003,MATCH(B242,'Holders'!$A$4:$A$1003,0)),""))</f>
        <v/>
      </c>
      <c r="F242" s="30">
        <f t="array" ref="F242">IF(B242="","",_xlfn.TEXTJOIN(", ",TRUE,IF(('Companies'!$A$4:$A$63&lt;&gt;"")*(COUNTIFS('Holdings'!$A$4:$A$2503,B242,'Holdings'!$J$4:$J$2503,'Companies'!$A$4:$A$63,'Holdings'!$L$4:$L$2503,"Yes",'Holdings'!$C$4:$C$2503,"&gt;0")&gt;0),'Companies'!$A$4:$A$63,"")))</f>
        <v/>
      </c>
      <c r="G242" s="30">
        <f>IF(A242="","",IF(COUNTIF('People'!$A$4:$A$1003,A242)=0,"Email not on People",IF(COUNTIF('Holders'!$A$4:$A$1003,B242)=0,"Unknown holder ID",IF(COUNTIFS($A$4:$A$1503,A242,$B$4:$B$1503,B242)&gt;1,"Duplicate link",IF(C242="","Missing access","OK")))))</f>
        <v/>
      </c>
    </row>
    <row r="243">
      <c r="A243" s="26" t="n"/>
      <c r="B243" s="26" t="n"/>
      <c r="C243" s="26" t="n"/>
      <c r="D243" s="26" t="n"/>
      <c r="E243" s="30">
        <f>IF(B243="","",IFERROR(INDEX('Holders'!$B$4:$B$1003,MATCH(B243,'Holders'!$A$4:$A$1003,0)),""))</f>
        <v/>
      </c>
      <c r="F243" s="30">
        <f t="array" ref="F243">IF(B243="","",_xlfn.TEXTJOIN(", ",TRUE,IF(('Companies'!$A$4:$A$63&lt;&gt;"")*(COUNTIFS('Holdings'!$A$4:$A$2503,B243,'Holdings'!$J$4:$J$2503,'Companies'!$A$4:$A$63,'Holdings'!$L$4:$L$2503,"Yes",'Holdings'!$C$4:$C$2503,"&gt;0")&gt;0),'Companies'!$A$4:$A$63,"")))</f>
        <v/>
      </c>
      <c r="G243" s="30">
        <f>IF(A243="","",IF(COUNTIF('People'!$A$4:$A$1003,A243)=0,"Email not on People",IF(COUNTIF('Holders'!$A$4:$A$1003,B243)=0,"Unknown holder ID",IF(COUNTIFS($A$4:$A$1503,A243,$B$4:$B$1503,B243)&gt;1,"Duplicate link",IF(C243="","Missing access","OK")))))</f>
        <v/>
      </c>
    </row>
    <row r="244">
      <c r="A244" s="26" t="n"/>
      <c r="B244" s="26" t="n"/>
      <c r="C244" s="26" t="n"/>
      <c r="D244" s="26" t="n"/>
      <c r="E244" s="30">
        <f>IF(B244="","",IFERROR(INDEX('Holders'!$B$4:$B$1003,MATCH(B244,'Holders'!$A$4:$A$1003,0)),""))</f>
        <v/>
      </c>
      <c r="F244" s="30">
        <f t="array" ref="F244">IF(B244="","",_xlfn.TEXTJOIN(", ",TRUE,IF(('Companies'!$A$4:$A$63&lt;&gt;"")*(COUNTIFS('Holdings'!$A$4:$A$2503,B244,'Holdings'!$J$4:$J$2503,'Companies'!$A$4:$A$63,'Holdings'!$L$4:$L$2503,"Yes",'Holdings'!$C$4:$C$2503,"&gt;0")&gt;0),'Companies'!$A$4:$A$63,"")))</f>
        <v/>
      </c>
      <c r="G244" s="30">
        <f>IF(A244="","",IF(COUNTIF('People'!$A$4:$A$1003,A244)=0,"Email not on People",IF(COUNTIF('Holders'!$A$4:$A$1003,B244)=0,"Unknown holder ID",IF(COUNTIFS($A$4:$A$1503,A244,$B$4:$B$1503,B244)&gt;1,"Duplicate link",IF(C244="","Missing access","OK")))))</f>
        <v/>
      </c>
    </row>
    <row r="245">
      <c r="A245" s="26" t="n"/>
      <c r="B245" s="26" t="n"/>
      <c r="C245" s="26" t="n"/>
      <c r="D245" s="26" t="n"/>
      <c r="E245" s="30">
        <f>IF(B245="","",IFERROR(INDEX('Holders'!$B$4:$B$1003,MATCH(B245,'Holders'!$A$4:$A$1003,0)),""))</f>
        <v/>
      </c>
      <c r="F245" s="30">
        <f t="array" ref="F245">IF(B245="","",_xlfn.TEXTJOIN(", ",TRUE,IF(('Companies'!$A$4:$A$63&lt;&gt;"")*(COUNTIFS('Holdings'!$A$4:$A$2503,B245,'Holdings'!$J$4:$J$2503,'Companies'!$A$4:$A$63,'Holdings'!$L$4:$L$2503,"Yes",'Holdings'!$C$4:$C$2503,"&gt;0")&gt;0),'Companies'!$A$4:$A$63,"")))</f>
        <v/>
      </c>
      <c r="G245" s="30">
        <f>IF(A245="","",IF(COUNTIF('People'!$A$4:$A$1003,A245)=0,"Email not on People",IF(COUNTIF('Holders'!$A$4:$A$1003,B245)=0,"Unknown holder ID",IF(COUNTIFS($A$4:$A$1503,A245,$B$4:$B$1503,B245)&gt;1,"Duplicate link",IF(C245="","Missing access","OK")))))</f>
        <v/>
      </c>
    </row>
    <row r="246">
      <c r="A246" s="26" t="n"/>
      <c r="B246" s="26" t="n"/>
      <c r="C246" s="26" t="n"/>
      <c r="D246" s="26" t="n"/>
      <c r="E246" s="30">
        <f>IF(B246="","",IFERROR(INDEX('Holders'!$B$4:$B$1003,MATCH(B246,'Holders'!$A$4:$A$1003,0)),""))</f>
        <v/>
      </c>
      <c r="F246" s="30">
        <f t="array" ref="F246">IF(B246="","",_xlfn.TEXTJOIN(", ",TRUE,IF(('Companies'!$A$4:$A$63&lt;&gt;"")*(COUNTIFS('Holdings'!$A$4:$A$2503,B246,'Holdings'!$J$4:$J$2503,'Companies'!$A$4:$A$63,'Holdings'!$L$4:$L$2503,"Yes",'Holdings'!$C$4:$C$2503,"&gt;0")&gt;0),'Companies'!$A$4:$A$63,"")))</f>
        <v/>
      </c>
      <c r="G246" s="30">
        <f>IF(A246="","",IF(COUNTIF('People'!$A$4:$A$1003,A246)=0,"Email not on People",IF(COUNTIF('Holders'!$A$4:$A$1003,B246)=0,"Unknown holder ID",IF(COUNTIFS($A$4:$A$1503,A246,$B$4:$B$1503,B246)&gt;1,"Duplicate link",IF(C246="","Missing access","OK")))))</f>
        <v/>
      </c>
    </row>
    <row r="247">
      <c r="A247" s="26" t="n"/>
      <c r="B247" s="26" t="n"/>
      <c r="C247" s="26" t="n"/>
      <c r="D247" s="26" t="n"/>
      <c r="E247" s="30">
        <f>IF(B247="","",IFERROR(INDEX('Holders'!$B$4:$B$1003,MATCH(B247,'Holders'!$A$4:$A$1003,0)),""))</f>
        <v/>
      </c>
      <c r="F247" s="30">
        <f t="array" ref="F247">IF(B247="","",_xlfn.TEXTJOIN(", ",TRUE,IF(('Companies'!$A$4:$A$63&lt;&gt;"")*(COUNTIFS('Holdings'!$A$4:$A$2503,B247,'Holdings'!$J$4:$J$2503,'Companies'!$A$4:$A$63,'Holdings'!$L$4:$L$2503,"Yes",'Holdings'!$C$4:$C$2503,"&gt;0")&gt;0),'Companies'!$A$4:$A$63,"")))</f>
        <v/>
      </c>
      <c r="G247" s="30">
        <f>IF(A247="","",IF(COUNTIF('People'!$A$4:$A$1003,A247)=0,"Email not on People",IF(COUNTIF('Holders'!$A$4:$A$1003,B247)=0,"Unknown holder ID",IF(COUNTIFS($A$4:$A$1503,A247,$B$4:$B$1503,B247)&gt;1,"Duplicate link",IF(C247="","Missing access","OK")))))</f>
        <v/>
      </c>
    </row>
    <row r="248">
      <c r="A248" s="26" t="n"/>
      <c r="B248" s="26" t="n"/>
      <c r="C248" s="26" t="n"/>
      <c r="D248" s="26" t="n"/>
      <c r="E248" s="30">
        <f>IF(B248="","",IFERROR(INDEX('Holders'!$B$4:$B$1003,MATCH(B248,'Holders'!$A$4:$A$1003,0)),""))</f>
        <v/>
      </c>
      <c r="F248" s="30">
        <f t="array" ref="F248">IF(B248="","",_xlfn.TEXTJOIN(", ",TRUE,IF(('Companies'!$A$4:$A$63&lt;&gt;"")*(COUNTIFS('Holdings'!$A$4:$A$2503,B248,'Holdings'!$J$4:$J$2503,'Companies'!$A$4:$A$63,'Holdings'!$L$4:$L$2503,"Yes",'Holdings'!$C$4:$C$2503,"&gt;0")&gt;0),'Companies'!$A$4:$A$63,"")))</f>
        <v/>
      </c>
      <c r="G248" s="30">
        <f>IF(A248="","",IF(COUNTIF('People'!$A$4:$A$1003,A248)=0,"Email not on People",IF(COUNTIF('Holders'!$A$4:$A$1003,B248)=0,"Unknown holder ID",IF(COUNTIFS($A$4:$A$1503,A248,$B$4:$B$1503,B248)&gt;1,"Duplicate link",IF(C248="","Missing access","OK")))))</f>
        <v/>
      </c>
    </row>
    <row r="249">
      <c r="A249" s="26" t="n"/>
      <c r="B249" s="26" t="n"/>
      <c r="C249" s="26" t="n"/>
      <c r="D249" s="26" t="n"/>
      <c r="E249" s="30">
        <f>IF(B249="","",IFERROR(INDEX('Holders'!$B$4:$B$1003,MATCH(B249,'Holders'!$A$4:$A$1003,0)),""))</f>
        <v/>
      </c>
      <c r="F249" s="30">
        <f t="array" ref="F249">IF(B249="","",_xlfn.TEXTJOIN(", ",TRUE,IF(('Companies'!$A$4:$A$63&lt;&gt;"")*(COUNTIFS('Holdings'!$A$4:$A$2503,B249,'Holdings'!$J$4:$J$2503,'Companies'!$A$4:$A$63,'Holdings'!$L$4:$L$2503,"Yes",'Holdings'!$C$4:$C$2503,"&gt;0")&gt;0),'Companies'!$A$4:$A$63,"")))</f>
        <v/>
      </c>
      <c r="G249" s="30">
        <f>IF(A249="","",IF(COUNTIF('People'!$A$4:$A$1003,A249)=0,"Email not on People",IF(COUNTIF('Holders'!$A$4:$A$1003,B249)=0,"Unknown holder ID",IF(COUNTIFS($A$4:$A$1503,A249,$B$4:$B$1503,B249)&gt;1,"Duplicate link",IF(C249="","Missing access","OK")))))</f>
        <v/>
      </c>
    </row>
    <row r="250">
      <c r="A250" s="26" t="n"/>
      <c r="B250" s="26" t="n"/>
      <c r="C250" s="26" t="n"/>
      <c r="D250" s="26" t="n"/>
      <c r="E250" s="30">
        <f>IF(B250="","",IFERROR(INDEX('Holders'!$B$4:$B$1003,MATCH(B250,'Holders'!$A$4:$A$1003,0)),""))</f>
        <v/>
      </c>
      <c r="F250" s="30">
        <f t="array" ref="F250">IF(B250="","",_xlfn.TEXTJOIN(", ",TRUE,IF(('Companies'!$A$4:$A$63&lt;&gt;"")*(COUNTIFS('Holdings'!$A$4:$A$2503,B250,'Holdings'!$J$4:$J$2503,'Companies'!$A$4:$A$63,'Holdings'!$L$4:$L$2503,"Yes",'Holdings'!$C$4:$C$2503,"&gt;0")&gt;0),'Companies'!$A$4:$A$63,"")))</f>
        <v/>
      </c>
      <c r="G250" s="30">
        <f>IF(A250="","",IF(COUNTIF('People'!$A$4:$A$1003,A250)=0,"Email not on People",IF(COUNTIF('Holders'!$A$4:$A$1003,B250)=0,"Unknown holder ID",IF(COUNTIFS($A$4:$A$1503,A250,$B$4:$B$1503,B250)&gt;1,"Duplicate link",IF(C250="","Missing access","OK")))))</f>
        <v/>
      </c>
    </row>
    <row r="251">
      <c r="A251" s="26" t="n"/>
      <c r="B251" s="26" t="n"/>
      <c r="C251" s="26" t="n"/>
      <c r="D251" s="26" t="n"/>
      <c r="E251" s="30">
        <f>IF(B251="","",IFERROR(INDEX('Holders'!$B$4:$B$1003,MATCH(B251,'Holders'!$A$4:$A$1003,0)),""))</f>
        <v/>
      </c>
      <c r="F251" s="30">
        <f t="array" ref="F251">IF(B251="","",_xlfn.TEXTJOIN(", ",TRUE,IF(('Companies'!$A$4:$A$63&lt;&gt;"")*(COUNTIFS('Holdings'!$A$4:$A$2503,B251,'Holdings'!$J$4:$J$2503,'Companies'!$A$4:$A$63,'Holdings'!$L$4:$L$2503,"Yes",'Holdings'!$C$4:$C$2503,"&gt;0")&gt;0),'Companies'!$A$4:$A$63,"")))</f>
        <v/>
      </c>
      <c r="G251" s="30">
        <f>IF(A251="","",IF(COUNTIF('People'!$A$4:$A$1003,A251)=0,"Email not on People",IF(COUNTIF('Holders'!$A$4:$A$1003,B251)=0,"Unknown holder ID",IF(COUNTIFS($A$4:$A$1503,A251,$B$4:$B$1503,B251)&gt;1,"Duplicate link",IF(C251="","Missing access","OK")))))</f>
        <v/>
      </c>
    </row>
    <row r="252">
      <c r="A252" s="26" t="n"/>
      <c r="B252" s="26" t="n"/>
      <c r="C252" s="26" t="n"/>
      <c r="D252" s="26" t="n"/>
      <c r="E252" s="30">
        <f>IF(B252="","",IFERROR(INDEX('Holders'!$B$4:$B$1003,MATCH(B252,'Holders'!$A$4:$A$1003,0)),""))</f>
        <v/>
      </c>
      <c r="F252" s="30">
        <f t="array" ref="F252">IF(B252="","",_xlfn.TEXTJOIN(", ",TRUE,IF(('Companies'!$A$4:$A$63&lt;&gt;"")*(COUNTIFS('Holdings'!$A$4:$A$2503,B252,'Holdings'!$J$4:$J$2503,'Companies'!$A$4:$A$63,'Holdings'!$L$4:$L$2503,"Yes",'Holdings'!$C$4:$C$2503,"&gt;0")&gt;0),'Companies'!$A$4:$A$63,"")))</f>
        <v/>
      </c>
      <c r="G252" s="30">
        <f>IF(A252="","",IF(COUNTIF('People'!$A$4:$A$1003,A252)=0,"Email not on People",IF(COUNTIF('Holders'!$A$4:$A$1003,B252)=0,"Unknown holder ID",IF(COUNTIFS($A$4:$A$1503,A252,$B$4:$B$1503,B252)&gt;1,"Duplicate link",IF(C252="","Missing access","OK")))))</f>
        <v/>
      </c>
    </row>
    <row r="253">
      <c r="A253" s="26" t="n"/>
      <c r="B253" s="26" t="n"/>
      <c r="C253" s="26" t="n"/>
      <c r="D253" s="26" t="n"/>
      <c r="E253" s="30">
        <f>IF(B253="","",IFERROR(INDEX('Holders'!$B$4:$B$1003,MATCH(B253,'Holders'!$A$4:$A$1003,0)),""))</f>
        <v/>
      </c>
      <c r="F253" s="30">
        <f t="array" ref="F253">IF(B253="","",_xlfn.TEXTJOIN(", ",TRUE,IF(('Companies'!$A$4:$A$63&lt;&gt;"")*(COUNTIFS('Holdings'!$A$4:$A$2503,B253,'Holdings'!$J$4:$J$2503,'Companies'!$A$4:$A$63,'Holdings'!$L$4:$L$2503,"Yes",'Holdings'!$C$4:$C$2503,"&gt;0")&gt;0),'Companies'!$A$4:$A$63,"")))</f>
        <v/>
      </c>
      <c r="G253" s="30">
        <f>IF(A253="","",IF(COUNTIF('People'!$A$4:$A$1003,A253)=0,"Email not on People",IF(COUNTIF('Holders'!$A$4:$A$1003,B253)=0,"Unknown holder ID",IF(COUNTIFS($A$4:$A$1503,A253,$B$4:$B$1503,B253)&gt;1,"Duplicate link",IF(C253="","Missing access","OK")))))</f>
        <v/>
      </c>
    </row>
    <row r="254">
      <c r="A254" s="26" t="n"/>
      <c r="B254" s="26" t="n"/>
      <c r="C254" s="26" t="n"/>
      <c r="D254" s="26" t="n"/>
      <c r="E254" s="30">
        <f>IF(B254="","",IFERROR(INDEX('Holders'!$B$4:$B$1003,MATCH(B254,'Holders'!$A$4:$A$1003,0)),""))</f>
        <v/>
      </c>
      <c r="F254" s="30">
        <f t="array" ref="F254">IF(B254="","",_xlfn.TEXTJOIN(", ",TRUE,IF(('Companies'!$A$4:$A$63&lt;&gt;"")*(COUNTIFS('Holdings'!$A$4:$A$2503,B254,'Holdings'!$J$4:$J$2503,'Companies'!$A$4:$A$63,'Holdings'!$L$4:$L$2503,"Yes",'Holdings'!$C$4:$C$2503,"&gt;0")&gt;0),'Companies'!$A$4:$A$63,"")))</f>
        <v/>
      </c>
      <c r="G254" s="30">
        <f>IF(A254="","",IF(COUNTIF('People'!$A$4:$A$1003,A254)=0,"Email not on People",IF(COUNTIF('Holders'!$A$4:$A$1003,B254)=0,"Unknown holder ID",IF(COUNTIFS($A$4:$A$1503,A254,$B$4:$B$1503,B254)&gt;1,"Duplicate link",IF(C254="","Missing access","OK")))))</f>
        <v/>
      </c>
    </row>
    <row r="255">
      <c r="A255" s="26" t="n"/>
      <c r="B255" s="26" t="n"/>
      <c r="C255" s="26" t="n"/>
      <c r="D255" s="26" t="n"/>
      <c r="E255" s="30">
        <f>IF(B255="","",IFERROR(INDEX('Holders'!$B$4:$B$1003,MATCH(B255,'Holders'!$A$4:$A$1003,0)),""))</f>
        <v/>
      </c>
      <c r="F255" s="30">
        <f t="array" ref="F255">IF(B255="","",_xlfn.TEXTJOIN(", ",TRUE,IF(('Companies'!$A$4:$A$63&lt;&gt;"")*(COUNTIFS('Holdings'!$A$4:$A$2503,B255,'Holdings'!$J$4:$J$2503,'Companies'!$A$4:$A$63,'Holdings'!$L$4:$L$2503,"Yes",'Holdings'!$C$4:$C$2503,"&gt;0")&gt;0),'Companies'!$A$4:$A$63,"")))</f>
        <v/>
      </c>
      <c r="G255" s="30">
        <f>IF(A255="","",IF(COUNTIF('People'!$A$4:$A$1003,A255)=0,"Email not on People",IF(COUNTIF('Holders'!$A$4:$A$1003,B255)=0,"Unknown holder ID",IF(COUNTIFS($A$4:$A$1503,A255,$B$4:$B$1503,B255)&gt;1,"Duplicate link",IF(C255="","Missing access","OK")))))</f>
        <v/>
      </c>
    </row>
    <row r="256">
      <c r="A256" s="26" t="n"/>
      <c r="B256" s="26" t="n"/>
      <c r="C256" s="26" t="n"/>
      <c r="D256" s="26" t="n"/>
      <c r="E256" s="30">
        <f>IF(B256="","",IFERROR(INDEX('Holders'!$B$4:$B$1003,MATCH(B256,'Holders'!$A$4:$A$1003,0)),""))</f>
        <v/>
      </c>
      <c r="F256" s="30">
        <f t="array" ref="F256">IF(B256="","",_xlfn.TEXTJOIN(", ",TRUE,IF(('Companies'!$A$4:$A$63&lt;&gt;"")*(COUNTIFS('Holdings'!$A$4:$A$2503,B256,'Holdings'!$J$4:$J$2503,'Companies'!$A$4:$A$63,'Holdings'!$L$4:$L$2503,"Yes",'Holdings'!$C$4:$C$2503,"&gt;0")&gt;0),'Companies'!$A$4:$A$63,"")))</f>
        <v/>
      </c>
      <c r="G256" s="30">
        <f>IF(A256="","",IF(COUNTIF('People'!$A$4:$A$1003,A256)=0,"Email not on People",IF(COUNTIF('Holders'!$A$4:$A$1003,B256)=0,"Unknown holder ID",IF(COUNTIFS($A$4:$A$1503,A256,$B$4:$B$1503,B256)&gt;1,"Duplicate link",IF(C256="","Missing access","OK")))))</f>
        <v/>
      </c>
    </row>
    <row r="257">
      <c r="A257" s="26" t="n"/>
      <c r="B257" s="26" t="n"/>
      <c r="C257" s="26" t="n"/>
      <c r="D257" s="26" t="n"/>
      <c r="E257" s="30">
        <f>IF(B257="","",IFERROR(INDEX('Holders'!$B$4:$B$1003,MATCH(B257,'Holders'!$A$4:$A$1003,0)),""))</f>
        <v/>
      </c>
      <c r="F257" s="30">
        <f t="array" ref="F257">IF(B257="","",_xlfn.TEXTJOIN(", ",TRUE,IF(('Companies'!$A$4:$A$63&lt;&gt;"")*(COUNTIFS('Holdings'!$A$4:$A$2503,B257,'Holdings'!$J$4:$J$2503,'Companies'!$A$4:$A$63,'Holdings'!$L$4:$L$2503,"Yes",'Holdings'!$C$4:$C$2503,"&gt;0")&gt;0),'Companies'!$A$4:$A$63,"")))</f>
        <v/>
      </c>
      <c r="G257" s="30">
        <f>IF(A257="","",IF(COUNTIF('People'!$A$4:$A$1003,A257)=0,"Email not on People",IF(COUNTIF('Holders'!$A$4:$A$1003,B257)=0,"Unknown holder ID",IF(COUNTIFS($A$4:$A$1503,A257,$B$4:$B$1503,B257)&gt;1,"Duplicate link",IF(C257="","Missing access","OK")))))</f>
        <v/>
      </c>
    </row>
    <row r="258">
      <c r="A258" s="26" t="n"/>
      <c r="B258" s="26" t="n"/>
      <c r="C258" s="26" t="n"/>
      <c r="D258" s="26" t="n"/>
      <c r="E258" s="30">
        <f>IF(B258="","",IFERROR(INDEX('Holders'!$B$4:$B$1003,MATCH(B258,'Holders'!$A$4:$A$1003,0)),""))</f>
        <v/>
      </c>
      <c r="F258" s="30">
        <f t="array" ref="F258">IF(B258="","",_xlfn.TEXTJOIN(", ",TRUE,IF(('Companies'!$A$4:$A$63&lt;&gt;"")*(COUNTIFS('Holdings'!$A$4:$A$2503,B258,'Holdings'!$J$4:$J$2503,'Companies'!$A$4:$A$63,'Holdings'!$L$4:$L$2503,"Yes",'Holdings'!$C$4:$C$2503,"&gt;0")&gt;0),'Companies'!$A$4:$A$63,"")))</f>
        <v/>
      </c>
      <c r="G258" s="30">
        <f>IF(A258="","",IF(COUNTIF('People'!$A$4:$A$1003,A258)=0,"Email not on People",IF(COUNTIF('Holders'!$A$4:$A$1003,B258)=0,"Unknown holder ID",IF(COUNTIFS($A$4:$A$1503,A258,$B$4:$B$1503,B258)&gt;1,"Duplicate link",IF(C258="","Missing access","OK")))))</f>
        <v/>
      </c>
    </row>
    <row r="259">
      <c r="A259" s="26" t="n"/>
      <c r="B259" s="26" t="n"/>
      <c r="C259" s="26" t="n"/>
      <c r="D259" s="26" t="n"/>
      <c r="E259" s="30">
        <f>IF(B259="","",IFERROR(INDEX('Holders'!$B$4:$B$1003,MATCH(B259,'Holders'!$A$4:$A$1003,0)),""))</f>
        <v/>
      </c>
      <c r="F259" s="30">
        <f t="array" ref="F259">IF(B259="","",_xlfn.TEXTJOIN(", ",TRUE,IF(('Companies'!$A$4:$A$63&lt;&gt;"")*(COUNTIFS('Holdings'!$A$4:$A$2503,B259,'Holdings'!$J$4:$J$2503,'Companies'!$A$4:$A$63,'Holdings'!$L$4:$L$2503,"Yes",'Holdings'!$C$4:$C$2503,"&gt;0")&gt;0),'Companies'!$A$4:$A$63,"")))</f>
        <v/>
      </c>
      <c r="G259" s="30">
        <f>IF(A259="","",IF(COUNTIF('People'!$A$4:$A$1003,A259)=0,"Email not on People",IF(COUNTIF('Holders'!$A$4:$A$1003,B259)=0,"Unknown holder ID",IF(COUNTIFS($A$4:$A$1503,A259,$B$4:$B$1503,B259)&gt;1,"Duplicate link",IF(C259="","Missing access","OK")))))</f>
        <v/>
      </c>
    </row>
    <row r="260">
      <c r="A260" s="26" t="n"/>
      <c r="B260" s="26" t="n"/>
      <c r="C260" s="26" t="n"/>
      <c r="D260" s="26" t="n"/>
      <c r="E260" s="30">
        <f>IF(B260="","",IFERROR(INDEX('Holders'!$B$4:$B$1003,MATCH(B260,'Holders'!$A$4:$A$1003,0)),""))</f>
        <v/>
      </c>
      <c r="F260" s="30">
        <f t="array" ref="F260">IF(B260="","",_xlfn.TEXTJOIN(", ",TRUE,IF(('Companies'!$A$4:$A$63&lt;&gt;"")*(COUNTIFS('Holdings'!$A$4:$A$2503,B260,'Holdings'!$J$4:$J$2503,'Companies'!$A$4:$A$63,'Holdings'!$L$4:$L$2503,"Yes",'Holdings'!$C$4:$C$2503,"&gt;0")&gt;0),'Companies'!$A$4:$A$63,"")))</f>
        <v/>
      </c>
      <c r="G260" s="30">
        <f>IF(A260="","",IF(COUNTIF('People'!$A$4:$A$1003,A260)=0,"Email not on People",IF(COUNTIF('Holders'!$A$4:$A$1003,B260)=0,"Unknown holder ID",IF(COUNTIFS($A$4:$A$1503,A260,$B$4:$B$1503,B260)&gt;1,"Duplicate link",IF(C260="","Missing access","OK")))))</f>
        <v/>
      </c>
    </row>
    <row r="261">
      <c r="A261" s="26" t="n"/>
      <c r="B261" s="26" t="n"/>
      <c r="C261" s="26" t="n"/>
      <c r="D261" s="26" t="n"/>
      <c r="E261" s="30">
        <f>IF(B261="","",IFERROR(INDEX('Holders'!$B$4:$B$1003,MATCH(B261,'Holders'!$A$4:$A$1003,0)),""))</f>
        <v/>
      </c>
      <c r="F261" s="30">
        <f t="array" ref="F261">IF(B261="","",_xlfn.TEXTJOIN(", ",TRUE,IF(('Companies'!$A$4:$A$63&lt;&gt;"")*(COUNTIFS('Holdings'!$A$4:$A$2503,B261,'Holdings'!$J$4:$J$2503,'Companies'!$A$4:$A$63,'Holdings'!$L$4:$L$2503,"Yes",'Holdings'!$C$4:$C$2503,"&gt;0")&gt;0),'Companies'!$A$4:$A$63,"")))</f>
        <v/>
      </c>
      <c r="G261" s="30">
        <f>IF(A261="","",IF(COUNTIF('People'!$A$4:$A$1003,A261)=0,"Email not on People",IF(COUNTIF('Holders'!$A$4:$A$1003,B261)=0,"Unknown holder ID",IF(COUNTIFS($A$4:$A$1503,A261,$B$4:$B$1503,B261)&gt;1,"Duplicate link",IF(C261="","Missing access","OK")))))</f>
        <v/>
      </c>
    </row>
    <row r="262">
      <c r="A262" s="26" t="n"/>
      <c r="B262" s="26" t="n"/>
      <c r="C262" s="26" t="n"/>
      <c r="D262" s="26" t="n"/>
      <c r="E262" s="30">
        <f>IF(B262="","",IFERROR(INDEX('Holders'!$B$4:$B$1003,MATCH(B262,'Holders'!$A$4:$A$1003,0)),""))</f>
        <v/>
      </c>
      <c r="F262" s="30">
        <f t="array" ref="F262">IF(B262="","",_xlfn.TEXTJOIN(", ",TRUE,IF(('Companies'!$A$4:$A$63&lt;&gt;"")*(COUNTIFS('Holdings'!$A$4:$A$2503,B262,'Holdings'!$J$4:$J$2503,'Companies'!$A$4:$A$63,'Holdings'!$L$4:$L$2503,"Yes",'Holdings'!$C$4:$C$2503,"&gt;0")&gt;0),'Companies'!$A$4:$A$63,"")))</f>
        <v/>
      </c>
      <c r="G262" s="30">
        <f>IF(A262="","",IF(COUNTIF('People'!$A$4:$A$1003,A262)=0,"Email not on People",IF(COUNTIF('Holders'!$A$4:$A$1003,B262)=0,"Unknown holder ID",IF(COUNTIFS($A$4:$A$1503,A262,$B$4:$B$1503,B262)&gt;1,"Duplicate link",IF(C262="","Missing access","OK")))))</f>
        <v/>
      </c>
    </row>
    <row r="263">
      <c r="A263" s="26" t="n"/>
      <c r="B263" s="26" t="n"/>
      <c r="C263" s="26" t="n"/>
      <c r="D263" s="26" t="n"/>
      <c r="E263" s="30">
        <f>IF(B263="","",IFERROR(INDEX('Holders'!$B$4:$B$1003,MATCH(B263,'Holders'!$A$4:$A$1003,0)),""))</f>
        <v/>
      </c>
      <c r="F263" s="30">
        <f t="array" ref="F263">IF(B263="","",_xlfn.TEXTJOIN(", ",TRUE,IF(('Companies'!$A$4:$A$63&lt;&gt;"")*(COUNTIFS('Holdings'!$A$4:$A$2503,B263,'Holdings'!$J$4:$J$2503,'Companies'!$A$4:$A$63,'Holdings'!$L$4:$L$2503,"Yes",'Holdings'!$C$4:$C$2503,"&gt;0")&gt;0),'Companies'!$A$4:$A$63,"")))</f>
        <v/>
      </c>
      <c r="G263" s="30">
        <f>IF(A263="","",IF(COUNTIF('People'!$A$4:$A$1003,A263)=0,"Email not on People",IF(COUNTIF('Holders'!$A$4:$A$1003,B263)=0,"Unknown holder ID",IF(COUNTIFS($A$4:$A$1503,A263,$B$4:$B$1503,B263)&gt;1,"Duplicate link",IF(C263="","Missing access","OK")))))</f>
        <v/>
      </c>
    </row>
    <row r="264">
      <c r="A264" s="26" t="n"/>
      <c r="B264" s="26" t="n"/>
      <c r="C264" s="26" t="n"/>
      <c r="D264" s="26" t="n"/>
      <c r="E264" s="30">
        <f>IF(B264="","",IFERROR(INDEX('Holders'!$B$4:$B$1003,MATCH(B264,'Holders'!$A$4:$A$1003,0)),""))</f>
        <v/>
      </c>
      <c r="F264" s="30">
        <f t="array" ref="F264">IF(B264="","",_xlfn.TEXTJOIN(", ",TRUE,IF(('Companies'!$A$4:$A$63&lt;&gt;"")*(COUNTIFS('Holdings'!$A$4:$A$2503,B264,'Holdings'!$J$4:$J$2503,'Companies'!$A$4:$A$63,'Holdings'!$L$4:$L$2503,"Yes",'Holdings'!$C$4:$C$2503,"&gt;0")&gt;0),'Companies'!$A$4:$A$63,"")))</f>
        <v/>
      </c>
      <c r="G264" s="30">
        <f>IF(A264="","",IF(COUNTIF('People'!$A$4:$A$1003,A264)=0,"Email not on People",IF(COUNTIF('Holders'!$A$4:$A$1003,B264)=0,"Unknown holder ID",IF(COUNTIFS($A$4:$A$1503,A264,$B$4:$B$1503,B264)&gt;1,"Duplicate link",IF(C264="","Missing access","OK")))))</f>
        <v/>
      </c>
    </row>
    <row r="265">
      <c r="A265" s="26" t="n"/>
      <c r="B265" s="26" t="n"/>
      <c r="C265" s="26" t="n"/>
      <c r="D265" s="26" t="n"/>
      <c r="E265" s="30">
        <f>IF(B265="","",IFERROR(INDEX('Holders'!$B$4:$B$1003,MATCH(B265,'Holders'!$A$4:$A$1003,0)),""))</f>
        <v/>
      </c>
      <c r="F265" s="30">
        <f t="array" ref="F265">IF(B265="","",_xlfn.TEXTJOIN(", ",TRUE,IF(('Companies'!$A$4:$A$63&lt;&gt;"")*(COUNTIFS('Holdings'!$A$4:$A$2503,B265,'Holdings'!$J$4:$J$2503,'Companies'!$A$4:$A$63,'Holdings'!$L$4:$L$2503,"Yes",'Holdings'!$C$4:$C$2503,"&gt;0")&gt;0),'Companies'!$A$4:$A$63,"")))</f>
        <v/>
      </c>
      <c r="G265" s="30">
        <f>IF(A265="","",IF(COUNTIF('People'!$A$4:$A$1003,A265)=0,"Email not on People",IF(COUNTIF('Holders'!$A$4:$A$1003,B265)=0,"Unknown holder ID",IF(COUNTIFS($A$4:$A$1503,A265,$B$4:$B$1503,B265)&gt;1,"Duplicate link",IF(C265="","Missing access","OK")))))</f>
        <v/>
      </c>
    </row>
    <row r="266">
      <c r="A266" s="26" t="n"/>
      <c r="B266" s="26" t="n"/>
      <c r="C266" s="26" t="n"/>
      <c r="D266" s="26" t="n"/>
      <c r="E266" s="30">
        <f>IF(B266="","",IFERROR(INDEX('Holders'!$B$4:$B$1003,MATCH(B266,'Holders'!$A$4:$A$1003,0)),""))</f>
        <v/>
      </c>
      <c r="F266" s="30">
        <f t="array" ref="F266">IF(B266="","",_xlfn.TEXTJOIN(", ",TRUE,IF(('Companies'!$A$4:$A$63&lt;&gt;"")*(COUNTIFS('Holdings'!$A$4:$A$2503,B266,'Holdings'!$J$4:$J$2503,'Companies'!$A$4:$A$63,'Holdings'!$L$4:$L$2503,"Yes",'Holdings'!$C$4:$C$2503,"&gt;0")&gt;0),'Companies'!$A$4:$A$63,"")))</f>
        <v/>
      </c>
      <c r="G266" s="30">
        <f>IF(A266="","",IF(COUNTIF('People'!$A$4:$A$1003,A266)=0,"Email not on People",IF(COUNTIF('Holders'!$A$4:$A$1003,B266)=0,"Unknown holder ID",IF(COUNTIFS($A$4:$A$1503,A266,$B$4:$B$1503,B266)&gt;1,"Duplicate link",IF(C266="","Missing access","OK")))))</f>
        <v/>
      </c>
    </row>
    <row r="267">
      <c r="A267" s="26" t="n"/>
      <c r="B267" s="26" t="n"/>
      <c r="C267" s="26" t="n"/>
      <c r="D267" s="26" t="n"/>
      <c r="E267" s="30">
        <f>IF(B267="","",IFERROR(INDEX('Holders'!$B$4:$B$1003,MATCH(B267,'Holders'!$A$4:$A$1003,0)),""))</f>
        <v/>
      </c>
      <c r="F267" s="30">
        <f t="array" ref="F267">IF(B267="","",_xlfn.TEXTJOIN(", ",TRUE,IF(('Companies'!$A$4:$A$63&lt;&gt;"")*(COUNTIFS('Holdings'!$A$4:$A$2503,B267,'Holdings'!$J$4:$J$2503,'Companies'!$A$4:$A$63,'Holdings'!$L$4:$L$2503,"Yes",'Holdings'!$C$4:$C$2503,"&gt;0")&gt;0),'Companies'!$A$4:$A$63,"")))</f>
        <v/>
      </c>
      <c r="G267" s="30">
        <f>IF(A267="","",IF(COUNTIF('People'!$A$4:$A$1003,A267)=0,"Email not on People",IF(COUNTIF('Holders'!$A$4:$A$1003,B267)=0,"Unknown holder ID",IF(COUNTIFS($A$4:$A$1503,A267,$B$4:$B$1503,B267)&gt;1,"Duplicate link",IF(C267="","Missing access","OK")))))</f>
        <v/>
      </c>
    </row>
    <row r="268">
      <c r="A268" s="26" t="n"/>
      <c r="B268" s="26" t="n"/>
      <c r="C268" s="26" t="n"/>
      <c r="D268" s="26" t="n"/>
      <c r="E268" s="30">
        <f>IF(B268="","",IFERROR(INDEX('Holders'!$B$4:$B$1003,MATCH(B268,'Holders'!$A$4:$A$1003,0)),""))</f>
        <v/>
      </c>
      <c r="F268" s="30">
        <f t="array" ref="F268">IF(B268="","",_xlfn.TEXTJOIN(", ",TRUE,IF(('Companies'!$A$4:$A$63&lt;&gt;"")*(COUNTIFS('Holdings'!$A$4:$A$2503,B268,'Holdings'!$J$4:$J$2503,'Companies'!$A$4:$A$63,'Holdings'!$L$4:$L$2503,"Yes",'Holdings'!$C$4:$C$2503,"&gt;0")&gt;0),'Companies'!$A$4:$A$63,"")))</f>
        <v/>
      </c>
      <c r="G268" s="30">
        <f>IF(A268="","",IF(COUNTIF('People'!$A$4:$A$1003,A268)=0,"Email not on People",IF(COUNTIF('Holders'!$A$4:$A$1003,B268)=0,"Unknown holder ID",IF(COUNTIFS($A$4:$A$1503,A268,$B$4:$B$1503,B268)&gt;1,"Duplicate link",IF(C268="","Missing access","OK")))))</f>
        <v/>
      </c>
    </row>
    <row r="269">
      <c r="A269" s="26" t="n"/>
      <c r="B269" s="26" t="n"/>
      <c r="C269" s="26" t="n"/>
      <c r="D269" s="26" t="n"/>
      <c r="E269" s="30">
        <f>IF(B269="","",IFERROR(INDEX('Holders'!$B$4:$B$1003,MATCH(B269,'Holders'!$A$4:$A$1003,0)),""))</f>
        <v/>
      </c>
      <c r="F269" s="30">
        <f t="array" ref="F269">IF(B269="","",_xlfn.TEXTJOIN(", ",TRUE,IF(('Companies'!$A$4:$A$63&lt;&gt;"")*(COUNTIFS('Holdings'!$A$4:$A$2503,B269,'Holdings'!$J$4:$J$2503,'Companies'!$A$4:$A$63,'Holdings'!$L$4:$L$2503,"Yes",'Holdings'!$C$4:$C$2503,"&gt;0")&gt;0),'Companies'!$A$4:$A$63,"")))</f>
        <v/>
      </c>
      <c r="G269" s="30">
        <f>IF(A269="","",IF(COUNTIF('People'!$A$4:$A$1003,A269)=0,"Email not on People",IF(COUNTIF('Holders'!$A$4:$A$1003,B269)=0,"Unknown holder ID",IF(COUNTIFS($A$4:$A$1503,A269,$B$4:$B$1503,B269)&gt;1,"Duplicate link",IF(C269="","Missing access","OK")))))</f>
        <v/>
      </c>
    </row>
    <row r="270">
      <c r="A270" s="26" t="n"/>
      <c r="B270" s="26" t="n"/>
      <c r="C270" s="26" t="n"/>
      <c r="D270" s="26" t="n"/>
      <c r="E270" s="30">
        <f>IF(B270="","",IFERROR(INDEX('Holders'!$B$4:$B$1003,MATCH(B270,'Holders'!$A$4:$A$1003,0)),""))</f>
        <v/>
      </c>
      <c r="F270" s="30">
        <f t="array" ref="F270">IF(B270="","",_xlfn.TEXTJOIN(", ",TRUE,IF(('Companies'!$A$4:$A$63&lt;&gt;"")*(COUNTIFS('Holdings'!$A$4:$A$2503,B270,'Holdings'!$J$4:$J$2503,'Companies'!$A$4:$A$63,'Holdings'!$L$4:$L$2503,"Yes",'Holdings'!$C$4:$C$2503,"&gt;0")&gt;0),'Companies'!$A$4:$A$63,"")))</f>
        <v/>
      </c>
      <c r="G270" s="30">
        <f>IF(A270="","",IF(COUNTIF('People'!$A$4:$A$1003,A270)=0,"Email not on People",IF(COUNTIF('Holders'!$A$4:$A$1003,B270)=0,"Unknown holder ID",IF(COUNTIFS($A$4:$A$1503,A270,$B$4:$B$1503,B270)&gt;1,"Duplicate link",IF(C270="","Missing access","OK")))))</f>
        <v/>
      </c>
    </row>
    <row r="271">
      <c r="A271" s="26" t="n"/>
      <c r="B271" s="26" t="n"/>
      <c r="C271" s="26" t="n"/>
      <c r="D271" s="26" t="n"/>
      <c r="E271" s="30">
        <f>IF(B271="","",IFERROR(INDEX('Holders'!$B$4:$B$1003,MATCH(B271,'Holders'!$A$4:$A$1003,0)),""))</f>
        <v/>
      </c>
      <c r="F271" s="30">
        <f t="array" ref="F271">IF(B271="","",_xlfn.TEXTJOIN(", ",TRUE,IF(('Companies'!$A$4:$A$63&lt;&gt;"")*(COUNTIFS('Holdings'!$A$4:$A$2503,B271,'Holdings'!$J$4:$J$2503,'Companies'!$A$4:$A$63,'Holdings'!$L$4:$L$2503,"Yes",'Holdings'!$C$4:$C$2503,"&gt;0")&gt;0),'Companies'!$A$4:$A$63,"")))</f>
        <v/>
      </c>
      <c r="G271" s="30">
        <f>IF(A271="","",IF(COUNTIF('People'!$A$4:$A$1003,A271)=0,"Email not on People",IF(COUNTIF('Holders'!$A$4:$A$1003,B271)=0,"Unknown holder ID",IF(COUNTIFS($A$4:$A$1503,A271,$B$4:$B$1503,B271)&gt;1,"Duplicate link",IF(C271="","Missing access","OK")))))</f>
        <v/>
      </c>
    </row>
    <row r="272">
      <c r="A272" s="26" t="n"/>
      <c r="B272" s="26" t="n"/>
      <c r="C272" s="26" t="n"/>
      <c r="D272" s="26" t="n"/>
      <c r="E272" s="30">
        <f>IF(B272="","",IFERROR(INDEX('Holders'!$B$4:$B$1003,MATCH(B272,'Holders'!$A$4:$A$1003,0)),""))</f>
        <v/>
      </c>
      <c r="F272" s="30">
        <f t="array" ref="F272">IF(B272="","",_xlfn.TEXTJOIN(", ",TRUE,IF(('Companies'!$A$4:$A$63&lt;&gt;"")*(COUNTIFS('Holdings'!$A$4:$A$2503,B272,'Holdings'!$J$4:$J$2503,'Companies'!$A$4:$A$63,'Holdings'!$L$4:$L$2503,"Yes",'Holdings'!$C$4:$C$2503,"&gt;0")&gt;0),'Companies'!$A$4:$A$63,"")))</f>
        <v/>
      </c>
      <c r="G272" s="30">
        <f>IF(A272="","",IF(COUNTIF('People'!$A$4:$A$1003,A272)=0,"Email not on People",IF(COUNTIF('Holders'!$A$4:$A$1003,B272)=0,"Unknown holder ID",IF(COUNTIFS($A$4:$A$1503,A272,$B$4:$B$1503,B272)&gt;1,"Duplicate link",IF(C272="","Missing access","OK")))))</f>
        <v/>
      </c>
    </row>
    <row r="273">
      <c r="A273" s="26" t="n"/>
      <c r="B273" s="26" t="n"/>
      <c r="C273" s="26" t="n"/>
      <c r="D273" s="26" t="n"/>
      <c r="E273" s="30">
        <f>IF(B273="","",IFERROR(INDEX('Holders'!$B$4:$B$1003,MATCH(B273,'Holders'!$A$4:$A$1003,0)),""))</f>
        <v/>
      </c>
      <c r="F273" s="30">
        <f t="array" ref="F273">IF(B273="","",_xlfn.TEXTJOIN(", ",TRUE,IF(('Companies'!$A$4:$A$63&lt;&gt;"")*(COUNTIFS('Holdings'!$A$4:$A$2503,B273,'Holdings'!$J$4:$J$2503,'Companies'!$A$4:$A$63,'Holdings'!$L$4:$L$2503,"Yes",'Holdings'!$C$4:$C$2503,"&gt;0")&gt;0),'Companies'!$A$4:$A$63,"")))</f>
        <v/>
      </c>
      <c r="G273" s="30">
        <f>IF(A273="","",IF(COUNTIF('People'!$A$4:$A$1003,A273)=0,"Email not on People",IF(COUNTIF('Holders'!$A$4:$A$1003,B273)=0,"Unknown holder ID",IF(COUNTIFS($A$4:$A$1503,A273,$B$4:$B$1503,B273)&gt;1,"Duplicate link",IF(C273="","Missing access","OK")))))</f>
        <v/>
      </c>
    </row>
    <row r="274">
      <c r="A274" s="26" t="n"/>
      <c r="B274" s="26" t="n"/>
      <c r="C274" s="26" t="n"/>
      <c r="D274" s="26" t="n"/>
      <c r="E274" s="30">
        <f>IF(B274="","",IFERROR(INDEX('Holders'!$B$4:$B$1003,MATCH(B274,'Holders'!$A$4:$A$1003,0)),""))</f>
        <v/>
      </c>
      <c r="F274" s="30">
        <f t="array" ref="F274">IF(B274="","",_xlfn.TEXTJOIN(", ",TRUE,IF(('Companies'!$A$4:$A$63&lt;&gt;"")*(COUNTIFS('Holdings'!$A$4:$A$2503,B274,'Holdings'!$J$4:$J$2503,'Companies'!$A$4:$A$63,'Holdings'!$L$4:$L$2503,"Yes",'Holdings'!$C$4:$C$2503,"&gt;0")&gt;0),'Companies'!$A$4:$A$63,"")))</f>
        <v/>
      </c>
      <c r="G274" s="30">
        <f>IF(A274="","",IF(COUNTIF('People'!$A$4:$A$1003,A274)=0,"Email not on People",IF(COUNTIF('Holders'!$A$4:$A$1003,B274)=0,"Unknown holder ID",IF(COUNTIFS($A$4:$A$1503,A274,$B$4:$B$1503,B274)&gt;1,"Duplicate link",IF(C274="","Missing access","OK")))))</f>
        <v/>
      </c>
    </row>
    <row r="275">
      <c r="A275" s="26" t="n"/>
      <c r="B275" s="26" t="n"/>
      <c r="C275" s="26" t="n"/>
      <c r="D275" s="26" t="n"/>
      <c r="E275" s="30">
        <f>IF(B275="","",IFERROR(INDEX('Holders'!$B$4:$B$1003,MATCH(B275,'Holders'!$A$4:$A$1003,0)),""))</f>
        <v/>
      </c>
      <c r="F275" s="30">
        <f t="array" ref="F275">IF(B275="","",_xlfn.TEXTJOIN(", ",TRUE,IF(('Companies'!$A$4:$A$63&lt;&gt;"")*(COUNTIFS('Holdings'!$A$4:$A$2503,B275,'Holdings'!$J$4:$J$2503,'Companies'!$A$4:$A$63,'Holdings'!$L$4:$L$2503,"Yes",'Holdings'!$C$4:$C$2503,"&gt;0")&gt;0),'Companies'!$A$4:$A$63,"")))</f>
        <v/>
      </c>
      <c r="G275" s="30">
        <f>IF(A275="","",IF(COUNTIF('People'!$A$4:$A$1003,A275)=0,"Email not on People",IF(COUNTIF('Holders'!$A$4:$A$1003,B275)=0,"Unknown holder ID",IF(COUNTIFS($A$4:$A$1503,A275,$B$4:$B$1503,B275)&gt;1,"Duplicate link",IF(C275="","Missing access","OK")))))</f>
        <v/>
      </c>
    </row>
    <row r="276">
      <c r="A276" s="26" t="n"/>
      <c r="B276" s="26" t="n"/>
      <c r="C276" s="26" t="n"/>
      <c r="D276" s="26" t="n"/>
      <c r="E276" s="30">
        <f>IF(B276="","",IFERROR(INDEX('Holders'!$B$4:$B$1003,MATCH(B276,'Holders'!$A$4:$A$1003,0)),""))</f>
        <v/>
      </c>
      <c r="F276" s="30">
        <f t="array" ref="F276">IF(B276="","",_xlfn.TEXTJOIN(", ",TRUE,IF(('Companies'!$A$4:$A$63&lt;&gt;"")*(COUNTIFS('Holdings'!$A$4:$A$2503,B276,'Holdings'!$J$4:$J$2503,'Companies'!$A$4:$A$63,'Holdings'!$L$4:$L$2503,"Yes",'Holdings'!$C$4:$C$2503,"&gt;0")&gt;0),'Companies'!$A$4:$A$63,"")))</f>
        <v/>
      </c>
      <c r="G276" s="30">
        <f>IF(A276="","",IF(COUNTIF('People'!$A$4:$A$1003,A276)=0,"Email not on People",IF(COUNTIF('Holders'!$A$4:$A$1003,B276)=0,"Unknown holder ID",IF(COUNTIFS($A$4:$A$1503,A276,$B$4:$B$1503,B276)&gt;1,"Duplicate link",IF(C276="","Missing access","OK")))))</f>
        <v/>
      </c>
    </row>
    <row r="277">
      <c r="A277" s="26" t="n"/>
      <c r="B277" s="26" t="n"/>
      <c r="C277" s="26" t="n"/>
      <c r="D277" s="26" t="n"/>
      <c r="E277" s="30">
        <f>IF(B277="","",IFERROR(INDEX('Holders'!$B$4:$B$1003,MATCH(B277,'Holders'!$A$4:$A$1003,0)),""))</f>
        <v/>
      </c>
      <c r="F277" s="30">
        <f t="array" ref="F277">IF(B277="","",_xlfn.TEXTJOIN(", ",TRUE,IF(('Companies'!$A$4:$A$63&lt;&gt;"")*(COUNTIFS('Holdings'!$A$4:$A$2503,B277,'Holdings'!$J$4:$J$2503,'Companies'!$A$4:$A$63,'Holdings'!$L$4:$L$2503,"Yes",'Holdings'!$C$4:$C$2503,"&gt;0")&gt;0),'Companies'!$A$4:$A$63,"")))</f>
        <v/>
      </c>
      <c r="G277" s="30">
        <f>IF(A277="","",IF(COUNTIF('People'!$A$4:$A$1003,A277)=0,"Email not on People",IF(COUNTIF('Holders'!$A$4:$A$1003,B277)=0,"Unknown holder ID",IF(COUNTIFS($A$4:$A$1503,A277,$B$4:$B$1503,B277)&gt;1,"Duplicate link",IF(C277="","Missing access","OK")))))</f>
        <v/>
      </c>
    </row>
    <row r="278">
      <c r="A278" s="26" t="n"/>
      <c r="B278" s="26" t="n"/>
      <c r="C278" s="26" t="n"/>
      <c r="D278" s="26" t="n"/>
      <c r="E278" s="30">
        <f>IF(B278="","",IFERROR(INDEX('Holders'!$B$4:$B$1003,MATCH(B278,'Holders'!$A$4:$A$1003,0)),""))</f>
        <v/>
      </c>
      <c r="F278" s="30">
        <f t="array" ref="F278">IF(B278="","",_xlfn.TEXTJOIN(", ",TRUE,IF(('Companies'!$A$4:$A$63&lt;&gt;"")*(COUNTIFS('Holdings'!$A$4:$A$2503,B278,'Holdings'!$J$4:$J$2503,'Companies'!$A$4:$A$63,'Holdings'!$L$4:$L$2503,"Yes",'Holdings'!$C$4:$C$2503,"&gt;0")&gt;0),'Companies'!$A$4:$A$63,"")))</f>
        <v/>
      </c>
      <c r="G278" s="30">
        <f>IF(A278="","",IF(COUNTIF('People'!$A$4:$A$1003,A278)=0,"Email not on People",IF(COUNTIF('Holders'!$A$4:$A$1003,B278)=0,"Unknown holder ID",IF(COUNTIFS($A$4:$A$1503,A278,$B$4:$B$1503,B278)&gt;1,"Duplicate link",IF(C278="","Missing access","OK")))))</f>
        <v/>
      </c>
    </row>
    <row r="279">
      <c r="A279" s="26" t="n"/>
      <c r="B279" s="26" t="n"/>
      <c r="C279" s="26" t="n"/>
      <c r="D279" s="26" t="n"/>
      <c r="E279" s="30">
        <f>IF(B279="","",IFERROR(INDEX('Holders'!$B$4:$B$1003,MATCH(B279,'Holders'!$A$4:$A$1003,0)),""))</f>
        <v/>
      </c>
      <c r="F279" s="30">
        <f t="array" ref="F279">IF(B279="","",_xlfn.TEXTJOIN(", ",TRUE,IF(('Companies'!$A$4:$A$63&lt;&gt;"")*(COUNTIFS('Holdings'!$A$4:$A$2503,B279,'Holdings'!$J$4:$J$2503,'Companies'!$A$4:$A$63,'Holdings'!$L$4:$L$2503,"Yes",'Holdings'!$C$4:$C$2503,"&gt;0")&gt;0),'Companies'!$A$4:$A$63,"")))</f>
        <v/>
      </c>
      <c r="G279" s="30">
        <f>IF(A279="","",IF(COUNTIF('People'!$A$4:$A$1003,A279)=0,"Email not on People",IF(COUNTIF('Holders'!$A$4:$A$1003,B279)=0,"Unknown holder ID",IF(COUNTIFS($A$4:$A$1503,A279,$B$4:$B$1503,B279)&gt;1,"Duplicate link",IF(C279="","Missing access","OK")))))</f>
        <v/>
      </c>
    </row>
    <row r="280">
      <c r="A280" s="26" t="n"/>
      <c r="B280" s="26" t="n"/>
      <c r="C280" s="26" t="n"/>
      <c r="D280" s="26" t="n"/>
      <c r="E280" s="30">
        <f>IF(B280="","",IFERROR(INDEX('Holders'!$B$4:$B$1003,MATCH(B280,'Holders'!$A$4:$A$1003,0)),""))</f>
        <v/>
      </c>
      <c r="F280" s="30">
        <f t="array" ref="F280">IF(B280="","",_xlfn.TEXTJOIN(", ",TRUE,IF(('Companies'!$A$4:$A$63&lt;&gt;"")*(COUNTIFS('Holdings'!$A$4:$A$2503,B280,'Holdings'!$J$4:$J$2503,'Companies'!$A$4:$A$63,'Holdings'!$L$4:$L$2503,"Yes",'Holdings'!$C$4:$C$2503,"&gt;0")&gt;0),'Companies'!$A$4:$A$63,"")))</f>
        <v/>
      </c>
      <c r="G280" s="30">
        <f>IF(A280="","",IF(COUNTIF('People'!$A$4:$A$1003,A280)=0,"Email not on People",IF(COUNTIF('Holders'!$A$4:$A$1003,B280)=0,"Unknown holder ID",IF(COUNTIFS($A$4:$A$1503,A280,$B$4:$B$1503,B280)&gt;1,"Duplicate link",IF(C280="","Missing access","OK")))))</f>
        <v/>
      </c>
    </row>
    <row r="281">
      <c r="A281" s="26" t="n"/>
      <c r="B281" s="26" t="n"/>
      <c r="C281" s="26" t="n"/>
      <c r="D281" s="26" t="n"/>
      <c r="E281" s="30">
        <f>IF(B281="","",IFERROR(INDEX('Holders'!$B$4:$B$1003,MATCH(B281,'Holders'!$A$4:$A$1003,0)),""))</f>
        <v/>
      </c>
      <c r="F281" s="30">
        <f t="array" ref="F281">IF(B281="","",_xlfn.TEXTJOIN(", ",TRUE,IF(('Companies'!$A$4:$A$63&lt;&gt;"")*(COUNTIFS('Holdings'!$A$4:$A$2503,B281,'Holdings'!$J$4:$J$2503,'Companies'!$A$4:$A$63,'Holdings'!$L$4:$L$2503,"Yes",'Holdings'!$C$4:$C$2503,"&gt;0")&gt;0),'Companies'!$A$4:$A$63,"")))</f>
        <v/>
      </c>
      <c r="G281" s="30">
        <f>IF(A281="","",IF(COUNTIF('People'!$A$4:$A$1003,A281)=0,"Email not on People",IF(COUNTIF('Holders'!$A$4:$A$1003,B281)=0,"Unknown holder ID",IF(COUNTIFS($A$4:$A$1503,A281,$B$4:$B$1503,B281)&gt;1,"Duplicate link",IF(C281="","Missing access","OK")))))</f>
        <v/>
      </c>
    </row>
    <row r="282">
      <c r="A282" s="26" t="n"/>
      <c r="B282" s="26" t="n"/>
      <c r="C282" s="26" t="n"/>
      <c r="D282" s="26" t="n"/>
      <c r="E282" s="30">
        <f>IF(B282="","",IFERROR(INDEX('Holders'!$B$4:$B$1003,MATCH(B282,'Holders'!$A$4:$A$1003,0)),""))</f>
        <v/>
      </c>
      <c r="F282" s="30">
        <f t="array" ref="F282">IF(B282="","",_xlfn.TEXTJOIN(", ",TRUE,IF(('Companies'!$A$4:$A$63&lt;&gt;"")*(COUNTIFS('Holdings'!$A$4:$A$2503,B282,'Holdings'!$J$4:$J$2503,'Companies'!$A$4:$A$63,'Holdings'!$L$4:$L$2503,"Yes",'Holdings'!$C$4:$C$2503,"&gt;0")&gt;0),'Companies'!$A$4:$A$63,"")))</f>
        <v/>
      </c>
      <c r="G282" s="30">
        <f>IF(A282="","",IF(COUNTIF('People'!$A$4:$A$1003,A282)=0,"Email not on People",IF(COUNTIF('Holders'!$A$4:$A$1003,B282)=0,"Unknown holder ID",IF(COUNTIFS($A$4:$A$1503,A282,$B$4:$B$1503,B282)&gt;1,"Duplicate link",IF(C282="","Missing access","OK")))))</f>
        <v/>
      </c>
    </row>
    <row r="283">
      <c r="A283" s="26" t="n"/>
      <c r="B283" s="26" t="n"/>
      <c r="C283" s="26" t="n"/>
      <c r="D283" s="26" t="n"/>
      <c r="E283" s="30">
        <f>IF(B283="","",IFERROR(INDEX('Holders'!$B$4:$B$1003,MATCH(B283,'Holders'!$A$4:$A$1003,0)),""))</f>
        <v/>
      </c>
      <c r="F283" s="30">
        <f t="array" ref="F283">IF(B283="","",_xlfn.TEXTJOIN(", ",TRUE,IF(('Companies'!$A$4:$A$63&lt;&gt;"")*(COUNTIFS('Holdings'!$A$4:$A$2503,B283,'Holdings'!$J$4:$J$2503,'Companies'!$A$4:$A$63,'Holdings'!$L$4:$L$2503,"Yes",'Holdings'!$C$4:$C$2503,"&gt;0")&gt;0),'Companies'!$A$4:$A$63,"")))</f>
        <v/>
      </c>
      <c r="G283" s="30">
        <f>IF(A283="","",IF(COUNTIF('People'!$A$4:$A$1003,A283)=0,"Email not on People",IF(COUNTIF('Holders'!$A$4:$A$1003,B283)=0,"Unknown holder ID",IF(COUNTIFS($A$4:$A$1503,A283,$B$4:$B$1503,B283)&gt;1,"Duplicate link",IF(C283="","Missing access","OK")))))</f>
        <v/>
      </c>
    </row>
    <row r="284">
      <c r="A284" s="26" t="n"/>
      <c r="B284" s="26" t="n"/>
      <c r="C284" s="26" t="n"/>
      <c r="D284" s="26" t="n"/>
      <c r="E284" s="30">
        <f>IF(B284="","",IFERROR(INDEX('Holders'!$B$4:$B$1003,MATCH(B284,'Holders'!$A$4:$A$1003,0)),""))</f>
        <v/>
      </c>
      <c r="F284" s="30">
        <f t="array" ref="F284">IF(B284="","",_xlfn.TEXTJOIN(", ",TRUE,IF(('Companies'!$A$4:$A$63&lt;&gt;"")*(COUNTIFS('Holdings'!$A$4:$A$2503,B284,'Holdings'!$J$4:$J$2503,'Companies'!$A$4:$A$63,'Holdings'!$L$4:$L$2503,"Yes",'Holdings'!$C$4:$C$2503,"&gt;0")&gt;0),'Companies'!$A$4:$A$63,"")))</f>
        <v/>
      </c>
      <c r="G284" s="30">
        <f>IF(A284="","",IF(COUNTIF('People'!$A$4:$A$1003,A284)=0,"Email not on People",IF(COUNTIF('Holders'!$A$4:$A$1003,B284)=0,"Unknown holder ID",IF(COUNTIFS($A$4:$A$1503,A284,$B$4:$B$1503,B284)&gt;1,"Duplicate link",IF(C284="","Missing access","OK")))))</f>
        <v/>
      </c>
    </row>
    <row r="285">
      <c r="A285" s="26" t="n"/>
      <c r="B285" s="26" t="n"/>
      <c r="C285" s="26" t="n"/>
      <c r="D285" s="26" t="n"/>
      <c r="E285" s="30">
        <f>IF(B285="","",IFERROR(INDEX('Holders'!$B$4:$B$1003,MATCH(B285,'Holders'!$A$4:$A$1003,0)),""))</f>
        <v/>
      </c>
      <c r="F285" s="30">
        <f t="array" ref="F285">IF(B285="","",_xlfn.TEXTJOIN(", ",TRUE,IF(('Companies'!$A$4:$A$63&lt;&gt;"")*(COUNTIFS('Holdings'!$A$4:$A$2503,B285,'Holdings'!$J$4:$J$2503,'Companies'!$A$4:$A$63,'Holdings'!$L$4:$L$2503,"Yes",'Holdings'!$C$4:$C$2503,"&gt;0")&gt;0),'Companies'!$A$4:$A$63,"")))</f>
        <v/>
      </c>
      <c r="G285" s="30">
        <f>IF(A285="","",IF(COUNTIF('People'!$A$4:$A$1003,A285)=0,"Email not on People",IF(COUNTIF('Holders'!$A$4:$A$1003,B285)=0,"Unknown holder ID",IF(COUNTIFS($A$4:$A$1503,A285,$B$4:$B$1503,B285)&gt;1,"Duplicate link",IF(C285="","Missing access","OK")))))</f>
        <v/>
      </c>
    </row>
    <row r="286">
      <c r="A286" s="26" t="n"/>
      <c r="B286" s="26" t="n"/>
      <c r="C286" s="26" t="n"/>
      <c r="D286" s="26" t="n"/>
      <c r="E286" s="30">
        <f>IF(B286="","",IFERROR(INDEX('Holders'!$B$4:$B$1003,MATCH(B286,'Holders'!$A$4:$A$1003,0)),""))</f>
        <v/>
      </c>
      <c r="F286" s="30">
        <f t="array" ref="F286">IF(B286="","",_xlfn.TEXTJOIN(", ",TRUE,IF(('Companies'!$A$4:$A$63&lt;&gt;"")*(COUNTIFS('Holdings'!$A$4:$A$2503,B286,'Holdings'!$J$4:$J$2503,'Companies'!$A$4:$A$63,'Holdings'!$L$4:$L$2503,"Yes",'Holdings'!$C$4:$C$2503,"&gt;0")&gt;0),'Companies'!$A$4:$A$63,"")))</f>
        <v/>
      </c>
      <c r="G286" s="30">
        <f>IF(A286="","",IF(COUNTIF('People'!$A$4:$A$1003,A286)=0,"Email not on People",IF(COUNTIF('Holders'!$A$4:$A$1003,B286)=0,"Unknown holder ID",IF(COUNTIFS($A$4:$A$1503,A286,$B$4:$B$1503,B286)&gt;1,"Duplicate link",IF(C286="","Missing access","OK")))))</f>
        <v/>
      </c>
    </row>
    <row r="287">
      <c r="A287" s="26" t="n"/>
      <c r="B287" s="26" t="n"/>
      <c r="C287" s="26" t="n"/>
      <c r="D287" s="26" t="n"/>
      <c r="E287" s="30">
        <f>IF(B287="","",IFERROR(INDEX('Holders'!$B$4:$B$1003,MATCH(B287,'Holders'!$A$4:$A$1003,0)),""))</f>
        <v/>
      </c>
      <c r="F287" s="30">
        <f t="array" ref="F287">IF(B287="","",_xlfn.TEXTJOIN(", ",TRUE,IF(('Companies'!$A$4:$A$63&lt;&gt;"")*(COUNTIFS('Holdings'!$A$4:$A$2503,B287,'Holdings'!$J$4:$J$2503,'Companies'!$A$4:$A$63,'Holdings'!$L$4:$L$2503,"Yes",'Holdings'!$C$4:$C$2503,"&gt;0")&gt;0),'Companies'!$A$4:$A$63,"")))</f>
        <v/>
      </c>
      <c r="G287" s="30">
        <f>IF(A287="","",IF(COUNTIF('People'!$A$4:$A$1003,A287)=0,"Email not on People",IF(COUNTIF('Holders'!$A$4:$A$1003,B287)=0,"Unknown holder ID",IF(COUNTIFS($A$4:$A$1503,A287,$B$4:$B$1503,B287)&gt;1,"Duplicate link",IF(C287="","Missing access","OK")))))</f>
        <v/>
      </c>
    </row>
    <row r="288">
      <c r="A288" s="26" t="n"/>
      <c r="B288" s="26" t="n"/>
      <c r="C288" s="26" t="n"/>
      <c r="D288" s="26" t="n"/>
      <c r="E288" s="30">
        <f>IF(B288="","",IFERROR(INDEX('Holders'!$B$4:$B$1003,MATCH(B288,'Holders'!$A$4:$A$1003,0)),""))</f>
        <v/>
      </c>
      <c r="F288" s="30">
        <f t="array" ref="F288">IF(B288="","",_xlfn.TEXTJOIN(", ",TRUE,IF(('Companies'!$A$4:$A$63&lt;&gt;"")*(COUNTIFS('Holdings'!$A$4:$A$2503,B288,'Holdings'!$J$4:$J$2503,'Companies'!$A$4:$A$63,'Holdings'!$L$4:$L$2503,"Yes",'Holdings'!$C$4:$C$2503,"&gt;0")&gt;0),'Companies'!$A$4:$A$63,"")))</f>
        <v/>
      </c>
      <c r="G288" s="30">
        <f>IF(A288="","",IF(COUNTIF('People'!$A$4:$A$1003,A288)=0,"Email not on People",IF(COUNTIF('Holders'!$A$4:$A$1003,B288)=0,"Unknown holder ID",IF(COUNTIFS($A$4:$A$1503,A288,$B$4:$B$1503,B288)&gt;1,"Duplicate link",IF(C288="","Missing access","OK")))))</f>
        <v/>
      </c>
    </row>
    <row r="289">
      <c r="A289" s="26" t="n"/>
      <c r="B289" s="26" t="n"/>
      <c r="C289" s="26" t="n"/>
      <c r="D289" s="26" t="n"/>
      <c r="E289" s="30">
        <f>IF(B289="","",IFERROR(INDEX('Holders'!$B$4:$B$1003,MATCH(B289,'Holders'!$A$4:$A$1003,0)),""))</f>
        <v/>
      </c>
      <c r="F289" s="30">
        <f t="array" ref="F289">IF(B289="","",_xlfn.TEXTJOIN(", ",TRUE,IF(('Companies'!$A$4:$A$63&lt;&gt;"")*(COUNTIFS('Holdings'!$A$4:$A$2503,B289,'Holdings'!$J$4:$J$2503,'Companies'!$A$4:$A$63,'Holdings'!$L$4:$L$2503,"Yes",'Holdings'!$C$4:$C$2503,"&gt;0")&gt;0),'Companies'!$A$4:$A$63,"")))</f>
        <v/>
      </c>
      <c r="G289" s="30">
        <f>IF(A289="","",IF(COUNTIF('People'!$A$4:$A$1003,A289)=0,"Email not on People",IF(COUNTIF('Holders'!$A$4:$A$1003,B289)=0,"Unknown holder ID",IF(COUNTIFS($A$4:$A$1503,A289,$B$4:$B$1503,B289)&gt;1,"Duplicate link",IF(C289="","Missing access","OK")))))</f>
        <v/>
      </c>
    </row>
    <row r="290">
      <c r="A290" s="26" t="n"/>
      <c r="B290" s="26" t="n"/>
      <c r="C290" s="26" t="n"/>
      <c r="D290" s="26" t="n"/>
      <c r="E290" s="30">
        <f>IF(B290="","",IFERROR(INDEX('Holders'!$B$4:$B$1003,MATCH(B290,'Holders'!$A$4:$A$1003,0)),""))</f>
        <v/>
      </c>
      <c r="F290" s="30">
        <f t="array" ref="F290">IF(B290="","",_xlfn.TEXTJOIN(", ",TRUE,IF(('Companies'!$A$4:$A$63&lt;&gt;"")*(COUNTIFS('Holdings'!$A$4:$A$2503,B290,'Holdings'!$J$4:$J$2503,'Companies'!$A$4:$A$63,'Holdings'!$L$4:$L$2503,"Yes",'Holdings'!$C$4:$C$2503,"&gt;0")&gt;0),'Companies'!$A$4:$A$63,"")))</f>
        <v/>
      </c>
      <c r="G290" s="30">
        <f>IF(A290="","",IF(COUNTIF('People'!$A$4:$A$1003,A290)=0,"Email not on People",IF(COUNTIF('Holders'!$A$4:$A$1003,B290)=0,"Unknown holder ID",IF(COUNTIFS($A$4:$A$1503,A290,$B$4:$B$1503,B290)&gt;1,"Duplicate link",IF(C290="","Missing access","OK")))))</f>
        <v/>
      </c>
    </row>
    <row r="291">
      <c r="A291" s="26" t="n"/>
      <c r="B291" s="26" t="n"/>
      <c r="C291" s="26" t="n"/>
      <c r="D291" s="26" t="n"/>
      <c r="E291" s="30">
        <f>IF(B291="","",IFERROR(INDEX('Holders'!$B$4:$B$1003,MATCH(B291,'Holders'!$A$4:$A$1003,0)),""))</f>
        <v/>
      </c>
      <c r="F291" s="30">
        <f t="array" ref="F291">IF(B291="","",_xlfn.TEXTJOIN(", ",TRUE,IF(('Companies'!$A$4:$A$63&lt;&gt;"")*(COUNTIFS('Holdings'!$A$4:$A$2503,B291,'Holdings'!$J$4:$J$2503,'Companies'!$A$4:$A$63,'Holdings'!$L$4:$L$2503,"Yes",'Holdings'!$C$4:$C$2503,"&gt;0")&gt;0),'Companies'!$A$4:$A$63,"")))</f>
        <v/>
      </c>
      <c r="G291" s="30">
        <f>IF(A291="","",IF(COUNTIF('People'!$A$4:$A$1003,A291)=0,"Email not on People",IF(COUNTIF('Holders'!$A$4:$A$1003,B291)=0,"Unknown holder ID",IF(COUNTIFS($A$4:$A$1503,A291,$B$4:$B$1503,B291)&gt;1,"Duplicate link",IF(C291="","Missing access","OK")))))</f>
        <v/>
      </c>
    </row>
    <row r="292">
      <c r="A292" s="26" t="n"/>
      <c r="B292" s="26" t="n"/>
      <c r="C292" s="26" t="n"/>
      <c r="D292" s="26" t="n"/>
      <c r="E292" s="30">
        <f>IF(B292="","",IFERROR(INDEX('Holders'!$B$4:$B$1003,MATCH(B292,'Holders'!$A$4:$A$1003,0)),""))</f>
        <v/>
      </c>
      <c r="F292" s="30">
        <f t="array" ref="F292">IF(B292="","",_xlfn.TEXTJOIN(", ",TRUE,IF(('Companies'!$A$4:$A$63&lt;&gt;"")*(COUNTIFS('Holdings'!$A$4:$A$2503,B292,'Holdings'!$J$4:$J$2503,'Companies'!$A$4:$A$63,'Holdings'!$L$4:$L$2503,"Yes",'Holdings'!$C$4:$C$2503,"&gt;0")&gt;0),'Companies'!$A$4:$A$63,"")))</f>
        <v/>
      </c>
      <c r="G292" s="30">
        <f>IF(A292="","",IF(COUNTIF('People'!$A$4:$A$1003,A292)=0,"Email not on People",IF(COUNTIF('Holders'!$A$4:$A$1003,B292)=0,"Unknown holder ID",IF(COUNTIFS($A$4:$A$1503,A292,$B$4:$B$1503,B292)&gt;1,"Duplicate link",IF(C292="","Missing access","OK")))))</f>
        <v/>
      </c>
    </row>
    <row r="293">
      <c r="A293" s="26" t="n"/>
      <c r="B293" s="26" t="n"/>
      <c r="C293" s="26" t="n"/>
      <c r="D293" s="26" t="n"/>
      <c r="E293" s="30">
        <f>IF(B293="","",IFERROR(INDEX('Holders'!$B$4:$B$1003,MATCH(B293,'Holders'!$A$4:$A$1003,0)),""))</f>
        <v/>
      </c>
      <c r="F293" s="30">
        <f t="array" ref="F293">IF(B293="","",_xlfn.TEXTJOIN(", ",TRUE,IF(('Companies'!$A$4:$A$63&lt;&gt;"")*(COUNTIFS('Holdings'!$A$4:$A$2503,B293,'Holdings'!$J$4:$J$2503,'Companies'!$A$4:$A$63,'Holdings'!$L$4:$L$2503,"Yes",'Holdings'!$C$4:$C$2503,"&gt;0")&gt;0),'Companies'!$A$4:$A$63,"")))</f>
        <v/>
      </c>
      <c r="G293" s="30">
        <f>IF(A293="","",IF(COUNTIF('People'!$A$4:$A$1003,A293)=0,"Email not on People",IF(COUNTIF('Holders'!$A$4:$A$1003,B293)=0,"Unknown holder ID",IF(COUNTIFS($A$4:$A$1503,A293,$B$4:$B$1503,B293)&gt;1,"Duplicate link",IF(C293="","Missing access","OK")))))</f>
        <v/>
      </c>
    </row>
    <row r="294">
      <c r="A294" s="26" t="n"/>
      <c r="B294" s="26" t="n"/>
      <c r="C294" s="26" t="n"/>
      <c r="D294" s="26" t="n"/>
      <c r="E294" s="30">
        <f>IF(B294="","",IFERROR(INDEX('Holders'!$B$4:$B$1003,MATCH(B294,'Holders'!$A$4:$A$1003,0)),""))</f>
        <v/>
      </c>
      <c r="F294" s="30">
        <f t="array" ref="F294">IF(B294="","",_xlfn.TEXTJOIN(", ",TRUE,IF(('Companies'!$A$4:$A$63&lt;&gt;"")*(COUNTIFS('Holdings'!$A$4:$A$2503,B294,'Holdings'!$J$4:$J$2503,'Companies'!$A$4:$A$63,'Holdings'!$L$4:$L$2503,"Yes",'Holdings'!$C$4:$C$2503,"&gt;0")&gt;0),'Companies'!$A$4:$A$63,"")))</f>
        <v/>
      </c>
      <c r="G294" s="30">
        <f>IF(A294="","",IF(COUNTIF('People'!$A$4:$A$1003,A294)=0,"Email not on People",IF(COUNTIF('Holders'!$A$4:$A$1003,B294)=0,"Unknown holder ID",IF(COUNTIFS($A$4:$A$1503,A294,$B$4:$B$1503,B294)&gt;1,"Duplicate link",IF(C294="","Missing access","OK")))))</f>
        <v/>
      </c>
    </row>
    <row r="295">
      <c r="A295" s="26" t="n"/>
      <c r="B295" s="26" t="n"/>
      <c r="C295" s="26" t="n"/>
      <c r="D295" s="26" t="n"/>
      <c r="E295" s="30">
        <f>IF(B295="","",IFERROR(INDEX('Holders'!$B$4:$B$1003,MATCH(B295,'Holders'!$A$4:$A$1003,0)),""))</f>
        <v/>
      </c>
      <c r="F295" s="30">
        <f t="array" ref="F295">IF(B295="","",_xlfn.TEXTJOIN(", ",TRUE,IF(('Companies'!$A$4:$A$63&lt;&gt;"")*(COUNTIFS('Holdings'!$A$4:$A$2503,B295,'Holdings'!$J$4:$J$2503,'Companies'!$A$4:$A$63,'Holdings'!$L$4:$L$2503,"Yes",'Holdings'!$C$4:$C$2503,"&gt;0")&gt;0),'Companies'!$A$4:$A$63,"")))</f>
        <v/>
      </c>
      <c r="G295" s="30">
        <f>IF(A295="","",IF(COUNTIF('People'!$A$4:$A$1003,A295)=0,"Email not on People",IF(COUNTIF('Holders'!$A$4:$A$1003,B295)=0,"Unknown holder ID",IF(COUNTIFS($A$4:$A$1503,A295,$B$4:$B$1503,B295)&gt;1,"Duplicate link",IF(C295="","Missing access","OK")))))</f>
        <v/>
      </c>
    </row>
    <row r="296">
      <c r="A296" s="26" t="n"/>
      <c r="B296" s="26" t="n"/>
      <c r="C296" s="26" t="n"/>
      <c r="D296" s="26" t="n"/>
      <c r="E296" s="30">
        <f>IF(B296="","",IFERROR(INDEX('Holders'!$B$4:$B$1003,MATCH(B296,'Holders'!$A$4:$A$1003,0)),""))</f>
        <v/>
      </c>
      <c r="F296" s="30">
        <f t="array" ref="F296">IF(B296="","",_xlfn.TEXTJOIN(", ",TRUE,IF(('Companies'!$A$4:$A$63&lt;&gt;"")*(COUNTIFS('Holdings'!$A$4:$A$2503,B296,'Holdings'!$J$4:$J$2503,'Companies'!$A$4:$A$63,'Holdings'!$L$4:$L$2503,"Yes",'Holdings'!$C$4:$C$2503,"&gt;0")&gt;0),'Companies'!$A$4:$A$63,"")))</f>
        <v/>
      </c>
      <c r="G296" s="30">
        <f>IF(A296="","",IF(COUNTIF('People'!$A$4:$A$1003,A296)=0,"Email not on People",IF(COUNTIF('Holders'!$A$4:$A$1003,B296)=0,"Unknown holder ID",IF(COUNTIFS($A$4:$A$1503,A296,$B$4:$B$1503,B296)&gt;1,"Duplicate link",IF(C296="","Missing access","OK")))))</f>
        <v/>
      </c>
    </row>
    <row r="297">
      <c r="A297" s="26" t="n"/>
      <c r="B297" s="26" t="n"/>
      <c r="C297" s="26" t="n"/>
      <c r="D297" s="26" t="n"/>
      <c r="E297" s="30">
        <f>IF(B297="","",IFERROR(INDEX('Holders'!$B$4:$B$1003,MATCH(B297,'Holders'!$A$4:$A$1003,0)),""))</f>
        <v/>
      </c>
      <c r="F297" s="30">
        <f t="array" ref="F297">IF(B297="","",_xlfn.TEXTJOIN(", ",TRUE,IF(('Companies'!$A$4:$A$63&lt;&gt;"")*(COUNTIFS('Holdings'!$A$4:$A$2503,B297,'Holdings'!$J$4:$J$2503,'Companies'!$A$4:$A$63,'Holdings'!$L$4:$L$2503,"Yes",'Holdings'!$C$4:$C$2503,"&gt;0")&gt;0),'Companies'!$A$4:$A$63,"")))</f>
        <v/>
      </c>
      <c r="G297" s="30">
        <f>IF(A297="","",IF(COUNTIF('People'!$A$4:$A$1003,A297)=0,"Email not on People",IF(COUNTIF('Holders'!$A$4:$A$1003,B297)=0,"Unknown holder ID",IF(COUNTIFS($A$4:$A$1503,A297,$B$4:$B$1503,B297)&gt;1,"Duplicate link",IF(C297="","Missing access","OK")))))</f>
        <v/>
      </c>
    </row>
    <row r="298">
      <c r="A298" s="26" t="n"/>
      <c r="B298" s="26" t="n"/>
      <c r="C298" s="26" t="n"/>
      <c r="D298" s="26" t="n"/>
      <c r="E298" s="30">
        <f>IF(B298="","",IFERROR(INDEX('Holders'!$B$4:$B$1003,MATCH(B298,'Holders'!$A$4:$A$1003,0)),""))</f>
        <v/>
      </c>
      <c r="F298" s="30">
        <f t="array" ref="F298">IF(B298="","",_xlfn.TEXTJOIN(", ",TRUE,IF(('Companies'!$A$4:$A$63&lt;&gt;"")*(COUNTIFS('Holdings'!$A$4:$A$2503,B298,'Holdings'!$J$4:$J$2503,'Companies'!$A$4:$A$63,'Holdings'!$L$4:$L$2503,"Yes",'Holdings'!$C$4:$C$2503,"&gt;0")&gt;0),'Companies'!$A$4:$A$63,"")))</f>
        <v/>
      </c>
      <c r="G298" s="30">
        <f>IF(A298="","",IF(COUNTIF('People'!$A$4:$A$1003,A298)=0,"Email not on People",IF(COUNTIF('Holders'!$A$4:$A$1003,B298)=0,"Unknown holder ID",IF(COUNTIFS($A$4:$A$1503,A298,$B$4:$B$1503,B298)&gt;1,"Duplicate link",IF(C298="","Missing access","OK")))))</f>
        <v/>
      </c>
    </row>
    <row r="299">
      <c r="A299" s="26" t="n"/>
      <c r="B299" s="26" t="n"/>
      <c r="C299" s="26" t="n"/>
      <c r="D299" s="26" t="n"/>
      <c r="E299" s="30">
        <f>IF(B299="","",IFERROR(INDEX('Holders'!$B$4:$B$1003,MATCH(B299,'Holders'!$A$4:$A$1003,0)),""))</f>
        <v/>
      </c>
      <c r="F299" s="30">
        <f t="array" ref="F299">IF(B299="","",_xlfn.TEXTJOIN(", ",TRUE,IF(('Companies'!$A$4:$A$63&lt;&gt;"")*(COUNTIFS('Holdings'!$A$4:$A$2503,B299,'Holdings'!$J$4:$J$2503,'Companies'!$A$4:$A$63,'Holdings'!$L$4:$L$2503,"Yes",'Holdings'!$C$4:$C$2503,"&gt;0")&gt;0),'Companies'!$A$4:$A$63,"")))</f>
        <v/>
      </c>
      <c r="G299" s="30">
        <f>IF(A299="","",IF(COUNTIF('People'!$A$4:$A$1003,A299)=0,"Email not on People",IF(COUNTIF('Holders'!$A$4:$A$1003,B299)=0,"Unknown holder ID",IF(COUNTIFS($A$4:$A$1503,A299,$B$4:$B$1503,B299)&gt;1,"Duplicate link",IF(C299="","Missing access","OK")))))</f>
        <v/>
      </c>
    </row>
    <row r="300">
      <c r="A300" s="26" t="n"/>
      <c r="B300" s="26" t="n"/>
      <c r="C300" s="26" t="n"/>
      <c r="D300" s="26" t="n"/>
      <c r="E300" s="30">
        <f>IF(B300="","",IFERROR(INDEX('Holders'!$B$4:$B$1003,MATCH(B300,'Holders'!$A$4:$A$1003,0)),""))</f>
        <v/>
      </c>
      <c r="F300" s="30">
        <f t="array" ref="F300">IF(B300="","",_xlfn.TEXTJOIN(", ",TRUE,IF(('Companies'!$A$4:$A$63&lt;&gt;"")*(COUNTIFS('Holdings'!$A$4:$A$2503,B300,'Holdings'!$J$4:$J$2503,'Companies'!$A$4:$A$63,'Holdings'!$L$4:$L$2503,"Yes",'Holdings'!$C$4:$C$2503,"&gt;0")&gt;0),'Companies'!$A$4:$A$63,"")))</f>
        <v/>
      </c>
      <c r="G300" s="30">
        <f>IF(A300="","",IF(COUNTIF('People'!$A$4:$A$1003,A300)=0,"Email not on People",IF(COUNTIF('Holders'!$A$4:$A$1003,B300)=0,"Unknown holder ID",IF(COUNTIFS($A$4:$A$1503,A300,$B$4:$B$1503,B300)&gt;1,"Duplicate link",IF(C300="","Missing access","OK")))))</f>
        <v/>
      </c>
    </row>
    <row r="301">
      <c r="A301" s="26" t="n"/>
      <c r="B301" s="26" t="n"/>
      <c r="C301" s="26" t="n"/>
      <c r="D301" s="26" t="n"/>
      <c r="E301" s="30">
        <f>IF(B301="","",IFERROR(INDEX('Holders'!$B$4:$B$1003,MATCH(B301,'Holders'!$A$4:$A$1003,0)),""))</f>
        <v/>
      </c>
      <c r="F301" s="30">
        <f t="array" ref="F301">IF(B301="","",_xlfn.TEXTJOIN(", ",TRUE,IF(('Companies'!$A$4:$A$63&lt;&gt;"")*(COUNTIFS('Holdings'!$A$4:$A$2503,B301,'Holdings'!$J$4:$J$2503,'Companies'!$A$4:$A$63,'Holdings'!$L$4:$L$2503,"Yes",'Holdings'!$C$4:$C$2503,"&gt;0")&gt;0),'Companies'!$A$4:$A$63,"")))</f>
        <v/>
      </c>
      <c r="G301" s="30">
        <f>IF(A301="","",IF(COUNTIF('People'!$A$4:$A$1003,A301)=0,"Email not on People",IF(COUNTIF('Holders'!$A$4:$A$1003,B301)=0,"Unknown holder ID",IF(COUNTIFS($A$4:$A$1503,A301,$B$4:$B$1503,B301)&gt;1,"Duplicate link",IF(C301="","Missing access","OK")))))</f>
        <v/>
      </c>
    </row>
    <row r="302">
      <c r="A302" s="26" t="n"/>
      <c r="B302" s="26" t="n"/>
      <c r="C302" s="26" t="n"/>
      <c r="D302" s="26" t="n"/>
      <c r="E302" s="30">
        <f>IF(B302="","",IFERROR(INDEX('Holders'!$B$4:$B$1003,MATCH(B302,'Holders'!$A$4:$A$1003,0)),""))</f>
        <v/>
      </c>
      <c r="F302" s="30">
        <f t="array" ref="F302">IF(B302="","",_xlfn.TEXTJOIN(", ",TRUE,IF(('Companies'!$A$4:$A$63&lt;&gt;"")*(COUNTIFS('Holdings'!$A$4:$A$2503,B302,'Holdings'!$J$4:$J$2503,'Companies'!$A$4:$A$63,'Holdings'!$L$4:$L$2503,"Yes",'Holdings'!$C$4:$C$2503,"&gt;0")&gt;0),'Companies'!$A$4:$A$63,"")))</f>
        <v/>
      </c>
      <c r="G302" s="30">
        <f>IF(A302="","",IF(COUNTIF('People'!$A$4:$A$1003,A302)=0,"Email not on People",IF(COUNTIF('Holders'!$A$4:$A$1003,B302)=0,"Unknown holder ID",IF(COUNTIFS($A$4:$A$1503,A302,$B$4:$B$1503,B302)&gt;1,"Duplicate link",IF(C302="","Missing access","OK")))))</f>
        <v/>
      </c>
    </row>
    <row r="303">
      <c r="A303" s="26" t="n"/>
      <c r="B303" s="26" t="n"/>
      <c r="C303" s="26" t="n"/>
      <c r="D303" s="26" t="n"/>
      <c r="E303" s="30">
        <f>IF(B303="","",IFERROR(INDEX('Holders'!$B$4:$B$1003,MATCH(B303,'Holders'!$A$4:$A$1003,0)),""))</f>
        <v/>
      </c>
      <c r="F303" s="30">
        <f t="array" ref="F303">IF(B303="","",_xlfn.TEXTJOIN(", ",TRUE,IF(('Companies'!$A$4:$A$63&lt;&gt;"")*(COUNTIFS('Holdings'!$A$4:$A$2503,B303,'Holdings'!$J$4:$J$2503,'Companies'!$A$4:$A$63,'Holdings'!$L$4:$L$2503,"Yes",'Holdings'!$C$4:$C$2503,"&gt;0")&gt;0),'Companies'!$A$4:$A$63,"")))</f>
        <v/>
      </c>
      <c r="G303" s="30">
        <f>IF(A303="","",IF(COUNTIF('People'!$A$4:$A$1003,A303)=0,"Email not on People",IF(COUNTIF('Holders'!$A$4:$A$1003,B303)=0,"Unknown holder ID",IF(COUNTIFS($A$4:$A$1503,A303,$B$4:$B$1503,B303)&gt;1,"Duplicate link",IF(C303="","Missing access","OK")))))</f>
        <v/>
      </c>
    </row>
    <row r="304">
      <c r="A304" s="26" t="n"/>
      <c r="B304" s="26" t="n"/>
      <c r="C304" s="26" t="n"/>
      <c r="D304" s="26" t="n"/>
      <c r="E304" s="30">
        <f>IF(B304="","",IFERROR(INDEX('Holders'!$B$4:$B$1003,MATCH(B304,'Holders'!$A$4:$A$1003,0)),""))</f>
        <v/>
      </c>
      <c r="F304" s="30">
        <f t="array" ref="F304">IF(B304="","",_xlfn.TEXTJOIN(", ",TRUE,IF(('Companies'!$A$4:$A$63&lt;&gt;"")*(COUNTIFS('Holdings'!$A$4:$A$2503,B304,'Holdings'!$J$4:$J$2503,'Companies'!$A$4:$A$63,'Holdings'!$L$4:$L$2503,"Yes",'Holdings'!$C$4:$C$2503,"&gt;0")&gt;0),'Companies'!$A$4:$A$63,"")))</f>
        <v/>
      </c>
      <c r="G304" s="30">
        <f>IF(A304="","",IF(COUNTIF('People'!$A$4:$A$1003,A304)=0,"Email not on People",IF(COUNTIF('Holders'!$A$4:$A$1003,B304)=0,"Unknown holder ID",IF(COUNTIFS($A$4:$A$1503,A304,$B$4:$B$1503,B304)&gt;1,"Duplicate link",IF(C304="","Missing access","OK")))))</f>
        <v/>
      </c>
    </row>
    <row r="305">
      <c r="A305" s="26" t="n"/>
      <c r="B305" s="26" t="n"/>
      <c r="C305" s="26" t="n"/>
      <c r="D305" s="26" t="n"/>
      <c r="E305" s="30">
        <f>IF(B305="","",IFERROR(INDEX('Holders'!$B$4:$B$1003,MATCH(B305,'Holders'!$A$4:$A$1003,0)),""))</f>
        <v/>
      </c>
      <c r="F305" s="30">
        <f t="array" ref="F305">IF(B305="","",_xlfn.TEXTJOIN(", ",TRUE,IF(('Companies'!$A$4:$A$63&lt;&gt;"")*(COUNTIFS('Holdings'!$A$4:$A$2503,B305,'Holdings'!$J$4:$J$2503,'Companies'!$A$4:$A$63,'Holdings'!$L$4:$L$2503,"Yes",'Holdings'!$C$4:$C$2503,"&gt;0")&gt;0),'Companies'!$A$4:$A$63,"")))</f>
        <v/>
      </c>
      <c r="G305" s="30">
        <f>IF(A305="","",IF(COUNTIF('People'!$A$4:$A$1003,A305)=0,"Email not on People",IF(COUNTIF('Holders'!$A$4:$A$1003,B305)=0,"Unknown holder ID",IF(COUNTIFS($A$4:$A$1503,A305,$B$4:$B$1503,B305)&gt;1,"Duplicate link",IF(C305="","Missing access","OK")))))</f>
        <v/>
      </c>
    </row>
    <row r="306">
      <c r="A306" s="26" t="n"/>
      <c r="B306" s="26" t="n"/>
      <c r="C306" s="26" t="n"/>
      <c r="D306" s="26" t="n"/>
      <c r="E306" s="30">
        <f>IF(B306="","",IFERROR(INDEX('Holders'!$B$4:$B$1003,MATCH(B306,'Holders'!$A$4:$A$1003,0)),""))</f>
        <v/>
      </c>
      <c r="F306" s="30">
        <f t="array" ref="F306">IF(B306="","",_xlfn.TEXTJOIN(", ",TRUE,IF(('Companies'!$A$4:$A$63&lt;&gt;"")*(COUNTIFS('Holdings'!$A$4:$A$2503,B306,'Holdings'!$J$4:$J$2503,'Companies'!$A$4:$A$63,'Holdings'!$L$4:$L$2503,"Yes",'Holdings'!$C$4:$C$2503,"&gt;0")&gt;0),'Companies'!$A$4:$A$63,"")))</f>
        <v/>
      </c>
      <c r="G306" s="30">
        <f>IF(A306="","",IF(COUNTIF('People'!$A$4:$A$1003,A306)=0,"Email not on People",IF(COUNTIF('Holders'!$A$4:$A$1003,B306)=0,"Unknown holder ID",IF(COUNTIFS($A$4:$A$1503,A306,$B$4:$B$1503,B306)&gt;1,"Duplicate link",IF(C306="","Missing access","OK")))))</f>
        <v/>
      </c>
    </row>
    <row r="307">
      <c r="A307" s="26" t="n"/>
      <c r="B307" s="26" t="n"/>
      <c r="C307" s="26" t="n"/>
      <c r="D307" s="26" t="n"/>
      <c r="E307" s="30">
        <f>IF(B307="","",IFERROR(INDEX('Holders'!$B$4:$B$1003,MATCH(B307,'Holders'!$A$4:$A$1003,0)),""))</f>
        <v/>
      </c>
      <c r="F307" s="30">
        <f t="array" ref="F307">IF(B307="","",_xlfn.TEXTJOIN(", ",TRUE,IF(('Companies'!$A$4:$A$63&lt;&gt;"")*(COUNTIFS('Holdings'!$A$4:$A$2503,B307,'Holdings'!$J$4:$J$2503,'Companies'!$A$4:$A$63,'Holdings'!$L$4:$L$2503,"Yes",'Holdings'!$C$4:$C$2503,"&gt;0")&gt;0),'Companies'!$A$4:$A$63,"")))</f>
        <v/>
      </c>
      <c r="G307" s="30">
        <f>IF(A307="","",IF(COUNTIF('People'!$A$4:$A$1003,A307)=0,"Email not on People",IF(COUNTIF('Holders'!$A$4:$A$1003,B307)=0,"Unknown holder ID",IF(COUNTIFS($A$4:$A$1503,A307,$B$4:$B$1503,B307)&gt;1,"Duplicate link",IF(C307="","Missing access","OK")))))</f>
        <v/>
      </c>
    </row>
    <row r="308">
      <c r="A308" s="26" t="n"/>
      <c r="B308" s="26" t="n"/>
      <c r="C308" s="26" t="n"/>
      <c r="D308" s="26" t="n"/>
      <c r="E308" s="30">
        <f>IF(B308="","",IFERROR(INDEX('Holders'!$B$4:$B$1003,MATCH(B308,'Holders'!$A$4:$A$1003,0)),""))</f>
        <v/>
      </c>
      <c r="F308" s="30">
        <f t="array" ref="F308">IF(B308="","",_xlfn.TEXTJOIN(", ",TRUE,IF(('Companies'!$A$4:$A$63&lt;&gt;"")*(COUNTIFS('Holdings'!$A$4:$A$2503,B308,'Holdings'!$J$4:$J$2503,'Companies'!$A$4:$A$63,'Holdings'!$L$4:$L$2503,"Yes",'Holdings'!$C$4:$C$2503,"&gt;0")&gt;0),'Companies'!$A$4:$A$63,"")))</f>
        <v/>
      </c>
      <c r="G308" s="30">
        <f>IF(A308="","",IF(COUNTIF('People'!$A$4:$A$1003,A308)=0,"Email not on People",IF(COUNTIF('Holders'!$A$4:$A$1003,B308)=0,"Unknown holder ID",IF(COUNTIFS($A$4:$A$1503,A308,$B$4:$B$1503,B308)&gt;1,"Duplicate link",IF(C308="","Missing access","OK")))))</f>
        <v/>
      </c>
    </row>
    <row r="309">
      <c r="A309" s="26" t="n"/>
      <c r="B309" s="26" t="n"/>
      <c r="C309" s="26" t="n"/>
      <c r="D309" s="26" t="n"/>
      <c r="E309" s="30">
        <f>IF(B309="","",IFERROR(INDEX('Holders'!$B$4:$B$1003,MATCH(B309,'Holders'!$A$4:$A$1003,0)),""))</f>
        <v/>
      </c>
      <c r="F309" s="30">
        <f t="array" ref="F309">IF(B309="","",_xlfn.TEXTJOIN(", ",TRUE,IF(('Companies'!$A$4:$A$63&lt;&gt;"")*(COUNTIFS('Holdings'!$A$4:$A$2503,B309,'Holdings'!$J$4:$J$2503,'Companies'!$A$4:$A$63,'Holdings'!$L$4:$L$2503,"Yes",'Holdings'!$C$4:$C$2503,"&gt;0")&gt;0),'Companies'!$A$4:$A$63,"")))</f>
        <v/>
      </c>
      <c r="G309" s="30">
        <f>IF(A309="","",IF(COUNTIF('People'!$A$4:$A$1003,A309)=0,"Email not on People",IF(COUNTIF('Holders'!$A$4:$A$1003,B309)=0,"Unknown holder ID",IF(COUNTIFS($A$4:$A$1503,A309,$B$4:$B$1503,B309)&gt;1,"Duplicate link",IF(C309="","Missing access","OK")))))</f>
        <v/>
      </c>
    </row>
    <row r="310">
      <c r="A310" s="26" t="n"/>
      <c r="B310" s="26" t="n"/>
      <c r="C310" s="26" t="n"/>
      <c r="D310" s="26" t="n"/>
      <c r="E310" s="30">
        <f>IF(B310="","",IFERROR(INDEX('Holders'!$B$4:$B$1003,MATCH(B310,'Holders'!$A$4:$A$1003,0)),""))</f>
        <v/>
      </c>
      <c r="F310" s="30">
        <f t="array" ref="F310">IF(B310="","",_xlfn.TEXTJOIN(", ",TRUE,IF(('Companies'!$A$4:$A$63&lt;&gt;"")*(COUNTIFS('Holdings'!$A$4:$A$2503,B310,'Holdings'!$J$4:$J$2503,'Companies'!$A$4:$A$63,'Holdings'!$L$4:$L$2503,"Yes",'Holdings'!$C$4:$C$2503,"&gt;0")&gt;0),'Companies'!$A$4:$A$63,"")))</f>
        <v/>
      </c>
      <c r="G310" s="30">
        <f>IF(A310="","",IF(COUNTIF('People'!$A$4:$A$1003,A310)=0,"Email not on People",IF(COUNTIF('Holders'!$A$4:$A$1003,B310)=0,"Unknown holder ID",IF(COUNTIFS($A$4:$A$1503,A310,$B$4:$B$1503,B310)&gt;1,"Duplicate link",IF(C310="","Missing access","OK")))))</f>
        <v/>
      </c>
    </row>
    <row r="311">
      <c r="A311" s="26" t="n"/>
      <c r="B311" s="26" t="n"/>
      <c r="C311" s="26" t="n"/>
      <c r="D311" s="26" t="n"/>
      <c r="E311" s="30">
        <f>IF(B311="","",IFERROR(INDEX('Holders'!$B$4:$B$1003,MATCH(B311,'Holders'!$A$4:$A$1003,0)),""))</f>
        <v/>
      </c>
      <c r="F311" s="30">
        <f t="array" ref="F311">IF(B311="","",_xlfn.TEXTJOIN(", ",TRUE,IF(('Companies'!$A$4:$A$63&lt;&gt;"")*(COUNTIFS('Holdings'!$A$4:$A$2503,B311,'Holdings'!$J$4:$J$2503,'Companies'!$A$4:$A$63,'Holdings'!$L$4:$L$2503,"Yes",'Holdings'!$C$4:$C$2503,"&gt;0")&gt;0),'Companies'!$A$4:$A$63,"")))</f>
        <v/>
      </c>
      <c r="G311" s="30">
        <f>IF(A311="","",IF(COUNTIF('People'!$A$4:$A$1003,A311)=0,"Email not on People",IF(COUNTIF('Holders'!$A$4:$A$1003,B311)=0,"Unknown holder ID",IF(COUNTIFS($A$4:$A$1503,A311,$B$4:$B$1503,B311)&gt;1,"Duplicate link",IF(C311="","Missing access","OK")))))</f>
        <v/>
      </c>
    </row>
    <row r="312">
      <c r="A312" s="26" t="n"/>
      <c r="B312" s="26" t="n"/>
      <c r="C312" s="26" t="n"/>
      <c r="D312" s="26" t="n"/>
      <c r="E312" s="30">
        <f>IF(B312="","",IFERROR(INDEX('Holders'!$B$4:$B$1003,MATCH(B312,'Holders'!$A$4:$A$1003,0)),""))</f>
        <v/>
      </c>
      <c r="F312" s="30">
        <f t="array" ref="F312">IF(B312="","",_xlfn.TEXTJOIN(", ",TRUE,IF(('Companies'!$A$4:$A$63&lt;&gt;"")*(COUNTIFS('Holdings'!$A$4:$A$2503,B312,'Holdings'!$J$4:$J$2503,'Companies'!$A$4:$A$63,'Holdings'!$L$4:$L$2503,"Yes",'Holdings'!$C$4:$C$2503,"&gt;0")&gt;0),'Companies'!$A$4:$A$63,"")))</f>
        <v/>
      </c>
      <c r="G312" s="30">
        <f>IF(A312="","",IF(COUNTIF('People'!$A$4:$A$1003,A312)=0,"Email not on People",IF(COUNTIF('Holders'!$A$4:$A$1003,B312)=0,"Unknown holder ID",IF(COUNTIFS($A$4:$A$1503,A312,$B$4:$B$1503,B312)&gt;1,"Duplicate link",IF(C312="","Missing access","OK")))))</f>
        <v/>
      </c>
    </row>
    <row r="313">
      <c r="A313" s="26" t="n"/>
      <c r="B313" s="26" t="n"/>
      <c r="C313" s="26" t="n"/>
      <c r="D313" s="26" t="n"/>
      <c r="E313" s="30">
        <f>IF(B313="","",IFERROR(INDEX('Holders'!$B$4:$B$1003,MATCH(B313,'Holders'!$A$4:$A$1003,0)),""))</f>
        <v/>
      </c>
      <c r="F313" s="30">
        <f t="array" ref="F313">IF(B313="","",_xlfn.TEXTJOIN(", ",TRUE,IF(('Companies'!$A$4:$A$63&lt;&gt;"")*(COUNTIFS('Holdings'!$A$4:$A$2503,B313,'Holdings'!$J$4:$J$2503,'Companies'!$A$4:$A$63,'Holdings'!$L$4:$L$2503,"Yes",'Holdings'!$C$4:$C$2503,"&gt;0")&gt;0),'Companies'!$A$4:$A$63,"")))</f>
        <v/>
      </c>
      <c r="G313" s="30">
        <f>IF(A313="","",IF(COUNTIF('People'!$A$4:$A$1003,A313)=0,"Email not on People",IF(COUNTIF('Holders'!$A$4:$A$1003,B313)=0,"Unknown holder ID",IF(COUNTIFS($A$4:$A$1503,A313,$B$4:$B$1503,B313)&gt;1,"Duplicate link",IF(C313="","Missing access","OK")))))</f>
        <v/>
      </c>
    </row>
    <row r="314">
      <c r="A314" s="26" t="n"/>
      <c r="B314" s="26" t="n"/>
      <c r="C314" s="26" t="n"/>
      <c r="D314" s="26" t="n"/>
      <c r="E314" s="30">
        <f>IF(B314="","",IFERROR(INDEX('Holders'!$B$4:$B$1003,MATCH(B314,'Holders'!$A$4:$A$1003,0)),""))</f>
        <v/>
      </c>
      <c r="F314" s="30">
        <f t="array" ref="F314">IF(B314="","",_xlfn.TEXTJOIN(", ",TRUE,IF(('Companies'!$A$4:$A$63&lt;&gt;"")*(COUNTIFS('Holdings'!$A$4:$A$2503,B314,'Holdings'!$J$4:$J$2503,'Companies'!$A$4:$A$63,'Holdings'!$L$4:$L$2503,"Yes",'Holdings'!$C$4:$C$2503,"&gt;0")&gt;0),'Companies'!$A$4:$A$63,"")))</f>
        <v/>
      </c>
      <c r="G314" s="30">
        <f>IF(A314="","",IF(COUNTIF('People'!$A$4:$A$1003,A314)=0,"Email not on People",IF(COUNTIF('Holders'!$A$4:$A$1003,B314)=0,"Unknown holder ID",IF(COUNTIFS($A$4:$A$1503,A314,$B$4:$B$1503,B314)&gt;1,"Duplicate link",IF(C314="","Missing access","OK")))))</f>
        <v/>
      </c>
    </row>
    <row r="315">
      <c r="A315" s="26" t="n"/>
      <c r="B315" s="26" t="n"/>
      <c r="C315" s="26" t="n"/>
      <c r="D315" s="26" t="n"/>
      <c r="E315" s="30">
        <f>IF(B315="","",IFERROR(INDEX('Holders'!$B$4:$B$1003,MATCH(B315,'Holders'!$A$4:$A$1003,0)),""))</f>
        <v/>
      </c>
      <c r="F315" s="30">
        <f t="array" ref="F315">IF(B315="","",_xlfn.TEXTJOIN(", ",TRUE,IF(('Companies'!$A$4:$A$63&lt;&gt;"")*(COUNTIFS('Holdings'!$A$4:$A$2503,B315,'Holdings'!$J$4:$J$2503,'Companies'!$A$4:$A$63,'Holdings'!$L$4:$L$2503,"Yes",'Holdings'!$C$4:$C$2503,"&gt;0")&gt;0),'Companies'!$A$4:$A$63,"")))</f>
        <v/>
      </c>
      <c r="G315" s="30">
        <f>IF(A315="","",IF(COUNTIF('People'!$A$4:$A$1003,A315)=0,"Email not on People",IF(COUNTIF('Holders'!$A$4:$A$1003,B315)=0,"Unknown holder ID",IF(COUNTIFS($A$4:$A$1503,A315,$B$4:$B$1503,B315)&gt;1,"Duplicate link",IF(C315="","Missing access","OK")))))</f>
        <v/>
      </c>
    </row>
    <row r="316">
      <c r="A316" s="26" t="n"/>
      <c r="B316" s="26" t="n"/>
      <c r="C316" s="26" t="n"/>
      <c r="D316" s="26" t="n"/>
      <c r="E316" s="30">
        <f>IF(B316="","",IFERROR(INDEX('Holders'!$B$4:$B$1003,MATCH(B316,'Holders'!$A$4:$A$1003,0)),""))</f>
        <v/>
      </c>
      <c r="F316" s="30">
        <f t="array" ref="F316">IF(B316="","",_xlfn.TEXTJOIN(", ",TRUE,IF(('Companies'!$A$4:$A$63&lt;&gt;"")*(COUNTIFS('Holdings'!$A$4:$A$2503,B316,'Holdings'!$J$4:$J$2503,'Companies'!$A$4:$A$63,'Holdings'!$L$4:$L$2503,"Yes",'Holdings'!$C$4:$C$2503,"&gt;0")&gt;0),'Companies'!$A$4:$A$63,"")))</f>
        <v/>
      </c>
      <c r="G316" s="30">
        <f>IF(A316="","",IF(COUNTIF('People'!$A$4:$A$1003,A316)=0,"Email not on People",IF(COUNTIF('Holders'!$A$4:$A$1003,B316)=0,"Unknown holder ID",IF(COUNTIFS($A$4:$A$1503,A316,$B$4:$B$1503,B316)&gt;1,"Duplicate link",IF(C316="","Missing access","OK")))))</f>
        <v/>
      </c>
    </row>
    <row r="317">
      <c r="A317" s="26" t="n"/>
      <c r="B317" s="26" t="n"/>
      <c r="C317" s="26" t="n"/>
      <c r="D317" s="26" t="n"/>
      <c r="E317" s="30">
        <f>IF(B317="","",IFERROR(INDEX('Holders'!$B$4:$B$1003,MATCH(B317,'Holders'!$A$4:$A$1003,0)),""))</f>
        <v/>
      </c>
      <c r="F317" s="30">
        <f t="array" ref="F317">IF(B317="","",_xlfn.TEXTJOIN(", ",TRUE,IF(('Companies'!$A$4:$A$63&lt;&gt;"")*(COUNTIFS('Holdings'!$A$4:$A$2503,B317,'Holdings'!$J$4:$J$2503,'Companies'!$A$4:$A$63,'Holdings'!$L$4:$L$2503,"Yes",'Holdings'!$C$4:$C$2503,"&gt;0")&gt;0),'Companies'!$A$4:$A$63,"")))</f>
        <v/>
      </c>
      <c r="G317" s="30">
        <f>IF(A317="","",IF(COUNTIF('People'!$A$4:$A$1003,A317)=0,"Email not on People",IF(COUNTIF('Holders'!$A$4:$A$1003,B317)=0,"Unknown holder ID",IF(COUNTIFS($A$4:$A$1503,A317,$B$4:$B$1503,B317)&gt;1,"Duplicate link",IF(C317="","Missing access","OK")))))</f>
        <v/>
      </c>
    </row>
    <row r="318">
      <c r="A318" s="26" t="n"/>
      <c r="B318" s="26" t="n"/>
      <c r="C318" s="26" t="n"/>
      <c r="D318" s="26" t="n"/>
      <c r="E318" s="30">
        <f>IF(B318="","",IFERROR(INDEX('Holders'!$B$4:$B$1003,MATCH(B318,'Holders'!$A$4:$A$1003,0)),""))</f>
        <v/>
      </c>
      <c r="F318" s="30">
        <f t="array" ref="F318">IF(B318="","",_xlfn.TEXTJOIN(", ",TRUE,IF(('Companies'!$A$4:$A$63&lt;&gt;"")*(COUNTIFS('Holdings'!$A$4:$A$2503,B318,'Holdings'!$J$4:$J$2503,'Companies'!$A$4:$A$63,'Holdings'!$L$4:$L$2503,"Yes",'Holdings'!$C$4:$C$2503,"&gt;0")&gt;0),'Companies'!$A$4:$A$63,"")))</f>
        <v/>
      </c>
      <c r="G318" s="30">
        <f>IF(A318="","",IF(COUNTIF('People'!$A$4:$A$1003,A318)=0,"Email not on People",IF(COUNTIF('Holders'!$A$4:$A$1003,B318)=0,"Unknown holder ID",IF(COUNTIFS($A$4:$A$1503,A318,$B$4:$B$1503,B318)&gt;1,"Duplicate link",IF(C318="","Missing access","OK")))))</f>
        <v/>
      </c>
    </row>
    <row r="319">
      <c r="A319" s="26" t="n"/>
      <c r="B319" s="26" t="n"/>
      <c r="C319" s="26" t="n"/>
      <c r="D319" s="26" t="n"/>
      <c r="E319" s="30">
        <f>IF(B319="","",IFERROR(INDEX('Holders'!$B$4:$B$1003,MATCH(B319,'Holders'!$A$4:$A$1003,0)),""))</f>
        <v/>
      </c>
      <c r="F319" s="30">
        <f t="array" ref="F319">IF(B319="","",_xlfn.TEXTJOIN(", ",TRUE,IF(('Companies'!$A$4:$A$63&lt;&gt;"")*(COUNTIFS('Holdings'!$A$4:$A$2503,B319,'Holdings'!$J$4:$J$2503,'Companies'!$A$4:$A$63,'Holdings'!$L$4:$L$2503,"Yes",'Holdings'!$C$4:$C$2503,"&gt;0")&gt;0),'Companies'!$A$4:$A$63,"")))</f>
        <v/>
      </c>
      <c r="G319" s="30">
        <f>IF(A319="","",IF(COUNTIF('People'!$A$4:$A$1003,A319)=0,"Email not on People",IF(COUNTIF('Holders'!$A$4:$A$1003,B319)=0,"Unknown holder ID",IF(COUNTIFS($A$4:$A$1503,A319,$B$4:$B$1503,B319)&gt;1,"Duplicate link",IF(C319="","Missing access","OK")))))</f>
        <v/>
      </c>
    </row>
    <row r="320">
      <c r="A320" s="26" t="n"/>
      <c r="B320" s="26" t="n"/>
      <c r="C320" s="26" t="n"/>
      <c r="D320" s="26" t="n"/>
      <c r="E320" s="30">
        <f>IF(B320="","",IFERROR(INDEX('Holders'!$B$4:$B$1003,MATCH(B320,'Holders'!$A$4:$A$1003,0)),""))</f>
        <v/>
      </c>
      <c r="F320" s="30">
        <f t="array" ref="F320">IF(B320="","",_xlfn.TEXTJOIN(", ",TRUE,IF(('Companies'!$A$4:$A$63&lt;&gt;"")*(COUNTIFS('Holdings'!$A$4:$A$2503,B320,'Holdings'!$J$4:$J$2503,'Companies'!$A$4:$A$63,'Holdings'!$L$4:$L$2503,"Yes",'Holdings'!$C$4:$C$2503,"&gt;0")&gt;0),'Companies'!$A$4:$A$63,"")))</f>
        <v/>
      </c>
      <c r="G320" s="30">
        <f>IF(A320="","",IF(COUNTIF('People'!$A$4:$A$1003,A320)=0,"Email not on People",IF(COUNTIF('Holders'!$A$4:$A$1003,B320)=0,"Unknown holder ID",IF(COUNTIFS($A$4:$A$1503,A320,$B$4:$B$1503,B320)&gt;1,"Duplicate link",IF(C320="","Missing access","OK")))))</f>
        <v/>
      </c>
    </row>
    <row r="321">
      <c r="A321" s="26" t="n"/>
      <c r="B321" s="26" t="n"/>
      <c r="C321" s="26" t="n"/>
      <c r="D321" s="26" t="n"/>
      <c r="E321" s="30">
        <f>IF(B321="","",IFERROR(INDEX('Holders'!$B$4:$B$1003,MATCH(B321,'Holders'!$A$4:$A$1003,0)),""))</f>
        <v/>
      </c>
      <c r="F321" s="30">
        <f t="array" ref="F321">IF(B321="","",_xlfn.TEXTJOIN(", ",TRUE,IF(('Companies'!$A$4:$A$63&lt;&gt;"")*(COUNTIFS('Holdings'!$A$4:$A$2503,B321,'Holdings'!$J$4:$J$2503,'Companies'!$A$4:$A$63,'Holdings'!$L$4:$L$2503,"Yes",'Holdings'!$C$4:$C$2503,"&gt;0")&gt;0),'Companies'!$A$4:$A$63,"")))</f>
        <v/>
      </c>
      <c r="G321" s="30">
        <f>IF(A321="","",IF(COUNTIF('People'!$A$4:$A$1003,A321)=0,"Email not on People",IF(COUNTIF('Holders'!$A$4:$A$1003,B321)=0,"Unknown holder ID",IF(COUNTIFS($A$4:$A$1503,A321,$B$4:$B$1503,B321)&gt;1,"Duplicate link",IF(C321="","Missing access","OK")))))</f>
        <v/>
      </c>
    </row>
    <row r="322">
      <c r="A322" s="26" t="n"/>
      <c r="B322" s="26" t="n"/>
      <c r="C322" s="26" t="n"/>
      <c r="D322" s="26" t="n"/>
      <c r="E322" s="30">
        <f>IF(B322="","",IFERROR(INDEX('Holders'!$B$4:$B$1003,MATCH(B322,'Holders'!$A$4:$A$1003,0)),""))</f>
        <v/>
      </c>
      <c r="F322" s="30">
        <f t="array" ref="F322">IF(B322="","",_xlfn.TEXTJOIN(", ",TRUE,IF(('Companies'!$A$4:$A$63&lt;&gt;"")*(COUNTIFS('Holdings'!$A$4:$A$2503,B322,'Holdings'!$J$4:$J$2503,'Companies'!$A$4:$A$63,'Holdings'!$L$4:$L$2503,"Yes",'Holdings'!$C$4:$C$2503,"&gt;0")&gt;0),'Companies'!$A$4:$A$63,"")))</f>
        <v/>
      </c>
      <c r="G322" s="30">
        <f>IF(A322="","",IF(COUNTIF('People'!$A$4:$A$1003,A322)=0,"Email not on People",IF(COUNTIF('Holders'!$A$4:$A$1003,B322)=0,"Unknown holder ID",IF(COUNTIFS($A$4:$A$1503,A322,$B$4:$B$1503,B322)&gt;1,"Duplicate link",IF(C322="","Missing access","OK")))))</f>
        <v/>
      </c>
    </row>
    <row r="323">
      <c r="A323" s="26" t="n"/>
      <c r="B323" s="26" t="n"/>
      <c r="C323" s="26" t="n"/>
      <c r="D323" s="26" t="n"/>
      <c r="E323" s="30">
        <f>IF(B323="","",IFERROR(INDEX('Holders'!$B$4:$B$1003,MATCH(B323,'Holders'!$A$4:$A$1003,0)),""))</f>
        <v/>
      </c>
      <c r="F323" s="30">
        <f t="array" ref="F323">IF(B323="","",_xlfn.TEXTJOIN(", ",TRUE,IF(('Companies'!$A$4:$A$63&lt;&gt;"")*(COUNTIFS('Holdings'!$A$4:$A$2503,B323,'Holdings'!$J$4:$J$2503,'Companies'!$A$4:$A$63,'Holdings'!$L$4:$L$2503,"Yes",'Holdings'!$C$4:$C$2503,"&gt;0")&gt;0),'Companies'!$A$4:$A$63,"")))</f>
        <v/>
      </c>
      <c r="G323" s="30">
        <f>IF(A323="","",IF(COUNTIF('People'!$A$4:$A$1003,A323)=0,"Email not on People",IF(COUNTIF('Holders'!$A$4:$A$1003,B323)=0,"Unknown holder ID",IF(COUNTIFS($A$4:$A$1503,A323,$B$4:$B$1503,B323)&gt;1,"Duplicate link",IF(C323="","Missing access","OK")))))</f>
        <v/>
      </c>
    </row>
    <row r="324">
      <c r="A324" s="26" t="n"/>
      <c r="B324" s="26" t="n"/>
      <c r="C324" s="26" t="n"/>
      <c r="D324" s="26" t="n"/>
      <c r="E324" s="30">
        <f>IF(B324="","",IFERROR(INDEX('Holders'!$B$4:$B$1003,MATCH(B324,'Holders'!$A$4:$A$1003,0)),""))</f>
        <v/>
      </c>
      <c r="F324" s="30">
        <f t="array" ref="F324">IF(B324="","",_xlfn.TEXTJOIN(", ",TRUE,IF(('Companies'!$A$4:$A$63&lt;&gt;"")*(COUNTIFS('Holdings'!$A$4:$A$2503,B324,'Holdings'!$J$4:$J$2503,'Companies'!$A$4:$A$63,'Holdings'!$L$4:$L$2503,"Yes",'Holdings'!$C$4:$C$2503,"&gt;0")&gt;0),'Companies'!$A$4:$A$63,"")))</f>
        <v/>
      </c>
      <c r="G324" s="30">
        <f>IF(A324="","",IF(COUNTIF('People'!$A$4:$A$1003,A324)=0,"Email not on People",IF(COUNTIF('Holders'!$A$4:$A$1003,B324)=0,"Unknown holder ID",IF(COUNTIFS($A$4:$A$1503,A324,$B$4:$B$1503,B324)&gt;1,"Duplicate link",IF(C324="","Missing access","OK")))))</f>
        <v/>
      </c>
    </row>
    <row r="325">
      <c r="A325" s="26" t="n"/>
      <c r="B325" s="26" t="n"/>
      <c r="C325" s="26" t="n"/>
      <c r="D325" s="26" t="n"/>
      <c r="E325" s="30">
        <f>IF(B325="","",IFERROR(INDEX('Holders'!$B$4:$B$1003,MATCH(B325,'Holders'!$A$4:$A$1003,0)),""))</f>
        <v/>
      </c>
      <c r="F325" s="30">
        <f t="array" ref="F325">IF(B325="","",_xlfn.TEXTJOIN(", ",TRUE,IF(('Companies'!$A$4:$A$63&lt;&gt;"")*(COUNTIFS('Holdings'!$A$4:$A$2503,B325,'Holdings'!$J$4:$J$2503,'Companies'!$A$4:$A$63,'Holdings'!$L$4:$L$2503,"Yes",'Holdings'!$C$4:$C$2503,"&gt;0")&gt;0),'Companies'!$A$4:$A$63,"")))</f>
        <v/>
      </c>
      <c r="G325" s="30">
        <f>IF(A325="","",IF(COUNTIF('People'!$A$4:$A$1003,A325)=0,"Email not on People",IF(COUNTIF('Holders'!$A$4:$A$1003,B325)=0,"Unknown holder ID",IF(COUNTIFS($A$4:$A$1503,A325,$B$4:$B$1503,B325)&gt;1,"Duplicate link",IF(C325="","Missing access","OK")))))</f>
        <v/>
      </c>
    </row>
    <row r="326">
      <c r="A326" s="26" t="n"/>
      <c r="B326" s="26" t="n"/>
      <c r="C326" s="26" t="n"/>
      <c r="D326" s="26" t="n"/>
      <c r="E326" s="30">
        <f>IF(B326="","",IFERROR(INDEX('Holders'!$B$4:$B$1003,MATCH(B326,'Holders'!$A$4:$A$1003,0)),""))</f>
        <v/>
      </c>
      <c r="F326" s="30">
        <f t="array" ref="F326">IF(B326="","",_xlfn.TEXTJOIN(", ",TRUE,IF(('Companies'!$A$4:$A$63&lt;&gt;"")*(COUNTIFS('Holdings'!$A$4:$A$2503,B326,'Holdings'!$J$4:$J$2503,'Companies'!$A$4:$A$63,'Holdings'!$L$4:$L$2503,"Yes",'Holdings'!$C$4:$C$2503,"&gt;0")&gt;0),'Companies'!$A$4:$A$63,"")))</f>
        <v/>
      </c>
      <c r="G326" s="30">
        <f>IF(A326="","",IF(COUNTIF('People'!$A$4:$A$1003,A326)=0,"Email not on People",IF(COUNTIF('Holders'!$A$4:$A$1003,B326)=0,"Unknown holder ID",IF(COUNTIFS($A$4:$A$1503,A326,$B$4:$B$1503,B326)&gt;1,"Duplicate link",IF(C326="","Missing access","OK")))))</f>
        <v/>
      </c>
    </row>
    <row r="327">
      <c r="A327" s="26" t="n"/>
      <c r="B327" s="26" t="n"/>
      <c r="C327" s="26" t="n"/>
      <c r="D327" s="26" t="n"/>
      <c r="E327" s="30">
        <f>IF(B327="","",IFERROR(INDEX('Holders'!$B$4:$B$1003,MATCH(B327,'Holders'!$A$4:$A$1003,0)),""))</f>
        <v/>
      </c>
      <c r="F327" s="30">
        <f t="array" ref="F327">IF(B327="","",_xlfn.TEXTJOIN(", ",TRUE,IF(('Companies'!$A$4:$A$63&lt;&gt;"")*(COUNTIFS('Holdings'!$A$4:$A$2503,B327,'Holdings'!$J$4:$J$2503,'Companies'!$A$4:$A$63,'Holdings'!$L$4:$L$2503,"Yes",'Holdings'!$C$4:$C$2503,"&gt;0")&gt;0),'Companies'!$A$4:$A$63,"")))</f>
        <v/>
      </c>
      <c r="G327" s="30">
        <f>IF(A327="","",IF(COUNTIF('People'!$A$4:$A$1003,A327)=0,"Email not on People",IF(COUNTIF('Holders'!$A$4:$A$1003,B327)=0,"Unknown holder ID",IF(COUNTIFS($A$4:$A$1503,A327,$B$4:$B$1503,B327)&gt;1,"Duplicate link",IF(C327="","Missing access","OK")))))</f>
        <v/>
      </c>
    </row>
    <row r="328">
      <c r="A328" s="26" t="n"/>
      <c r="B328" s="26" t="n"/>
      <c r="C328" s="26" t="n"/>
      <c r="D328" s="26" t="n"/>
      <c r="E328" s="30">
        <f>IF(B328="","",IFERROR(INDEX('Holders'!$B$4:$B$1003,MATCH(B328,'Holders'!$A$4:$A$1003,0)),""))</f>
        <v/>
      </c>
      <c r="F328" s="30">
        <f t="array" ref="F328">IF(B328="","",_xlfn.TEXTJOIN(", ",TRUE,IF(('Companies'!$A$4:$A$63&lt;&gt;"")*(COUNTIFS('Holdings'!$A$4:$A$2503,B328,'Holdings'!$J$4:$J$2503,'Companies'!$A$4:$A$63,'Holdings'!$L$4:$L$2503,"Yes",'Holdings'!$C$4:$C$2503,"&gt;0")&gt;0),'Companies'!$A$4:$A$63,"")))</f>
        <v/>
      </c>
      <c r="G328" s="30">
        <f>IF(A328="","",IF(COUNTIF('People'!$A$4:$A$1003,A328)=0,"Email not on People",IF(COUNTIF('Holders'!$A$4:$A$1003,B328)=0,"Unknown holder ID",IF(COUNTIFS($A$4:$A$1503,A328,$B$4:$B$1503,B328)&gt;1,"Duplicate link",IF(C328="","Missing access","OK")))))</f>
        <v/>
      </c>
    </row>
    <row r="329">
      <c r="A329" s="26" t="n"/>
      <c r="B329" s="26" t="n"/>
      <c r="C329" s="26" t="n"/>
      <c r="D329" s="26" t="n"/>
      <c r="E329" s="30">
        <f>IF(B329="","",IFERROR(INDEX('Holders'!$B$4:$B$1003,MATCH(B329,'Holders'!$A$4:$A$1003,0)),""))</f>
        <v/>
      </c>
      <c r="F329" s="30">
        <f t="array" ref="F329">IF(B329="","",_xlfn.TEXTJOIN(", ",TRUE,IF(('Companies'!$A$4:$A$63&lt;&gt;"")*(COUNTIFS('Holdings'!$A$4:$A$2503,B329,'Holdings'!$J$4:$J$2503,'Companies'!$A$4:$A$63,'Holdings'!$L$4:$L$2503,"Yes",'Holdings'!$C$4:$C$2503,"&gt;0")&gt;0),'Companies'!$A$4:$A$63,"")))</f>
        <v/>
      </c>
      <c r="G329" s="30">
        <f>IF(A329="","",IF(COUNTIF('People'!$A$4:$A$1003,A329)=0,"Email not on People",IF(COUNTIF('Holders'!$A$4:$A$1003,B329)=0,"Unknown holder ID",IF(COUNTIFS($A$4:$A$1503,A329,$B$4:$B$1503,B329)&gt;1,"Duplicate link",IF(C329="","Missing access","OK")))))</f>
        <v/>
      </c>
    </row>
    <row r="330">
      <c r="A330" s="26" t="n"/>
      <c r="B330" s="26" t="n"/>
      <c r="C330" s="26" t="n"/>
      <c r="D330" s="26" t="n"/>
      <c r="E330" s="30">
        <f>IF(B330="","",IFERROR(INDEX('Holders'!$B$4:$B$1003,MATCH(B330,'Holders'!$A$4:$A$1003,0)),""))</f>
        <v/>
      </c>
      <c r="F330" s="30">
        <f t="array" ref="F330">IF(B330="","",_xlfn.TEXTJOIN(", ",TRUE,IF(('Companies'!$A$4:$A$63&lt;&gt;"")*(COUNTIFS('Holdings'!$A$4:$A$2503,B330,'Holdings'!$J$4:$J$2503,'Companies'!$A$4:$A$63,'Holdings'!$L$4:$L$2503,"Yes",'Holdings'!$C$4:$C$2503,"&gt;0")&gt;0),'Companies'!$A$4:$A$63,"")))</f>
        <v/>
      </c>
      <c r="G330" s="30">
        <f>IF(A330="","",IF(COUNTIF('People'!$A$4:$A$1003,A330)=0,"Email not on People",IF(COUNTIF('Holders'!$A$4:$A$1003,B330)=0,"Unknown holder ID",IF(COUNTIFS($A$4:$A$1503,A330,$B$4:$B$1503,B330)&gt;1,"Duplicate link",IF(C330="","Missing access","OK")))))</f>
        <v/>
      </c>
    </row>
    <row r="331">
      <c r="A331" s="26" t="n"/>
      <c r="B331" s="26" t="n"/>
      <c r="C331" s="26" t="n"/>
      <c r="D331" s="26" t="n"/>
      <c r="E331" s="30">
        <f>IF(B331="","",IFERROR(INDEX('Holders'!$B$4:$B$1003,MATCH(B331,'Holders'!$A$4:$A$1003,0)),""))</f>
        <v/>
      </c>
      <c r="F331" s="30">
        <f t="array" ref="F331">IF(B331="","",_xlfn.TEXTJOIN(", ",TRUE,IF(('Companies'!$A$4:$A$63&lt;&gt;"")*(COUNTIFS('Holdings'!$A$4:$A$2503,B331,'Holdings'!$J$4:$J$2503,'Companies'!$A$4:$A$63,'Holdings'!$L$4:$L$2503,"Yes",'Holdings'!$C$4:$C$2503,"&gt;0")&gt;0),'Companies'!$A$4:$A$63,"")))</f>
        <v/>
      </c>
      <c r="G331" s="30">
        <f>IF(A331="","",IF(COUNTIF('People'!$A$4:$A$1003,A331)=0,"Email not on People",IF(COUNTIF('Holders'!$A$4:$A$1003,B331)=0,"Unknown holder ID",IF(COUNTIFS($A$4:$A$1503,A331,$B$4:$B$1503,B331)&gt;1,"Duplicate link",IF(C331="","Missing access","OK")))))</f>
        <v/>
      </c>
    </row>
    <row r="332">
      <c r="A332" s="26" t="n"/>
      <c r="B332" s="26" t="n"/>
      <c r="C332" s="26" t="n"/>
      <c r="D332" s="26" t="n"/>
      <c r="E332" s="30">
        <f>IF(B332="","",IFERROR(INDEX('Holders'!$B$4:$B$1003,MATCH(B332,'Holders'!$A$4:$A$1003,0)),""))</f>
        <v/>
      </c>
      <c r="F332" s="30">
        <f t="array" ref="F332">IF(B332="","",_xlfn.TEXTJOIN(", ",TRUE,IF(('Companies'!$A$4:$A$63&lt;&gt;"")*(COUNTIFS('Holdings'!$A$4:$A$2503,B332,'Holdings'!$J$4:$J$2503,'Companies'!$A$4:$A$63,'Holdings'!$L$4:$L$2503,"Yes",'Holdings'!$C$4:$C$2503,"&gt;0")&gt;0),'Companies'!$A$4:$A$63,"")))</f>
        <v/>
      </c>
      <c r="G332" s="30">
        <f>IF(A332="","",IF(COUNTIF('People'!$A$4:$A$1003,A332)=0,"Email not on People",IF(COUNTIF('Holders'!$A$4:$A$1003,B332)=0,"Unknown holder ID",IF(COUNTIFS($A$4:$A$1503,A332,$B$4:$B$1503,B332)&gt;1,"Duplicate link",IF(C332="","Missing access","OK")))))</f>
        <v/>
      </c>
    </row>
    <row r="333">
      <c r="A333" s="26" t="n"/>
      <c r="B333" s="26" t="n"/>
      <c r="C333" s="26" t="n"/>
      <c r="D333" s="26" t="n"/>
      <c r="E333" s="30">
        <f>IF(B333="","",IFERROR(INDEX('Holders'!$B$4:$B$1003,MATCH(B333,'Holders'!$A$4:$A$1003,0)),""))</f>
        <v/>
      </c>
      <c r="F333" s="30">
        <f t="array" ref="F333">IF(B333="","",_xlfn.TEXTJOIN(", ",TRUE,IF(('Companies'!$A$4:$A$63&lt;&gt;"")*(COUNTIFS('Holdings'!$A$4:$A$2503,B333,'Holdings'!$J$4:$J$2503,'Companies'!$A$4:$A$63,'Holdings'!$L$4:$L$2503,"Yes",'Holdings'!$C$4:$C$2503,"&gt;0")&gt;0),'Companies'!$A$4:$A$63,"")))</f>
        <v/>
      </c>
      <c r="G333" s="30">
        <f>IF(A333="","",IF(COUNTIF('People'!$A$4:$A$1003,A333)=0,"Email not on People",IF(COUNTIF('Holders'!$A$4:$A$1003,B333)=0,"Unknown holder ID",IF(COUNTIFS($A$4:$A$1503,A333,$B$4:$B$1503,B333)&gt;1,"Duplicate link",IF(C333="","Missing access","OK")))))</f>
        <v/>
      </c>
    </row>
    <row r="334">
      <c r="A334" s="26" t="n"/>
      <c r="B334" s="26" t="n"/>
      <c r="C334" s="26" t="n"/>
      <c r="D334" s="26" t="n"/>
      <c r="E334" s="30">
        <f>IF(B334="","",IFERROR(INDEX('Holders'!$B$4:$B$1003,MATCH(B334,'Holders'!$A$4:$A$1003,0)),""))</f>
        <v/>
      </c>
      <c r="F334" s="30">
        <f t="array" ref="F334">IF(B334="","",_xlfn.TEXTJOIN(", ",TRUE,IF(('Companies'!$A$4:$A$63&lt;&gt;"")*(COUNTIFS('Holdings'!$A$4:$A$2503,B334,'Holdings'!$J$4:$J$2503,'Companies'!$A$4:$A$63,'Holdings'!$L$4:$L$2503,"Yes",'Holdings'!$C$4:$C$2503,"&gt;0")&gt;0),'Companies'!$A$4:$A$63,"")))</f>
        <v/>
      </c>
      <c r="G334" s="30">
        <f>IF(A334="","",IF(COUNTIF('People'!$A$4:$A$1003,A334)=0,"Email not on People",IF(COUNTIF('Holders'!$A$4:$A$1003,B334)=0,"Unknown holder ID",IF(COUNTIFS($A$4:$A$1503,A334,$B$4:$B$1503,B334)&gt;1,"Duplicate link",IF(C334="","Missing access","OK")))))</f>
        <v/>
      </c>
    </row>
    <row r="335">
      <c r="A335" s="26" t="n"/>
      <c r="B335" s="26" t="n"/>
      <c r="C335" s="26" t="n"/>
      <c r="D335" s="26" t="n"/>
      <c r="E335" s="30">
        <f>IF(B335="","",IFERROR(INDEX('Holders'!$B$4:$B$1003,MATCH(B335,'Holders'!$A$4:$A$1003,0)),""))</f>
        <v/>
      </c>
      <c r="F335" s="30">
        <f t="array" ref="F335">IF(B335="","",_xlfn.TEXTJOIN(", ",TRUE,IF(('Companies'!$A$4:$A$63&lt;&gt;"")*(COUNTIFS('Holdings'!$A$4:$A$2503,B335,'Holdings'!$J$4:$J$2503,'Companies'!$A$4:$A$63,'Holdings'!$L$4:$L$2503,"Yes",'Holdings'!$C$4:$C$2503,"&gt;0")&gt;0),'Companies'!$A$4:$A$63,"")))</f>
        <v/>
      </c>
      <c r="G335" s="30">
        <f>IF(A335="","",IF(COUNTIF('People'!$A$4:$A$1003,A335)=0,"Email not on People",IF(COUNTIF('Holders'!$A$4:$A$1003,B335)=0,"Unknown holder ID",IF(COUNTIFS($A$4:$A$1503,A335,$B$4:$B$1503,B335)&gt;1,"Duplicate link",IF(C335="","Missing access","OK")))))</f>
        <v/>
      </c>
    </row>
    <row r="336">
      <c r="A336" s="26" t="n"/>
      <c r="B336" s="26" t="n"/>
      <c r="C336" s="26" t="n"/>
      <c r="D336" s="26" t="n"/>
      <c r="E336" s="30">
        <f>IF(B336="","",IFERROR(INDEX('Holders'!$B$4:$B$1003,MATCH(B336,'Holders'!$A$4:$A$1003,0)),""))</f>
        <v/>
      </c>
      <c r="F336" s="30">
        <f t="array" ref="F336">IF(B336="","",_xlfn.TEXTJOIN(", ",TRUE,IF(('Companies'!$A$4:$A$63&lt;&gt;"")*(COUNTIFS('Holdings'!$A$4:$A$2503,B336,'Holdings'!$J$4:$J$2503,'Companies'!$A$4:$A$63,'Holdings'!$L$4:$L$2503,"Yes",'Holdings'!$C$4:$C$2503,"&gt;0")&gt;0),'Companies'!$A$4:$A$63,"")))</f>
        <v/>
      </c>
      <c r="G336" s="30">
        <f>IF(A336="","",IF(COUNTIF('People'!$A$4:$A$1003,A336)=0,"Email not on People",IF(COUNTIF('Holders'!$A$4:$A$1003,B336)=0,"Unknown holder ID",IF(COUNTIFS($A$4:$A$1503,A336,$B$4:$B$1503,B336)&gt;1,"Duplicate link",IF(C336="","Missing access","OK")))))</f>
        <v/>
      </c>
    </row>
    <row r="337">
      <c r="A337" s="26" t="n"/>
      <c r="B337" s="26" t="n"/>
      <c r="C337" s="26" t="n"/>
      <c r="D337" s="26" t="n"/>
      <c r="E337" s="30">
        <f>IF(B337="","",IFERROR(INDEX('Holders'!$B$4:$B$1003,MATCH(B337,'Holders'!$A$4:$A$1003,0)),""))</f>
        <v/>
      </c>
      <c r="F337" s="30">
        <f t="array" ref="F337">IF(B337="","",_xlfn.TEXTJOIN(", ",TRUE,IF(('Companies'!$A$4:$A$63&lt;&gt;"")*(COUNTIFS('Holdings'!$A$4:$A$2503,B337,'Holdings'!$J$4:$J$2503,'Companies'!$A$4:$A$63,'Holdings'!$L$4:$L$2503,"Yes",'Holdings'!$C$4:$C$2503,"&gt;0")&gt;0),'Companies'!$A$4:$A$63,"")))</f>
        <v/>
      </c>
      <c r="G337" s="30">
        <f>IF(A337="","",IF(COUNTIF('People'!$A$4:$A$1003,A337)=0,"Email not on People",IF(COUNTIF('Holders'!$A$4:$A$1003,B337)=0,"Unknown holder ID",IF(COUNTIFS($A$4:$A$1503,A337,$B$4:$B$1503,B337)&gt;1,"Duplicate link",IF(C337="","Missing access","OK")))))</f>
        <v/>
      </c>
    </row>
    <row r="338">
      <c r="A338" s="26" t="n"/>
      <c r="B338" s="26" t="n"/>
      <c r="C338" s="26" t="n"/>
      <c r="D338" s="26" t="n"/>
      <c r="E338" s="30">
        <f>IF(B338="","",IFERROR(INDEX('Holders'!$B$4:$B$1003,MATCH(B338,'Holders'!$A$4:$A$1003,0)),""))</f>
        <v/>
      </c>
      <c r="F338" s="30">
        <f t="array" ref="F338">IF(B338="","",_xlfn.TEXTJOIN(", ",TRUE,IF(('Companies'!$A$4:$A$63&lt;&gt;"")*(COUNTIFS('Holdings'!$A$4:$A$2503,B338,'Holdings'!$J$4:$J$2503,'Companies'!$A$4:$A$63,'Holdings'!$L$4:$L$2503,"Yes",'Holdings'!$C$4:$C$2503,"&gt;0")&gt;0),'Companies'!$A$4:$A$63,"")))</f>
        <v/>
      </c>
      <c r="G338" s="30">
        <f>IF(A338="","",IF(COUNTIF('People'!$A$4:$A$1003,A338)=0,"Email not on People",IF(COUNTIF('Holders'!$A$4:$A$1003,B338)=0,"Unknown holder ID",IF(COUNTIFS($A$4:$A$1503,A338,$B$4:$B$1503,B338)&gt;1,"Duplicate link",IF(C338="","Missing access","OK")))))</f>
        <v/>
      </c>
    </row>
    <row r="339">
      <c r="A339" s="26" t="n"/>
      <c r="B339" s="26" t="n"/>
      <c r="C339" s="26" t="n"/>
      <c r="D339" s="26" t="n"/>
      <c r="E339" s="30">
        <f>IF(B339="","",IFERROR(INDEX('Holders'!$B$4:$B$1003,MATCH(B339,'Holders'!$A$4:$A$1003,0)),""))</f>
        <v/>
      </c>
      <c r="F339" s="30">
        <f t="array" ref="F339">IF(B339="","",_xlfn.TEXTJOIN(", ",TRUE,IF(('Companies'!$A$4:$A$63&lt;&gt;"")*(COUNTIFS('Holdings'!$A$4:$A$2503,B339,'Holdings'!$J$4:$J$2503,'Companies'!$A$4:$A$63,'Holdings'!$L$4:$L$2503,"Yes",'Holdings'!$C$4:$C$2503,"&gt;0")&gt;0),'Companies'!$A$4:$A$63,"")))</f>
        <v/>
      </c>
      <c r="G339" s="30">
        <f>IF(A339="","",IF(COUNTIF('People'!$A$4:$A$1003,A339)=0,"Email not on People",IF(COUNTIF('Holders'!$A$4:$A$1003,B339)=0,"Unknown holder ID",IF(COUNTIFS($A$4:$A$1503,A339,$B$4:$B$1503,B339)&gt;1,"Duplicate link",IF(C339="","Missing access","OK")))))</f>
        <v/>
      </c>
    </row>
    <row r="340">
      <c r="A340" s="26" t="n"/>
      <c r="B340" s="26" t="n"/>
      <c r="C340" s="26" t="n"/>
      <c r="D340" s="26" t="n"/>
      <c r="E340" s="30">
        <f>IF(B340="","",IFERROR(INDEX('Holders'!$B$4:$B$1003,MATCH(B340,'Holders'!$A$4:$A$1003,0)),""))</f>
        <v/>
      </c>
      <c r="F340" s="30">
        <f t="array" ref="F340">IF(B340="","",_xlfn.TEXTJOIN(", ",TRUE,IF(('Companies'!$A$4:$A$63&lt;&gt;"")*(COUNTIFS('Holdings'!$A$4:$A$2503,B340,'Holdings'!$J$4:$J$2503,'Companies'!$A$4:$A$63,'Holdings'!$L$4:$L$2503,"Yes",'Holdings'!$C$4:$C$2503,"&gt;0")&gt;0),'Companies'!$A$4:$A$63,"")))</f>
        <v/>
      </c>
      <c r="G340" s="30">
        <f>IF(A340="","",IF(COUNTIF('People'!$A$4:$A$1003,A340)=0,"Email not on People",IF(COUNTIF('Holders'!$A$4:$A$1003,B340)=0,"Unknown holder ID",IF(COUNTIFS($A$4:$A$1503,A340,$B$4:$B$1503,B340)&gt;1,"Duplicate link",IF(C340="","Missing access","OK")))))</f>
        <v/>
      </c>
    </row>
    <row r="341">
      <c r="A341" s="26" t="n"/>
      <c r="B341" s="26" t="n"/>
      <c r="C341" s="26" t="n"/>
      <c r="D341" s="26" t="n"/>
      <c r="E341" s="30">
        <f>IF(B341="","",IFERROR(INDEX('Holders'!$B$4:$B$1003,MATCH(B341,'Holders'!$A$4:$A$1003,0)),""))</f>
        <v/>
      </c>
      <c r="F341" s="30">
        <f t="array" ref="F341">IF(B341="","",_xlfn.TEXTJOIN(", ",TRUE,IF(('Companies'!$A$4:$A$63&lt;&gt;"")*(COUNTIFS('Holdings'!$A$4:$A$2503,B341,'Holdings'!$J$4:$J$2503,'Companies'!$A$4:$A$63,'Holdings'!$L$4:$L$2503,"Yes",'Holdings'!$C$4:$C$2503,"&gt;0")&gt;0),'Companies'!$A$4:$A$63,"")))</f>
        <v/>
      </c>
      <c r="G341" s="30">
        <f>IF(A341="","",IF(COUNTIF('People'!$A$4:$A$1003,A341)=0,"Email not on People",IF(COUNTIF('Holders'!$A$4:$A$1003,B341)=0,"Unknown holder ID",IF(COUNTIFS($A$4:$A$1503,A341,$B$4:$B$1503,B341)&gt;1,"Duplicate link",IF(C341="","Missing access","OK")))))</f>
        <v/>
      </c>
    </row>
    <row r="342">
      <c r="A342" s="26" t="n"/>
      <c r="B342" s="26" t="n"/>
      <c r="C342" s="26" t="n"/>
      <c r="D342" s="26" t="n"/>
      <c r="E342" s="30">
        <f>IF(B342="","",IFERROR(INDEX('Holders'!$B$4:$B$1003,MATCH(B342,'Holders'!$A$4:$A$1003,0)),""))</f>
        <v/>
      </c>
      <c r="F342" s="30">
        <f t="array" ref="F342">IF(B342="","",_xlfn.TEXTJOIN(", ",TRUE,IF(('Companies'!$A$4:$A$63&lt;&gt;"")*(COUNTIFS('Holdings'!$A$4:$A$2503,B342,'Holdings'!$J$4:$J$2503,'Companies'!$A$4:$A$63,'Holdings'!$L$4:$L$2503,"Yes",'Holdings'!$C$4:$C$2503,"&gt;0")&gt;0),'Companies'!$A$4:$A$63,"")))</f>
        <v/>
      </c>
      <c r="G342" s="30">
        <f>IF(A342="","",IF(COUNTIF('People'!$A$4:$A$1003,A342)=0,"Email not on People",IF(COUNTIF('Holders'!$A$4:$A$1003,B342)=0,"Unknown holder ID",IF(COUNTIFS($A$4:$A$1503,A342,$B$4:$B$1503,B342)&gt;1,"Duplicate link",IF(C342="","Missing access","OK")))))</f>
        <v/>
      </c>
    </row>
    <row r="343">
      <c r="A343" s="26" t="n"/>
      <c r="B343" s="26" t="n"/>
      <c r="C343" s="26" t="n"/>
      <c r="D343" s="26" t="n"/>
      <c r="E343" s="30">
        <f>IF(B343="","",IFERROR(INDEX('Holders'!$B$4:$B$1003,MATCH(B343,'Holders'!$A$4:$A$1003,0)),""))</f>
        <v/>
      </c>
      <c r="F343" s="30">
        <f t="array" ref="F343">IF(B343="","",_xlfn.TEXTJOIN(", ",TRUE,IF(('Companies'!$A$4:$A$63&lt;&gt;"")*(COUNTIFS('Holdings'!$A$4:$A$2503,B343,'Holdings'!$J$4:$J$2503,'Companies'!$A$4:$A$63,'Holdings'!$L$4:$L$2503,"Yes",'Holdings'!$C$4:$C$2503,"&gt;0")&gt;0),'Companies'!$A$4:$A$63,"")))</f>
        <v/>
      </c>
      <c r="G343" s="30">
        <f>IF(A343="","",IF(COUNTIF('People'!$A$4:$A$1003,A343)=0,"Email not on People",IF(COUNTIF('Holders'!$A$4:$A$1003,B343)=0,"Unknown holder ID",IF(COUNTIFS($A$4:$A$1503,A343,$B$4:$B$1503,B343)&gt;1,"Duplicate link",IF(C343="","Missing access","OK")))))</f>
        <v/>
      </c>
    </row>
    <row r="344">
      <c r="A344" s="26" t="n"/>
      <c r="B344" s="26" t="n"/>
      <c r="C344" s="26" t="n"/>
      <c r="D344" s="26" t="n"/>
      <c r="E344" s="30">
        <f>IF(B344="","",IFERROR(INDEX('Holders'!$B$4:$B$1003,MATCH(B344,'Holders'!$A$4:$A$1003,0)),""))</f>
        <v/>
      </c>
      <c r="F344" s="30">
        <f t="array" ref="F344">IF(B344="","",_xlfn.TEXTJOIN(", ",TRUE,IF(('Companies'!$A$4:$A$63&lt;&gt;"")*(COUNTIFS('Holdings'!$A$4:$A$2503,B344,'Holdings'!$J$4:$J$2503,'Companies'!$A$4:$A$63,'Holdings'!$L$4:$L$2503,"Yes",'Holdings'!$C$4:$C$2503,"&gt;0")&gt;0),'Companies'!$A$4:$A$63,"")))</f>
        <v/>
      </c>
      <c r="G344" s="30">
        <f>IF(A344="","",IF(COUNTIF('People'!$A$4:$A$1003,A344)=0,"Email not on People",IF(COUNTIF('Holders'!$A$4:$A$1003,B344)=0,"Unknown holder ID",IF(COUNTIFS($A$4:$A$1503,A344,$B$4:$B$1503,B344)&gt;1,"Duplicate link",IF(C344="","Missing access","OK")))))</f>
        <v/>
      </c>
    </row>
    <row r="345">
      <c r="A345" s="26" t="n"/>
      <c r="B345" s="26" t="n"/>
      <c r="C345" s="26" t="n"/>
      <c r="D345" s="26" t="n"/>
      <c r="E345" s="30">
        <f>IF(B345="","",IFERROR(INDEX('Holders'!$B$4:$B$1003,MATCH(B345,'Holders'!$A$4:$A$1003,0)),""))</f>
        <v/>
      </c>
      <c r="F345" s="30">
        <f t="array" ref="F345">IF(B345="","",_xlfn.TEXTJOIN(", ",TRUE,IF(('Companies'!$A$4:$A$63&lt;&gt;"")*(COUNTIFS('Holdings'!$A$4:$A$2503,B345,'Holdings'!$J$4:$J$2503,'Companies'!$A$4:$A$63,'Holdings'!$L$4:$L$2503,"Yes",'Holdings'!$C$4:$C$2503,"&gt;0")&gt;0),'Companies'!$A$4:$A$63,"")))</f>
        <v/>
      </c>
      <c r="G345" s="30">
        <f>IF(A345="","",IF(COUNTIF('People'!$A$4:$A$1003,A345)=0,"Email not on People",IF(COUNTIF('Holders'!$A$4:$A$1003,B345)=0,"Unknown holder ID",IF(COUNTIFS($A$4:$A$1503,A345,$B$4:$B$1503,B345)&gt;1,"Duplicate link",IF(C345="","Missing access","OK")))))</f>
        <v/>
      </c>
    </row>
    <row r="346">
      <c r="A346" s="26" t="n"/>
      <c r="B346" s="26" t="n"/>
      <c r="C346" s="26" t="n"/>
      <c r="D346" s="26" t="n"/>
      <c r="E346" s="30">
        <f>IF(B346="","",IFERROR(INDEX('Holders'!$B$4:$B$1003,MATCH(B346,'Holders'!$A$4:$A$1003,0)),""))</f>
        <v/>
      </c>
      <c r="F346" s="30">
        <f t="array" ref="F346">IF(B346="","",_xlfn.TEXTJOIN(", ",TRUE,IF(('Companies'!$A$4:$A$63&lt;&gt;"")*(COUNTIFS('Holdings'!$A$4:$A$2503,B346,'Holdings'!$J$4:$J$2503,'Companies'!$A$4:$A$63,'Holdings'!$L$4:$L$2503,"Yes",'Holdings'!$C$4:$C$2503,"&gt;0")&gt;0),'Companies'!$A$4:$A$63,"")))</f>
        <v/>
      </c>
      <c r="G346" s="30">
        <f>IF(A346="","",IF(COUNTIF('People'!$A$4:$A$1003,A346)=0,"Email not on People",IF(COUNTIF('Holders'!$A$4:$A$1003,B346)=0,"Unknown holder ID",IF(COUNTIFS($A$4:$A$1503,A346,$B$4:$B$1503,B346)&gt;1,"Duplicate link",IF(C346="","Missing access","OK")))))</f>
        <v/>
      </c>
    </row>
    <row r="347">
      <c r="A347" s="26" t="n"/>
      <c r="B347" s="26" t="n"/>
      <c r="C347" s="26" t="n"/>
      <c r="D347" s="26" t="n"/>
      <c r="E347" s="30">
        <f>IF(B347="","",IFERROR(INDEX('Holders'!$B$4:$B$1003,MATCH(B347,'Holders'!$A$4:$A$1003,0)),""))</f>
        <v/>
      </c>
      <c r="F347" s="30">
        <f t="array" ref="F347">IF(B347="","",_xlfn.TEXTJOIN(", ",TRUE,IF(('Companies'!$A$4:$A$63&lt;&gt;"")*(COUNTIFS('Holdings'!$A$4:$A$2503,B347,'Holdings'!$J$4:$J$2503,'Companies'!$A$4:$A$63,'Holdings'!$L$4:$L$2503,"Yes",'Holdings'!$C$4:$C$2503,"&gt;0")&gt;0),'Companies'!$A$4:$A$63,"")))</f>
        <v/>
      </c>
      <c r="G347" s="30">
        <f>IF(A347="","",IF(COUNTIF('People'!$A$4:$A$1003,A347)=0,"Email not on People",IF(COUNTIF('Holders'!$A$4:$A$1003,B347)=0,"Unknown holder ID",IF(COUNTIFS($A$4:$A$1503,A347,$B$4:$B$1503,B347)&gt;1,"Duplicate link",IF(C347="","Missing access","OK")))))</f>
        <v/>
      </c>
    </row>
    <row r="348">
      <c r="A348" s="26" t="n"/>
      <c r="B348" s="26" t="n"/>
      <c r="C348" s="26" t="n"/>
      <c r="D348" s="26" t="n"/>
      <c r="E348" s="30">
        <f>IF(B348="","",IFERROR(INDEX('Holders'!$B$4:$B$1003,MATCH(B348,'Holders'!$A$4:$A$1003,0)),""))</f>
        <v/>
      </c>
      <c r="F348" s="30">
        <f t="array" ref="F348">IF(B348="","",_xlfn.TEXTJOIN(", ",TRUE,IF(('Companies'!$A$4:$A$63&lt;&gt;"")*(COUNTIFS('Holdings'!$A$4:$A$2503,B348,'Holdings'!$J$4:$J$2503,'Companies'!$A$4:$A$63,'Holdings'!$L$4:$L$2503,"Yes",'Holdings'!$C$4:$C$2503,"&gt;0")&gt;0),'Companies'!$A$4:$A$63,"")))</f>
        <v/>
      </c>
      <c r="G348" s="30">
        <f>IF(A348="","",IF(COUNTIF('People'!$A$4:$A$1003,A348)=0,"Email not on People",IF(COUNTIF('Holders'!$A$4:$A$1003,B348)=0,"Unknown holder ID",IF(COUNTIFS($A$4:$A$1503,A348,$B$4:$B$1503,B348)&gt;1,"Duplicate link",IF(C348="","Missing access","OK")))))</f>
        <v/>
      </c>
    </row>
    <row r="349">
      <c r="A349" s="26" t="n"/>
      <c r="B349" s="26" t="n"/>
      <c r="C349" s="26" t="n"/>
      <c r="D349" s="26" t="n"/>
      <c r="E349" s="30">
        <f>IF(B349="","",IFERROR(INDEX('Holders'!$B$4:$B$1003,MATCH(B349,'Holders'!$A$4:$A$1003,0)),""))</f>
        <v/>
      </c>
      <c r="F349" s="30">
        <f t="array" ref="F349">IF(B349="","",_xlfn.TEXTJOIN(", ",TRUE,IF(('Companies'!$A$4:$A$63&lt;&gt;"")*(COUNTIFS('Holdings'!$A$4:$A$2503,B349,'Holdings'!$J$4:$J$2503,'Companies'!$A$4:$A$63,'Holdings'!$L$4:$L$2503,"Yes",'Holdings'!$C$4:$C$2503,"&gt;0")&gt;0),'Companies'!$A$4:$A$63,"")))</f>
        <v/>
      </c>
      <c r="G349" s="30">
        <f>IF(A349="","",IF(COUNTIF('People'!$A$4:$A$1003,A349)=0,"Email not on People",IF(COUNTIF('Holders'!$A$4:$A$1003,B349)=0,"Unknown holder ID",IF(COUNTIFS($A$4:$A$1503,A349,$B$4:$B$1503,B349)&gt;1,"Duplicate link",IF(C349="","Missing access","OK")))))</f>
        <v/>
      </c>
    </row>
    <row r="350">
      <c r="A350" s="26" t="n"/>
      <c r="B350" s="26" t="n"/>
      <c r="C350" s="26" t="n"/>
      <c r="D350" s="26" t="n"/>
      <c r="E350" s="30">
        <f>IF(B350="","",IFERROR(INDEX('Holders'!$B$4:$B$1003,MATCH(B350,'Holders'!$A$4:$A$1003,0)),""))</f>
        <v/>
      </c>
      <c r="F350" s="30">
        <f t="array" ref="F350">IF(B350="","",_xlfn.TEXTJOIN(", ",TRUE,IF(('Companies'!$A$4:$A$63&lt;&gt;"")*(COUNTIFS('Holdings'!$A$4:$A$2503,B350,'Holdings'!$J$4:$J$2503,'Companies'!$A$4:$A$63,'Holdings'!$L$4:$L$2503,"Yes",'Holdings'!$C$4:$C$2503,"&gt;0")&gt;0),'Companies'!$A$4:$A$63,"")))</f>
        <v/>
      </c>
      <c r="G350" s="30">
        <f>IF(A350="","",IF(COUNTIF('People'!$A$4:$A$1003,A350)=0,"Email not on People",IF(COUNTIF('Holders'!$A$4:$A$1003,B350)=0,"Unknown holder ID",IF(COUNTIFS($A$4:$A$1503,A350,$B$4:$B$1503,B350)&gt;1,"Duplicate link",IF(C350="","Missing access","OK")))))</f>
        <v/>
      </c>
    </row>
    <row r="351">
      <c r="A351" s="26" t="n"/>
      <c r="B351" s="26" t="n"/>
      <c r="C351" s="26" t="n"/>
      <c r="D351" s="26" t="n"/>
      <c r="E351" s="30">
        <f>IF(B351="","",IFERROR(INDEX('Holders'!$B$4:$B$1003,MATCH(B351,'Holders'!$A$4:$A$1003,0)),""))</f>
        <v/>
      </c>
      <c r="F351" s="30">
        <f t="array" ref="F351">IF(B351="","",_xlfn.TEXTJOIN(", ",TRUE,IF(('Companies'!$A$4:$A$63&lt;&gt;"")*(COUNTIFS('Holdings'!$A$4:$A$2503,B351,'Holdings'!$J$4:$J$2503,'Companies'!$A$4:$A$63,'Holdings'!$L$4:$L$2503,"Yes",'Holdings'!$C$4:$C$2503,"&gt;0")&gt;0),'Companies'!$A$4:$A$63,"")))</f>
        <v/>
      </c>
      <c r="G351" s="30">
        <f>IF(A351="","",IF(COUNTIF('People'!$A$4:$A$1003,A351)=0,"Email not on People",IF(COUNTIF('Holders'!$A$4:$A$1003,B351)=0,"Unknown holder ID",IF(COUNTIFS($A$4:$A$1503,A351,$B$4:$B$1503,B351)&gt;1,"Duplicate link",IF(C351="","Missing access","OK")))))</f>
        <v/>
      </c>
    </row>
    <row r="352">
      <c r="A352" s="26" t="n"/>
      <c r="B352" s="26" t="n"/>
      <c r="C352" s="26" t="n"/>
      <c r="D352" s="26" t="n"/>
      <c r="E352" s="30">
        <f>IF(B352="","",IFERROR(INDEX('Holders'!$B$4:$B$1003,MATCH(B352,'Holders'!$A$4:$A$1003,0)),""))</f>
        <v/>
      </c>
      <c r="F352" s="30">
        <f t="array" ref="F352">IF(B352="","",_xlfn.TEXTJOIN(", ",TRUE,IF(('Companies'!$A$4:$A$63&lt;&gt;"")*(COUNTIFS('Holdings'!$A$4:$A$2503,B352,'Holdings'!$J$4:$J$2503,'Companies'!$A$4:$A$63,'Holdings'!$L$4:$L$2503,"Yes",'Holdings'!$C$4:$C$2503,"&gt;0")&gt;0),'Companies'!$A$4:$A$63,"")))</f>
        <v/>
      </c>
      <c r="G352" s="30">
        <f>IF(A352="","",IF(COUNTIF('People'!$A$4:$A$1003,A352)=0,"Email not on People",IF(COUNTIF('Holders'!$A$4:$A$1003,B352)=0,"Unknown holder ID",IF(COUNTIFS($A$4:$A$1503,A352,$B$4:$B$1503,B352)&gt;1,"Duplicate link",IF(C352="","Missing access","OK")))))</f>
        <v/>
      </c>
    </row>
    <row r="353">
      <c r="A353" s="26" t="n"/>
      <c r="B353" s="26" t="n"/>
      <c r="C353" s="26" t="n"/>
      <c r="D353" s="26" t="n"/>
      <c r="E353" s="30">
        <f>IF(B353="","",IFERROR(INDEX('Holders'!$B$4:$B$1003,MATCH(B353,'Holders'!$A$4:$A$1003,0)),""))</f>
        <v/>
      </c>
      <c r="F353" s="30">
        <f t="array" ref="F353">IF(B353="","",_xlfn.TEXTJOIN(", ",TRUE,IF(('Companies'!$A$4:$A$63&lt;&gt;"")*(COUNTIFS('Holdings'!$A$4:$A$2503,B353,'Holdings'!$J$4:$J$2503,'Companies'!$A$4:$A$63,'Holdings'!$L$4:$L$2503,"Yes",'Holdings'!$C$4:$C$2503,"&gt;0")&gt;0),'Companies'!$A$4:$A$63,"")))</f>
        <v/>
      </c>
      <c r="G353" s="30">
        <f>IF(A353="","",IF(COUNTIF('People'!$A$4:$A$1003,A353)=0,"Email not on People",IF(COUNTIF('Holders'!$A$4:$A$1003,B353)=0,"Unknown holder ID",IF(COUNTIFS($A$4:$A$1503,A353,$B$4:$B$1503,B353)&gt;1,"Duplicate link",IF(C353="","Missing access","OK")))))</f>
        <v/>
      </c>
    </row>
    <row r="354">
      <c r="A354" s="26" t="n"/>
      <c r="B354" s="26" t="n"/>
      <c r="C354" s="26" t="n"/>
      <c r="D354" s="26" t="n"/>
      <c r="E354" s="30">
        <f>IF(B354="","",IFERROR(INDEX('Holders'!$B$4:$B$1003,MATCH(B354,'Holders'!$A$4:$A$1003,0)),""))</f>
        <v/>
      </c>
      <c r="F354" s="30">
        <f t="array" ref="F354">IF(B354="","",_xlfn.TEXTJOIN(", ",TRUE,IF(('Companies'!$A$4:$A$63&lt;&gt;"")*(COUNTIFS('Holdings'!$A$4:$A$2503,B354,'Holdings'!$J$4:$J$2503,'Companies'!$A$4:$A$63,'Holdings'!$L$4:$L$2503,"Yes",'Holdings'!$C$4:$C$2503,"&gt;0")&gt;0),'Companies'!$A$4:$A$63,"")))</f>
        <v/>
      </c>
      <c r="G354" s="30">
        <f>IF(A354="","",IF(COUNTIF('People'!$A$4:$A$1003,A354)=0,"Email not on People",IF(COUNTIF('Holders'!$A$4:$A$1003,B354)=0,"Unknown holder ID",IF(COUNTIFS($A$4:$A$1503,A354,$B$4:$B$1503,B354)&gt;1,"Duplicate link",IF(C354="","Missing access","OK")))))</f>
        <v/>
      </c>
    </row>
    <row r="355">
      <c r="A355" s="26" t="n"/>
      <c r="B355" s="26" t="n"/>
      <c r="C355" s="26" t="n"/>
      <c r="D355" s="26" t="n"/>
      <c r="E355" s="30">
        <f>IF(B355="","",IFERROR(INDEX('Holders'!$B$4:$B$1003,MATCH(B355,'Holders'!$A$4:$A$1003,0)),""))</f>
        <v/>
      </c>
      <c r="F355" s="30">
        <f t="array" ref="F355">IF(B355="","",_xlfn.TEXTJOIN(", ",TRUE,IF(('Companies'!$A$4:$A$63&lt;&gt;"")*(COUNTIFS('Holdings'!$A$4:$A$2503,B355,'Holdings'!$J$4:$J$2503,'Companies'!$A$4:$A$63,'Holdings'!$L$4:$L$2503,"Yes",'Holdings'!$C$4:$C$2503,"&gt;0")&gt;0),'Companies'!$A$4:$A$63,"")))</f>
        <v/>
      </c>
      <c r="G355" s="30">
        <f>IF(A355="","",IF(COUNTIF('People'!$A$4:$A$1003,A355)=0,"Email not on People",IF(COUNTIF('Holders'!$A$4:$A$1003,B355)=0,"Unknown holder ID",IF(COUNTIFS($A$4:$A$1503,A355,$B$4:$B$1503,B355)&gt;1,"Duplicate link",IF(C355="","Missing access","OK")))))</f>
        <v/>
      </c>
    </row>
    <row r="356">
      <c r="A356" s="26" t="n"/>
      <c r="B356" s="26" t="n"/>
      <c r="C356" s="26" t="n"/>
      <c r="D356" s="26" t="n"/>
      <c r="E356" s="30">
        <f>IF(B356="","",IFERROR(INDEX('Holders'!$B$4:$B$1003,MATCH(B356,'Holders'!$A$4:$A$1003,0)),""))</f>
        <v/>
      </c>
      <c r="F356" s="30">
        <f t="array" ref="F356">IF(B356="","",_xlfn.TEXTJOIN(", ",TRUE,IF(('Companies'!$A$4:$A$63&lt;&gt;"")*(COUNTIFS('Holdings'!$A$4:$A$2503,B356,'Holdings'!$J$4:$J$2503,'Companies'!$A$4:$A$63,'Holdings'!$L$4:$L$2503,"Yes",'Holdings'!$C$4:$C$2503,"&gt;0")&gt;0),'Companies'!$A$4:$A$63,"")))</f>
        <v/>
      </c>
      <c r="G356" s="30">
        <f>IF(A356="","",IF(COUNTIF('People'!$A$4:$A$1003,A356)=0,"Email not on People",IF(COUNTIF('Holders'!$A$4:$A$1003,B356)=0,"Unknown holder ID",IF(COUNTIFS($A$4:$A$1503,A356,$B$4:$B$1503,B356)&gt;1,"Duplicate link",IF(C356="","Missing access","OK")))))</f>
        <v/>
      </c>
    </row>
    <row r="357">
      <c r="A357" s="26" t="n"/>
      <c r="B357" s="26" t="n"/>
      <c r="C357" s="26" t="n"/>
      <c r="D357" s="26" t="n"/>
      <c r="E357" s="30">
        <f>IF(B357="","",IFERROR(INDEX('Holders'!$B$4:$B$1003,MATCH(B357,'Holders'!$A$4:$A$1003,0)),""))</f>
        <v/>
      </c>
      <c r="F357" s="30">
        <f t="array" ref="F357">IF(B357="","",_xlfn.TEXTJOIN(", ",TRUE,IF(('Companies'!$A$4:$A$63&lt;&gt;"")*(COUNTIFS('Holdings'!$A$4:$A$2503,B357,'Holdings'!$J$4:$J$2503,'Companies'!$A$4:$A$63,'Holdings'!$L$4:$L$2503,"Yes",'Holdings'!$C$4:$C$2503,"&gt;0")&gt;0),'Companies'!$A$4:$A$63,"")))</f>
        <v/>
      </c>
      <c r="G357" s="30">
        <f>IF(A357="","",IF(COUNTIF('People'!$A$4:$A$1003,A357)=0,"Email not on People",IF(COUNTIF('Holders'!$A$4:$A$1003,B357)=0,"Unknown holder ID",IF(COUNTIFS($A$4:$A$1503,A357,$B$4:$B$1503,B357)&gt;1,"Duplicate link",IF(C357="","Missing access","OK")))))</f>
        <v/>
      </c>
    </row>
    <row r="358">
      <c r="A358" s="26" t="n"/>
      <c r="B358" s="26" t="n"/>
      <c r="C358" s="26" t="n"/>
      <c r="D358" s="26" t="n"/>
      <c r="E358" s="30">
        <f>IF(B358="","",IFERROR(INDEX('Holders'!$B$4:$B$1003,MATCH(B358,'Holders'!$A$4:$A$1003,0)),""))</f>
        <v/>
      </c>
      <c r="F358" s="30">
        <f t="array" ref="F358">IF(B358="","",_xlfn.TEXTJOIN(", ",TRUE,IF(('Companies'!$A$4:$A$63&lt;&gt;"")*(COUNTIFS('Holdings'!$A$4:$A$2503,B358,'Holdings'!$J$4:$J$2503,'Companies'!$A$4:$A$63,'Holdings'!$L$4:$L$2503,"Yes",'Holdings'!$C$4:$C$2503,"&gt;0")&gt;0),'Companies'!$A$4:$A$63,"")))</f>
        <v/>
      </c>
      <c r="G358" s="30">
        <f>IF(A358="","",IF(COUNTIF('People'!$A$4:$A$1003,A358)=0,"Email not on People",IF(COUNTIF('Holders'!$A$4:$A$1003,B358)=0,"Unknown holder ID",IF(COUNTIFS($A$4:$A$1503,A358,$B$4:$B$1503,B358)&gt;1,"Duplicate link",IF(C358="","Missing access","OK")))))</f>
        <v/>
      </c>
    </row>
    <row r="359">
      <c r="A359" s="26" t="n"/>
      <c r="B359" s="26" t="n"/>
      <c r="C359" s="26" t="n"/>
      <c r="D359" s="26" t="n"/>
      <c r="E359" s="30">
        <f>IF(B359="","",IFERROR(INDEX('Holders'!$B$4:$B$1003,MATCH(B359,'Holders'!$A$4:$A$1003,0)),""))</f>
        <v/>
      </c>
      <c r="F359" s="30">
        <f t="array" ref="F359">IF(B359="","",_xlfn.TEXTJOIN(", ",TRUE,IF(('Companies'!$A$4:$A$63&lt;&gt;"")*(COUNTIFS('Holdings'!$A$4:$A$2503,B359,'Holdings'!$J$4:$J$2503,'Companies'!$A$4:$A$63,'Holdings'!$L$4:$L$2503,"Yes",'Holdings'!$C$4:$C$2503,"&gt;0")&gt;0),'Companies'!$A$4:$A$63,"")))</f>
        <v/>
      </c>
      <c r="G359" s="30">
        <f>IF(A359="","",IF(COUNTIF('People'!$A$4:$A$1003,A359)=0,"Email not on People",IF(COUNTIF('Holders'!$A$4:$A$1003,B359)=0,"Unknown holder ID",IF(COUNTIFS($A$4:$A$1503,A359,$B$4:$B$1503,B359)&gt;1,"Duplicate link",IF(C359="","Missing access","OK")))))</f>
        <v/>
      </c>
    </row>
    <row r="360">
      <c r="A360" s="26" t="n"/>
      <c r="B360" s="26" t="n"/>
      <c r="C360" s="26" t="n"/>
      <c r="D360" s="26" t="n"/>
      <c r="E360" s="30">
        <f>IF(B360="","",IFERROR(INDEX('Holders'!$B$4:$B$1003,MATCH(B360,'Holders'!$A$4:$A$1003,0)),""))</f>
        <v/>
      </c>
      <c r="F360" s="30">
        <f t="array" ref="F360">IF(B360="","",_xlfn.TEXTJOIN(", ",TRUE,IF(('Companies'!$A$4:$A$63&lt;&gt;"")*(COUNTIFS('Holdings'!$A$4:$A$2503,B360,'Holdings'!$J$4:$J$2503,'Companies'!$A$4:$A$63,'Holdings'!$L$4:$L$2503,"Yes",'Holdings'!$C$4:$C$2503,"&gt;0")&gt;0),'Companies'!$A$4:$A$63,"")))</f>
        <v/>
      </c>
      <c r="G360" s="30">
        <f>IF(A360="","",IF(COUNTIF('People'!$A$4:$A$1003,A360)=0,"Email not on People",IF(COUNTIF('Holders'!$A$4:$A$1003,B360)=0,"Unknown holder ID",IF(COUNTIFS($A$4:$A$1503,A360,$B$4:$B$1503,B360)&gt;1,"Duplicate link",IF(C360="","Missing access","OK")))))</f>
        <v/>
      </c>
    </row>
    <row r="361">
      <c r="A361" s="26" t="n"/>
      <c r="B361" s="26" t="n"/>
      <c r="C361" s="26" t="n"/>
      <c r="D361" s="26" t="n"/>
      <c r="E361" s="30">
        <f>IF(B361="","",IFERROR(INDEX('Holders'!$B$4:$B$1003,MATCH(B361,'Holders'!$A$4:$A$1003,0)),""))</f>
        <v/>
      </c>
      <c r="F361" s="30">
        <f t="array" ref="F361">IF(B361="","",_xlfn.TEXTJOIN(", ",TRUE,IF(('Companies'!$A$4:$A$63&lt;&gt;"")*(COUNTIFS('Holdings'!$A$4:$A$2503,B361,'Holdings'!$J$4:$J$2503,'Companies'!$A$4:$A$63,'Holdings'!$L$4:$L$2503,"Yes",'Holdings'!$C$4:$C$2503,"&gt;0")&gt;0),'Companies'!$A$4:$A$63,"")))</f>
        <v/>
      </c>
      <c r="G361" s="30">
        <f>IF(A361="","",IF(COUNTIF('People'!$A$4:$A$1003,A361)=0,"Email not on People",IF(COUNTIF('Holders'!$A$4:$A$1003,B361)=0,"Unknown holder ID",IF(COUNTIFS($A$4:$A$1503,A361,$B$4:$B$1503,B361)&gt;1,"Duplicate link",IF(C361="","Missing access","OK")))))</f>
        <v/>
      </c>
    </row>
    <row r="362">
      <c r="A362" s="26" t="n"/>
      <c r="B362" s="26" t="n"/>
      <c r="C362" s="26" t="n"/>
      <c r="D362" s="26" t="n"/>
      <c r="E362" s="30">
        <f>IF(B362="","",IFERROR(INDEX('Holders'!$B$4:$B$1003,MATCH(B362,'Holders'!$A$4:$A$1003,0)),""))</f>
        <v/>
      </c>
      <c r="F362" s="30">
        <f t="array" ref="F362">IF(B362="","",_xlfn.TEXTJOIN(", ",TRUE,IF(('Companies'!$A$4:$A$63&lt;&gt;"")*(COUNTIFS('Holdings'!$A$4:$A$2503,B362,'Holdings'!$J$4:$J$2503,'Companies'!$A$4:$A$63,'Holdings'!$L$4:$L$2503,"Yes",'Holdings'!$C$4:$C$2503,"&gt;0")&gt;0),'Companies'!$A$4:$A$63,"")))</f>
        <v/>
      </c>
      <c r="G362" s="30">
        <f>IF(A362="","",IF(COUNTIF('People'!$A$4:$A$1003,A362)=0,"Email not on People",IF(COUNTIF('Holders'!$A$4:$A$1003,B362)=0,"Unknown holder ID",IF(COUNTIFS($A$4:$A$1503,A362,$B$4:$B$1503,B362)&gt;1,"Duplicate link",IF(C362="","Missing access","OK")))))</f>
        <v/>
      </c>
    </row>
    <row r="363">
      <c r="A363" s="26" t="n"/>
      <c r="B363" s="26" t="n"/>
      <c r="C363" s="26" t="n"/>
      <c r="D363" s="26" t="n"/>
      <c r="E363" s="30">
        <f>IF(B363="","",IFERROR(INDEX('Holders'!$B$4:$B$1003,MATCH(B363,'Holders'!$A$4:$A$1003,0)),""))</f>
        <v/>
      </c>
      <c r="F363" s="30">
        <f t="array" ref="F363">IF(B363="","",_xlfn.TEXTJOIN(", ",TRUE,IF(('Companies'!$A$4:$A$63&lt;&gt;"")*(COUNTIFS('Holdings'!$A$4:$A$2503,B363,'Holdings'!$J$4:$J$2503,'Companies'!$A$4:$A$63,'Holdings'!$L$4:$L$2503,"Yes",'Holdings'!$C$4:$C$2503,"&gt;0")&gt;0),'Companies'!$A$4:$A$63,"")))</f>
        <v/>
      </c>
      <c r="G363" s="30">
        <f>IF(A363="","",IF(COUNTIF('People'!$A$4:$A$1003,A363)=0,"Email not on People",IF(COUNTIF('Holders'!$A$4:$A$1003,B363)=0,"Unknown holder ID",IF(COUNTIFS($A$4:$A$1503,A363,$B$4:$B$1503,B363)&gt;1,"Duplicate link",IF(C363="","Missing access","OK")))))</f>
        <v/>
      </c>
    </row>
    <row r="364">
      <c r="A364" s="26" t="n"/>
      <c r="B364" s="26" t="n"/>
      <c r="C364" s="26" t="n"/>
      <c r="D364" s="26" t="n"/>
      <c r="E364" s="30">
        <f>IF(B364="","",IFERROR(INDEX('Holders'!$B$4:$B$1003,MATCH(B364,'Holders'!$A$4:$A$1003,0)),""))</f>
        <v/>
      </c>
      <c r="F364" s="30">
        <f t="array" ref="F364">IF(B364="","",_xlfn.TEXTJOIN(", ",TRUE,IF(('Companies'!$A$4:$A$63&lt;&gt;"")*(COUNTIFS('Holdings'!$A$4:$A$2503,B364,'Holdings'!$J$4:$J$2503,'Companies'!$A$4:$A$63,'Holdings'!$L$4:$L$2503,"Yes",'Holdings'!$C$4:$C$2503,"&gt;0")&gt;0),'Companies'!$A$4:$A$63,"")))</f>
        <v/>
      </c>
      <c r="G364" s="30">
        <f>IF(A364="","",IF(COUNTIF('People'!$A$4:$A$1003,A364)=0,"Email not on People",IF(COUNTIF('Holders'!$A$4:$A$1003,B364)=0,"Unknown holder ID",IF(COUNTIFS($A$4:$A$1503,A364,$B$4:$B$1503,B364)&gt;1,"Duplicate link",IF(C364="","Missing access","OK")))))</f>
        <v/>
      </c>
    </row>
    <row r="365">
      <c r="A365" s="26" t="n"/>
      <c r="B365" s="26" t="n"/>
      <c r="C365" s="26" t="n"/>
      <c r="D365" s="26" t="n"/>
      <c r="E365" s="30">
        <f>IF(B365="","",IFERROR(INDEX('Holders'!$B$4:$B$1003,MATCH(B365,'Holders'!$A$4:$A$1003,0)),""))</f>
        <v/>
      </c>
      <c r="F365" s="30">
        <f t="array" ref="F365">IF(B365="","",_xlfn.TEXTJOIN(", ",TRUE,IF(('Companies'!$A$4:$A$63&lt;&gt;"")*(COUNTIFS('Holdings'!$A$4:$A$2503,B365,'Holdings'!$J$4:$J$2503,'Companies'!$A$4:$A$63,'Holdings'!$L$4:$L$2503,"Yes",'Holdings'!$C$4:$C$2503,"&gt;0")&gt;0),'Companies'!$A$4:$A$63,"")))</f>
        <v/>
      </c>
      <c r="G365" s="30">
        <f>IF(A365="","",IF(COUNTIF('People'!$A$4:$A$1003,A365)=0,"Email not on People",IF(COUNTIF('Holders'!$A$4:$A$1003,B365)=0,"Unknown holder ID",IF(COUNTIFS($A$4:$A$1503,A365,$B$4:$B$1503,B365)&gt;1,"Duplicate link",IF(C365="","Missing access","OK")))))</f>
        <v/>
      </c>
    </row>
    <row r="366">
      <c r="A366" s="26" t="n"/>
      <c r="B366" s="26" t="n"/>
      <c r="C366" s="26" t="n"/>
      <c r="D366" s="26" t="n"/>
      <c r="E366" s="30">
        <f>IF(B366="","",IFERROR(INDEX('Holders'!$B$4:$B$1003,MATCH(B366,'Holders'!$A$4:$A$1003,0)),""))</f>
        <v/>
      </c>
      <c r="F366" s="30">
        <f t="array" ref="F366">IF(B366="","",_xlfn.TEXTJOIN(", ",TRUE,IF(('Companies'!$A$4:$A$63&lt;&gt;"")*(COUNTIFS('Holdings'!$A$4:$A$2503,B366,'Holdings'!$J$4:$J$2503,'Companies'!$A$4:$A$63,'Holdings'!$L$4:$L$2503,"Yes",'Holdings'!$C$4:$C$2503,"&gt;0")&gt;0),'Companies'!$A$4:$A$63,"")))</f>
        <v/>
      </c>
      <c r="G366" s="30">
        <f>IF(A366="","",IF(COUNTIF('People'!$A$4:$A$1003,A366)=0,"Email not on People",IF(COUNTIF('Holders'!$A$4:$A$1003,B366)=0,"Unknown holder ID",IF(COUNTIFS($A$4:$A$1503,A366,$B$4:$B$1503,B366)&gt;1,"Duplicate link",IF(C366="","Missing access","OK")))))</f>
        <v/>
      </c>
    </row>
    <row r="367">
      <c r="A367" s="26" t="n"/>
      <c r="B367" s="26" t="n"/>
      <c r="C367" s="26" t="n"/>
      <c r="D367" s="26" t="n"/>
      <c r="E367" s="30">
        <f>IF(B367="","",IFERROR(INDEX('Holders'!$B$4:$B$1003,MATCH(B367,'Holders'!$A$4:$A$1003,0)),""))</f>
        <v/>
      </c>
      <c r="F367" s="30">
        <f t="array" ref="F367">IF(B367="","",_xlfn.TEXTJOIN(", ",TRUE,IF(('Companies'!$A$4:$A$63&lt;&gt;"")*(COUNTIFS('Holdings'!$A$4:$A$2503,B367,'Holdings'!$J$4:$J$2503,'Companies'!$A$4:$A$63,'Holdings'!$L$4:$L$2503,"Yes",'Holdings'!$C$4:$C$2503,"&gt;0")&gt;0),'Companies'!$A$4:$A$63,"")))</f>
        <v/>
      </c>
      <c r="G367" s="30">
        <f>IF(A367="","",IF(COUNTIF('People'!$A$4:$A$1003,A367)=0,"Email not on People",IF(COUNTIF('Holders'!$A$4:$A$1003,B367)=0,"Unknown holder ID",IF(COUNTIFS($A$4:$A$1503,A367,$B$4:$B$1503,B367)&gt;1,"Duplicate link",IF(C367="","Missing access","OK")))))</f>
        <v/>
      </c>
    </row>
    <row r="368">
      <c r="A368" s="26" t="n"/>
      <c r="B368" s="26" t="n"/>
      <c r="C368" s="26" t="n"/>
      <c r="D368" s="26" t="n"/>
      <c r="E368" s="30">
        <f>IF(B368="","",IFERROR(INDEX('Holders'!$B$4:$B$1003,MATCH(B368,'Holders'!$A$4:$A$1003,0)),""))</f>
        <v/>
      </c>
      <c r="F368" s="30">
        <f t="array" ref="F368">IF(B368="","",_xlfn.TEXTJOIN(", ",TRUE,IF(('Companies'!$A$4:$A$63&lt;&gt;"")*(COUNTIFS('Holdings'!$A$4:$A$2503,B368,'Holdings'!$J$4:$J$2503,'Companies'!$A$4:$A$63,'Holdings'!$L$4:$L$2503,"Yes",'Holdings'!$C$4:$C$2503,"&gt;0")&gt;0),'Companies'!$A$4:$A$63,"")))</f>
        <v/>
      </c>
      <c r="G368" s="30">
        <f>IF(A368="","",IF(COUNTIF('People'!$A$4:$A$1003,A368)=0,"Email not on People",IF(COUNTIF('Holders'!$A$4:$A$1003,B368)=0,"Unknown holder ID",IF(COUNTIFS($A$4:$A$1503,A368,$B$4:$B$1503,B368)&gt;1,"Duplicate link",IF(C368="","Missing access","OK")))))</f>
        <v/>
      </c>
    </row>
    <row r="369">
      <c r="A369" s="26" t="n"/>
      <c r="B369" s="26" t="n"/>
      <c r="C369" s="26" t="n"/>
      <c r="D369" s="26" t="n"/>
      <c r="E369" s="30">
        <f>IF(B369="","",IFERROR(INDEX('Holders'!$B$4:$B$1003,MATCH(B369,'Holders'!$A$4:$A$1003,0)),""))</f>
        <v/>
      </c>
      <c r="F369" s="30">
        <f t="array" ref="F369">IF(B369="","",_xlfn.TEXTJOIN(", ",TRUE,IF(('Companies'!$A$4:$A$63&lt;&gt;"")*(COUNTIFS('Holdings'!$A$4:$A$2503,B369,'Holdings'!$J$4:$J$2503,'Companies'!$A$4:$A$63,'Holdings'!$L$4:$L$2503,"Yes",'Holdings'!$C$4:$C$2503,"&gt;0")&gt;0),'Companies'!$A$4:$A$63,"")))</f>
        <v/>
      </c>
      <c r="G369" s="30">
        <f>IF(A369="","",IF(COUNTIF('People'!$A$4:$A$1003,A369)=0,"Email not on People",IF(COUNTIF('Holders'!$A$4:$A$1003,B369)=0,"Unknown holder ID",IF(COUNTIFS($A$4:$A$1503,A369,$B$4:$B$1503,B369)&gt;1,"Duplicate link",IF(C369="","Missing access","OK")))))</f>
        <v/>
      </c>
    </row>
    <row r="370">
      <c r="A370" s="26" t="n"/>
      <c r="B370" s="26" t="n"/>
      <c r="C370" s="26" t="n"/>
      <c r="D370" s="26" t="n"/>
      <c r="E370" s="30">
        <f>IF(B370="","",IFERROR(INDEX('Holders'!$B$4:$B$1003,MATCH(B370,'Holders'!$A$4:$A$1003,0)),""))</f>
        <v/>
      </c>
      <c r="F370" s="30">
        <f t="array" ref="F370">IF(B370="","",_xlfn.TEXTJOIN(", ",TRUE,IF(('Companies'!$A$4:$A$63&lt;&gt;"")*(COUNTIFS('Holdings'!$A$4:$A$2503,B370,'Holdings'!$J$4:$J$2503,'Companies'!$A$4:$A$63,'Holdings'!$L$4:$L$2503,"Yes",'Holdings'!$C$4:$C$2503,"&gt;0")&gt;0),'Companies'!$A$4:$A$63,"")))</f>
        <v/>
      </c>
      <c r="G370" s="30">
        <f>IF(A370="","",IF(COUNTIF('People'!$A$4:$A$1003,A370)=0,"Email not on People",IF(COUNTIF('Holders'!$A$4:$A$1003,B370)=0,"Unknown holder ID",IF(COUNTIFS($A$4:$A$1503,A370,$B$4:$B$1503,B370)&gt;1,"Duplicate link",IF(C370="","Missing access","OK")))))</f>
        <v/>
      </c>
    </row>
    <row r="371">
      <c r="A371" s="26" t="n"/>
      <c r="B371" s="26" t="n"/>
      <c r="C371" s="26" t="n"/>
      <c r="D371" s="26" t="n"/>
      <c r="E371" s="30">
        <f>IF(B371="","",IFERROR(INDEX('Holders'!$B$4:$B$1003,MATCH(B371,'Holders'!$A$4:$A$1003,0)),""))</f>
        <v/>
      </c>
      <c r="F371" s="30">
        <f t="array" ref="F371">IF(B371="","",_xlfn.TEXTJOIN(", ",TRUE,IF(('Companies'!$A$4:$A$63&lt;&gt;"")*(COUNTIFS('Holdings'!$A$4:$A$2503,B371,'Holdings'!$J$4:$J$2503,'Companies'!$A$4:$A$63,'Holdings'!$L$4:$L$2503,"Yes",'Holdings'!$C$4:$C$2503,"&gt;0")&gt;0),'Companies'!$A$4:$A$63,"")))</f>
        <v/>
      </c>
      <c r="G371" s="30">
        <f>IF(A371="","",IF(COUNTIF('People'!$A$4:$A$1003,A371)=0,"Email not on People",IF(COUNTIF('Holders'!$A$4:$A$1003,B371)=0,"Unknown holder ID",IF(COUNTIFS($A$4:$A$1503,A371,$B$4:$B$1503,B371)&gt;1,"Duplicate link",IF(C371="","Missing access","OK")))))</f>
        <v/>
      </c>
    </row>
    <row r="372">
      <c r="A372" s="26" t="n"/>
      <c r="B372" s="26" t="n"/>
      <c r="C372" s="26" t="n"/>
      <c r="D372" s="26" t="n"/>
      <c r="E372" s="30">
        <f>IF(B372="","",IFERROR(INDEX('Holders'!$B$4:$B$1003,MATCH(B372,'Holders'!$A$4:$A$1003,0)),""))</f>
        <v/>
      </c>
      <c r="F372" s="30">
        <f t="array" ref="F372">IF(B372="","",_xlfn.TEXTJOIN(", ",TRUE,IF(('Companies'!$A$4:$A$63&lt;&gt;"")*(COUNTIFS('Holdings'!$A$4:$A$2503,B372,'Holdings'!$J$4:$J$2503,'Companies'!$A$4:$A$63,'Holdings'!$L$4:$L$2503,"Yes",'Holdings'!$C$4:$C$2503,"&gt;0")&gt;0),'Companies'!$A$4:$A$63,"")))</f>
        <v/>
      </c>
      <c r="G372" s="30">
        <f>IF(A372="","",IF(COUNTIF('People'!$A$4:$A$1003,A372)=0,"Email not on People",IF(COUNTIF('Holders'!$A$4:$A$1003,B372)=0,"Unknown holder ID",IF(COUNTIFS($A$4:$A$1503,A372,$B$4:$B$1503,B372)&gt;1,"Duplicate link",IF(C372="","Missing access","OK")))))</f>
        <v/>
      </c>
    </row>
    <row r="373">
      <c r="A373" s="26" t="n"/>
      <c r="B373" s="26" t="n"/>
      <c r="C373" s="26" t="n"/>
      <c r="D373" s="26" t="n"/>
      <c r="E373" s="30">
        <f>IF(B373="","",IFERROR(INDEX('Holders'!$B$4:$B$1003,MATCH(B373,'Holders'!$A$4:$A$1003,0)),""))</f>
        <v/>
      </c>
      <c r="F373" s="30">
        <f t="array" ref="F373">IF(B373="","",_xlfn.TEXTJOIN(", ",TRUE,IF(('Companies'!$A$4:$A$63&lt;&gt;"")*(COUNTIFS('Holdings'!$A$4:$A$2503,B373,'Holdings'!$J$4:$J$2503,'Companies'!$A$4:$A$63,'Holdings'!$L$4:$L$2503,"Yes",'Holdings'!$C$4:$C$2503,"&gt;0")&gt;0),'Companies'!$A$4:$A$63,"")))</f>
        <v/>
      </c>
      <c r="G373" s="30">
        <f>IF(A373="","",IF(COUNTIF('People'!$A$4:$A$1003,A373)=0,"Email not on People",IF(COUNTIF('Holders'!$A$4:$A$1003,B373)=0,"Unknown holder ID",IF(COUNTIFS($A$4:$A$1503,A373,$B$4:$B$1503,B373)&gt;1,"Duplicate link",IF(C373="","Missing access","OK")))))</f>
        <v/>
      </c>
    </row>
    <row r="374">
      <c r="A374" s="26" t="n"/>
      <c r="B374" s="26" t="n"/>
      <c r="C374" s="26" t="n"/>
      <c r="D374" s="26" t="n"/>
      <c r="E374" s="30">
        <f>IF(B374="","",IFERROR(INDEX('Holders'!$B$4:$B$1003,MATCH(B374,'Holders'!$A$4:$A$1003,0)),""))</f>
        <v/>
      </c>
      <c r="F374" s="30">
        <f t="array" ref="F374">IF(B374="","",_xlfn.TEXTJOIN(", ",TRUE,IF(('Companies'!$A$4:$A$63&lt;&gt;"")*(COUNTIFS('Holdings'!$A$4:$A$2503,B374,'Holdings'!$J$4:$J$2503,'Companies'!$A$4:$A$63,'Holdings'!$L$4:$L$2503,"Yes",'Holdings'!$C$4:$C$2503,"&gt;0")&gt;0),'Companies'!$A$4:$A$63,"")))</f>
        <v/>
      </c>
      <c r="G374" s="30">
        <f>IF(A374="","",IF(COUNTIF('People'!$A$4:$A$1003,A374)=0,"Email not on People",IF(COUNTIF('Holders'!$A$4:$A$1003,B374)=0,"Unknown holder ID",IF(COUNTIFS($A$4:$A$1503,A374,$B$4:$B$1503,B374)&gt;1,"Duplicate link",IF(C374="","Missing access","OK")))))</f>
        <v/>
      </c>
    </row>
    <row r="375">
      <c r="A375" s="26" t="n"/>
      <c r="B375" s="26" t="n"/>
      <c r="C375" s="26" t="n"/>
      <c r="D375" s="26" t="n"/>
      <c r="E375" s="30">
        <f>IF(B375="","",IFERROR(INDEX('Holders'!$B$4:$B$1003,MATCH(B375,'Holders'!$A$4:$A$1003,0)),""))</f>
        <v/>
      </c>
      <c r="F375" s="30">
        <f t="array" ref="F375">IF(B375="","",_xlfn.TEXTJOIN(", ",TRUE,IF(('Companies'!$A$4:$A$63&lt;&gt;"")*(COUNTIFS('Holdings'!$A$4:$A$2503,B375,'Holdings'!$J$4:$J$2503,'Companies'!$A$4:$A$63,'Holdings'!$L$4:$L$2503,"Yes",'Holdings'!$C$4:$C$2503,"&gt;0")&gt;0),'Companies'!$A$4:$A$63,"")))</f>
        <v/>
      </c>
      <c r="G375" s="30">
        <f>IF(A375="","",IF(COUNTIF('People'!$A$4:$A$1003,A375)=0,"Email not on People",IF(COUNTIF('Holders'!$A$4:$A$1003,B375)=0,"Unknown holder ID",IF(COUNTIFS($A$4:$A$1503,A375,$B$4:$B$1503,B375)&gt;1,"Duplicate link",IF(C375="","Missing access","OK")))))</f>
        <v/>
      </c>
    </row>
    <row r="376">
      <c r="A376" s="26" t="n"/>
      <c r="B376" s="26" t="n"/>
      <c r="C376" s="26" t="n"/>
      <c r="D376" s="26" t="n"/>
      <c r="E376" s="30">
        <f>IF(B376="","",IFERROR(INDEX('Holders'!$B$4:$B$1003,MATCH(B376,'Holders'!$A$4:$A$1003,0)),""))</f>
        <v/>
      </c>
      <c r="F376" s="30">
        <f t="array" ref="F376">IF(B376="","",_xlfn.TEXTJOIN(", ",TRUE,IF(('Companies'!$A$4:$A$63&lt;&gt;"")*(COUNTIFS('Holdings'!$A$4:$A$2503,B376,'Holdings'!$J$4:$J$2503,'Companies'!$A$4:$A$63,'Holdings'!$L$4:$L$2503,"Yes",'Holdings'!$C$4:$C$2503,"&gt;0")&gt;0),'Companies'!$A$4:$A$63,"")))</f>
        <v/>
      </c>
      <c r="G376" s="30">
        <f>IF(A376="","",IF(COUNTIF('People'!$A$4:$A$1003,A376)=0,"Email not on People",IF(COUNTIF('Holders'!$A$4:$A$1003,B376)=0,"Unknown holder ID",IF(COUNTIFS($A$4:$A$1503,A376,$B$4:$B$1503,B376)&gt;1,"Duplicate link",IF(C376="","Missing access","OK")))))</f>
        <v/>
      </c>
    </row>
    <row r="377">
      <c r="A377" s="26" t="n"/>
      <c r="B377" s="26" t="n"/>
      <c r="C377" s="26" t="n"/>
      <c r="D377" s="26" t="n"/>
      <c r="E377" s="30">
        <f>IF(B377="","",IFERROR(INDEX('Holders'!$B$4:$B$1003,MATCH(B377,'Holders'!$A$4:$A$1003,0)),""))</f>
        <v/>
      </c>
      <c r="F377" s="30">
        <f t="array" ref="F377">IF(B377="","",_xlfn.TEXTJOIN(", ",TRUE,IF(('Companies'!$A$4:$A$63&lt;&gt;"")*(COUNTIFS('Holdings'!$A$4:$A$2503,B377,'Holdings'!$J$4:$J$2503,'Companies'!$A$4:$A$63,'Holdings'!$L$4:$L$2503,"Yes",'Holdings'!$C$4:$C$2503,"&gt;0")&gt;0),'Companies'!$A$4:$A$63,"")))</f>
        <v/>
      </c>
      <c r="G377" s="30">
        <f>IF(A377="","",IF(COUNTIF('People'!$A$4:$A$1003,A377)=0,"Email not on People",IF(COUNTIF('Holders'!$A$4:$A$1003,B377)=0,"Unknown holder ID",IF(COUNTIFS($A$4:$A$1503,A377,$B$4:$B$1503,B377)&gt;1,"Duplicate link",IF(C377="","Missing access","OK")))))</f>
        <v/>
      </c>
    </row>
    <row r="378">
      <c r="A378" s="26" t="n"/>
      <c r="B378" s="26" t="n"/>
      <c r="C378" s="26" t="n"/>
      <c r="D378" s="26" t="n"/>
      <c r="E378" s="30">
        <f>IF(B378="","",IFERROR(INDEX('Holders'!$B$4:$B$1003,MATCH(B378,'Holders'!$A$4:$A$1003,0)),""))</f>
        <v/>
      </c>
      <c r="F378" s="30">
        <f t="array" ref="F378">IF(B378="","",_xlfn.TEXTJOIN(", ",TRUE,IF(('Companies'!$A$4:$A$63&lt;&gt;"")*(COUNTIFS('Holdings'!$A$4:$A$2503,B378,'Holdings'!$J$4:$J$2503,'Companies'!$A$4:$A$63,'Holdings'!$L$4:$L$2503,"Yes",'Holdings'!$C$4:$C$2503,"&gt;0")&gt;0),'Companies'!$A$4:$A$63,"")))</f>
        <v/>
      </c>
      <c r="G378" s="30">
        <f>IF(A378="","",IF(COUNTIF('People'!$A$4:$A$1003,A378)=0,"Email not on People",IF(COUNTIF('Holders'!$A$4:$A$1003,B378)=0,"Unknown holder ID",IF(COUNTIFS($A$4:$A$1503,A378,$B$4:$B$1503,B378)&gt;1,"Duplicate link",IF(C378="","Missing access","OK")))))</f>
        <v/>
      </c>
    </row>
    <row r="379">
      <c r="A379" s="26" t="n"/>
      <c r="B379" s="26" t="n"/>
      <c r="C379" s="26" t="n"/>
      <c r="D379" s="26" t="n"/>
      <c r="E379" s="30">
        <f>IF(B379="","",IFERROR(INDEX('Holders'!$B$4:$B$1003,MATCH(B379,'Holders'!$A$4:$A$1003,0)),""))</f>
        <v/>
      </c>
      <c r="F379" s="30">
        <f t="array" ref="F379">IF(B379="","",_xlfn.TEXTJOIN(", ",TRUE,IF(('Companies'!$A$4:$A$63&lt;&gt;"")*(COUNTIFS('Holdings'!$A$4:$A$2503,B379,'Holdings'!$J$4:$J$2503,'Companies'!$A$4:$A$63,'Holdings'!$L$4:$L$2503,"Yes",'Holdings'!$C$4:$C$2503,"&gt;0")&gt;0),'Companies'!$A$4:$A$63,"")))</f>
        <v/>
      </c>
      <c r="G379" s="30">
        <f>IF(A379="","",IF(COUNTIF('People'!$A$4:$A$1003,A379)=0,"Email not on People",IF(COUNTIF('Holders'!$A$4:$A$1003,B379)=0,"Unknown holder ID",IF(COUNTIFS($A$4:$A$1503,A379,$B$4:$B$1503,B379)&gt;1,"Duplicate link",IF(C379="","Missing access","OK")))))</f>
        <v/>
      </c>
    </row>
    <row r="380">
      <c r="A380" s="26" t="n"/>
      <c r="B380" s="26" t="n"/>
      <c r="C380" s="26" t="n"/>
      <c r="D380" s="26" t="n"/>
      <c r="E380" s="30">
        <f>IF(B380="","",IFERROR(INDEX('Holders'!$B$4:$B$1003,MATCH(B380,'Holders'!$A$4:$A$1003,0)),""))</f>
        <v/>
      </c>
      <c r="F380" s="30">
        <f t="array" ref="F380">IF(B380="","",_xlfn.TEXTJOIN(", ",TRUE,IF(('Companies'!$A$4:$A$63&lt;&gt;"")*(COUNTIFS('Holdings'!$A$4:$A$2503,B380,'Holdings'!$J$4:$J$2503,'Companies'!$A$4:$A$63,'Holdings'!$L$4:$L$2503,"Yes",'Holdings'!$C$4:$C$2503,"&gt;0")&gt;0),'Companies'!$A$4:$A$63,"")))</f>
        <v/>
      </c>
      <c r="G380" s="30">
        <f>IF(A380="","",IF(COUNTIF('People'!$A$4:$A$1003,A380)=0,"Email not on People",IF(COUNTIF('Holders'!$A$4:$A$1003,B380)=0,"Unknown holder ID",IF(COUNTIFS($A$4:$A$1503,A380,$B$4:$B$1503,B380)&gt;1,"Duplicate link",IF(C380="","Missing access","OK")))))</f>
        <v/>
      </c>
    </row>
    <row r="381">
      <c r="A381" s="26" t="n"/>
      <c r="B381" s="26" t="n"/>
      <c r="C381" s="26" t="n"/>
      <c r="D381" s="26" t="n"/>
      <c r="E381" s="30">
        <f>IF(B381="","",IFERROR(INDEX('Holders'!$B$4:$B$1003,MATCH(B381,'Holders'!$A$4:$A$1003,0)),""))</f>
        <v/>
      </c>
      <c r="F381" s="30">
        <f t="array" ref="F381">IF(B381="","",_xlfn.TEXTJOIN(", ",TRUE,IF(('Companies'!$A$4:$A$63&lt;&gt;"")*(COUNTIFS('Holdings'!$A$4:$A$2503,B381,'Holdings'!$J$4:$J$2503,'Companies'!$A$4:$A$63,'Holdings'!$L$4:$L$2503,"Yes",'Holdings'!$C$4:$C$2503,"&gt;0")&gt;0),'Companies'!$A$4:$A$63,"")))</f>
        <v/>
      </c>
      <c r="G381" s="30">
        <f>IF(A381="","",IF(COUNTIF('People'!$A$4:$A$1003,A381)=0,"Email not on People",IF(COUNTIF('Holders'!$A$4:$A$1003,B381)=0,"Unknown holder ID",IF(COUNTIFS($A$4:$A$1503,A381,$B$4:$B$1503,B381)&gt;1,"Duplicate link",IF(C381="","Missing access","OK")))))</f>
        <v/>
      </c>
    </row>
    <row r="382">
      <c r="A382" s="26" t="n"/>
      <c r="B382" s="26" t="n"/>
      <c r="C382" s="26" t="n"/>
      <c r="D382" s="26" t="n"/>
      <c r="E382" s="30">
        <f>IF(B382="","",IFERROR(INDEX('Holders'!$B$4:$B$1003,MATCH(B382,'Holders'!$A$4:$A$1003,0)),""))</f>
        <v/>
      </c>
      <c r="F382" s="30">
        <f t="array" ref="F382">IF(B382="","",_xlfn.TEXTJOIN(", ",TRUE,IF(('Companies'!$A$4:$A$63&lt;&gt;"")*(COUNTIFS('Holdings'!$A$4:$A$2503,B382,'Holdings'!$J$4:$J$2503,'Companies'!$A$4:$A$63,'Holdings'!$L$4:$L$2503,"Yes",'Holdings'!$C$4:$C$2503,"&gt;0")&gt;0),'Companies'!$A$4:$A$63,"")))</f>
        <v/>
      </c>
      <c r="G382" s="30">
        <f>IF(A382="","",IF(COUNTIF('People'!$A$4:$A$1003,A382)=0,"Email not on People",IF(COUNTIF('Holders'!$A$4:$A$1003,B382)=0,"Unknown holder ID",IF(COUNTIFS($A$4:$A$1503,A382,$B$4:$B$1503,B382)&gt;1,"Duplicate link",IF(C382="","Missing access","OK")))))</f>
        <v/>
      </c>
    </row>
    <row r="383">
      <c r="A383" s="26" t="n"/>
      <c r="B383" s="26" t="n"/>
      <c r="C383" s="26" t="n"/>
      <c r="D383" s="26" t="n"/>
      <c r="E383" s="30">
        <f>IF(B383="","",IFERROR(INDEX('Holders'!$B$4:$B$1003,MATCH(B383,'Holders'!$A$4:$A$1003,0)),""))</f>
        <v/>
      </c>
      <c r="F383" s="30">
        <f t="array" ref="F383">IF(B383="","",_xlfn.TEXTJOIN(", ",TRUE,IF(('Companies'!$A$4:$A$63&lt;&gt;"")*(COUNTIFS('Holdings'!$A$4:$A$2503,B383,'Holdings'!$J$4:$J$2503,'Companies'!$A$4:$A$63,'Holdings'!$L$4:$L$2503,"Yes",'Holdings'!$C$4:$C$2503,"&gt;0")&gt;0),'Companies'!$A$4:$A$63,"")))</f>
        <v/>
      </c>
      <c r="G383" s="30">
        <f>IF(A383="","",IF(COUNTIF('People'!$A$4:$A$1003,A383)=0,"Email not on People",IF(COUNTIF('Holders'!$A$4:$A$1003,B383)=0,"Unknown holder ID",IF(COUNTIFS($A$4:$A$1503,A383,$B$4:$B$1503,B383)&gt;1,"Duplicate link",IF(C383="","Missing access","OK")))))</f>
        <v/>
      </c>
    </row>
    <row r="384">
      <c r="A384" s="26" t="n"/>
      <c r="B384" s="26" t="n"/>
      <c r="C384" s="26" t="n"/>
      <c r="D384" s="26" t="n"/>
      <c r="E384" s="30">
        <f>IF(B384="","",IFERROR(INDEX('Holders'!$B$4:$B$1003,MATCH(B384,'Holders'!$A$4:$A$1003,0)),""))</f>
        <v/>
      </c>
      <c r="F384" s="30">
        <f t="array" ref="F384">IF(B384="","",_xlfn.TEXTJOIN(", ",TRUE,IF(('Companies'!$A$4:$A$63&lt;&gt;"")*(COUNTIFS('Holdings'!$A$4:$A$2503,B384,'Holdings'!$J$4:$J$2503,'Companies'!$A$4:$A$63,'Holdings'!$L$4:$L$2503,"Yes",'Holdings'!$C$4:$C$2503,"&gt;0")&gt;0),'Companies'!$A$4:$A$63,"")))</f>
        <v/>
      </c>
      <c r="G384" s="30">
        <f>IF(A384="","",IF(COUNTIF('People'!$A$4:$A$1003,A384)=0,"Email not on People",IF(COUNTIF('Holders'!$A$4:$A$1003,B384)=0,"Unknown holder ID",IF(COUNTIFS($A$4:$A$1503,A384,$B$4:$B$1503,B384)&gt;1,"Duplicate link",IF(C384="","Missing access","OK")))))</f>
        <v/>
      </c>
    </row>
    <row r="385">
      <c r="A385" s="26" t="n"/>
      <c r="B385" s="26" t="n"/>
      <c r="C385" s="26" t="n"/>
      <c r="D385" s="26" t="n"/>
      <c r="E385" s="30">
        <f>IF(B385="","",IFERROR(INDEX('Holders'!$B$4:$B$1003,MATCH(B385,'Holders'!$A$4:$A$1003,0)),""))</f>
        <v/>
      </c>
      <c r="F385" s="30">
        <f t="array" ref="F385">IF(B385="","",_xlfn.TEXTJOIN(", ",TRUE,IF(('Companies'!$A$4:$A$63&lt;&gt;"")*(COUNTIFS('Holdings'!$A$4:$A$2503,B385,'Holdings'!$J$4:$J$2503,'Companies'!$A$4:$A$63,'Holdings'!$L$4:$L$2503,"Yes",'Holdings'!$C$4:$C$2503,"&gt;0")&gt;0),'Companies'!$A$4:$A$63,"")))</f>
        <v/>
      </c>
      <c r="G385" s="30">
        <f>IF(A385="","",IF(COUNTIF('People'!$A$4:$A$1003,A385)=0,"Email not on People",IF(COUNTIF('Holders'!$A$4:$A$1003,B385)=0,"Unknown holder ID",IF(COUNTIFS($A$4:$A$1503,A385,$B$4:$B$1503,B385)&gt;1,"Duplicate link",IF(C385="","Missing access","OK")))))</f>
        <v/>
      </c>
    </row>
    <row r="386">
      <c r="A386" s="26" t="n"/>
      <c r="B386" s="26" t="n"/>
      <c r="C386" s="26" t="n"/>
      <c r="D386" s="26" t="n"/>
      <c r="E386" s="30">
        <f>IF(B386="","",IFERROR(INDEX('Holders'!$B$4:$B$1003,MATCH(B386,'Holders'!$A$4:$A$1003,0)),""))</f>
        <v/>
      </c>
      <c r="F386" s="30">
        <f t="array" ref="F386">IF(B386="","",_xlfn.TEXTJOIN(", ",TRUE,IF(('Companies'!$A$4:$A$63&lt;&gt;"")*(COUNTIFS('Holdings'!$A$4:$A$2503,B386,'Holdings'!$J$4:$J$2503,'Companies'!$A$4:$A$63,'Holdings'!$L$4:$L$2503,"Yes",'Holdings'!$C$4:$C$2503,"&gt;0")&gt;0),'Companies'!$A$4:$A$63,"")))</f>
        <v/>
      </c>
      <c r="G386" s="30">
        <f>IF(A386="","",IF(COUNTIF('People'!$A$4:$A$1003,A386)=0,"Email not on People",IF(COUNTIF('Holders'!$A$4:$A$1003,B386)=0,"Unknown holder ID",IF(COUNTIFS($A$4:$A$1503,A386,$B$4:$B$1503,B386)&gt;1,"Duplicate link",IF(C386="","Missing access","OK")))))</f>
        <v/>
      </c>
    </row>
    <row r="387">
      <c r="A387" s="26" t="n"/>
      <c r="B387" s="26" t="n"/>
      <c r="C387" s="26" t="n"/>
      <c r="D387" s="26" t="n"/>
      <c r="E387" s="30">
        <f>IF(B387="","",IFERROR(INDEX('Holders'!$B$4:$B$1003,MATCH(B387,'Holders'!$A$4:$A$1003,0)),""))</f>
        <v/>
      </c>
      <c r="F387" s="30">
        <f t="array" ref="F387">IF(B387="","",_xlfn.TEXTJOIN(", ",TRUE,IF(('Companies'!$A$4:$A$63&lt;&gt;"")*(COUNTIFS('Holdings'!$A$4:$A$2503,B387,'Holdings'!$J$4:$J$2503,'Companies'!$A$4:$A$63,'Holdings'!$L$4:$L$2503,"Yes",'Holdings'!$C$4:$C$2503,"&gt;0")&gt;0),'Companies'!$A$4:$A$63,"")))</f>
        <v/>
      </c>
      <c r="G387" s="30">
        <f>IF(A387="","",IF(COUNTIF('People'!$A$4:$A$1003,A387)=0,"Email not on People",IF(COUNTIF('Holders'!$A$4:$A$1003,B387)=0,"Unknown holder ID",IF(COUNTIFS($A$4:$A$1503,A387,$B$4:$B$1503,B387)&gt;1,"Duplicate link",IF(C387="","Missing access","OK")))))</f>
        <v/>
      </c>
    </row>
    <row r="388">
      <c r="A388" s="26" t="n"/>
      <c r="B388" s="26" t="n"/>
      <c r="C388" s="26" t="n"/>
      <c r="D388" s="26" t="n"/>
      <c r="E388" s="30">
        <f>IF(B388="","",IFERROR(INDEX('Holders'!$B$4:$B$1003,MATCH(B388,'Holders'!$A$4:$A$1003,0)),""))</f>
        <v/>
      </c>
      <c r="F388" s="30">
        <f t="array" ref="F388">IF(B388="","",_xlfn.TEXTJOIN(", ",TRUE,IF(('Companies'!$A$4:$A$63&lt;&gt;"")*(COUNTIFS('Holdings'!$A$4:$A$2503,B388,'Holdings'!$J$4:$J$2503,'Companies'!$A$4:$A$63,'Holdings'!$L$4:$L$2503,"Yes",'Holdings'!$C$4:$C$2503,"&gt;0")&gt;0),'Companies'!$A$4:$A$63,"")))</f>
        <v/>
      </c>
      <c r="G388" s="30">
        <f>IF(A388="","",IF(COUNTIF('People'!$A$4:$A$1003,A388)=0,"Email not on People",IF(COUNTIF('Holders'!$A$4:$A$1003,B388)=0,"Unknown holder ID",IF(COUNTIFS($A$4:$A$1503,A388,$B$4:$B$1503,B388)&gt;1,"Duplicate link",IF(C388="","Missing access","OK")))))</f>
        <v/>
      </c>
    </row>
    <row r="389">
      <c r="A389" s="26" t="n"/>
      <c r="B389" s="26" t="n"/>
      <c r="C389" s="26" t="n"/>
      <c r="D389" s="26" t="n"/>
      <c r="E389" s="30">
        <f>IF(B389="","",IFERROR(INDEX('Holders'!$B$4:$B$1003,MATCH(B389,'Holders'!$A$4:$A$1003,0)),""))</f>
        <v/>
      </c>
      <c r="F389" s="30">
        <f t="array" ref="F389">IF(B389="","",_xlfn.TEXTJOIN(", ",TRUE,IF(('Companies'!$A$4:$A$63&lt;&gt;"")*(COUNTIFS('Holdings'!$A$4:$A$2503,B389,'Holdings'!$J$4:$J$2503,'Companies'!$A$4:$A$63,'Holdings'!$L$4:$L$2503,"Yes",'Holdings'!$C$4:$C$2503,"&gt;0")&gt;0),'Companies'!$A$4:$A$63,"")))</f>
        <v/>
      </c>
      <c r="G389" s="30">
        <f>IF(A389="","",IF(COUNTIF('People'!$A$4:$A$1003,A389)=0,"Email not on People",IF(COUNTIF('Holders'!$A$4:$A$1003,B389)=0,"Unknown holder ID",IF(COUNTIFS($A$4:$A$1503,A389,$B$4:$B$1503,B389)&gt;1,"Duplicate link",IF(C389="","Missing access","OK")))))</f>
        <v/>
      </c>
    </row>
    <row r="390">
      <c r="A390" s="26" t="n"/>
      <c r="B390" s="26" t="n"/>
      <c r="C390" s="26" t="n"/>
      <c r="D390" s="26" t="n"/>
      <c r="E390" s="30">
        <f>IF(B390="","",IFERROR(INDEX('Holders'!$B$4:$B$1003,MATCH(B390,'Holders'!$A$4:$A$1003,0)),""))</f>
        <v/>
      </c>
      <c r="F390" s="30">
        <f t="array" ref="F390">IF(B390="","",_xlfn.TEXTJOIN(", ",TRUE,IF(('Companies'!$A$4:$A$63&lt;&gt;"")*(COUNTIFS('Holdings'!$A$4:$A$2503,B390,'Holdings'!$J$4:$J$2503,'Companies'!$A$4:$A$63,'Holdings'!$L$4:$L$2503,"Yes",'Holdings'!$C$4:$C$2503,"&gt;0")&gt;0),'Companies'!$A$4:$A$63,"")))</f>
        <v/>
      </c>
      <c r="G390" s="30">
        <f>IF(A390="","",IF(COUNTIF('People'!$A$4:$A$1003,A390)=0,"Email not on People",IF(COUNTIF('Holders'!$A$4:$A$1003,B390)=0,"Unknown holder ID",IF(COUNTIFS($A$4:$A$1503,A390,$B$4:$B$1503,B390)&gt;1,"Duplicate link",IF(C390="","Missing access","OK")))))</f>
        <v/>
      </c>
    </row>
    <row r="391">
      <c r="A391" s="26" t="n"/>
      <c r="B391" s="26" t="n"/>
      <c r="C391" s="26" t="n"/>
      <c r="D391" s="26" t="n"/>
      <c r="E391" s="30">
        <f>IF(B391="","",IFERROR(INDEX('Holders'!$B$4:$B$1003,MATCH(B391,'Holders'!$A$4:$A$1003,0)),""))</f>
        <v/>
      </c>
      <c r="F391" s="30">
        <f t="array" ref="F391">IF(B391="","",_xlfn.TEXTJOIN(", ",TRUE,IF(('Companies'!$A$4:$A$63&lt;&gt;"")*(COUNTIFS('Holdings'!$A$4:$A$2503,B391,'Holdings'!$J$4:$J$2503,'Companies'!$A$4:$A$63,'Holdings'!$L$4:$L$2503,"Yes",'Holdings'!$C$4:$C$2503,"&gt;0")&gt;0),'Companies'!$A$4:$A$63,"")))</f>
        <v/>
      </c>
      <c r="G391" s="30">
        <f>IF(A391="","",IF(COUNTIF('People'!$A$4:$A$1003,A391)=0,"Email not on People",IF(COUNTIF('Holders'!$A$4:$A$1003,B391)=0,"Unknown holder ID",IF(COUNTIFS($A$4:$A$1503,A391,$B$4:$B$1503,B391)&gt;1,"Duplicate link",IF(C391="","Missing access","OK")))))</f>
        <v/>
      </c>
    </row>
    <row r="392">
      <c r="A392" s="26" t="n"/>
      <c r="B392" s="26" t="n"/>
      <c r="C392" s="26" t="n"/>
      <c r="D392" s="26" t="n"/>
      <c r="E392" s="30">
        <f>IF(B392="","",IFERROR(INDEX('Holders'!$B$4:$B$1003,MATCH(B392,'Holders'!$A$4:$A$1003,0)),""))</f>
        <v/>
      </c>
      <c r="F392" s="30">
        <f t="array" ref="F392">IF(B392="","",_xlfn.TEXTJOIN(", ",TRUE,IF(('Companies'!$A$4:$A$63&lt;&gt;"")*(COUNTIFS('Holdings'!$A$4:$A$2503,B392,'Holdings'!$J$4:$J$2503,'Companies'!$A$4:$A$63,'Holdings'!$L$4:$L$2503,"Yes",'Holdings'!$C$4:$C$2503,"&gt;0")&gt;0),'Companies'!$A$4:$A$63,"")))</f>
        <v/>
      </c>
      <c r="G392" s="30">
        <f>IF(A392="","",IF(COUNTIF('People'!$A$4:$A$1003,A392)=0,"Email not on People",IF(COUNTIF('Holders'!$A$4:$A$1003,B392)=0,"Unknown holder ID",IF(COUNTIFS($A$4:$A$1503,A392,$B$4:$B$1503,B392)&gt;1,"Duplicate link",IF(C392="","Missing access","OK")))))</f>
        <v/>
      </c>
    </row>
    <row r="393">
      <c r="A393" s="26" t="n"/>
      <c r="B393" s="26" t="n"/>
      <c r="C393" s="26" t="n"/>
      <c r="D393" s="26" t="n"/>
      <c r="E393" s="30">
        <f>IF(B393="","",IFERROR(INDEX('Holders'!$B$4:$B$1003,MATCH(B393,'Holders'!$A$4:$A$1003,0)),""))</f>
        <v/>
      </c>
      <c r="F393" s="30">
        <f t="array" ref="F393">IF(B393="","",_xlfn.TEXTJOIN(", ",TRUE,IF(('Companies'!$A$4:$A$63&lt;&gt;"")*(COUNTIFS('Holdings'!$A$4:$A$2503,B393,'Holdings'!$J$4:$J$2503,'Companies'!$A$4:$A$63,'Holdings'!$L$4:$L$2503,"Yes",'Holdings'!$C$4:$C$2503,"&gt;0")&gt;0),'Companies'!$A$4:$A$63,"")))</f>
        <v/>
      </c>
      <c r="G393" s="30">
        <f>IF(A393="","",IF(COUNTIF('People'!$A$4:$A$1003,A393)=0,"Email not on People",IF(COUNTIF('Holders'!$A$4:$A$1003,B393)=0,"Unknown holder ID",IF(COUNTIFS($A$4:$A$1503,A393,$B$4:$B$1503,B393)&gt;1,"Duplicate link",IF(C393="","Missing access","OK")))))</f>
        <v/>
      </c>
    </row>
    <row r="394">
      <c r="A394" s="26" t="n"/>
      <c r="B394" s="26" t="n"/>
      <c r="C394" s="26" t="n"/>
      <c r="D394" s="26" t="n"/>
      <c r="E394" s="30">
        <f>IF(B394="","",IFERROR(INDEX('Holders'!$B$4:$B$1003,MATCH(B394,'Holders'!$A$4:$A$1003,0)),""))</f>
        <v/>
      </c>
      <c r="F394" s="30">
        <f t="array" ref="F394">IF(B394="","",_xlfn.TEXTJOIN(", ",TRUE,IF(('Companies'!$A$4:$A$63&lt;&gt;"")*(COUNTIFS('Holdings'!$A$4:$A$2503,B394,'Holdings'!$J$4:$J$2503,'Companies'!$A$4:$A$63,'Holdings'!$L$4:$L$2503,"Yes",'Holdings'!$C$4:$C$2503,"&gt;0")&gt;0),'Companies'!$A$4:$A$63,"")))</f>
        <v/>
      </c>
      <c r="G394" s="30">
        <f>IF(A394="","",IF(COUNTIF('People'!$A$4:$A$1003,A394)=0,"Email not on People",IF(COUNTIF('Holders'!$A$4:$A$1003,B394)=0,"Unknown holder ID",IF(COUNTIFS($A$4:$A$1503,A394,$B$4:$B$1503,B394)&gt;1,"Duplicate link",IF(C394="","Missing access","OK")))))</f>
        <v/>
      </c>
    </row>
    <row r="395">
      <c r="A395" s="26" t="n"/>
      <c r="B395" s="26" t="n"/>
      <c r="C395" s="26" t="n"/>
      <c r="D395" s="26" t="n"/>
      <c r="E395" s="30">
        <f>IF(B395="","",IFERROR(INDEX('Holders'!$B$4:$B$1003,MATCH(B395,'Holders'!$A$4:$A$1003,0)),""))</f>
        <v/>
      </c>
      <c r="F395" s="30">
        <f t="array" ref="F395">IF(B395="","",_xlfn.TEXTJOIN(", ",TRUE,IF(('Companies'!$A$4:$A$63&lt;&gt;"")*(COUNTIFS('Holdings'!$A$4:$A$2503,B395,'Holdings'!$J$4:$J$2503,'Companies'!$A$4:$A$63,'Holdings'!$L$4:$L$2503,"Yes",'Holdings'!$C$4:$C$2503,"&gt;0")&gt;0),'Companies'!$A$4:$A$63,"")))</f>
        <v/>
      </c>
      <c r="G395" s="30">
        <f>IF(A395="","",IF(COUNTIF('People'!$A$4:$A$1003,A395)=0,"Email not on People",IF(COUNTIF('Holders'!$A$4:$A$1003,B395)=0,"Unknown holder ID",IF(COUNTIFS($A$4:$A$1503,A395,$B$4:$B$1503,B395)&gt;1,"Duplicate link",IF(C395="","Missing access","OK")))))</f>
        <v/>
      </c>
    </row>
    <row r="396">
      <c r="A396" s="26" t="n"/>
      <c r="B396" s="26" t="n"/>
      <c r="C396" s="26" t="n"/>
      <c r="D396" s="26" t="n"/>
      <c r="E396" s="30">
        <f>IF(B396="","",IFERROR(INDEX('Holders'!$B$4:$B$1003,MATCH(B396,'Holders'!$A$4:$A$1003,0)),""))</f>
        <v/>
      </c>
      <c r="F396" s="30">
        <f t="array" ref="F396">IF(B396="","",_xlfn.TEXTJOIN(", ",TRUE,IF(('Companies'!$A$4:$A$63&lt;&gt;"")*(COUNTIFS('Holdings'!$A$4:$A$2503,B396,'Holdings'!$J$4:$J$2503,'Companies'!$A$4:$A$63,'Holdings'!$L$4:$L$2503,"Yes",'Holdings'!$C$4:$C$2503,"&gt;0")&gt;0),'Companies'!$A$4:$A$63,"")))</f>
        <v/>
      </c>
      <c r="G396" s="30">
        <f>IF(A396="","",IF(COUNTIF('People'!$A$4:$A$1003,A396)=0,"Email not on People",IF(COUNTIF('Holders'!$A$4:$A$1003,B396)=0,"Unknown holder ID",IF(COUNTIFS($A$4:$A$1503,A396,$B$4:$B$1503,B396)&gt;1,"Duplicate link",IF(C396="","Missing access","OK")))))</f>
        <v/>
      </c>
    </row>
    <row r="397">
      <c r="A397" s="26" t="n"/>
      <c r="B397" s="26" t="n"/>
      <c r="C397" s="26" t="n"/>
      <c r="D397" s="26" t="n"/>
      <c r="E397" s="30">
        <f>IF(B397="","",IFERROR(INDEX('Holders'!$B$4:$B$1003,MATCH(B397,'Holders'!$A$4:$A$1003,0)),""))</f>
        <v/>
      </c>
      <c r="F397" s="30">
        <f t="array" ref="F397">IF(B397="","",_xlfn.TEXTJOIN(", ",TRUE,IF(('Companies'!$A$4:$A$63&lt;&gt;"")*(COUNTIFS('Holdings'!$A$4:$A$2503,B397,'Holdings'!$J$4:$J$2503,'Companies'!$A$4:$A$63,'Holdings'!$L$4:$L$2503,"Yes",'Holdings'!$C$4:$C$2503,"&gt;0")&gt;0),'Companies'!$A$4:$A$63,"")))</f>
        <v/>
      </c>
      <c r="G397" s="30">
        <f>IF(A397="","",IF(COUNTIF('People'!$A$4:$A$1003,A397)=0,"Email not on People",IF(COUNTIF('Holders'!$A$4:$A$1003,B397)=0,"Unknown holder ID",IF(COUNTIFS($A$4:$A$1503,A397,$B$4:$B$1503,B397)&gt;1,"Duplicate link",IF(C397="","Missing access","OK")))))</f>
        <v/>
      </c>
    </row>
    <row r="398">
      <c r="A398" s="26" t="n"/>
      <c r="B398" s="26" t="n"/>
      <c r="C398" s="26" t="n"/>
      <c r="D398" s="26" t="n"/>
      <c r="E398" s="30">
        <f>IF(B398="","",IFERROR(INDEX('Holders'!$B$4:$B$1003,MATCH(B398,'Holders'!$A$4:$A$1003,0)),""))</f>
        <v/>
      </c>
      <c r="F398" s="30">
        <f t="array" ref="F398">IF(B398="","",_xlfn.TEXTJOIN(", ",TRUE,IF(('Companies'!$A$4:$A$63&lt;&gt;"")*(COUNTIFS('Holdings'!$A$4:$A$2503,B398,'Holdings'!$J$4:$J$2503,'Companies'!$A$4:$A$63,'Holdings'!$L$4:$L$2503,"Yes",'Holdings'!$C$4:$C$2503,"&gt;0")&gt;0),'Companies'!$A$4:$A$63,"")))</f>
        <v/>
      </c>
      <c r="G398" s="30">
        <f>IF(A398="","",IF(COUNTIF('People'!$A$4:$A$1003,A398)=0,"Email not on People",IF(COUNTIF('Holders'!$A$4:$A$1003,B398)=0,"Unknown holder ID",IF(COUNTIFS($A$4:$A$1503,A398,$B$4:$B$1503,B398)&gt;1,"Duplicate link",IF(C398="","Missing access","OK")))))</f>
        <v/>
      </c>
    </row>
    <row r="399">
      <c r="A399" s="26" t="n"/>
      <c r="B399" s="26" t="n"/>
      <c r="C399" s="26" t="n"/>
      <c r="D399" s="26" t="n"/>
      <c r="E399" s="30">
        <f>IF(B399="","",IFERROR(INDEX('Holders'!$B$4:$B$1003,MATCH(B399,'Holders'!$A$4:$A$1003,0)),""))</f>
        <v/>
      </c>
      <c r="F399" s="30">
        <f t="array" ref="F399">IF(B399="","",_xlfn.TEXTJOIN(", ",TRUE,IF(('Companies'!$A$4:$A$63&lt;&gt;"")*(COUNTIFS('Holdings'!$A$4:$A$2503,B399,'Holdings'!$J$4:$J$2503,'Companies'!$A$4:$A$63,'Holdings'!$L$4:$L$2503,"Yes",'Holdings'!$C$4:$C$2503,"&gt;0")&gt;0),'Companies'!$A$4:$A$63,"")))</f>
        <v/>
      </c>
      <c r="G399" s="30">
        <f>IF(A399="","",IF(COUNTIF('People'!$A$4:$A$1003,A399)=0,"Email not on People",IF(COUNTIF('Holders'!$A$4:$A$1003,B399)=0,"Unknown holder ID",IF(COUNTIFS($A$4:$A$1503,A399,$B$4:$B$1503,B399)&gt;1,"Duplicate link",IF(C399="","Missing access","OK")))))</f>
        <v/>
      </c>
    </row>
    <row r="400">
      <c r="A400" s="26" t="n"/>
      <c r="B400" s="26" t="n"/>
      <c r="C400" s="26" t="n"/>
      <c r="D400" s="26" t="n"/>
      <c r="E400" s="30">
        <f>IF(B400="","",IFERROR(INDEX('Holders'!$B$4:$B$1003,MATCH(B400,'Holders'!$A$4:$A$1003,0)),""))</f>
        <v/>
      </c>
      <c r="F400" s="30">
        <f t="array" ref="F400">IF(B400="","",_xlfn.TEXTJOIN(", ",TRUE,IF(('Companies'!$A$4:$A$63&lt;&gt;"")*(COUNTIFS('Holdings'!$A$4:$A$2503,B400,'Holdings'!$J$4:$J$2503,'Companies'!$A$4:$A$63,'Holdings'!$L$4:$L$2503,"Yes",'Holdings'!$C$4:$C$2503,"&gt;0")&gt;0),'Companies'!$A$4:$A$63,"")))</f>
        <v/>
      </c>
      <c r="G400" s="30">
        <f>IF(A400="","",IF(COUNTIF('People'!$A$4:$A$1003,A400)=0,"Email not on People",IF(COUNTIF('Holders'!$A$4:$A$1003,B400)=0,"Unknown holder ID",IF(COUNTIFS($A$4:$A$1503,A400,$B$4:$B$1503,B400)&gt;1,"Duplicate link",IF(C400="","Missing access","OK")))))</f>
        <v/>
      </c>
    </row>
    <row r="401">
      <c r="A401" s="26" t="n"/>
      <c r="B401" s="26" t="n"/>
      <c r="C401" s="26" t="n"/>
      <c r="D401" s="26" t="n"/>
      <c r="E401" s="30">
        <f>IF(B401="","",IFERROR(INDEX('Holders'!$B$4:$B$1003,MATCH(B401,'Holders'!$A$4:$A$1003,0)),""))</f>
        <v/>
      </c>
      <c r="F401" s="30">
        <f t="array" ref="F401">IF(B401="","",_xlfn.TEXTJOIN(", ",TRUE,IF(('Companies'!$A$4:$A$63&lt;&gt;"")*(COUNTIFS('Holdings'!$A$4:$A$2503,B401,'Holdings'!$J$4:$J$2503,'Companies'!$A$4:$A$63,'Holdings'!$L$4:$L$2503,"Yes",'Holdings'!$C$4:$C$2503,"&gt;0")&gt;0),'Companies'!$A$4:$A$63,"")))</f>
        <v/>
      </c>
      <c r="G401" s="30">
        <f>IF(A401="","",IF(COUNTIF('People'!$A$4:$A$1003,A401)=0,"Email not on People",IF(COUNTIF('Holders'!$A$4:$A$1003,B401)=0,"Unknown holder ID",IF(COUNTIFS($A$4:$A$1503,A401,$B$4:$B$1503,B401)&gt;1,"Duplicate link",IF(C401="","Missing access","OK")))))</f>
        <v/>
      </c>
    </row>
    <row r="402">
      <c r="A402" s="26" t="n"/>
      <c r="B402" s="26" t="n"/>
      <c r="C402" s="26" t="n"/>
      <c r="D402" s="26" t="n"/>
      <c r="E402" s="30">
        <f>IF(B402="","",IFERROR(INDEX('Holders'!$B$4:$B$1003,MATCH(B402,'Holders'!$A$4:$A$1003,0)),""))</f>
        <v/>
      </c>
      <c r="F402" s="30">
        <f t="array" ref="F402">IF(B402="","",_xlfn.TEXTJOIN(", ",TRUE,IF(('Companies'!$A$4:$A$63&lt;&gt;"")*(COUNTIFS('Holdings'!$A$4:$A$2503,B402,'Holdings'!$J$4:$J$2503,'Companies'!$A$4:$A$63,'Holdings'!$L$4:$L$2503,"Yes",'Holdings'!$C$4:$C$2503,"&gt;0")&gt;0),'Companies'!$A$4:$A$63,"")))</f>
        <v/>
      </c>
      <c r="G402" s="30">
        <f>IF(A402="","",IF(COUNTIF('People'!$A$4:$A$1003,A402)=0,"Email not on People",IF(COUNTIF('Holders'!$A$4:$A$1003,B402)=0,"Unknown holder ID",IF(COUNTIFS($A$4:$A$1503,A402,$B$4:$B$1503,B402)&gt;1,"Duplicate link",IF(C402="","Missing access","OK")))))</f>
        <v/>
      </c>
    </row>
    <row r="403">
      <c r="A403" s="26" t="n"/>
      <c r="B403" s="26" t="n"/>
      <c r="C403" s="26" t="n"/>
      <c r="D403" s="26" t="n"/>
      <c r="E403" s="30">
        <f>IF(B403="","",IFERROR(INDEX('Holders'!$B$4:$B$1003,MATCH(B403,'Holders'!$A$4:$A$1003,0)),""))</f>
        <v/>
      </c>
      <c r="F403" s="30">
        <f t="array" ref="F403">IF(B403="","",_xlfn.TEXTJOIN(", ",TRUE,IF(('Companies'!$A$4:$A$63&lt;&gt;"")*(COUNTIFS('Holdings'!$A$4:$A$2503,B403,'Holdings'!$J$4:$J$2503,'Companies'!$A$4:$A$63,'Holdings'!$L$4:$L$2503,"Yes",'Holdings'!$C$4:$C$2503,"&gt;0")&gt;0),'Companies'!$A$4:$A$63,"")))</f>
        <v/>
      </c>
      <c r="G403" s="30">
        <f>IF(A403="","",IF(COUNTIF('People'!$A$4:$A$1003,A403)=0,"Email not on People",IF(COUNTIF('Holders'!$A$4:$A$1003,B403)=0,"Unknown holder ID",IF(COUNTIFS($A$4:$A$1503,A403,$B$4:$B$1503,B403)&gt;1,"Duplicate link",IF(C403="","Missing access","OK")))))</f>
        <v/>
      </c>
    </row>
    <row r="404">
      <c r="A404" s="26" t="n"/>
      <c r="B404" s="26" t="n"/>
      <c r="C404" s="26" t="n"/>
      <c r="D404" s="26" t="n"/>
      <c r="E404" s="30">
        <f>IF(B404="","",IFERROR(INDEX('Holders'!$B$4:$B$1003,MATCH(B404,'Holders'!$A$4:$A$1003,0)),""))</f>
        <v/>
      </c>
      <c r="F404" s="30">
        <f t="array" ref="F404">IF(B404="","",_xlfn.TEXTJOIN(", ",TRUE,IF(('Companies'!$A$4:$A$63&lt;&gt;"")*(COUNTIFS('Holdings'!$A$4:$A$2503,B404,'Holdings'!$J$4:$J$2503,'Companies'!$A$4:$A$63,'Holdings'!$L$4:$L$2503,"Yes",'Holdings'!$C$4:$C$2503,"&gt;0")&gt;0),'Companies'!$A$4:$A$63,"")))</f>
        <v/>
      </c>
      <c r="G404" s="30">
        <f>IF(A404="","",IF(COUNTIF('People'!$A$4:$A$1003,A404)=0,"Email not on People",IF(COUNTIF('Holders'!$A$4:$A$1003,B404)=0,"Unknown holder ID",IF(COUNTIFS($A$4:$A$1503,A404,$B$4:$B$1503,B404)&gt;1,"Duplicate link",IF(C404="","Missing access","OK")))))</f>
        <v/>
      </c>
    </row>
    <row r="405">
      <c r="A405" s="26" t="n"/>
      <c r="B405" s="26" t="n"/>
      <c r="C405" s="26" t="n"/>
      <c r="D405" s="26" t="n"/>
      <c r="E405" s="30">
        <f>IF(B405="","",IFERROR(INDEX('Holders'!$B$4:$B$1003,MATCH(B405,'Holders'!$A$4:$A$1003,0)),""))</f>
        <v/>
      </c>
      <c r="F405" s="30">
        <f t="array" ref="F405">IF(B405="","",_xlfn.TEXTJOIN(", ",TRUE,IF(('Companies'!$A$4:$A$63&lt;&gt;"")*(COUNTIFS('Holdings'!$A$4:$A$2503,B405,'Holdings'!$J$4:$J$2503,'Companies'!$A$4:$A$63,'Holdings'!$L$4:$L$2503,"Yes",'Holdings'!$C$4:$C$2503,"&gt;0")&gt;0),'Companies'!$A$4:$A$63,"")))</f>
        <v/>
      </c>
      <c r="G405" s="30">
        <f>IF(A405="","",IF(COUNTIF('People'!$A$4:$A$1003,A405)=0,"Email not on People",IF(COUNTIF('Holders'!$A$4:$A$1003,B405)=0,"Unknown holder ID",IF(COUNTIFS($A$4:$A$1503,A405,$B$4:$B$1503,B405)&gt;1,"Duplicate link",IF(C405="","Missing access","OK")))))</f>
        <v/>
      </c>
    </row>
    <row r="406">
      <c r="A406" s="26" t="n"/>
      <c r="B406" s="26" t="n"/>
      <c r="C406" s="26" t="n"/>
      <c r="D406" s="26" t="n"/>
      <c r="E406" s="30">
        <f>IF(B406="","",IFERROR(INDEX('Holders'!$B$4:$B$1003,MATCH(B406,'Holders'!$A$4:$A$1003,0)),""))</f>
        <v/>
      </c>
      <c r="F406" s="30">
        <f t="array" ref="F406">IF(B406="","",_xlfn.TEXTJOIN(", ",TRUE,IF(('Companies'!$A$4:$A$63&lt;&gt;"")*(COUNTIFS('Holdings'!$A$4:$A$2503,B406,'Holdings'!$J$4:$J$2503,'Companies'!$A$4:$A$63,'Holdings'!$L$4:$L$2503,"Yes",'Holdings'!$C$4:$C$2503,"&gt;0")&gt;0),'Companies'!$A$4:$A$63,"")))</f>
        <v/>
      </c>
      <c r="G406" s="30">
        <f>IF(A406="","",IF(COUNTIF('People'!$A$4:$A$1003,A406)=0,"Email not on People",IF(COUNTIF('Holders'!$A$4:$A$1003,B406)=0,"Unknown holder ID",IF(COUNTIFS($A$4:$A$1503,A406,$B$4:$B$1503,B406)&gt;1,"Duplicate link",IF(C406="","Missing access","OK")))))</f>
        <v/>
      </c>
    </row>
    <row r="407">
      <c r="A407" s="26" t="n"/>
      <c r="B407" s="26" t="n"/>
      <c r="C407" s="26" t="n"/>
      <c r="D407" s="26" t="n"/>
      <c r="E407" s="30">
        <f>IF(B407="","",IFERROR(INDEX('Holders'!$B$4:$B$1003,MATCH(B407,'Holders'!$A$4:$A$1003,0)),""))</f>
        <v/>
      </c>
      <c r="F407" s="30">
        <f t="array" ref="F407">IF(B407="","",_xlfn.TEXTJOIN(", ",TRUE,IF(('Companies'!$A$4:$A$63&lt;&gt;"")*(COUNTIFS('Holdings'!$A$4:$A$2503,B407,'Holdings'!$J$4:$J$2503,'Companies'!$A$4:$A$63,'Holdings'!$L$4:$L$2503,"Yes",'Holdings'!$C$4:$C$2503,"&gt;0")&gt;0),'Companies'!$A$4:$A$63,"")))</f>
        <v/>
      </c>
      <c r="G407" s="30">
        <f>IF(A407="","",IF(COUNTIF('People'!$A$4:$A$1003,A407)=0,"Email not on People",IF(COUNTIF('Holders'!$A$4:$A$1003,B407)=0,"Unknown holder ID",IF(COUNTIFS($A$4:$A$1503,A407,$B$4:$B$1503,B407)&gt;1,"Duplicate link",IF(C407="","Missing access","OK")))))</f>
        <v/>
      </c>
    </row>
    <row r="408">
      <c r="A408" s="26" t="n"/>
      <c r="B408" s="26" t="n"/>
      <c r="C408" s="26" t="n"/>
      <c r="D408" s="26" t="n"/>
      <c r="E408" s="30">
        <f>IF(B408="","",IFERROR(INDEX('Holders'!$B$4:$B$1003,MATCH(B408,'Holders'!$A$4:$A$1003,0)),""))</f>
        <v/>
      </c>
      <c r="F408" s="30">
        <f t="array" ref="F408">IF(B408="","",_xlfn.TEXTJOIN(", ",TRUE,IF(('Companies'!$A$4:$A$63&lt;&gt;"")*(COUNTIFS('Holdings'!$A$4:$A$2503,B408,'Holdings'!$J$4:$J$2503,'Companies'!$A$4:$A$63,'Holdings'!$L$4:$L$2503,"Yes",'Holdings'!$C$4:$C$2503,"&gt;0")&gt;0),'Companies'!$A$4:$A$63,"")))</f>
        <v/>
      </c>
      <c r="G408" s="30">
        <f>IF(A408="","",IF(COUNTIF('People'!$A$4:$A$1003,A408)=0,"Email not on People",IF(COUNTIF('Holders'!$A$4:$A$1003,B408)=0,"Unknown holder ID",IF(COUNTIFS($A$4:$A$1503,A408,$B$4:$B$1503,B408)&gt;1,"Duplicate link",IF(C408="","Missing access","OK")))))</f>
        <v/>
      </c>
    </row>
    <row r="409">
      <c r="A409" s="26" t="n"/>
      <c r="B409" s="26" t="n"/>
      <c r="C409" s="26" t="n"/>
      <c r="D409" s="26" t="n"/>
      <c r="E409" s="30">
        <f>IF(B409="","",IFERROR(INDEX('Holders'!$B$4:$B$1003,MATCH(B409,'Holders'!$A$4:$A$1003,0)),""))</f>
        <v/>
      </c>
      <c r="F409" s="30">
        <f t="array" ref="F409">IF(B409="","",_xlfn.TEXTJOIN(", ",TRUE,IF(('Companies'!$A$4:$A$63&lt;&gt;"")*(COUNTIFS('Holdings'!$A$4:$A$2503,B409,'Holdings'!$J$4:$J$2503,'Companies'!$A$4:$A$63,'Holdings'!$L$4:$L$2503,"Yes",'Holdings'!$C$4:$C$2503,"&gt;0")&gt;0),'Companies'!$A$4:$A$63,"")))</f>
        <v/>
      </c>
      <c r="G409" s="30">
        <f>IF(A409="","",IF(COUNTIF('People'!$A$4:$A$1003,A409)=0,"Email not on People",IF(COUNTIF('Holders'!$A$4:$A$1003,B409)=0,"Unknown holder ID",IF(COUNTIFS($A$4:$A$1503,A409,$B$4:$B$1503,B409)&gt;1,"Duplicate link",IF(C409="","Missing access","OK")))))</f>
        <v/>
      </c>
    </row>
    <row r="410">
      <c r="A410" s="26" t="n"/>
      <c r="B410" s="26" t="n"/>
      <c r="C410" s="26" t="n"/>
      <c r="D410" s="26" t="n"/>
      <c r="E410" s="30">
        <f>IF(B410="","",IFERROR(INDEX('Holders'!$B$4:$B$1003,MATCH(B410,'Holders'!$A$4:$A$1003,0)),""))</f>
        <v/>
      </c>
      <c r="F410" s="30">
        <f t="array" ref="F410">IF(B410="","",_xlfn.TEXTJOIN(", ",TRUE,IF(('Companies'!$A$4:$A$63&lt;&gt;"")*(COUNTIFS('Holdings'!$A$4:$A$2503,B410,'Holdings'!$J$4:$J$2503,'Companies'!$A$4:$A$63,'Holdings'!$L$4:$L$2503,"Yes",'Holdings'!$C$4:$C$2503,"&gt;0")&gt;0),'Companies'!$A$4:$A$63,"")))</f>
        <v/>
      </c>
      <c r="G410" s="30">
        <f>IF(A410="","",IF(COUNTIF('People'!$A$4:$A$1003,A410)=0,"Email not on People",IF(COUNTIF('Holders'!$A$4:$A$1003,B410)=0,"Unknown holder ID",IF(COUNTIFS($A$4:$A$1503,A410,$B$4:$B$1503,B410)&gt;1,"Duplicate link",IF(C410="","Missing access","OK")))))</f>
        <v/>
      </c>
    </row>
    <row r="411">
      <c r="A411" s="26" t="n"/>
      <c r="B411" s="26" t="n"/>
      <c r="C411" s="26" t="n"/>
      <c r="D411" s="26" t="n"/>
      <c r="E411" s="30">
        <f>IF(B411="","",IFERROR(INDEX('Holders'!$B$4:$B$1003,MATCH(B411,'Holders'!$A$4:$A$1003,0)),""))</f>
        <v/>
      </c>
      <c r="F411" s="30">
        <f t="array" ref="F411">IF(B411="","",_xlfn.TEXTJOIN(", ",TRUE,IF(('Companies'!$A$4:$A$63&lt;&gt;"")*(COUNTIFS('Holdings'!$A$4:$A$2503,B411,'Holdings'!$J$4:$J$2503,'Companies'!$A$4:$A$63,'Holdings'!$L$4:$L$2503,"Yes",'Holdings'!$C$4:$C$2503,"&gt;0")&gt;0),'Companies'!$A$4:$A$63,"")))</f>
        <v/>
      </c>
      <c r="G411" s="30">
        <f>IF(A411="","",IF(COUNTIF('People'!$A$4:$A$1003,A411)=0,"Email not on People",IF(COUNTIF('Holders'!$A$4:$A$1003,B411)=0,"Unknown holder ID",IF(COUNTIFS($A$4:$A$1503,A411,$B$4:$B$1503,B411)&gt;1,"Duplicate link",IF(C411="","Missing access","OK")))))</f>
        <v/>
      </c>
    </row>
    <row r="412">
      <c r="A412" s="26" t="n"/>
      <c r="B412" s="26" t="n"/>
      <c r="C412" s="26" t="n"/>
      <c r="D412" s="26" t="n"/>
      <c r="E412" s="30">
        <f>IF(B412="","",IFERROR(INDEX('Holders'!$B$4:$B$1003,MATCH(B412,'Holders'!$A$4:$A$1003,0)),""))</f>
        <v/>
      </c>
      <c r="F412" s="30">
        <f t="array" ref="F412">IF(B412="","",_xlfn.TEXTJOIN(", ",TRUE,IF(('Companies'!$A$4:$A$63&lt;&gt;"")*(COUNTIFS('Holdings'!$A$4:$A$2503,B412,'Holdings'!$J$4:$J$2503,'Companies'!$A$4:$A$63,'Holdings'!$L$4:$L$2503,"Yes",'Holdings'!$C$4:$C$2503,"&gt;0")&gt;0),'Companies'!$A$4:$A$63,"")))</f>
        <v/>
      </c>
      <c r="G412" s="30">
        <f>IF(A412="","",IF(COUNTIF('People'!$A$4:$A$1003,A412)=0,"Email not on People",IF(COUNTIF('Holders'!$A$4:$A$1003,B412)=0,"Unknown holder ID",IF(COUNTIFS($A$4:$A$1503,A412,$B$4:$B$1503,B412)&gt;1,"Duplicate link",IF(C412="","Missing access","OK")))))</f>
        <v/>
      </c>
    </row>
    <row r="413">
      <c r="A413" s="26" t="n"/>
      <c r="B413" s="26" t="n"/>
      <c r="C413" s="26" t="n"/>
      <c r="D413" s="26" t="n"/>
      <c r="E413" s="30">
        <f>IF(B413="","",IFERROR(INDEX('Holders'!$B$4:$B$1003,MATCH(B413,'Holders'!$A$4:$A$1003,0)),""))</f>
        <v/>
      </c>
      <c r="F413" s="30">
        <f t="array" ref="F413">IF(B413="","",_xlfn.TEXTJOIN(", ",TRUE,IF(('Companies'!$A$4:$A$63&lt;&gt;"")*(COUNTIFS('Holdings'!$A$4:$A$2503,B413,'Holdings'!$J$4:$J$2503,'Companies'!$A$4:$A$63,'Holdings'!$L$4:$L$2503,"Yes",'Holdings'!$C$4:$C$2503,"&gt;0")&gt;0),'Companies'!$A$4:$A$63,"")))</f>
        <v/>
      </c>
      <c r="G413" s="30">
        <f>IF(A413="","",IF(COUNTIF('People'!$A$4:$A$1003,A413)=0,"Email not on People",IF(COUNTIF('Holders'!$A$4:$A$1003,B413)=0,"Unknown holder ID",IF(COUNTIFS($A$4:$A$1503,A413,$B$4:$B$1503,B413)&gt;1,"Duplicate link",IF(C413="","Missing access","OK")))))</f>
        <v/>
      </c>
    </row>
    <row r="414">
      <c r="A414" s="26" t="n"/>
      <c r="B414" s="26" t="n"/>
      <c r="C414" s="26" t="n"/>
      <c r="D414" s="26" t="n"/>
      <c r="E414" s="30">
        <f>IF(B414="","",IFERROR(INDEX('Holders'!$B$4:$B$1003,MATCH(B414,'Holders'!$A$4:$A$1003,0)),""))</f>
        <v/>
      </c>
      <c r="F414" s="30">
        <f t="array" ref="F414">IF(B414="","",_xlfn.TEXTJOIN(", ",TRUE,IF(('Companies'!$A$4:$A$63&lt;&gt;"")*(COUNTIFS('Holdings'!$A$4:$A$2503,B414,'Holdings'!$J$4:$J$2503,'Companies'!$A$4:$A$63,'Holdings'!$L$4:$L$2503,"Yes",'Holdings'!$C$4:$C$2503,"&gt;0")&gt;0),'Companies'!$A$4:$A$63,"")))</f>
        <v/>
      </c>
      <c r="G414" s="30">
        <f>IF(A414="","",IF(COUNTIF('People'!$A$4:$A$1003,A414)=0,"Email not on People",IF(COUNTIF('Holders'!$A$4:$A$1003,B414)=0,"Unknown holder ID",IF(COUNTIFS($A$4:$A$1503,A414,$B$4:$B$1503,B414)&gt;1,"Duplicate link",IF(C414="","Missing access","OK")))))</f>
        <v/>
      </c>
    </row>
    <row r="415">
      <c r="A415" s="26" t="n"/>
      <c r="B415" s="26" t="n"/>
      <c r="C415" s="26" t="n"/>
      <c r="D415" s="26" t="n"/>
      <c r="E415" s="30">
        <f>IF(B415="","",IFERROR(INDEX('Holders'!$B$4:$B$1003,MATCH(B415,'Holders'!$A$4:$A$1003,0)),""))</f>
        <v/>
      </c>
      <c r="F415" s="30">
        <f t="array" ref="F415">IF(B415="","",_xlfn.TEXTJOIN(", ",TRUE,IF(('Companies'!$A$4:$A$63&lt;&gt;"")*(COUNTIFS('Holdings'!$A$4:$A$2503,B415,'Holdings'!$J$4:$J$2503,'Companies'!$A$4:$A$63,'Holdings'!$L$4:$L$2503,"Yes",'Holdings'!$C$4:$C$2503,"&gt;0")&gt;0),'Companies'!$A$4:$A$63,"")))</f>
        <v/>
      </c>
      <c r="G415" s="30">
        <f>IF(A415="","",IF(COUNTIF('People'!$A$4:$A$1003,A415)=0,"Email not on People",IF(COUNTIF('Holders'!$A$4:$A$1003,B415)=0,"Unknown holder ID",IF(COUNTIFS($A$4:$A$1503,A415,$B$4:$B$1503,B415)&gt;1,"Duplicate link",IF(C415="","Missing access","OK")))))</f>
        <v/>
      </c>
    </row>
    <row r="416">
      <c r="A416" s="26" t="n"/>
      <c r="B416" s="26" t="n"/>
      <c r="C416" s="26" t="n"/>
      <c r="D416" s="26" t="n"/>
      <c r="E416" s="30">
        <f>IF(B416="","",IFERROR(INDEX('Holders'!$B$4:$B$1003,MATCH(B416,'Holders'!$A$4:$A$1003,0)),""))</f>
        <v/>
      </c>
      <c r="F416" s="30">
        <f t="array" ref="F416">IF(B416="","",_xlfn.TEXTJOIN(", ",TRUE,IF(('Companies'!$A$4:$A$63&lt;&gt;"")*(COUNTIFS('Holdings'!$A$4:$A$2503,B416,'Holdings'!$J$4:$J$2503,'Companies'!$A$4:$A$63,'Holdings'!$L$4:$L$2503,"Yes",'Holdings'!$C$4:$C$2503,"&gt;0")&gt;0),'Companies'!$A$4:$A$63,"")))</f>
        <v/>
      </c>
      <c r="G416" s="30">
        <f>IF(A416="","",IF(COUNTIF('People'!$A$4:$A$1003,A416)=0,"Email not on People",IF(COUNTIF('Holders'!$A$4:$A$1003,B416)=0,"Unknown holder ID",IF(COUNTIFS($A$4:$A$1503,A416,$B$4:$B$1503,B416)&gt;1,"Duplicate link",IF(C416="","Missing access","OK")))))</f>
        <v/>
      </c>
    </row>
    <row r="417">
      <c r="A417" s="26" t="n"/>
      <c r="B417" s="26" t="n"/>
      <c r="C417" s="26" t="n"/>
      <c r="D417" s="26" t="n"/>
      <c r="E417" s="30">
        <f>IF(B417="","",IFERROR(INDEX('Holders'!$B$4:$B$1003,MATCH(B417,'Holders'!$A$4:$A$1003,0)),""))</f>
        <v/>
      </c>
      <c r="F417" s="30">
        <f t="array" ref="F417">IF(B417="","",_xlfn.TEXTJOIN(", ",TRUE,IF(('Companies'!$A$4:$A$63&lt;&gt;"")*(COUNTIFS('Holdings'!$A$4:$A$2503,B417,'Holdings'!$J$4:$J$2503,'Companies'!$A$4:$A$63,'Holdings'!$L$4:$L$2503,"Yes",'Holdings'!$C$4:$C$2503,"&gt;0")&gt;0),'Companies'!$A$4:$A$63,"")))</f>
        <v/>
      </c>
      <c r="G417" s="30">
        <f>IF(A417="","",IF(COUNTIF('People'!$A$4:$A$1003,A417)=0,"Email not on People",IF(COUNTIF('Holders'!$A$4:$A$1003,B417)=0,"Unknown holder ID",IF(COUNTIFS($A$4:$A$1503,A417,$B$4:$B$1503,B417)&gt;1,"Duplicate link",IF(C417="","Missing access","OK")))))</f>
        <v/>
      </c>
    </row>
    <row r="418">
      <c r="A418" s="26" t="n"/>
      <c r="B418" s="26" t="n"/>
      <c r="C418" s="26" t="n"/>
      <c r="D418" s="26" t="n"/>
      <c r="E418" s="30">
        <f>IF(B418="","",IFERROR(INDEX('Holders'!$B$4:$B$1003,MATCH(B418,'Holders'!$A$4:$A$1003,0)),""))</f>
        <v/>
      </c>
      <c r="F418" s="30">
        <f t="array" ref="F418">IF(B418="","",_xlfn.TEXTJOIN(", ",TRUE,IF(('Companies'!$A$4:$A$63&lt;&gt;"")*(COUNTIFS('Holdings'!$A$4:$A$2503,B418,'Holdings'!$J$4:$J$2503,'Companies'!$A$4:$A$63,'Holdings'!$L$4:$L$2503,"Yes",'Holdings'!$C$4:$C$2503,"&gt;0")&gt;0),'Companies'!$A$4:$A$63,"")))</f>
        <v/>
      </c>
      <c r="G418" s="30">
        <f>IF(A418="","",IF(COUNTIF('People'!$A$4:$A$1003,A418)=0,"Email not on People",IF(COUNTIF('Holders'!$A$4:$A$1003,B418)=0,"Unknown holder ID",IF(COUNTIFS($A$4:$A$1503,A418,$B$4:$B$1503,B418)&gt;1,"Duplicate link",IF(C418="","Missing access","OK")))))</f>
        <v/>
      </c>
    </row>
    <row r="419">
      <c r="A419" s="26" t="n"/>
      <c r="B419" s="26" t="n"/>
      <c r="C419" s="26" t="n"/>
      <c r="D419" s="26" t="n"/>
      <c r="E419" s="30">
        <f>IF(B419="","",IFERROR(INDEX('Holders'!$B$4:$B$1003,MATCH(B419,'Holders'!$A$4:$A$1003,0)),""))</f>
        <v/>
      </c>
      <c r="F419" s="30">
        <f t="array" ref="F419">IF(B419="","",_xlfn.TEXTJOIN(", ",TRUE,IF(('Companies'!$A$4:$A$63&lt;&gt;"")*(COUNTIFS('Holdings'!$A$4:$A$2503,B419,'Holdings'!$J$4:$J$2503,'Companies'!$A$4:$A$63,'Holdings'!$L$4:$L$2503,"Yes",'Holdings'!$C$4:$C$2503,"&gt;0")&gt;0),'Companies'!$A$4:$A$63,"")))</f>
        <v/>
      </c>
      <c r="G419" s="30">
        <f>IF(A419="","",IF(COUNTIF('People'!$A$4:$A$1003,A419)=0,"Email not on People",IF(COUNTIF('Holders'!$A$4:$A$1003,B419)=0,"Unknown holder ID",IF(COUNTIFS($A$4:$A$1503,A419,$B$4:$B$1503,B419)&gt;1,"Duplicate link",IF(C419="","Missing access","OK")))))</f>
        <v/>
      </c>
    </row>
    <row r="420">
      <c r="A420" s="26" t="n"/>
      <c r="B420" s="26" t="n"/>
      <c r="C420" s="26" t="n"/>
      <c r="D420" s="26" t="n"/>
      <c r="E420" s="30">
        <f>IF(B420="","",IFERROR(INDEX('Holders'!$B$4:$B$1003,MATCH(B420,'Holders'!$A$4:$A$1003,0)),""))</f>
        <v/>
      </c>
      <c r="F420" s="30">
        <f t="array" ref="F420">IF(B420="","",_xlfn.TEXTJOIN(", ",TRUE,IF(('Companies'!$A$4:$A$63&lt;&gt;"")*(COUNTIFS('Holdings'!$A$4:$A$2503,B420,'Holdings'!$J$4:$J$2503,'Companies'!$A$4:$A$63,'Holdings'!$L$4:$L$2503,"Yes",'Holdings'!$C$4:$C$2503,"&gt;0")&gt;0),'Companies'!$A$4:$A$63,"")))</f>
        <v/>
      </c>
      <c r="G420" s="30">
        <f>IF(A420="","",IF(COUNTIF('People'!$A$4:$A$1003,A420)=0,"Email not on People",IF(COUNTIF('Holders'!$A$4:$A$1003,B420)=0,"Unknown holder ID",IF(COUNTIFS($A$4:$A$1503,A420,$B$4:$B$1503,B420)&gt;1,"Duplicate link",IF(C420="","Missing access","OK")))))</f>
        <v/>
      </c>
    </row>
    <row r="421">
      <c r="A421" s="26" t="n"/>
      <c r="B421" s="26" t="n"/>
      <c r="C421" s="26" t="n"/>
      <c r="D421" s="26" t="n"/>
      <c r="E421" s="30">
        <f>IF(B421="","",IFERROR(INDEX('Holders'!$B$4:$B$1003,MATCH(B421,'Holders'!$A$4:$A$1003,0)),""))</f>
        <v/>
      </c>
      <c r="F421" s="30">
        <f t="array" ref="F421">IF(B421="","",_xlfn.TEXTJOIN(", ",TRUE,IF(('Companies'!$A$4:$A$63&lt;&gt;"")*(COUNTIFS('Holdings'!$A$4:$A$2503,B421,'Holdings'!$J$4:$J$2503,'Companies'!$A$4:$A$63,'Holdings'!$L$4:$L$2503,"Yes",'Holdings'!$C$4:$C$2503,"&gt;0")&gt;0),'Companies'!$A$4:$A$63,"")))</f>
        <v/>
      </c>
      <c r="G421" s="30">
        <f>IF(A421="","",IF(COUNTIF('People'!$A$4:$A$1003,A421)=0,"Email not on People",IF(COUNTIF('Holders'!$A$4:$A$1003,B421)=0,"Unknown holder ID",IF(COUNTIFS($A$4:$A$1503,A421,$B$4:$B$1503,B421)&gt;1,"Duplicate link",IF(C421="","Missing access","OK")))))</f>
        <v/>
      </c>
    </row>
    <row r="422">
      <c r="A422" s="26" t="n"/>
      <c r="B422" s="26" t="n"/>
      <c r="C422" s="26" t="n"/>
      <c r="D422" s="26" t="n"/>
      <c r="E422" s="30">
        <f>IF(B422="","",IFERROR(INDEX('Holders'!$B$4:$B$1003,MATCH(B422,'Holders'!$A$4:$A$1003,0)),""))</f>
        <v/>
      </c>
      <c r="F422" s="30">
        <f t="array" ref="F422">IF(B422="","",_xlfn.TEXTJOIN(", ",TRUE,IF(('Companies'!$A$4:$A$63&lt;&gt;"")*(COUNTIFS('Holdings'!$A$4:$A$2503,B422,'Holdings'!$J$4:$J$2503,'Companies'!$A$4:$A$63,'Holdings'!$L$4:$L$2503,"Yes",'Holdings'!$C$4:$C$2503,"&gt;0")&gt;0),'Companies'!$A$4:$A$63,"")))</f>
        <v/>
      </c>
      <c r="G422" s="30">
        <f>IF(A422="","",IF(COUNTIF('People'!$A$4:$A$1003,A422)=0,"Email not on People",IF(COUNTIF('Holders'!$A$4:$A$1003,B422)=0,"Unknown holder ID",IF(COUNTIFS($A$4:$A$1503,A422,$B$4:$B$1503,B422)&gt;1,"Duplicate link",IF(C422="","Missing access","OK")))))</f>
        <v/>
      </c>
    </row>
    <row r="423">
      <c r="A423" s="26" t="n"/>
      <c r="B423" s="26" t="n"/>
      <c r="C423" s="26" t="n"/>
      <c r="D423" s="26" t="n"/>
      <c r="E423" s="30">
        <f>IF(B423="","",IFERROR(INDEX('Holders'!$B$4:$B$1003,MATCH(B423,'Holders'!$A$4:$A$1003,0)),""))</f>
        <v/>
      </c>
      <c r="F423" s="30">
        <f t="array" ref="F423">IF(B423="","",_xlfn.TEXTJOIN(", ",TRUE,IF(('Companies'!$A$4:$A$63&lt;&gt;"")*(COUNTIFS('Holdings'!$A$4:$A$2503,B423,'Holdings'!$J$4:$J$2503,'Companies'!$A$4:$A$63,'Holdings'!$L$4:$L$2503,"Yes",'Holdings'!$C$4:$C$2503,"&gt;0")&gt;0),'Companies'!$A$4:$A$63,"")))</f>
        <v/>
      </c>
      <c r="G423" s="30">
        <f>IF(A423="","",IF(COUNTIF('People'!$A$4:$A$1003,A423)=0,"Email not on People",IF(COUNTIF('Holders'!$A$4:$A$1003,B423)=0,"Unknown holder ID",IF(COUNTIFS($A$4:$A$1503,A423,$B$4:$B$1503,B423)&gt;1,"Duplicate link",IF(C423="","Missing access","OK")))))</f>
        <v/>
      </c>
    </row>
    <row r="424">
      <c r="A424" s="26" t="n"/>
      <c r="B424" s="26" t="n"/>
      <c r="C424" s="26" t="n"/>
      <c r="D424" s="26" t="n"/>
      <c r="E424" s="30">
        <f>IF(B424="","",IFERROR(INDEX('Holders'!$B$4:$B$1003,MATCH(B424,'Holders'!$A$4:$A$1003,0)),""))</f>
        <v/>
      </c>
      <c r="F424" s="30">
        <f t="array" ref="F424">IF(B424="","",_xlfn.TEXTJOIN(", ",TRUE,IF(('Companies'!$A$4:$A$63&lt;&gt;"")*(COUNTIFS('Holdings'!$A$4:$A$2503,B424,'Holdings'!$J$4:$J$2503,'Companies'!$A$4:$A$63,'Holdings'!$L$4:$L$2503,"Yes",'Holdings'!$C$4:$C$2503,"&gt;0")&gt;0),'Companies'!$A$4:$A$63,"")))</f>
        <v/>
      </c>
      <c r="G424" s="30">
        <f>IF(A424="","",IF(COUNTIF('People'!$A$4:$A$1003,A424)=0,"Email not on People",IF(COUNTIF('Holders'!$A$4:$A$1003,B424)=0,"Unknown holder ID",IF(COUNTIFS($A$4:$A$1503,A424,$B$4:$B$1503,B424)&gt;1,"Duplicate link",IF(C424="","Missing access","OK")))))</f>
        <v/>
      </c>
    </row>
    <row r="425">
      <c r="A425" s="26" t="n"/>
      <c r="B425" s="26" t="n"/>
      <c r="C425" s="26" t="n"/>
      <c r="D425" s="26" t="n"/>
      <c r="E425" s="30">
        <f>IF(B425="","",IFERROR(INDEX('Holders'!$B$4:$B$1003,MATCH(B425,'Holders'!$A$4:$A$1003,0)),""))</f>
        <v/>
      </c>
      <c r="F425" s="30">
        <f t="array" ref="F425">IF(B425="","",_xlfn.TEXTJOIN(", ",TRUE,IF(('Companies'!$A$4:$A$63&lt;&gt;"")*(COUNTIFS('Holdings'!$A$4:$A$2503,B425,'Holdings'!$J$4:$J$2503,'Companies'!$A$4:$A$63,'Holdings'!$L$4:$L$2503,"Yes",'Holdings'!$C$4:$C$2503,"&gt;0")&gt;0),'Companies'!$A$4:$A$63,"")))</f>
        <v/>
      </c>
      <c r="G425" s="30">
        <f>IF(A425="","",IF(COUNTIF('People'!$A$4:$A$1003,A425)=0,"Email not on People",IF(COUNTIF('Holders'!$A$4:$A$1003,B425)=0,"Unknown holder ID",IF(COUNTIFS($A$4:$A$1503,A425,$B$4:$B$1503,B425)&gt;1,"Duplicate link",IF(C425="","Missing access","OK")))))</f>
        <v/>
      </c>
    </row>
    <row r="426">
      <c r="A426" s="26" t="n"/>
      <c r="B426" s="26" t="n"/>
      <c r="C426" s="26" t="n"/>
      <c r="D426" s="26" t="n"/>
      <c r="E426" s="30">
        <f>IF(B426="","",IFERROR(INDEX('Holders'!$B$4:$B$1003,MATCH(B426,'Holders'!$A$4:$A$1003,0)),""))</f>
        <v/>
      </c>
      <c r="F426" s="30">
        <f t="array" ref="F426">IF(B426="","",_xlfn.TEXTJOIN(", ",TRUE,IF(('Companies'!$A$4:$A$63&lt;&gt;"")*(COUNTIFS('Holdings'!$A$4:$A$2503,B426,'Holdings'!$J$4:$J$2503,'Companies'!$A$4:$A$63,'Holdings'!$L$4:$L$2503,"Yes",'Holdings'!$C$4:$C$2503,"&gt;0")&gt;0),'Companies'!$A$4:$A$63,"")))</f>
        <v/>
      </c>
      <c r="G426" s="30">
        <f>IF(A426="","",IF(COUNTIF('People'!$A$4:$A$1003,A426)=0,"Email not on People",IF(COUNTIF('Holders'!$A$4:$A$1003,B426)=0,"Unknown holder ID",IF(COUNTIFS($A$4:$A$1503,A426,$B$4:$B$1503,B426)&gt;1,"Duplicate link",IF(C426="","Missing access","OK")))))</f>
        <v/>
      </c>
    </row>
    <row r="427">
      <c r="A427" s="26" t="n"/>
      <c r="B427" s="26" t="n"/>
      <c r="C427" s="26" t="n"/>
      <c r="D427" s="26" t="n"/>
      <c r="E427" s="30">
        <f>IF(B427="","",IFERROR(INDEX('Holders'!$B$4:$B$1003,MATCH(B427,'Holders'!$A$4:$A$1003,0)),""))</f>
        <v/>
      </c>
      <c r="F427" s="30">
        <f t="array" ref="F427">IF(B427="","",_xlfn.TEXTJOIN(", ",TRUE,IF(('Companies'!$A$4:$A$63&lt;&gt;"")*(COUNTIFS('Holdings'!$A$4:$A$2503,B427,'Holdings'!$J$4:$J$2503,'Companies'!$A$4:$A$63,'Holdings'!$L$4:$L$2503,"Yes",'Holdings'!$C$4:$C$2503,"&gt;0")&gt;0),'Companies'!$A$4:$A$63,"")))</f>
        <v/>
      </c>
      <c r="G427" s="30">
        <f>IF(A427="","",IF(COUNTIF('People'!$A$4:$A$1003,A427)=0,"Email not on People",IF(COUNTIF('Holders'!$A$4:$A$1003,B427)=0,"Unknown holder ID",IF(COUNTIFS($A$4:$A$1503,A427,$B$4:$B$1503,B427)&gt;1,"Duplicate link",IF(C427="","Missing access","OK")))))</f>
        <v/>
      </c>
    </row>
    <row r="428">
      <c r="A428" s="26" t="n"/>
      <c r="B428" s="26" t="n"/>
      <c r="C428" s="26" t="n"/>
      <c r="D428" s="26" t="n"/>
      <c r="E428" s="30">
        <f>IF(B428="","",IFERROR(INDEX('Holders'!$B$4:$B$1003,MATCH(B428,'Holders'!$A$4:$A$1003,0)),""))</f>
        <v/>
      </c>
      <c r="F428" s="30">
        <f t="array" ref="F428">IF(B428="","",_xlfn.TEXTJOIN(", ",TRUE,IF(('Companies'!$A$4:$A$63&lt;&gt;"")*(COUNTIFS('Holdings'!$A$4:$A$2503,B428,'Holdings'!$J$4:$J$2503,'Companies'!$A$4:$A$63,'Holdings'!$L$4:$L$2503,"Yes",'Holdings'!$C$4:$C$2503,"&gt;0")&gt;0),'Companies'!$A$4:$A$63,"")))</f>
        <v/>
      </c>
      <c r="G428" s="30">
        <f>IF(A428="","",IF(COUNTIF('People'!$A$4:$A$1003,A428)=0,"Email not on People",IF(COUNTIF('Holders'!$A$4:$A$1003,B428)=0,"Unknown holder ID",IF(COUNTIFS($A$4:$A$1503,A428,$B$4:$B$1503,B428)&gt;1,"Duplicate link",IF(C428="","Missing access","OK")))))</f>
        <v/>
      </c>
    </row>
    <row r="429">
      <c r="A429" s="26" t="n"/>
      <c r="B429" s="26" t="n"/>
      <c r="C429" s="26" t="n"/>
      <c r="D429" s="26" t="n"/>
      <c r="E429" s="30">
        <f>IF(B429="","",IFERROR(INDEX('Holders'!$B$4:$B$1003,MATCH(B429,'Holders'!$A$4:$A$1003,0)),""))</f>
        <v/>
      </c>
      <c r="F429" s="30">
        <f t="array" ref="F429">IF(B429="","",_xlfn.TEXTJOIN(", ",TRUE,IF(('Companies'!$A$4:$A$63&lt;&gt;"")*(COUNTIFS('Holdings'!$A$4:$A$2503,B429,'Holdings'!$J$4:$J$2503,'Companies'!$A$4:$A$63,'Holdings'!$L$4:$L$2503,"Yes",'Holdings'!$C$4:$C$2503,"&gt;0")&gt;0),'Companies'!$A$4:$A$63,"")))</f>
        <v/>
      </c>
      <c r="G429" s="30">
        <f>IF(A429="","",IF(COUNTIF('People'!$A$4:$A$1003,A429)=0,"Email not on People",IF(COUNTIF('Holders'!$A$4:$A$1003,B429)=0,"Unknown holder ID",IF(COUNTIFS($A$4:$A$1503,A429,$B$4:$B$1503,B429)&gt;1,"Duplicate link",IF(C429="","Missing access","OK")))))</f>
        <v/>
      </c>
    </row>
    <row r="430">
      <c r="A430" s="26" t="n"/>
      <c r="B430" s="26" t="n"/>
      <c r="C430" s="26" t="n"/>
      <c r="D430" s="26" t="n"/>
      <c r="E430" s="30">
        <f>IF(B430="","",IFERROR(INDEX('Holders'!$B$4:$B$1003,MATCH(B430,'Holders'!$A$4:$A$1003,0)),""))</f>
        <v/>
      </c>
      <c r="F430" s="30">
        <f t="array" ref="F430">IF(B430="","",_xlfn.TEXTJOIN(", ",TRUE,IF(('Companies'!$A$4:$A$63&lt;&gt;"")*(COUNTIFS('Holdings'!$A$4:$A$2503,B430,'Holdings'!$J$4:$J$2503,'Companies'!$A$4:$A$63,'Holdings'!$L$4:$L$2503,"Yes",'Holdings'!$C$4:$C$2503,"&gt;0")&gt;0),'Companies'!$A$4:$A$63,"")))</f>
        <v/>
      </c>
      <c r="G430" s="30">
        <f>IF(A430="","",IF(COUNTIF('People'!$A$4:$A$1003,A430)=0,"Email not on People",IF(COUNTIF('Holders'!$A$4:$A$1003,B430)=0,"Unknown holder ID",IF(COUNTIFS($A$4:$A$1503,A430,$B$4:$B$1503,B430)&gt;1,"Duplicate link",IF(C430="","Missing access","OK")))))</f>
        <v/>
      </c>
    </row>
    <row r="431">
      <c r="A431" s="26" t="n"/>
      <c r="B431" s="26" t="n"/>
      <c r="C431" s="26" t="n"/>
      <c r="D431" s="26" t="n"/>
      <c r="E431" s="30">
        <f>IF(B431="","",IFERROR(INDEX('Holders'!$B$4:$B$1003,MATCH(B431,'Holders'!$A$4:$A$1003,0)),""))</f>
        <v/>
      </c>
      <c r="F431" s="30">
        <f t="array" ref="F431">IF(B431="","",_xlfn.TEXTJOIN(", ",TRUE,IF(('Companies'!$A$4:$A$63&lt;&gt;"")*(COUNTIFS('Holdings'!$A$4:$A$2503,B431,'Holdings'!$J$4:$J$2503,'Companies'!$A$4:$A$63,'Holdings'!$L$4:$L$2503,"Yes",'Holdings'!$C$4:$C$2503,"&gt;0")&gt;0),'Companies'!$A$4:$A$63,"")))</f>
        <v/>
      </c>
      <c r="G431" s="30">
        <f>IF(A431="","",IF(COUNTIF('People'!$A$4:$A$1003,A431)=0,"Email not on People",IF(COUNTIF('Holders'!$A$4:$A$1003,B431)=0,"Unknown holder ID",IF(COUNTIFS($A$4:$A$1503,A431,$B$4:$B$1503,B431)&gt;1,"Duplicate link",IF(C431="","Missing access","OK")))))</f>
        <v/>
      </c>
    </row>
    <row r="432">
      <c r="A432" s="26" t="n"/>
      <c r="B432" s="26" t="n"/>
      <c r="C432" s="26" t="n"/>
      <c r="D432" s="26" t="n"/>
      <c r="E432" s="30">
        <f>IF(B432="","",IFERROR(INDEX('Holders'!$B$4:$B$1003,MATCH(B432,'Holders'!$A$4:$A$1003,0)),""))</f>
        <v/>
      </c>
      <c r="F432" s="30">
        <f t="array" ref="F432">IF(B432="","",_xlfn.TEXTJOIN(", ",TRUE,IF(('Companies'!$A$4:$A$63&lt;&gt;"")*(COUNTIFS('Holdings'!$A$4:$A$2503,B432,'Holdings'!$J$4:$J$2503,'Companies'!$A$4:$A$63,'Holdings'!$L$4:$L$2503,"Yes",'Holdings'!$C$4:$C$2503,"&gt;0")&gt;0),'Companies'!$A$4:$A$63,"")))</f>
        <v/>
      </c>
      <c r="G432" s="30">
        <f>IF(A432="","",IF(COUNTIF('People'!$A$4:$A$1003,A432)=0,"Email not on People",IF(COUNTIF('Holders'!$A$4:$A$1003,B432)=0,"Unknown holder ID",IF(COUNTIFS($A$4:$A$1503,A432,$B$4:$B$1503,B432)&gt;1,"Duplicate link",IF(C432="","Missing access","OK")))))</f>
        <v/>
      </c>
    </row>
    <row r="433">
      <c r="A433" s="26" t="n"/>
      <c r="B433" s="26" t="n"/>
      <c r="C433" s="26" t="n"/>
      <c r="D433" s="26" t="n"/>
      <c r="E433" s="30">
        <f>IF(B433="","",IFERROR(INDEX('Holders'!$B$4:$B$1003,MATCH(B433,'Holders'!$A$4:$A$1003,0)),""))</f>
        <v/>
      </c>
      <c r="F433" s="30">
        <f t="array" ref="F433">IF(B433="","",_xlfn.TEXTJOIN(", ",TRUE,IF(('Companies'!$A$4:$A$63&lt;&gt;"")*(COUNTIFS('Holdings'!$A$4:$A$2503,B433,'Holdings'!$J$4:$J$2503,'Companies'!$A$4:$A$63,'Holdings'!$L$4:$L$2503,"Yes",'Holdings'!$C$4:$C$2503,"&gt;0")&gt;0),'Companies'!$A$4:$A$63,"")))</f>
        <v/>
      </c>
      <c r="G433" s="30">
        <f>IF(A433="","",IF(COUNTIF('People'!$A$4:$A$1003,A433)=0,"Email not on People",IF(COUNTIF('Holders'!$A$4:$A$1003,B433)=0,"Unknown holder ID",IF(COUNTIFS($A$4:$A$1503,A433,$B$4:$B$1503,B433)&gt;1,"Duplicate link",IF(C433="","Missing access","OK")))))</f>
        <v/>
      </c>
    </row>
    <row r="434">
      <c r="A434" s="26" t="n"/>
      <c r="B434" s="26" t="n"/>
      <c r="C434" s="26" t="n"/>
      <c r="D434" s="26" t="n"/>
      <c r="E434" s="30">
        <f>IF(B434="","",IFERROR(INDEX('Holders'!$B$4:$B$1003,MATCH(B434,'Holders'!$A$4:$A$1003,0)),""))</f>
        <v/>
      </c>
      <c r="F434" s="30">
        <f t="array" ref="F434">IF(B434="","",_xlfn.TEXTJOIN(", ",TRUE,IF(('Companies'!$A$4:$A$63&lt;&gt;"")*(COUNTIFS('Holdings'!$A$4:$A$2503,B434,'Holdings'!$J$4:$J$2503,'Companies'!$A$4:$A$63,'Holdings'!$L$4:$L$2503,"Yes",'Holdings'!$C$4:$C$2503,"&gt;0")&gt;0),'Companies'!$A$4:$A$63,"")))</f>
        <v/>
      </c>
      <c r="G434" s="30">
        <f>IF(A434="","",IF(COUNTIF('People'!$A$4:$A$1003,A434)=0,"Email not on People",IF(COUNTIF('Holders'!$A$4:$A$1003,B434)=0,"Unknown holder ID",IF(COUNTIFS($A$4:$A$1503,A434,$B$4:$B$1503,B434)&gt;1,"Duplicate link",IF(C434="","Missing access","OK")))))</f>
        <v/>
      </c>
    </row>
    <row r="435">
      <c r="A435" s="26" t="n"/>
      <c r="B435" s="26" t="n"/>
      <c r="C435" s="26" t="n"/>
      <c r="D435" s="26" t="n"/>
      <c r="E435" s="30">
        <f>IF(B435="","",IFERROR(INDEX('Holders'!$B$4:$B$1003,MATCH(B435,'Holders'!$A$4:$A$1003,0)),""))</f>
        <v/>
      </c>
      <c r="F435" s="30">
        <f t="array" ref="F435">IF(B435="","",_xlfn.TEXTJOIN(", ",TRUE,IF(('Companies'!$A$4:$A$63&lt;&gt;"")*(COUNTIFS('Holdings'!$A$4:$A$2503,B435,'Holdings'!$J$4:$J$2503,'Companies'!$A$4:$A$63,'Holdings'!$L$4:$L$2503,"Yes",'Holdings'!$C$4:$C$2503,"&gt;0")&gt;0),'Companies'!$A$4:$A$63,"")))</f>
        <v/>
      </c>
      <c r="G435" s="30">
        <f>IF(A435="","",IF(COUNTIF('People'!$A$4:$A$1003,A435)=0,"Email not on People",IF(COUNTIF('Holders'!$A$4:$A$1003,B435)=0,"Unknown holder ID",IF(COUNTIFS($A$4:$A$1503,A435,$B$4:$B$1503,B435)&gt;1,"Duplicate link",IF(C435="","Missing access","OK")))))</f>
        <v/>
      </c>
    </row>
    <row r="436">
      <c r="A436" s="26" t="n"/>
      <c r="B436" s="26" t="n"/>
      <c r="C436" s="26" t="n"/>
      <c r="D436" s="26" t="n"/>
      <c r="E436" s="30">
        <f>IF(B436="","",IFERROR(INDEX('Holders'!$B$4:$B$1003,MATCH(B436,'Holders'!$A$4:$A$1003,0)),""))</f>
        <v/>
      </c>
      <c r="F436" s="30">
        <f t="array" ref="F436">IF(B436="","",_xlfn.TEXTJOIN(", ",TRUE,IF(('Companies'!$A$4:$A$63&lt;&gt;"")*(COUNTIFS('Holdings'!$A$4:$A$2503,B436,'Holdings'!$J$4:$J$2503,'Companies'!$A$4:$A$63,'Holdings'!$L$4:$L$2503,"Yes",'Holdings'!$C$4:$C$2503,"&gt;0")&gt;0),'Companies'!$A$4:$A$63,"")))</f>
        <v/>
      </c>
      <c r="G436" s="30">
        <f>IF(A436="","",IF(COUNTIF('People'!$A$4:$A$1003,A436)=0,"Email not on People",IF(COUNTIF('Holders'!$A$4:$A$1003,B436)=0,"Unknown holder ID",IF(COUNTIFS($A$4:$A$1503,A436,$B$4:$B$1503,B436)&gt;1,"Duplicate link",IF(C436="","Missing access","OK")))))</f>
        <v/>
      </c>
    </row>
    <row r="437">
      <c r="A437" s="26" t="n"/>
      <c r="B437" s="26" t="n"/>
      <c r="C437" s="26" t="n"/>
      <c r="D437" s="26" t="n"/>
      <c r="E437" s="30">
        <f>IF(B437="","",IFERROR(INDEX('Holders'!$B$4:$B$1003,MATCH(B437,'Holders'!$A$4:$A$1003,0)),""))</f>
        <v/>
      </c>
      <c r="F437" s="30">
        <f t="array" ref="F437">IF(B437="","",_xlfn.TEXTJOIN(", ",TRUE,IF(('Companies'!$A$4:$A$63&lt;&gt;"")*(COUNTIFS('Holdings'!$A$4:$A$2503,B437,'Holdings'!$J$4:$J$2503,'Companies'!$A$4:$A$63,'Holdings'!$L$4:$L$2503,"Yes",'Holdings'!$C$4:$C$2503,"&gt;0")&gt;0),'Companies'!$A$4:$A$63,"")))</f>
        <v/>
      </c>
      <c r="G437" s="30">
        <f>IF(A437="","",IF(COUNTIF('People'!$A$4:$A$1003,A437)=0,"Email not on People",IF(COUNTIF('Holders'!$A$4:$A$1003,B437)=0,"Unknown holder ID",IF(COUNTIFS($A$4:$A$1503,A437,$B$4:$B$1503,B437)&gt;1,"Duplicate link",IF(C437="","Missing access","OK")))))</f>
        <v/>
      </c>
    </row>
    <row r="438">
      <c r="A438" s="26" t="n"/>
      <c r="B438" s="26" t="n"/>
      <c r="C438" s="26" t="n"/>
      <c r="D438" s="26" t="n"/>
      <c r="E438" s="30">
        <f>IF(B438="","",IFERROR(INDEX('Holders'!$B$4:$B$1003,MATCH(B438,'Holders'!$A$4:$A$1003,0)),""))</f>
        <v/>
      </c>
      <c r="F438" s="30">
        <f t="array" ref="F438">IF(B438="","",_xlfn.TEXTJOIN(", ",TRUE,IF(('Companies'!$A$4:$A$63&lt;&gt;"")*(COUNTIFS('Holdings'!$A$4:$A$2503,B438,'Holdings'!$J$4:$J$2503,'Companies'!$A$4:$A$63,'Holdings'!$L$4:$L$2503,"Yes",'Holdings'!$C$4:$C$2503,"&gt;0")&gt;0),'Companies'!$A$4:$A$63,"")))</f>
        <v/>
      </c>
      <c r="G438" s="30">
        <f>IF(A438="","",IF(COUNTIF('People'!$A$4:$A$1003,A438)=0,"Email not on People",IF(COUNTIF('Holders'!$A$4:$A$1003,B438)=0,"Unknown holder ID",IF(COUNTIFS($A$4:$A$1503,A438,$B$4:$B$1503,B438)&gt;1,"Duplicate link",IF(C438="","Missing access","OK")))))</f>
        <v/>
      </c>
    </row>
    <row r="439">
      <c r="A439" s="26" t="n"/>
      <c r="B439" s="26" t="n"/>
      <c r="C439" s="26" t="n"/>
      <c r="D439" s="26" t="n"/>
      <c r="E439" s="30">
        <f>IF(B439="","",IFERROR(INDEX('Holders'!$B$4:$B$1003,MATCH(B439,'Holders'!$A$4:$A$1003,0)),""))</f>
        <v/>
      </c>
      <c r="F439" s="30">
        <f t="array" ref="F439">IF(B439="","",_xlfn.TEXTJOIN(", ",TRUE,IF(('Companies'!$A$4:$A$63&lt;&gt;"")*(COUNTIFS('Holdings'!$A$4:$A$2503,B439,'Holdings'!$J$4:$J$2503,'Companies'!$A$4:$A$63,'Holdings'!$L$4:$L$2503,"Yes",'Holdings'!$C$4:$C$2503,"&gt;0")&gt;0),'Companies'!$A$4:$A$63,"")))</f>
        <v/>
      </c>
      <c r="G439" s="30">
        <f>IF(A439="","",IF(COUNTIF('People'!$A$4:$A$1003,A439)=0,"Email not on People",IF(COUNTIF('Holders'!$A$4:$A$1003,B439)=0,"Unknown holder ID",IF(COUNTIFS($A$4:$A$1503,A439,$B$4:$B$1503,B439)&gt;1,"Duplicate link",IF(C439="","Missing access","OK")))))</f>
        <v/>
      </c>
    </row>
    <row r="440">
      <c r="A440" s="26" t="n"/>
      <c r="B440" s="26" t="n"/>
      <c r="C440" s="26" t="n"/>
      <c r="D440" s="26" t="n"/>
      <c r="E440" s="30">
        <f>IF(B440="","",IFERROR(INDEX('Holders'!$B$4:$B$1003,MATCH(B440,'Holders'!$A$4:$A$1003,0)),""))</f>
        <v/>
      </c>
      <c r="F440" s="30">
        <f t="array" ref="F440">IF(B440="","",_xlfn.TEXTJOIN(", ",TRUE,IF(('Companies'!$A$4:$A$63&lt;&gt;"")*(COUNTIFS('Holdings'!$A$4:$A$2503,B440,'Holdings'!$J$4:$J$2503,'Companies'!$A$4:$A$63,'Holdings'!$L$4:$L$2503,"Yes",'Holdings'!$C$4:$C$2503,"&gt;0")&gt;0),'Companies'!$A$4:$A$63,"")))</f>
        <v/>
      </c>
      <c r="G440" s="30">
        <f>IF(A440="","",IF(COUNTIF('People'!$A$4:$A$1003,A440)=0,"Email not on People",IF(COUNTIF('Holders'!$A$4:$A$1003,B440)=0,"Unknown holder ID",IF(COUNTIFS($A$4:$A$1503,A440,$B$4:$B$1503,B440)&gt;1,"Duplicate link",IF(C440="","Missing access","OK")))))</f>
        <v/>
      </c>
    </row>
    <row r="441">
      <c r="A441" s="26" t="n"/>
      <c r="B441" s="26" t="n"/>
      <c r="C441" s="26" t="n"/>
      <c r="D441" s="26" t="n"/>
      <c r="E441" s="30">
        <f>IF(B441="","",IFERROR(INDEX('Holders'!$B$4:$B$1003,MATCH(B441,'Holders'!$A$4:$A$1003,0)),""))</f>
        <v/>
      </c>
      <c r="F441" s="30">
        <f t="array" ref="F441">IF(B441="","",_xlfn.TEXTJOIN(", ",TRUE,IF(('Companies'!$A$4:$A$63&lt;&gt;"")*(COUNTIFS('Holdings'!$A$4:$A$2503,B441,'Holdings'!$J$4:$J$2503,'Companies'!$A$4:$A$63,'Holdings'!$L$4:$L$2503,"Yes",'Holdings'!$C$4:$C$2503,"&gt;0")&gt;0),'Companies'!$A$4:$A$63,"")))</f>
        <v/>
      </c>
      <c r="G441" s="30">
        <f>IF(A441="","",IF(COUNTIF('People'!$A$4:$A$1003,A441)=0,"Email not on People",IF(COUNTIF('Holders'!$A$4:$A$1003,B441)=0,"Unknown holder ID",IF(COUNTIFS($A$4:$A$1503,A441,$B$4:$B$1503,B441)&gt;1,"Duplicate link",IF(C441="","Missing access","OK")))))</f>
        <v/>
      </c>
    </row>
    <row r="442">
      <c r="A442" s="26" t="n"/>
      <c r="B442" s="26" t="n"/>
      <c r="C442" s="26" t="n"/>
      <c r="D442" s="26" t="n"/>
      <c r="E442" s="30">
        <f>IF(B442="","",IFERROR(INDEX('Holders'!$B$4:$B$1003,MATCH(B442,'Holders'!$A$4:$A$1003,0)),""))</f>
        <v/>
      </c>
      <c r="F442" s="30">
        <f t="array" ref="F442">IF(B442="","",_xlfn.TEXTJOIN(", ",TRUE,IF(('Companies'!$A$4:$A$63&lt;&gt;"")*(COUNTIFS('Holdings'!$A$4:$A$2503,B442,'Holdings'!$J$4:$J$2503,'Companies'!$A$4:$A$63,'Holdings'!$L$4:$L$2503,"Yes",'Holdings'!$C$4:$C$2503,"&gt;0")&gt;0),'Companies'!$A$4:$A$63,"")))</f>
        <v/>
      </c>
      <c r="G442" s="30">
        <f>IF(A442="","",IF(COUNTIF('People'!$A$4:$A$1003,A442)=0,"Email not on People",IF(COUNTIF('Holders'!$A$4:$A$1003,B442)=0,"Unknown holder ID",IF(COUNTIFS($A$4:$A$1503,A442,$B$4:$B$1503,B442)&gt;1,"Duplicate link",IF(C442="","Missing access","OK")))))</f>
        <v/>
      </c>
    </row>
    <row r="443">
      <c r="A443" s="26" t="n"/>
      <c r="B443" s="26" t="n"/>
      <c r="C443" s="26" t="n"/>
      <c r="D443" s="26" t="n"/>
      <c r="E443" s="30">
        <f>IF(B443="","",IFERROR(INDEX('Holders'!$B$4:$B$1003,MATCH(B443,'Holders'!$A$4:$A$1003,0)),""))</f>
        <v/>
      </c>
      <c r="F443" s="30">
        <f t="array" ref="F443">IF(B443="","",_xlfn.TEXTJOIN(", ",TRUE,IF(('Companies'!$A$4:$A$63&lt;&gt;"")*(COUNTIFS('Holdings'!$A$4:$A$2503,B443,'Holdings'!$J$4:$J$2503,'Companies'!$A$4:$A$63,'Holdings'!$L$4:$L$2503,"Yes",'Holdings'!$C$4:$C$2503,"&gt;0")&gt;0),'Companies'!$A$4:$A$63,"")))</f>
        <v/>
      </c>
      <c r="G443" s="30">
        <f>IF(A443="","",IF(COUNTIF('People'!$A$4:$A$1003,A443)=0,"Email not on People",IF(COUNTIF('Holders'!$A$4:$A$1003,B443)=0,"Unknown holder ID",IF(COUNTIFS($A$4:$A$1503,A443,$B$4:$B$1503,B443)&gt;1,"Duplicate link",IF(C443="","Missing access","OK")))))</f>
        <v/>
      </c>
    </row>
    <row r="444">
      <c r="A444" s="26" t="n"/>
      <c r="B444" s="26" t="n"/>
      <c r="C444" s="26" t="n"/>
      <c r="D444" s="26" t="n"/>
      <c r="E444" s="30">
        <f>IF(B444="","",IFERROR(INDEX('Holders'!$B$4:$B$1003,MATCH(B444,'Holders'!$A$4:$A$1003,0)),""))</f>
        <v/>
      </c>
      <c r="F444" s="30">
        <f t="array" ref="F444">IF(B444="","",_xlfn.TEXTJOIN(", ",TRUE,IF(('Companies'!$A$4:$A$63&lt;&gt;"")*(COUNTIFS('Holdings'!$A$4:$A$2503,B444,'Holdings'!$J$4:$J$2503,'Companies'!$A$4:$A$63,'Holdings'!$L$4:$L$2503,"Yes",'Holdings'!$C$4:$C$2503,"&gt;0")&gt;0),'Companies'!$A$4:$A$63,"")))</f>
        <v/>
      </c>
      <c r="G444" s="30">
        <f>IF(A444="","",IF(COUNTIF('People'!$A$4:$A$1003,A444)=0,"Email not on People",IF(COUNTIF('Holders'!$A$4:$A$1003,B444)=0,"Unknown holder ID",IF(COUNTIFS($A$4:$A$1503,A444,$B$4:$B$1503,B444)&gt;1,"Duplicate link",IF(C444="","Missing access","OK")))))</f>
        <v/>
      </c>
    </row>
    <row r="445">
      <c r="A445" s="26" t="n"/>
      <c r="B445" s="26" t="n"/>
      <c r="C445" s="26" t="n"/>
      <c r="D445" s="26" t="n"/>
      <c r="E445" s="30">
        <f>IF(B445="","",IFERROR(INDEX('Holders'!$B$4:$B$1003,MATCH(B445,'Holders'!$A$4:$A$1003,0)),""))</f>
        <v/>
      </c>
      <c r="F445" s="30">
        <f t="array" ref="F445">IF(B445="","",_xlfn.TEXTJOIN(", ",TRUE,IF(('Companies'!$A$4:$A$63&lt;&gt;"")*(COUNTIFS('Holdings'!$A$4:$A$2503,B445,'Holdings'!$J$4:$J$2503,'Companies'!$A$4:$A$63,'Holdings'!$L$4:$L$2503,"Yes",'Holdings'!$C$4:$C$2503,"&gt;0")&gt;0),'Companies'!$A$4:$A$63,"")))</f>
        <v/>
      </c>
      <c r="G445" s="30">
        <f>IF(A445="","",IF(COUNTIF('People'!$A$4:$A$1003,A445)=0,"Email not on People",IF(COUNTIF('Holders'!$A$4:$A$1003,B445)=0,"Unknown holder ID",IF(COUNTIFS($A$4:$A$1503,A445,$B$4:$B$1503,B445)&gt;1,"Duplicate link",IF(C445="","Missing access","OK")))))</f>
        <v/>
      </c>
    </row>
    <row r="446">
      <c r="A446" s="26" t="n"/>
      <c r="B446" s="26" t="n"/>
      <c r="C446" s="26" t="n"/>
      <c r="D446" s="26" t="n"/>
      <c r="E446" s="30">
        <f>IF(B446="","",IFERROR(INDEX('Holders'!$B$4:$B$1003,MATCH(B446,'Holders'!$A$4:$A$1003,0)),""))</f>
        <v/>
      </c>
      <c r="F446" s="30">
        <f t="array" ref="F446">IF(B446="","",_xlfn.TEXTJOIN(", ",TRUE,IF(('Companies'!$A$4:$A$63&lt;&gt;"")*(COUNTIFS('Holdings'!$A$4:$A$2503,B446,'Holdings'!$J$4:$J$2503,'Companies'!$A$4:$A$63,'Holdings'!$L$4:$L$2503,"Yes",'Holdings'!$C$4:$C$2503,"&gt;0")&gt;0),'Companies'!$A$4:$A$63,"")))</f>
        <v/>
      </c>
      <c r="G446" s="30">
        <f>IF(A446="","",IF(COUNTIF('People'!$A$4:$A$1003,A446)=0,"Email not on People",IF(COUNTIF('Holders'!$A$4:$A$1003,B446)=0,"Unknown holder ID",IF(COUNTIFS($A$4:$A$1503,A446,$B$4:$B$1503,B446)&gt;1,"Duplicate link",IF(C446="","Missing access","OK")))))</f>
        <v/>
      </c>
    </row>
    <row r="447">
      <c r="A447" s="26" t="n"/>
      <c r="B447" s="26" t="n"/>
      <c r="C447" s="26" t="n"/>
      <c r="D447" s="26" t="n"/>
      <c r="E447" s="30">
        <f>IF(B447="","",IFERROR(INDEX('Holders'!$B$4:$B$1003,MATCH(B447,'Holders'!$A$4:$A$1003,0)),""))</f>
        <v/>
      </c>
      <c r="F447" s="30">
        <f t="array" ref="F447">IF(B447="","",_xlfn.TEXTJOIN(", ",TRUE,IF(('Companies'!$A$4:$A$63&lt;&gt;"")*(COUNTIFS('Holdings'!$A$4:$A$2503,B447,'Holdings'!$J$4:$J$2503,'Companies'!$A$4:$A$63,'Holdings'!$L$4:$L$2503,"Yes",'Holdings'!$C$4:$C$2503,"&gt;0")&gt;0),'Companies'!$A$4:$A$63,"")))</f>
        <v/>
      </c>
      <c r="G447" s="30">
        <f>IF(A447="","",IF(COUNTIF('People'!$A$4:$A$1003,A447)=0,"Email not on People",IF(COUNTIF('Holders'!$A$4:$A$1003,B447)=0,"Unknown holder ID",IF(COUNTIFS($A$4:$A$1503,A447,$B$4:$B$1503,B447)&gt;1,"Duplicate link",IF(C447="","Missing access","OK")))))</f>
        <v/>
      </c>
    </row>
    <row r="448">
      <c r="A448" s="26" t="n"/>
      <c r="B448" s="26" t="n"/>
      <c r="C448" s="26" t="n"/>
      <c r="D448" s="26" t="n"/>
      <c r="E448" s="30">
        <f>IF(B448="","",IFERROR(INDEX('Holders'!$B$4:$B$1003,MATCH(B448,'Holders'!$A$4:$A$1003,0)),""))</f>
        <v/>
      </c>
      <c r="F448" s="30">
        <f t="array" ref="F448">IF(B448="","",_xlfn.TEXTJOIN(", ",TRUE,IF(('Companies'!$A$4:$A$63&lt;&gt;"")*(COUNTIFS('Holdings'!$A$4:$A$2503,B448,'Holdings'!$J$4:$J$2503,'Companies'!$A$4:$A$63,'Holdings'!$L$4:$L$2503,"Yes",'Holdings'!$C$4:$C$2503,"&gt;0")&gt;0),'Companies'!$A$4:$A$63,"")))</f>
        <v/>
      </c>
      <c r="G448" s="30">
        <f>IF(A448="","",IF(COUNTIF('People'!$A$4:$A$1003,A448)=0,"Email not on People",IF(COUNTIF('Holders'!$A$4:$A$1003,B448)=0,"Unknown holder ID",IF(COUNTIFS($A$4:$A$1503,A448,$B$4:$B$1503,B448)&gt;1,"Duplicate link",IF(C448="","Missing access","OK")))))</f>
        <v/>
      </c>
    </row>
    <row r="449">
      <c r="A449" s="26" t="n"/>
      <c r="B449" s="26" t="n"/>
      <c r="C449" s="26" t="n"/>
      <c r="D449" s="26" t="n"/>
      <c r="E449" s="30">
        <f>IF(B449="","",IFERROR(INDEX('Holders'!$B$4:$B$1003,MATCH(B449,'Holders'!$A$4:$A$1003,0)),""))</f>
        <v/>
      </c>
      <c r="F449" s="30">
        <f t="array" ref="F449">IF(B449="","",_xlfn.TEXTJOIN(", ",TRUE,IF(('Companies'!$A$4:$A$63&lt;&gt;"")*(COUNTIFS('Holdings'!$A$4:$A$2503,B449,'Holdings'!$J$4:$J$2503,'Companies'!$A$4:$A$63,'Holdings'!$L$4:$L$2503,"Yes",'Holdings'!$C$4:$C$2503,"&gt;0")&gt;0),'Companies'!$A$4:$A$63,"")))</f>
        <v/>
      </c>
      <c r="G449" s="30">
        <f>IF(A449="","",IF(COUNTIF('People'!$A$4:$A$1003,A449)=0,"Email not on People",IF(COUNTIF('Holders'!$A$4:$A$1003,B449)=0,"Unknown holder ID",IF(COUNTIFS($A$4:$A$1503,A449,$B$4:$B$1503,B449)&gt;1,"Duplicate link",IF(C449="","Missing access","OK")))))</f>
        <v/>
      </c>
    </row>
    <row r="450">
      <c r="A450" s="26" t="n"/>
      <c r="B450" s="26" t="n"/>
      <c r="C450" s="26" t="n"/>
      <c r="D450" s="26" t="n"/>
      <c r="E450" s="30">
        <f>IF(B450="","",IFERROR(INDEX('Holders'!$B$4:$B$1003,MATCH(B450,'Holders'!$A$4:$A$1003,0)),""))</f>
        <v/>
      </c>
      <c r="F450" s="30">
        <f t="array" ref="F450">IF(B450="","",_xlfn.TEXTJOIN(", ",TRUE,IF(('Companies'!$A$4:$A$63&lt;&gt;"")*(COUNTIFS('Holdings'!$A$4:$A$2503,B450,'Holdings'!$J$4:$J$2503,'Companies'!$A$4:$A$63,'Holdings'!$L$4:$L$2503,"Yes",'Holdings'!$C$4:$C$2503,"&gt;0")&gt;0),'Companies'!$A$4:$A$63,"")))</f>
        <v/>
      </c>
      <c r="G450" s="30">
        <f>IF(A450="","",IF(COUNTIF('People'!$A$4:$A$1003,A450)=0,"Email not on People",IF(COUNTIF('Holders'!$A$4:$A$1003,B450)=0,"Unknown holder ID",IF(COUNTIFS($A$4:$A$1503,A450,$B$4:$B$1503,B450)&gt;1,"Duplicate link",IF(C450="","Missing access","OK")))))</f>
        <v/>
      </c>
    </row>
    <row r="451">
      <c r="A451" s="26" t="n"/>
      <c r="B451" s="26" t="n"/>
      <c r="C451" s="26" t="n"/>
      <c r="D451" s="26" t="n"/>
      <c r="E451" s="30">
        <f>IF(B451="","",IFERROR(INDEX('Holders'!$B$4:$B$1003,MATCH(B451,'Holders'!$A$4:$A$1003,0)),""))</f>
        <v/>
      </c>
      <c r="F451" s="30">
        <f t="array" ref="F451">IF(B451="","",_xlfn.TEXTJOIN(", ",TRUE,IF(('Companies'!$A$4:$A$63&lt;&gt;"")*(COUNTIFS('Holdings'!$A$4:$A$2503,B451,'Holdings'!$J$4:$J$2503,'Companies'!$A$4:$A$63,'Holdings'!$L$4:$L$2503,"Yes",'Holdings'!$C$4:$C$2503,"&gt;0")&gt;0),'Companies'!$A$4:$A$63,"")))</f>
        <v/>
      </c>
      <c r="G451" s="30">
        <f>IF(A451="","",IF(COUNTIF('People'!$A$4:$A$1003,A451)=0,"Email not on People",IF(COUNTIF('Holders'!$A$4:$A$1003,B451)=0,"Unknown holder ID",IF(COUNTIFS($A$4:$A$1503,A451,$B$4:$B$1503,B451)&gt;1,"Duplicate link",IF(C451="","Missing access","OK")))))</f>
        <v/>
      </c>
    </row>
    <row r="452">
      <c r="A452" s="26" t="n"/>
      <c r="B452" s="26" t="n"/>
      <c r="C452" s="26" t="n"/>
      <c r="D452" s="26" t="n"/>
      <c r="E452" s="30">
        <f>IF(B452="","",IFERROR(INDEX('Holders'!$B$4:$B$1003,MATCH(B452,'Holders'!$A$4:$A$1003,0)),""))</f>
        <v/>
      </c>
      <c r="F452" s="30">
        <f t="array" ref="F452">IF(B452="","",_xlfn.TEXTJOIN(", ",TRUE,IF(('Companies'!$A$4:$A$63&lt;&gt;"")*(COUNTIFS('Holdings'!$A$4:$A$2503,B452,'Holdings'!$J$4:$J$2503,'Companies'!$A$4:$A$63,'Holdings'!$L$4:$L$2503,"Yes",'Holdings'!$C$4:$C$2503,"&gt;0")&gt;0),'Companies'!$A$4:$A$63,"")))</f>
        <v/>
      </c>
      <c r="G452" s="30">
        <f>IF(A452="","",IF(COUNTIF('People'!$A$4:$A$1003,A452)=0,"Email not on People",IF(COUNTIF('Holders'!$A$4:$A$1003,B452)=0,"Unknown holder ID",IF(COUNTIFS($A$4:$A$1503,A452,$B$4:$B$1503,B452)&gt;1,"Duplicate link",IF(C452="","Missing access","OK")))))</f>
        <v/>
      </c>
    </row>
    <row r="453">
      <c r="A453" s="26" t="n"/>
      <c r="B453" s="26" t="n"/>
      <c r="C453" s="26" t="n"/>
      <c r="D453" s="26" t="n"/>
      <c r="E453" s="30">
        <f>IF(B453="","",IFERROR(INDEX('Holders'!$B$4:$B$1003,MATCH(B453,'Holders'!$A$4:$A$1003,0)),""))</f>
        <v/>
      </c>
      <c r="F453" s="30">
        <f t="array" ref="F453">IF(B453="","",_xlfn.TEXTJOIN(", ",TRUE,IF(('Companies'!$A$4:$A$63&lt;&gt;"")*(COUNTIFS('Holdings'!$A$4:$A$2503,B453,'Holdings'!$J$4:$J$2503,'Companies'!$A$4:$A$63,'Holdings'!$L$4:$L$2503,"Yes",'Holdings'!$C$4:$C$2503,"&gt;0")&gt;0),'Companies'!$A$4:$A$63,"")))</f>
        <v/>
      </c>
      <c r="G453" s="30">
        <f>IF(A453="","",IF(COUNTIF('People'!$A$4:$A$1003,A453)=0,"Email not on People",IF(COUNTIF('Holders'!$A$4:$A$1003,B453)=0,"Unknown holder ID",IF(COUNTIFS($A$4:$A$1503,A453,$B$4:$B$1503,B453)&gt;1,"Duplicate link",IF(C453="","Missing access","OK")))))</f>
        <v/>
      </c>
    </row>
    <row r="454">
      <c r="A454" s="26" t="n"/>
      <c r="B454" s="26" t="n"/>
      <c r="C454" s="26" t="n"/>
      <c r="D454" s="26" t="n"/>
      <c r="E454" s="30">
        <f>IF(B454="","",IFERROR(INDEX('Holders'!$B$4:$B$1003,MATCH(B454,'Holders'!$A$4:$A$1003,0)),""))</f>
        <v/>
      </c>
      <c r="F454" s="30">
        <f t="array" ref="F454">IF(B454="","",_xlfn.TEXTJOIN(", ",TRUE,IF(('Companies'!$A$4:$A$63&lt;&gt;"")*(COUNTIFS('Holdings'!$A$4:$A$2503,B454,'Holdings'!$J$4:$J$2503,'Companies'!$A$4:$A$63,'Holdings'!$L$4:$L$2503,"Yes",'Holdings'!$C$4:$C$2503,"&gt;0")&gt;0),'Companies'!$A$4:$A$63,"")))</f>
        <v/>
      </c>
      <c r="G454" s="30">
        <f>IF(A454="","",IF(COUNTIF('People'!$A$4:$A$1003,A454)=0,"Email not on People",IF(COUNTIF('Holders'!$A$4:$A$1003,B454)=0,"Unknown holder ID",IF(COUNTIFS($A$4:$A$1503,A454,$B$4:$B$1503,B454)&gt;1,"Duplicate link",IF(C454="","Missing access","OK")))))</f>
        <v/>
      </c>
    </row>
    <row r="455">
      <c r="A455" s="26" t="n"/>
      <c r="B455" s="26" t="n"/>
      <c r="C455" s="26" t="n"/>
      <c r="D455" s="26" t="n"/>
      <c r="E455" s="30">
        <f>IF(B455="","",IFERROR(INDEX('Holders'!$B$4:$B$1003,MATCH(B455,'Holders'!$A$4:$A$1003,0)),""))</f>
        <v/>
      </c>
      <c r="F455" s="30">
        <f t="array" ref="F455">IF(B455="","",_xlfn.TEXTJOIN(", ",TRUE,IF(('Companies'!$A$4:$A$63&lt;&gt;"")*(COUNTIFS('Holdings'!$A$4:$A$2503,B455,'Holdings'!$J$4:$J$2503,'Companies'!$A$4:$A$63,'Holdings'!$L$4:$L$2503,"Yes",'Holdings'!$C$4:$C$2503,"&gt;0")&gt;0),'Companies'!$A$4:$A$63,"")))</f>
        <v/>
      </c>
      <c r="G455" s="30">
        <f>IF(A455="","",IF(COUNTIF('People'!$A$4:$A$1003,A455)=0,"Email not on People",IF(COUNTIF('Holders'!$A$4:$A$1003,B455)=0,"Unknown holder ID",IF(COUNTIFS($A$4:$A$1503,A455,$B$4:$B$1503,B455)&gt;1,"Duplicate link",IF(C455="","Missing access","OK")))))</f>
        <v/>
      </c>
    </row>
    <row r="456">
      <c r="A456" s="26" t="n"/>
      <c r="B456" s="26" t="n"/>
      <c r="C456" s="26" t="n"/>
      <c r="D456" s="26" t="n"/>
      <c r="E456" s="30">
        <f>IF(B456="","",IFERROR(INDEX('Holders'!$B$4:$B$1003,MATCH(B456,'Holders'!$A$4:$A$1003,0)),""))</f>
        <v/>
      </c>
      <c r="F456" s="30">
        <f t="array" ref="F456">IF(B456="","",_xlfn.TEXTJOIN(", ",TRUE,IF(('Companies'!$A$4:$A$63&lt;&gt;"")*(COUNTIFS('Holdings'!$A$4:$A$2503,B456,'Holdings'!$J$4:$J$2503,'Companies'!$A$4:$A$63,'Holdings'!$L$4:$L$2503,"Yes",'Holdings'!$C$4:$C$2503,"&gt;0")&gt;0),'Companies'!$A$4:$A$63,"")))</f>
        <v/>
      </c>
      <c r="G456" s="30">
        <f>IF(A456="","",IF(COUNTIF('People'!$A$4:$A$1003,A456)=0,"Email not on People",IF(COUNTIF('Holders'!$A$4:$A$1003,B456)=0,"Unknown holder ID",IF(COUNTIFS($A$4:$A$1503,A456,$B$4:$B$1503,B456)&gt;1,"Duplicate link",IF(C456="","Missing access","OK")))))</f>
        <v/>
      </c>
    </row>
    <row r="457">
      <c r="A457" s="26" t="n"/>
      <c r="B457" s="26" t="n"/>
      <c r="C457" s="26" t="n"/>
      <c r="D457" s="26" t="n"/>
      <c r="E457" s="30">
        <f>IF(B457="","",IFERROR(INDEX('Holders'!$B$4:$B$1003,MATCH(B457,'Holders'!$A$4:$A$1003,0)),""))</f>
        <v/>
      </c>
      <c r="F457" s="30">
        <f t="array" ref="F457">IF(B457="","",_xlfn.TEXTJOIN(", ",TRUE,IF(('Companies'!$A$4:$A$63&lt;&gt;"")*(COUNTIFS('Holdings'!$A$4:$A$2503,B457,'Holdings'!$J$4:$J$2503,'Companies'!$A$4:$A$63,'Holdings'!$L$4:$L$2503,"Yes",'Holdings'!$C$4:$C$2503,"&gt;0")&gt;0),'Companies'!$A$4:$A$63,"")))</f>
        <v/>
      </c>
      <c r="G457" s="30">
        <f>IF(A457="","",IF(COUNTIF('People'!$A$4:$A$1003,A457)=0,"Email not on People",IF(COUNTIF('Holders'!$A$4:$A$1003,B457)=0,"Unknown holder ID",IF(COUNTIFS($A$4:$A$1503,A457,$B$4:$B$1503,B457)&gt;1,"Duplicate link",IF(C457="","Missing access","OK")))))</f>
        <v/>
      </c>
    </row>
    <row r="458">
      <c r="A458" s="26" t="n"/>
      <c r="B458" s="26" t="n"/>
      <c r="C458" s="26" t="n"/>
      <c r="D458" s="26" t="n"/>
      <c r="E458" s="30">
        <f>IF(B458="","",IFERROR(INDEX('Holders'!$B$4:$B$1003,MATCH(B458,'Holders'!$A$4:$A$1003,0)),""))</f>
        <v/>
      </c>
      <c r="F458" s="30">
        <f t="array" ref="F458">IF(B458="","",_xlfn.TEXTJOIN(", ",TRUE,IF(('Companies'!$A$4:$A$63&lt;&gt;"")*(COUNTIFS('Holdings'!$A$4:$A$2503,B458,'Holdings'!$J$4:$J$2503,'Companies'!$A$4:$A$63,'Holdings'!$L$4:$L$2503,"Yes",'Holdings'!$C$4:$C$2503,"&gt;0")&gt;0),'Companies'!$A$4:$A$63,"")))</f>
        <v/>
      </c>
      <c r="G458" s="30">
        <f>IF(A458="","",IF(COUNTIF('People'!$A$4:$A$1003,A458)=0,"Email not on People",IF(COUNTIF('Holders'!$A$4:$A$1003,B458)=0,"Unknown holder ID",IF(COUNTIFS($A$4:$A$1503,A458,$B$4:$B$1503,B458)&gt;1,"Duplicate link",IF(C458="","Missing access","OK")))))</f>
        <v/>
      </c>
    </row>
    <row r="459">
      <c r="A459" s="26" t="n"/>
      <c r="B459" s="26" t="n"/>
      <c r="C459" s="26" t="n"/>
      <c r="D459" s="26" t="n"/>
      <c r="E459" s="30">
        <f>IF(B459="","",IFERROR(INDEX('Holders'!$B$4:$B$1003,MATCH(B459,'Holders'!$A$4:$A$1003,0)),""))</f>
        <v/>
      </c>
      <c r="F459" s="30">
        <f t="array" ref="F459">IF(B459="","",_xlfn.TEXTJOIN(", ",TRUE,IF(('Companies'!$A$4:$A$63&lt;&gt;"")*(COUNTIFS('Holdings'!$A$4:$A$2503,B459,'Holdings'!$J$4:$J$2503,'Companies'!$A$4:$A$63,'Holdings'!$L$4:$L$2503,"Yes",'Holdings'!$C$4:$C$2503,"&gt;0")&gt;0),'Companies'!$A$4:$A$63,"")))</f>
        <v/>
      </c>
      <c r="G459" s="30">
        <f>IF(A459="","",IF(COUNTIF('People'!$A$4:$A$1003,A459)=0,"Email not on People",IF(COUNTIF('Holders'!$A$4:$A$1003,B459)=0,"Unknown holder ID",IF(COUNTIFS($A$4:$A$1503,A459,$B$4:$B$1503,B459)&gt;1,"Duplicate link",IF(C459="","Missing access","OK")))))</f>
        <v/>
      </c>
    </row>
    <row r="460">
      <c r="A460" s="26" t="n"/>
      <c r="B460" s="26" t="n"/>
      <c r="C460" s="26" t="n"/>
      <c r="D460" s="26" t="n"/>
      <c r="E460" s="30">
        <f>IF(B460="","",IFERROR(INDEX('Holders'!$B$4:$B$1003,MATCH(B460,'Holders'!$A$4:$A$1003,0)),""))</f>
        <v/>
      </c>
      <c r="F460" s="30">
        <f t="array" ref="F460">IF(B460="","",_xlfn.TEXTJOIN(", ",TRUE,IF(('Companies'!$A$4:$A$63&lt;&gt;"")*(COUNTIFS('Holdings'!$A$4:$A$2503,B460,'Holdings'!$J$4:$J$2503,'Companies'!$A$4:$A$63,'Holdings'!$L$4:$L$2503,"Yes",'Holdings'!$C$4:$C$2503,"&gt;0")&gt;0),'Companies'!$A$4:$A$63,"")))</f>
        <v/>
      </c>
      <c r="G460" s="30">
        <f>IF(A460="","",IF(COUNTIF('People'!$A$4:$A$1003,A460)=0,"Email not on People",IF(COUNTIF('Holders'!$A$4:$A$1003,B460)=0,"Unknown holder ID",IF(COUNTIFS($A$4:$A$1503,A460,$B$4:$B$1503,B460)&gt;1,"Duplicate link",IF(C460="","Missing access","OK")))))</f>
        <v/>
      </c>
    </row>
    <row r="461">
      <c r="A461" s="26" t="n"/>
      <c r="B461" s="26" t="n"/>
      <c r="C461" s="26" t="n"/>
      <c r="D461" s="26" t="n"/>
      <c r="E461" s="30">
        <f>IF(B461="","",IFERROR(INDEX('Holders'!$B$4:$B$1003,MATCH(B461,'Holders'!$A$4:$A$1003,0)),""))</f>
        <v/>
      </c>
      <c r="F461" s="30">
        <f t="array" ref="F461">IF(B461="","",_xlfn.TEXTJOIN(", ",TRUE,IF(('Companies'!$A$4:$A$63&lt;&gt;"")*(COUNTIFS('Holdings'!$A$4:$A$2503,B461,'Holdings'!$J$4:$J$2503,'Companies'!$A$4:$A$63,'Holdings'!$L$4:$L$2503,"Yes",'Holdings'!$C$4:$C$2503,"&gt;0")&gt;0),'Companies'!$A$4:$A$63,"")))</f>
        <v/>
      </c>
      <c r="G461" s="30">
        <f>IF(A461="","",IF(COUNTIF('People'!$A$4:$A$1003,A461)=0,"Email not on People",IF(COUNTIF('Holders'!$A$4:$A$1003,B461)=0,"Unknown holder ID",IF(COUNTIFS($A$4:$A$1503,A461,$B$4:$B$1503,B461)&gt;1,"Duplicate link",IF(C461="","Missing access","OK")))))</f>
        <v/>
      </c>
    </row>
    <row r="462">
      <c r="A462" s="26" t="n"/>
      <c r="B462" s="26" t="n"/>
      <c r="C462" s="26" t="n"/>
      <c r="D462" s="26" t="n"/>
      <c r="E462" s="30">
        <f>IF(B462="","",IFERROR(INDEX('Holders'!$B$4:$B$1003,MATCH(B462,'Holders'!$A$4:$A$1003,0)),""))</f>
        <v/>
      </c>
      <c r="F462" s="30">
        <f t="array" ref="F462">IF(B462="","",_xlfn.TEXTJOIN(", ",TRUE,IF(('Companies'!$A$4:$A$63&lt;&gt;"")*(COUNTIFS('Holdings'!$A$4:$A$2503,B462,'Holdings'!$J$4:$J$2503,'Companies'!$A$4:$A$63,'Holdings'!$L$4:$L$2503,"Yes",'Holdings'!$C$4:$C$2503,"&gt;0")&gt;0),'Companies'!$A$4:$A$63,"")))</f>
        <v/>
      </c>
      <c r="G462" s="30">
        <f>IF(A462="","",IF(COUNTIF('People'!$A$4:$A$1003,A462)=0,"Email not on People",IF(COUNTIF('Holders'!$A$4:$A$1003,B462)=0,"Unknown holder ID",IF(COUNTIFS($A$4:$A$1503,A462,$B$4:$B$1503,B462)&gt;1,"Duplicate link",IF(C462="","Missing access","OK")))))</f>
        <v/>
      </c>
    </row>
    <row r="463">
      <c r="A463" s="26" t="n"/>
      <c r="B463" s="26" t="n"/>
      <c r="C463" s="26" t="n"/>
      <c r="D463" s="26" t="n"/>
      <c r="E463" s="30">
        <f>IF(B463="","",IFERROR(INDEX('Holders'!$B$4:$B$1003,MATCH(B463,'Holders'!$A$4:$A$1003,0)),""))</f>
        <v/>
      </c>
      <c r="F463" s="30">
        <f t="array" ref="F463">IF(B463="","",_xlfn.TEXTJOIN(", ",TRUE,IF(('Companies'!$A$4:$A$63&lt;&gt;"")*(COUNTIFS('Holdings'!$A$4:$A$2503,B463,'Holdings'!$J$4:$J$2503,'Companies'!$A$4:$A$63,'Holdings'!$L$4:$L$2503,"Yes",'Holdings'!$C$4:$C$2503,"&gt;0")&gt;0),'Companies'!$A$4:$A$63,"")))</f>
        <v/>
      </c>
      <c r="G463" s="30">
        <f>IF(A463="","",IF(COUNTIF('People'!$A$4:$A$1003,A463)=0,"Email not on People",IF(COUNTIF('Holders'!$A$4:$A$1003,B463)=0,"Unknown holder ID",IF(COUNTIFS($A$4:$A$1503,A463,$B$4:$B$1503,B463)&gt;1,"Duplicate link",IF(C463="","Missing access","OK")))))</f>
        <v/>
      </c>
    </row>
    <row r="464">
      <c r="A464" s="26" t="n"/>
      <c r="B464" s="26" t="n"/>
      <c r="C464" s="26" t="n"/>
      <c r="D464" s="26" t="n"/>
      <c r="E464" s="30">
        <f>IF(B464="","",IFERROR(INDEX('Holders'!$B$4:$B$1003,MATCH(B464,'Holders'!$A$4:$A$1003,0)),""))</f>
        <v/>
      </c>
      <c r="F464" s="30">
        <f t="array" ref="F464">IF(B464="","",_xlfn.TEXTJOIN(", ",TRUE,IF(('Companies'!$A$4:$A$63&lt;&gt;"")*(COUNTIFS('Holdings'!$A$4:$A$2503,B464,'Holdings'!$J$4:$J$2503,'Companies'!$A$4:$A$63,'Holdings'!$L$4:$L$2503,"Yes",'Holdings'!$C$4:$C$2503,"&gt;0")&gt;0),'Companies'!$A$4:$A$63,"")))</f>
        <v/>
      </c>
      <c r="G464" s="30">
        <f>IF(A464="","",IF(COUNTIF('People'!$A$4:$A$1003,A464)=0,"Email not on People",IF(COUNTIF('Holders'!$A$4:$A$1003,B464)=0,"Unknown holder ID",IF(COUNTIFS($A$4:$A$1503,A464,$B$4:$B$1503,B464)&gt;1,"Duplicate link",IF(C464="","Missing access","OK")))))</f>
        <v/>
      </c>
    </row>
    <row r="465">
      <c r="A465" s="26" t="n"/>
      <c r="B465" s="26" t="n"/>
      <c r="C465" s="26" t="n"/>
      <c r="D465" s="26" t="n"/>
      <c r="E465" s="30">
        <f>IF(B465="","",IFERROR(INDEX('Holders'!$B$4:$B$1003,MATCH(B465,'Holders'!$A$4:$A$1003,0)),""))</f>
        <v/>
      </c>
      <c r="F465" s="30">
        <f t="array" ref="F465">IF(B465="","",_xlfn.TEXTJOIN(", ",TRUE,IF(('Companies'!$A$4:$A$63&lt;&gt;"")*(COUNTIFS('Holdings'!$A$4:$A$2503,B465,'Holdings'!$J$4:$J$2503,'Companies'!$A$4:$A$63,'Holdings'!$L$4:$L$2503,"Yes",'Holdings'!$C$4:$C$2503,"&gt;0")&gt;0),'Companies'!$A$4:$A$63,"")))</f>
        <v/>
      </c>
      <c r="G465" s="30">
        <f>IF(A465="","",IF(COUNTIF('People'!$A$4:$A$1003,A465)=0,"Email not on People",IF(COUNTIF('Holders'!$A$4:$A$1003,B465)=0,"Unknown holder ID",IF(COUNTIFS($A$4:$A$1503,A465,$B$4:$B$1503,B465)&gt;1,"Duplicate link",IF(C465="","Missing access","OK")))))</f>
        <v/>
      </c>
    </row>
    <row r="466">
      <c r="A466" s="26" t="n"/>
      <c r="B466" s="26" t="n"/>
      <c r="C466" s="26" t="n"/>
      <c r="D466" s="26" t="n"/>
      <c r="E466" s="30">
        <f>IF(B466="","",IFERROR(INDEX('Holders'!$B$4:$B$1003,MATCH(B466,'Holders'!$A$4:$A$1003,0)),""))</f>
        <v/>
      </c>
      <c r="F466" s="30">
        <f t="array" ref="F466">IF(B466="","",_xlfn.TEXTJOIN(", ",TRUE,IF(('Companies'!$A$4:$A$63&lt;&gt;"")*(COUNTIFS('Holdings'!$A$4:$A$2503,B466,'Holdings'!$J$4:$J$2503,'Companies'!$A$4:$A$63,'Holdings'!$L$4:$L$2503,"Yes",'Holdings'!$C$4:$C$2503,"&gt;0")&gt;0),'Companies'!$A$4:$A$63,"")))</f>
        <v/>
      </c>
      <c r="G466" s="30">
        <f>IF(A466="","",IF(COUNTIF('People'!$A$4:$A$1003,A466)=0,"Email not on People",IF(COUNTIF('Holders'!$A$4:$A$1003,B466)=0,"Unknown holder ID",IF(COUNTIFS($A$4:$A$1503,A466,$B$4:$B$1503,B466)&gt;1,"Duplicate link",IF(C466="","Missing access","OK")))))</f>
        <v/>
      </c>
    </row>
    <row r="467">
      <c r="A467" s="26" t="n"/>
      <c r="B467" s="26" t="n"/>
      <c r="C467" s="26" t="n"/>
      <c r="D467" s="26" t="n"/>
      <c r="E467" s="30">
        <f>IF(B467="","",IFERROR(INDEX('Holders'!$B$4:$B$1003,MATCH(B467,'Holders'!$A$4:$A$1003,0)),""))</f>
        <v/>
      </c>
      <c r="F467" s="30">
        <f t="array" ref="F467">IF(B467="","",_xlfn.TEXTJOIN(", ",TRUE,IF(('Companies'!$A$4:$A$63&lt;&gt;"")*(COUNTIFS('Holdings'!$A$4:$A$2503,B467,'Holdings'!$J$4:$J$2503,'Companies'!$A$4:$A$63,'Holdings'!$L$4:$L$2503,"Yes",'Holdings'!$C$4:$C$2503,"&gt;0")&gt;0),'Companies'!$A$4:$A$63,"")))</f>
        <v/>
      </c>
      <c r="G467" s="30">
        <f>IF(A467="","",IF(COUNTIF('People'!$A$4:$A$1003,A467)=0,"Email not on People",IF(COUNTIF('Holders'!$A$4:$A$1003,B467)=0,"Unknown holder ID",IF(COUNTIFS($A$4:$A$1503,A467,$B$4:$B$1503,B467)&gt;1,"Duplicate link",IF(C467="","Missing access","OK")))))</f>
        <v/>
      </c>
    </row>
    <row r="468">
      <c r="A468" s="26" t="n"/>
      <c r="B468" s="26" t="n"/>
      <c r="C468" s="26" t="n"/>
      <c r="D468" s="26" t="n"/>
      <c r="E468" s="30">
        <f>IF(B468="","",IFERROR(INDEX('Holders'!$B$4:$B$1003,MATCH(B468,'Holders'!$A$4:$A$1003,0)),""))</f>
        <v/>
      </c>
      <c r="F468" s="30">
        <f t="array" ref="F468">IF(B468="","",_xlfn.TEXTJOIN(", ",TRUE,IF(('Companies'!$A$4:$A$63&lt;&gt;"")*(COUNTIFS('Holdings'!$A$4:$A$2503,B468,'Holdings'!$J$4:$J$2503,'Companies'!$A$4:$A$63,'Holdings'!$L$4:$L$2503,"Yes",'Holdings'!$C$4:$C$2503,"&gt;0")&gt;0),'Companies'!$A$4:$A$63,"")))</f>
        <v/>
      </c>
      <c r="G468" s="30">
        <f>IF(A468="","",IF(COUNTIF('People'!$A$4:$A$1003,A468)=0,"Email not on People",IF(COUNTIF('Holders'!$A$4:$A$1003,B468)=0,"Unknown holder ID",IF(COUNTIFS($A$4:$A$1503,A468,$B$4:$B$1503,B468)&gt;1,"Duplicate link",IF(C468="","Missing access","OK")))))</f>
        <v/>
      </c>
    </row>
    <row r="469">
      <c r="A469" s="26" t="n"/>
      <c r="B469" s="26" t="n"/>
      <c r="C469" s="26" t="n"/>
      <c r="D469" s="26" t="n"/>
      <c r="E469" s="30">
        <f>IF(B469="","",IFERROR(INDEX('Holders'!$B$4:$B$1003,MATCH(B469,'Holders'!$A$4:$A$1003,0)),""))</f>
        <v/>
      </c>
      <c r="F469" s="30">
        <f t="array" ref="F469">IF(B469="","",_xlfn.TEXTJOIN(", ",TRUE,IF(('Companies'!$A$4:$A$63&lt;&gt;"")*(COUNTIFS('Holdings'!$A$4:$A$2503,B469,'Holdings'!$J$4:$J$2503,'Companies'!$A$4:$A$63,'Holdings'!$L$4:$L$2503,"Yes",'Holdings'!$C$4:$C$2503,"&gt;0")&gt;0),'Companies'!$A$4:$A$63,"")))</f>
        <v/>
      </c>
      <c r="G469" s="30">
        <f>IF(A469="","",IF(COUNTIF('People'!$A$4:$A$1003,A469)=0,"Email not on People",IF(COUNTIF('Holders'!$A$4:$A$1003,B469)=0,"Unknown holder ID",IF(COUNTIFS($A$4:$A$1503,A469,$B$4:$B$1503,B469)&gt;1,"Duplicate link",IF(C469="","Missing access","OK")))))</f>
        <v/>
      </c>
    </row>
    <row r="470">
      <c r="A470" s="26" t="n"/>
      <c r="B470" s="26" t="n"/>
      <c r="C470" s="26" t="n"/>
      <c r="D470" s="26" t="n"/>
      <c r="E470" s="30">
        <f>IF(B470="","",IFERROR(INDEX('Holders'!$B$4:$B$1003,MATCH(B470,'Holders'!$A$4:$A$1003,0)),""))</f>
        <v/>
      </c>
      <c r="F470" s="30">
        <f t="array" ref="F470">IF(B470="","",_xlfn.TEXTJOIN(", ",TRUE,IF(('Companies'!$A$4:$A$63&lt;&gt;"")*(COUNTIFS('Holdings'!$A$4:$A$2503,B470,'Holdings'!$J$4:$J$2503,'Companies'!$A$4:$A$63,'Holdings'!$L$4:$L$2503,"Yes",'Holdings'!$C$4:$C$2503,"&gt;0")&gt;0),'Companies'!$A$4:$A$63,"")))</f>
        <v/>
      </c>
      <c r="G470" s="30">
        <f>IF(A470="","",IF(COUNTIF('People'!$A$4:$A$1003,A470)=0,"Email not on People",IF(COUNTIF('Holders'!$A$4:$A$1003,B470)=0,"Unknown holder ID",IF(COUNTIFS($A$4:$A$1503,A470,$B$4:$B$1503,B470)&gt;1,"Duplicate link",IF(C470="","Missing access","OK")))))</f>
        <v/>
      </c>
    </row>
    <row r="471">
      <c r="A471" s="26" t="n"/>
      <c r="B471" s="26" t="n"/>
      <c r="C471" s="26" t="n"/>
      <c r="D471" s="26" t="n"/>
      <c r="E471" s="30">
        <f>IF(B471="","",IFERROR(INDEX('Holders'!$B$4:$B$1003,MATCH(B471,'Holders'!$A$4:$A$1003,0)),""))</f>
        <v/>
      </c>
      <c r="F471" s="30">
        <f t="array" ref="F471">IF(B471="","",_xlfn.TEXTJOIN(", ",TRUE,IF(('Companies'!$A$4:$A$63&lt;&gt;"")*(COUNTIFS('Holdings'!$A$4:$A$2503,B471,'Holdings'!$J$4:$J$2503,'Companies'!$A$4:$A$63,'Holdings'!$L$4:$L$2503,"Yes",'Holdings'!$C$4:$C$2503,"&gt;0")&gt;0),'Companies'!$A$4:$A$63,"")))</f>
        <v/>
      </c>
      <c r="G471" s="30">
        <f>IF(A471="","",IF(COUNTIF('People'!$A$4:$A$1003,A471)=0,"Email not on People",IF(COUNTIF('Holders'!$A$4:$A$1003,B471)=0,"Unknown holder ID",IF(COUNTIFS($A$4:$A$1503,A471,$B$4:$B$1503,B471)&gt;1,"Duplicate link",IF(C471="","Missing access","OK")))))</f>
        <v/>
      </c>
    </row>
    <row r="472">
      <c r="A472" s="26" t="n"/>
      <c r="B472" s="26" t="n"/>
      <c r="C472" s="26" t="n"/>
      <c r="D472" s="26" t="n"/>
      <c r="E472" s="30">
        <f>IF(B472="","",IFERROR(INDEX('Holders'!$B$4:$B$1003,MATCH(B472,'Holders'!$A$4:$A$1003,0)),""))</f>
        <v/>
      </c>
      <c r="F472" s="30">
        <f t="array" ref="F472">IF(B472="","",_xlfn.TEXTJOIN(", ",TRUE,IF(('Companies'!$A$4:$A$63&lt;&gt;"")*(COUNTIFS('Holdings'!$A$4:$A$2503,B472,'Holdings'!$J$4:$J$2503,'Companies'!$A$4:$A$63,'Holdings'!$L$4:$L$2503,"Yes",'Holdings'!$C$4:$C$2503,"&gt;0")&gt;0),'Companies'!$A$4:$A$63,"")))</f>
        <v/>
      </c>
      <c r="G472" s="30">
        <f>IF(A472="","",IF(COUNTIF('People'!$A$4:$A$1003,A472)=0,"Email not on People",IF(COUNTIF('Holders'!$A$4:$A$1003,B472)=0,"Unknown holder ID",IF(COUNTIFS($A$4:$A$1503,A472,$B$4:$B$1503,B472)&gt;1,"Duplicate link",IF(C472="","Missing access","OK")))))</f>
        <v/>
      </c>
    </row>
    <row r="473">
      <c r="A473" s="26" t="n"/>
      <c r="B473" s="26" t="n"/>
      <c r="C473" s="26" t="n"/>
      <c r="D473" s="26" t="n"/>
      <c r="E473" s="30">
        <f>IF(B473="","",IFERROR(INDEX('Holders'!$B$4:$B$1003,MATCH(B473,'Holders'!$A$4:$A$1003,0)),""))</f>
        <v/>
      </c>
      <c r="F473" s="30">
        <f t="array" ref="F473">IF(B473="","",_xlfn.TEXTJOIN(", ",TRUE,IF(('Companies'!$A$4:$A$63&lt;&gt;"")*(COUNTIFS('Holdings'!$A$4:$A$2503,B473,'Holdings'!$J$4:$J$2503,'Companies'!$A$4:$A$63,'Holdings'!$L$4:$L$2503,"Yes",'Holdings'!$C$4:$C$2503,"&gt;0")&gt;0),'Companies'!$A$4:$A$63,"")))</f>
        <v/>
      </c>
      <c r="G473" s="30">
        <f>IF(A473="","",IF(COUNTIF('People'!$A$4:$A$1003,A473)=0,"Email not on People",IF(COUNTIF('Holders'!$A$4:$A$1003,B473)=0,"Unknown holder ID",IF(COUNTIFS($A$4:$A$1503,A473,$B$4:$B$1503,B473)&gt;1,"Duplicate link",IF(C473="","Missing access","OK")))))</f>
        <v/>
      </c>
    </row>
    <row r="474">
      <c r="A474" s="26" t="n"/>
      <c r="B474" s="26" t="n"/>
      <c r="C474" s="26" t="n"/>
      <c r="D474" s="26" t="n"/>
      <c r="E474" s="30">
        <f>IF(B474="","",IFERROR(INDEX('Holders'!$B$4:$B$1003,MATCH(B474,'Holders'!$A$4:$A$1003,0)),""))</f>
        <v/>
      </c>
      <c r="F474" s="30">
        <f t="array" ref="F474">IF(B474="","",_xlfn.TEXTJOIN(", ",TRUE,IF(('Companies'!$A$4:$A$63&lt;&gt;"")*(COUNTIFS('Holdings'!$A$4:$A$2503,B474,'Holdings'!$J$4:$J$2503,'Companies'!$A$4:$A$63,'Holdings'!$L$4:$L$2503,"Yes",'Holdings'!$C$4:$C$2503,"&gt;0")&gt;0),'Companies'!$A$4:$A$63,"")))</f>
        <v/>
      </c>
      <c r="G474" s="30">
        <f>IF(A474="","",IF(COUNTIF('People'!$A$4:$A$1003,A474)=0,"Email not on People",IF(COUNTIF('Holders'!$A$4:$A$1003,B474)=0,"Unknown holder ID",IF(COUNTIFS($A$4:$A$1503,A474,$B$4:$B$1503,B474)&gt;1,"Duplicate link",IF(C474="","Missing access","OK")))))</f>
        <v/>
      </c>
    </row>
    <row r="475">
      <c r="A475" s="26" t="n"/>
      <c r="B475" s="26" t="n"/>
      <c r="C475" s="26" t="n"/>
      <c r="D475" s="26" t="n"/>
      <c r="E475" s="30">
        <f>IF(B475="","",IFERROR(INDEX('Holders'!$B$4:$B$1003,MATCH(B475,'Holders'!$A$4:$A$1003,0)),""))</f>
        <v/>
      </c>
      <c r="F475" s="30">
        <f t="array" ref="F475">IF(B475="","",_xlfn.TEXTJOIN(", ",TRUE,IF(('Companies'!$A$4:$A$63&lt;&gt;"")*(COUNTIFS('Holdings'!$A$4:$A$2503,B475,'Holdings'!$J$4:$J$2503,'Companies'!$A$4:$A$63,'Holdings'!$L$4:$L$2503,"Yes",'Holdings'!$C$4:$C$2503,"&gt;0")&gt;0),'Companies'!$A$4:$A$63,"")))</f>
        <v/>
      </c>
      <c r="G475" s="30">
        <f>IF(A475="","",IF(COUNTIF('People'!$A$4:$A$1003,A475)=0,"Email not on People",IF(COUNTIF('Holders'!$A$4:$A$1003,B475)=0,"Unknown holder ID",IF(COUNTIFS($A$4:$A$1503,A475,$B$4:$B$1503,B475)&gt;1,"Duplicate link",IF(C475="","Missing access","OK")))))</f>
        <v/>
      </c>
    </row>
    <row r="476">
      <c r="A476" s="26" t="n"/>
      <c r="B476" s="26" t="n"/>
      <c r="C476" s="26" t="n"/>
      <c r="D476" s="26" t="n"/>
      <c r="E476" s="30">
        <f>IF(B476="","",IFERROR(INDEX('Holders'!$B$4:$B$1003,MATCH(B476,'Holders'!$A$4:$A$1003,0)),""))</f>
        <v/>
      </c>
      <c r="F476" s="30">
        <f t="array" ref="F476">IF(B476="","",_xlfn.TEXTJOIN(", ",TRUE,IF(('Companies'!$A$4:$A$63&lt;&gt;"")*(COUNTIFS('Holdings'!$A$4:$A$2503,B476,'Holdings'!$J$4:$J$2503,'Companies'!$A$4:$A$63,'Holdings'!$L$4:$L$2503,"Yes",'Holdings'!$C$4:$C$2503,"&gt;0")&gt;0),'Companies'!$A$4:$A$63,"")))</f>
        <v/>
      </c>
      <c r="G476" s="30">
        <f>IF(A476="","",IF(COUNTIF('People'!$A$4:$A$1003,A476)=0,"Email not on People",IF(COUNTIF('Holders'!$A$4:$A$1003,B476)=0,"Unknown holder ID",IF(COUNTIFS($A$4:$A$1503,A476,$B$4:$B$1503,B476)&gt;1,"Duplicate link",IF(C476="","Missing access","OK")))))</f>
        <v/>
      </c>
    </row>
    <row r="477">
      <c r="A477" s="26" t="n"/>
      <c r="B477" s="26" t="n"/>
      <c r="C477" s="26" t="n"/>
      <c r="D477" s="26" t="n"/>
      <c r="E477" s="30">
        <f>IF(B477="","",IFERROR(INDEX('Holders'!$B$4:$B$1003,MATCH(B477,'Holders'!$A$4:$A$1003,0)),""))</f>
        <v/>
      </c>
      <c r="F477" s="30">
        <f t="array" ref="F477">IF(B477="","",_xlfn.TEXTJOIN(", ",TRUE,IF(('Companies'!$A$4:$A$63&lt;&gt;"")*(COUNTIFS('Holdings'!$A$4:$A$2503,B477,'Holdings'!$J$4:$J$2503,'Companies'!$A$4:$A$63,'Holdings'!$L$4:$L$2503,"Yes",'Holdings'!$C$4:$C$2503,"&gt;0")&gt;0),'Companies'!$A$4:$A$63,"")))</f>
        <v/>
      </c>
      <c r="G477" s="30">
        <f>IF(A477="","",IF(COUNTIF('People'!$A$4:$A$1003,A477)=0,"Email not on People",IF(COUNTIF('Holders'!$A$4:$A$1003,B477)=0,"Unknown holder ID",IF(COUNTIFS($A$4:$A$1503,A477,$B$4:$B$1503,B477)&gt;1,"Duplicate link",IF(C477="","Missing access","OK")))))</f>
        <v/>
      </c>
    </row>
    <row r="478">
      <c r="A478" s="26" t="n"/>
      <c r="B478" s="26" t="n"/>
      <c r="C478" s="26" t="n"/>
      <c r="D478" s="26" t="n"/>
      <c r="E478" s="30">
        <f>IF(B478="","",IFERROR(INDEX('Holders'!$B$4:$B$1003,MATCH(B478,'Holders'!$A$4:$A$1003,0)),""))</f>
        <v/>
      </c>
      <c r="F478" s="30">
        <f t="array" ref="F478">IF(B478="","",_xlfn.TEXTJOIN(", ",TRUE,IF(('Companies'!$A$4:$A$63&lt;&gt;"")*(COUNTIFS('Holdings'!$A$4:$A$2503,B478,'Holdings'!$J$4:$J$2503,'Companies'!$A$4:$A$63,'Holdings'!$L$4:$L$2503,"Yes",'Holdings'!$C$4:$C$2503,"&gt;0")&gt;0),'Companies'!$A$4:$A$63,"")))</f>
        <v/>
      </c>
      <c r="G478" s="30">
        <f>IF(A478="","",IF(COUNTIF('People'!$A$4:$A$1003,A478)=0,"Email not on People",IF(COUNTIF('Holders'!$A$4:$A$1003,B478)=0,"Unknown holder ID",IF(COUNTIFS($A$4:$A$1503,A478,$B$4:$B$1503,B478)&gt;1,"Duplicate link",IF(C478="","Missing access","OK")))))</f>
        <v/>
      </c>
    </row>
    <row r="479">
      <c r="A479" s="26" t="n"/>
      <c r="B479" s="26" t="n"/>
      <c r="C479" s="26" t="n"/>
      <c r="D479" s="26" t="n"/>
      <c r="E479" s="30">
        <f>IF(B479="","",IFERROR(INDEX('Holders'!$B$4:$B$1003,MATCH(B479,'Holders'!$A$4:$A$1003,0)),""))</f>
        <v/>
      </c>
      <c r="F479" s="30">
        <f t="array" ref="F479">IF(B479="","",_xlfn.TEXTJOIN(", ",TRUE,IF(('Companies'!$A$4:$A$63&lt;&gt;"")*(COUNTIFS('Holdings'!$A$4:$A$2503,B479,'Holdings'!$J$4:$J$2503,'Companies'!$A$4:$A$63,'Holdings'!$L$4:$L$2503,"Yes",'Holdings'!$C$4:$C$2503,"&gt;0")&gt;0),'Companies'!$A$4:$A$63,"")))</f>
        <v/>
      </c>
      <c r="G479" s="30">
        <f>IF(A479="","",IF(COUNTIF('People'!$A$4:$A$1003,A479)=0,"Email not on People",IF(COUNTIF('Holders'!$A$4:$A$1003,B479)=0,"Unknown holder ID",IF(COUNTIFS($A$4:$A$1503,A479,$B$4:$B$1503,B479)&gt;1,"Duplicate link",IF(C479="","Missing access","OK")))))</f>
        <v/>
      </c>
    </row>
    <row r="480">
      <c r="A480" s="26" t="n"/>
      <c r="B480" s="26" t="n"/>
      <c r="C480" s="26" t="n"/>
      <c r="D480" s="26" t="n"/>
      <c r="E480" s="30">
        <f>IF(B480="","",IFERROR(INDEX('Holders'!$B$4:$B$1003,MATCH(B480,'Holders'!$A$4:$A$1003,0)),""))</f>
        <v/>
      </c>
      <c r="F480" s="30">
        <f t="array" ref="F480">IF(B480="","",_xlfn.TEXTJOIN(", ",TRUE,IF(('Companies'!$A$4:$A$63&lt;&gt;"")*(COUNTIFS('Holdings'!$A$4:$A$2503,B480,'Holdings'!$J$4:$J$2503,'Companies'!$A$4:$A$63,'Holdings'!$L$4:$L$2503,"Yes",'Holdings'!$C$4:$C$2503,"&gt;0")&gt;0),'Companies'!$A$4:$A$63,"")))</f>
        <v/>
      </c>
      <c r="G480" s="30">
        <f>IF(A480="","",IF(COUNTIF('People'!$A$4:$A$1003,A480)=0,"Email not on People",IF(COUNTIF('Holders'!$A$4:$A$1003,B480)=0,"Unknown holder ID",IF(COUNTIFS($A$4:$A$1503,A480,$B$4:$B$1503,B480)&gt;1,"Duplicate link",IF(C480="","Missing access","OK")))))</f>
        <v/>
      </c>
    </row>
    <row r="481">
      <c r="A481" s="26" t="n"/>
      <c r="B481" s="26" t="n"/>
      <c r="C481" s="26" t="n"/>
      <c r="D481" s="26" t="n"/>
      <c r="E481" s="30">
        <f>IF(B481="","",IFERROR(INDEX('Holders'!$B$4:$B$1003,MATCH(B481,'Holders'!$A$4:$A$1003,0)),""))</f>
        <v/>
      </c>
      <c r="F481" s="30">
        <f t="array" ref="F481">IF(B481="","",_xlfn.TEXTJOIN(", ",TRUE,IF(('Companies'!$A$4:$A$63&lt;&gt;"")*(COUNTIFS('Holdings'!$A$4:$A$2503,B481,'Holdings'!$J$4:$J$2503,'Companies'!$A$4:$A$63,'Holdings'!$L$4:$L$2503,"Yes",'Holdings'!$C$4:$C$2503,"&gt;0")&gt;0),'Companies'!$A$4:$A$63,"")))</f>
        <v/>
      </c>
      <c r="G481" s="30">
        <f>IF(A481="","",IF(COUNTIF('People'!$A$4:$A$1003,A481)=0,"Email not on People",IF(COUNTIF('Holders'!$A$4:$A$1003,B481)=0,"Unknown holder ID",IF(COUNTIFS($A$4:$A$1503,A481,$B$4:$B$1503,B481)&gt;1,"Duplicate link",IF(C481="","Missing access","OK")))))</f>
        <v/>
      </c>
    </row>
    <row r="482">
      <c r="A482" s="26" t="n"/>
      <c r="B482" s="26" t="n"/>
      <c r="C482" s="26" t="n"/>
      <c r="D482" s="26" t="n"/>
      <c r="E482" s="30">
        <f>IF(B482="","",IFERROR(INDEX('Holders'!$B$4:$B$1003,MATCH(B482,'Holders'!$A$4:$A$1003,0)),""))</f>
        <v/>
      </c>
      <c r="F482" s="30">
        <f t="array" ref="F482">IF(B482="","",_xlfn.TEXTJOIN(", ",TRUE,IF(('Companies'!$A$4:$A$63&lt;&gt;"")*(COUNTIFS('Holdings'!$A$4:$A$2503,B482,'Holdings'!$J$4:$J$2503,'Companies'!$A$4:$A$63,'Holdings'!$L$4:$L$2503,"Yes",'Holdings'!$C$4:$C$2503,"&gt;0")&gt;0),'Companies'!$A$4:$A$63,"")))</f>
        <v/>
      </c>
      <c r="G482" s="30">
        <f>IF(A482="","",IF(COUNTIF('People'!$A$4:$A$1003,A482)=0,"Email not on People",IF(COUNTIF('Holders'!$A$4:$A$1003,B482)=0,"Unknown holder ID",IF(COUNTIFS($A$4:$A$1503,A482,$B$4:$B$1503,B482)&gt;1,"Duplicate link",IF(C482="","Missing access","OK")))))</f>
        <v/>
      </c>
    </row>
    <row r="483">
      <c r="A483" s="26" t="n"/>
      <c r="B483" s="26" t="n"/>
      <c r="C483" s="26" t="n"/>
      <c r="D483" s="26" t="n"/>
      <c r="E483" s="30">
        <f>IF(B483="","",IFERROR(INDEX('Holders'!$B$4:$B$1003,MATCH(B483,'Holders'!$A$4:$A$1003,0)),""))</f>
        <v/>
      </c>
      <c r="F483" s="30">
        <f t="array" ref="F483">IF(B483="","",_xlfn.TEXTJOIN(", ",TRUE,IF(('Companies'!$A$4:$A$63&lt;&gt;"")*(COUNTIFS('Holdings'!$A$4:$A$2503,B483,'Holdings'!$J$4:$J$2503,'Companies'!$A$4:$A$63,'Holdings'!$L$4:$L$2503,"Yes",'Holdings'!$C$4:$C$2503,"&gt;0")&gt;0),'Companies'!$A$4:$A$63,"")))</f>
        <v/>
      </c>
      <c r="G483" s="30">
        <f>IF(A483="","",IF(COUNTIF('People'!$A$4:$A$1003,A483)=0,"Email not on People",IF(COUNTIF('Holders'!$A$4:$A$1003,B483)=0,"Unknown holder ID",IF(COUNTIFS($A$4:$A$1503,A483,$B$4:$B$1503,B483)&gt;1,"Duplicate link",IF(C483="","Missing access","OK")))))</f>
        <v/>
      </c>
    </row>
    <row r="484">
      <c r="A484" s="26" t="n"/>
      <c r="B484" s="26" t="n"/>
      <c r="C484" s="26" t="n"/>
      <c r="D484" s="26" t="n"/>
      <c r="E484" s="30">
        <f>IF(B484="","",IFERROR(INDEX('Holders'!$B$4:$B$1003,MATCH(B484,'Holders'!$A$4:$A$1003,0)),""))</f>
        <v/>
      </c>
      <c r="F484" s="30">
        <f t="array" ref="F484">IF(B484="","",_xlfn.TEXTJOIN(", ",TRUE,IF(('Companies'!$A$4:$A$63&lt;&gt;"")*(COUNTIFS('Holdings'!$A$4:$A$2503,B484,'Holdings'!$J$4:$J$2503,'Companies'!$A$4:$A$63,'Holdings'!$L$4:$L$2503,"Yes",'Holdings'!$C$4:$C$2503,"&gt;0")&gt;0),'Companies'!$A$4:$A$63,"")))</f>
        <v/>
      </c>
      <c r="G484" s="30">
        <f>IF(A484="","",IF(COUNTIF('People'!$A$4:$A$1003,A484)=0,"Email not on People",IF(COUNTIF('Holders'!$A$4:$A$1003,B484)=0,"Unknown holder ID",IF(COUNTIFS($A$4:$A$1503,A484,$B$4:$B$1503,B484)&gt;1,"Duplicate link",IF(C484="","Missing access","OK")))))</f>
        <v/>
      </c>
    </row>
    <row r="485">
      <c r="A485" s="26" t="n"/>
      <c r="B485" s="26" t="n"/>
      <c r="C485" s="26" t="n"/>
      <c r="D485" s="26" t="n"/>
      <c r="E485" s="30">
        <f>IF(B485="","",IFERROR(INDEX('Holders'!$B$4:$B$1003,MATCH(B485,'Holders'!$A$4:$A$1003,0)),""))</f>
        <v/>
      </c>
      <c r="F485" s="30">
        <f t="array" ref="F485">IF(B485="","",_xlfn.TEXTJOIN(", ",TRUE,IF(('Companies'!$A$4:$A$63&lt;&gt;"")*(COUNTIFS('Holdings'!$A$4:$A$2503,B485,'Holdings'!$J$4:$J$2503,'Companies'!$A$4:$A$63,'Holdings'!$L$4:$L$2503,"Yes",'Holdings'!$C$4:$C$2503,"&gt;0")&gt;0),'Companies'!$A$4:$A$63,"")))</f>
        <v/>
      </c>
      <c r="G485" s="30">
        <f>IF(A485="","",IF(COUNTIF('People'!$A$4:$A$1003,A485)=0,"Email not on People",IF(COUNTIF('Holders'!$A$4:$A$1003,B485)=0,"Unknown holder ID",IF(COUNTIFS($A$4:$A$1503,A485,$B$4:$B$1503,B485)&gt;1,"Duplicate link",IF(C485="","Missing access","OK")))))</f>
        <v/>
      </c>
    </row>
    <row r="486">
      <c r="A486" s="26" t="n"/>
      <c r="B486" s="26" t="n"/>
      <c r="C486" s="26" t="n"/>
      <c r="D486" s="26" t="n"/>
      <c r="E486" s="30">
        <f>IF(B486="","",IFERROR(INDEX('Holders'!$B$4:$B$1003,MATCH(B486,'Holders'!$A$4:$A$1003,0)),""))</f>
        <v/>
      </c>
      <c r="F486" s="30">
        <f t="array" ref="F486">IF(B486="","",_xlfn.TEXTJOIN(", ",TRUE,IF(('Companies'!$A$4:$A$63&lt;&gt;"")*(COUNTIFS('Holdings'!$A$4:$A$2503,B486,'Holdings'!$J$4:$J$2503,'Companies'!$A$4:$A$63,'Holdings'!$L$4:$L$2503,"Yes",'Holdings'!$C$4:$C$2503,"&gt;0")&gt;0),'Companies'!$A$4:$A$63,"")))</f>
        <v/>
      </c>
      <c r="G486" s="30">
        <f>IF(A486="","",IF(COUNTIF('People'!$A$4:$A$1003,A486)=0,"Email not on People",IF(COUNTIF('Holders'!$A$4:$A$1003,B486)=0,"Unknown holder ID",IF(COUNTIFS($A$4:$A$1503,A486,$B$4:$B$1503,B486)&gt;1,"Duplicate link",IF(C486="","Missing access","OK")))))</f>
        <v/>
      </c>
    </row>
    <row r="487">
      <c r="A487" s="26" t="n"/>
      <c r="B487" s="26" t="n"/>
      <c r="C487" s="26" t="n"/>
      <c r="D487" s="26" t="n"/>
      <c r="E487" s="30">
        <f>IF(B487="","",IFERROR(INDEX('Holders'!$B$4:$B$1003,MATCH(B487,'Holders'!$A$4:$A$1003,0)),""))</f>
        <v/>
      </c>
      <c r="F487" s="30">
        <f t="array" ref="F487">IF(B487="","",_xlfn.TEXTJOIN(", ",TRUE,IF(('Companies'!$A$4:$A$63&lt;&gt;"")*(COUNTIFS('Holdings'!$A$4:$A$2503,B487,'Holdings'!$J$4:$J$2503,'Companies'!$A$4:$A$63,'Holdings'!$L$4:$L$2503,"Yes",'Holdings'!$C$4:$C$2503,"&gt;0")&gt;0),'Companies'!$A$4:$A$63,"")))</f>
        <v/>
      </c>
      <c r="G487" s="30">
        <f>IF(A487="","",IF(COUNTIF('People'!$A$4:$A$1003,A487)=0,"Email not on People",IF(COUNTIF('Holders'!$A$4:$A$1003,B487)=0,"Unknown holder ID",IF(COUNTIFS($A$4:$A$1503,A487,$B$4:$B$1503,B487)&gt;1,"Duplicate link",IF(C487="","Missing access","OK")))))</f>
        <v/>
      </c>
    </row>
    <row r="488">
      <c r="A488" s="26" t="n"/>
      <c r="B488" s="26" t="n"/>
      <c r="C488" s="26" t="n"/>
      <c r="D488" s="26" t="n"/>
      <c r="E488" s="30">
        <f>IF(B488="","",IFERROR(INDEX('Holders'!$B$4:$B$1003,MATCH(B488,'Holders'!$A$4:$A$1003,0)),""))</f>
        <v/>
      </c>
      <c r="F488" s="30">
        <f t="array" ref="F488">IF(B488="","",_xlfn.TEXTJOIN(", ",TRUE,IF(('Companies'!$A$4:$A$63&lt;&gt;"")*(COUNTIFS('Holdings'!$A$4:$A$2503,B488,'Holdings'!$J$4:$J$2503,'Companies'!$A$4:$A$63,'Holdings'!$L$4:$L$2503,"Yes",'Holdings'!$C$4:$C$2503,"&gt;0")&gt;0),'Companies'!$A$4:$A$63,"")))</f>
        <v/>
      </c>
      <c r="G488" s="30">
        <f>IF(A488="","",IF(COUNTIF('People'!$A$4:$A$1003,A488)=0,"Email not on People",IF(COUNTIF('Holders'!$A$4:$A$1003,B488)=0,"Unknown holder ID",IF(COUNTIFS($A$4:$A$1503,A488,$B$4:$B$1503,B488)&gt;1,"Duplicate link",IF(C488="","Missing access","OK")))))</f>
        <v/>
      </c>
    </row>
    <row r="489">
      <c r="A489" s="26" t="n"/>
      <c r="B489" s="26" t="n"/>
      <c r="C489" s="26" t="n"/>
      <c r="D489" s="26" t="n"/>
      <c r="E489" s="30">
        <f>IF(B489="","",IFERROR(INDEX('Holders'!$B$4:$B$1003,MATCH(B489,'Holders'!$A$4:$A$1003,0)),""))</f>
        <v/>
      </c>
      <c r="F489" s="30">
        <f t="array" ref="F489">IF(B489="","",_xlfn.TEXTJOIN(", ",TRUE,IF(('Companies'!$A$4:$A$63&lt;&gt;"")*(COUNTIFS('Holdings'!$A$4:$A$2503,B489,'Holdings'!$J$4:$J$2503,'Companies'!$A$4:$A$63,'Holdings'!$L$4:$L$2503,"Yes",'Holdings'!$C$4:$C$2503,"&gt;0")&gt;0),'Companies'!$A$4:$A$63,"")))</f>
        <v/>
      </c>
      <c r="G489" s="30">
        <f>IF(A489="","",IF(COUNTIF('People'!$A$4:$A$1003,A489)=0,"Email not on People",IF(COUNTIF('Holders'!$A$4:$A$1003,B489)=0,"Unknown holder ID",IF(COUNTIFS($A$4:$A$1503,A489,$B$4:$B$1503,B489)&gt;1,"Duplicate link",IF(C489="","Missing access","OK")))))</f>
        <v/>
      </c>
    </row>
    <row r="490">
      <c r="A490" s="26" t="n"/>
      <c r="B490" s="26" t="n"/>
      <c r="C490" s="26" t="n"/>
      <c r="D490" s="26" t="n"/>
      <c r="E490" s="30">
        <f>IF(B490="","",IFERROR(INDEX('Holders'!$B$4:$B$1003,MATCH(B490,'Holders'!$A$4:$A$1003,0)),""))</f>
        <v/>
      </c>
      <c r="F490" s="30">
        <f t="array" ref="F490">IF(B490="","",_xlfn.TEXTJOIN(", ",TRUE,IF(('Companies'!$A$4:$A$63&lt;&gt;"")*(COUNTIFS('Holdings'!$A$4:$A$2503,B490,'Holdings'!$J$4:$J$2503,'Companies'!$A$4:$A$63,'Holdings'!$L$4:$L$2503,"Yes",'Holdings'!$C$4:$C$2503,"&gt;0")&gt;0),'Companies'!$A$4:$A$63,"")))</f>
        <v/>
      </c>
      <c r="G490" s="30">
        <f>IF(A490="","",IF(COUNTIF('People'!$A$4:$A$1003,A490)=0,"Email not on People",IF(COUNTIF('Holders'!$A$4:$A$1003,B490)=0,"Unknown holder ID",IF(COUNTIFS($A$4:$A$1503,A490,$B$4:$B$1503,B490)&gt;1,"Duplicate link",IF(C490="","Missing access","OK")))))</f>
        <v/>
      </c>
    </row>
    <row r="491">
      <c r="A491" s="26" t="n"/>
      <c r="B491" s="26" t="n"/>
      <c r="C491" s="26" t="n"/>
      <c r="D491" s="26" t="n"/>
      <c r="E491" s="30">
        <f>IF(B491="","",IFERROR(INDEX('Holders'!$B$4:$B$1003,MATCH(B491,'Holders'!$A$4:$A$1003,0)),""))</f>
        <v/>
      </c>
      <c r="F491" s="30">
        <f t="array" ref="F491">IF(B491="","",_xlfn.TEXTJOIN(", ",TRUE,IF(('Companies'!$A$4:$A$63&lt;&gt;"")*(COUNTIFS('Holdings'!$A$4:$A$2503,B491,'Holdings'!$J$4:$J$2503,'Companies'!$A$4:$A$63,'Holdings'!$L$4:$L$2503,"Yes",'Holdings'!$C$4:$C$2503,"&gt;0")&gt;0),'Companies'!$A$4:$A$63,"")))</f>
        <v/>
      </c>
      <c r="G491" s="30">
        <f>IF(A491="","",IF(COUNTIF('People'!$A$4:$A$1003,A491)=0,"Email not on People",IF(COUNTIF('Holders'!$A$4:$A$1003,B491)=0,"Unknown holder ID",IF(COUNTIFS($A$4:$A$1503,A491,$B$4:$B$1503,B491)&gt;1,"Duplicate link",IF(C491="","Missing access","OK")))))</f>
        <v/>
      </c>
    </row>
    <row r="492">
      <c r="A492" s="26" t="n"/>
      <c r="B492" s="26" t="n"/>
      <c r="C492" s="26" t="n"/>
      <c r="D492" s="26" t="n"/>
      <c r="E492" s="30">
        <f>IF(B492="","",IFERROR(INDEX('Holders'!$B$4:$B$1003,MATCH(B492,'Holders'!$A$4:$A$1003,0)),""))</f>
        <v/>
      </c>
      <c r="F492" s="30">
        <f t="array" ref="F492">IF(B492="","",_xlfn.TEXTJOIN(", ",TRUE,IF(('Companies'!$A$4:$A$63&lt;&gt;"")*(COUNTIFS('Holdings'!$A$4:$A$2503,B492,'Holdings'!$J$4:$J$2503,'Companies'!$A$4:$A$63,'Holdings'!$L$4:$L$2503,"Yes",'Holdings'!$C$4:$C$2503,"&gt;0")&gt;0),'Companies'!$A$4:$A$63,"")))</f>
        <v/>
      </c>
      <c r="G492" s="30">
        <f>IF(A492="","",IF(COUNTIF('People'!$A$4:$A$1003,A492)=0,"Email not on People",IF(COUNTIF('Holders'!$A$4:$A$1003,B492)=0,"Unknown holder ID",IF(COUNTIFS($A$4:$A$1503,A492,$B$4:$B$1503,B492)&gt;1,"Duplicate link",IF(C492="","Missing access","OK")))))</f>
        <v/>
      </c>
    </row>
    <row r="493">
      <c r="A493" s="26" t="n"/>
      <c r="B493" s="26" t="n"/>
      <c r="C493" s="26" t="n"/>
      <c r="D493" s="26" t="n"/>
      <c r="E493" s="30">
        <f>IF(B493="","",IFERROR(INDEX('Holders'!$B$4:$B$1003,MATCH(B493,'Holders'!$A$4:$A$1003,0)),""))</f>
        <v/>
      </c>
      <c r="F493" s="30">
        <f t="array" ref="F493">IF(B493="","",_xlfn.TEXTJOIN(", ",TRUE,IF(('Companies'!$A$4:$A$63&lt;&gt;"")*(COUNTIFS('Holdings'!$A$4:$A$2503,B493,'Holdings'!$J$4:$J$2503,'Companies'!$A$4:$A$63,'Holdings'!$L$4:$L$2503,"Yes",'Holdings'!$C$4:$C$2503,"&gt;0")&gt;0),'Companies'!$A$4:$A$63,"")))</f>
        <v/>
      </c>
      <c r="G493" s="30">
        <f>IF(A493="","",IF(COUNTIF('People'!$A$4:$A$1003,A493)=0,"Email not on People",IF(COUNTIF('Holders'!$A$4:$A$1003,B493)=0,"Unknown holder ID",IF(COUNTIFS($A$4:$A$1503,A493,$B$4:$B$1503,B493)&gt;1,"Duplicate link",IF(C493="","Missing access","OK")))))</f>
        <v/>
      </c>
    </row>
    <row r="494">
      <c r="A494" s="26" t="n"/>
      <c r="B494" s="26" t="n"/>
      <c r="C494" s="26" t="n"/>
      <c r="D494" s="26" t="n"/>
      <c r="E494" s="30">
        <f>IF(B494="","",IFERROR(INDEX('Holders'!$B$4:$B$1003,MATCH(B494,'Holders'!$A$4:$A$1003,0)),""))</f>
        <v/>
      </c>
      <c r="F494" s="30">
        <f t="array" ref="F494">IF(B494="","",_xlfn.TEXTJOIN(", ",TRUE,IF(('Companies'!$A$4:$A$63&lt;&gt;"")*(COUNTIFS('Holdings'!$A$4:$A$2503,B494,'Holdings'!$J$4:$J$2503,'Companies'!$A$4:$A$63,'Holdings'!$L$4:$L$2503,"Yes",'Holdings'!$C$4:$C$2503,"&gt;0")&gt;0),'Companies'!$A$4:$A$63,"")))</f>
        <v/>
      </c>
      <c r="G494" s="30">
        <f>IF(A494="","",IF(COUNTIF('People'!$A$4:$A$1003,A494)=0,"Email not on People",IF(COUNTIF('Holders'!$A$4:$A$1003,B494)=0,"Unknown holder ID",IF(COUNTIFS($A$4:$A$1503,A494,$B$4:$B$1503,B494)&gt;1,"Duplicate link",IF(C494="","Missing access","OK")))))</f>
        <v/>
      </c>
    </row>
    <row r="495">
      <c r="A495" s="26" t="n"/>
      <c r="B495" s="26" t="n"/>
      <c r="C495" s="26" t="n"/>
      <c r="D495" s="26" t="n"/>
      <c r="E495" s="30">
        <f>IF(B495="","",IFERROR(INDEX('Holders'!$B$4:$B$1003,MATCH(B495,'Holders'!$A$4:$A$1003,0)),""))</f>
        <v/>
      </c>
      <c r="F495" s="30">
        <f t="array" ref="F495">IF(B495="","",_xlfn.TEXTJOIN(", ",TRUE,IF(('Companies'!$A$4:$A$63&lt;&gt;"")*(COUNTIFS('Holdings'!$A$4:$A$2503,B495,'Holdings'!$J$4:$J$2503,'Companies'!$A$4:$A$63,'Holdings'!$L$4:$L$2503,"Yes",'Holdings'!$C$4:$C$2503,"&gt;0")&gt;0),'Companies'!$A$4:$A$63,"")))</f>
        <v/>
      </c>
      <c r="G495" s="30">
        <f>IF(A495="","",IF(COUNTIF('People'!$A$4:$A$1003,A495)=0,"Email not on People",IF(COUNTIF('Holders'!$A$4:$A$1003,B495)=0,"Unknown holder ID",IF(COUNTIFS($A$4:$A$1503,A495,$B$4:$B$1503,B495)&gt;1,"Duplicate link",IF(C495="","Missing access","OK")))))</f>
        <v/>
      </c>
    </row>
    <row r="496">
      <c r="A496" s="26" t="n"/>
      <c r="B496" s="26" t="n"/>
      <c r="C496" s="26" t="n"/>
      <c r="D496" s="26" t="n"/>
      <c r="E496" s="30">
        <f>IF(B496="","",IFERROR(INDEX('Holders'!$B$4:$B$1003,MATCH(B496,'Holders'!$A$4:$A$1003,0)),""))</f>
        <v/>
      </c>
      <c r="F496" s="30">
        <f t="array" ref="F496">IF(B496="","",_xlfn.TEXTJOIN(", ",TRUE,IF(('Companies'!$A$4:$A$63&lt;&gt;"")*(COUNTIFS('Holdings'!$A$4:$A$2503,B496,'Holdings'!$J$4:$J$2503,'Companies'!$A$4:$A$63,'Holdings'!$L$4:$L$2503,"Yes",'Holdings'!$C$4:$C$2503,"&gt;0")&gt;0),'Companies'!$A$4:$A$63,"")))</f>
        <v/>
      </c>
      <c r="G496" s="30">
        <f>IF(A496="","",IF(COUNTIF('People'!$A$4:$A$1003,A496)=0,"Email not on People",IF(COUNTIF('Holders'!$A$4:$A$1003,B496)=0,"Unknown holder ID",IF(COUNTIFS($A$4:$A$1503,A496,$B$4:$B$1503,B496)&gt;1,"Duplicate link",IF(C496="","Missing access","OK")))))</f>
        <v/>
      </c>
    </row>
    <row r="497">
      <c r="A497" s="26" t="n"/>
      <c r="B497" s="26" t="n"/>
      <c r="C497" s="26" t="n"/>
      <c r="D497" s="26" t="n"/>
      <c r="E497" s="30">
        <f>IF(B497="","",IFERROR(INDEX('Holders'!$B$4:$B$1003,MATCH(B497,'Holders'!$A$4:$A$1003,0)),""))</f>
        <v/>
      </c>
      <c r="F497" s="30">
        <f t="array" ref="F497">IF(B497="","",_xlfn.TEXTJOIN(", ",TRUE,IF(('Companies'!$A$4:$A$63&lt;&gt;"")*(COUNTIFS('Holdings'!$A$4:$A$2503,B497,'Holdings'!$J$4:$J$2503,'Companies'!$A$4:$A$63,'Holdings'!$L$4:$L$2503,"Yes",'Holdings'!$C$4:$C$2503,"&gt;0")&gt;0),'Companies'!$A$4:$A$63,"")))</f>
        <v/>
      </c>
      <c r="G497" s="30">
        <f>IF(A497="","",IF(COUNTIF('People'!$A$4:$A$1003,A497)=0,"Email not on People",IF(COUNTIF('Holders'!$A$4:$A$1003,B497)=0,"Unknown holder ID",IF(COUNTIFS($A$4:$A$1503,A497,$B$4:$B$1503,B497)&gt;1,"Duplicate link",IF(C497="","Missing access","OK")))))</f>
        <v/>
      </c>
    </row>
    <row r="498">
      <c r="A498" s="26" t="n"/>
      <c r="B498" s="26" t="n"/>
      <c r="C498" s="26" t="n"/>
      <c r="D498" s="26" t="n"/>
      <c r="E498" s="30">
        <f>IF(B498="","",IFERROR(INDEX('Holders'!$B$4:$B$1003,MATCH(B498,'Holders'!$A$4:$A$1003,0)),""))</f>
        <v/>
      </c>
      <c r="F498" s="30">
        <f t="array" ref="F498">IF(B498="","",_xlfn.TEXTJOIN(", ",TRUE,IF(('Companies'!$A$4:$A$63&lt;&gt;"")*(COUNTIFS('Holdings'!$A$4:$A$2503,B498,'Holdings'!$J$4:$J$2503,'Companies'!$A$4:$A$63,'Holdings'!$L$4:$L$2503,"Yes",'Holdings'!$C$4:$C$2503,"&gt;0")&gt;0),'Companies'!$A$4:$A$63,"")))</f>
        <v/>
      </c>
      <c r="G498" s="30">
        <f>IF(A498="","",IF(COUNTIF('People'!$A$4:$A$1003,A498)=0,"Email not on People",IF(COUNTIF('Holders'!$A$4:$A$1003,B498)=0,"Unknown holder ID",IF(COUNTIFS($A$4:$A$1503,A498,$B$4:$B$1503,B498)&gt;1,"Duplicate link",IF(C498="","Missing access","OK")))))</f>
        <v/>
      </c>
    </row>
    <row r="499">
      <c r="A499" s="26" t="n"/>
      <c r="B499" s="26" t="n"/>
      <c r="C499" s="26" t="n"/>
      <c r="D499" s="26" t="n"/>
      <c r="E499" s="30">
        <f>IF(B499="","",IFERROR(INDEX('Holders'!$B$4:$B$1003,MATCH(B499,'Holders'!$A$4:$A$1003,0)),""))</f>
        <v/>
      </c>
      <c r="F499" s="30">
        <f t="array" ref="F499">IF(B499="","",_xlfn.TEXTJOIN(", ",TRUE,IF(('Companies'!$A$4:$A$63&lt;&gt;"")*(COUNTIFS('Holdings'!$A$4:$A$2503,B499,'Holdings'!$J$4:$J$2503,'Companies'!$A$4:$A$63,'Holdings'!$L$4:$L$2503,"Yes",'Holdings'!$C$4:$C$2503,"&gt;0")&gt;0),'Companies'!$A$4:$A$63,"")))</f>
        <v/>
      </c>
      <c r="G499" s="30">
        <f>IF(A499="","",IF(COUNTIF('People'!$A$4:$A$1003,A499)=0,"Email not on People",IF(COUNTIF('Holders'!$A$4:$A$1003,B499)=0,"Unknown holder ID",IF(COUNTIFS($A$4:$A$1503,A499,$B$4:$B$1503,B499)&gt;1,"Duplicate link",IF(C499="","Missing access","OK")))))</f>
        <v/>
      </c>
    </row>
    <row r="500">
      <c r="A500" s="26" t="n"/>
      <c r="B500" s="26" t="n"/>
      <c r="C500" s="26" t="n"/>
      <c r="D500" s="26" t="n"/>
      <c r="E500" s="30">
        <f>IF(B500="","",IFERROR(INDEX('Holders'!$B$4:$B$1003,MATCH(B500,'Holders'!$A$4:$A$1003,0)),""))</f>
        <v/>
      </c>
      <c r="F500" s="30">
        <f t="array" ref="F500">IF(B500="","",_xlfn.TEXTJOIN(", ",TRUE,IF(('Companies'!$A$4:$A$63&lt;&gt;"")*(COUNTIFS('Holdings'!$A$4:$A$2503,B500,'Holdings'!$J$4:$J$2503,'Companies'!$A$4:$A$63,'Holdings'!$L$4:$L$2503,"Yes",'Holdings'!$C$4:$C$2503,"&gt;0")&gt;0),'Companies'!$A$4:$A$63,"")))</f>
        <v/>
      </c>
      <c r="G500" s="30">
        <f>IF(A500="","",IF(COUNTIF('People'!$A$4:$A$1003,A500)=0,"Email not on People",IF(COUNTIF('Holders'!$A$4:$A$1003,B500)=0,"Unknown holder ID",IF(COUNTIFS($A$4:$A$1503,A500,$B$4:$B$1503,B500)&gt;1,"Duplicate link",IF(C500="","Missing access","OK")))))</f>
        <v/>
      </c>
    </row>
    <row r="501">
      <c r="A501" s="26" t="n"/>
      <c r="B501" s="26" t="n"/>
      <c r="C501" s="26" t="n"/>
      <c r="D501" s="26" t="n"/>
      <c r="E501" s="30">
        <f>IF(B501="","",IFERROR(INDEX('Holders'!$B$4:$B$1003,MATCH(B501,'Holders'!$A$4:$A$1003,0)),""))</f>
        <v/>
      </c>
      <c r="F501" s="30">
        <f t="array" ref="F501">IF(B501="","",_xlfn.TEXTJOIN(", ",TRUE,IF(('Companies'!$A$4:$A$63&lt;&gt;"")*(COUNTIFS('Holdings'!$A$4:$A$2503,B501,'Holdings'!$J$4:$J$2503,'Companies'!$A$4:$A$63,'Holdings'!$L$4:$L$2503,"Yes",'Holdings'!$C$4:$C$2503,"&gt;0")&gt;0),'Companies'!$A$4:$A$63,"")))</f>
        <v/>
      </c>
      <c r="G501" s="30">
        <f>IF(A501="","",IF(COUNTIF('People'!$A$4:$A$1003,A501)=0,"Email not on People",IF(COUNTIF('Holders'!$A$4:$A$1003,B501)=0,"Unknown holder ID",IF(COUNTIFS($A$4:$A$1503,A501,$B$4:$B$1503,B501)&gt;1,"Duplicate link",IF(C501="","Missing access","OK")))))</f>
        <v/>
      </c>
    </row>
    <row r="502">
      <c r="A502" s="26" t="n"/>
      <c r="B502" s="26" t="n"/>
      <c r="C502" s="26" t="n"/>
      <c r="D502" s="26" t="n"/>
      <c r="E502" s="30">
        <f>IF(B502="","",IFERROR(INDEX('Holders'!$B$4:$B$1003,MATCH(B502,'Holders'!$A$4:$A$1003,0)),""))</f>
        <v/>
      </c>
      <c r="F502" s="30">
        <f t="array" ref="F502">IF(B502="","",_xlfn.TEXTJOIN(", ",TRUE,IF(('Companies'!$A$4:$A$63&lt;&gt;"")*(COUNTIFS('Holdings'!$A$4:$A$2503,B502,'Holdings'!$J$4:$J$2503,'Companies'!$A$4:$A$63,'Holdings'!$L$4:$L$2503,"Yes",'Holdings'!$C$4:$C$2503,"&gt;0")&gt;0),'Companies'!$A$4:$A$63,"")))</f>
        <v/>
      </c>
      <c r="G502" s="30">
        <f>IF(A502="","",IF(COUNTIF('People'!$A$4:$A$1003,A502)=0,"Email not on People",IF(COUNTIF('Holders'!$A$4:$A$1003,B502)=0,"Unknown holder ID",IF(COUNTIFS($A$4:$A$1503,A502,$B$4:$B$1503,B502)&gt;1,"Duplicate link",IF(C502="","Missing access","OK")))))</f>
        <v/>
      </c>
    </row>
    <row r="503">
      <c r="A503" s="26" t="n"/>
      <c r="B503" s="26" t="n"/>
      <c r="C503" s="26" t="n"/>
      <c r="D503" s="26" t="n"/>
      <c r="E503" s="30">
        <f>IF(B503="","",IFERROR(INDEX('Holders'!$B$4:$B$1003,MATCH(B503,'Holders'!$A$4:$A$1003,0)),""))</f>
        <v/>
      </c>
      <c r="F503" s="30">
        <f t="array" ref="F503">IF(B503="","",_xlfn.TEXTJOIN(", ",TRUE,IF(('Companies'!$A$4:$A$63&lt;&gt;"")*(COUNTIFS('Holdings'!$A$4:$A$2503,B503,'Holdings'!$J$4:$J$2503,'Companies'!$A$4:$A$63,'Holdings'!$L$4:$L$2503,"Yes",'Holdings'!$C$4:$C$2503,"&gt;0")&gt;0),'Companies'!$A$4:$A$63,"")))</f>
        <v/>
      </c>
      <c r="G503" s="30">
        <f>IF(A503="","",IF(COUNTIF('People'!$A$4:$A$1003,A503)=0,"Email not on People",IF(COUNTIF('Holders'!$A$4:$A$1003,B503)=0,"Unknown holder ID",IF(COUNTIFS($A$4:$A$1503,A503,$B$4:$B$1503,B503)&gt;1,"Duplicate link",IF(C503="","Missing access","OK")))))</f>
        <v/>
      </c>
    </row>
    <row r="504">
      <c r="A504" s="26" t="n"/>
      <c r="B504" s="26" t="n"/>
      <c r="C504" s="26" t="n"/>
      <c r="D504" s="26" t="n"/>
      <c r="E504" s="30">
        <f>IF(B504="","",IFERROR(INDEX('Holders'!$B$4:$B$1003,MATCH(B504,'Holders'!$A$4:$A$1003,0)),""))</f>
        <v/>
      </c>
      <c r="F504" s="30">
        <f t="array" ref="F504">IF(B504="","",_xlfn.TEXTJOIN(", ",TRUE,IF(('Companies'!$A$4:$A$63&lt;&gt;"")*(COUNTIFS('Holdings'!$A$4:$A$2503,B504,'Holdings'!$J$4:$J$2503,'Companies'!$A$4:$A$63,'Holdings'!$L$4:$L$2503,"Yes",'Holdings'!$C$4:$C$2503,"&gt;0")&gt;0),'Companies'!$A$4:$A$63,"")))</f>
        <v/>
      </c>
      <c r="G504" s="30">
        <f>IF(A504="","",IF(COUNTIF('People'!$A$4:$A$1003,A504)=0,"Email not on People",IF(COUNTIF('Holders'!$A$4:$A$1003,B504)=0,"Unknown holder ID",IF(COUNTIFS($A$4:$A$1503,A504,$B$4:$B$1503,B504)&gt;1,"Duplicate link",IF(C504="","Missing access","OK")))))</f>
        <v/>
      </c>
    </row>
    <row r="505">
      <c r="A505" s="26" t="n"/>
      <c r="B505" s="26" t="n"/>
      <c r="C505" s="26" t="n"/>
      <c r="D505" s="26" t="n"/>
      <c r="E505" s="30">
        <f>IF(B505="","",IFERROR(INDEX('Holders'!$B$4:$B$1003,MATCH(B505,'Holders'!$A$4:$A$1003,0)),""))</f>
        <v/>
      </c>
      <c r="F505" s="30">
        <f t="array" ref="F505">IF(B505="","",_xlfn.TEXTJOIN(", ",TRUE,IF(('Companies'!$A$4:$A$63&lt;&gt;"")*(COUNTIFS('Holdings'!$A$4:$A$2503,B505,'Holdings'!$J$4:$J$2503,'Companies'!$A$4:$A$63,'Holdings'!$L$4:$L$2503,"Yes",'Holdings'!$C$4:$C$2503,"&gt;0")&gt;0),'Companies'!$A$4:$A$63,"")))</f>
        <v/>
      </c>
      <c r="G505" s="30">
        <f>IF(A505="","",IF(COUNTIF('People'!$A$4:$A$1003,A505)=0,"Email not on People",IF(COUNTIF('Holders'!$A$4:$A$1003,B505)=0,"Unknown holder ID",IF(COUNTIFS($A$4:$A$1503,A505,$B$4:$B$1503,B505)&gt;1,"Duplicate link",IF(C505="","Missing access","OK")))))</f>
        <v/>
      </c>
    </row>
    <row r="506">
      <c r="A506" s="26" t="n"/>
      <c r="B506" s="26" t="n"/>
      <c r="C506" s="26" t="n"/>
      <c r="D506" s="26" t="n"/>
      <c r="E506" s="30">
        <f>IF(B506="","",IFERROR(INDEX('Holders'!$B$4:$B$1003,MATCH(B506,'Holders'!$A$4:$A$1003,0)),""))</f>
        <v/>
      </c>
      <c r="F506" s="30">
        <f t="array" ref="F506">IF(B506="","",_xlfn.TEXTJOIN(", ",TRUE,IF(('Companies'!$A$4:$A$63&lt;&gt;"")*(COUNTIFS('Holdings'!$A$4:$A$2503,B506,'Holdings'!$J$4:$J$2503,'Companies'!$A$4:$A$63,'Holdings'!$L$4:$L$2503,"Yes",'Holdings'!$C$4:$C$2503,"&gt;0")&gt;0),'Companies'!$A$4:$A$63,"")))</f>
        <v/>
      </c>
      <c r="G506" s="30">
        <f>IF(A506="","",IF(COUNTIF('People'!$A$4:$A$1003,A506)=0,"Email not on People",IF(COUNTIF('Holders'!$A$4:$A$1003,B506)=0,"Unknown holder ID",IF(COUNTIFS($A$4:$A$1503,A506,$B$4:$B$1503,B506)&gt;1,"Duplicate link",IF(C506="","Missing access","OK")))))</f>
        <v/>
      </c>
    </row>
    <row r="507">
      <c r="A507" s="26" t="n"/>
      <c r="B507" s="26" t="n"/>
      <c r="C507" s="26" t="n"/>
      <c r="D507" s="26" t="n"/>
      <c r="E507" s="30">
        <f>IF(B507="","",IFERROR(INDEX('Holders'!$B$4:$B$1003,MATCH(B507,'Holders'!$A$4:$A$1003,0)),""))</f>
        <v/>
      </c>
      <c r="F507" s="30">
        <f t="array" ref="F507">IF(B507="","",_xlfn.TEXTJOIN(", ",TRUE,IF(('Companies'!$A$4:$A$63&lt;&gt;"")*(COUNTIFS('Holdings'!$A$4:$A$2503,B507,'Holdings'!$J$4:$J$2503,'Companies'!$A$4:$A$63,'Holdings'!$L$4:$L$2503,"Yes",'Holdings'!$C$4:$C$2503,"&gt;0")&gt;0),'Companies'!$A$4:$A$63,"")))</f>
        <v/>
      </c>
      <c r="G507" s="30">
        <f>IF(A507="","",IF(COUNTIF('People'!$A$4:$A$1003,A507)=0,"Email not on People",IF(COUNTIF('Holders'!$A$4:$A$1003,B507)=0,"Unknown holder ID",IF(COUNTIFS($A$4:$A$1503,A507,$B$4:$B$1503,B507)&gt;1,"Duplicate link",IF(C507="","Missing access","OK")))))</f>
        <v/>
      </c>
    </row>
    <row r="508">
      <c r="A508" s="26" t="n"/>
      <c r="B508" s="26" t="n"/>
      <c r="C508" s="26" t="n"/>
      <c r="D508" s="26" t="n"/>
      <c r="E508" s="30">
        <f>IF(B508="","",IFERROR(INDEX('Holders'!$B$4:$B$1003,MATCH(B508,'Holders'!$A$4:$A$1003,0)),""))</f>
        <v/>
      </c>
      <c r="F508" s="30">
        <f t="array" ref="F508">IF(B508="","",_xlfn.TEXTJOIN(", ",TRUE,IF(('Companies'!$A$4:$A$63&lt;&gt;"")*(COUNTIFS('Holdings'!$A$4:$A$2503,B508,'Holdings'!$J$4:$J$2503,'Companies'!$A$4:$A$63,'Holdings'!$L$4:$L$2503,"Yes",'Holdings'!$C$4:$C$2503,"&gt;0")&gt;0),'Companies'!$A$4:$A$63,"")))</f>
        <v/>
      </c>
      <c r="G508" s="30">
        <f>IF(A508="","",IF(COUNTIF('People'!$A$4:$A$1003,A508)=0,"Email not on People",IF(COUNTIF('Holders'!$A$4:$A$1003,B508)=0,"Unknown holder ID",IF(COUNTIFS($A$4:$A$1503,A508,$B$4:$B$1503,B508)&gt;1,"Duplicate link",IF(C508="","Missing access","OK")))))</f>
        <v/>
      </c>
    </row>
    <row r="509">
      <c r="A509" s="26" t="n"/>
      <c r="B509" s="26" t="n"/>
      <c r="C509" s="26" t="n"/>
      <c r="D509" s="26" t="n"/>
      <c r="E509" s="30">
        <f>IF(B509="","",IFERROR(INDEX('Holders'!$B$4:$B$1003,MATCH(B509,'Holders'!$A$4:$A$1003,0)),""))</f>
        <v/>
      </c>
      <c r="F509" s="30">
        <f t="array" ref="F509">IF(B509="","",_xlfn.TEXTJOIN(", ",TRUE,IF(('Companies'!$A$4:$A$63&lt;&gt;"")*(COUNTIFS('Holdings'!$A$4:$A$2503,B509,'Holdings'!$J$4:$J$2503,'Companies'!$A$4:$A$63,'Holdings'!$L$4:$L$2503,"Yes",'Holdings'!$C$4:$C$2503,"&gt;0")&gt;0),'Companies'!$A$4:$A$63,"")))</f>
        <v/>
      </c>
      <c r="G509" s="30">
        <f>IF(A509="","",IF(COUNTIF('People'!$A$4:$A$1003,A509)=0,"Email not on People",IF(COUNTIF('Holders'!$A$4:$A$1003,B509)=0,"Unknown holder ID",IF(COUNTIFS($A$4:$A$1503,A509,$B$4:$B$1503,B509)&gt;1,"Duplicate link",IF(C509="","Missing access","OK")))))</f>
        <v/>
      </c>
    </row>
    <row r="510">
      <c r="A510" s="26" t="n"/>
      <c r="B510" s="26" t="n"/>
      <c r="C510" s="26" t="n"/>
      <c r="D510" s="26" t="n"/>
      <c r="E510" s="30">
        <f>IF(B510="","",IFERROR(INDEX('Holders'!$B$4:$B$1003,MATCH(B510,'Holders'!$A$4:$A$1003,0)),""))</f>
        <v/>
      </c>
      <c r="F510" s="30">
        <f t="array" ref="F510">IF(B510="","",_xlfn.TEXTJOIN(", ",TRUE,IF(('Companies'!$A$4:$A$63&lt;&gt;"")*(COUNTIFS('Holdings'!$A$4:$A$2503,B510,'Holdings'!$J$4:$J$2503,'Companies'!$A$4:$A$63,'Holdings'!$L$4:$L$2503,"Yes",'Holdings'!$C$4:$C$2503,"&gt;0")&gt;0),'Companies'!$A$4:$A$63,"")))</f>
        <v/>
      </c>
      <c r="G510" s="30">
        <f>IF(A510="","",IF(COUNTIF('People'!$A$4:$A$1003,A510)=0,"Email not on People",IF(COUNTIF('Holders'!$A$4:$A$1003,B510)=0,"Unknown holder ID",IF(COUNTIFS($A$4:$A$1503,A510,$B$4:$B$1503,B510)&gt;1,"Duplicate link",IF(C510="","Missing access","OK")))))</f>
        <v/>
      </c>
    </row>
    <row r="511">
      <c r="A511" s="26" t="n"/>
      <c r="B511" s="26" t="n"/>
      <c r="C511" s="26" t="n"/>
      <c r="D511" s="26" t="n"/>
      <c r="E511" s="30">
        <f>IF(B511="","",IFERROR(INDEX('Holders'!$B$4:$B$1003,MATCH(B511,'Holders'!$A$4:$A$1003,0)),""))</f>
        <v/>
      </c>
      <c r="F511" s="30">
        <f t="array" ref="F511">IF(B511="","",_xlfn.TEXTJOIN(", ",TRUE,IF(('Companies'!$A$4:$A$63&lt;&gt;"")*(COUNTIFS('Holdings'!$A$4:$A$2503,B511,'Holdings'!$J$4:$J$2503,'Companies'!$A$4:$A$63,'Holdings'!$L$4:$L$2503,"Yes",'Holdings'!$C$4:$C$2503,"&gt;0")&gt;0),'Companies'!$A$4:$A$63,"")))</f>
        <v/>
      </c>
      <c r="G511" s="30">
        <f>IF(A511="","",IF(COUNTIF('People'!$A$4:$A$1003,A511)=0,"Email not on People",IF(COUNTIF('Holders'!$A$4:$A$1003,B511)=0,"Unknown holder ID",IF(COUNTIFS($A$4:$A$1503,A511,$B$4:$B$1503,B511)&gt;1,"Duplicate link",IF(C511="","Missing access","OK")))))</f>
        <v/>
      </c>
    </row>
    <row r="512">
      <c r="A512" s="26" t="n"/>
      <c r="B512" s="26" t="n"/>
      <c r="C512" s="26" t="n"/>
      <c r="D512" s="26" t="n"/>
      <c r="E512" s="30">
        <f>IF(B512="","",IFERROR(INDEX('Holders'!$B$4:$B$1003,MATCH(B512,'Holders'!$A$4:$A$1003,0)),""))</f>
        <v/>
      </c>
      <c r="F512" s="30">
        <f t="array" ref="F512">IF(B512="","",_xlfn.TEXTJOIN(", ",TRUE,IF(('Companies'!$A$4:$A$63&lt;&gt;"")*(COUNTIFS('Holdings'!$A$4:$A$2503,B512,'Holdings'!$J$4:$J$2503,'Companies'!$A$4:$A$63,'Holdings'!$L$4:$L$2503,"Yes",'Holdings'!$C$4:$C$2503,"&gt;0")&gt;0),'Companies'!$A$4:$A$63,"")))</f>
        <v/>
      </c>
      <c r="G512" s="30">
        <f>IF(A512="","",IF(COUNTIF('People'!$A$4:$A$1003,A512)=0,"Email not on People",IF(COUNTIF('Holders'!$A$4:$A$1003,B512)=0,"Unknown holder ID",IF(COUNTIFS($A$4:$A$1503,A512,$B$4:$B$1503,B512)&gt;1,"Duplicate link",IF(C512="","Missing access","OK")))))</f>
        <v/>
      </c>
    </row>
    <row r="513">
      <c r="A513" s="26" t="n"/>
      <c r="B513" s="26" t="n"/>
      <c r="C513" s="26" t="n"/>
      <c r="D513" s="26" t="n"/>
      <c r="E513" s="30">
        <f>IF(B513="","",IFERROR(INDEX('Holders'!$B$4:$B$1003,MATCH(B513,'Holders'!$A$4:$A$1003,0)),""))</f>
        <v/>
      </c>
      <c r="F513" s="30">
        <f t="array" ref="F513">IF(B513="","",_xlfn.TEXTJOIN(", ",TRUE,IF(('Companies'!$A$4:$A$63&lt;&gt;"")*(COUNTIFS('Holdings'!$A$4:$A$2503,B513,'Holdings'!$J$4:$J$2503,'Companies'!$A$4:$A$63,'Holdings'!$L$4:$L$2503,"Yes",'Holdings'!$C$4:$C$2503,"&gt;0")&gt;0),'Companies'!$A$4:$A$63,"")))</f>
        <v/>
      </c>
      <c r="G513" s="30">
        <f>IF(A513="","",IF(COUNTIF('People'!$A$4:$A$1003,A513)=0,"Email not on People",IF(COUNTIF('Holders'!$A$4:$A$1003,B513)=0,"Unknown holder ID",IF(COUNTIFS($A$4:$A$1503,A513,$B$4:$B$1503,B513)&gt;1,"Duplicate link",IF(C513="","Missing access","OK")))))</f>
        <v/>
      </c>
    </row>
    <row r="514">
      <c r="A514" s="26" t="n"/>
      <c r="B514" s="26" t="n"/>
      <c r="C514" s="26" t="n"/>
      <c r="D514" s="26" t="n"/>
      <c r="E514" s="30">
        <f>IF(B514="","",IFERROR(INDEX('Holders'!$B$4:$B$1003,MATCH(B514,'Holders'!$A$4:$A$1003,0)),""))</f>
        <v/>
      </c>
      <c r="F514" s="30">
        <f t="array" ref="F514">IF(B514="","",_xlfn.TEXTJOIN(", ",TRUE,IF(('Companies'!$A$4:$A$63&lt;&gt;"")*(COUNTIFS('Holdings'!$A$4:$A$2503,B514,'Holdings'!$J$4:$J$2503,'Companies'!$A$4:$A$63,'Holdings'!$L$4:$L$2503,"Yes",'Holdings'!$C$4:$C$2503,"&gt;0")&gt;0),'Companies'!$A$4:$A$63,"")))</f>
        <v/>
      </c>
      <c r="G514" s="30">
        <f>IF(A514="","",IF(COUNTIF('People'!$A$4:$A$1003,A514)=0,"Email not on People",IF(COUNTIF('Holders'!$A$4:$A$1003,B514)=0,"Unknown holder ID",IF(COUNTIFS($A$4:$A$1503,A514,$B$4:$B$1503,B514)&gt;1,"Duplicate link",IF(C514="","Missing access","OK")))))</f>
        <v/>
      </c>
    </row>
    <row r="515">
      <c r="A515" s="26" t="n"/>
      <c r="B515" s="26" t="n"/>
      <c r="C515" s="26" t="n"/>
      <c r="D515" s="26" t="n"/>
      <c r="E515" s="30">
        <f>IF(B515="","",IFERROR(INDEX('Holders'!$B$4:$B$1003,MATCH(B515,'Holders'!$A$4:$A$1003,0)),""))</f>
        <v/>
      </c>
      <c r="F515" s="30">
        <f t="array" ref="F515">IF(B515="","",_xlfn.TEXTJOIN(", ",TRUE,IF(('Companies'!$A$4:$A$63&lt;&gt;"")*(COUNTIFS('Holdings'!$A$4:$A$2503,B515,'Holdings'!$J$4:$J$2503,'Companies'!$A$4:$A$63,'Holdings'!$L$4:$L$2503,"Yes",'Holdings'!$C$4:$C$2503,"&gt;0")&gt;0),'Companies'!$A$4:$A$63,"")))</f>
        <v/>
      </c>
      <c r="G515" s="30">
        <f>IF(A515="","",IF(COUNTIF('People'!$A$4:$A$1003,A515)=0,"Email not on People",IF(COUNTIF('Holders'!$A$4:$A$1003,B515)=0,"Unknown holder ID",IF(COUNTIFS($A$4:$A$1503,A515,$B$4:$B$1503,B515)&gt;1,"Duplicate link",IF(C515="","Missing access","OK")))))</f>
        <v/>
      </c>
    </row>
    <row r="516">
      <c r="A516" s="26" t="n"/>
      <c r="B516" s="26" t="n"/>
      <c r="C516" s="26" t="n"/>
      <c r="D516" s="26" t="n"/>
      <c r="E516" s="30">
        <f>IF(B516="","",IFERROR(INDEX('Holders'!$B$4:$B$1003,MATCH(B516,'Holders'!$A$4:$A$1003,0)),""))</f>
        <v/>
      </c>
      <c r="F516" s="30">
        <f t="array" ref="F516">IF(B516="","",_xlfn.TEXTJOIN(", ",TRUE,IF(('Companies'!$A$4:$A$63&lt;&gt;"")*(COUNTIFS('Holdings'!$A$4:$A$2503,B516,'Holdings'!$J$4:$J$2503,'Companies'!$A$4:$A$63,'Holdings'!$L$4:$L$2503,"Yes",'Holdings'!$C$4:$C$2503,"&gt;0")&gt;0),'Companies'!$A$4:$A$63,"")))</f>
        <v/>
      </c>
      <c r="G516" s="30">
        <f>IF(A516="","",IF(COUNTIF('People'!$A$4:$A$1003,A516)=0,"Email not on People",IF(COUNTIF('Holders'!$A$4:$A$1003,B516)=0,"Unknown holder ID",IF(COUNTIFS($A$4:$A$1503,A516,$B$4:$B$1503,B516)&gt;1,"Duplicate link",IF(C516="","Missing access","OK")))))</f>
        <v/>
      </c>
    </row>
    <row r="517">
      <c r="A517" s="26" t="n"/>
      <c r="B517" s="26" t="n"/>
      <c r="C517" s="26" t="n"/>
      <c r="D517" s="26" t="n"/>
      <c r="E517" s="30">
        <f>IF(B517="","",IFERROR(INDEX('Holders'!$B$4:$B$1003,MATCH(B517,'Holders'!$A$4:$A$1003,0)),""))</f>
        <v/>
      </c>
      <c r="F517" s="30">
        <f t="array" ref="F517">IF(B517="","",_xlfn.TEXTJOIN(", ",TRUE,IF(('Companies'!$A$4:$A$63&lt;&gt;"")*(COUNTIFS('Holdings'!$A$4:$A$2503,B517,'Holdings'!$J$4:$J$2503,'Companies'!$A$4:$A$63,'Holdings'!$L$4:$L$2503,"Yes",'Holdings'!$C$4:$C$2503,"&gt;0")&gt;0),'Companies'!$A$4:$A$63,"")))</f>
        <v/>
      </c>
      <c r="G517" s="30">
        <f>IF(A517="","",IF(COUNTIF('People'!$A$4:$A$1003,A517)=0,"Email not on People",IF(COUNTIF('Holders'!$A$4:$A$1003,B517)=0,"Unknown holder ID",IF(COUNTIFS($A$4:$A$1503,A517,$B$4:$B$1503,B517)&gt;1,"Duplicate link",IF(C517="","Missing access","OK")))))</f>
        <v/>
      </c>
    </row>
    <row r="518">
      <c r="A518" s="26" t="n"/>
      <c r="B518" s="26" t="n"/>
      <c r="C518" s="26" t="n"/>
      <c r="D518" s="26" t="n"/>
      <c r="E518" s="30">
        <f>IF(B518="","",IFERROR(INDEX('Holders'!$B$4:$B$1003,MATCH(B518,'Holders'!$A$4:$A$1003,0)),""))</f>
        <v/>
      </c>
      <c r="F518" s="30">
        <f t="array" ref="F518">IF(B518="","",_xlfn.TEXTJOIN(", ",TRUE,IF(('Companies'!$A$4:$A$63&lt;&gt;"")*(COUNTIFS('Holdings'!$A$4:$A$2503,B518,'Holdings'!$J$4:$J$2503,'Companies'!$A$4:$A$63,'Holdings'!$L$4:$L$2503,"Yes",'Holdings'!$C$4:$C$2503,"&gt;0")&gt;0),'Companies'!$A$4:$A$63,"")))</f>
        <v/>
      </c>
      <c r="G518" s="30">
        <f>IF(A518="","",IF(COUNTIF('People'!$A$4:$A$1003,A518)=0,"Email not on People",IF(COUNTIF('Holders'!$A$4:$A$1003,B518)=0,"Unknown holder ID",IF(COUNTIFS($A$4:$A$1503,A518,$B$4:$B$1503,B518)&gt;1,"Duplicate link",IF(C518="","Missing access","OK")))))</f>
        <v/>
      </c>
    </row>
    <row r="519">
      <c r="A519" s="26" t="n"/>
      <c r="B519" s="26" t="n"/>
      <c r="C519" s="26" t="n"/>
      <c r="D519" s="26" t="n"/>
      <c r="E519" s="30">
        <f>IF(B519="","",IFERROR(INDEX('Holders'!$B$4:$B$1003,MATCH(B519,'Holders'!$A$4:$A$1003,0)),""))</f>
        <v/>
      </c>
      <c r="F519" s="30">
        <f t="array" ref="F519">IF(B519="","",_xlfn.TEXTJOIN(", ",TRUE,IF(('Companies'!$A$4:$A$63&lt;&gt;"")*(COUNTIFS('Holdings'!$A$4:$A$2503,B519,'Holdings'!$J$4:$J$2503,'Companies'!$A$4:$A$63,'Holdings'!$L$4:$L$2503,"Yes",'Holdings'!$C$4:$C$2503,"&gt;0")&gt;0),'Companies'!$A$4:$A$63,"")))</f>
        <v/>
      </c>
      <c r="G519" s="30">
        <f>IF(A519="","",IF(COUNTIF('People'!$A$4:$A$1003,A519)=0,"Email not on People",IF(COUNTIF('Holders'!$A$4:$A$1003,B519)=0,"Unknown holder ID",IF(COUNTIFS($A$4:$A$1503,A519,$B$4:$B$1503,B519)&gt;1,"Duplicate link",IF(C519="","Missing access","OK")))))</f>
        <v/>
      </c>
    </row>
    <row r="520">
      <c r="A520" s="26" t="n"/>
      <c r="B520" s="26" t="n"/>
      <c r="C520" s="26" t="n"/>
      <c r="D520" s="26" t="n"/>
      <c r="E520" s="30">
        <f>IF(B520="","",IFERROR(INDEX('Holders'!$B$4:$B$1003,MATCH(B520,'Holders'!$A$4:$A$1003,0)),""))</f>
        <v/>
      </c>
      <c r="F520" s="30">
        <f t="array" ref="F520">IF(B520="","",_xlfn.TEXTJOIN(", ",TRUE,IF(('Companies'!$A$4:$A$63&lt;&gt;"")*(COUNTIFS('Holdings'!$A$4:$A$2503,B520,'Holdings'!$J$4:$J$2503,'Companies'!$A$4:$A$63,'Holdings'!$L$4:$L$2503,"Yes",'Holdings'!$C$4:$C$2503,"&gt;0")&gt;0),'Companies'!$A$4:$A$63,"")))</f>
        <v/>
      </c>
      <c r="G520" s="30">
        <f>IF(A520="","",IF(COUNTIF('People'!$A$4:$A$1003,A520)=0,"Email not on People",IF(COUNTIF('Holders'!$A$4:$A$1003,B520)=0,"Unknown holder ID",IF(COUNTIFS($A$4:$A$1503,A520,$B$4:$B$1503,B520)&gt;1,"Duplicate link",IF(C520="","Missing access","OK")))))</f>
        <v/>
      </c>
    </row>
    <row r="521">
      <c r="A521" s="26" t="n"/>
      <c r="B521" s="26" t="n"/>
      <c r="C521" s="26" t="n"/>
      <c r="D521" s="26" t="n"/>
      <c r="E521" s="30">
        <f>IF(B521="","",IFERROR(INDEX('Holders'!$B$4:$B$1003,MATCH(B521,'Holders'!$A$4:$A$1003,0)),""))</f>
        <v/>
      </c>
      <c r="F521" s="30">
        <f t="array" ref="F521">IF(B521="","",_xlfn.TEXTJOIN(", ",TRUE,IF(('Companies'!$A$4:$A$63&lt;&gt;"")*(COUNTIFS('Holdings'!$A$4:$A$2503,B521,'Holdings'!$J$4:$J$2503,'Companies'!$A$4:$A$63,'Holdings'!$L$4:$L$2503,"Yes",'Holdings'!$C$4:$C$2503,"&gt;0")&gt;0),'Companies'!$A$4:$A$63,"")))</f>
        <v/>
      </c>
      <c r="G521" s="30">
        <f>IF(A521="","",IF(COUNTIF('People'!$A$4:$A$1003,A521)=0,"Email not on People",IF(COUNTIF('Holders'!$A$4:$A$1003,B521)=0,"Unknown holder ID",IF(COUNTIFS($A$4:$A$1503,A521,$B$4:$B$1503,B521)&gt;1,"Duplicate link",IF(C521="","Missing access","OK")))))</f>
        <v/>
      </c>
    </row>
    <row r="522">
      <c r="A522" s="26" t="n"/>
      <c r="B522" s="26" t="n"/>
      <c r="C522" s="26" t="n"/>
      <c r="D522" s="26" t="n"/>
      <c r="E522" s="30">
        <f>IF(B522="","",IFERROR(INDEX('Holders'!$B$4:$B$1003,MATCH(B522,'Holders'!$A$4:$A$1003,0)),""))</f>
        <v/>
      </c>
      <c r="F522" s="30">
        <f t="array" ref="F522">IF(B522="","",_xlfn.TEXTJOIN(", ",TRUE,IF(('Companies'!$A$4:$A$63&lt;&gt;"")*(COUNTIFS('Holdings'!$A$4:$A$2503,B522,'Holdings'!$J$4:$J$2503,'Companies'!$A$4:$A$63,'Holdings'!$L$4:$L$2503,"Yes",'Holdings'!$C$4:$C$2503,"&gt;0")&gt;0),'Companies'!$A$4:$A$63,"")))</f>
        <v/>
      </c>
      <c r="G522" s="30">
        <f>IF(A522="","",IF(COUNTIF('People'!$A$4:$A$1003,A522)=0,"Email not on People",IF(COUNTIF('Holders'!$A$4:$A$1003,B522)=0,"Unknown holder ID",IF(COUNTIFS($A$4:$A$1503,A522,$B$4:$B$1503,B522)&gt;1,"Duplicate link",IF(C522="","Missing access","OK")))))</f>
        <v/>
      </c>
    </row>
    <row r="523">
      <c r="A523" s="26" t="n"/>
      <c r="B523" s="26" t="n"/>
      <c r="C523" s="26" t="n"/>
      <c r="D523" s="26" t="n"/>
      <c r="E523" s="30">
        <f>IF(B523="","",IFERROR(INDEX('Holders'!$B$4:$B$1003,MATCH(B523,'Holders'!$A$4:$A$1003,0)),""))</f>
        <v/>
      </c>
      <c r="F523" s="30">
        <f t="array" ref="F523">IF(B523="","",_xlfn.TEXTJOIN(", ",TRUE,IF(('Companies'!$A$4:$A$63&lt;&gt;"")*(COUNTIFS('Holdings'!$A$4:$A$2503,B523,'Holdings'!$J$4:$J$2503,'Companies'!$A$4:$A$63,'Holdings'!$L$4:$L$2503,"Yes",'Holdings'!$C$4:$C$2503,"&gt;0")&gt;0),'Companies'!$A$4:$A$63,"")))</f>
        <v/>
      </c>
      <c r="G523" s="30">
        <f>IF(A523="","",IF(COUNTIF('People'!$A$4:$A$1003,A523)=0,"Email not on People",IF(COUNTIF('Holders'!$A$4:$A$1003,B523)=0,"Unknown holder ID",IF(COUNTIFS($A$4:$A$1503,A523,$B$4:$B$1503,B523)&gt;1,"Duplicate link",IF(C523="","Missing access","OK")))))</f>
        <v/>
      </c>
    </row>
    <row r="524">
      <c r="A524" s="26" t="n"/>
      <c r="B524" s="26" t="n"/>
      <c r="C524" s="26" t="n"/>
      <c r="D524" s="26" t="n"/>
      <c r="E524" s="30">
        <f>IF(B524="","",IFERROR(INDEX('Holders'!$B$4:$B$1003,MATCH(B524,'Holders'!$A$4:$A$1003,0)),""))</f>
        <v/>
      </c>
      <c r="F524" s="30">
        <f t="array" ref="F524">IF(B524="","",_xlfn.TEXTJOIN(", ",TRUE,IF(('Companies'!$A$4:$A$63&lt;&gt;"")*(COUNTIFS('Holdings'!$A$4:$A$2503,B524,'Holdings'!$J$4:$J$2503,'Companies'!$A$4:$A$63,'Holdings'!$L$4:$L$2503,"Yes",'Holdings'!$C$4:$C$2503,"&gt;0")&gt;0),'Companies'!$A$4:$A$63,"")))</f>
        <v/>
      </c>
      <c r="G524" s="30">
        <f>IF(A524="","",IF(COUNTIF('People'!$A$4:$A$1003,A524)=0,"Email not on People",IF(COUNTIF('Holders'!$A$4:$A$1003,B524)=0,"Unknown holder ID",IF(COUNTIFS($A$4:$A$1503,A524,$B$4:$B$1503,B524)&gt;1,"Duplicate link",IF(C524="","Missing access","OK")))))</f>
        <v/>
      </c>
    </row>
    <row r="525">
      <c r="A525" s="26" t="n"/>
      <c r="B525" s="26" t="n"/>
      <c r="C525" s="26" t="n"/>
      <c r="D525" s="26" t="n"/>
      <c r="E525" s="30">
        <f>IF(B525="","",IFERROR(INDEX('Holders'!$B$4:$B$1003,MATCH(B525,'Holders'!$A$4:$A$1003,0)),""))</f>
        <v/>
      </c>
      <c r="F525" s="30">
        <f t="array" ref="F525">IF(B525="","",_xlfn.TEXTJOIN(", ",TRUE,IF(('Companies'!$A$4:$A$63&lt;&gt;"")*(COUNTIFS('Holdings'!$A$4:$A$2503,B525,'Holdings'!$J$4:$J$2503,'Companies'!$A$4:$A$63,'Holdings'!$L$4:$L$2503,"Yes",'Holdings'!$C$4:$C$2503,"&gt;0")&gt;0),'Companies'!$A$4:$A$63,"")))</f>
        <v/>
      </c>
      <c r="G525" s="30">
        <f>IF(A525="","",IF(COUNTIF('People'!$A$4:$A$1003,A525)=0,"Email not on People",IF(COUNTIF('Holders'!$A$4:$A$1003,B525)=0,"Unknown holder ID",IF(COUNTIFS($A$4:$A$1503,A525,$B$4:$B$1503,B525)&gt;1,"Duplicate link",IF(C525="","Missing access","OK")))))</f>
        <v/>
      </c>
    </row>
    <row r="526">
      <c r="A526" s="26" t="n"/>
      <c r="B526" s="26" t="n"/>
      <c r="C526" s="26" t="n"/>
      <c r="D526" s="26" t="n"/>
      <c r="E526" s="30">
        <f>IF(B526="","",IFERROR(INDEX('Holders'!$B$4:$B$1003,MATCH(B526,'Holders'!$A$4:$A$1003,0)),""))</f>
        <v/>
      </c>
      <c r="F526" s="30">
        <f t="array" ref="F526">IF(B526="","",_xlfn.TEXTJOIN(", ",TRUE,IF(('Companies'!$A$4:$A$63&lt;&gt;"")*(COUNTIFS('Holdings'!$A$4:$A$2503,B526,'Holdings'!$J$4:$J$2503,'Companies'!$A$4:$A$63,'Holdings'!$L$4:$L$2503,"Yes",'Holdings'!$C$4:$C$2503,"&gt;0")&gt;0),'Companies'!$A$4:$A$63,"")))</f>
        <v/>
      </c>
      <c r="G526" s="30">
        <f>IF(A526="","",IF(COUNTIF('People'!$A$4:$A$1003,A526)=0,"Email not on People",IF(COUNTIF('Holders'!$A$4:$A$1003,B526)=0,"Unknown holder ID",IF(COUNTIFS($A$4:$A$1503,A526,$B$4:$B$1503,B526)&gt;1,"Duplicate link",IF(C526="","Missing access","OK")))))</f>
        <v/>
      </c>
    </row>
    <row r="527">
      <c r="A527" s="26" t="n"/>
      <c r="B527" s="26" t="n"/>
      <c r="C527" s="26" t="n"/>
      <c r="D527" s="26" t="n"/>
      <c r="E527" s="30">
        <f>IF(B527="","",IFERROR(INDEX('Holders'!$B$4:$B$1003,MATCH(B527,'Holders'!$A$4:$A$1003,0)),""))</f>
        <v/>
      </c>
      <c r="F527" s="30">
        <f t="array" ref="F527">IF(B527="","",_xlfn.TEXTJOIN(", ",TRUE,IF(('Companies'!$A$4:$A$63&lt;&gt;"")*(COUNTIFS('Holdings'!$A$4:$A$2503,B527,'Holdings'!$J$4:$J$2503,'Companies'!$A$4:$A$63,'Holdings'!$L$4:$L$2503,"Yes",'Holdings'!$C$4:$C$2503,"&gt;0")&gt;0),'Companies'!$A$4:$A$63,"")))</f>
        <v/>
      </c>
      <c r="G527" s="30">
        <f>IF(A527="","",IF(COUNTIF('People'!$A$4:$A$1003,A527)=0,"Email not on People",IF(COUNTIF('Holders'!$A$4:$A$1003,B527)=0,"Unknown holder ID",IF(COUNTIFS($A$4:$A$1503,A527,$B$4:$B$1503,B527)&gt;1,"Duplicate link",IF(C527="","Missing access","OK")))))</f>
        <v/>
      </c>
    </row>
    <row r="528">
      <c r="A528" s="26" t="n"/>
      <c r="B528" s="26" t="n"/>
      <c r="C528" s="26" t="n"/>
      <c r="D528" s="26" t="n"/>
      <c r="E528" s="30">
        <f>IF(B528="","",IFERROR(INDEX('Holders'!$B$4:$B$1003,MATCH(B528,'Holders'!$A$4:$A$1003,0)),""))</f>
        <v/>
      </c>
      <c r="F528" s="30">
        <f t="array" ref="F528">IF(B528="","",_xlfn.TEXTJOIN(", ",TRUE,IF(('Companies'!$A$4:$A$63&lt;&gt;"")*(COUNTIFS('Holdings'!$A$4:$A$2503,B528,'Holdings'!$J$4:$J$2503,'Companies'!$A$4:$A$63,'Holdings'!$L$4:$L$2503,"Yes",'Holdings'!$C$4:$C$2503,"&gt;0")&gt;0),'Companies'!$A$4:$A$63,"")))</f>
        <v/>
      </c>
      <c r="G528" s="30">
        <f>IF(A528="","",IF(COUNTIF('People'!$A$4:$A$1003,A528)=0,"Email not on People",IF(COUNTIF('Holders'!$A$4:$A$1003,B528)=0,"Unknown holder ID",IF(COUNTIFS($A$4:$A$1503,A528,$B$4:$B$1503,B528)&gt;1,"Duplicate link",IF(C528="","Missing access","OK")))))</f>
        <v/>
      </c>
    </row>
    <row r="529">
      <c r="A529" s="26" t="n"/>
      <c r="B529" s="26" t="n"/>
      <c r="C529" s="26" t="n"/>
      <c r="D529" s="26" t="n"/>
      <c r="E529" s="30">
        <f>IF(B529="","",IFERROR(INDEX('Holders'!$B$4:$B$1003,MATCH(B529,'Holders'!$A$4:$A$1003,0)),""))</f>
        <v/>
      </c>
      <c r="F529" s="30">
        <f t="array" ref="F529">IF(B529="","",_xlfn.TEXTJOIN(", ",TRUE,IF(('Companies'!$A$4:$A$63&lt;&gt;"")*(COUNTIFS('Holdings'!$A$4:$A$2503,B529,'Holdings'!$J$4:$J$2503,'Companies'!$A$4:$A$63,'Holdings'!$L$4:$L$2503,"Yes",'Holdings'!$C$4:$C$2503,"&gt;0")&gt;0),'Companies'!$A$4:$A$63,"")))</f>
        <v/>
      </c>
      <c r="G529" s="30">
        <f>IF(A529="","",IF(COUNTIF('People'!$A$4:$A$1003,A529)=0,"Email not on People",IF(COUNTIF('Holders'!$A$4:$A$1003,B529)=0,"Unknown holder ID",IF(COUNTIFS($A$4:$A$1503,A529,$B$4:$B$1503,B529)&gt;1,"Duplicate link",IF(C529="","Missing access","OK")))))</f>
        <v/>
      </c>
    </row>
    <row r="530">
      <c r="A530" s="26" t="n"/>
      <c r="B530" s="26" t="n"/>
      <c r="C530" s="26" t="n"/>
      <c r="D530" s="26" t="n"/>
      <c r="E530" s="30">
        <f>IF(B530="","",IFERROR(INDEX('Holders'!$B$4:$B$1003,MATCH(B530,'Holders'!$A$4:$A$1003,0)),""))</f>
        <v/>
      </c>
      <c r="F530" s="30">
        <f t="array" ref="F530">IF(B530="","",_xlfn.TEXTJOIN(", ",TRUE,IF(('Companies'!$A$4:$A$63&lt;&gt;"")*(COUNTIFS('Holdings'!$A$4:$A$2503,B530,'Holdings'!$J$4:$J$2503,'Companies'!$A$4:$A$63,'Holdings'!$L$4:$L$2503,"Yes",'Holdings'!$C$4:$C$2503,"&gt;0")&gt;0),'Companies'!$A$4:$A$63,"")))</f>
        <v/>
      </c>
      <c r="G530" s="30">
        <f>IF(A530="","",IF(COUNTIF('People'!$A$4:$A$1003,A530)=0,"Email not on People",IF(COUNTIF('Holders'!$A$4:$A$1003,B530)=0,"Unknown holder ID",IF(COUNTIFS($A$4:$A$1503,A530,$B$4:$B$1503,B530)&gt;1,"Duplicate link",IF(C530="","Missing access","OK")))))</f>
        <v/>
      </c>
    </row>
    <row r="531">
      <c r="A531" s="26" t="n"/>
      <c r="B531" s="26" t="n"/>
      <c r="C531" s="26" t="n"/>
      <c r="D531" s="26" t="n"/>
      <c r="E531" s="30">
        <f>IF(B531="","",IFERROR(INDEX('Holders'!$B$4:$B$1003,MATCH(B531,'Holders'!$A$4:$A$1003,0)),""))</f>
        <v/>
      </c>
      <c r="F531" s="30">
        <f t="array" ref="F531">IF(B531="","",_xlfn.TEXTJOIN(", ",TRUE,IF(('Companies'!$A$4:$A$63&lt;&gt;"")*(COUNTIFS('Holdings'!$A$4:$A$2503,B531,'Holdings'!$J$4:$J$2503,'Companies'!$A$4:$A$63,'Holdings'!$L$4:$L$2503,"Yes",'Holdings'!$C$4:$C$2503,"&gt;0")&gt;0),'Companies'!$A$4:$A$63,"")))</f>
        <v/>
      </c>
      <c r="G531" s="30">
        <f>IF(A531="","",IF(COUNTIF('People'!$A$4:$A$1003,A531)=0,"Email not on People",IF(COUNTIF('Holders'!$A$4:$A$1003,B531)=0,"Unknown holder ID",IF(COUNTIFS($A$4:$A$1503,A531,$B$4:$B$1503,B531)&gt;1,"Duplicate link",IF(C531="","Missing access","OK")))))</f>
        <v/>
      </c>
    </row>
    <row r="532">
      <c r="A532" s="26" t="n"/>
      <c r="B532" s="26" t="n"/>
      <c r="C532" s="26" t="n"/>
      <c r="D532" s="26" t="n"/>
      <c r="E532" s="30">
        <f>IF(B532="","",IFERROR(INDEX('Holders'!$B$4:$B$1003,MATCH(B532,'Holders'!$A$4:$A$1003,0)),""))</f>
        <v/>
      </c>
      <c r="F532" s="30">
        <f t="array" ref="F532">IF(B532="","",_xlfn.TEXTJOIN(", ",TRUE,IF(('Companies'!$A$4:$A$63&lt;&gt;"")*(COUNTIFS('Holdings'!$A$4:$A$2503,B532,'Holdings'!$J$4:$J$2503,'Companies'!$A$4:$A$63,'Holdings'!$L$4:$L$2503,"Yes",'Holdings'!$C$4:$C$2503,"&gt;0")&gt;0),'Companies'!$A$4:$A$63,"")))</f>
        <v/>
      </c>
      <c r="G532" s="30">
        <f>IF(A532="","",IF(COUNTIF('People'!$A$4:$A$1003,A532)=0,"Email not on People",IF(COUNTIF('Holders'!$A$4:$A$1003,B532)=0,"Unknown holder ID",IF(COUNTIFS($A$4:$A$1503,A532,$B$4:$B$1503,B532)&gt;1,"Duplicate link",IF(C532="","Missing access","OK")))))</f>
        <v/>
      </c>
    </row>
    <row r="533">
      <c r="A533" s="26" t="n"/>
      <c r="B533" s="26" t="n"/>
      <c r="C533" s="26" t="n"/>
      <c r="D533" s="26" t="n"/>
      <c r="E533" s="30">
        <f>IF(B533="","",IFERROR(INDEX('Holders'!$B$4:$B$1003,MATCH(B533,'Holders'!$A$4:$A$1003,0)),""))</f>
        <v/>
      </c>
      <c r="F533" s="30">
        <f t="array" ref="F533">IF(B533="","",_xlfn.TEXTJOIN(", ",TRUE,IF(('Companies'!$A$4:$A$63&lt;&gt;"")*(COUNTIFS('Holdings'!$A$4:$A$2503,B533,'Holdings'!$J$4:$J$2503,'Companies'!$A$4:$A$63,'Holdings'!$L$4:$L$2503,"Yes",'Holdings'!$C$4:$C$2503,"&gt;0")&gt;0),'Companies'!$A$4:$A$63,"")))</f>
        <v/>
      </c>
      <c r="G533" s="30">
        <f>IF(A533="","",IF(COUNTIF('People'!$A$4:$A$1003,A533)=0,"Email not on People",IF(COUNTIF('Holders'!$A$4:$A$1003,B533)=0,"Unknown holder ID",IF(COUNTIFS($A$4:$A$1503,A533,$B$4:$B$1503,B533)&gt;1,"Duplicate link",IF(C533="","Missing access","OK")))))</f>
        <v/>
      </c>
    </row>
    <row r="534">
      <c r="A534" s="26" t="n"/>
      <c r="B534" s="26" t="n"/>
      <c r="C534" s="26" t="n"/>
      <c r="D534" s="26" t="n"/>
      <c r="E534" s="30">
        <f>IF(B534="","",IFERROR(INDEX('Holders'!$B$4:$B$1003,MATCH(B534,'Holders'!$A$4:$A$1003,0)),""))</f>
        <v/>
      </c>
      <c r="F534" s="30">
        <f t="array" ref="F534">IF(B534="","",_xlfn.TEXTJOIN(", ",TRUE,IF(('Companies'!$A$4:$A$63&lt;&gt;"")*(COUNTIFS('Holdings'!$A$4:$A$2503,B534,'Holdings'!$J$4:$J$2503,'Companies'!$A$4:$A$63,'Holdings'!$L$4:$L$2503,"Yes",'Holdings'!$C$4:$C$2503,"&gt;0")&gt;0),'Companies'!$A$4:$A$63,"")))</f>
        <v/>
      </c>
      <c r="G534" s="30">
        <f>IF(A534="","",IF(COUNTIF('People'!$A$4:$A$1003,A534)=0,"Email not on People",IF(COUNTIF('Holders'!$A$4:$A$1003,B534)=0,"Unknown holder ID",IF(COUNTIFS($A$4:$A$1503,A534,$B$4:$B$1503,B534)&gt;1,"Duplicate link",IF(C534="","Missing access","OK")))))</f>
        <v/>
      </c>
    </row>
    <row r="535">
      <c r="A535" s="26" t="n"/>
      <c r="B535" s="26" t="n"/>
      <c r="C535" s="26" t="n"/>
      <c r="D535" s="26" t="n"/>
      <c r="E535" s="30">
        <f>IF(B535="","",IFERROR(INDEX('Holders'!$B$4:$B$1003,MATCH(B535,'Holders'!$A$4:$A$1003,0)),""))</f>
        <v/>
      </c>
      <c r="F535" s="30">
        <f t="array" ref="F535">IF(B535="","",_xlfn.TEXTJOIN(", ",TRUE,IF(('Companies'!$A$4:$A$63&lt;&gt;"")*(COUNTIFS('Holdings'!$A$4:$A$2503,B535,'Holdings'!$J$4:$J$2503,'Companies'!$A$4:$A$63,'Holdings'!$L$4:$L$2503,"Yes",'Holdings'!$C$4:$C$2503,"&gt;0")&gt;0),'Companies'!$A$4:$A$63,"")))</f>
        <v/>
      </c>
      <c r="G535" s="30">
        <f>IF(A535="","",IF(COUNTIF('People'!$A$4:$A$1003,A535)=0,"Email not on People",IF(COUNTIF('Holders'!$A$4:$A$1003,B535)=0,"Unknown holder ID",IF(COUNTIFS($A$4:$A$1503,A535,$B$4:$B$1503,B535)&gt;1,"Duplicate link",IF(C535="","Missing access","OK")))))</f>
        <v/>
      </c>
    </row>
    <row r="536">
      <c r="A536" s="26" t="n"/>
      <c r="B536" s="26" t="n"/>
      <c r="C536" s="26" t="n"/>
      <c r="D536" s="26" t="n"/>
      <c r="E536" s="30">
        <f>IF(B536="","",IFERROR(INDEX('Holders'!$B$4:$B$1003,MATCH(B536,'Holders'!$A$4:$A$1003,0)),""))</f>
        <v/>
      </c>
      <c r="F536" s="30">
        <f t="array" ref="F536">IF(B536="","",_xlfn.TEXTJOIN(", ",TRUE,IF(('Companies'!$A$4:$A$63&lt;&gt;"")*(COUNTIFS('Holdings'!$A$4:$A$2503,B536,'Holdings'!$J$4:$J$2503,'Companies'!$A$4:$A$63,'Holdings'!$L$4:$L$2503,"Yes",'Holdings'!$C$4:$C$2503,"&gt;0")&gt;0),'Companies'!$A$4:$A$63,"")))</f>
        <v/>
      </c>
      <c r="G536" s="30">
        <f>IF(A536="","",IF(COUNTIF('People'!$A$4:$A$1003,A536)=0,"Email not on People",IF(COUNTIF('Holders'!$A$4:$A$1003,B536)=0,"Unknown holder ID",IF(COUNTIFS($A$4:$A$1503,A536,$B$4:$B$1503,B536)&gt;1,"Duplicate link",IF(C536="","Missing access","OK")))))</f>
        <v/>
      </c>
    </row>
    <row r="537">
      <c r="A537" s="26" t="n"/>
      <c r="B537" s="26" t="n"/>
      <c r="C537" s="26" t="n"/>
      <c r="D537" s="26" t="n"/>
      <c r="E537" s="30">
        <f>IF(B537="","",IFERROR(INDEX('Holders'!$B$4:$B$1003,MATCH(B537,'Holders'!$A$4:$A$1003,0)),""))</f>
        <v/>
      </c>
      <c r="F537" s="30">
        <f t="array" ref="F537">IF(B537="","",_xlfn.TEXTJOIN(", ",TRUE,IF(('Companies'!$A$4:$A$63&lt;&gt;"")*(COUNTIFS('Holdings'!$A$4:$A$2503,B537,'Holdings'!$J$4:$J$2503,'Companies'!$A$4:$A$63,'Holdings'!$L$4:$L$2503,"Yes",'Holdings'!$C$4:$C$2503,"&gt;0")&gt;0),'Companies'!$A$4:$A$63,"")))</f>
        <v/>
      </c>
      <c r="G537" s="30">
        <f>IF(A537="","",IF(COUNTIF('People'!$A$4:$A$1003,A537)=0,"Email not on People",IF(COUNTIF('Holders'!$A$4:$A$1003,B537)=0,"Unknown holder ID",IF(COUNTIFS($A$4:$A$1503,A537,$B$4:$B$1503,B537)&gt;1,"Duplicate link",IF(C537="","Missing access","OK")))))</f>
        <v/>
      </c>
    </row>
    <row r="538">
      <c r="A538" s="26" t="n"/>
      <c r="B538" s="26" t="n"/>
      <c r="C538" s="26" t="n"/>
      <c r="D538" s="26" t="n"/>
      <c r="E538" s="30">
        <f>IF(B538="","",IFERROR(INDEX('Holders'!$B$4:$B$1003,MATCH(B538,'Holders'!$A$4:$A$1003,0)),""))</f>
        <v/>
      </c>
      <c r="F538" s="30">
        <f t="array" ref="F538">IF(B538="","",_xlfn.TEXTJOIN(", ",TRUE,IF(('Companies'!$A$4:$A$63&lt;&gt;"")*(COUNTIFS('Holdings'!$A$4:$A$2503,B538,'Holdings'!$J$4:$J$2503,'Companies'!$A$4:$A$63,'Holdings'!$L$4:$L$2503,"Yes",'Holdings'!$C$4:$C$2503,"&gt;0")&gt;0),'Companies'!$A$4:$A$63,"")))</f>
        <v/>
      </c>
      <c r="G538" s="30">
        <f>IF(A538="","",IF(COUNTIF('People'!$A$4:$A$1003,A538)=0,"Email not on People",IF(COUNTIF('Holders'!$A$4:$A$1003,B538)=0,"Unknown holder ID",IF(COUNTIFS($A$4:$A$1503,A538,$B$4:$B$1503,B538)&gt;1,"Duplicate link",IF(C538="","Missing access","OK")))))</f>
        <v/>
      </c>
    </row>
    <row r="539">
      <c r="A539" s="26" t="n"/>
      <c r="B539" s="26" t="n"/>
      <c r="C539" s="26" t="n"/>
      <c r="D539" s="26" t="n"/>
      <c r="E539" s="30">
        <f>IF(B539="","",IFERROR(INDEX('Holders'!$B$4:$B$1003,MATCH(B539,'Holders'!$A$4:$A$1003,0)),""))</f>
        <v/>
      </c>
      <c r="F539" s="30">
        <f t="array" ref="F539">IF(B539="","",_xlfn.TEXTJOIN(", ",TRUE,IF(('Companies'!$A$4:$A$63&lt;&gt;"")*(COUNTIFS('Holdings'!$A$4:$A$2503,B539,'Holdings'!$J$4:$J$2503,'Companies'!$A$4:$A$63,'Holdings'!$L$4:$L$2503,"Yes",'Holdings'!$C$4:$C$2503,"&gt;0")&gt;0),'Companies'!$A$4:$A$63,"")))</f>
        <v/>
      </c>
      <c r="G539" s="30">
        <f>IF(A539="","",IF(COUNTIF('People'!$A$4:$A$1003,A539)=0,"Email not on People",IF(COUNTIF('Holders'!$A$4:$A$1003,B539)=0,"Unknown holder ID",IF(COUNTIFS($A$4:$A$1503,A539,$B$4:$B$1503,B539)&gt;1,"Duplicate link",IF(C539="","Missing access","OK")))))</f>
        <v/>
      </c>
    </row>
    <row r="540">
      <c r="A540" s="26" t="n"/>
      <c r="B540" s="26" t="n"/>
      <c r="C540" s="26" t="n"/>
      <c r="D540" s="26" t="n"/>
      <c r="E540" s="30">
        <f>IF(B540="","",IFERROR(INDEX('Holders'!$B$4:$B$1003,MATCH(B540,'Holders'!$A$4:$A$1003,0)),""))</f>
        <v/>
      </c>
      <c r="F540" s="30">
        <f t="array" ref="F540">IF(B540="","",_xlfn.TEXTJOIN(", ",TRUE,IF(('Companies'!$A$4:$A$63&lt;&gt;"")*(COUNTIFS('Holdings'!$A$4:$A$2503,B540,'Holdings'!$J$4:$J$2503,'Companies'!$A$4:$A$63,'Holdings'!$L$4:$L$2503,"Yes",'Holdings'!$C$4:$C$2503,"&gt;0")&gt;0),'Companies'!$A$4:$A$63,"")))</f>
        <v/>
      </c>
      <c r="G540" s="30">
        <f>IF(A540="","",IF(COUNTIF('People'!$A$4:$A$1003,A540)=0,"Email not on People",IF(COUNTIF('Holders'!$A$4:$A$1003,B540)=0,"Unknown holder ID",IF(COUNTIFS($A$4:$A$1503,A540,$B$4:$B$1503,B540)&gt;1,"Duplicate link",IF(C540="","Missing access","OK")))))</f>
        <v/>
      </c>
    </row>
    <row r="541">
      <c r="A541" s="26" t="n"/>
      <c r="B541" s="26" t="n"/>
      <c r="C541" s="26" t="n"/>
      <c r="D541" s="26" t="n"/>
      <c r="E541" s="30">
        <f>IF(B541="","",IFERROR(INDEX('Holders'!$B$4:$B$1003,MATCH(B541,'Holders'!$A$4:$A$1003,0)),""))</f>
        <v/>
      </c>
      <c r="F541" s="30">
        <f t="array" ref="F541">IF(B541="","",_xlfn.TEXTJOIN(", ",TRUE,IF(('Companies'!$A$4:$A$63&lt;&gt;"")*(COUNTIFS('Holdings'!$A$4:$A$2503,B541,'Holdings'!$J$4:$J$2503,'Companies'!$A$4:$A$63,'Holdings'!$L$4:$L$2503,"Yes",'Holdings'!$C$4:$C$2503,"&gt;0")&gt;0),'Companies'!$A$4:$A$63,"")))</f>
        <v/>
      </c>
      <c r="G541" s="30">
        <f>IF(A541="","",IF(COUNTIF('People'!$A$4:$A$1003,A541)=0,"Email not on People",IF(COUNTIF('Holders'!$A$4:$A$1003,B541)=0,"Unknown holder ID",IF(COUNTIFS($A$4:$A$1503,A541,$B$4:$B$1503,B541)&gt;1,"Duplicate link",IF(C541="","Missing access","OK")))))</f>
        <v/>
      </c>
    </row>
    <row r="542">
      <c r="A542" s="26" t="n"/>
      <c r="B542" s="26" t="n"/>
      <c r="C542" s="26" t="n"/>
      <c r="D542" s="26" t="n"/>
      <c r="E542" s="30">
        <f>IF(B542="","",IFERROR(INDEX('Holders'!$B$4:$B$1003,MATCH(B542,'Holders'!$A$4:$A$1003,0)),""))</f>
        <v/>
      </c>
      <c r="F542" s="30">
        <f t="array" ref="F542">IF(B542="","",_xlfn.TEXTJOIN(", ",TRUE,IF(('Companies'!$A$4:$A$63&lt;&gt;"")*(COUNTIFS('Holdings'!$A$4:$A$2503,B542,'Holdings'!$J$4:$J$2503,'Companies'!$A$4:$A$63,'Holdings'!$L$4:$L$2503,"Yes",'Holdings'!$C$4:$C$2503,"&gt;0")&gt;0),'Companies'!$A$4:$A$63,"")))</f>
        <v/>
      </c>
      <c r="G542" s="30">
        <f>IF(A542="","",IF(COUNTIF('People'!$A$4:$A$1003,A542)=0,"Email not on People",IF(COUNTIF('Holders'!$A$4:$A$1003,B542)=0,"Unknown holder ID",IF(COUNTIFS($A$4:$A$1503,A542,$B$4:$B$1503,B542)&gt;1,"Duplicate link",IF(C542="","Missing access","OK")))))</f>
        <v/>
      </c>
    </row>
    <row r="543">
      <c r="A543" s="26" t="n"/>
      <c r="B543" s="26" t="n"/>
      <c r="C543" s="26" t="n"/>
      <c r="D543" s="26" t="n"/>
      <c r="E543" s="30">
        <f>IF(B543="","",IFERROR(INDEX('Holders'!$B$4:$B$1003,MATCH(B543,'Holders'!$A$4:$A$1003,0)),""))</f>
        <v/>
      </c>
      <c r="F543" s="30">
        <f t="array" ref="F543">IF(B543="","",_xlfn.TEXTJOIN(", ",TRUE,IF(('Companies'!$A$4:$A$63&lt;&gt;"")*(COUNTIFS('Holdings'!$A$4:$A$2503,B543,'Holdings'!$J$4:$J$2503,'Companies'!$A$4:$A$63,'Holdings'!$L$4:$L$2503,"Yes",'Holdings'!$C$4:$C$2503,"&gt;0")&gt;0),'Companies'!$A$4:$A$63,"")))</f>
        <v/>
      </c>
      <c r="G543" s="30">
        <f>IF(A543="","",IF(COUNTIF('People'!$A$4:$A$1003,A543)=0,"Email not on People",IF(COUNTIF('Holders'!$A$4:$A$1003,B543)=0,"Unknown holder ID",IF(COUNTIFS($A$4:$A$1503,A543,$B$4:$B$1503,B543)&gt;1,"Duplicate link",IF(C543="","Missing access","OK")))))</f>
        <v/>
      </c>
    </row>
    <row r="544">
      <c r="A544" s="26" t="n"/>
      <c r="B544" s="26" t="n"/>
      <c r="C544" s="26" t="n"/>
      <c r="D544" s="26" t="n"/>
      <c r="E544" s="30">
        <f>IF(B544="","",IFERROR(INDEX('Holders'!$B$4:$B$1003,MATCH(B544,'Holders'!$A$4:$A$1003,0)),""))</f>
        <v/>
      </c>
      <c r="F544" s="30">
        <f t="array" ref="F544">IF(B544="","",_xlfn.TEXTJOIN(", ",TRUE,IF(('Companies'!$A$4:$A$63&lt;&gt;"")*(COUNTIFS('Holdings'!$A$4:$A$2503,B544,'Holdings'!$J$4:$J$2503,'Companies'!$A$4:$A$63,'Holdings'!$L$4:$L$2503,"Yes",'Holdings'!$C$4:$C$2503,"&gt;0")&gt;0),'Companies'!$A$4:$A$63,"")))</f>
        <v/>
      </c>
      <c r="G544" s="30">
        <f>IF(A544="","",IF(COUNTIF('People'!$A$4:$A$1003,A544)=0,"Email not on People",IF(COUNTIF('Holders'!$A$4:$A$1003,B544)=0,"Unknown holder ID",IF(COUNTIFS($A$4:$A$1503,A544,$B$4:$B$1503,B544)&gt;1,"Duplicate link",IF(C544="","Missing access","OK")))))</f>
        <v/>
      </c>
    </row>
    <row r="545">
      <c r="A545" s="26" t="n"/>
      <c r="B545" s="26" t="n"/>
      <c r="C545" s="26" t="n"/>
      <c r="D545" s="26" t="n"/>
      <c r="E545" s="30">
        <f>IF(B545="","",IFERROR(INDEX('Holders'!$B$4:$B$1003,MATCH(B545,'Holders'!$A$4:$A$1003,0)),""))</f>
        <v/>
      </c>
      <c r="F545" s="30">
        <f t="array" ref="F545">IF(B545="","",_xlfn.TEXTJOIN(", ",TRUE,IF(('Companies'!$A$4:$A$63&lt;&gt;"")*(COUNTIFS('Holdings'!$A$4:$A$2503,B545,'Holdings'!$J$4:$J$2503,'Companies'!$A$4:$A$63,'Holdings'!$L$4:$L$2503,"Yes",'Holdings'!$C$4:$C$2503,"&gt;0")&gt;0),'Companies'!$A$4:$A$63,"")))</f>
        <v/>
      </c>
      <c r="G545" s="30">
        <f>IF(A545="","",IF(COUNTIF('People'!$A$4:$A$1003,A545)=0,"Email not on People",IF(COUNTIF('Holders'!$A$4:$A$1003,B545)=0,"Unknown holder ID",IF(COUNTIFS($A$4:$A$1503,A545,$B$4:$B$1503,B545)&gt;1,"Duplicate link",IF(C545="","Missing access","OK")))))</f>
        <v/>
      </c>
    </row>
    <row r="546">
      <c r="A546" s="26" t="n"/>
      <c r="B546" s="26" t="n"/>
      <c r="C546" s="26" t="n"/>
      <c r="D546" s="26" t="n"/>
      <c r="E546" s="30">
        <f>IF(B546="","",IFERROR(INDEX('Holders'!$B$4:$B$1003,MATCH(B546,'Holders'!$A$4:$A$1003,0)),""))</f>
        <v/>
      </c>
      <c r="F546" s="30">
        <f t="array" ref="F546">IF(B546="","",_xlfn.TEXTJOIN(", ",TRUE,IF(('Companies'!$A$4:$A$63&lt;&gt;"")*(COUNTIFS('Holdings'!$A$4:$A$2503,B546,'Holdings'!$J$4:$J$2503,'Companies'!$A$4:$A$63,'Holdings'!$L$4:$L$2503,"Yes",'Holdings'!$C$4:$C$2503,"&gt;0")&gt;0),'Companies'!$A$4:$A$63,"")))</f>
        <v/>
      </c>
      <c r="G546" s="30">
        <f>IF(A546="","",IF(COUNTIF('People'!$A$4:$A$1003,A546)=0,"Email not on People",IF(COUNTIF('Holders'!$A$4:$A$1003,B546)=0,"Unknown holder ID",IF(COUNTIFS($A$4:$A$1503,A546,$B$4:$B$1503,B546)&gt;1,"Duplicate link",IF(C546="","Missing access","OK")))))</f>
        <v/>
      </c>
    </row>
    <row r="547">
      <c r="A547" s="26" t="n"/>
      <c r="B547" s="26" t="n"/>
      <c r="C547" s="26" t="n"/>
      <c r="D547" s="26" t="n"/>
      <c r="E547" s="30">
        <f>IF(B547="","",IFERROR(INDEX('Holders'!$B$4:$B$1003,MATCH(B547,'Holders'!$A$4:$A$1003,0)),""))</f>
        <v/>
      </c>
      <c r="F547" s="30">
        <f t="array" ref="F547">IF(B547="","",_xlfn.TEXTJOIN(", ",TRUE,IF(('Companies'!$A$4:$A$63&lt;&gt;"")*(COUNTIFS('Holdings'!$A$4:$A$2503,B547,'Holdings'!$J$4:$J$2503,'Companies'!$A$4:$A$63,'Holdings'!$L$4:$L$2503,"Yes",'Holdings'!$C$4:$C$2503,"&gt;0")&gt;0),'Companies'!$A$4:$A$63,"")))</f>
        <v/>
      </c>
      <c r="G547" s="30">
        <f>IF(A547="","",IF(COUNTIF('People'!$A$4:$A$1003,A547)=0,"Email not on People",IF(COUNTIF('Holders'!$A$4:$A$1003,B547)=0,"Unknown holder ID",IF(COUNTIFS($A$4:$A$1503,A547,$B$4:$B$1503,B547)&gt;1,"Duplicate link",IF(C547="","Missing access","OK")))))</f>
        <v/>
      </c>
    </row>
    <row r="548">
      <c r="A548" s="26" t="n"/>
      <c r="B548" s="26" t="n"/>
      <c r="C548" s="26" t="n"/>
      <c r="D548" s="26" t="n"/>
      <c r="E548" s="30">
        <f>IF(B548="","",IFERROR(INDEX('Holders'!$B$4:$B$1003,MATCH(B548,'Holders'!$A$4:$A$1003,0)),""))</f>
        <v/>
      </c>
      <c r="F548" s="30">
        <f t="array" ref="F548">IF(B548="","",_xlfn.TEXTJOIN(", ",TRUE,IF(('Companies'!$A$4:$A$63&lt;&gt;"")*(COUNTIFS('Holdings'!$A$4:$A$2503,B548,'Holdings'!$J$4:$J$2503,'Companies'!$A$4:$A$63,'Holdings'!$L$4:$L$2503,"Yes",'Holdings'!$C$4:$C$2503,"&gt;0")&gt;0),'Companies'!$A$4:$A$63,"")))</f>
        <v/>
      </c>
      <c r="G548" s="30">
        <f>IF(A548="","",IF(COUNTIF('People'!$A$4:$A$1003,A548)=0,"Email not on People",IF(COUNTIF('Holders'!$A$4:$A$1003,B548)=0,"Unknown holder ID",IF(COUNTIFS($A$4:$A$1503,A548,$B$4:$B$1503,B548)&gt;1,"Duplicate link",IF(C548="","Missing access","OK")))))</f>
        <v/>
      </c>
    </row>
    <row r="549">
      <c r="A549" s="26" t="n"/>
      <c r="B549" s="26" t="n"/>
      <c r="C549" s="26" t="n"/>
      <c r="D549" s="26" t="n"/>
      <c r="E549" s="30">
        <f>IF(B549="","",IFERROR(INDEX('Holders'!$B$4:$B$1003,MATCH(B549,'Holders'!$A$4:$A$1003,0)),""))</f>
        <v/>
      </c>
      <c r="F549" s="30">
        <f t="array" ref="F549">IF(B549="","",_xlfn.TEXTJOIN(", ",TRUE,IF(('Companies'!$A$4:$A$63&lt;&gt;"")*(COUNTIFS('Holdings'!$A$4:$A$2503,B549,'Holdings'!$J$4:$J$2503,'Companies'!$A$4:$A$63,'Holdings'!$L$4:$L$2503,"Yes",'Holdings'!$C$4:$C$2503,"&gt;0")&gt;0),'Companies'!$A$4:$A$63,"")))</f>
        <v/>
      </c>
      <c r="G549" s="30">
        <f>IF(A549="","",IF(COUNTIF('People'!$A$4:$A$1003,A549)=0,"Email not on People",IF(COUNTIF('Holders'!$A$4:$A$1003,B549)=0,"Unknown holder ID",IF(COUNTIFS($A$4:$A$1503,A549,$B$4:$B$1503,B549)&gt;1,"Duplicate link",IF(C549="","Missing access","OK")))))</f>
        <v/>
      </c>
    </row>
    <row r="550">
      <c r="A550" s="26" t="n"/>
      <c r="B550" s="26" t="n"/>
      <c r="C550" s="26" t="n"/>
      <c r="D550" s="26" t="n"/>
      <c r="E550" s="30">
        <f>IF(B550="","",IFERROR(INDEX('Holders'!$B$4:$B$1003,MATCH(B550,'Holders'!$A$4:$A$1003,0)),""))</f>
        <v/>
      </c>
      <c r="F550" s="30">
        <f t="array" ref="F550">IF(B550="","",_xlfn.TEXTJOIN(", ",TRUE,IF(('Companies'!$A$4:$A$63&lt;&gt;"")*(COUNTIFS('Holdings'!$A$4:$A$2503,B550,'Holdings'!$J$4:$J$2503,'Companies'!$A$4:$A$63,'Holdings'!$L$4:$L$2503,"Yes",'Holdings'!$C$4:$C$2503,"&gt;0")&gt;0),'Companies'!$A$4:$A$63,"")))</f>
        <v/>
      </c>
      <c r="G550" s="30">
        <f>IF(A550="","",IF(COUNTIF('People'!$A$4:$A$1003,A550)=0,"Email not on People",IF(COUNTIF('Holders'!$A$4:$A$1003,B550)=0,"Unknown holder ID",IF(COUNTIFS($A$4:$A$1503,A550,$B$4:$B$1503,B550)&gt;1,"Duplicate link",IF(C550="","Missing access","OK")))))</f>
        <v/>
      </c>
    </row>
    <row r="551">
      <c r="A551" s="26" t="n"/>
      <c r="B551" s="26" t="n"/>
      <c r="C551" s="26" t="n"/>
      <c r="D551" s="26" t="n"/>
      <c r="E551" s="30">
        <f>IF(B551="","",IFERROR(INDEX('Holders'!$B$4:$B$1003,MATCH(B551,'Holders'!$A$4:$A$1003,0)),""))</f>
        <v/>
      </c>
      <c r="F551" s="30">
        <f t="array" ref="F551">IF(B551="","",_xlfn.TEXTJOIN(", ",TRUE,IF(('Companies'!$A$4:$A$63&lt;&gt;"")*(COUNTIFS('Holdings'!$A$4:$A$2503,B551,'Holdings'!$J$4:$J$2503,'Companies'!$A$4:$A$63,'Holdings'!$L$4:$L$2503,"Yes",'Holdings'!$C$4:$C$2503,"&gt;0")&gt;0),'Companies'!$A$4:$A$63,"")))</f>
        <v/>
      </c>
      <c r="G551" s="30">
        <f>IF(A551="","",IF(COUNTIF('People'!$A$4:$A$1003,A551)=0,"Email not on People",IF(COUNTIF('Holders'!$A$4:$A$1003,B551)=0,"Unknown holder ID",IF(COUNTIFS($A$4:$A$1503,A551,$B$4:$B$1503,B551)&gt;1,"Duplicate link",IF(C551="","Missing access","OK")))))</f>
        <v/>
      </c>
    </row>
    <row r="552">
      <c r="A552" s="26" t="n"/>
      <c r="B552" s="26" t="n"/>
      <c r="C552" s="26" t="n"/>
      <c r="D552" s="26" t="n"/>
      <c r="E552" s="30">
        <f>IF(B552="","",IFERROR(INDEX('Holders'!$B$4:$B$1003,MATCH(B552,'Holders'!$A$4:$A$1003,0)),""))</f>
        <v/>
      </c>
      <c r="F552" s="30">
        <f t="array" ref="F552">IF(B552="","",_xlfn.TEXTJOIN(", ",TRUE,IF(('Companies'!$A$4:$A$63&lt;&gt;"")*(COUNTIFS('Holdings'!$A$4:$A$2503,B552,'Holdings'!$J$4:$J$2503,'Companies'!$A$4:$A$63,'Holdings'!$L$4:$L$2503,"Yes",'Holdings'!$C$4:$C$2503,"&gt;0")&gt;0),'Companies'!$A$4:$A$63,"")))</f>
        <v/>
      </c>
      <c r="G552" s="30">
        <f>IF(A552="","",IF(COUNTIF('People'!$A$4:$A$1003,A552)=0,"Email not on People",IF(COUNTIF('Holders'!$A$4:$A$1003,B552)=0,"Unknown holder ID",IF(COUNTIFS($A$4:$A$1503,A552,$B$4:$B$1503,B552)&gt;1,"Duplicate link",IF(C552="","Missing access","OK")))))</f>
        <v/>
      </c>
    </row>
    <row r="553">
      <c r="A553" s="26" t="n"/>
      <c r="B553" s="26" t="n"/>
      <c r="C553" s="26" t="n"/>
      <c r="D553" s="26" t="n"/>
      <c r="E553" s="30">
        <f>IF(B553="","",IFERROR(INDEX('Holders'!$B$4:$B$1003,MATCH(B553,'Holders'!$A$4:$A$1003,0)),""))</f>
        <v/>
      </c>
      <c r="F553" s="30">
        <f t="array" ref="F553">IF(B553="","",_xlfn.TEXTJOIN(", ",TRUE,IF(('Companies'!$A$4:$A$63&lt;&gt;"")*(COUNTIFS('Holdings'!$A$4:$A$2503,B553,'Holdings'!$J$4:$J$2503,'Companies'!$A$4:$A$63,'Holdings'!$L$4:$L$2503,"Yes",'Holdings'!$C$4:$C$2503,"&gt;0")&gt;0),'Companies'!$A$4:$A$63,"")))</f>
        <v/>
      </c>
      <c r="G553" s="30">
        <f>IF(A553="","",IF(COUNTIF('People'!$A$4:$A$1003,A553)=0,"Email not on People",IF(COUNTIF('Holders'!$A$4:$A$1003,B553)=0,"Unknown holder ID",IF(COUNTIFS($A$4:$A$1503,A553,$B$4:$B$1503,B553)&gt;1,"Duplicate link",IF(C553="","Missing access","OK")))))</f>
        <v/>
      </c>
    </row>
    <row r="554">
      <c r="A554" s="26" t="n"/>
      <c r="B554" s="26" t="n"/>
      <c r="C554" s="26" t="n"/>
      <c r="D554" s="26" t="n"/>
      <c r="E554" s="30">
        <f>IF(B554="","",IFERROR(INDEX('Holders'!$B$4:$B$1003,MATCH(B554,'Holders'!$A$4:$A$1003,0)),""))</f>
        <v/>
      </c>
      <c r="F554" s="30">
        <f t="array" ref="F554">IF(B554="","",_xlfn.TEXTJOIN(", ",TRUE,IF(('Companies'!$A$4:$A$63&lt;&gt;"")*(COUNTIFS('Holdings'!$A$4:$A$2503,B554,'Holdings'!$J$4:$J$2503,'Companies'!$A$4:$A$63,'Holdings'!$L$4:$L$2503,"Yes",'Holdings'!$C$4:$C$2503,"&gt;0")&gt;0),'Companies'!$A$4:$A$63,"")))</f>
        <v/>
      </c>
      <c r="G554" s="30">
        <f>IF(A554="","",IF(COUNTIF('People'!$A$4:$A$1003,A554)=0,"Email not on People",IF(COUNTIF('Holders'!$A$4:$A$1003,B554)=0,"Unknown holder ID",IF(COUNTIFS($A$4:$A$1503,A554,$B$4:$B$1503,B554)&gt;1,"Duplicate link",IF(C554="","Missing access","OK")))))</f>
        <v/>
      </c>
    </row>
    <row r="555">
      <c r="A555" s="26" t="n"/>
      <c r="B555" s="26" t="n"/>
      <c r="C555" s="26" t="n"/>
      <c r="D555" s="26" t="n"/>
      <c r="E555" s="30">
        <f>IF(B555="","",IFERROR(INDEX('Holders'!$B$4:$B$1003,MATCH(B555,'Holders'!$A$4:$A$1003,0)),""))</f>
        <v/>
      </c>
      <c r="F555" s="30">
        <f t="array" ref="F555">IF(B555="","",_xlfn.TEXTJOIN(", ",TRUE,IF(('Companies'!$A$4:$A$63&lt;&gt;"")*(COUNTIFS('Holdings'!$A$4:$A$2503,B555,'Holdings'!$J$4:$J$2503,'Companies'!$A$4:$A$63,'Holdings'!$L$4:$L$2503,"Yes",'Holdings'!$C$4:$C$2503,"&gt;0")&gt;0),'Companies'!$A$4:$A$63,"")))</f>
        <v/>
      </c>
      <c r="G555" s="30">
        <f>IF(A555="","",IF(COUNTIF('People'!$A$4:$A$1003,A555)=0,"Email not on People",IF(COUNTIF('Holders'!$A$4:$A$1003,B555)=0,"Unknown holder ID",IF(COUNTIFS($A$4:$A$1503,A555,$B$4:$B$1503,B555)&gt;1,"Duplicate link",IF(C555="","Missing access","OK")))))</f>
        <v/>
      </c>
    </row>
    <row r="556">
      <c r="A556" s="26" t="n"/>
      <c r="B556" s="26" t="n"/>
      <c r="C556" s="26" t="n"/>
      <c r="D556" s="26" t="n"/>
      <c r="E556" s="30">
        <f>IF(B556="","",IFERROR(INDEX('Holders'!$B$4:$B$1003,MATCH(B556,'Holders'!$A$4:$A$1003,0)),""))</f>
        <v/>
      </c>
      <c r="F556" s="30">
        <f t="array" ref="F556">IF(B556="","",_xlfn.TEXTJOIN(", ",TRUE,IF(('Companies'!$A$4:$A$63&lt;&gt;"")*(COUNTIFS('Holdings'!$A$4:$A$2503,B556,'Holdings'!$J$4:$J$2503,'Companies'!$A$4:$A$63,'Holdings'!$L$4:$L$2503,"Yes",'Holdings'!$C$4:$C$2503,"&gt;0")&gt;0),'Companies'!$A$4:$A$63,"")))</f>
        <v/>
      </c>
      <c r="G556" s="30">
        <f>IF(A556="","",IF(COUNTIF('People'!$A$4:$A$1003,A556)=0,"Email not on People",IF(COUNTIF('Holders'!$A$4:$A$1003,B556)=0,"Unknown holder ID",IF(COUNTIFS($A$4:$A$1503,A556,$B$4:$B$1503,B556)&gt;1,"Duplicate link",IF(C556="","Missing access","OK")))))</f>
        <v/>
      </c>
    </row>
    <row r="557">
      <c r="A557" s="26" t="n"/>
      <c r="B557" s="26" t="n"/>
      <c r="C557" s="26" t="n"/>
      <c r="D557" s="26" t="n"/>
      <c r="E557" s="30">
        <f>IF(B557="","",IFERROR(INDEX('Holders'!$B$4:$B$1003,MATCH(B557,'Holders'!$A$4:$A$1003,0)),""))</f>
        <v/>
      </c>
      <c r="F557" s="30">
        <f t="array" ref="F557">IF(B557="","",_xlfn.TEXTJOIN(", ",TRUE,IF(('Companies'!$A$4:$A$63&lt;&gt;"")*(COUNTIFS('Holdings'!$A$4:$A$2503,B557,'Holdings'!$J$4:$J$2503,'Companies'!$A$4:$A$63,'Holdings'!$L$4:$L$2503,"Yes",'Holdings'!$C$4:$C$2503,"&gt;0")&gt;0),'Companies'!$A$4:$A$63,"")))</f>
        <v/>
      </c>
      <c r="G557" s="30">
        <f>IF(A557="","",IF(COUNTIF('People'!$A$4:$A$1003,A557)=0,"Email not on People",IF(COUNTIF('Holders'!$A$4:$A$1003,B557)=0,"Unknown holder ID",IF(COUNTIFS($A$4:$A$1503,A557,$B$4:$B$1503,B557)&gt;1,"Duplicate link",IF(C557="","Missing access","OK")))))</f>
        <v/>
      </c>
    </row>
    <row r="558">
      <c r="A558" s="26" t="n"/>
      <c r="B558" s="26" t="n"/>
      <c r="C558" s="26" t="n"/>
      <c r="D558" s="26" t="n"/>
      <c r="E558" s="30">
        <f>IF(B558="","",IFERROR(INDEX('Holders'!$B$4:$B$1003,MATCH(B558,'Holders'!$A$4:$A$1003,0)),""))</f>
        <v/>
      </c>
      <c r="F558" s="30">
        <f t="array" ref="F558">IF(B558="","",_xlfn.TEXTJOIN(", ",TRUE,IF(('Companies'!$A$4:$A$63&lt;&gt;"")*(COUNTIFS('Holdings'!$A$4:$A$2503,B558,'Holdings'!$J$4:$J$2503,'Companies'!$A$4:$A$63,'Holdings'!$L$4:$L$2503,"Yes",'Holdings'!$C$4:$C$2503,"&gt;0")&gt;0),'Companies'!$A$4:$A$63,"")))</f>
        <v/>
      </c>
      <c r="G558" s="30">
        <f>IF(A558="","",IF(COUNTIF('People'!$A$4:$A$1003,A558)=0,"Email not on People",IF(COUNTIF('Holders'!$A$4:$A$1003,B558)=0,"Unknown holder ID",IF(COUNTIFS($A$4:$A$1503,A558,$B$4:$B$1503,B558)&gt;1,"Duplicate link",IF(C558="","Missing access","OK")))))</f>
        <v/>
      </c>
    </row>
    <row r="559">
      <c r="A559" s="26" t="n"/>
      <c r="B559" s="26" t="n"/>
      <c r="C559" s="26" t="n"/>
      <c r="D559" s="26" t="n"/>
      <c r="E559" s="30">
        <f>IF(B559="","",IFERROR(INDEX('Holders'!$B$4:$B$1003,MATCH(B559,'Holders'!$A$4:$A$1003,0)),""))</f>
        <v/>
      </c>
      <c r="F559" s="30">
        <f t="array" ref="F559">IF(B559="","",_xlfn.TEXTJOIN(", ",TRUE,IF(('Companies'!$A$4:$A$63&lt;&gt;"")*(COUNTIFS('Holdings'!$A$4:$A$2503,B559,'Holdings'!$J$4:$J$2503,'Companies'!$A$4:$A$63,'Holdings'!$L$4:$L$2503,"Yes",'Holdings'!$C$4:$C$2503,"&gt;0")&gt;0),'Companies'!$A$4:$A$63,"")))</f>
        <v/>
      </c>
      <c r="G559" s="30">
        <f>IF(A559="","",IF(COUNTIF('People'!$A$4:$A$1003,A559)=0,"Email not on People",IF(COUNTIF('Holders'!$A$4:$A$1003,B559)=0,"Unknown holder ID",IF(COUNTIFS($A$4:$A$1503,A559,$B$4:$B$1503,B559)&gt;1,"Duplicate link",IF(C559="","Missing access","OK")))))</f>
        <v/>
      </c>
    </row>
    <row r="560">
      <c r="A560" s="26" t="n"/>
      <c r="B560" s="26" t="n"/>
      <c r="C560" s="26" t="n"/>
      <c r="D560" s="26" t="n"/>
      <c r="E560" s="30">
        <f>IF(B560="","",IFERROR(INDEX('Holders'!$B$4:$B$1003,MATCH(B560,'Holders'!$A$4:$A$1003,0)),""))</f>
        <v/>
      </c>
      <c r="F560" s="30">
        <f t="array" ref="F560">IF(B560="","",_xlfn.TEXTJOIN(", ",TRUE,IF(('Companies'!$A$4:$A$63&lt;&gt;"")*(COUNTIFS('Holdings'!$A$4:$A$2503,B560,'Holdings'!$J$4:$J$2503,'Companies'!$A$4:$A$63,'Holdings'!$L$4:$L$2503,"Yes",'Holdings'!$C$4:$C$2503,"&gt;0")&gt;0),'Companies'!$A$4:$A$63,"")))</f>
        <v/>
      </c>
      <c r="G560" s="30">
        <f>IF(A560="","",IF(COUNTIF('People'!$A$4:$A$1003,A560)=0,"Email not on People",IF(COUNTIF('Holders'!$A$4:$A$1003,B560)=0,"Unknown holder ID",IF(COUNTIFS($A$4:$A$1503,A560,$B$4:$B$1503,B560)&gt;1,"Duplicate link",IF(C560="","Missing access","OK")))))</f>
        <v/>
      </c>
    </row>
    <row r="561">
      <c r="A561" s="26" t="n"/>
      <c r="B561" s="26" t="n"/>
      <c r="C561" s="26" t="n"/>
      <c r="D561" s="26" t="n"/>
      <c r="E561" s="30">
        <f>IF(B561="","",IFERROR(INDEX('Holders'!$B$4:$B$1003,MATCH(B561,'Holders'!$A$4:$A$1003,0)),""))</f>
        <v/>
      </c>
      <c r="F561" s="30">
        <f t="array" ref="F561">IF(B561="","",_xlfn.TEXTJOIN(", ",TRUE,IF(('Companies'!$A$4:$A$63&lt;&gt;"")*(COUNTIFS('Holdings'!$A$4:$A$2503,B561,'Holdings'!$J$4:$J$2503,'Companies'!$A$4:$A$63,'Holdings'!$L$4:$L$2503,"Yes",'Holdings'!$C$4:$C$2503,"&gt;0")&gt;0),'Companies'!$A$4:$A$63,"")))</f>
        <v/>
      </c>
      <c r="G561" s="30">
        <f>IF(A561="","",IF(COUNTIF('People'!$A$4:$A$1003,A561)=0,"Email not on People",IF(COUNTIF('Holders'!$A$4:$A$1003,B561)=0,"Unknown holder ID",IF(COUNTIFS($A$4:$A$1503,A561,$B$4:$B$1503,B561)&gt;1,"Duplicate link",IF(C561="","Missing access","OK")))))</f>
        <v/>
      </c>
    </row>
    <row r="562">
      <c r="A562" s="26" t="n"/>
      <c r="B562" s="26" t="n"/>
      <c r="C562" s="26" t="n"/>
      <c r="D562" s="26" t="n"/>
      <c r="E562" s="30">
        <f>IF(B562="","",IFERROR(INDEX('Holders'!$B$4:$B$1003,MATCH(B562,'Holders'!$A$4:$A$1003,0)),""))</f>
        <v/>
      </c>
      <c r="F562" s="30">
        <f t="array" ref="F562">IF(B562="","",_xlfn.TEXTJOIN(", ",TRUE,IF(('Companies'!$A$4:$A$63&lt;&gt;"")*(COUNTIFS('Holdings'!$A$4:$A$2503,B562,'Holdings'!$J$4:$J$2503,'Companies'!$A$4:$A$63,'Holdings'!$L$4:$L$2503,"Yes",'Holdings'!$C$4:$C$2503,"&gt;0")&gt;0),'Companies'!$A$4:$A$63,"")))</f>
        <v/>
      </c>
      <c r="G562" s="30">
        <f>IF(A562="","",IF(COUNTIF('People'!$A$4:$A$1003,A562)=0,"Email not on People",IF(COUNTIF('Holders'!$A$4:$A$1003,B562)=0,"Unknown holder ID",IF(COUNTIFS($A$4:$A$1503,A562,$B$4:$B$1503,B562)&gt;1,"Duplicate link",IF(C562="","Missing access","OK")))))</f>
        <v/>
      </c>
    </row>
    <row r="563">
      <c r="A563" s="26" t="n"/>
      <c r="B563" s="26" t="n"/>
      <c r="C563" s="26" t="n"/>
      <c r="D563" s="26" t="n"/>
      <c r="E563" s="30">
        <f>IF(B563="","",IFERROR(INDEX('Holders'!$B$4:$B$1003,MATCH(B563,'Holders'!$A$4:$A$1003,0)),""))</f>
        <v/>
      </c>
      <c r="F563" s="30">
        <f t="array" ref="F563">IF(B563="","",_xlfn.TEXTJOIN(", ",TRUE,IF(('Companies'!$A$4:$A$63&lt;&gt;"")*(COUNTIFS('Holdings'!$A$4:$A$2503,B563,'Holdings'!$J$4:$J$2503,'Companies'!$A$4:$A$63,'Holdings'!$L$4:$L$2503,"Yes",'Holdings'!$C$4:$C$2503,"&gt;0")&gt;0),'Companies'!$A$4:$A$63,"")))</f>
        <v/>
      </c>
      <c r="G563" s="30">
        <f>IF(A563="","",IF(COUNTIF('People'!$A$4:$A$1003,A563)=0,"Email not on People",IF(COUNTIF('Holders'!$A$4:$A$1003,B563)=0,"Unknown holder ID",IF(COUNTIFS($A$4:$A$1503,A563,$B$4:$B$1503,B563)&gt;1,"Duplicate link",IF(C563="","Missing access","OK")))))</f>
        <v/>
      </c>
    </row>
    <row r="564">
      <c r="A564" s="26" t="n"/>
      <c r="B564" s="26" t="n"/>
      <c r="C564" s="26" t="n"/>
      <c r="D564" s="26" t="n"/>
      <c r="E564" s="30">
        <f>IF(B564="","",IFERROR(INDEX('Holders'!$B$4:$B$1003,MATCH(B564,'Holders'!$A$4:$A$1003,0)),""))</f>
        <v/>
      </c>
      <c r="F564" s="30">
        <f t="array" ref="F564">IF(B564="","",_xlfn.TEXTJOIN(", ",TRUE,IF(('Companies'!$A$4:$A$63&lt;&gt;"")*(COUNTIFS('Holdings'!$A$4:$A$2503,B564,'Holdings'!$J$4:$J$2503,'Companies'!$A$4:$A$63,'Holdings'!$L$4:$L$2503,"Yes",'Holdings'!$C$4:$C$2503,"&gt;0")&gt;0),'Companies'!$A$4:$A$63,"")))</f>
        <v/>
      </c>
      <c r="G564" s="30">
        <f>IF(A564="","",IF(COUNTIF('People'!$A$4:$A$1003,A564)=0,"Email not on People",IF(COUNTIF('Holders'!$A$4:$A$1003,B564)=0,"Unknown holder ID",IF(COUNTIFS($A$4:$A$1503,A564,$B$4:$B$1503,B564)&gt;1,"Duplicate link",IF(C564="","Missing access","OK")))))</f>
        <v/>
      </c>
    </row>
    <row r="565">
      <c r="A565" s="26" t="n"/>
      <c r="B565" s="26" t="n"/>
      <c r="C565" s="26" t="n"/>
      <c r="D565" s="26" t="n"/>
      <c r="E565" s="30">
        <f>IF(B565="","",IFERROR(INDEX('Holders'!$B$4:$B$1003,MATCH(B565,'Holders'!$A$4:$A$1003,0)),""))</f>
        <v/>
      </c>
      <c r="F565" s="30">
        <f t="array" ref="F565">IF(B565="","",_xlfn.TEXTJOIN(", ",TRUE,IF(('Companies'!$A$4:$A$63&lt;&gt;"")*(COUNTIFS('Holdings'!$A$4:$A$2503,B565,'Holdings'!$J$4:$J$2503,'Companies'!$A$4:$A$63,'Holdings'!$L$4:$L$2503,"Yes",'Holdings'!$C$4:$C$2503,"&gt;0")&gt;0),'Companies'!$A$4:$A$63,"")))</f>
        <v/>
      </c>
      <c r="G565" s="30">
        <f>IF(A565="","",IF(COUNTIF('People'!$A$4:$A$1003,A565)=0,"Email not on People",IF(COUNTIF('Holders'!$A$4:$A$1003,B565)=0,"Unknown holder ID",IF(COUNTIFS($A$4:$A$1503,A565,$B$4:$B$1503,B565)&gt;1,"Duplicate link",IF(C565="","Missing access","OK")))))</f>
        <v/>
      </c>
    </row>
    <row r="566">
      <c r="A566" s="26" t="n"/>
      <c r="B566" s="26" t="n"/>
      <c r="C566" s="26" t="n"/>
      <c r="D566" s="26" t="n"/>
      <c r="E566" s="30">
        <f>IF(B566="","",IFERROR(INDEX('Holders'!$B$4:$B$1003,MATCH(B566,'Holders'!$A$4:$A$1003,0)),""))</f>
        <v/>
      </c>
      <c r="F566" s="30">
        <f t="array" ref="F566">IF(B566="","",_xlfn.TEXTJOIN(", ",TRUE,IF(('Companies'!$A$4:$A$63&lt;&gt;"")*(COUNTIFS('Holdings'!$A$4:$A$2503,B566,'Holdings'!$J$4:$J$2503,'Companies'!$A$4:$A$63,'Holdings'!$L$4:$L$2503,"Yes",'Holdings'!$C$4:$C$2503,"&gt;0")&gt;0),'Companies'!$A$4:$A$63,"")))</f>
        <v/>
      </c>
      <c r="G566" s="30">
        <f>IF(A566="","",IF(COUNTIF('People'!$A$4:$A$1003,A566)=0,"Email not on People",IF(COUNTIF('Holders'!$A$4:$A$1003,B566)=0,"Unknown holder ID",IF(COUNTIFS($A$4:$A$1503,A566,$B$4:$B$1503,B566)&gt;1,"Duplicate link",IF(C566="","Missing access","OK")))))</f>
        <v/>
      </c>
    </row>
    <row r="567">
      <c r="A567" s="26" t="n"/>
      <c r="B567" s="26" t="n"/>
      <c r="C567" s="26" t="n"/>
      <c r="D567" s="26" t="n"/>
      <c r="E567" s="30">
        <f>IF(B567="","",IFERROR(INDEX('Holders'!$B$4:$B$1003,MATCH(B567,'Holders'!$A$4:$A$1003,0)),""))</f>
        <v/>
      </c>
      <c r="F567" s="30">
        <f t="array" ref="F567">IF(B567="","",_xlfn.TEXTJOIN(", ",TRUE,IF(('Companies'!$A$4:$A$63&lt;&gt;"")*(COUNTIFS('Holdings'!$A$4:$A$2503,B567,'Holdings'!$J$4:$J$2503,'Companies'!$A$4:$A$63,'Holdings'!$L$4:$L$2503,"Yes",'Holdings'!$C$4:$C$2503,"&gt;0")&gt;0),'Companies'!$A$4:$A$63,"")))</f>
        <v/>
      </c>
      <c r="G567" s="30">
        <f>IF(A567="","",IF(COUNTIF('People'!$A$4:$A$1003,A567)=0,"Email not on People",IF(COUNTIF('Holders'!$A$4:$A$1003,B567)=0,"Unknown holder ID",IF(COUNTIFS($A$4:$A$1503,A567,$B$4:$B$1503,B567)&gt;1,"Duplicate link",IF(C567="","Missing access","OK")))))</f>
        <v/>
      </c>
    </row>
    <row r="568">
      <c r="A568" s="26" t="n"/>
      <c r="B568" s="26" t="n"/>
      <c r="C568" s="26" t="n"/>
      <c r="D568" s="26" t="n"/>
      <c r="E568" s="30">
        <f>IF(B568="","",IFERROR(INDEX('Holders'!$B$4:$B$1003,MATCH(B568,'Holders'!$A$4:$A$1003,0)),""))</f>
        <v/>
      </c>
      <c r="F568" s="30">
        <f t="array" ref="F568">IF(B568="","",_xlfn.TEXTJOIN(", ",TRUE,IF(('Companies'!$A$4:$A$63&lt;&gt;"")*(COUNTIFS('Holdings'!$A$4:$A$2503,B568,'Holdings'!$J$4:$J$2503,'Companies'!$A$4:$A$63,'Holdings'!$L$4:$L$2503,"Yes",'Holdings'!$C$4:$C$2503,"&gt;0")&gt;0),'Companies'!$A$4:$A$63,"")))</f>
        <v/>
      </c>
      <c r="G568" s="30">
        <f>IF(A568="","",IF(COUNTIF('People'!$A$4:$A$1003,A568)=0,"Email not on People",IF(COUNTIF('Holders'!$A$4:$A$1003,B568)=0,"Unknown holder ID",IF(COUNTIFS($A$4:$A$1503,A568,$B$4:$B$1503,B568)&gt;1,"Duplicate link",IF(C568="","Missing access","OK")))))</f>
        <v/>
      </c>
    </row>
    <row r="569">
      <c r="A569" s="26" t="n"/>
      <c r="B569" s="26" t="n"/>
      <c r="C569" s="26" t="n"/>
      <c r="D569" s="26" t="n"/>
      <c r="E569" s="30">
        <f>IF(B569="","",IFERROR(INDEX('Holders'!$B$4:$B$1003,MATCH(B569,'Holders'!$A$4:$A$1003,0)),""))</f>
        <v/>
      </c>
      <c r="F569" s="30">
        <f t="array" ref="F569">IF(B569="","",_xlfn.TEXTJOIN(", ",TRUE,IF(('Companies'!$A$4:$A$63&lt;&gt;"")*(COUNTIFS('Holdings'!$A$4:$A$2503,B569,'Holdings'!$J$4:$J$2503,'Companies'!$A$4:$A$63,'Holdings'!$L$4:$L$2503,"Yes",'Holdings'!$C$4:$C$2503,"&gt;0")&gt;0),'Companies'!$A$4:$A$63,"")))</f>
        <v/>
      </c>
      <c r="G569" s="30">
        <f>IF(A569="","",IF(COUNTIF('People'!$A$4:$A$1003,A569)=0,"Email not on People",IF(COUNTIF('Holders'!$A$4:$A$1003,B569)=0,"Unknown holder ID",IF(COUNTIFS($A$4:$A$1503,A569,$B$4:$B$1503,B569)&gt;1,"Duplicate link",IF(C569="","Missing access","OK")))))</f>
        <v/>
      </c>
    </row>
    <row r="570">
      <c r="A570" s="26" t="n"/>
      <c r="B570" s="26" t="n"/>
      <c r="C570" s="26" t="n"/>
      <c r="D570" s="26" t="n"/>
      <c r="E570" s="30">
        <f>IF(B570="","",IFERROR(INDEX('Holders'!$B$4:$B$1003,MATCH(B570,'Holders'!$A$4:$A$1003,0)),""))</f>
        <v/>
      </c>
      <c r="F570" s="30">
        <f t="array" ref="F570">IF(B570="","",_xlfn.TEXTJOIN(", ",TRUE,IF(('Companies'!$A$4:$A$63&lt;&gt;"")*(COUNTIFS('Holdings'!$A$4:$A$2503,B570,'Holdings'!$J$4:$J$2503,'Companies'!$A$4:$A$63,'Holdings'!$L$4:$L$2503,"Yes",'Holdings'!$C$4:$C$2503,"&gt;0")&gt;0),'Companies'!$A$4:$A$63,"")))</f>
        <v/>
      </c>
      <c r="G570" s="30">
        <f>IF(A570="","",IF(COUNTIF('People'!$A$4:$A$1003,A570)=0,"Email not on People",IF(COUNTIF('Holders'!$A$4:$A$1003,B570)=0,"Unknown holder ID",IF(COUNTIFS($A$4:$A$1503,A570,$B$4:$B$1503,B570)&gt;1,"Duplicate link",IF(C570="","Missing access","OK")))))</f>
        <v/>
      </c>
    </row>
    <row r="571">
      <c r="A571" s="26" t="n"/>
      <c r="B571" s="26" t="n"/>
      <c r="C571" s="26" t="n"/>
      <c r="D571" s="26" t="n"/>
      <c r="E571" s="30">
        <f>IF(B571="","",IFERROR(INDEX('Holders'!$B$4:$B$1003,MATCH(B571,'Holders'!$A$4:$A$1003,0)),""))</f>
        <v/>
      </c>
      <c r="F571" s="30">
        <f t="array" ref="F571">IF(B571="","",_xlfn.TEXTJOIN(", ",TRUE,IF(('Companies'!$A$4:$A$63&lt;&gt;"")*(COUNTIFS('Holdings'!$A$4:$A$2503,B571,'Holdings'!$J$4:$J$2503,'Companies'!$A$4:$A$63,'Holdings'!$L$4:$L$2503,"Yes",'Holdings'!$C$4:$C$2503,"&gt;0")&gt;0),'Companies'!$A$4:$A$63,"")))</f>
        <v/>
      </c>
      <c r="G571" s="30">
        <f>IF(A571="","",IF(COUNTIF('People'!$A$4:$A$1003,A571)=0,"Email not on People",IF(COUNTIF('Holders'!$A$4:$A$1003,B571)=0,"Unknown holder ID",IF(COUNTIFS($A$4:$A$1503,A571,$B$4:$B$1503,B571)&gt;1,"Duplicate link",IF(C571="","Missing access","OK")))))</f>
        <v/>
      </c>
    </row>
    <row r="572">
      <c r="A572" s="26" t="n"/>
      <c r="B572" s="26" t="n"/>
      <c r="C572" s="26" t="n"/>
      <c r="D572" s="26" t="n"/>
      <c r="E572" s="30">
        <f>IF(B572="","",IFERROR(INDEX('Holders'!$B$4:$B$1003,MATCH(B572,'Holders'!$A$4:$A$1003,0)),""))</f>
        <v/>
      </c>
      <c r="F572" s="30">
        <f t="array" ref="F572">IF(B572="","",_xlfn.TEXTJOIN(", ",TRUE,IF(('Companies'!$A$4:$A$63&lt;&gt;"")*(COUNTIFS('Holdings'!$A$4:$A$2503,B572,'Holdings'!$J$4:$J$2503,'Companies'!$A$4:$A$63,'Holdings'!$L$4:$L$2503,"Yes",'Holdings'!$C$4:$C$2503,"&gt;0")&gt;0),'Companies'!$A$4:$A$63,"")))</f>
        <v/>
      </c>
      <c r="G572" s="30">
        <f>IF(A572="","",IF(COUNTIF('People'!$A$4:$A$1003,A572)=0,"Email not on People",IF(COUNTIF('Holders'!$A$4:$A$1003,B572)=0,"Unknown holder ID",IF(COUNTIFS($A$4:$A$1503,A572,$B$4:$B$1503,B572)&gt;1,"Duplicate link",IF(C572="","Missing access","OK")))))</f>
        <v/>
      </c>
    </row>
    <row r="573">
      <c r="A573" s="26" t="n"/>
      <c r="B573" s="26" t="n"/>
      <c r="C573" s="26" t="n"/>
      <c r="D573" s="26" t="n"/>
      <c r="E573" s="30">
        <f>IF(B573="","",IFERROR(INDEX('Holders'!$B$4:$B$1003,MATCH(B573,'Holders'!$A$4:$A$1003,0)),""))</f>
        <v/>
      </c>
      <c r="F573" s="30">
        <f t="array" ref="F573">IF(B573="","",_xlfn.TEXTJOIN(", ",TRUE,IF(('Companies'!$A$4:$A$63&lt;&gt;"")*(COUNTIFS('Holdings'!$A$4:$A$2503,B573,'Holdings'!$J$4:$J$2503,'Companies'!$A$4:$A$63,'Holdings'!$L$4:$L$2503,"Yes",'Holdings'!$C$4:$C$2503,"&gt;0")&gt;0),'Companies'!$A$4:$A$63,"")))</f>
        <v/>
      </c>
      <c r="G573" s="30">
        <f>IF(A573="","",IF(COUNTIF('People'!$A$4:$A$1003,A573)=0,"Email not on People",IF(COUNTIF('Holders'!$A$4:$A$1003,B573)=0,"Unknown holder ID",IF(COUNTIFS($A$4:$A$1503,A573,$B$4:$B$1503,B573)&gt;1,"Duplicate link",IF(C573="","Missing access","OK")))))</f>
        <v/>
      </c>
    </row>
    <row r="574">
      <c r="A574" s="26" t="n"/>
      <c r="B574" s="26" t="n"/>
      <c r="C574" s="26" t="n"/>
      <c r="D574" s="26" t="n"/>
      <c r="E574" s="30">
        <f>IF(B574="","",IFERROR(INDEX('Holders'!$B$4:$B$1003,MATCH(B574,'Holders'!$A$4:$A$1003,0)),""))</f>
        <v/>
      </c>
      <c r="F574" s="30">
        <f t="array" ref="F574">IF(B574="","",_xlfn.TEXTJOIN(", ",TRUE,IF(('Companies'!$A$4:$A$63&lt;&gt;"")*(COUNTIFS('Holdings'!$A$4:$A$2503,B574,'Holdings'!$J$4:$J$2503,'Companies'!$A$4:$A$63,'Holdings'!$L$4:$L$2503,"Yes",'Holdings'!$C$4:$C$2503,"&gt;0")&gt;0),'Companies'!$A$4:$A$63,"")))</f>
        <v/>
      </c>
      <c r="G574" s="30">
        <f>IF(A574="","",IF(COUNTIF('People'!$A$4:$A$1003,A574)=0,"Email not on People",IF(COUNTIF('Holders'!$A$4:$A$1003,B574)=0,"Unknown holder ID",IF(COUNTIFS($A$4:$A$1503,A574,$B$4:$B$1503,B574)&gt;1,"Duplicate link",IF(C574="","Missing access","OK")))))</f>
        <v/>
      </c>
    </row>
    <row r="575">
      <c r="A575" s="26" t="n"/>
      <c r="B575" s="26" t="n"/>
      <c r="C575" s="26" t="n"/>
      <c r="D575" s="26" t="n"/>
      <c r="E575" s="30">
        <f>IF(B575="","",IFERROR(INDEX('Holders'!$B$4:$B$1003,MATCH(B575,'Holders'!$A$4:$A$1003,0)),""))</f>
        <v/>
      </c>
      <c r="F575" s="30">
        <f t="array" ref="F575">IF(B575="","",_xlfn.TEXTJOIN(", ",TRUE,IF(('Companies'!$A$4:$A$63&lt;&gt;"")*(COUNTIFS('Holdings'!$A$4:$A$2503,B575,'Holdings'!$J$4:$J$2503,'Companies'!$A$4:$A$63,'Holdings'!$L$4:$L$2503,"Yes",'Holdings'!$C$4:$C$2503,"&gt;0")&gt;0),'Companies'!$A$4:$A$63,"")))</f>
        <v/>
      </c>
      <c r="G575" s="30">
        <f>IF(A575="","",IF(COUNTIF('People'!$A$4:$A$1003,A575)=0,"Email not on People",IF(COUNTIF('Holders'!$A$4:$A$1003,B575)=0,"Unknown holder ID",IF(COUNTIFS($A$4:$A$1503,A575,$B$4:$B$1503,B575)&gt;1,"Duplicate link",IF(C575="","Missing access","OK")))))</f>
        <v/>
      </c>
    </row>
    <row r="576">
      <c r="A576" s="26" t="n"/>
      <c r="B576" s="26" t="n"/>
      <c r="C576" s="26" t="n"/>
      <c r="D576" s="26" t="n"/>
      <c r="E576" s="30">
        <f>IF(B576="","",IFERROR(INDEX('Holders'!$B$4:$B$1003,MATCH(B576,'Holders'!$A$4:$A$1003,0)),""))</f>
        <v/>
      </c>
      <c r="F576" s="30">
        <f t="array" ref="F576">IF(B576="","",_xlfn.TEXTJOIN(", ",TRUE,IF(('Companies'!$A$4:$A$63&lt;&gt;"")*(COUNTIFS('Holdings'!$A$4:$A$2503,B576,'Holdings'!$J$4:$J$2503,'Companies'!$A$4:$A$63,'Holdings'!$L$4:$L$2503,"Yes",'Holdings'!$C$4:$C$2503,"&gt;0")&gt;0),'Companies'!$A$4:$A$63,"")))</f>
        <v/>
      </c>
      <c r="G576" s="30">
        <f>IF(A576="","",IF(COUNTIF('People'!$A$4:$A$1003,A576)=0,"Email not on People",IF(COUNTIF('Holders'!$A$4:$A$1003,B576)=0,"Unknown holder ID",IF(COUNTIFS($A$4:$A$1503,A576,$B$4:$B$1503,B576)&gt;1,"Duplicate link",IF(C576="","Missing access","OK")))))</f>
        <v/>
      </c>
    </row>
    <row r="577">
      <c r="A577" s="26" t="n"/>
      <c r="B577" s="26" t="n"/>
      <c r="C577" s="26" t="n"/>
      <c r="D577" s="26" t="n"/>
      <c r="E577" s="30">
        <f>IF(B577="","",IFERROR(INDEX('Holders'!$B$4:$B$1003,MATCH(B577,'Holders'!$A$4:$A$1003,0)),""))</f>
        <v/>
      </c>
      <c r="F577" s="30">
        <f t="array" ref="F577">IF(B577="","",_xlfn.TEXTJOIN(", ",TRUE,IF(('Companies'!$A$4:$A$63&lt;&gt;"")*(COUNTIFS('Holdings'!$A$4:$A$2503,B577,'Holdings'!$J$4:$J$2503,'Companies'!$A$4:$A$63,'Holdings'!$L$4:$L$2503,"Yes",'Holdings'!$C$4:$C$2503,"&gt;0")&gt;0),'Companies'!$A$4:$A$63,"")))</f>
        <v/>
      </c>
      <c r="G577" s="30">
        <f>IF(A577="","",IF(COUNTIF('People'!$A$4:$A$1003,A577)=0,"Email not on People",IF(COUNTIF('Holders'!$A$4:$A$1003,B577)=0,"Unknown holder ID",IF(COUNTIFS($A$4:$A$1503,A577,$B$4:$B$1503,B577)&gt;1,"Duplicate link",IF(C577="","Missing access","OK")))))</f>
        <v/>
      </c>
    </row>
    <row r="578">
      <c r="A578" s="26" t="n"/>
      <c r="B578" s="26" t="n"/>
      <c r="C578" s="26" t="n"/>
      <c r="D578" s="26" t="n"/>
      <c r="E578" s="30">
        <f>IF(B578="","",IFERROR(INDEX('Holders'!$B$4:$B$1003,MATCH(B578,'Holders'!$A$4:$A$1003,0)),""))</f>
        <v/>
      </c>
      <c r="F578" s="30">
        <f t="array" ref="F578">IF(B578="","",_xlfn.TEXTJOIN(", ",TRUE,IF(('Companies'!$A$4:$A$63&lt;&gt;"")*(COUNTIFS('Holdings'!$A$4:$A$2503,B578,'Holdings'!$J$4:$J$2503,'Companies'!$A$4:$A$63,'Holdings'!$L$4:$L$2503,"Yes",'Holdings'!$C$4:$C$2503,"&gt;0")&gt;0),'Companies'!$A$4:$A$63,"")))</f>
        <v/>
      </c>
      <c r="G578" s="30">
        <f>IF(A578="","",IF(COUNTIF('People'!$A$4:$A$1003,A578)=0,"Email not on People",IF(COUNTIF('Holders'!$A$4:$A$1003,B578)=0,"Unknown holder ID",IF(COUNTIFS($A$4:$A$1503,A578,$B$4:$B$1503,B578)&gt;1,"Duplicate link",IF(C578="","Missing access","OK")))))</f>
        <v/>
      </c>
    </row>
    <row r="579">
      <c r="A579" s="26" t="n"/>
      <c r="B579" s="26" t="n"/>
      <c r="C579" s="26" t="n"/>
      <c r="D579" s="26" t="n"/>
      <c r="E579" s="30">
        <f>IF(B579="","",IFERROR(INDEX('Holders'!$B$4:$B$1003,MATCH(B579,'Holders'!$A$4:$A$1003,0)),""))</f>
        <v/>
      </c>
      <c r="F579" s="30">
        <f t="array" ref="F579">IF(B579="","",_xlfn.TEXTJOIN(", ",TRUE,IF(('Companies'!$A$4:$A$63&lt;&gt;"")*(COUNTIFS('Holdings'!$A$4:$A$2503,B579,'Holdings'!$J$4:$J$2503,'Companies'!$A$4:$A$63,'Holdings'!$L$4:$L$2503,"Yes",'Holdings'!$C$4:$C$2503,"&gt;0")&gt;0),'Companies'!$A$4:$A$63,"")))</f>
        <v/>
      </c>
      <c r="G579" s="30">
        <f>IF(A579="","",IF(COUNTIF('People'!$A$4:$A$1003,A579)=0,"Email not on People",IF(COUNTIF('Holders'!$A$4:$A$1003,B579)=0,"Unknown holder ID",IF(COUNTIFS($A$4:$A$1503,A579,$B$4:$B$1503,B579)&gt;1,"Duplicate link",IF(C579="","Missing access","OK")))))</f>
        <v/>
      </c>
    </row>
    <row r="580">
      <c r="A580" s="26" t="n"/>
      <c r="B580" s="26" t="n"/>
      <c r="C580" s="26" t="n"/>
      <c r="D580" s="26" t="n"/>
      <c r="E580" s="30">
        <f>IF(B580="","",IFERROR(INDEX('Holders'!$B$4:$B$1003,MATCH(B580,'Holders'!$A$4:$A$1003,0)),""))</f>
        <v/>
      </c>
      <c r="F580" s="30">
        <f t="array" ref="F580">IF(B580="","",_xlfn.TEXTJOIN(", ",TRUE,IF(('Companies'!$A$4:$A$63&lt;&gt;"")*(COUNTIFS('Holdings'!$A$4:$A$2503,B580,'Holdings'!$J$4:$J$2503,'Companies'!$A$4:$A$63,'Holdings'!$L$4:$L$2503,"Yes",'Holdings'!$C$4:$C$2503,"&gt;0")&gt;0),'Companies'!$A$4:$A$63,"")))</f>
        <v/>
      </c>
      <c r="G580" s="30">
        <f>IF(A580="","",IF(COUNTIF('People'!$A$4:$A$1003,A580)=0,"Email not on People",IF(COUNTIF('Holders'!$A$4:$A$1003,B580)=0,"Unknown holder ID",IF(COUNTIFS($A$4:$A$1503,A580,$B$4:$B$1503,B580)&gt;1,"Duplicate link",IF(C580="","Missing access","OK")))))</f>
        <v/>
      </c>
    </row>
    <row r="581">
      <c r="A581" s="26" t="n"/>
      <c r="B581" s="26" t="n"/>
      <c r="C581" s="26" t="n"/>
      <c r="D581" s="26" t="n"/>
      <c r="E581" s="30">
        <f>IF(B581="","",IFERROR(INDEX('Holders'!$B$4:$B$1003,MATCH(B581,'Holders'!$A$4:$A$1003,0)),""))</f>
        <v/>
      </c>
      <c r="F581" s="30">
        <f t="array" ref="F581">IF(B581="","",_xlfn.TEXTJOIN(", ",TRUE,IF(('Companies'!$A$4:$A$63&lt;&gt;"")*(COUNTIFS('Holdings'!$A$4:$A$2503,B581,'Holdings'!$J$4:$J$2503,'Companies'!$A$4:$A$63,'Holdings'!$L$4:$L$2503,"Yes",'Holdings'!$C$4:$C$2503,"&gt;0")&gt;0),'Companies'!$A$4:$A$63,"")))</f>
        <v/>
      </c>
      <c r="G581" s="30">
        <f>IF(A581="","",IF(COUNTIF('People'!$A$4:$A$1003,A581)=0,"Email not on People",IF(COUNTIF('Holders'!$A$4:$A$1003,B581)=0,"Unknown holder ID",IF(COUNTIFS($A$4:$A$1503,A581,$B$4:$B$1503,B581)&gt;1,"Duplicate link",IF(C581="","Missing access","OK")))))</f>
        <v/>
      </c>
    </row>
    <row r="582">
      <c r="A582" s="26" t="n"/>
      <c r="B582" s="26" t="n"/>
      <c r="C582" s="26" t="n"/>
      <c r="D582" s="26" t="n"/>
      <c r="E582" s="30">
        <f>IF(B582="","",IFERROR(INDEX('Holders'!$B$4:$B$1003,MATCH(B582,'Holders'!$A$4:$A$1003,0)),""))</f>
        <v/>
      </c>
      <c r="F582" s="30">
        <f t="array" ref="F582">IF(B582="","",_xlfn.TEXTJOIN(", ",TRUE,IF(('Companies'!$A$4:$A$63&lt;&gt;"")*(COUNTIFS('Holdings'!$A$4:$A$2503,B582,'Holdings'!$J$4:$J$2503,'Companies'!$A$4:$A$63,'Holdings'!$L$4:$L$2503,"Yes",'Holdings'!$C$4:$C$2503,"&gt;0")&gt;0),'Companies'!$A$4:$A$63,"")))</f>
        <v/>
      </c>
      <c r="G582" s="30">
        <f>IF(A582="","",IF(COUNTIF('People'!$A$4:$A$1003,A582)=0,"Email not on People",IF(COUNTIF('Holders'!$A$4:$A$1003,B582)=0,"Unknown holder ID",IF(COUNTIFS($A$4:$A$1503,A582,$B$4:$B$1503,B582)&gt;1,"Duplicate link",IF(C582="","Missing access","OK")))))</f>
        <v/>
      </c>
    </row>
    <row r="583">
      <c r="A583" s="26" t="n"/>
      <c r="B583" s="26" t="n"/>
      <c r="C583" s="26" t="n"/>
      <c r="D583" s="26" t="n"/>
      <c r="E583" s="30">
        <f>IF(B583="","",IFERROR(INDEX('Holders'!$B$4:$B$1003,MATCH(B583,'Holders'!$A$4:$A$1003,0)),""))</f>
        <v/>
      </c>
      <c r="F583" s="30">
        <f t="array" ref="F583">IF(B583="","",_xlfn.TEXTJOIN(", ",TRUE,IF(('Companies'!$A$4:$A$63&lt;&gt;"")*(COUNTIFS('Holdings'!$A$4:$A$2503,B583,'Holdings'!$J$4:$J$2503,'Companies'!$A$4:$A$63,'Holdings'!$L$4:$L$2503,"Yes",'Holdings'!$C$4:$C$2503,"&gt;0")&gt;0),'Companies'!$A$4:$A$63,"")))</f>
        <v/>
      </c>
      <c r="G583" s="30">
        <f>IF(A583="","",IF(COUNTIF('People'!$A$4:$A$1003,A583)=0,"Email not on People",IF(COUNTIF('Holders'!$A$4:$A$1003,B583)=0,"Unknown holder ID",IF(COUNTIFS($A$4:$A$1503,A583,$B$4:$B$1503,B583)&gt;1,"Duplicate link",IF(C583="","Missing access","OK")))))</f>
        <v/>
      </c>
    </row>
    <row r="584">
      <c r="A584" s="26" t="n"/>
      <c r="B584" s="26" t="n"/>
      <c r="C584" s="26" t="n"/>
      <c r="D584" s="26" t="n"/>
      <c r="E584" s="30">
        <f>IF(B584="","",IFERROR(INDEX('Holders'!$B$4:$B$1003,MATCH(B584,'Holders'!$A$4:$A$1003,0)),""))</f>
        <v/>
      </c>
      <c r="F584" s="30">
        <f t="array" ref="F584">IF(B584="","",_xlfn.TEXTJOIN(", ",TRUE,IF(('Companies'!$A$4:$A$63&lt;&gt;"")*(COUNTIFS('Holdings'!$A$4:$A$2503,B584,'Holdings'!$J$4:$J$2503,'Companies'!$A$4:$A$63,'Holdings'!$L$4:$L$2503,"Yes",'Holdings'!$C$4:$C$2503,"&gt;0")&gt;0),'Companies'!$A$4:$A$63,"")))</f>
        <v/>
      </c>
      <c r="G584" s="30">
        <f>IF(A584="","",IF(COUNTIF('People'!$A$4:$A$1003,A584)=0,"Email not on People",IF(COUNTIF('Holders'!$A$4:$A$1003,B584)=0,"Unknown holder ID",IF(COUNTIFS($A$4:$A$1503,A584,$B$4:$B$1503,B584)&gt;1,"Duplicate link",IF(C584="","Missing access","OK")))))</f>
        <v/>
      </c>
    </row>
    <row r="585">
      <c r="A585" s="26" t="n"/>
      <c r="B585" s="26" t="n"/>
      <c r="C585" s="26" t="n"/>
      <c r="D585" s="26" t="n"/>
      <c r="E585" s="30">
        <f>IF(B585="","",IFERROR(INDEX('Holders'!$B$4:$B$1003,MATCH(B585,'Holders'!$A$4:$A$1003,0)),""))</f>
        <v/>
      </c>
      <c r="F585" s="30">
        <f t="array" ref="F585">IF(B585="","",_xlfn.TEXTJOIN(", ",TRUE,IF(('Companies'!$A$4:$A$63&lt;&gt;"")*(COUNTIFS('Holdings'!$A$4:$A$2503,B585,'Holdings'!$J$4:$J$2503,'Companies'!$A$4:$A$63,'Holdings'!$L$4:$L$2503,"Yes",'Holdings'!$C$4:$C$2503,"&gt;0")&gt;0),'Companies'!$A$4:$A$63,"")))</f>
        <v/>
      </c>
      <c r="G585" s="30">
        <f>IF(A585="","",IF(COUNTIF('People'!$A$4:$A$1003,A585)=0,"Email not on People",IF(COUNTIF('Holders'!$A$4:$A$1003,B585)=0,"Unknown holder ID",IF(COUNTIFS($A$4:$A$1503,A585,$B$4:$B$1503,B585)&gt;1,"Duplicate link",IF(C585="","Missing access","OK")))))</f>
        <v/>
      </c>
    </row>
    <row r="586">
      <c r="A586" s="26" t="n"/>
      <c r="B586" s="26" t="n"/>
      <c r="C586" s="26" t="n"/>
      <c r="D586" s="26" t="n"/>
      <c r="E586" s="30">
        <f>IF(B586="","",IFERROR(INDEX('Holders'!$B$4:$B$1003,MATCH(B586,'Holders'!$A$4:$A$1003,0)),""))</f>
        <v/>
      </c>
      <c r="F586" s="30">
        <f t="array" ref="F586">IF(B586="","",_xlfn.TEXTJOIN(", ",TRUE,IF(('Companies'!$A$4:$A$63&lt;&gt;"")*(COUNTIFS('Holdings'!$A$4:$A$2503,B586,'Holdings'!$J$4:$J$2503,'Companies'!$A$4:$A$63,'Holdings'!$L$4:$L$2503,"Yes",'Holdings'!$C$4:$C$2503,"&gt;0")&gt;0),'Companies'!$A$4:$A$63,"")))</f>
        <v/>
      </c>
      <c r="G586" s="30">
        <f>IF(A586="","",IF(COUNTIF('People'!$A$4:$A$1003,A586)=0,"Email not on People",IF(COUNTIF('Holders'!$A$4:$A$1003,B586)=0,"Unknown holder ID",IF(COUNTIFS($A$4:$A$1503,A586,$B$4:$B$1503,B586)&gt;1,"Duplicate link",IF(C586="","Missing access","OK")))))</f>
        <v/>
      </c>
    </row>
    <row r="587">
      <c r="A587" s="26" t="n"/>
      <c r="B587" s="26" t="n"/>
      <c r="C587" s="26" t="n"/>
      <c r="D587" s="26" t="n"/>
      <c r="E587" s="30">
        <f>IF(B587="","",IFERROR(INDEX('Holders'!$B$4:$B$1003,MATCH(B587,'Holders'!$A$4:$A$1003,0)),""))</f>
        <v/>
      </c>
      <c r="F587" s="30">
        <f t="array" ref="F587">IF(B587="","",_xlfn.TEXTJOIN(", ",TRUE,IF(('Companies'!$A$4:$A$63&lt;&gt;"")*(COUNTIFS('Holdings'!$A$4:$A$2503,B587,'Holdings'!$J$4:$J$2503,'Companies'!$A$4:$A$63,'Holdings'!$L$4:$L$2503,"Yes",'Holdings'!$C$4:$C$2503,"&gt;0")&gt;0),'Companies'!$A$4:$A$63,"")))</f>
        <v/>
      </c>
      <c r="G587" s="30">
        <f>IF(A587="","",IF(COUNTIF('People'!$A$4:$A$1003,A587)=0,"Email not on People",IF(COUNTIF('Holders'!$A$4:$A$1003,B587)=0,"Unknown holder ID",IF(COUNTIFS($A$4:$A$1503,A587,$B$4:$B$1503,B587)&gt;1,"Duplicate link",IF(C587="","Missing access","OK")))))</f>
        <v/>
      </c>
    </row>
    <row r="588">
      <c r="A588" s="26" t="n"/>
      <c r="B588" s="26" t="n"/>
      <c r="C588" s="26" t="n"/>
      <c r="D588" s="26" t="n"/>
      <c r="E588" s="30">
        <f>IF(B588="","",IFERROR(INDEX('Holders'!$B$4:$B$1003,MATCH(B588,'Holders'!$A$4:$A$1003,0)),""))</f>
        <v/>
      </c>
      <c r="F588" s="30">
        <f t="array" ref="F588">IF(B588="","",_xlfn.TEXTJOIN(", ",TRUE,IF(('Companies'!$A$4:$A$63&lt;&gt;"")*(COUNTIFS('Holdings'!$A$4:$A$2503,B588,'Holdings'!$J$4:$J$2503,'Companies'!$A$4:$A$63,'Holdings'!$L$4:$L$2503,"Yes",'Holdings'!$C$4:$C$2503,"&gt;0")&gt;0),'Companies'!$A$4:$A$63,"")))</f>
        <v/>
      </c>
      <c r="G588" s="30">
        <f>IF(A588="","",IF(COUNTIF('People'!$A$4:$A$1003,A588)=0,"Email not on People",IF(COUNTIF('Holders'!$A$4:$A$1003,B588)=0,"Unknown holder ID",IF(COUNTIFS($A$4:$A$1503,A588,$B$4:$B$1503,B588)&gt;1,"Duplicate link",IF(C588="","Missing access","OK")))))</f>
        <v/>
      </c>
    </row>
    <row r="589">
      <c r="A589" s="26" t="n"/>
      <c r="B589" s="26" t="n"/>
      <c r="C589" s="26" t="n"/>
      <c r="D589" s="26" t="n"/>
      <c r="E589" s="30">
        <f>IF(B589="","",IFERROR(INDEX('Holders'!$B$4:$B$1003,MATCH(B589,'Holders'!$A$4:$A$1003,0)),""))</f>
        <v/>
      </c>
      <c r="F589" s="30">
        <f t="array" ref="F589">IF(B589="","",_xlfn.TEXTJOIN(", ",TRUE,IF(('Companies'!$A$4:$A$63&lt;&gt;"")*(COUNTIFS('Holdings'!$A$4:$A$2503,B589,'Holdings'!$J$4:$J$2503,'Companies'!$A$4:$A$63,'Holdings'!$L$4:$L$2503,"Yes",'Holdings'!$C$4:$C$2503,"&gt;0")&gt;0),'Companies'!$A$4:$A$63,"")))</f>
        <v/>
      </c>
      <c r="G589" s="30">
        <f>IF(A589="","",IF(COUNTIF('People'!$A$4:$A$1003,A589)=0,"Email not on People",IF(COUNTIF('Holders'!$A$4:$A$1003,B589)=0,"Unknown holder ID",IF(COUNTIFS($A$4:$A$1503,A589,$B$4:$B$1503,B589)&gt;1,"Duplicate link",IF(C589="","Missing access","OK")))))</f>
        <v/>
      </c>
    </row>
    <row r="590">
      <c r="A590" s="26" t="n"/>
      <c r="B590" s="26" t="n"/>
      <c r="C590" s="26" t="n"/>
      <c r="D590" s="26" t="n"/>
      <c r="E590" s="30">
        <f>IF(B590="","",IFERROR(INDEX('Holders'!$B$4:$B$1003,MATCH(B590,'Holders'!$A$4:$A$1003,0)),""))</f>
        <v/>
      </c>
      <c r="F590" s="30">
        <f t="array" ref="F590">IF(B590="","",_xlfn.TEXTJOIN(", ",TRUE,IF(('Companies'!$A$4:$A$63&lt;&gt;"")*(COUNTIFS('Holdings'!$A$4:$A$2503,B590,'Holdings'!$J$4:$J$2503,'Companies'!$A$4:$A$63,'Holdings'!$L$4:$L$2503,"Yes",'Holdings'!$C$4:$C$2503,"&gt;0")&gt;0),'Companies'!$A$4:$A$63,"")))</f>
        <v/>
      </c>
      <c r="G590" s="30">
        <f>IF(A590="","",IF(COUNTIF('People'!$A$4:$A$1003,A590)=0,"Email not on People",IF(COUNTIF('Holders'!$A$4:$A$1003,B590)=0,"Unknown holder ID",IF(COUNTIFS($A$4:$A$1503,A590,$B$4:$B$1503,B590)&gt;1,"Duplicate link",IF(C590="","Missing access","OK")))))</f>
        <v/>
      </c>
    </row>
    <row r="591">
      <c r="A591" s="26" t="n"/>
      <c r="B591" s="26" t="n"/>
      <c r="C591" s="26" t="n"/>
      <c r="D591" s="26" t="n"/>
      <c r="E591" s="30">
        <f>IF(B591="","",IFERROR(INDEX('Holders'!$B$4:$B$1003,MATCH(B591,'Holders'!$A$4:$A$1003,0)),""))</f>
        <v/>
      </c>
      <c r="F591" s="30">
        <f t="array" ref="F591">IF(B591="","",_xlfn.TEXTJOIN(", ",TRUE,IF(('Companies'!$A$4:$A$63&lt;&gt;"")*(COUNTIFS('Holdings'!$A$4:$A$2503,B591,'Holdings'!$J$4:$J$2503,'Companies'!$A$4:$A$63,'Holdings'!$L$4:$L$2503,"Yes",'Holdings'!$C$4:$C$2503,"&gt;0")&gt;0),'Companies'!$A$4:$A$63,"")))</f>
        <v/>
      </c>
      <c r="G591" s="30">
        <f>IF(A591="","",IF(COUNTIF('People'!$A$4:$A$1003,A591)=0,"Email not on People",IF(COUNTIF('Holders'!$A$4:$A$1003,B591)=0,"Unknown holder ID",IF(COUNTIFS($A$4:$A$1503,A591,$B$4:$B$1503,B591)&gt;1,"Duplicate link",IF(C591="","Missing access","OK")))))</f>
        <v/>
      </c>
    </row>
    <row r="592">
      <c r="A592" s="26" t="n"/>
      <c r="B592" s="26" t="n"/>
      <c r="C592" s="26" t="n"/>
      <c r="D592" s="26" t="n"/>
      <c r="E592" s="30">
        <f>IF(B592="","",IFERROR(INDEX('Holders'!$B$4:$B$1003,MATCH(B592,'Holders'!$A$4:$A$1003,0)),""))</f>
        <v/>
      </c>
      <c r="F592" s="30">
        <f t="array" ref="F592">IF(B592="","",_xlfn.TEXTJOIN(", ",TRUE,IF(('Companies'!$A$4:$A$63&lt;&gt;"")*(COUNTIFS('Holdings'!$A$4:$A$2503,B592,'Holdings'!$J$4:$J$2503,'Companies'!$A$4:$A$63,'Holdings'!$L$4:$L$2503,"Yes",'Holdings'!$C$4:$C$2503,"&gt;0")&gt;0),'Companies'!$A$4:$A$63,"")))</f>
        <v/>
      </c>
      <c r="G592" s="30">
        <f>IF(A592="","",IF(COUNTIF('People'!$A$4:$A$1003,A592)=0,"Email not on People",IF(COUNTIF('Holders'!$A$4:$A$1003,B592)=0,"Unknown holder ID",IF(COUNTIFS($A$4:$A$1503,A592,$B$4:$B$1503,B592)&gt;1,"Duplicate link",IF(C592="","Missing access","OK")))))</f>
        <v/>
      </c>
    </row>
    <row r="593">
      <c r="A593" s="26" t="n"/>
      <c r="B593" s="26" t="n"/>
      <c r="C593" s="26" t="n"/>
      <c r="D593" s="26" t="n"/>
      <c r="E593" s="30">
        <f>IF(B593="","",IFERROR(INDEX('Holders'!$B$4:$B$1003,MATCH(B593,'Holders'!$A$4:$A$1003,0)),""))</f>
        <v/>
      </c>
      <c r="F593" s="30">
        <f t="array" ref="F593">IF(B593="","",_xlfn.TEXTJOIN(", ",TRUE,IF(('Companies'!$A$4:$A$63&lt;&gt;"")*(COUNTIFS('Holdings'!$A$4:$A$2503,B593,'Holdings'!$J$4:$J$2503,'Companies'!$A$4:$A$63,'Holdings'!$L$4:$L$2503,"Yes",'Holdings'!$C$4:$C$2503,"&gt;0")&gt;0),'Companies'!$A$4:$A$63,"")))</f>
        <v/>
      </c>
      <c r="G593" s="30">
        <f>IF(A593="","",IF(COUNTIF('People'!$A$4:$A$1003,A593)=0,"Email not on People",IF(COUNTIF('Holders'!$A$4:$A$1003,B593)=0,"Unknown holder ID",IF(COUNTIFS($A$4:$A$1503,A593,$B$4:$B$1503,B593)&gt;1,"Duplicate link",IF(C593="","Missing access","OK")))))</f>
        <v/>
      </c>
    </row>
    <row r="594">
      <c r="A594" s="26" t="n"/>
      <c r="B594" s="26" t="n"/>
      <c r="C594" s="26" t="n"/>
      <c r="D594" s="26" t="n"/>
      <c r="E594" s="30">
        <f>IF(B594="","",IFERROR(INDEX('Holders'!$B$4:$B$1003,MATCH(B594,'Holders'!$A$4:$A$1003,0)),""))</f>
        <v/>
      </c>
      <c r="F594" s="30">
        <f t="array" ref="F594">IF(B594="","",_xlfn.TEXTJOIN(", ",TRUE,IF(('Companies'!$A$4:$A$63&lt;&gt;"")*(COUNTIFS('Holdings'!$A$4:$A$2503,B594,'Holdings'!$J$4:$J$2503,'Companies'!$A$4:$A$63,'Holdings'!$L$4:$L$2503,"Yes",'Holdings'!$C$4:$C$2503,"&gt;0")&gt;0),'Companies'!$A$4:$A$63,"")))</f>
        <v/>
      </c>
      <c r="G594" s="30">
        <f>IF(A594="","",IF(COUNTIF('People'!$A$4:$A$1003,A594)=0,"Email not on People",IF(COUNTIF('Holders'!$A$4:$A$1003,B594)=0,"Unknown holder ID",IF(COUNTIFS($A$4:$A$1503,A594,$B$4:$B$1503,B594)&gt;1,"Duplicate link",IF(C594="","Missing access","OK")))))</f>
        <v/>
      </c>
    </row>
    <row r="595">
      <c r="A595" s="26" t="n"/>
      <c r="B595" s="26" t="n"/>
      <c r="C595" s="26" t="n"/>
      <c r="D595" s="26" t="n"/>
      <c r="E595" s="30">
        <f>IF(B595="","",IFERROR(INDEX('Holders'!$B$4:$B$1003,MATCH(B595,'Holders'!$A$4:$A$1003,0)),""))</f>
        <v/>
      </c>
      <c r="F595" s="30">
        <f t="array" ref="F595">IF(B595="","",_xlfn.TEXTJOIN(", ",TRUE,IF(('Companies'!$A$4:$A$63&lt;&gt;"")*(COUNTIFS('Holdings'!$A$4:$A$2503,B595,'Holdings'!$J$4:$J$2503,'Companies'!$A$4:$A$63,'Holdings'!$L$4:$L$2503,"Yes",'Holdings'!$C$4:$C$2503,"&gt;0")&gt;0),'Companies'!$A$4:$A$63,"")))</f>
        <v/>
      </c>
      <c r="G595" s="30">
        <f>IF(A595="","",IF(COUNTIF('People'!$A$4:$A$1003,A595)=0,"Email not on People",IF(COUNTIF('Holders'!$A$4:$A$1003,B595)=0,"Unknown holder ID",IF(COUNTIFS($A$4:$A$1503,A595,$B$4:$B$1503,B595)&gt;1,"Duplicate link",IF(C595="","Missing access","OK")))))</f>
        <v/>
      </c>
    </row>
    <row r="596">
      <c r="A596" s="26" t="n"/>
      <c r="B596" s="26" t="n"/>
      <c r="C596" s="26" t="n"/>
      <c r="D596" s="26" t="n"/>
      <c r="E596" s="30">
        <f>IF(B596="","",IFERROR(INDEX('Holders'!$B$4:$B$1003,MATCH(B596,'Holders'!$A$4:$A$1003,0)),""))</f>
        <v/>
      </c>
      <c r="F596" s="30">
        <f t="array" ref="F596">IF(B596="","",_xlfn.TEXTJOIN(", ",TRUE,IF(('Companies'!$A$4:$A$63&lt;&gt;"")*(COUNTIFS('Holdings'!$A$4:$A$2503,B596,'Holdings'!$J$4:$J$2503,'Companies'!$A$4:$A$63,'Holdings'!$L$4:$L$2503,"Yes",'Holdings'!$C$4:$C$2503,"&gt;0")&gt;0),'Companies'!$A$4:$A$63,"")))</f>
        <v/>
      </c>
      <c r="G596" s="30">
        <f>IF(A596="","",IF(COUNTIF('People'!$A$4:$A$1003,A596)=0,"Email not on People",IF(COUNTIF('Holders'!$A$4:$A$1003,B596)=0,"Unknown holder ID",IF(COUNTIFS($A$4:$A$1503,A596,$B$4:$B$1503,B596)&gt;1,"Duplicate link",IF(C596="","Missing access","OK")))))</f>
        <v/>
      </c>
    </row>
    <row r="597">
      <c r="A597" s="26" t="n"/>
      <c r="B597" s="26" t="n"/>
      <c r="C597" s="26" t="n"/>
      <c r="D597" s="26" t="n"/>
      <c r="E597" s="30">
        <f>IF(B597="","",IFERROR(INDEX('Holders'!$B$4:$B$1003,MATCH(B597,'Holders'!$A$4:$A$1003,0)),""))</f>
        <v/>
      </c>
      <c r="F597" s="30">
        <f t="array" ref="F597">IF(B597="","",_xlfn.TEXTJOIN(", ",TRUE,IF(('Companies'!$A$4:$A$63&lt;&gt;"")*(COUNTIFS('Holdings'!$A$4:$A$2503,B597,'Holdings'!$J$4:$J$2503,'Companies'!$A$4:$A$63,'Holdings'!$L$4:$L$2503,"Yes",'Holdings'!$C$4:$C$2503,"&gt;0")&gt;0),'Companies'!$A$4:$A$63,"")))</f>
        <v/>
      </c>
      <c r="G597" s="30">
        <f>IF(A597="","",IF(COUNTIF('People'!$A$4:$A$1003,A597)=0,"Email not on People",IF(COUNTIF('Holders'!$A$4:$A$1003,B597)=0,"Unknown holder ID",IF(COUNTIFS($A$4:$A$1503,A597,$B$4:$B$1503,B597)&gt;1,"Duplicate link",IF(C597="","Missing access","OK")))))</f>
        <v/>
      </c>
    </row>
    <row r="598">
      <c r="A598" s="26" t="n"/>
      <c r="B598" s="26" t="n"/>
      <c r="C598" s="26" t="n"/>
      <c r="D598" s="26" t="n"/>
      <c r="E598" s="30">
        <f>IF(B598="","",IFERROR(INDEX('Holders'!$B$4:$B$1003,MATCH(B598,'Holders'!$A$4:$A$1003,0)),""))</f>
        <v/>
      </c>
      <c r="F598" s="30">
        <f t="array" ref="F598">IF(B598="","",_xlfn.TEXTJOIN(", ",TRUE,IF(('Companies'!$A$4:$A$63&lt;&gt;"")*(COUNTIFS('Holdings'!$A$4:$A$2503,B598,'Holdings'!$J$4:$J$2503,'Companies'!$A$4:$A$63,'Holdings'!$L$4:$L$2503,"Yes",'Holdings'!$C$4:$C$2503,"&gt;0")&gt;0),'Companies'!$A$4:$A$63,"")))</f>
        <v/>
      </c>
      <c r="G598" s="30">
        <f>IF(A598="","",IF(COUNTIF('People'!$A$4:$A$1003,A598)=0,"Email not on People",IF(COUNTIF('Holders'!$A$4:$A$1003,B598)=0,"Unknown holder ID",IF(COUNTIFS($A$4:$A$1503,A598,$B$4:$B$1503,B598)&gt;1,"Duplicate link",IF(C598="","Missing access","OK")))))</f>
        <v/>
      </c>
    </row>
    <row r="599">
      <c r="A599" s="26" t="n"/>
      <c r="B599" s="26" t="n"/>
      <c r="C599" s="26" t="n"/>
      <c r="D599" s="26" t="n"/>
      <c r="E599" s="30">
        <f>IF(B599="","",IFERROR(INDEX('Holders'!$B$4:$B$1003,MATCH(B599,'Holders'!$A$4:$A$1003,0)),""))</f>
        <v/>
      </c>
      <c r="F599" s="30">
        <f t="array" ref="F599">IF(B599="","",_xlfn.TEXTJOIN(", ",TRUE,IF(('Companies'!$A$4:$A$63&lt;&gt;"")*(COUNTIFS('Holdings'!$A$4:$A$2503,B599,'Holdings'!$J$4:$J$2503,'Companies'!$A$4:$A$63,'Holdings'!$L$4:$L$2503,"Yes",'Holdings'!$C$4:$C$2503,"&gt;0")&gt;0),'Companies'!$A$4:$A$63,"")))</f>
        <v/>
      </c>
      <c r="G599" s="30">
        <f>IF(A599="","",IF(COUNTIF('People'!$A$4:$A$1003,A599)=0,"Email not on People",IF(COUNTIF('Holders'!$A$4:$A$1003,B599)=0,"Unknown holder ID",IF(COUNTIFS($A$4:$A$1503,A599,$B$4:$B$1503,B599)&gt;1,"Duplicate link",IF(C599="","Missing access","OK")))))</f>
        <v/>
      </c>
    </row>
    <row r="600">
      <c r="A600" s="26" t="n"/>
      <c r="B600" s="26" t="n"/>
      <c r="C600" s="26" t="n"/>
      <c r="D600" s="26" t="n"/>
      <c r="E600" s="30">
        <f>IF(B600="","",IFERROR(INDEX('Holders'!$B$4:$B$1003,MATCH(B600,'Holders'!$A$4:$A$1003,0)),""))</f>
        <v/>
      </c>
      <c r="F600" s="30">
        <f t="array" ref="F600">IF(B600="","",_xlfn.TEXTJOIN(", ",TRUE,IF(('Companies'!$A$4:$A$63&lt;&gt;"")*(COUNTIFS('Holdings'!$A$4:$A$2503,B600,'Holdings'!$J$4:$J$2503,'Companies'!$A$4:$A$63,'Holdings'!$L$4:$L$2503,"Yes",'Holdings'!$C$4:$C$2503,"&gt;0")&gt;0),'Companies'!$A$4:$A$63,"")))</f>
        <v/>
      </c>
      <c r="G600" s="30">
        <f>IF(A600="","",IF(COUNTIF('People'!$A$4:$A$1003,A600)=0,"Email not on People",IF(COUNTIF('Holders'!$A$4:$A$1003,B600)=0,"Unknown holder ID",IF(COUNTIFS($A$4:$A$1503,A600,$B$4:$B$1503,B600)&gt;1,"Duplicate link",IF(C600="","Missing access","OK")))))</f>
        <v/>
      </c>
    </row>
    <row r="601">
      <c r="A601" s="26" t="n"/>
      <c r="B601" s="26" t="n"/>
      <c r="C601" s="26" t="n"/>
      <c r="D601" s="26" t="n"/>
      <c r="E601" s="30">
        <f>IF(B601="","",IFERROR(INDEX('Holders'!$B$4:$B$1003,MATCH(B601,'Holders'!$A$4:$A$1003,0)),""))</f>
        <v/>
      </c>
      <c r="F601" s="30">
        <f t="array" ref="F601">IF(B601="","",_xlfn.TEXTJOIN(", ",TRUE,IF(('Companies'!$A$4:$A$63&lt;&gt;"")*(COUNTIFS('Holdings'!$A$4:$A$2503,B601,'Holdings'!$J$4:$J$2503,'Companies'!$A$4:$A$63,'Holdings'!$L$4:$L$2503,"Yes",'Holdings'!$C$4:$C$2503,"&gt;0")&gt;0),'Companies'!$A$4:$A$63,"")))</f>
        <v/>
      </c>
      <c r="G601" s="30">
        <f>IF(A601="","",IF(COUNTIF('People'!$A$4:$A$1003,A601)=0,"Email not on People",IF(COUNTIF('Holders'!$A$4:$A$1003,B601)=0,"Unknown holder ID",IF(COUNTIFS($A$4:$A$1503,A601,$B$4:$B$1503,B601)&gt;1,"Duplicate link",IF(C601="","Missing access","OK")))))</f>
        <v/>
      </c>
    </row>
    <row r="602">
      <c r="A602" s="26" t="n"/>
      <c r="B602" s="26" t="n"/>
      <c r="C602" s="26" t="n"/>
      <c r="D602" s="26" t="n"/>
      <c r="E602" s="30">
        <f>IF(B602="","",IFERROR(INDEX('Holders'!$B$4:$B$1003,MATCH(B602,'Holders'!$A$4:$A$1003,0)),""))</f>
        <v/>
      </c>
      <c r="F602" s="30">
        <f t="array" ref="F602">IF(B602="","",_xlfn.TEXTJOIN(", ",TRUE,IF(('Companies'!$A$4:$A$63&lt;&gt;"")*(COUNTIFS('Holdings'!$A$4:$A$2503,B602,'Holdings'!$J$4:$J$2503,'Companies'!$A$4:$A$63,'Holdings'!$L$4:$L$2503,"Yes",'Holdings'!$C$4:$C$2503,"&gt;0")&gt;0),'Companies'!$A$4:$A$63,"")))</f>
        <v/>
      </c>
      <c r="G602" s="30">
        <f>IF(A602="","",IF(COUNTIF('People'!$A$4:$A$1003,A602)=0,"Email not on People",IF(COUNTIF('Holders'!$A$4:$A$1003,B602)=0,"Unknown holder ID",IF(COUNTIFS($A$4:$A$1503,A602,$B$4:$B$1503,B602)&gt;1,"Duplicate link",IF(C602="","Missing access","OK")))))</f>
        <v/>
      </c>
    </row>
    <row r="603">
      <c r="A603" s="26" t="n"/>
      <c r="B603" s="26" t="n"/>
      <c r="C603" s="26" t="n"/>
      <c r="D603" s="26" t="n"/>
      <c r="E603" s="30">
        <f>IF(B603="","",IFERROR(INDEX('Holders'!$B$4:$B$1003,MATCH(B603,'Holders'!$A$4:$A$1003,0)),""))</f>
        <v/>
      </c>
      <c r="F603" s="30">
        <f t="array" ref="F603">IF(B603="","",_xlfn.TEXTJOIN(", ",TRUE,IF(('Companies'!$A$4:$A$63&lt;&gt;"")*(COUNTIFS('Holdings'!$A$4:$A$2503,B603,'Holdings'!$J$4:$J$2503,'Companies'!$A$4:$A$63,'Holdings'!$L$4:$L$2503,"Yes",'Holdings'!$C$4:$C$2503,"&gt;0")&gt;0),'Companies'!$A$4:$A$63,"")))</f>
        <v/>
      </c>
      <c r="G603" s="30">
        <f>IF(A603="","",IF(COUNTIF('People'!$A$4:$A$1003,A603)=0,"Email not on People",IF(COUNTIF('Holders'!$A$4:$A$1003,B603)=0,"Unknown holder ID",IF(COUNTIFS($A$4:$A$1503,A603,$B$4:$B$1503,B603)&gt;1,"Duplicate link",IF(C603="","Missing access","OK")))))</f>
        <v/>
      </c>
    </row>
    <row r="604">
      <c r="A604" s="26" t="n"/>
      <c r="B604" s="26" t="n"/>
      <c r="C604" s="26" t="n"/>
      <c r="D604" s="26" t="n"/>
      <c r="E604" s="30">
        <f>IF(B604="","",IFERROR(INDEX('Holders'!$B$4:$B$1003,MATCH(B604,'Holders'!$A$4:$A$1003,0)),""))</f>
        <v/>
      </c>
      <c r="F604" s="30">
        <f t="array" ref="F604">IF(B604="","",_xlfn.TEXTJOIN(", ",TRUE,IF(('Companies'!$A$4:$A$63&lt;&gt;"")*(COUNTIFS('Holdings'!$A$4:$A$2503,B604,'Holdings'!$J$4:$J$2503,'Companies'!$A$4:$A$63,'Holdings'!$L$4:$L$2503,"Yes",'Holdings'!$C$4:$C$2503,"&gt;0")&gt;0),'Companies'!$A$4:$A$63,"")))</f>
        <v/>
      </c>
      <c r="G604" s="30">
        <f>IF(A604="","",IF(COUNTIF('People'!$A$4:$A$1003,A604)=0,"Email not on People",IF(COUNTIF('Holders'!$A$4:$A$1003,B604)=0,"Unknown holder ID",IF(COUNTIFS($A$4:$A$1503,A604,$B$4:$B$1503,B604)&gt;1,"Duplicate link",IF(C604="","Missing access","OK")))))</f>
        <v/>
      </c>
    </row>
    <row r="605">
      <c r="A605" s="26" t="n"/>
      <c r="B605" s="26" t="n"/>
      <c r="C605" s="26" t="n"/>
      <c r="D605" s="26" t="n"/>
      <c r="E605" s="30">
        <f>IF(B605="","",IFERROR(INDEX('Holders'!$B$4:$B$1003,MATCH(B605,'Holders'!$A$4:$A$1003,0)),""))</f>
        <v/>
      </c>
      <c r="F605" s="30">
        <f t="array" ref="F605">IF(B605="","",_xlfn.TEXTJOIN(", ",TRUE,IF(('Companies'!$A$4:$A$63&lt;&gt;"")*(COUNTIFS('Holdings'!$A$4:$A$2503,B605,'Holdings'!$J$4:$J$2503,'Companies'!$A$4:$A$63,'Holdings'!$L$4:$L$2503,"Yes",'Holdings'!$C$4:$C$2503,"&gt;0")&gt;0),'Companies'!$A$4:$A$63,"")))</f>
        <v/>
      </c>
      <c r="G605" s="30">
        <f>IF(A605="","",IF(COUNTIF('People'!$A$4:$A$1003,A605)=0,"Email not on People",IF(COUNTIF('Holders'!$A$4:$A$1003,B605)=0,"Unknown holder ID",IF(COUNTIFS($A$4:$A$1503,A605,$B$4:$B$1503,B605)&gt;1,"Duplicate link",IF(C605="","Missing access","OK")))))</f>
        <v/>
      </c>
    </row>
    <row r="606">
      <c r="A606" s="26" t="n"/>
      <c r="B606" s="26" t="n"/>
      <c r="C606" s="26" t="n"/>
      <c r="D606" s="26" t="n"/>
      <c r="E606" s="30">
        <f>IF(B606="","",IFERROR(INDEX('Holders'!$B$4:$B$1003,MATCH(B606,'Holders'!$A$4:$A$1003,0)),""))</f>
        <v/>
      </c>
      <c r="F606" s="30">
        <f t="array" ref="F606">IF(B606="","",_xlfn.TEXTJOIN(", ",TRUE,IF(('Companies'!$A$4:$A$63&lt;&gt;"")*(COUNTIFS('Holdings'!$A$4:$A$2503,B606,'Holdings'!$J$4:$J$2503,'Companies'!$A$4:$A$63,'Holdings'!$L$4:$L$2503,"Yes",'Holdings'!$C$4:$C$2503,"&gt;0")&gt;0),'Companies'!$A$4:$A$63,"")))</f>
        <v/>
      </c>
      <c r="G606" s="30">
        <f>IF(A606="","",IF(COUNTIF('People'!$A$4:$A$1003,A606)=0,"Email not on People",IF(COUNTIF('Holders'!$A$4:$A$1003,B606)=0,"Unknown holder ID",IF(COUNTIFS($A$4:$A$1503,A606,$B$4:$B$1503,B606)&gt;1,"Duplicate link",IF(C606="","Missing access","OK")))))</f>
        <v/>
      </c>
    </row>
    <row r="607">
      <c r="A607" s="26" t="n"/>
      <c r="B607" s="26" t="n"/>
      <c r="C607" s="26" t="n"/>
      <c r="D607" s="26" t="n"/>
      <c r="E607" s="30">
        <f>IF(B607="","",IFERROR(INDEX('Holders'!$B$4:$B$1003,MATCH(B607,'Holders'!$A$4:$A$1003,0)),""))</f>
        <v/>
      </c>
      <c r="F607" s="30">
        <f t="array" ref="F607">IF(B607="","",_xlfn.TEXTJOIN(", ",TRUE,IF(('Companies'!$A$4:$A$63&lt;&gt;"")*(COUNTIFS('Holdings'!$A$4:$A$2503,B607,'Holdings'!$J$4:$J$2503,'Companies'!$A$4:$A$63,'Holdings'!$L$4:$L$2503,"Yes",'Holdings'!$C$4:$C$2503,"&gt;0")&gt;0),'Companies'!$A$4:$A$63,"")))</f>
        <v/>
      </c>
      <c r="G607" s="30">
        <f>IF(A607="","",IF(COUNTIF('People'!$A$4:$A$1003,A607)=0,"Email not on People",IF(COUNTIF('Holders'!$A$4:$A$1003,B607)=0,"Unknown holder ID",IF(COUNTIFS($A$4:$A$1503,A607,$B$4:$B$1503,B607)&gt;1,"Duplicate link",IF(C607="","Missing access","OK")))))</f>
        <v/>
      </c>
    </row>
    <row r="608">
      <c r="A608" s="26" t="n"/>
      <c r="B608" s="26" t="n"/>
      <c r="C608" s="26" t="n"/>
      <c r="D608" s="26" t="n"/>
      <c r="E608" s="30">
        <f>IF(B608="","",IFERROR(INDEX('Holders'!$B$4:$B$1003,MATCH(B608,'Holders'!$A$4:$A$1003,0)),""))</f>
        <v/>
      </c>
      <c r="F608" s="30">
        <f t="array" ref="F608">IF(B608="","",_xlfn.TEXTJOIN(", ",TRUE,IF(('Companies'!$A$4:$A$63&lt;&gt;"")*(COUNTIFS('Holdings'!$A$4:$A$2503,B608,'Holdings'!$J$4:$J$2503,'Companies'!$A$4:$A$63,'Holdings'!$L$4:$L$2503,"Yes",'Holdings'!$C$4:$C$2503,"&gt;0")&gt;0),'Companies'!$A$4:$A$63,"")))</f>
        <v/>
      </c>
      <c r="G608" s="30">
        <f>IF(A608="","",IF(COUNTIF('People'!$A$4:$A$1003,A608)=0,"Email not on People",IF(COUNTIF('Holders'!$A$4:$A$1003,B608)=0,"Unknown holder ID",IF(COUNTIFS($A$4:$A$1503,A608,$B$4:$B$1503,B608)&gt;1,"Duplicate link",IF(C608="","Missing access","OK")))))</f>
        <v/>
      </c>
    </row>
    <row r="609">
      <c r="A609" s="26" t="n"/>
      <c r="B609" s="26" t="n"/>
      <c r="C609" s="26" t="n"/>
      <c r="D609" s="26" t="n"/>
      <c r="E609" s="30">
        <f>IF(B609="","",IFERROR(INDEX('Holders'!$B$4:$B$1003,MATCH(B609,'Holders'!$A$4:$A$1003,0)),""))</f>
        <v/>
      </c>
      <c r="F609" s="30">
        <f t="array" ref="F609">IF(B609="","",_xlfn.TEXTJOIN(", ",TRUE,IF(('Companies'!$A$4:$A$63&lt;&gt;"")*(COUNTIFS('Holdings'!$A$4:$A$2503,B609,'Holdings'!$J$4:$J$2503,'Companies'!$A$4:$A$63,'Holdings'!$L$4:$L$2503,"Yes",'Holdings'!$C$4:$C$2503,"&gt;0")&gt;0),'Companies'!$A$4:$A$63,"")))</f>
        <v/>
      </c>
      <c r="G609" s="30">
        <f>IF(A609="","",IF(COUNTIF('People'!$A$4:$A$1003,A609)=0,"Email not on People",IF(COUNTIF('Holders'!$A$4:$A$1003,B609)=0,"Unknown holder ID",IF(COUNTIFS($A$4:$A$1503,A609,$B$4:$B$1503,B609)&gt;1,"Duplicate link",IF(C609="","Missing access","OK")))))</f>
        <v/>
      </c>
    </row>
    <row r="610">
      <c r="A610" s="26" t="n"/>
      <c r="B610" s="26" t="n"/>
      <c r="C610" s="26" t="n"/>
      <c r="D610" s="26" t="n"/>
      <c r="E610" s="30">
        <f>IF(B610="","",IFERROR(INDEX('Holders'!$B$4:$B$1003,MATCH(B610,'Holders'!$A$4:$A$1003,0)),""))</f>
        <v/>
      </c>
      <c r="F610" s="30">
        <f t="array" ref="F610">IF(B610="","",_xlfn.TEXTJOIN(", ",TRUE,IF(('Companies'!$A$4:$A$63&lt;&gt;"")*(COUNTIFS('Holdings'!$A$4:$A$2503,B610,'Holdings'!$J$4:$J$2503,'Companies'!$A$4:$A$63,'Holdings'!$L$4:$L$2503,"Yes",'Holdings'!$C$4:$C$2503,"&gt;0")&gt;0),'Companies'!$A$4:$A$63,"")))</f>
        <v/>
      </c>
      <c r="G610" s="30">
        <f>IF(A610="","",IF(COUNTIF('People'!$A$4:$A$1003,A610)=0,"Email not on People",IF(COUNTIF('Holders'!$A$4:$A$1003,B610)=0,"Unknown holder ID",IF(COUNTIFS($A$4:$A$1503,A610,$B$4:$B$1503,B610)&gt;1,"Duplicate link",IF(C610="","Missing access","OK")))))</f>
        <v/>
      </c>
    </row>
    <row r="611">
      <c r="A611" s="26" t="n"/>
      <c r="B611" s="26" t="n"/>
      <c r="C611" s="26" t="n"/>
      <c r="D611" s="26" t="n"/>
      <c r="E611" s="30">
        <f>IF(B611="","",IFERROR(INDEX('Holders'!$B$4:$B$1003,MATCH(B611,'Holders'!$A$4:$A$1003,0)),""))</f>
        <v/>
      </c>
      <c r="F611" s="30">
        <f t="array" ref="F611">IF(B611="","",_xlfn.TEXTJOIN(", ",TRUE,IF(('Companies'!$A$4:$A$63&lt;&gt;"")*(COUNTIFS('Holdings'!$A$4:$A$2503,B611,'Holdings'!$J$4:$J$2503,'Companies'!$A$4:$A$63,'Holdings'!$L$4:$L$2503,"Yes",'Holdings'!$C$4:$C$2503,"&gt;0")&gt;0),'Companies'!$A$4:$A$63,"")))</f>
        <v/>
      </c>
      <c r="G611" s="30">
        <f>IF(A611="","",IF(COUNTIF('People'!$A$4:$A$1003,A611)=0,"Email not on People",IF(COUNTIF('Holders'!$A$4:$A$1003,B611)=0,"Unknown holder ID",IF(COUNTIFS($A$4:$A$1503,A611,$B$4:$B$1503,B611)&gt;1,"Duplicate link",IF(C611="","Missing access","OK")))))</f>
        <v/>
      </c>
    </row>
    <row r="612">
      <c r="A612" s="26" t="n"/>
      <c r="B612" s="26" t="n"/>
      <c r="C612" s="26" t="n"/>
      <c r="D612" s="26" t="n"/>
      <c r="E612" s="30">
        <f>IF(B612="","",IFERROR(INDEX('Holders'!$B$4:$B$1003,MATCH(B612,'Holders'!$A$4:$A$1003,0)),""))</f>
        <v/>
      </c>
      <c r="F612" s="30">
        <f t="array" ref="F612">IF(B612="","",_xlfn.TEXTJOIN(", ",TRUE,IF(('Companies'!$A$4:$A$63&lt;&gt;"")*(COUNTIFS('Holdings'!$A$4:$A$2503,B612,'Holdings'!$J$4:$J$2503,'Companies'!$A$4:$A$63,'Holdings'!$L$4:$L$2503,"Yes",'Holdings'!$C$4:$C$2503,"&gt;0")&gt;0),'Companies'!$A$4:$A$63,"")))</f>
        <v/>
      </c>
      <c r="G612" s="30">
        <f>IF(A612="","",IF(COUNTIF('People'!$A$4:$A$1003,A612)=0,"Email not on People",IF(COUNTIF('Holders'!$A$4:$A$1003,B612)=0,"Unknown holder ID",IF(COUNTIFS($A$4:$A$1503,A612,$B$4:$B$1503,B612)&gt;1,"Duplicate link",IF(C612="","Missing access","OK")))))</f>
        <v/>
      </c>
    </row>
    <row r="613">
      <c r="A613" s="26" t="n"/>
      <c r="B613" s="26" t="n"/>
      <c r="C613" s="26" t="n"/>
      <c r="D613" s="26" t="n"/>
      <c r="E613" s="30">
        <f>IF(B613="","",IFERROR(INDEX('Holders'!$B$4:$B$1003,MATCH(B613,'Holders'!$A$4:$A$1003,0)),""))</f>
        <v/>
      </c>
      <c r="F613" s="30">
        <f t="array" ref="F613">IF(B613="","",_xlfn.TEXTJOIN(", ",TRUE,IF(('Companies'!$A$4:$A$63&lt;&gt;"")*(COUNTIFS('Holdings'!$A$4:$A$2503,B613,'Holdings'!$J$4:$J$2503,'Companies'!$A$4:$A$63,'Holdings'!$L$4:$L$2503,"Yes",'Holdings'!$C$4:$C$2503,"&gt;0")&gt;0),'Companies'!$A$4:$A$63,"")))</f>
        <v/>
      </c>
      <c r="G613" s="30">
        <f>IF(A613="","",IF(COUNTIF('People'!$A$4:$A$1003,A613)=0,"Email not on People",IF(COUNTIF('Holders'!$A$4:$A$1003,B613)=0,"Unknown holder ID",IF(COUNTIFS($A$4:$A$1503,A613,$B$4:$B$1503,B613)&gt;1,"Duplicate link",IF(C613="","Missing access","OK")))))</f>
        <v/>
      </c>
    </row>
    <row r="614">
      <c r="A614" s="26" t="n"/>
      <c r="B614" s="26" t="n"/>
      <c r="C614" s="26" t="n"/>
      <c r="D614" s="26" t="n"/>
      <c r="E614" s="30">
        <f>IF(B614="","",IFERROR(INDEX('Holders'!$B$4:$B$1003,MATCH(B614,'Holders'!$A$4:$A$1003,0)),""))</f>
        <v/>
      </c>
      <c r="F614" s="30">
        <f t="array" ref="F614">IF(B614="","",_xlfn.TEXTJOIN(", ",TRUE,IF(('Companies'!$A$4:$A$63&lt;&gt;"")*(COUNTIFS('Holdings'!$A$4:$A$2503,B614,'Holdings'!$J$4:$J$2503,'Companies'!$A$4:$A$63,'Holdings'!$L$4:$L$2503,"Yes",'Holdings'!$C$4:$C$2503,"&gt;0")&gt;0),'Companies'!$A$4:$A$63,"")))</f>
        <v/>
      </c>
      <c r="G614" s="30">
        <f>IF(A614="","",IF(COUNTIF('People'!$A$4:$A$1003,A614)=0,"Email not on People",IF(COUNTIF('Holders'!$A$4:$A$1003,B614)=0,"Unknown holder ID",IF(COUNTIFS($A$4:$A$1503,A614,$B$4:$B$1503,B614)&gt;1,"Duplicate link",IF(C614="","Missing access","OK")))))</f>
        <v/>
      </c>
    </row>
    <row r="615">
      <c r="A615" s="26" t="n"/>
      <c r="B615" s="26" t="n"/>
      <c r="C615" s="26" t="n"/>
      <c r="D615" s="26" t="n"/>
      <c r="E615" s="30">
        <f>IF(B615="","",IFERROR(INDEX('Holders'!$B$4:$B$1003,MATCH(B615,'Holders'!$A$4:$A$1003,0)),""))</f>
        <v/>
      </c>
      <c r="F615" s="30">
        <f t="array" ref="F615">IF(B615="","",_xlfn.TEXTJOIN(", ",TRUE,IF(('Companies'!$A$4:$A$63&lt;&gt;"")*(COUNTIFS('Holdings'!$A$4:$A$2503,B615,'Holdings'!$J$4:$J$2503,'Companies'!$A$4:$A$63,'Holdings'!$L$4:$L$2503,"Yes",'Holdings'!$C$4:$C$2503,"&gt;0")&gt;0),'Companies'!$A$4:$A$63,"")))</f>
        <v/>
      </c>
      <c r="G615" s="30">
        <f>IF(A615="","",IF(COUNTIF('People'!$A$4:$A$1003,A615)=0,"Email not on People",IF(COUNTIF('Holders'!$A$4:$A$1003,B615)=0,"Unknown holder ID",IF(COUNTIFS($A$4:$A$1503,A615,$B$4:$B$1503,B615)&gt;1,"Duplicate link",IF(C615="","Missing access","OK")))))</f>
        <v/>
      </c>
    </row>
    <row r="616">
      <c r="A616" s="26" t="n"/>
      <c r="B616" s="26" t="n"/>
      <c r="C616" s="26" t="n"/>
      <c r="D616" s="26" t="n"/>
      <c r="E616" s="30">
        <f>IF(B616="","",IFERROR(INDEX('Holders'!$B$4:$B$1003,MATCH(B616,'Holders'!$A$4:$A$1003,0)),""))</f>
        <v/>
      </c>
      <c r="F616" s="30">
        <f t="array" ref="F616">IF(B616="","",_xlfn.TEXTJOIN(", ",TRUE,IF(('Companies'!$A$4:$A$63&lt;&gt;"")*(COUNTIFS('Holdings'!$A$4:$A$2503,B616,'Holdings'!$J$4:$J$2503,'Companies'!$A$4:$A$63,'Holdings'!$L$4:$L$2503,"Yes",'Holdings'!$C$4:$C$2503,"&gt;0")&gt;0),'Companies'!$A$4:$A$63,"")))</f>
        <v/>
      </c>
      <c r="G616" s="30">
        <f>IF(A616="","",IF(COUNTIF('People'!$A$4:$A$1003,A616)=0,"Email not on People",IF(COUNTIF('Holders'!$A$4:$A$1003,B616)=0,"Unknown holder ID",IF(COUNTIFS($A$4:$A$1503,A616,$B$4:$B$1503,B616)&gt;1,"Duplicate link",IF(C616="","Missing access","OK")))))</f>
        <v/>
      </c>
    </row>
    <row r="617">
      <c r="A617" s="26" t="n"/>
      <c r="B617" s="26" t="n"/>
      <c r="C617" s="26" t="n"/>
      <c r="D617" s="26" t="n"/>
      <c r="E617" s="30">
        <f>IF(B617="","",IFERROR(INDEX('Holders'!$B$4:$B$1003,MATCH(B617,'Holders'!$A$4:$A$1003,0)),""))</f>
        <v/>
      </c>
      <c r="F617" s="30">
        <f t="array" ref="F617">IF(B617="","",_xlfn.TEXTJOIN(", ",TRUE,IF(('Companies'!$A$4:$A$63&lt;&gt;"")*(COUNTIFS('Holdings'!$A$4:$A$2503,B617,'Holdings'!$J$4:$J$2503,'Companies'!$A$4:$A$63,'Holdings'!$L$4:$L$2503,"Yes",'Holdings'!$C$4:$C$2503,"&gt;0")&gt;0),'Companies'!$A$4:$A$63,"")))</f>
        <v/>
      </c>
      <c r="G617" s="30">
        <f>IF(A617="","",IF(COUNTIF('People'!$A$4:$A$1003,A617)=0,"Email not on People",IF(COUNTIF('Holders'!$A$4:$A$1003,B617)=0,"Unknown holder ID",IF(COUNTIFS($A$4:$A$1503,A617,$B$4:$B$1503,B617)&gt;1,"Duplicate link",IF(C617="","Missing access","OK")))))</f>
        <v/>
      </c>
    </row>
    <row r="618">
      <c r="A618" s="26" t="n"/>
      <c r="B618" s="26" t="n"/>
      <c r="C618" s="26" t="n"/>
      <c r="D618" s="26" t="n"/>
      <c r="E618" s="30">
        <f>IF(B618="","",IFERROR(INDEX('Holders'!$B$4:$B$1003,MATCH(B618,'Holders'!$A$4:$A$1003,0)),""))</f>
        <v/>
      </c>
      <c r="F618" s="30">
        <f t="array" ref="F618">IF(B618="","",_xlfn.TEXTJOIN(", ",TRUE,IF(('Companies'!$A$4:$A$63&lt;&gt;"")*(COUNTIFS('Holdings'!$A$4:$A$2503,B618,'Holdings'!$J$4:$J$2503,'Companies'!$A$4:$A$63,'Holdings'!$L$4:$L$2503,"Yes",'Holdings'!$C$4:$C$2503,"&gt;0")&gt;0),'Companies'!$A$4:$A$63,"")))</f>
        <v/>
      </c>
      <c r="G618" s="30">
        <f>IF(A618="","",IF(COUNTIF('People'!$A$4:$A$1003,A618)=0,"Email not on People",IF(COUNTIF('Holders'!$A$4:$A$1003,B618)=0,"Unknown holder ID",IF(COUNTIFS($A$4:$A$1503,A618,$B$4:$B$1503,B618)&gt;1,"Duplicate link",IF(C618="","Missing access","OK")))))</f>
        <v/>
      </c>
    </row>
    <row r="619">
      <c r="A619" s="26" t="n"/>
      <c r="B619" s="26" t="n"/>
      <c r="C619" s="26" t="n"/>
      <c r="D619" s="26" t="n"/>
      <c r="E619" s="30">
        <f>IF(B619="","",IFERROR(INDEX('Holders'!$B$4:$B$1003,MATCH(B619,'Holders'!$A$4:$A$1003,0)),""))</f>
        <v/>
      </c>
      <c r="F619" s="30">
        <f t="array" ref="F619">IF(B619="","",_xlfn.TEXTJOIN(", ",TRUE,IF(('Companies'!$A$4:$A$63&lt;&gt;"")*(COUNTIFS('Holdings'!$A$4:$A$2503,B619,'Holdings'!$J$4:$J$2503,'Companies'!$A$4:$A$63,'Holdings'!$L$4:$L$2503,"Yes",'Holdings'!$C$4:$C$2503,"&gt;0")&gt;0),'Companies'!$A$4:$A$63,"")))</f>
        <v/>
      </c>
      <c r="G619" s="30">
        <f>IF(A619="","",IF(COUNTIF('People'!$A$4:$A$1003,A619)=0,"Email not on People",IF(COUNTIF('Holders'!$A$4:$A$1003,B619)=0,"Unknown holder ID",IF(COUNTIFS($A$4:$A$1503,A619,$B$4:$B$1503,B619)&gt;1,"Duplicate link",IF(C619="","Missing access","OK")))))</f>
        <v/>
      </c>
    </row>
    <row r="620">
      <c r="A620" s="26" t="n"/>
      <c r="B620" s="26" t="n"/>
      <c r="C620" s="26" t="n"/>
      <c r="D620" s="26" t="n"/>
      <c r="E620" s="30">
        <f>IF(B620="","",IFERROR(INDEX('Holders'!$B$4:$B$1003,MATCH(B620,'Holders'!$A$4:$A$1003,0)),""))</f>
        <v/>
      </c>
      <c r="F620" s="30">
        <f t="array" ref="F620">IF(B620="","",_xlfn.TEXTJOIN(", ",TRUE,IF(('Companies'!$A$4:$A$63&lt;&gt;"")*(COUNTIFS('Holdings'!$A$4:$A$2503,B620,'Holdings'!$J$4:$J$2503,'Companies'!$A$4:$A$63,'Holdings'!$L$4:$L$2503,"Yes",'Holdings'!$C$4:$C$2503,"&gt;0")&gt;0),'Companies'!$A$4:$A$63,"")))</f>
        <v/>
      </c>
      <c r="G620" s="30">
        <f>IF(A620="","",IF(COUNTIF('People'!$A$4:$A$1003,A620)=0,"Email not on People",IF(COUNTIF('Holders'!$A$4:$A$1003,B620)=0,"Unknown holder ID",IF(COUNTIFS($A$4:$A$1503,A620,$B$4:$B$1503,B620)&gt;1,"Duplicate link",IF(C620="","Missing access","OK")))))</f>
        <v/>
      </c>
    </row>
    <row r="621">
      <c r="A621" s="26" t="n"/>
      <c r="B621" s="26" t="n"/>
      <c r="C621" s="26" t="n"/>
      <c r="D621" s="26" t="n"/>
      <c r="E621" s="30">
        <f>IF(B621="","",IFERROR(INDEX('Holders'!$B$4:$B$1003,MATCH(B621,'Holders'!$A$4:$A$1003,0)),""))</f>
        <v/>
      </c>
      <c r="F621" s="30">
        <f t="array" ref="F621">IF(B621="","",_xlfn.TEXTJOIN(", ",TRUE,IF(('Companies'!$A$4:$A$63&lt;&gt;"")*(COUNTIFS('Holdings'!$A$4:$A$2503,B621,'Holdings'!$J$4:$J$2503,'Companies'!$A$4:$A$63,'Holdings'!$L$4:$L$2503,"Yes",'Holdings'!$C$4:$C$2503,"&gt;0")&gt;0),'Companies'!$A$4:$A$63,"")))</f>
        <v/>
      </c>
      <c r="G621" s="30">
        <f>IF(A621="","",IF(COUNTIF('People'!$A$4:$A$1003,A621)=0,"Email not on People",IF(COUNTIF('Holders'!$A$4:$A$1003,B621)=0,"Unknown holder ID",IF(COUNTIFS($A$4:$A$1503,A621,$B$4:$B$1503,B621)&gt;1,"Duplicate link",IF(C621="","Missing access","OK")))))</f>
        <v/>
      </c>
    </row>
    <row r="622">
      <c r="A622" s="26" t="n"/>
      <c r="B622" s="26" t="n"/>
      <c r="C622" s="26" t="n"/>
      <c r="D622" s="26" t="n"/>
      <c r="E622" s="30">
        <f>IF(B622="","",IFERROR(INDEX('Holders'!$B$4:$B$1003,MATCH(B622,'Holders'!$A$4:$A$1003,0)),""))</f>
        <v/>
      </c>
      <c r="F622" s="30">
        <f t="array" ref="F622">IF(B622="","",_xlfn.TEXTJOIN(", ",TRUE,IF(('Companies'!$A$4:$A$63&lt;&gt;"")*(COUNTIFS('Holdings'!$A$4:$A$2503,B622,'Holdings'!$J$4:$J$2503,'Companies'!$A$4:$A$63,'Holdings'!$L$4:$L$2503,"Yes",'Holdings'!$C$4:$C$2503,"&gt;0")&gt;0),'Companies'!$A$4:$A$63,"")))</f>
        <v/>
      </c>
      <c r="G622" s="30">
        <f>IF(A622="","",IF(COUNTIF('People'!$A$4:$A$1003,A622)=0,"Email not on People",IF(COUNTIF('Holders'!$A$4:$A$1003,B622)=0,"Unknown holder ID",IF(COUNTIFS($A$4:$A$1503,A622,$B$4:$B$1503,B622)&gt;1,"Duplicate link",IF(C622="","Missing access","OK")))))</f>
        <v/>
      </c>
    </row>
    <row r="623">
      <c r="A623" s="26" t="n"/>
      <c r="B623" s="26" t="n"/>
      <c r="C623" s="26" t="n"/>
      <c r="D623" s="26" t="n"/>
      <c r="E623" s="30">
        <f>IF(B623="","",IFERROR(INDEX('Holders'!$B$4:$B$1003,MATCH(B623,'Holders'!$A$4:$A$1003,0)),""))</f>
        <v/>
      </c>
      <c r="F623" s="30">
        <f t="array" ref="F623">IF(B623="","",_xlfn.TEXTJOIN(", ",TRUE,IF(('Companies'!$A$4:$A$63&lt;&gt;"")*(COUNTIFS('Holdings'!$A$4:$A$2503,B623,'Holdings'!$J$4:$J$2503,'Companies'!$A$4:$A$63,'Holdings'!$L$4:$L$2503,"Yes",'Holdings'!$C$4:$C$2503,"&gt;0")&gt;0),'Companies'!$A$4:$A$63,"")))</f>
        <v/>
      </c>
      <c r="G623" s="30">
        <f>IF(A623="","",IF(COUNTIF('People'!$A$4:$A$1003,A623)=0,"Email not on People",IF(COUNTIF('Holders'!$A$4:$A$1003,B623)=0,"Unknown holder ID",IF(COUNTIFS($A$4:$A$1503,A623,$B$4:$B$1503,B623)&gt;1,"Duplicate link",IF(C623="","Missing access","OK")))))</f>
        <v/>
      </c>
    </row>
    <row r="624">
      <c r="A624" s="26" t="n"/>
      <c r="B624" s="26" t="n"/>
      <c r="C624" s="26" t="n"/>
      <c r="D624" s="26" t="n"/>
      <c r="E624" s="30">
        <f>IF(B624="","",IFERROR(INDEX('Holders'!$B$4:$B$1003,MATCH(B624,'Holders'!$A$4:$A$1003,0)),""))</f>
        <v/>
      </c>
      <c r="F624" s="30">
        <f t="array" ref="F624">IF(B624="","",_xlfn.TEXTJOIN(", ",TRUE,IF(('Companies'!$A$4:$A$63&lt;&gt;"")*(COUNTIFS('Holdings'!$A$4:$A$2503,B624,'Holdings'!$J$4:$J$2503,'Companies'!$A$4:$A$63,'Holdings'!$L$4:$L$2503,"Yes",'Holdings'!$C$4:$C$2503,"&gt;0")&gt;0),'Companies'!$A$4:$A$63,"")))</f>
        <v/>
      </c>
      <c r="G624" s="30">
        <f>IF(A624="","",IF(COUNTIF('People'!$A$4:$A$1003,A624)=0,"Email not on People",IF(COUNTIF('Holders'!$A$4:$A$1003,B624)=0,"Unknown holder ID",IF(COUNTIFS($A$4:$A$1503,A624,$B$4:$B$1503,B624)&gt;1,"Duplicate link",IF(C624="","Missing access","OK")))))</f>
        <v/>
      </c>
    </row>
    <row r="625">
      <c r="A625" s="26" t="n"/>
      <c r="B625" s="26" t="n"/>
      <c r="C625" s="26" t="n"/>
      <c r="D625" s="26" t="n"/>
      <c r="E625" s="30">
        <f>IF(B625="","",IFERROR(INDEX('Holders'!$B$4:$B$1003,MATCH(B625,'Holders'!$A$4:$A$1003,0)),""))</f>
        <v/>
      </c>
      <c r="F625" s="30">
        <f t="array" ref="F625">IF(B625="","",_xlfn.TEXTJOIN(", ",TRUE,IF(('Companies'!$A$4:$A$63&lt;&gt;"")*(COUNTIFS('Holdings'!$A$4:$A$2503,B625,'Holdings'!$J$4:$J$2503,'Companies'!$A$4:$A$63,'Holdings'!$L$4:$L$2503,"Yes",'Holdings'!$C$4:$C$2503,"&gt;0")&gt;0),'Companies'!$A$4:$A$63,"")))</f>
        <v/>
      </c>
      <c r="G625" s="30">
        <f>IF(A625="","",IF(COUNTIF('People'!$A$4:$A$1003,A625)=0,"Email not on People",IF(COUNTIF('Holders'!$A$4:$A$1003,B625)=0,"Unknown holder ID",IF(COUNTIFS($A$4:$A$1503,A625,$B$4:$B$1503,B625)&gt;1,"Duplicate link",IF(C625="","Missing access","OK")))))</f>
        <v/>
      </c>
    </row>
    <row r="626">
      <c r="A626" s="26" t="n"/>
      <c r="B626" s="26" t="n"/>
      <c r="C626" s="26" t="n"/>
      <c r="D626" s="26" t="n"/>
      <c r="E626" s="30">
        <f>IF(B626="","",IFERROR(INDEX('Holders'!$B$4:$B$1003,MATCH(B626,'Holders'!$A$4:$A$1003,0)),""))</f>
        <v/>
      </c>
      <c r="F626" s="30">
        <f t="array" ref="F626">IF(B626="","",_xlfn.TEXTJOIN(", ",TRUE,IF(('Companies'!$A$4:$A$63&lt;&gt;"")*(COUNTIFS('Holdings'!$A$4:$A$2503,B626,'Holdings'!$J$4:$J$2503,'Companies'!$A$4:$A$63,'Holdings'!$L$4:$L$2503,"Yes",'Holdings'!$C$4:$C$2503,"&gt;0")&gt;0),'Companies'!$A$4:$A$63,"")))</f>
        <v/>
      </c>
      <c r="G626" s="30">
        <f>IF(A626="","",IF(COUNTIF('People'!$A$4:$A$1003,A626)=0,"Email not on People",IF(COUNTIF('Holders'!$A$4:$A$1003,B626)=0,"Unknown holder ID",IF(COUNTIFS($A$4:$A$1503,A626,$B$4:$B$1503,B626)&gt;1,"Duplicate link",IF(C626="","Missing access","OK")))))</f>
        <v/>
      </c>
    </row>
    <row r="627">
      <c r="A627" s="26" t="n"/>
      <c r="B627" s="26" t="n"/>
      <c r="C627" s="26" t="n"/>
      <c r="D627" s="26" t="n"/>
      <c r="E627" s="30">
        <f>IF(B627="","",IFERROR(INDEX('Holders'!$B$4:$B$1003,MATCH(B627,'Holders'!$A$4:$A$1003,0)),""))</f>
        <v/>
      </c>
      <c r="F627" s="30">
        <f t="array" ref="F627">IF(B627="","",_xlfn.TEXTJOIN(", ",TRUE,IF(('Companies'!$A$4:$A$63&lt;&gt;"")*(COUNTIFS('Holdings'!$A$4:$A$2503,B627,'Holdings'!$J$4:$J$2503,'Companies'!$A$4:$A$63,'Holdings'!$L$4:$L$2503,"Yes",'Holdings'!$C$4:$C$2503,"&gt;0")&gt;0),'Companies'!$A$4:$A$63,"")))</f>
        <v/>
      </c>
      <c r="G627" s="30">
        <f>IF(A627="","",IF(COUNTIF('People'!$A$4:$A$1003,A627)=0,"Email not on People",IF(COUNTIF('Holders'!$A$4:$A$1003,B627)=0,"Unknown holder ID",IF(COUNTIFS($A$4:$A$1503,A627,$B$4:$B$1503,B627)&gt;1,"Duplicate link",IF(C627="","Missing access","OK")))))</f>
        <v/>
      </c>
    </row>
    <row r="628">
      <c r="A628" s="26" t="n"/>
      <c r="B628" s="26" t="n"/>
      <c r="C628" s="26" t="n"/>
      <c r="D628" s="26" t="n"/>
      <c r="E628" s="30">
        <f>IF(B628="","",IFERROR(INDEX('Holders'!$B$4:$B$1003,MATCH(B628,'Holders'!$A$4:$A$1003,0)),""))</f>
        <v/>
      </c>
      <c r="F628" s="30">
        <f t="array" ref="F628">IF(B628="","",_xlfn.TEXTJOIN(", ",TRUE,IF(('Companies'!$A$4:$A$63&lt;&gt;"")*(COUNTIFS('Holdings'!$A$4:$A$2503,B628,'Holdings'!$J$4:$J$2503,'Companies'!$A$4:$A$63,'Holdings'!$L$4:$L$2503,"Yes",'Holdings'!$C$4:$C$2503,"&gt;0")&gt;0),'Companies'!$A$4:$A$63,"")))</f>
        <v/>
      </c>
      <c r="G628" s="30">
        <f>IF(A628="","",IF(COUNTIF('People'!$A$4:$A$1003,A628)=0,"Email not on People",IF(COUNTIF('Holders'!$A$4:$A$1003,B628)=0,"Unknown holder ID",IF(COUNTIFS($A$4:$A$1503,A628,$B$4:$B$1503,B628)&gt;1,"Duplicate link",IF(C628="","Missing access","OK")))))</f>
        <v/>
      </c>
    </row>
    <row r="629">
      <c r="A629" s="26" t="n"/>
      <c r="B629" s="26" t="n"/>
      <c r="C629" s="26" t="n"/>
      <c r="D629" s="26" t="n"/>
      <c r="E629" s="30">
        <f>IF(B629="","",IFERROR(INDEX('Holders'!$B$4:$B$1003,MATCH(B629,'Holders'!$A$4:$A$1003,0)),""))</f>
        <v/>
      </c>
      <c r="F629" s="30">
        <f t="array" ref="F629">IF(B629="","",_xlfn.TEXTJOIN(", ",TRUE,IF(('Companies'!$A$4:$A$63&lt;&gt;"")*(COUNTIFS('Holdings'!$A$4:$A$2503,B629,'Holdings'!$J$4:$J$2503,'Companies'!$A$4:$A$63,'Holdings'!$L$4:$L$2503,"Yes",'Holdings'!$C$4:$C$2503,"&gt;0")&gt;0),'Companies'!$A$4:$A$63,"")))</f>
        <v/>
      </c>
      <c r="G629" s="30">
        <f>IF(A629="","",IF(COUNTIF('People'!$A$4:$A$1003,A629)=0,"Email not on People",IF(COUNTIF('Holders'!$A$4:$A$1003,B629)=0,"Unknown holder ID",IF(COUNTIFS($A$4:$A$1503,A629,$B$4:$B$1503,B629)&gt;1,"Duplicate link",IF(C629="","Missing access","OK")))))</f>
        <v/>
      </c>
    </row>
    <row r="630">
      <c r="A630" s="26" t="n"/>
      <c r="B630" s="26" t="n"/>
      <c r="C630" s="26" t="n"/>
      <c r="D630" s="26" t="n"/>
      <c r="E630" s="30">
        <f>IF(B630="","",IFERROR(INDEX('Holders'!$B$4:$B$1003,MATCH(B630,'Holders'!$A$4:$A$1003,0)),""))</f>
        <v/>
      </c>
      <c r="F630" s="30">
        <f t="array" ref="F630">IF(B630="","",_xlfn.TEXTJOIN(", ",TRUE,IF(('Companies'!$A$4:$A$63&lt;&gt;"")*(COUNTIFS('Holdings'!$A$4:$A$2503,B630,'Holdings'!$J$4:$J$2503,'Companies'!$A$4:$A$63,'Holdings'!$L$4:$L$2503,"Yes",'Holdings'!$C$4:$C$2503,"&gt;0")&gt;0),'Companies'!$A$4:$A$63,"")))</f>
        <v/>
      </c>
      <c r="G630" s="30">
        <f>IF(A630="","",IF(COUNTIF('People'!$A$4:$A$1003,A630)=0,"Email not on People",IF(COUNTIF('Holders'!$A$4:$A$1003,B630)=0,"Unknown holder ID",IF(COUNTIFS($A$4:$A$1503,A630,$B$4:$B$1503,B630)&gt;1,"Duplicate link",IF(C630="","Missing access","OK")))))</f>
        <v/>
      </c>
    </row>
    <row r="631">
      <c r="A631" s="26" t="n"/>
      <c r="B631" s="26" t="n"/>
      <c r="C631" s="26" t="n"/>
      <c r="D631" s="26" t="n"/>
      <c r="E631" s="30">
        <f>IF(B631="","",IFERROR(INDEX('Holders'!$B$4:$B$1003,MATCH(B631,'Holders'!$A$4:$A$1003,0)),""))</f>
        <v/>
      </c>
      <c r="F631" s="30">
        <f t="array" ref="F631">IF(B631="","",_xlfn.TEXTJOIN(", ",TRUE,IF(('Companies'!$A$4:$A$63&lt;&gt;"")*(COUNTIFS('Holdings'!$A$4:$A$2503,B631,'Holdings'!$J$4:$J$2503,'Companies'!$A$4:$A$63,'Holdings'!$L$4:$L$2503,"Yes",'Holdings'!$C$4:$C$2503,"&gt;0")&gt;0),'Companies'!$A$4:$A$63,"")))</f>
        <v/>
      </c>
      <c r="G631" s="30">
        <f>IF(A631="","",IF(COUNTIF('People'!$A$4:$A$1003,A631)=0,"Email not on People",IF(COUNTIF('Holders'!$A$4:$A$1003,B631)=0,"Unknown holder ID",IF(COUNTIFS($A$4:$A$1503,A631,$B$4:$B$1503,B631)&gt;1,"Duplicate link",IF(C631="","Missing access","OK")))))</f>
        <v/>
      </c>
    </row>
    <row r="632">
      <c r="A632" s="26" t="n"/>
      <c r="B632" s="26" t="n"/>
      <c r="C632" s="26" t="n"/>
      <c r="D632" s="26" t="n"/>
      <c r="E632" s="30">
        <f>IF(B632="","",IFERROR(INDEX('Holders'!$B$4:$B$1003,MATCH(B632,'Holders'!$A$4:$A$1003,0)),""))</f>
        <v/>
      </c>
      <c r="F632" s="30">
        <f t="array" ref="F632">IF(B632="","",_xlfn.TEXTJOIN(", ",TRUE,IF(('Companies'!$A$4:$A$63&lt;&gt;"")*(COUNTIFS('Holdings'!$A$4:$A$2503,B632,'Holdings'!$J$4:$J$2503,'Companies'!$A$4:$A$63,'Holdings'!$L$4:$L$2503,"Yes",'Holdings'!$C$4:$C$2503,"&gt;0")&gt;0),'Companies'!$A$4:$A$63,"")))</f>
        <v/>
      </c>
      <c r="G632" s="30">
        <f>IF(A632="","",IF(COUNTIF('People'!$A$4:$A$1003,A632)=0,"Email not on People",IF(COUNTIF('Holders'!$A$4:$A$1003,B632)=0,"Unknown holder ID",IF(COUNTIFS($A$4:$A$1503,A632,$B$4:$B$1503,B632)&gt;1,"Duplicate link",IF(C632="","Missing access","OK")))))</f>
        <v/>
      </c>
    </row>
    <row r="633">
      <c r="A633" s="26" t="n"/>
      <c r="B633" s="26" t="n"/>
      <c r="C633" s="26" t="n"/>
      <c r="D633" s="26" t="n"/>
      <c r="E633" s="30">
        <f>IF(B633="","",IFERROR(INDEX('Holders'!$B$4:$B$1003,MATCH(B633,'Holders'!$A$4:$A$1003,0)),""))</f>
        <v/>
      </c>
      <c r="F633" s="30">
        <f t="array" ref="F633">IF(B633="","",_xlfn.TEXTJOIN(", ",TRUE,IF(('Companies'!$A$4:$A$63&lt;&gt;"")*(COUNTIFS('Holdings'!$A$4:$A$2503,B633,'Holdings'!$J$4:$J$2503,'Companies'!$A$4:$A$63,'Holdings'!$L$4:$L$2503,"Yes",'Holdings'!$C$4:$C$2503,"&gt;0")&gt;0),'Companies'!$A$4:$A$63,"")))</f>
        <v/>
      </c>
      <c r="G633" s="30">
        <f>IF(A633="","",IF(COUNTIF('People'!$A$4:$A$1003,A633)=0,"Email not on People",IF(COUNTIF('Holders'!$A$4:$A$1003,B633)=0,"Unknown holder ID",IF(COUNTIFS($A$4:$A$1503,A633,$B$4:$B$1503,B633)&gt;1,"Duplicate link",IF(C633="","Missing access","OK")))))</f>
        <v/>
      </c>
    </row>
    <row r="634">
      <c r="A634" s="26" t="n"/>
      <c r="B634" s="26" t="n"/>
      <c r="C634" s="26" t="n"/>
      <c r="D634" s="26" t="n"/>
      <c r="E634" s="30">
        <f>IF(B634="","",IFERROR(INDEX('Holders'!$B$4:$B$1003,MATCH(B634,'Holders'!$A$4:$A$1003,0)),""))</f>
        <v/>
      </c>
      <c r="F634" s="30">
        <f t="array" ref="F634">IF(B634="","",_xlfn.TEXTJOIN(", ",TRUE,IF(('Companies'!$A$4:$A$63&lt;&gt;"")*(COUNTIFS('Holdings'!$A$4:$A$2503,B634,'Holdings'!$J$4:$J$2503,'Companies'!$A$4:$A$63,'Holdings'!$L$4:$L$2503,"Yes",'Holdings'!$C$4:$C$2503,"&gt;0")&gt;0),'Companies'!$A$4:$A$63,"")))</f>
        <v/>
      </c>
      <c r="G634" s="30">
        <f>IF(A634="","",IF(COUNTIF('People'!$A$4:$A$1003,A634)=0,"Email not on People",IF(COUNTIF('Holders'!$A$4:$A$1003,B634)=0,"Unknown holder ID",IF(COUNTIFS($A$4:$A$1503,A634,$B$4:$B$1503,B634)&gt;1,"Duplicate link",IF(C634="","Missing access","OK")))))</f>
        <v/>
      </c>
    </row>
    <row r="635">
      <c r="A635" s="26" t="n"/>
      <c r="B635" s="26" t="n"/>
      <c r="C635" s="26" t="n"/>
      <c r="D635" s="26" t="n"/>
      <c r="E635" s="30">
        <f>IF(B635="","",IFERROR(INDEX('Holders'!$B$4:$B$1003,MATCH(B635,'Holders'!$A$4:$A$1003,0)),""))</f>
        <v/>
      </c>
      <c r="F635" s="30">
        <f t="array" ref="F635">IF(B635="","",_xlfn.TEXTJOIN(", ",TRUE,IF(('Companies'!$A$4:$A$63&lt;&gt;"")*(COUNTIFS('Holdings'!$A$4:$A$2503,B635,'Holdings'!$J$4:$J$2503,'Companies'!$A$4:$A$63,'Holdings'!$L$4:$L$2503,"Yes",'Holdings'!$C$4:$C$2503,"&gt;0")&gt;0),'Companies'!$A$4:$A$63,"")))</f>
        <v/>
      </c>
      <c r="G635" s="30">
        <f>IF(A635="","",IF(COUNTIF('People'!$A$4:$A$1003,A635)=0,"Email not on People",IF(COUNTIF('Holders'!$A$4:$A$1003,B635)=0,"Unknown holder ID",IF(COUNTIFS($A$4:$A$1503,A635,$B$4:$B$1503,B635)&gt;1,"Duplicate link",IF(C635="","Missing access","OK")))))</f>
        <v/>
      </c>
    </row>
    <row r="636">
      <c r="A636" s="26" t="n"/>
      <c r="B636" s="26" t="n"/>
      <c r="C636" s="26" t="n"/>
      <c r="D636" s="26" t="n"/>
      <c r="E636" s="30">
        <f>IF(B636="","",IFERROR(INDEX('Holders'!$B$4:$B$1003,MATCH(B636,'Holders'!$A$4:$A$1003,0)),""))</f>
        <v/>
      </c>
      <c r="F636" s="30">
        <f t="array" ref="F636">IF(B636="","",_xlfn.TEXTJOIN(", ",TRUE,IF(('Companies'!$A$4:$A$63&lt;&gt;"")*(COUNTIFS('Holdings'!$A$4:$A$2503,B636,'Holdings'!$J$4:$J$2503,'Companies'!$A$4:$A$63,'Holdings'!$L$4:$L$2503,"Yes",'Holdings'!$C$4:$C$2503,"&gt;0")&gt;0),'Companies'!$A$4:$A$63,"")))</f>
        <v/>
      </c>
      <c r="G636" s="30">
        <f>IF(A636="","",IF(COUNTIF('People'!$A$4:$A$1003,A636)=0,"Email not on People",IF(COUNTIF('Holders'!$A$4:$A$1003,B636)=0,"Unknown holder ID",IF(COUNTIFS($A$4:$A$1503,A636,$B$4:$B$1503,B636)&gt;1,"Duplicate link",IF(C636="","Missing access","OK")))))</f>
        <v/>
      </c>
    </row>
    <row r="637">
      <c r="A637" s="26" t="n"/>
      <c r="B637" s="26" t="n"/>
      <c r="C637" s="26" t="n"/>
      <c r="D637" s="26" t="n"/>
      <c r="E637" s="30">
        <f>IF(B637="","",IFERROR(INDEX('Holders'!$B$4:$B$1003,MATCH(B637,'Holders'!$A$4:$A$1003,0)),""))</f>
        <v/>
      </c>
      <c r="F637" s="30">
        <f t="array" ref="F637">IF(B637="","",_xlfn.TEXTJOIN(", ",TRUE,IF(('Companies'!$A$4:$A$63&lt;&gt;"")*(COUNTIFS('Holdings'!$A$4:$A$2503,B637,'Holdings'!$J$4:$J$2503,'Companies'!$A$4:$A$63,'Holdings'!$L$4:$L$2503,"Yes",'Holdings'!$C$4:$C$2503,"&gt;0")&gt;0),'Companies'!$A$4:$A$63,"")))</f>
        <v/>
      </c>
      <c r="G637" s="30">
        <f>IF(A637="","",IF(COUNTIF('People'!$A$4:$A$1003,A637)=0,"Email not on People",IF(COUNTIF('Holders'!$A$4:$A$1003,B637)=0,"Unknown holder ID",IF(COUNTIFS($A$4:$A$1503,A637,$B$4:$B$1503,B637)&gt;1,"Duplicate link",IF(C637="","Missing access","OK")))))</f>
        <v/>
      </c>
    </row>
    <row r="638">
      <c r="A638" s="26" t="n"/>
      <c r="B638" s="26" t="n"/>
      <c r="C638" s="26" t="n"/>
      <c r="D638" s="26" t="n"/>
      <c r="E638" s="30">
        <f>IF(B638="","",IFERROR(INDEX('Holders'!$B$4:$B$1003,MATCH(B638,'Holders'!$A$4:$A$1003,0)),""))</f>
        <v/>
      </c>
      <c r="F638" s="30">
        <f t="array" ref="F638">IF(B638="","",_xlfn.TEXTJOIN(", ",TRUE,IF(('Companies'!$A$4:$A$63&lt;&gt;"")*(COUNTIFS('Holdings'!$A$4:$A$2503,B638,'Holdings'!$J$4:$J$2503,'Companies'!$A$4:$A$63,'Holdings'!$L$4:$L$2503,"Yes",'Holdings'!$C$4:$C$2503,"&gt;0")&gt;0),'Companies'!$A$4:$A$63,"")))</f>
        <v/>
      </c>
      <c r="G638" s="30">
        <f>IF(A638="","",IF(COUNTIF('People'!$A$4:$A$1003,A638)=0,"Email not on People",IF(COUNTIF('Holders'!$A$4:$A$1003,B638)=0,"Unknown holder ID",IF(COUNTIFS($A$4:$A$1503,A638,$B$4:$B$1503,B638)&gt;1,"Duplicate link",IF(C638="","Missing access","OK")))))</f>
        <v/>
      </c>
    </row>
    <row r="639">
      <c r="A639" s="26" t="n"/>
      <c r="B639" s="26" t="n"/>
      <c r="C639" s="26" t="n"/>
      <c r="D639" s="26" t="n"/>
      <c r="E639" s="30">
        <f>IF(B639="","",IFERROR(INDEX('Holders'!$B$4:$B$1003,MATCH(B639,'Holders'!$A$4:$A$1003,0)),""))</f>
        <v/>
      </c>
      <c r="F639" s="30">
        <f t="array" ref="F639">IF(B639="","",_xlfn.TEXTJOIN(", ",TRUE,IF(('Companies'!$A$4:$A$63&lt;&gt;"")*(COUNTIFS('Holdings'!$A$4:$A$2503,B639,'Holdings'!$J$4:$J$2503,'Companies'!$A$4:$A$63,'Holdings'!$L$4:$L$2503,"Yes",'Holdings'!$C$4:$C$2503,"&gt;0")&gt;0),'Companies'!$A$4:$A$63,"")))</f>
        <v/>
      </c>
      <c r="G639" s="30">
        <f>IF(A639="","",IF(COUNTIF('People'!$A$4:$A$1003,A639)=0,"Email not on People",IF(COUNTIF('Holders'!$A$4:$A$1003,B639)=0,"Unknown holder ID",IF(COUNTIFS($A$4:$A$1503,A639,$B$4:$B$1503,B639)&gt;1,"Duplicate link",IF(C639="","Missing access","OK")))))</f>
        <v/>
      </c>
    </row>
    <row r="640">
      <c r="A640" s="26" t="n"/>
      <c r="B640" s="26" t="n"/>
      <c r="C640" s="26" t="n"/>
      <c r="D640" s="26" t="n"/>
      <c r="E640" s="30">
        <f>IF(B640="","",IFERROR(INDEX('Holders'!$B$4:$B$1003,MATCH(B640,'Holders'!$A$4:$A$1003,0)),""))</f>
        <v/>
      </c>
      <c r="F640" s="30">
        <f t="array" ref="F640">IF(B640="","",_xlfn.TEXTJOIN(", ",TRUE,IF(('Companies'!$A$4:$A$63&lt;&gt;"")*(COUNTIFS('Holdings'!$A$4:$A$2503,B640,'Holdings'!$J$4:$J$2503,'Companies'!$A$4:$A$63,'Holdings'!$L$4:$L$2503,"Yes",'Holdings'!$C$4:$C$2503,"&gt;0")&gt;0),'Companies'!$A$4:$A$63,"")))</f>
        <v/>
      </c>
      <c r="G640" s="30">
        <f>IF(A640="","",IF(COUNTIF('People'!$A$4:$A$1003,A640)=0,"Email not on People",IF(COUNTIF('Holders'!$A$4:$A$1003,B640)=0,"Unknown holder ID",IF(COUNTIFS($A$4:$A$1503,A640,$B$4:$B$1503,B640)&gt;1,"Duplicate link",IF(C640="","Missing access","OK")))))</f>
        <v/>
      </c>
    </row>
    <row r="641">
      <c r="A641" s="26" t="n"/>
      <c r="B641" s="26" t="n"/>
      <c r="C641" s="26" t="n"/>
      <c r="D641" s="26" t="n"/>
      <c r="E641" s="30">
        <f>IF(B641="","",IFERROR(INDEX('Holders'!$B$4:$B$1003,MATCH(B641,'Holders'!$A$4:$A$1003,0)),""))</f>
        <v/>
      </c>
      <c r="F641" s="30">
        <f t="array" ref="F641">IF(B641="","",_xlfn.TEXTJOIN(", ",TRUE,IF(('Companies'!$A$4:$A$63&lt;&gt;"")*(COUNTIFS('Holdings'!$A$4:$A$2503,B641,'Holdings'!$J$4:$J$2503,'Companies'!$A$4:$A$63,'Holdings'!$L$4:$L$2503,"Yes",'Holdings'!$C$4:$C$2503,"&gt;0")&gt;0),'Companies'!$A$4:$A$63,"")))</f>
        <v/>
      </c>
      <c r="G641" s="30">
        <f>IF(A641="","",IF(COUNTIF('People'!$A$4:$A$1003,A641)=0,"Email not on People",IF(COUNTIF('Holders'!$A$4:$A$1003,B641)=0,"Unknown holder ID",IF(COUNTIFS($A$4:$A$1503,A641,$B$4:$B$1503,B641)&gt;1,"Duplicate link",IF(C641="","Missing access","OK")))))</f>
        <v/>
      </c>
    </row>
    <row r="642">
      <c r="A642" s="26" t="n"/>
      <c r="B642" s="26" t="n"/>
      <c r="C642" s="26" t="n"/>
      <c r="D642" s="26" t="n"/>
      <c r="E642" s="30">
        <f>IF(B642="","",IFERROR(INDEX('Holders'!$B$4:$B$1003,MATCH(B642,'Holders'!$A$4:$A$1003,0)),""))</f>
        <v/>
      </c>
      <c r="F642" s="30">
        <f t="array" ref="F642">IF(B642="","",_xlfn.TEXTJOIN(", ",TRUE,IF(('Companies'!$A$4:$A$63&lt;&gt;"")*(COUNTIFS('Holdings'!$A$4:$A$2503,B642,'Holdings'!$J$4:$J$2503,'Companies'!$A$4:$A$63,'Holdings'!$L$4:$L$2503,"Yes",'Holdings'!$C$4:$C$2503,"&gt;0")&gt;0),'Companies'!$A$4:$A$63,"")))</f>
        <v/>
      </c>
      <c r="G642" s="30">
        <f>IF(A642="","",IF(COUNTIF('People'!$A$4:$A$1003,A642)=0,"Email not on People",IF(COUNTIF('Holders'!$A$4:$A$1003,B642)=0,"Unknown holder ID",IF(COUNTIFS($A$4:$A$1503,A642,$B$4:$B$1503,B642)&gt;1,"Duplicate link",IF(C642="","Missing access","OK")))))</f>
        <v/>
      </c>
    </row>
    <row r="643">
      <c r="A643" s="26" t="n"/>
      <c r="B643" s="26" t="n"/>
      <c r="C643" s="26" t="n"/>
      <c r="D643" s="26" t="n"/>
      <c r="E643" s="30">
        <f>IF(B643="","",IFERROR(INDEX('Holders'!$B$4:$B$1003,MATCH(B643,'Holders'!$A$4:$A$1003,0)),""))</f>
        <v/>
      </c>
      <c r="F643" s="30">
        <f t="array" ref="F643">IF(B643="","",_xlfn.TEXTJOIN(", ",TRUE,IF(('Companies'!$A$4:$A$63&lt;&gt;"")*(COUNTIFS('Holdings'!$A$4:$A$2503,B643,'Holdings'!$J$4:$J$2503,'Companies'!$A$4:$A$63,'Holdings'!$L$4:$L$2503,"Yes",'Holdings'!$C$4:$C$2503,"&gt;0")&gt;0),'Companies'!$A$4:$A$63,"")))</f>
        <v/>
      </c>
      <c r="G643" s="30">
        <f>IF(A643="","",IF(COUNTIF('People'!$A$4:$A$1003,A643)=0,"Email not on People",IF(COUNTIF('Holders'!$A$4:$A$1003,B643)=0,"Unknown holder ID",IF(COUNTIFS($A$4:$A$1503,A643,$B$4:$B$1503,B643)&gt;1,"Duplicate link",IF(C643="","Missing access","OK")))))</f>
        <v/>
      </c>
    </row>
    <row r="644">
      <c r="A644" s="26" t="n"/>
      <c r="B644" s="26" t="n"/>
      <c r="C644" s="26" t="n"/>
      <c r="D644" s="26" t="n"/>
      <c r="E644" s="30">
        <f>IF(B644="","",IFERROR(INDEX('Holders'!$B$4:$B$1003,MATCH(B644,'Holders'!$A$4:$A$1003,0)),""))</f>
        <v/>
      </c>
      <c r="F644" s="30">
        <f t="array" ref="F644">IF(B644="","",_xlfn.TEXTJOIN(", ",TRUE,IF(('Companies'!$A$4:$A$63&lt;&gt;"")*(COUNTIFS('Holdings'!$A$4:$A$2503,B644,'Holdings'!$J$4:$J$2503,'Companies'!$A$4:$A$63,'Holdings'!$L$4:$L$2503,"Yes",'Holdings'!$C$4:$C$2503,"&gt;0")&gt;0),'Companies'!$A$4:$A$63,"")))</f>
        <v/>
      </c>
      <c r="G644" s="30">
        <f>IF(A644="","",IF(COUNTIF('People'!$A$4:$A$1003,A644)=0,"Email not on People",IF(COUNTIF('Holders'!$A$4:$A$1003,B644)=0,"Unknown holder ID",IF(COUNTIFS($A$4:$A$1503,A644,$B$4:$B$1503,B644)&gt;1,"Duplicate link",IF(C644="","Missing access","OK")))))</f>
        <v/>
      </c>
    </row>
    <row r="645">
      <c r="A645" s="26" t="n"/>
      <c r="B645" s="26" t="n"/>
      <c r="C645" s="26" t="n"/>
      <c r="D645" s="26" t="n"/>
      <c r="E645" s="30">
        <f>IF(B645="","",IFERROR(INDEX('Holders'!$B$4:$B$1003,MATCH(B645,'Holders'!$A$4:$A$1003,0)),""))</f>
        <v/>
      </c>
      <c r="F645" s="30">
        <f t="array" ref="F645">IF(B645="","",_xlfn.TEXTJOIN(", ",TRUE,IF(('Companies'!$A$4:$A$63&lt;&gt;"")*(COUNTIFS('Holdings'!$A$4:$A$2503,B645,'Holdings'!$J$4:$J$2503,'Companies'!$A$4:$A$63,'Holdings'!$L$4:$L$2503,"Yes",'Holdings'!$C$4:$C$2503,"&gt;0")&gt;0),'Companies'!$A$4:$A$63,"")))</f>
        <v/>
      </c>
      <c r="G645" s="30">
        <f>IF(A645="","",IF(COUNTIF('People'!$A$4:$A$1003,A645)=0,"Email not on People",IF(COUNTIF('Holders'!$A$4:$A$1003,B645)=0,"Unknown holder ID",IF(COUNTIFS($A$4:$A$1503,A645,$B$4:$B$1503,B645)&gt;1,"Duplicate link",IF(C645="","Missing access","OK")))))</f>
        <v/>
      </c>
    </row>
    <row r="646">
      <c r="A646" s="26" t="n"/>
      <c r="B646" s="26" t="n"/>
      <c r="C646" s="26" t="n"/>
      <c r="D646" s="26" t="n"/>
      <c r="E646" s="30">
        <f>IF(B646="","",IFERROR(INDEX('Holders'!$B$4:$B$1003,MATCH(B646,'Holders'!$A$4:$A$1003,0)),""))</f>
        <v/>
      </c>
      <c r="F646" s="30">
        <f t="array" ref="F646">IF(B646="","",_xlfn.TEXTJOIN(", ",TRUE,IF(('Companies'!$A$4:$A$63&lt;&gt;"")*(COUNTIFS('Holdings'!$A$4:$A$2503,B646,'Holdings'!$J$4:$J$2503,'Companies'!$A$4:$A$63,'Holdings'!$L$4:$L$2503,"Yes",'Holdings'!$C$4:$C$2503,"&gt;0")&gt;0),'Companies'!$A$4:$A$63,"")))</f>
        <v/>
      </c>
      <c r="G646" s="30">
        <f>IF(A646="","",IF(COUNTIF('People'!$A$4:$A$1003,A646)=0,"Email not on People",IF(COUNTIF('Holders'!$A$4:$A$1003,B646)=0,"Unknown holder ID",IF(COUNTIFS($A$4:$A$1503,A646,$B$4:$B$1503,B646)&gt;1,"Duplicate link",IF(C646="","Missing access","OK")))))</f>
        <v/>
      </c>
    </row>
    <row r="647">
      <c r="A647" s="26" t="n"/>
      <c r="B647" s="26" t="n"/>
      <c r="C647" s="26" t="n"/>
      <c r="D647" s="26" t="n"/>
      <c r="E647" s="30">
        <f>IF(B647="","",IFERROR(INDEX('Holders'!$B$4:$B$1003,MATCH(B647,'Holders'!$A$4:$A$1003,0)),""))</f>
        <v/>
      </c>
      <c r="F647" s="30">
        <f t="array" ref="F647">IF(B647="","",_xlfn.TEXTJOIN(", ",TRUE,IF(('Companies'!$A$4:$A$63&lt;&gt;"")*(COUNTIFS('Holdings'!$A$4:$A$2503,B647,'Holdings'!$J$4:$J$2503,'Companies'!$A$4:$A$63,'Holdings'!$L$4:$L$2503,"Yes",'Holdings'!$C$4:$C$2503,"&gt;0")&gt;0),'Companies'!$A$4:$A$63,"")))</f>
        <v/>
      </c>
      <c r="G647" s="30">
        <f>IF(A647="","",IF(COUNTIF('People'!$A$4:$A$1003,A647)=0,"Email not on People",IF(COUNTIF('Holders'!$A$4:$A$1003,B647)=0,"Unknown holder ID",IF(COUNTIFS($A$4:$A$1503,A647,$B$4:$B$1503,B647)&gt;1,"Duplicate link",IF(C647="","Missing access","OK")))))</f>
        <v/>
      </c>
    </row>
    <row r="648">
      <c r="A648" s="26" t="n"/>
      <c r="B648" s="26" t="n"/>
      <c r="C648" s="26" t="n"/>
      <c r="D648" s="26" t="n"/>
      <c r="E648" s="30">
        <f>IF(B648="","",IFERROR(INDEX('Holders'!$B$4:$B$1003,MATCH(B648,'Holders'!$A$4:$A$1003,0)),""))</f>
        <v/>
      </c>
      <c r="F648" s="30">
        <f t="array" ref="F648">IF(B648="","",_xlfn.TEXTJOIN(", ",TRUE,IF(('Companies'!$A$4:$A$63&lt;&gt;"")*(COUNTIFS('Holdings'!$A$4:$A$2503,B648,'Holdings'!$J$4:$J$2503,'Companies'!$A$4:$A$63,'Holdings'!$L$4:$L$2503,"Yes",'Holdings'!$C$4:$C$2503,"&gt;0")&gt;0),'Companies'!$A$4:$A$63,"")))</f>
        <v/>
      </c>
      <c r="G648" s="30">
        <f>IF(A648="","",IF(COUNTIF('People'!$A$4:$A$1003,A648)=0,"Email not on People",IF(COUNTIF('Holders'!$A$4:$A$1003,B648)=0,"Unknown holder ID",IF(COUNTIFS($A$4:$A$1503,A648,$B$4:$B$1503,B648)&gt;1,"Duplicate link",IF(C648="","Missing access","OK")))))</f>
        <v/>
      </c>
    </row>
    <row r="649">
      <c r="A649" s="26" t="n"/>
      <c r="B649" s="26" t="n"/>
      <c r="C649" s="26" t="n"/>
      <c r="D649" s="26" t="n"/>
      <c r="E649" s="30">
        <f>IF(B649="","",IFERROR(INDEX('Holders'!$B$4:$B$1003,MATCH(B649,'Holders'!$A$4:$A$1003,0)),""))</f>
        <v/>
      </c>
      <c r="F649" s="30">
        <f t="array" ref="F649">IF(B649="","",_xlfn.TEXTJOIN(", ",TRUE,IF(('Companies'!$A$4:$A$63&lt;&gt;"")*(COUNTIFS('Holdings'!$A$4:$A$2503,B649,'Holdings'!$J$4:$J$2503,'Companies'!$A$4:$A$63,'Holdings'!$L$4:$L$2503,"Yes",'Holdings'!$C$4:$C$2503,"&gt;0")&gt;0),'Companies'!$A$4:$A$63,"")))</f>
        <v/>
      </c>
      <c r="G649" s="30">
        <f>IF(A649="","",IF(COUNTIF('People'!$A$4:$A$1003,A649)=0,"Email not on People",IF(COUNTIF('Holders'!$A$4:$A$1003,B649)=0,"Unknown holder ID",IF(COUNTIFS($A$4:$A$1503,A649,$B$4:$B$1503,B649)&gt;1,"Duplicate link",IF(C649="","Missing access","OK")))))</f>
        <v/>
      </c>
    </row>
    <row r="650">
      <c r="A650" s="26" t="n"/>
      <c r="B650" s="26" t="n"/>
      <c r="C650" s="26" t="n"/>
      <c r="D650" s="26" t="n"/>
      <c r="E650" s="30">
        <f>IF(B650="","",IFERROR(INDEX('Holders'!$B$4:$B$1003,MATCH(B650,'Holders'!$A$4:$A$1003,0)),""))</f>
        <v/>
      </c>
      <c r="F650" s="30">
        <f t="array" ref="F650">IF(B650="","",_xlfn.TEXTJOIN(", ",TRUE,IF(('Companies'!$A$4:$A$63&lt;&gt;"")*(COUNTIFS('Holdings'!$A$4:$A$2503,B650,'Holdings'!$J$4:$J$2503,'Companies'!$A$4:$A$63,'Holdings'!$L$4:$L$2503,"Yes",'Holdings'!$C$4:$C$2503,"&gt;0")&gt;0),'Companies'!$A$4:$A$63,"")))</f>
        <v/>
      </c>
      <c r="G650" s="30">
        <f>IF(A650="","",IF(COUNTIF('People'!$A$4:$A$1003,A650)=0,"Email not on People",IF(COUNTIF('Holders'!$A$4:$A$1003,B650)=0,"Unknown holder ID",IF(COUNTIFS($A$4:$A$1503,A650,$B$4:$B$1503,B650)&gt;1,"Duplicate link",IF(C650="","Missing access","OK")))))</f>
        <v/>
      </c>
    </row>
    <row r="651">
      <c r="A651" s="26" t="n"/>
      <c r="B651" s="26" t="n"/>
      <c r="C651" s="26" t="n"/>
      <c r="D651" s="26" t="n"/>
      <c r="E651" s="30">
        <f>IF(B651="","",IFERROR(INDEX('Holders'!$B$4:$B$1003,MATCH(B651,'Holders'!$A$4:$A$1003,0)),""))</f>
        <v/>
      </c>
      <c r="F651" s="30">
        <f t="array" ref="F651">IF(B651="","",_xlfn.TEXTJOIN(", ",TRUE,IF(('Companies'!$A$4:$A$63&lt;&gt;"")*(COUNTIFS('Holdings'!$A$4:$A$2503,B651,'Holdings'!$J$4:$J$2503,'Companies'!$A$4:$A$63,'Holdings'!$L$4:$L$2503,"Yes",'Holdings'!$C$4:$C$2503,"&gt;0")&gt;0),'Companies'!$A$4:$A$63,"")))</f>
        <v/>
      </c>
      <c r="G651" s="30">
        <f>IF(A651="","",IF(COUNTIF('People'!$A$4:$A$1003,A651)=0,"Email not on People",IF(COUNTIF('Holders'!$A$4:$A$1003,B651)=0,"Unknown holder ID",IF(COUNTIFS($A$4:$A$1503,A651,$B$4:$B$1503,B651)&gt;1,"Duplicate link",IF(C651="","Missing access","OK")))))</f>
        <v/>
      </c>
    </row>
    <row r="652">
      <c r="A652" s="26" t="n"/>
      <c r="B652" s="26" t="n"/>
      <c r="C652" s="26" t="n"/>
      <c r="D652" s="26" t="n"/>
      <c r="E652" s="30">
        <f>IF(B652="","",IFERROR(INDEX('Holders'!$B$4:$B$1003,MATCH(B652,'Holders'!$A$4:$A$1003,0)),""))</f>
        <v/>
      </c>
      <c r="F652" s="30">
        <f t="array" ref="F652">IF(B652="","",_xlfn.TEXTJOIN(", ",TRUE,IF(('Companies'!$A$4:$A$63&lt;&gt;"")*(COUNTIFS('Holdings'!$A$4:$A$2503,B652,'Holdings'!$J$4:$J$2503,'Companies'!$A$4:$A$63,'Holdings'!$L$4:$L$2503,"Yes",'Holdings'!$C$4:$C$2503,"&gt;0")&gt;0),'Companies'!$A$4:$A$63,"")))</f>
        <v/>
      </c>
      <c r="G652" s="30">
        <f>IF(A652="","",IF(COUNTIF('People'!$A$4:$A$1003,A652)=0,"Email not on People",IF(COUNTIF('Holders'!$A$4:$A$1003,B652)=0,"Unknown holder ID",IF(COUNTIFS($A$4:$A$1503,A652,$B$4:$B$1503,B652)&gt;1,"Duplicate link",IF(C652="","Missing access","OK")))))</f>
        <v/>
      </c>
    </row>
    <row r="653">
      <c r="A653" s="26" t="n"/>
      <c r="B653" s="26" t="n"/>
      <c r="C653" s="26" t="n"/>
      <c r="D653" s="26" t="n"/>
      <c r="E653" s="30">
        <f>IF(B653="","",IFERROR(INDEX('Holders'!$B$4:$B$1003,MATCH(B653,'Holders'!$A$4:$A$1003,0)),""))</f>
        <v/>
      </c>
      <c r="F653" s="30">
        <f t="array" ref="F653">IF(B653="","",_xlfn.TEXTJOIN(", ",TRUE,IF(('Companies'!$A$4:$A$63&lt;&gt;"")*(COUNTIFS('Holdings'!$A$4:$A$2503,B653,'Holdings'!$J$4:$J$2503,'Companies'!$A$4:$A$63,'Holdings'!$L$4:$L$2503,"Yes",'Holdings'!$C$4:$C$2503,"&gt;0")&gt;0),'Companies'!$A$4:$A$63,"")))</f>
        <v/>
      </c>
      <c r="G653" s="30">
        <f>IF(A653="","",IF(COUNTIF('People'!$A$4:$A$1003,A653)=0,"Email not on People",IF(COUNTIF('Holders'!$A$4:$A$1003,B653)=0,"Unknown holder ID",IF(COUNTIFS($A$4:$A$1503,A653,$B$4:$B$1503,B653)&gt;1,"Duplicate link",IF(C653="","Missing access","OK")))))</f>
        <v/>
      </c>
    </row>
    <row r="654">
      <c r="A654" s="26" t="n"/>
      <c r="B654" s="26" t="n"/>
      <c r="C654" s="26" t="n"/>
      <c r="D654" s="26" t="n"/>
      <c r="E654" s="30">
        <f>IF(B654="","",IFERROR(INDEX('Holders'!$B$4:$B$1003,MATCH(B654,'Holders'!$A$4:$A$1003,0)),""))</f>
        <v/>
      </c>
      <c r="F654" s="30">
        <f t="array" ref="F654">IF(B654="","",_xlfn.TEXTJOIN(", ",TRUE,IF(('Companies'!$A$4:$A$63&lt;&gt;"")*(COUNTIFS('Holdings'!$A$4:$A$2503,B654,'Holdings'!$J$4:$J$2503,'Companies'!$A$4:$A$63,'Holdings'!$L$4:$L$2503,"Yes",'Holdings'!$C$4:$C$2503,"&gt;0")&gt;0),'Companies'!$A$4:$A$63,"")))</f>
        <v/>
      </c>
      <c r="G654" s="30">
        <f>IF(A654="","",IF(COUNTIF('People'!$A$4:$A$1003,A654)=0,"Email not on People",IF(COUNTIF('Holders'!$A$4:$A$1003,B654)=0,"Unknown holder ID",IF(COUNTIFS($A$4:$A$1503,A654,$B$4:$B$1503,B654)&gt;1,"Duplicate link",IF(C654="","Missing access","OK")))))</f>
        <v/>
      </c>
    </row>
    <row r="655">
      <c r="A655" s="26" t="n"/>
      <c r="B655" s="26" t="n"/>
      <c r="C655" s="26" t="n"/>
      <c r="D655" s="26" t="n"/>
      <c r="E655" s="30">
        <f>IF(B655="","",IFERROR(INDEX('Holders'!$B$4:$B$1003,MATCH(B655,'Holders'!$A$4:$A$1003,0)),""))</f>
        <v/>
      </c>
      <c r="F655" s="30">
        <f t="array" ref="F655">IF(B655="","",_xlfn.TEXTJOIN(", ",TRUE,IF(('Companies'!$A$4:$A$63&lt;&gt;"")*(COUNTIFS('Holdings'!$A$4:$A$2503,B655,'Holdings'!$J$4:$J$2503,'Companies'!$A$4:$A$63,'Holdings'!$L$4:$L$2503,"Yes",'Holdings'!$C$4:$C$2503,"&gt;0")&gt;0),'Companies'!$A$4:$A$63,"")))</f>
        <v/>
      </c>
      <c r="G655" s="30">
        <f>IF(A655="","",IF(COUNTIF('People'!$A$4:$A$1003,A655)=0,"Email not on People",IF(COUNTIF('Holders'!$A$4:$A$1003,B655)=0,"Unknown holder ID",IF(COUNTIFS($A$4:$A$1503,A655,$B$4:$B$1503,B655)&gt;1,"Duplicate link",IF(C655="","Missing access","OK")))))</f>
        <v/>
      </c>
    </row>
    <row r="656">
      <c r="A656" s="26" t="n"/>
      <c r="B656" s="26" t="n"/>
      <c r="C656" s="26" t="n"/>
      <c r="D656" s="26" t="n"/>
      <c r="E656" s="30">
        <f>IF(B656="","",IFERROR(INDEX('Holders'!$B$4:$B$1003,MATCH(B656,'Holders'!$A$4:$A$1003,0)),""))</f>
        <v/>
      </c>
      <c r="F656" s="30">
        <f t="array" ref="F656">IF(B656="","",_xlfn.TEXTJOIN(", ",TRUE,IF(('Companies'!$A$4:$A$63&lt;&gt;"")*(COUNTIFS('Holdings'!$A$4:$A$2503,B656,'Holdings'!$J$4:$J$2503,'Companies'!$A$4:$A$63,'Holdings'!$L$4:$L$2503,"Yes",'Holdings'!$C$4:$C$2503,"&gt;0")&gt;0),'Companies'!$A$4:$A$63,"")))</f>
        <v/>
      </c>
      <c r="G656" s="30">
        <f>IF(A656="","",IF(COUNTIF('People'!$A$4:$A$1003,A656)=0,"Email not on People",IF(COUNTIF('Holders'!$A$4:$A$1003,B656)=0,"Unknown holder ID",IF(COUNTIFS($A$4:$A$1503,A656,$B$4:$B$1503,B656)&gt;1,"Duplicate link",IF(C656="","Missing access","OK")))))</f>
        <v/>
      </c>
    </row>
    <row r="657">
      <c r="A657" s="26" t="n"/>
      <c r="B657" s="26" t="n"/>
      <c r="C657" s="26" t="n"/>
      <c r="D657" s="26" t="n"/>
      <c r="E657" s="30">
        <f>IF(B657="","",IFERROR(INDEX('Holders'!$B$4:$B$1003,MATCH(B657,'Holders'!$A$4:$A$1003,0)),""))</f>
        <v/>
      </c>
      <c r="F657" s="30">
        <f t="array" ref="F657">IF(B657="","",_xlfn.TEXTJOIN(", ",TRUE,IF(('Companies'!$A$4:$A$63&lt;&gt;"")*(COUNTIFS('Holdings'!$A$4:$A$2503,B657,'Holdings'!$J$4:$J$2503,'Companies'!$A$4:$A$63,'Holdings'!$L$4:$L$2503,"Yes",'Holdings'!$C$4:$C$2503,"&gt;0")&gt;0),'Companies'!$A$4:$A$63,"")))</f>
        <v/>
      </c>
      <c r="G657" s="30">
        <f>IF(A657="","",IF(COUNTIF('People'!$A$4:$A$1003,A657)=0,"Email not on People",IF(COUNTIF('Holders'!$A$4:$A$1003,B657)=0,"Unknown holder ID",IF(COUNTIFS($A$4:$A$1503,A657,$B$4:$B$1503,B657)&gt;1,"Duplicate link",IF(C657="","Missing access","OK")))))</f>
        <v/>
      </c>
    </row>
    <row r="658">
      <c r="A658" s="26" t="n"/>
      <c r="B658" s="26" t="n"/>
      <c r="C658" s="26" t="n"/>
      <c r="D658" s="26" t="n"/>
      <c r="E658" s="30">
        <f>IF(B658="","",IFERROR(INDEX('Holders'!$B$4:$B$1003,MATCH(B658,'Holders'!$A$4:$A$1003,0)),""))</f>
        <v/>
      </c>
      <c r="F658" s="30">
        <f t="array" ref="F658">IF(B658="","",_xlfn.TEXTJOIN(", ",TRUE,IF(('Companies'!$A$4:$A$63&lt;&gt;"")*(COUNTIFS('Holdings'!$A$4:$A$2503,B658,'Holdings'!$J$4:$J$2503,'Companies'!$A$4:$A$63,'Holdings'!$L$4:$L$2503,"Yes",'Holdings'!$C$4:$C$2503,"&gt;0")&gt;0),'Companies'!$A$4:$A$63,"")))</f>
        <v/>
      </c>
      <c r="G658" s="30">
        <f>IF(A658="","",IF(COUNTIF('People'!$A$4:$A$1003,A658)=0,"Email not on People",IF(COUNTIF('Holders'!$A$4:$A$1003,B658)=0,"Unknown holder ID",IF(COUNTIFS($A$4:$A$1503,A658,$B$4:$B$1503,B658)&gt;1,"Duplicate link",IF(C658="","Missing access","OK")))))</f>
        <v/>
      </c>
    </row>
    <row r="659">
      <c r="A659" s="26" t="n"/>
      <c r="B659" s="26" t="n"/>
      <c r="C659" s="26" t="n"/>
      <c r="D659" s="26" t="n"/>
      <c r="E659" s="30">
        <f>IF(B659="","",IFERROR(INDEX('Holders'!$B$4:$B$1003,MATCH(B659,'Holders'!$A$4:$A$1003,0)),""))</f>
        <v/>
      </c>
      <c r="F659" s="30">
        <f t="array" ref="F659">IF(B659="","",_xlfn.TEXTJOIN(", ",TRUE,IF(('Companies'!$A$4:$A$63&lt;&gt;"")*(COUNTIFS('Holdings'!$A$4:$A$2503,B659,'Holdings'!$J$4:$J$2503,'Companies'!$A$4:$A$63,'Holdings'!$L$4:$L$2503,"Yes",'Holdings'!$C$4:$C$2503,"&gt;0")&gt;0),'Companies'!$A$4:$A$63,"")))</f>
        <v/>
      </c>
      <c r="G659" s="30">
        <f>IF(A659="","",IF(COUNTIF('People'!$A$4:$A$1003,A659)=0,"Email not on People",IF(COUNTIF('Holders'!$A$4:$A$1003,B659)=0,"Unknown holder ID",IF(COUNTIFS($A$4:$A$1503,A659,$B$4:$B$1503,B659)&gt;1,"Duplicate link",IF(C659="","Missing access","OK")))))</f>
        <v/>
      </c>
    </row>
    <row r="660">
      <c r="A660" s="26" t="n"/>
      <c r="B660" s="26" t="n"/>
      <c r="C660" s="26" t="n"/>
      <c r="D660" s="26" t="n"/>
      <c r="E660" s="30">
        <f>IF(B660="","",IFERROR(INDEX('Holders'!$B$4:$B$1003,MATCH(B660,'Holders'!$A$4:$A$1003,0)),""))</f>
        <v/>
      </c>
      <c r="F660" s="30">
        <f t="array" ref="F660">IF(B660="","",_xlfn.TEXTJOIN(", ",TRUE,IF(('Companies'!$A$4:$A$63&lt;&gt;"")*(COUNTIFS('Holdings'!$A$4:$A$2503,B660,'Holdings'!$J$4:$J$2503,'Companies'!$A$4:$A$63,'Holdings'!$L$4:$L$2503,"Yes",'Holdings'!$C$4:$C$2503,"&gt;0")&gt;0),'Companies'!$A$4:$A$63,"")))</f>
        <v/>
      </c>
      <c r="G660" s="30">
        <f>IF(A660="","",IF(COUNTIF('People'!$A$4:$A$1003,A660)=0,"Email not on People",IF(COUNTIF('Holders'!$A$4:$A$1003,B660)=0,"Unknown holder ID",IF(COUNTIFS($A$4:$A$1503,A660,$B$4:$B$1503,B660)&gt;1,"Duplicate link",IF(C660="","Missing access","OK")))))</f>
        <v/>
      </c>
    </row>
    <row r="661">
      <c r="A661" s="26" t="n"/>
      <c r="B661" s="26" t="n"/>
      <c r="C661" s="26" t="n"/>
      <c r="D661" s="26" t="n"/>
      <c r="E661" s="30">
        <f>IF(B661="","",IFERROR(INDEX('Holders'!$B$4:$B$1003,MATCH(B661,'Holders'!$A$4:$A$1003,0)),""))</f>
        <v/>
      </c>
      <c r="F661" s="30">
        <f t="array" ref="F661">IF(B661="","",_xlfn.TEXTJOIN(", ",TRUE,IF(('Companies'!$A$4:$A$63&lt;&gt;"")*(COUNTIFS('Holdings'!$A$4:$A$2503,B661,'Holdings'!$J$4:$J$2503,'Companies'!$A$4:$A$63,'Holdings'!$L$4:$L$2503,"Yes",'Holdings'!$C$4:$C$2503,"&gt;0")&gt;0),'Companies'!$A$4:$A$63,"")))</f>
        <v/>
      </c>
      <c r="G661" s="30">
        <f>IF(A661="","",IF(COUNTIF('People'!$A$4:$A$1003,A661)=0,"Email not on People",IF(COUNTIF('Holders'!$A$4:$A$1003,B661)=0,"Unknown holder ID",IF(COUNTIFS($A$4:$A$1503,A661,$B$4:$B$1503,B661)&gt;1,"Duplicate link",IF(C661="","Missing access","OK")))))</f>
        <v/>
      </c>
    </row>
    <row r="662">
      <c r="A662" s="26" t="n"/>
      <c r="B662" s="26" t="n"/>
      <c r="C662" s="26" t="n"/>
      <c r="D662" s="26" t="n"/>
      <c r="E662" s="30">
        <f>IF(B662="","",IFERROR(INDEX('Holders'!$B$4:$B$1003,MATCH(B662,'Holders'!$A$4:$A$1003,0)),""))</f>
        <v/>
      </c>
      <c r="F662" s="30">
        <f t="array" ref="F662">IF(B662="","",_xlfn.TEXTJOIN(", ",TRUE,IF(('Companies'!$A$4:$A$63&lt;&gt;"")*(COUNTIFS('Holdings'!$A$4:$A$2503,B662,'Holdings'!$J$4:$J$2503,'Companies'!$A$4:$A$63,'Holdings'!$L$4:$L$2503,"Yes",'Holdings'!$C$4:$C$2503,"&gt;0")&gt;0),'Companies'!$A$4:$A$63,"")))</f>
        <v/>
      </c>
      <c r="G662" s="30">
        <f>IF(A662="","",IF(COUNTIF('People'!$A$4:$A$1003,A662)=0,"Email not on People",IF(COUNTIF('Holders'!$A$4:$A$1003,B662)=0,"Unknown holder ID",IF(COUNTIFS($A$4:$A$1503,A662,$B$4:$B$1503,B662)&gt;1,"Duplicate link",IF(C662="","Missing access","OK")))))</f>
        <v/>
      </c>
    </row>
    <row r="663">
      <c r="A663" s="26" t="n"/>
      <c r="B663" s="26" t="n"/>
      <c r="C663" s="26" t="n"/>
      <c r="D663" s="26" t="n"/>
      <c r="E663" s="30">
        <f>IF(B663="","",IFERROR(INDEX('Holders'!$B$4:$B$1003,MATCH(B663,'Holders'!$A$4:$A$1003,0)),""))</f>
        <v/>
      </c>
      <c r="F663" s="30">
        <f t="array" ref="F663">IF(B663="","",_xlfn.TEXTJOIN(", ",TRUE,IF(('Companies'!$A$4:$A$63&lt;&gt;"")*(COUNTIFS('Holdings'!$A$4:$A$2503,B663,'Holdings'!$J$4:$J$2503,'Companies'!$A$4:$A$63,'Holdings'!$L$4:$L$2503,"Yes",'Holdings'!$C$4:$C$2503,"&gt;0")&gt;0),'Companies'!$A$4:$A$63,"")))</f>
        <v/>
      </c>
      <c r="G663" s="30">
        <f>IF(A663="","",IF(COUNTIF('People'!$A$4:$A$1003,A663)=0,"Email not on People",IF(COUNTIF('Holders'!$A$4:$A$1003,B663)=0,"Unknown holder ID",IF(COUNTIFS($A$4:$A$1503,A663,$B$4:$B$1503,B663)&gt;1,"Duplicate link",IF(C663="","Missing access","OK")))))</f>
        <v/>
      </c>
    </row>
    <row r="664">
      <c r="A664" s="26" t="n"/>
      <c r="B664" s="26" t="n"/>
      <c r="C664" s="26" t="n"/>
      <c r="D664" s="26" t="n"/>
      <c r="E664" s="30">
        <f>IF(B664="","",IFERROR(INDEX('Holders'!$B$4:$B$1003,MATCH(B664,'Holders'!$A$4:$A$1003,0)),""))</f>
        <v/>
      </c>
      <c r="F664" s="30">
        <f t="array" ref="F664">IF(B664="","",_xlfn.TEXTJOIN(", ",TRUE,IF(('Companies'!$A$4:$A$63&lt;&gt;"")*(COUNTIFS('Holdings'!$A$4:$A$2503,B664,'Holdings'!$J$4:$J$2503,'Companies'!$A$4:$A$63,'Holdings'!$L$4:$L$2503,"Yes",'Holdings'!$C$4:$C$2503,"&gt;0")&gt;0),'Companies'!$A$4:$A$63,"")))</f>
        <v/>
      </c>
      <c r="G664" s="30">
        <f>IF(A664="","",IF(COUNTIF('People'!$A$4:$A$1003,A664)=0,"Email not on People",IF(COUNTIF('Holders'!$A$4:$A$1003,B664)=0,"Unknown holder ID",IF(COUNTIFS($A$4:$A$1503,A664,$B$4:$B$1503,B664)&gt;1,"Duplicate link",IF(C664="","Missing access","OK")))))</f>
        <v/>
      </c>
    </row>
    <row r="665">
      <c r="A665" s="26" t="n"/>
      <c r="B665" s="26" t="n"/>
      <c r="C665" s="26" t="n"/>
      <c r="D665" s="26" t="n"/>
      <c r="E665" s="30">
        <f>IF(B665="","",IFERROR(INDEX('Holders'!$B$4:$B$1003,MATCH(B665,'Holders'!$A$4:$A$1003,0)),""))</f>
        <v/>
      </c>
      <c r="F665" s="30">
        <f t="array" ref="F665">IF(B665="","",_xlfn.TEXTJOIN(", ",TRUE,IF(('Companies'!$A$4:$A$63&lt;&gt;"")*(COUNTIFS('Holdings'!$A$4:$A$2503,B665,'Holdings'!$J$4:$J$2503,'Companies'!$A$4:$A$63,'Holdings'!$L$4:$L$2503,"Yes",'Holdings'!$C$4:$C$2503,"&gt;0")&gt;0),'Companies'!$A$4:$A$63,"")))</f>
        <v/>
      </c>
      <c r="G665" s="30">
        <f>IF(A665="","",IF(COUNTIF('People'!$A$4:$A$1003,A665)=0,"Email not on People",IF(COUNTIF('Holders'!$A$4:$A$1003,B665)=0,"Unknown holder ID",IF(COUNTIFS($A$4:$A$1503,A665,$B$4:$B$1503,B665)&gt;1,"Duplicate link",IF(C665="","Missing access","OK")))))</f>
        <v/>
      </c>
    </row>
    <row r="666">
      <c r="A666" s="26" t="n"/>
      <c r="B666" s="26" t="n"/>
      <c r="C666" s="26" t="n"/>
      <c r="D666" s="26" t="n"/>
      <c r="E666" s="30">
        <f>IF(B666="","",IFERROR(INDEX('Holders'!$B$4:$B$1003,MATCH(B666,'Holders'!$A$4:$A$1003,0)),""))</f>
        <v/>
      </c>
      <c r="F666" s="30">
        <f t="array" ref="F666">IF(B666="","",_xlfn.TEXTJOIN(", ",TRUE,IF(('Companies'!$A$4:$A$63&lt;&gt;"")*(COUNTIFS('Holdings'!$A$4:$A$2503,B666,'Holdings'!$J$4:$J$2503,'Companies'!$A$4:$A$63,'Holdings'!$L$4:$L$2503,"Yes",'Holdings'!$C$4:$C$2503,"&gt;0")&gt;0),'Companies'!$A$4:$A$63,"")))</f>
        <v/>
      </c>
      <c r="G666" s="30">
        <f>IF(A666="","",IF(COUNTIF('People'!$A$4:$A$1003,A666)=0,"Email not on People",IF(COUNTIF('Holders'!$A$4:$A$1003,B666)=0,"Unknown holder ID",IF(COUNTIFS($A$4:$A$1503,A666,$B$4:$B$1503,B666)&gt;1,"Duplicate link",IF(C666="","Missing access","OK")))))</f>
        <v/>
      </c>
    </row>
    <row r="667">
      <c r="A667" s="26" t="n"/>
      <c r="B667" s="26" t="n"/>
      <c r="C667" s="26" t="n"/>
      <c r="D667" s="26" t="n"/>
      <c r="E667" s="30">
        <f>IF(B667="","",IFERROR(INDEX('Holders'!$B$4:$B$1003,MATCH(B667,'Holders'!$A$4:$A$1003,0)),""))</f>
        <v/>
      </c>
      <c r="F667" s="30">
        <f t="array" ref="F667">IF(B667="","",_xlfn.TEXTJOIN(", ",TRUE,IF(('Companies'!$A$4:$A$63&lt;&gt;"")*(COUNTIFS('Holdings'!$A$4:$A$2503,B667,'Holdings'!$J$4:$J$2503,'Companies'!$A$4:$A$63,'Holdings'!$L$4:$L$2503,"Yes",'Holdings'!$C$4:$C$2503,"&gt;0")&gt;0),'Companies'!$A$4:$A$63,"")))</f>
        <v/>
      </c>
      <c r="G667" s="30">
        <f>IF(A667="","",IF(COUNTIF('People'!$A$4:$A$1003,A667)=0,"Email not on People",IF(COUNTIF('Holders'!$A$4:$A$1003,B667)=0,"Unknown holder ID",IF(COUNTIFS($A$4:$A$1503,A667,$B$4:$B$1503,B667)&gt;1,"Duplicate link",IF(C667="","Missing access","OK")))))</f>
        <v/>
      </c>
    </row>
    <row r="668">
      <c r="A668" s="26" t="n"/>
      <c r="B668" s="26" t="n"/>
      <c r="C668" s="26" t="n"/>
      <c r="D668" s="26" t="n"/>
      <c r="E668" s="30">
        <f>IF(B668="","",IFERROR(INDEX('Holders'!$B$4:$B$1003,MATCH(B668,'Holders'!$A$4:$A$1003,0)),""))</f>
        <v/>
      </c>
      <c r="F668" s="30">
        <f t="array" ref="F668">IF(B668="","",_xlfn.TEXTJOIN(", ",TRUE,IF(('Companies'!$A$4:$A$63&lt;&gt;"")*(COUNTIFS('Holdings'!$A$4:$A$2503,B668,'Holdings'!$J$4:$J$2503,'Companies'!$A$4:$A$63,'Holdings'!$L$4:$L$2503,"Yes",'Holdings'!$C$4:$C$2503,"&gt;0")&gt;0),'Companies'!$A$4:$A$63,"")))</f>
        <v/>
      </c>
      <c r="G668" s="30">
        <f>IF(A668="","",IF(COUNTIF('People'!$A$4:$A$1003,A668)=0,"Email not on People",IF(COUNTIF('Holders'!$A$4:$A$1003,B668)=0,"Unknown holder ID",IF(COUNTIFS($A$4:$A$1503,A668,$B$4:$B$1503,B668)&gt;1,"Duplicate link",IF(C668="","Missing access","OK")))))</f>
        <v/>
      </c>
    </row>
    <row r="669">
      <c r="A669" s="26" t="n"/>
      <c r="B669" s="26" t="n"/>
      <c r="C669" s="26" t="n"/>
      <c r="D669" s="26" t="n"/>
      <c r="E669" s="30">
        <f>IF(B669="","",IFERROR(INDEX('Holders'!$B$4:$B$1003,MATCH(B669,'Holders'!$A$4:$A$1003,0)),""))</f>
        <v/>
      </c>
      <c r="F669" s="30">
        <f t="array" ref="F669">IF(B669="","",_xlfn.TEXTJOIN(", ",TRUE,IF(('Companies'!$A$4:$A$63&lt;&gt;"")*(COUNTIFS('Holdings'!$A$4:$A$2503,B669,'Holdings'!$J$4:$J$2503,'Companies'!$A$4:$A$63,'Holdings'!$L$4:$L$2503,"Yes",'Holdings'!$C$4:$C$2503,"&gt;0")&gt;0),'Companies'!$A$4:$A$63,"")))</f>
        <v/>
      </c>
      <c r="G669" s="30">
        <f>IF(A669="","",IF(COUNTIF('People'!$A$4:$A$1003,A669)=0,"Email not on People",IF(COUNTIF('Holders'!$A$4:$A$1003,B669)=0,"Unknown holder ID",IF(COUNTIFS($A$4:$A$1503,A669,$B$4:$B$1503,B669)&gt;1,"Duplicate link",IF(C669="","Missing access","OK")))))</f>
        <v/>
      </c>
    </row>
    <row r="670">
      <c r="A670" s="26" t="n"/>
      <c r="B670" s="26" t="n"/>
      <c r="C670" s="26" t="n"/>
      <c r="D670" s="26" t="n"/>
      <c r="E670" s="30">
        <f>IF(B670="","",IFERROR(INDEX('Holders'!$B$4:$B$1003,MATCH(B670,'Holders'!$A$4:$A$1003,0)),""))</f>
        <v/>
      </c>
      <c r="F670" s="30">
        <f t="array" ref="F670">IF(B670="","",_xlfn.TEXTJOIN(", ",TRUE,IF(('Companies'!$A$4:$A$63&lt;&gt;"")*(COUNTIFS('Holdings'!$A$4:$A$2503,B670,'Holdings'!$J$4:$J$2503,'Companies'!$A$4:$A$63,'Holdings'!$L$4:$L$2503,"Yes",'Holdings'!$C$4:$C$2503,"&gt;0")&gt;0),'Companies'!$A$4:$A$63,"")))</f>
        <v/>
      </c>
      <c r="G670" s="30">
        <f>IF(A670="","",IF(COUNTIF('People'!$A$4:$A$1003,A670)=0,"Email not on People",IF(COUNTIF('Holders'!$A$4:$A$1003,B670)=0,"Unknown holder ID",IF(COUNTIFS($A$4:$A$1503,A670,$B$4:$B$1503,B670)&gt;1,"Duplicate link",IF(C670="","Missing access","OK")))))</f>
        <v/>
      </c>
    </row>
    <row r="671">
      <c r="A671" s="26" t="n"/>
      <c r="B671" s="26" t="n"/>
      <c r="C671" s="26" t="n"/>
      <c r="D671" s="26" t="n"/>
      <c r="E671" s="30">
        <f>IF(B671="","",IFERROR(INDEX('Holders'!$B$4:$B$1003,MATCH(B671,'Holders'!$A$4:$A$1003,0)),""))</f>
        <v/>
      </c>
      <c r="F671" s="30">
        <f t="array" ref="F671">IF(B671="","",_xlfn.TEXTJOIN(", ",TRUE,IF(('Companies'!$A$4:$A$63&lt;&gt;"")*(COUNTIFS('Holdings'!$A$4:$A$2503,B671,'Holdings'!$J$4:$J$2503,'Companies'!$A$4:$A$63,'Holdings'!$L$4:$L$2503,"Yes",'Holdings'!$C$4:$C$2503,"&gt;0")&gt;0),'Companies'!$A$4:$A$63,"")))</f>
        <v/>
      </c>
      <c r="G671" s="30">
        <f>IF(A671="","",IF(COUNTIF('People'!$A$4:$A$1003,A671)=0,"Email not on People",IF(COUNTIF('Holders'!$A$4:$A$1003,B671)=0,"Unknown holder ID",IF(COUNTIFS($A$4:$A$1503,A671,$B$4:$B$1503,B671)&gt;1,"Duplicate link",IF(C671="","Missing access","OK")))))</f>
        <v/>
      </c>
    </row>
    <row r="672">
      <c r="A672" s="26" t="n"/>
      <c r="B672" s="26" t="n"/>
      <c r="C672" s="26" t="n"/>
      <c r="D672" s="26" t="n"/>
      <c r="E672" s="30">
        <f>IF(B672="","",IFERROR(INDEX('Holders'!$B$4:$B$1003,MATCH(B672,'Holders'!$A$4:$A$1003,0)),""))</f>
        <v/>
      </c>
      <c r="F672" s="30">
        <f t="array" ref="F672">IF(B672="","",_xlfn.TEXTJOIN(", ",TRUE,IF(('Companies'!$A$4:$A$63&lt;&gt;"")*(COUNTIFS('Holdings'!$A$4:$A$2503,B672,'Holdings'!$J$4:$J$2503,'Companies'!$A$4:$A$63,'Holdings'!$L$4:$L$2503,"Yes",'Holdings'!$C$4:$C$2503,"&gt;0")&gt;0),'Companies'!$A$4:$A$63,"")))</f>
        <v/>
      </c>
      <c r="G672" s="30">
        <f>IF(A672="","",IF(COUNTIF('People'!$A$4:$A$1003,A672)=0,"Email not on People",IF(COUNTIF('Holders'!$A$4:$A$1003,B672)=0,"Unknown holder ID",IF(COUNTIFS($A$4:$A$1503,A672,$B$4:$B$1503,B672)&gt;1,"Duplicate link",IF(C672="","Missing access","OK")))))</f>
        <v/>
      </c>
    </row>
    <row r="673">
      <c r="A673" s="26" t="n"/>
      <c r="B673" s="26" t="n"/>
      <c r="C673" s="26" t="n"/>
      <c r="D673" s="26" t="n"/>
      <c r="E673" s="30">
        <f>IF(B673="","",IFERROR(INDEX('Holders'!$B$4:$B$1003,MATCH(B673,'Holders'!$A$4:$A$1003,0)),""))</f>
        <v/>
      </c>
      <c r="F673" s="30">
        <f t="array" ref="F673">IF(B673="","",_xlfn.TEXTJOIN(", ",TRUE,IF(('Companies'!$A$4:$A$63&lt;&gt;"")*(COUNTIFS('Holdings'!$A$4:$A$2503,B673,'Holdings'!$J$4:$J$2503,'Companies'!$A$4:$A$63,'Holdings'!$L$4:$L$2503,"Yes",'Holdings'!$C$4:$C$2503,"&gt;0")&gt;0),'Companies'!$A$4:$A$63,"")))</f>
        <v/>
      </c>
      <c r="G673" s="30">
        <f>IF(A673="","",IF(COUNTIF('People'!$A$4:$A$1003,A673)=0,"Email not on People",IF(COUNTIF('Holders'!$A$4:$A$1003,B673)=0,"Unknown holder ID",IF(COUNTIFS($A$4:$A$1503,A673,$B$4:$B$1503,B673)&gt;1,"Duplicate link",IF(C673="","Missing access","OK")))))</f>
        <v/>
      </c>
    </row>
    <row r="674">
      <c r="A674" s="26" t="n"/>
      <c r="B674" s="26" t="n"/>
      <c r="C674" s="26" t="n"/>
      <c r="D674" s="26" t="n"/>
      <c r="E674" s="30">
        <f>IF(B674="","",IFERROR(INDEX('Holders'!$B$4:$B$1003,MATCH(B674,'Holders'!$A$4:$A$1003,0)),""))</f>
        <v/>
      </c>
      <c r="F674" s="30">
        <f t="array" ref="F674">IF(B674="","",_xlfn.TEXTJOIN(", ",TRUE,IF(('Companies'!$A$4:$A$63&lt;&gt;"")*(COUNTIFS('Holdings'!$A$4:$A$2503,B674,'Holdings'!$J$4:$J$2503,'Companies'!$A$4:$A$63,'Holdings'!$L$4:$L$2503,"Yes",'Holdings'!$C$4:$C$2503,"&gt;0")&gt;0),'Companies'!$A$4:$A$63,"")))</f>
        <v/>
      </c>
      <c r="G674" s="30">
        <f>IF(A674="","",IF(COUNTIF('People'!$A$4:$A$1003,A674)=0,"Email not on People",IF(COUNTIF('Holders'!$A$4:$A$1003,B674)=0,"Unknown holder ID",IF(COUNTIFS($A$4:$A$1503,A674,$B$4:$B$1503,B674)&gt;1,"Duplicate link",IF(C674="","Missing access","OK")))))</f>
        <v/>
      </c>
    </row>
    <row r="675">
      <c r="A675" s="26" t="n"/>
      <c r="B675" s="26" t="n"/>
      <c r="C675" s="26" t="n"/>
      <c r="D675" s="26" t="n"/>
      <c r="E675" s="30">
        <f>IF(B675="","",IFERROR(INDEX('Holders'!$B$4:$B$1003,MATCH(B675,'Holders'!$A$4:$A$1003,0)),""))</f>
        <v/>
      </c>
      <c r="F675" s="30">
        <f t="array" ref="F675">IF(B675="","",_xlfn.TEXTJOIN(", ",TRUE,IF(('Companies'!$A$4:$A$63&lt;&gt;"")*(COUNTIFS('Holdings'!$A$4:$A$2503,B675,'Holdings'!$J$4:$J$2503,'Companies'!$A$4:$A$63,'Holdings'!$L$4:$L$2503,"Yes",'Holdings'!$C$4:$C$2503,"&gt;0")&gt;0),'Companies'!$A$4:$A$63,"")))</f>
        <v/>
      </c>
      <c r="G675" s="30">
        <f>IF(A675="","",IF(COUNTIF('People'!$A$4:$A$1003,A675)=0,"Email not on People",IF(COUNTIF('Holders'!$A$4:$A$1003,B675)=0,"Unknown holder ID",IF(COUNTIFS($A$4:$A$1503,A675,$B$4:$B$1503,B675)&gt;1,"Duplicate link",IF(C675="","Missing access","OK")))))</f>
        <v/>
      </c>
    </row>
    <row r="676">
      <c r="A676" s="26" t="n"/>
      <c r="B676" s="26" t="n"/>
      <c r="C676" s="26" t="n"/>
      <c r="D676" s="26" t="n"/>
      <c r="E676" s="30">
        <f>IF(B676="","",IFERROR(INDEX('Holders'!$B$4:$B$1003,MATCH(B676,'Holders'!$A$4:$A$1003,0)),""))</f>
        <v/>
      </c>
      <c r="F676" s="30">
        <f t="array" ref="F676">IF(B676="","",_xlfn.TEXTJOIN(", ",TRUE,IF(('Companies'!$A$4:$A$63&lt;&gt;"")*(COUNTIFS('Holdings'!$A$4:$A$2503,B676,'Holdings'!$J$4:$J$2503,'Companies'!$A$4:$A$63,'Holdings'!$L$4:$L$2503,"Yes",'Holdings'!$C$4:$C$2503,"&gt;0")&gt;0),'Companies'!$A$4:$A$63,"")))</f>
        <v/>
      </c>
      <c r="G676" s="30">
        <f>IF(A676="","",IF(COUNTIF('People'!$A$4:$A$1003,A676)=0,"Email not on People",IF(COUNTIF('Holders'!$A$4:$A$1003,B676)=0,"Unknown holder ID",IF(COUNTIFS($A$4:$A$1503,A676,$B$4:$B$1503,B676)&gt;1,"Duplicate link",IF(C676="","Missing access","OK")))))</f>
        <v/>
      </c>
    </row>
    <row r="677">
      <c r="A677" s="26" t="n"/>
      <c r="B677" s="26" t="n"/>
      <c r="C677" s="26" t="n"/>
      <c r="D677" s="26" t="n"/>
      <c r="E677" s="30">
        <f>IF(B677="","",IFERROR(INDEX('Holders'!$B$4:$B$1003,MATCH(B677,'Holders'!$A$4:$A$1003,0)),""))</f>
        <v/>
      </c>
      <c r="F677" s="30">
        <f t="array" ref="F677">IF(B677="","",_xlfn.TEXTJOIN(", ",TRUE,IF(('Companies'!$A$4:$A$63&lt;&gt;"")*(COUNTIFS('Holdings'!$A$4:$A$2503,B677,'Holdings'!$J$4:$J$2503,'Companies'!$A$4:$A$63,'Holdings'!$L$4:$L$2503,"Yes",'Holdings'!$C$4:$C$2503,"&gt;0")&gt;0),'Companies'!$A$4:$A$63,"")))</f>
        <v/>
      </c>
      <c r="G677" s="30">
        <f>IF(A677="","",IF(COUNTIF('People'!$A$4:$A$1003,A677)=0,"Email not on People",IF(COUNTIF('Holders'!$A$4:$A$1003,B677)=0,"Unknown holder ID",IF(COUNTIFS($A$4:$A$1503,A677,$B$4:$B$1503,B677)&gt;1,"Duplicate link",IF(C677="","Missing access","OK")))))</f>
        <v/>
      </c>
    </row>
    <row r="678">
      <c r="A678" s="26" t="n"/>
      <c r="B678" s="26" t="n"/>
      <c r="C678" s="26" t="n"/>
      <c r="D678" s="26" t="n"/>
      <c r="E678" s="30">
        <f>IF(B678="","",IFERROR(INDEX('Holders'!$B$4:$B$1003,MATCH(B678,'Holders'!$A$4:$A$1003,0)),""))</f>
        <v/>
      </c>
      <c r="F678" s="30">
        <f t="array" ref="F678">IF(B678="","",_xlfn.TEXTJOIN(", ",TRUE,IF(('Companies'!$A$4:$A$63&lt;&gt;"")*(COUNTIFS('Holdings'!$A$4:$A$2503,B678,'Holdings'!$J$4:$J$2503,'Companies'!$A$4:$A$63,'Holdings'!$L$4:$L$2503,"Yes",'Holdings'!$C$4:$C$2503,"&gt;0")&gt;0),'Companies'!$A$4:$A$63,"")))</f>
        <v/>
      </c>
      <c r="G678" s="30">
        <f>IF(A678="","",IF(COUNTIF('People'!$A$4:$A$1003,A678)=0,"Email not on People",IF(COUNTIF('Holders'!$A$4:$A$1003,B678)=0,"Unknown holder ID",IF(COUNTIFS($A$4:$A$1503,A678,$B$4:$B$1503,B678)&gt;1,"Duplicate link",IF(C678="","Missing access","OK")))))</f>
        <v/>
      </c>
    </row>
    <row r="679">
      <c r="A679" s="26" t="n"/>
      <c r="B679" s="26" t="n"/>
      <c r="C679" s="26" t="n"/>
      <c r="D679" s="26" t="n"/>
      <c r="E679" s="30">
        <f>IF(B679="","",IFERROR(INDEX('Holders'!$B$4:$B$1003,MATCH(B679,'Holders'!$A$4:$A$1003,0)),""))</f>
        <v/>
      </c>
      <c r="F679" s="30">
        <f t="array" ref="F679">IF(B679="","",_xlfn.TEXTJOIN(", ",TRUE,IF(('Companies'!$A$4:$A$63&lt;&gt;"")*(COUNTIFS('Holdings'!$A$4:$A$2503,B679,'Holdings'!$J$4:$J$2503,'Companies'!$A$4:$A$63,'Holdings'!$L$4:$L$2503,"Yes",'Holdings'!$C$4:$C$2503,"&gt;0")&gt;0),'Companies'!$A$4:$A$63,"")))</f>
        <v/>
      </c>
      <c r="G679" s="30">
        <f>IF(A679="","",IF(COUNTIF('People'!$A$4:$A$1003,A679)=0,"Email not on People",IF(COUNTIF('Holders'!$A$4:$A$1003,B679)=0,"Unknown holder ID",IF(COUNTIFS($A$4:$A$1503,A679,$B$4:$B$1503,B679)&gt;1,"Duplicate link",IF(C679="","Missing access","OK")))))</f>
        <v/>
      </c>
    </row>
    <row r="680">
      <c r="A680" s="26" t="n"/>
      <c r="B680" s="26" t="n"/>
      <c r="C680" s="26" t="n"/>
      <c r="D680" s="26" t="n"/>
      <c r="E680" s="30">
        <f>IF(B680="","",IFERROR(INDEX('Holders'!$B$4:$B$1003,MATCH(B680,'Holders'!$A$4:$A$1003,0)),""))</f>
        <v/>
      </c>
      <c r="F680" s="30">
        <f t="array" ref="F680">IF(B680="","",_xlfn.TEXTJOIN(", ",TRUE,IF(('Companies'!$A$4:$A$63&lt;&gt;"")*(COUNTIFS('Holdings'!$A$4:$A$2503,B680,'Holdings'!$J$4:$J$2503,'Companies'!$A$4:$A$63,'Holdings'!$L$4:$L$2503,"Yes",'Holdings'!$C$4:$C$2503,"&gt;0")&gt;0),'Companies'!$A$4:$A$63,"")))</f>
        <v/>
      </c>
      <c r="G680" s="30">
        <f>IF(A680="","",IF(COUNTIF('People'!$A$4:$A$1003,A680)=0,"Email not on People",IF(COUNTIF('Holders'!$A$4:$A$1003,B680)=0,"Unknown holder ID",IF(COUNTIFS($A$4:$A$1503,A680,$B$4:$B$1503,B680)&gt;1,"Duplicate link",IF(C680="","Missing access","OK")))))</f>
        <v/>
      </c>
    </row>
    <row r="681">
      <c r="A681" s="26" t="n"/>
      <c r="B681" s="26" t="n"/>
      <c r="C681" s="26" t="n"/>
      <c r="D681" s="26" t="n"/>
      <c r="E681" s="30">
        <f>IF(B681="","",IFERROR(INDEX('Holders'!$B$4:$B$1003,MATCH(B681,'Holders'!$A$4:$A$1003,0)),""))</f>
        <v/>
      </c>
      <c r="F681" s="30">
        <f t="array" ref="F681">IF(B681="","",_xlfn.TEXTJOIN(", ",TRUE,IF(('Companies'!$A$4:$A$63&lt;&gt;"")*(COUNTIFS('Holdings'!$A$4:$A$2503,B681,'Holdings'!$J$4:$J$2503,'Companies'!$A$4:$A$63,'Holdings'!$L$4:$L$2503,"Yes",'Holdings'!$C$4:$C$2503,"&gt;0")&gt;0),'Companies'!$A$4:$A$63,"")))</f>
        <v/>
      </c>
      <c r="G681" s="30">
        <f>IF(A681="","",IF(COUNTIF('People'!$A$4:$A$1003,A681)=0,"Email not on People",IF(COUNTIF('Holders'!$A$4:$A$1003,B681)=0,"Unknown holder ID",IF(COUNTIFS($A$4:$A$1503,A681,$B$4:$B$1503,B681)&gt;1,"Duplicate link",IF(C681="","Missing access","OK")))))</f>
        <v/>
      </c>
    </row>
    <row r="682">
      <c r="A682" s="26" t="n"/>
      <c r="B682" s="26" t="n"/>
      <c r="C682" s="26" t="n"/>
      <c r="D682" s="26" t="n"/>
      <c r="E682" s="30">
        <f>IF(B682="","",IFERROR(INDEX('Holders'!$B$4:$B$1003,MATCH(B682,'Holders'!$A$4:$A$1003,0)),""))</f>
        <v/>
      </c>
      <c r="F682" s="30">
        <f t="array" ref="F682">IF(B682="","",_xlfn.TEXTJOIN(", ",TRUE,IF(('Companies'!$A$4:$A$63&lt;&gt;"")*(COUNTIFS('Holdings'!$A$4:$A$2503,B682,'Holdings'!$J$4:$J$2503,'Companies'!$A$4:$A$63,'Holdings'!$L$4:$L$2503,"Yes",'Holdings'!$C$4:$C$2503,"&gt;0")&gt;0),'Companies'!$A$4:$A$63,"")))</f>
        <v/>
      </c>
      <c r="G682" s="30">
        <f>IF(A682="","",IF(COUNTIF('People'!$A$4:$A$1003,A682)=0,"Email not on People",IF(COUNTIF('Holders'!$A$4:$A$1003,B682)=0,"Unknown holder ID",IF(COUNTIFS($A$4:$A$1503,A682,$B$4:$B$1503,B682)&gt;1,"Duplicate link",IF(C682="","Missing access","OK")))))</f>
        <v/>
      </c>
    </row>
    <row r="683">
      <c r="A683" s="26" t="n"/>
      <c r="B683" s="26" t="n"/>
      <c r="C683" s="26" t="n"/>
      <c r="D683" s="26" t="n"/>
      <c r="E683" s="30">
        <f>IF(B683="","",IFERROR(INDEX('Holders'!$B$4:$B$1003,MATCH(B683,'Holders'!$A$4:$A$1003,0)),""))</f>
        <v/>
      </c>
      <c r="F683" s="30">
        <f t="array" ref="F683">IF(B683="","",_xlfn.TEXTJOIN(", ",TRUE,IF(('Companies'!$A$4:$A$63&lt;&gt;"")*(COUNTIFS('Holdings'!$A$4:$A$2503,B683,'Holdings'!$J$4:$J$2503,'Companies'!$A$4:$A$63,'Holdings'!$L$4:$L$2503,"Yes",'Holdings'!$C$4:$C$2503,"&gt;0")&gt;0),'Companies'!$A$4:$A$63,"")))</f>
        <v/>
      </c>
      <c r="G683" s="30">
        <f>IF(A683="","",IF(COUNTIF('People'!$A$4:$A$1003,A683)=0,"Email not on People",IF(COUNTIF('Holders'!$A$4:$A$1003,B683)=0,"Unknown holder ID",IF(COUNTIFS($A$4:$A$1503,A683,$B$4:$B$1503,B683)&gt;1,"Duplicate link",IF(C683="","Missing access","OK")))))</f>
        <v/>
      </c>
    </row>
    <row r="684">
      <c r="A684" s="26" t="n"/>
      <c r="B684" s="26" t="n"/>
      <c r="C684" s="26" t="n"/>
      <c r="D684" s="26" t="n"/>
      <c r="E684" s="30">
        <f>IF(B684="","",IFERROR(INDEX('Holders'!$B$4:$B$1003,MATCH(B684,'Holders'!$A$4:$A$1003,0)),""))</f>
        <v/>
      </c>
      <c r="F684" s="30">
        <f t="array" ref="F684">IF(B684="","",_xlfn.TEXTJOIN(", ",TRUE,IF(('Companies'!$A$4:$A$63&lt;&gt;"")*(COUNTIFS('Holdings'!$A$4:$A$2503,B684,'Holdings'!$J$4:$J$2503,'Companies'!$A$4:$A$63,'Holdings'!$L$4:$L$2503,"Yes",'Holdings'!$C$4:$C$2503,"&gt;0")&gt;0),'Companies'!$A$4:$A$63,"")))</f>
        <v/>
      </c>
      <c r="G684" s="30">
        <f>IF(A684="","",IF(COUNTIF('People'!$A$4:$A$1003,A684)=0,"Email not on People",IF(COUNTIF('Holders'!$A$4:$A$1003,B684)=0,"Unknown holder ID",IF(COUNTIFS($A$4:$A$1503,A684,$B$4:$B$1503,B684)&gt;1,"Duplicate link",IF(C684="","Missing access","OK")))))</f>
        <v/>
      </c>
    </row>
    <row r="685">
      <c r="A685" s="26" t="n"/>
      <c r="B685" s="26" t="n"/>
      <c r="C685" s="26" t="n"/>
      <c r="D685" s="26" t="n"/>
      <c r="E685" s="30">
        <f>IF(B685="","",IFERROR(INDEX('Holders'!$B$4:$B$1003,MATCH(B685,'Holders'!$A$4:$A$1003,0)),""))</f>
        <v/>
      </c>
      <c r="F685" s="30">
        <f t="array" ref="F685">IF(B685="","",_xlfn.TEXTJOIN(", ",TRUE,IF(('Companies'!$A$4:$A$63&lt;&gt;"")*(COUNTIFS('Holdings'!$A$4:$A$2503,B685,'Holdings'!$J$4:$J$2503,'Companies'!$A$4:$A$63,'Holdings'!$L$4:$L$2503,"Yes",'Holdings'!$C$4:$C$2503,"&gt;0")&gt;0),'Companies'!$A$4:$A$63,"")))</f>
        <v/>
      </c>
      <c r="G685" s="30">
        <f>IF(A685="","",IF(COUNTIF('People'!$A$4:$A$1003,A685)=0,"Email not on People",IF(COUNTIF('Holders'!$A$4:$A$1003,B685)=0,"Unknown holder ID",IF(COUNTIFS($A$4:$A$1503,A685,$B$4:$B$1503,B685)&gt;1,"Duplicate link",IF(C685="","Missing access","OK")))))</f>
        <v/>
      </c>
    </row>
    <row r="686">
      <c r="A686" s="26" t="n"/>
      <c r="B686" s="26" t="n"/>
      <c r="C686" s="26" t="n"/>
      <c r="D686" s="26" t="n"/>
      <c r="E686" s="30">
        <f>IF(B686="","",IFERROR(INDEX('Holders'!$B$4:$B$1003,MATCH(B686,'Holders'!$A$4:$A$1003,0)),""))</f>
        <v/>
      </c>
      <c r="F686" s="30">
        <f t="array" ref="F686">IF(B686="","",_xlfn.TEXTJOIN(", ",TRUE,IF(('Companies'!$A$4:$A$63&lt;&gt;"")*(COUNTIFS('Holdings'!$A$4:$A$2503,B686,'Holdings'!$J$4:$J$2503,'Companies'!$A$4:$A$63,'Holdings'!$L$4:$L$2503,"Yes",'Holdings'!$C$4:$C$2503,"&gt;0")&gt;0),'Companies'!$A$4:$A$63,"")))</f>
        <v/>
      </c>
      <c r="G686" s="30">
        <f>IF(A686="","",IF(COUNTIF('People'!$A$4:$A$1003,A686)=0,"Email not on People",IF(COUNTIF('Holders'!$A$4:$A$1003,B686)=0,"Unknown holder ID",IF(COUNTIFS($A$4:$A$1503,A686,$B$4:$B$1503,B686)&gt;1,"Duplicate link",IF(C686="","Missing access","OK")))))</f>
        <v/>
      </c>
    </row>
    <row r="687">
      <c r="A687" s="26" t="n"/>
      <c r="B687" s="26" t="n"/>
      <c r="C687" s="26" t="n"/>
      <c r="D687" s="26" t="n"/>
      <c r="E687" s="30">
        <f>IF(B687="","",IFERROR(INDEX('Holders'!$B$4:$B$1003,MATCH(B687,'Holders'!$A$4:$A$1003,0)),""))</f>
        <v/>
      </c>
      <c r="F687" s="30">
        <f t="array" ref="F687">IF(B687="","",_xlfn.TEXTJOIN(", ",TRUE,IF(('Companies'!$A$4:$A$63&lt;&gt;"")*(COUNTIFS('Holdings'!$A$4:$A$2503,B687,'Holdings'!$J$4:$J$2503,'Companies'!$A$4:$A$63,'Holdings'!$L$4:$L$2503,"Yes",'Holdings'!$C$4:$C$2503,"&gt;0")&gt;0),'Companies'!$A$4:$A$63,"")))</f>
        <v/>
      </c>
      <c r="G687" s="30">
        <f>IF(A687="","",IF(COUNTIF('People'!$A$4:$A$1003,A687)=0,"Email not on People",IF(COUNTIF('Holders'!$A$4:$A$1003,B687)=0,"Unknown holder ID",IF(COUNTIFS($A$4:$A$1503,A687,$B$4:$B$1503,B687)&gt;1,"Duplicate link",IF(C687="","Missing access","OK")))))</f>
        <v/>
      </c>
    </row>
    <row r="688">
      <c r="A688" s="26" t="n"/>
      <c r="B688" s="26" t="n"/>
      <c r="C688" s="26" t="n"/>
      <c r="D688" s="26" t="n"/>
      <c r="E688" s="30">
        <f>IF(B688="","",IFERROR(INDEX('Holders'!$B$4:$B$1003,MATCH(B688,'Holders'!$A$4:$A$1003,0)),""))</f>
        <v/>
      </c>
      <c r="F688" s="30">
        <f t="array" ref="F688">IF(B688="","",_xlfn.TEXTJOIN(", ",TRUE,IF(('Companies'!$A$4:$A$63&lt;&gt;"")*(COUNTIFS('Holdings'!$A$4:$A$2503,B688,'Holdings'!$J$4:$J$2503,'Companies'!$A$4:$A$63,'Holdings'!$L$4:$L$2503,"Yes",'Holdings'!$C$4:$C$2503,"&gt;0")&gt;0),'Companies'!$A$4:$A$63,"")))</f>
        <v/>
      </c>
      <c r="G688" s="30">
        <f>IF(A688="","",IF(COUNTIF('People'!$A$4:$A$1003,A688)=0,"Email not on People",IF(COUNTIF('Holders'!$A$4:$A$1003,B688)=0,"Unknown holder ID",IF(COUNTIFS($A$4:$A$1503,A688,$B$4:$B$1503,B688)&gt;1,"Duplicate link",IF(C688="","Missing access","OK")))))</f>
        <v/>
      </c>
    </row>
    <row r="689">
      <c r="A689" s="26" t="n"/>
      <c r="B689" s="26" t="n"/>
      <c r="C689" s="26" t="n"/>
      <c r="D689" s="26" t="n"/>
      <c r="E689" s="30">
        <f>IF(B689="","",IFERROR(INDEX('Holders'!$B$4:$B$1003,MATCH(B689,'Holders'!$A$4:$A$1003,0)),""))</f>
        <v/>
      </c>
      <c r="F689" s="30">
        <f t="array" ref="F689">IF(B689="","",_xlfn.TEXTJOIN(", ",TRUE,IF(('Companies'!$A$4:$A$63&lt;&gt;"")*(COUNTIFS('Holdings'!$A$4:$A$2503,B689,'Holdings'!$J$4:$J$2503,'Companies'!$A$4:$A$63,'Holdings'!$L$4:$L$2503,"Yes",'Holdings'!$C$4:$C$2503,"&gt;0")&gt;0),'Companies'!$A$4:$A$63,"")))</f>
        <v/>
      </c>
      <c r="G689" s="30">
        <f>IF(A689="","",IF(COUNTIF('People'!$A$4:$A$1003,A689)=0,"Email not on People",IF(COUNTIF('Holders'!$A$4:$A$1003,B689)=0,"Unknown holder ID",IF(COUNTIFS($A$4:$A$1503,A689,$B$4:$B$1503,B689)&gt;1,"Duplicate link",IF(C689="","Missing access","OK")))))</f>
        <v/>
      </c>
    </row>
    <row r="690">
      <c r="A690" s="26" t="n"/>
      <c r="B690" s="26" t="n"/>
      <c r="C690" s="26" t="n"/>
      <c r="D690" s="26" t="n"/>
      <c r="E690" s="30">
        <f>IF(B690="","",IFERROR(INDEX('Holders'!$B$4:$B$1003,MATCH(B690,'Holders'!$A$4:$A$1003,0)),""))</f>
        <v/>
      </c>
      <c r="F690" s="30">
        <f t="array" ref="F690">IF(B690="","",_xlfn.TEXTJOIN(", ",TRUE,IF(('Companies'!$A$4:$A$63&lt;&gt;"")*(COUNTIFS('Holdings'!$A$4:$A$2503,B690,'Holdings'!$J$4:$J$2503,'Companies'!$A$4:$A$63,'Holdings'!$L$4:$L$2503,"Yes",'Holdings'!$C$4:$C$2503,"&gt;0")&gt;0),'Companies'!$A$4:$A$63,"")))</f>
        <v/>
      </c>
      <c r="G690" s="30">
        <f>IF(A690="","",IF(COUNTIF('People'!$A$4:$A$1003,A690)=0,"Email not on People",IF(COUNTIF('Holders'!$A$4:$A$1003,B690)=0,"Unknown holder ID",IF(COUNTIFS($A$4:$A$1503,A690,$B$4:$B$1503,B690)&gt;1,"Duplicate link",IF(C690="","Missing access","OK")))))</f>
        <v/>
      </c>
    </row>
    <row r="691">
      <c r="A691" s="26" t="n"/>
      <c r="B691" s="26" t="n"/>
      <c r="C691" s="26" t="n"/>
      <c r="D691" s="26" t="n"/>
      <c r="E691" s="30">
        <f>IF(B691="","",IFERROR(INDEX('Holders'!$B$4:$B$1003,MATCH(B691,'Holders'!$A$4:$A$1003,0)),""))</f>
        <v/>
      </c>
      <c r="F691" s="30">
        <f t="array" ref="F691">IF(B691="","",_xlfn.TEXTJOIN(", ",TRUE,IF(('Companies'!$A$4:$A$63&lt;&gt;"")*(COUNTIFS('Holdings'!$A$4:$A$2503,B691,'Holdings'!$J$4:$J$2503,'Companies'!$A$4:$A$63,'Holdings'!$L$4:$L$2503,"Yes",'Holdings'!$C$4:$C$2503,"&gt;0")&gt;0),'Companies'!$A$4:$A$63,"")))</f>
        <v/>
      </c>
      <c r="G691" s="30">
        <f>IF(A691="","",IF(COUNTIF('People'!$A$4:$A$1003,A691)=0,"Email not on People",IF(COUNTIF('Holders'!$A$4:$A$1003,B691)=0,"Unknown holder ID",IF(COUNTIFS($A$4:$A$1503,A691,$B$4:$B$1503,B691)&gt;1,"Duplicate link",IF(C691="","Missing access","OK")))))</f>
        <v/>
      </c>
    </row>
    <row r="692">
      <c r="A692" s="26" t="n"/>
      <c r="B692" s="26" t="n"/>
      <c r="C692" s="26" t="n"/>
      <c r="D692" s="26" t="n"/>
      <c r="E692" s="30">
        <f>IF(B692="","",IFERROR(INDEX('Holders'!$B$4:$B$1003,MATCH(B692,'Holders'!$A$4:$A$1003,0)),""))</f>
        <v/>
      </c>
      <c r="F692" s="30">
        <f t="array" ref="F692">IF(B692="","",_xlfn.TEXTJOIN(", ",TRUE,IF(('Companies'!$A$4:$A$63&lt;&gt;"")*(COUNTIFS('Holdings'!$A$4:$A$2503,B692,'Holdings'!$J$4:$J$2503,'Companies'!$A$4:$A$63,'Holdings'!$L$4:$L$2503,"Yes",'Holdings'!$C$4:$C$2503,"&gt;0")&gt;0),'Companies'!$A$4:$A$63,"")))</f>
        <v/>
      </c>
      <c r="G692" s="30">
        <f>IF(A692="","",IF(COUNTIF('People'!$A$4:$A$1003,A692)=0,"Email not on People",IF(COUNTIF('Holders'!$A$4:$A$1003,B692)=0,"Unknown holder ID",IF(COUNTIFS($A$4:$A$1503,A692,$B$4:$B$1503,B692)&gt;1,"Duplicate link",IF(C692="","Missing access","OK")))))</f>
        <v/>
      </c>
    </row>
    <row r="693">
      <c r="A693" s="26" t="n"/>
      <c r="B693" s="26" t="n"/>
      <c r="C693" s="26" t="n"/>
      <c r="D693" s="26" t="n"/>
      <c r="E693" s="30">
        <f>IF(B693="","",IFERROR(INDEX('Holders'!$B$4:$B$1003,MATCH(B693,'Holders'!$A$4:$A$1003,0)),""))</f>
        <v/>
      </c>
      <c r="F693" s="30">
        <f t="array" ref="F693">IF(B693="","",_xlfn.TEXTJOIN(", ",TRUE,IF(('Companies'!$A$4:$A$63&lt;&gt;"")*(COUNTIFS('Holdings'!$A$4:$A$2503,B693,'Holdings'!$J$4:$J$2503,'Companies'!$A$4:$A$63,'Holdings'!$L$4:$L$2503,"Yes",'Holdings'!$C$4:$C$2503,"&gt;0")&gt;0),'Companies'!$A$4:$A$63,"")))</f>
        <v/>
      </c>
      <c r="G693" s="30">
        <f>IF(A693="","",IF(COUNTIF('People'!$A$4:$A$1003,A693)=0,"Email not on People",IF(COUNTIF('Holders'!$A$4:$A$1003,B693)=0,"Unknown holder ID",IF(COUNTIFS($A$4:$A$1503,A693,$B$4:$B$1503,B693)&gt;1,"Duplicate link",IF(C693="","Missing access","OK")))))</f>
        <v/>
      </c>
    </row>
    <row r="694">
      <c r="A694" s="26" t="n"/>
      <c r="B694" s="26" t="n"/>
      <c r="C694" s="26" t="n"/>
      <c r="D694" s="26" t="n"/>
      <c r="E694" s="30">
        <f>IF(B694="","",IFERROR(INDEX('Holders'!$B$4:$B$1003,MATCH(B694,'Holders'!$A$4:$A$1003,0)),""))</f>
        <v/>
      </c>
      <c r="F694" s="30">
        <f t="array" ref="F694">IF(B694="","",_xlfn.TEXTJOIN(", ",TRUE,IF(('Companies'!$A$4:$A$63&lt;&gt;"")*(COUNTIFS('Holdings'!$A$4:$A$2503,B694,'Holdings'!$J$4:$J$2503,'Companies'!$A$4:$A$63,'Holdings'!$L$4:$L$2503,"Yes",'Holdings'!$C$4:$C$2503,"&gt;0")&gt;0),'Companies'!$A$4:$A$63,"")))</f>
        <v/>
      </c>
      <c r="G694" s="30">
        <f>IF(A694="","",IF(COUNTIF('People'!$A$4:$A$1003,A694)=0,"Email not on People",IF(COUNTIF('Holders'!$A$4:$A$1003,B694)=0,"Unknown holder ID",IF(COUNTIFS($A$4:$A$1503,A694,$B$4:$B$1503,B694)&gt;1,"Duplicate link",IF(C694="","Missing access","OK")))))</f>
        <v/>
      </c>
    </row>
    <row r="695">
      <c r="A695" s="26" t="n"/>
      <c r="B695" s="26" t="n"/>
      <c r="C695" s="26" t="n"/>
      <c r="D695" s="26" t="n"/>
      <c r="E695" s="30">
        <f>IF(B695="","",IFERROR(INDEX('Holders'!$B$4:$B$1003,MATCH(B695,'Holders'!$A$4:$A$1003,0)),""))</f>
        <v/>
      </c>
      <c r="F695" s="30">
        <f t="array" ref="F695">IF(B695="","",_xlfn.TEXTJOIN(", ",TRUE,IF(('Companies'!$A$4:$A$63&lt;&gt;"")*(COUNTIFS('Holdings'!$A$4:$A$2503,B695,'Holdings'!$J$4:$J$2503,'Companies'!$A$4:$A$63,'Holdings'!$L$4:$L$2503,"Yes",'Holdings'!$C$4:$C$2503,"&gt;0")&gt;0),'Companies'!$A$4:$A$63,"")))</f>
        <v/>
      </c>
      <c r="G695" s="30">
        <f>IF(A695="","",IF(COUNTIF('People'!$A$4:$A$1003,A695)=0,"Email not on People",IF(COUNTIF('Holders'!$A$4:$A$1003,B695)=0,"Unknown holder ID",IF(COUNTIFS($A$4:$A$1503,A695,$B$4:$B$1503,B695)&gt;1,"Duplicate link",IF(C695="","Missing access","OK")))))</f>
        <v/>
      </c>
    </row>
    <row r="696">
      <c r="A696" s="26" t="n"/>
      <c r="B696" s="26" t="n"/>
      <c r="C696" s="26" t="n"/>
      <c r="D696" s="26" t="n"/>
      <c r="E696" s="30">
        <f>IF(B696="","",IFERROR(INDEX('Holders'!$B$4:$B$1003,MATCH(B696,'Holders'!$A$4:$A$1003,0)),""))</f>
        <v/>
      </c>
      <c r="F696" s="30">
        <f t="array" ref="F696">IF(B696="","",_xlfn.TEXTJOIN(", ",TRUE,IF(('Companies'!$A$4:$A$63&lt;&gt;"")*(COUNTIFS('Holdings'!$A$4:$A$2503,B696,'Holdings'!$J$4:$J$2503,'Companies'!$A$4:$A$63,'Holdings'!$L$4:$L$2503,"Yes",'Holdings'!$C$4:$C$2503,"&gt;0")&gt;0),'Companies'!$A$4:$A$63,"")))</f>
        <v/>
      </c>
      <c r="G696" s="30">
        <f>IF(A696="","",IF(COUNTIF('People'!$A$4:$A$1003,A696)=0,"Email not on People",IF(COUNTIF('Holders'!$A$4:$A$1003,B696)=0,"Unknown holder ID",IF(COUNTIFS($A$4:$A$1503,A696,$B$4:$B$1503,B696)&gt;1,"Duplicate link",IF(C696="","Missing access","OK")))))</f>
        <v/>
      </c>
    </row>
    <row r="697">
      <c r="A697" s="26" t="n"/>
      <c r="B697" s="26" t="n"/>
      <c r="C697" s="26" t="n"/>
      <c r="D697" s="26" t="n"/>
      <c r="E697" s="30">
        <f>IF(B697="","",IFERROR(INDEX('Holders'!$B$4:$B$1003,MATCH(B697,'Holders'!$A$4:$A$1003,0)),""))</f>
        <v/>
      </c>
      <c r="F697" s="30">
        <f t="array" ref="F697">IF(B697="","",_xlfn.TEXTJOIN(", ",TRUE,IF(('Companies'!$A$4:$A$63&lt;&gt;"")*(COUNTIFS('Holdings'!$A$4:$A$2503,B697,'Holdings'!$J$4:$J$2503,'Companies'!$A$4:$A$63,'Holdings'!$L$4:$L$2503,"Yes",'Holdings'!$C$4:$C$2503,"&gt;0")&gt;0),'Companies'!$A$4:$A$63,"")))</f>
        <v/>
      </c>
      <c r="G697" s="30">
        <f>IF(A697="","",IF(COUNTIF('People'!$A$4:$A$1003,A697)=0,"Email not on People",IF(COUNTIF('Holders'!$A$4:$A$1003,B697)=0,"Unknown holder ID",IF(COUNTIFS($A$4:$A$1503,A697,$B$4:$B$1503,B697)&gt;1,"Duplicate link",IF(C697="","Missing access","OK")))))</f>
        <v/>
      </c>
    </row>
    <row r="698">
      <c r="A698" s="26" t="n"/>
      <c r="B698" s="26" t="n"/>
      <c r="C698" s="26" t="n"/>
      <c r="D698" s="26" t="n"/>
      <c r="E698" s="30">
        <f>IF(B698="","",IFERROR(INDEX('Holders'!$B$4:$B$1003,MATCH(B698,'Holders'!$A$4:$A$1003,0)),""))</f>
        <v/>
      </c>
      <c r="F698" s="30">
        <f t="array" ref="F698">IF(B698="","",_xlfn.TEXTJOIN(", ",TRUE,IF(('Companies'!$A$4:$A$63&lt;&gt;"")*(COUNTIFS('Holdings'!$A$4:$A$2503,B698,'Holdings'!$J$4:$J$2503,'Companies'!$A$4:$A$63,'Holdings'!$L$4:$L$2503,"Yes",'Holdings'!$C$4:$C$2503,"&gt;0")&gt;0),'Companies'!$A$4:$A$63,"")))</f>
        <v/>
      </c>
      <c r="G698" s="30">
        <f>IF(A698="","",IF(COUNTIF('People'!$A$4:$A$1003,A698)=0,"Email not on People",IF(COUNTIF('Holders'!$A$4:$A$1003,B698)=0,"Unknown holder ID",IF(COUNTIFS($A$4:$A$1503,A698,$B$4:$B$1503,B698)&gt;1,"Duplicate link",IF(C698="","Missing access","OK")))))</f>
        <v/>
      </c>
    </row>
    <row r="699">
      <c r="A699" s="26" t="n"/>
      <c r="B699" s="26" t="n"/>
      <c r="C699" s="26" t="n"/>
      <c r="D699" s="26" t="n"/>
      <c r="E699" s="30">
        <f>IF(B699="","",IFERROR(INDEX('Holders'!$B$4:$B$1003,MATCH(B699,'Holders'!$A$4:$A$1003,0)),""))</f>
        <v/>
      </c>
      <c r="F699" s="30">
        <f t="array" ref="F699">IF(B699="","",_xlfn.TEXTJOIN(", ",TRUE,IF(('Companies'!$A$4:$A$63&lt;&gt;"")*(COUNTIFS('Holdings'!$A$4:$A$2503,B699,'Holdings'!$J$4:$J$2503,'Companies'!$A$4:$A$63,'Holdings'!$L$4:$L$2503,"Yes",'Holdings'!$C$4:$C$2503,"&gt;0")&gt;0),'Companies'!$A$4:$A$63,"")))</f>
        <v/>
      </c>
      <c r="G699" s="30">
        <f>IF(A699="","",IF(COUNTIF('People'!$A$4:$A$1003,A699)=0,"Email not on People",IF(COUNTIF('Holders'!$A$4:$A$1003,B699)=0,"Unknown holder ID",IF(COUNTIFS($A$4:$A$1503,A699,$B$4:$B$1503,B699)&gt;1,"Duplicate link",IF(C699="","Missing access","OK")))))</f>
        <v/>
      </c>
    </row>
    <row r="700">
      <c r="A700" s="26" t="n"/>
      <c r="B700" s="26" t="n"/>
      <c r="C700" s="26" t="n"/>
      <c r="D700" s="26" t="n"/>
      <c r="E700" s="30">
        <f>IF(B700="","",IFERROR(INDEX('Holders'!$B$4:$B$1003,MATCH(B700,'Holders'!$A$4:$A$1003,0)),""))</f>
        <v/>
      </c>
      <c r="F700" s="30">
        <f t="array" ref="F700">IF(B700="","",_xlfn.TEXTJOIN(", ",TRUE,IF(('Companies'!$A$4:$A$63&lt;&gt;"")*(COUNTIFS('Holdings'!$A$4:$A$2503,B700,'Holdings'!$J$4:$J$2503,'Companies'!$A$4:$A$63,'Holdings'!$L$4:$L$2503,"Yes",'Holdings'!$C$4:$C$2503,"&gt;0")&gt;0),'Companies'!$A$4:$A$63,"")))</f>
        <v/>
      </c>
      <c r="G700" s="30">
        <f>IF(A700="","",IF(COUNTIF('People'!$A$4:$A$1003,A700)=0,"Email not on People",IF(COUNTIF('Holders'!$A$4:$A$1003,B700)=0,"Unknown holder ID",IF(COUNTIFS($A$4:$A$1503,A700,$B$4:$B$1503,B700)&gt;1,"Duplicate link",IF(C700="","Missing access","OK")))))</f>
        <v/>
      </c>
    </row>
    <row r="701">
      <c r="A701" s="26" t="n"/>
      <c r="B701" s="26" t="n"/>
      <c r="C701" s="26" t="n"/>
      <c r="D701" s="26" t="n"/>
      <c r="E701" s="30">
        <f>IF(B701="","",IFERROR(INDEX('Holders'!$B$4:$B$1003,MATCH(B701,'Holders'!$A$4:$A$1003,0)),""))</f>
        <v/>
      </c>
      <c r="F701" s="30">
        <f t="array" ref="F701">IF(B701="","",_xlfn.TEXTJOIN(", ",TRUE,IF(('Companies'!$A$4:$A$63&lt;&gt;"")*(COUNTIFS('Holdings'!$A$4:$A$2503,B701,'Holdings'!$J$4:$J$2503,'Companies'!$A$4:$A$63,'Holdings'!$L$4:$L$2503,"Yes",'Holdings'!$C$4:$C$2503,"&gt;0")&gt;0),'Companies'!$A$4:$A$63,"")))</f>
        <v/>
      </c>
      <c r="G701" s="30">
        <f>IF(A701="","",IF(COUNTIF('People'!$A$4:$A$1003,A701)=0,"Email not on People",IF(COUNTIF('Holders'!$A$4:$A$1003,B701)=0,"Unknown holder ID",IF(COUNTIFS($A$4:$A$1503,A701,$B$4:$B$1503,B701)&gt;1,"Duplicate link",IF(C701="","Missing access","OK")))))</f>
        <v/>
      </c>
    </row>
    <row r="702">
      <c r="A702" s="26" t="n"/>
      <c r="B702" s="26" t="n"/>
      <c r="C702" s="26" t="n"/>
      <c r="D702" s="26" t="n"/>
      <c r="E702" s="30">
        <f>IF(B702="","",IFERROR(INDEX('Holders'!$B$4:$B$1003,MATCH(B702,'Holders'!$A$4:$A$1003,0)),""))</f>
        <v/>
      </c>
      <c r="F702" s="30">
        <f t="array" ref="F702">IF(B702="","",_xlfn.TEXTJOIN(", ",TRUE,IF(('Companies'!$A$4:$A$63&lt;&gt;"")*(COUNTIFS('Holdings'!$A$4:$A$2503,B702,'Holdings'!$J$4:$J$2503,'Companies'!$A$4:$A$63,'Holdings'!$L$4:$L$2503,"Yes",'Holdings'!$C$4:$C$2503,"&gt;0")&gt;0),'Companies'!$A$4:$A$63,"")))</f>
        <v/>
      </c>
      <c r="G702" s="30">
        <f>IF(A702="","",IF(COUNTIF('People'!$A$4:$A$1003,A702)=0,"Email not on People",IF(COUNTIF('Holders'!$A$4:$A$1003,B702)=0,"Unknown holder ID",IF(COUNTIFS($A$4:$A$1503,A702,$B$4:$B$1503,B702)&gt;1,"Duplicate link",IF(C702="","Missing access","OK")))))</f>
        <v/>
      </c>
    </row>
    <row r="703">
      <c r="A703" s="26" t="n"/>
      <c r="B703" s="26" t="n"/>
      <c r="C703" s="26" t="n"/>
      <c r="D703" s="26" t="n"/>
      <c r="E703" s="30">
        <f>IF(B703="","",IFERROR(INDEX('Holders'!$B$4:$B$1003,MATCH(B703,'Holders'!$A$4:$A$1003,0)),""))</f>
        <v/>
      </c>
      <c r="F703" s="30">
        <f t="array" ref="F703">IF(B703="","",_xlfn.TEXTJOIN(", ",TRUE,IF(('Companies'!$A$4:$A$63&lt;&gt;"")*(COUNTIFS('Holdings'!$A$4:$A$2503,B703,'Holdings'!$J$4:$J$2503,'Companies'!$A$4:$A$63,'Holdings'!$L$4:$L$2503,"Yes",'Holdings'!$C$4:$C$2503,"&gt;0")&gt;0),'Companies'!$A$4:$A$63,"")))</f>
        <v/>
      </c>
      <c r="G703" s="30">
        <f>IF(A703="","",IF(COUNTIF('People'!$A$4:$A$1003,A703)=0,"Email not on People",IF(COUNTIF('Holders'!$A$4:$A$1003,B703)=0,"Unknown holder ID",IF(COUNTIFS($A$4:$A$1503,A703,$B$4:$B$1503,B703)&gt;1,"Duplicate link",IF(C703="","Missing access","OK")))))</f>
        <v/>
      </c>
    </row>
    <row r="704">
      <c r="A704" s="26" t="n"/>
      <c r="B704" s="26" t="n"/>
      <c r="C704" s="26" t="n"/>
      <c r="D704" s="26" t="n"/>
      <c r="E704" s="30">
        <f>IF(B704="","",IFERROR(INDEX('Holders'!$B$4:$B$1003,MATCH(B704,'Holders'!$A$4:$A$1003,0)),""))</f>
        <v/>
      </c>
      <c r="F704" s="30">
        <f t="array" ref="F704">IF(B704="","",_xlfn.TEXTJOIN(", ",TRUE,IF(('Companies'!$A$4:$A$63&lt;&gt;"")*(COUNTIFS('Holdings'!$A$4:$A$2503,B704,'Holdings'!$J$4:$J$2503,'Companies'!$A$4:$A$63,'Holdings'!$L$4:$L$2503,"Yes",'Holdings'!$C$4:$C$2503,"&gt;0")&gt;0),'Companies'!$A$4:$A$63,"")))</f>
        <v/>
      </c>
      <c r="G704" s="30">
        <f>IF(A704="","",IF(COUNTIF('People'!$A$4:$A$1003,A704)=0,"Email not on People",IF(COUNTIF('Holders'!$A$4:$A$1003,B704)=0,"Unknown holder ID",IF(COUNTIFS($A$4:$A$1503,A704,$B$4:$B$1503,B704)&gt;1,"Duplicate link",IF(C704="","Missing access","OK")))))</f>
        <v/>
      </c>
    </row>
    <row r="705">
      <c r="A705" s="26" t="n"/>
      <c r="B705" s="26" t="n"/>
      <c r="C705" s="26" t="n"/>
      <c r="D705" s="26" t="n"/>
      <c r="E705" s="30">
        <f>IF(B705="","",IFERROR(INDEX('Holders'!$B$4:$B$1003,MATCH(B705,'Holders'!$A$4:$A$1003,0)),""))</f>
        <v/>
      </c>
      <c r="F705" s="30">
        <f t="array" ref="F705">IF(B705="","",_xlfn.TEXTJOIN(", ",TRUE,IF(('Companies'!$A$4:$A$63&lt;&gt;"")*(COUNTIFS('Holdings'!$A$4:$A$2503,B705,'Holdings'!$J$4:$J$2503,'Companies'!$A$4:$A$63,'Holdings'!$L$4:$L$2503,"Yes",'Holdings'!$C$4:$C$2503,"&gt;0")&gt;0),'Companies'!$A$4:$A$63,"")))</f>
        <v/>
      </c>
      <c r="G705" s="30">
        <f>IF(A705="","",IF(COUNTIF('People'!$A$4:$A$1003,A705)=0,"Email not on People",IF(COUNTIF('Holders'!$A$4:$A$1003,B705)=0,"Unknown holder ID",IF(COUNTIFS($A$4:$A$1503,A705,$B$4:$B$1503,B705)&gt;1,"Duplicate link",IF(C705="","Missing access","OK")))))</f>
        <v/>
      </c>
    </row>
    <row r="706">
      <c r="A706" s="26" t="n"/>
      <c r="B706" s="26" t="n"/>
      <c r="C706" s="26" t="n"/>
      <c r="D706" s="26" t="n"/>
      <c r="E706" s="30">
        <f>IF(B706="","",IFERROR(INDEX('Holders'!$B$4:$B$1003,MATCH(B706,'Holders'!$A$4:$A$1003,0)),""))</f>
        <v/>
      </c>
      <c r="F706" s="30">
        <f t="array" ref="F706">IF(B706="","",_xlfn.TEXTJOIN(", ",TRUE,IF(('Companies'!$A$4:$A$63&lt;&gt;"")*(COUNTIFS('Holdings'!$A$4:$A$2503,B706,'Holdings'!$J$4:$J$2503,'Companies'!$A$4:$A$63,'Holdings'!$L$4:$L$2503,"Yes",'Holdings'!$C$4:$C$2503,"&gt;0")&gt;0),'Companies'!$A$4:$A$63,"")))</f>
        <v/>
      </c>
      <c r="G706" s="30">
        <f>IF(A706="","",IF(COUNTIF('People'!$A$4:$A$1003,A706)=0,"Email not on People",IF(COUNTIF('Holders'!$A$4:$A$1003,B706)=0,"Unknown holder ID",IF(COUNTIFS($A$4:$A$1503,A706,$B$4:$B$1503,B706)&gt;1,"Duplicate link",IF(C706="","Missing access","OK")))))</f>
        <v/>
      </c>
    </row>
    <row r="707">
      <c r="A707" s="26" t="n"/>
      <c r="B707" s="26" t="n"/>
      <c r="C707" s="26" t="n"/>
      <c r="D707" s="26" t="n"/>
      <c r="E707" s="30">
        <f>IF(B707="","",IFERROR(INDEX('Holders'!$B$4:$B$1003,MATCH(B707,'Holders'!$A$4:$A$1003,0)),""))</f>
        <v/>
      </c>
      <c r="F707" s="30">
        <f t="array" ref="F707">IF(B707="","",_xlfn.TEXTJOIN(", ",TRUE,IF(('Companies'!$A$4:$A$63&lt;&gt;"")*(COUNTIFS('Holdings'!$A$4:$A$2503,B707,'Holdings'!$J$4:$J$2503,'Companies'!$A$4:$A$63,'Holdings'!$L$4:$L$2503,"Yes",'Holdings'!$C$4:$C$2503,"&gt;0")&gt;0),'Companies'!$A$4:$A$63,"")))</f>
        <v/>
      </c>
      <c r="G707" s="30">
        <f>IF(A707="","",IF(COUNTIF('People'!$A$4:$A$1003,A707)=0,"Email not on People",IF(COUNTIF('Holders'!$A$4:$A$1003,B707)=0,"Unknown holder ID",IF(COUNTIFS($A$4:$A$1503,A707,$B$4:$B$1503,B707)&gt;1,"Duplicate link",IF(C707="","Missing access","OK")))))</f>
        <v/>
      </c>
    </row>
    <row r="708">
      <c r="A708" s="26" t="n"/>
      <c r="B708" s="26" t="n"/>
      <c r="C708" s="26" t="n"/>
      <c r="D708" s="26" t="n"/>
      <c r="E708" s="30">
        <f>IF(B708="","",IFERROR(INDEX('Holders'!$B$4:$B$1003,MATCH(B708,'Holders'!$A$4:$A$1003,0)),""))</f>
        <v/>
      </c>
      <c r="F708" s="30">
        <f t="array" ref="F708">IF(B708="","",_xlfn.TEXTJOIN(", ",TRUE,IF(('Companies'!$A$4:$A$63&lt;&gt;"")*(COUNTIFS('Holdings'!$A$4:$A$2503,B708,'Holdings'!$J$4:$J$2503,'Companies'!$A$4:$A$63,'Holdings'!$L$4:$L$2503,"Yes",'Holdings'!$C$4:$C$2503,"&gt;0")&gt;0),'Companies'!$A$4:$A$63,"")))</f>
        <v/>
      </c>
      <c r="G708" s="30">
        <f>IF(A708="","",IF(COUNTIF('People'!$A$4:$A$1003,A708)=0,"Email not on People",IF(COUNTIF('Holders'!$A$4:$A$1003,B708)=0,"Unknown holder ID",IF(COUNTIFS($A$4:$A$1503,A708,$B$4:$B$1503,B708)&gt;1,"Duplicate link",IF(C708="","Missing access","OK")))))</f>
        <v/>
      </c>
    </row>
    <row r="709">
      <c r="A709" s="26" t="n"/>
      <c r="B709" s="26" t="n"/>
      <c r="C709" s="26" t="n"/>
      <c r="D709" s="26" t="n"/>
      <c r="E709" s="30">
        <f>IF(B709="","",IFERROR(INDEX('Holders'!$B$4:$B$1003,MATCH(B709,'Holders'!$A$4:$A$1003,0)),""))</f>
        <v/>
      </c>
      <c r="F709" s="30">
        <f t="array" ref="F709">IF(B709="","",_xlfn.TEXTJOIN(", ",TRUE,IF(('Companies'!$A$4:$A$63&lt;&gt;"")*(COUNTIFS('Holdings'!$A$4:$A$2503,B709,'Holdings'!$J$4:$J$2503,'Companies'!$A$4:$A$63,'Holdings'!$L$4:$L$2503,"Yes",'Holdings'!$C$4:$C$2503,"&gt;0")&gt;0),'Companies'!$A$4:$A$63,"")))</f>
        <v/>
      </c>
      <c r="G709" s="30">
        <f>IF(A709="","",IF(COUNTIF('People'!$A$4:$A$1003,A709)=0,"Email not on People",IF(COUNTIF('Holders'!$A$4:$A$1003,B709)=0,"Unknown holder ID",IF(COUNTIFS($A$4:$A$1503,A709,$B$4:$B$1503,B709)&gt;1,"Duplicate link",IF(C709="","Missing access","OK")))))</f>
        <v/>
      </c>
    </row>
    <row r="710">
      <c r="A710" s="26" t="n"/>
      <c r="B710" s="26" t="n"/>
      <c r="C710" s="26" t="n"/>
      <c r="D710" s="26" t="n"/>
      <c r="E710" s="30">
        <f>IF(B710="","",IFERROR(INDEX('Holders'!$B$4:$B$1003,MATCH(B710,'Holders'!$A$4:$A$1003,0)),""))</f>
        <v/>
      </c>
      <c r="F710" s="30">
        <f t="array" ref="F710">IF(B710="","",_xlfn.TEXTJOIN(", ",TRUE,IF(('Companies'!$A$4:$A$63&lt;&gt;"")*(COUNTIFS('Holdings'!$A$4:$A$2503,B710,'Holdings'!$J$4:$J$2503,'Companies'!$A$4:$A$63,'Holdings'!$L$4:$L$2503,"Yes",'Holdings'!$C$4:$C$2503,"&gt;0")&gt;0),'Companies'!$A$4:$A$63,"")))</f>
        <v/>
      </c>
      <c r="G710" s="30">
        <f>IF(A710="","",IF(COUNTIF('People'!$A$4:$A$1003,A710)=0,"Email not on People",IF(COUNTIF('Holders'!$A$4:$A$1003,B710)=0,"Unknown holder ID",IF(COUNTIFS($A$4:$A$1503,A710,$B$4:$B$1503,B710)&gt;1,"Duplicate link",IF(C710="","Missing access","OK")))))</f>
        <v/>
      </c>
    </row>
    <row r="711">
      <c r="A711" s="26" t="n"/>
      <c r="B711" s="26" t="n"/>
      <c r="C711" s="26" t="n"/>
      <c r="D711" s="26" t="n"/>
      <c r="E711" s="30">
        <f>IF(B711="","",IFERROR(INDEX('Holders'!$B$4:$B$1003,MATCH(B711,'Holders'!$A$4:$A$1003,0)),""))</f>
        <v/>
      </c>
      <c r="F711" s="30">
        <f t="array" ref="F711">IF(B711="","",_xlfn.TEXTJOIN(", ",TRUE,IF(('Companies'!$A$4:$A$63&lt;&gt;"")*(COUNTIFS('Holdings'!$A$4:$A$2503,B711,'Holdings'!$J$4:$J$2503,'Companies'!$A$4:$A$63,'Holdings'!$L$4:$L$2503,"Yes",'Holdings'!$C$4:$C$2503,"&gt;0")&gt;0),'Companies'!$A$4:$A$63,"")))</f>
        <v/>
      </c>
      <c r="G711" s="30">
        <f>IF(A711="","",IF(COUNTIF('People'!$A$4:$A$1003,A711)=0,"Email not on People",IF(COUNTIF('Holders'!$A$4:$A$1003,B711)=0,"Unknown holder ID",IF(COUNTIFS($A$4:$A$1503,A711,$B$4:$B$1503,B711)&gt;1,"Duplicate link",IF(C711="","Missing access","OK")))))</f>
        <v/>
      </c>
    </row>
    <row r="712">
      <c r="A712" s="26" t="n"/>
      <c r="B712" s="26" t="n"/>
      <c r="C712" s="26" t="n"/>
      <c r="D712" s="26" t="n"/>
      <c r="E712" s="30">
        <f>IF(B712="","",IFERROR(INDEX('Holders'!$B$4:$B$1003,MATCH(B712,'Holders'!$A$4:$A$1003,0)),""))</f>
        <v/>
      </c>
      <c r="F712" s="30">
        <f t="array" ref="F712">IF(B712="","",_xlfn.TEXTJOIN(", ",TRUE,IF(('Companies'!$A$4:$A$63&lt;&gt;"")*(COUNTIFS('Holdings'!$A$4:$A$2503,B712,'Holdings'!$J$4:$J$2503,'Companies'!$A$4:$A$63,'Holdings'!$L$4:$L$2503,"Yes",'Holdings'!$C$4:$C$2503,"&gt;0")&gt;0),'Companies'!$A$4:$A$63,"")))</f>
        <v/>
      </c>
      <c r="G712" s="30">
        <f>IF(A712="","",IF(COUNTIF('People'!$A$4:$A$1003,A712)=0,"Email not on People",IF(COUNTIF('Holders'!$A$4:$A$1003,B712)=0,"Unknown holder ID",IF(COUNTIFS($A$4:$A$1503,A712,$B$4:$B$1503,B712)&gt;1,"Duplicate link",IF(C712="","Missing access","OK")))))</f>
        <v/>
      </c>
    </row>
    <row r="713">
      <c r="A713" s="26" t="n"/>
      <c r="B713" s="26" t="n"/>
      <c r="C713" s="26" t="n"/>
      <c r="D713" s="26" t="n"/>
      <c r="E713" s="30">
        <f>IF(B713="","",IFERROR(INDEX('Holders'!$B$4:$B$1003,MATCH(B713,'Holders'!$A$4:$A$1003,0)),""))</f>
        <v/>
      </c>
      <c r="F713" s="30">
        <f t="array" ref="F713">IF(B713="","",_xlfn.TEXTJOIN(", ",TRUE,IF(('Companies'!$A$4:$A$63&lt;&gt;"")*(COUNTIFS('Holdings'!$A$4:$A$2503,B713,'Holdings'!$J$4:$J$2503,'Companies'!$A$4:$A$63,'Holdings'!$L$4:$L$2503,"Yes",'Holdings'!$C$4:$C$2503,"&gt;0")&gt;0),'Companies'!$A$4:$A$63,"")))</f>
        <v/>
      </c>
      <c r="G713" s="30">
        <f>IF(A713="","",IF(COUNTIF('People'!$A$4:$A$1003,A713)=0,"Email not on People",IF(COUNTIF('Holders'!$A$4:$A$1003,B713)=0,"Unknown holder ID",IF(COUNTIFS($A$4:$A$1503,A713,$B$4:$B$1503,B713)&gt;1,"Duplicate link",IF(C713="","Missing access","OK")))))</f>
        <v/>
      </c>
    </row>
    <row r="714">
      <c r="A714" s="26" t="n"/>
      <c r="B714" s="26" t="n"/>
      <c r="C714" s="26" t="n"/>
      <c r="D714" s="26" t="n"/>
      <c r="E714" s="30">
        <f>IF(B714="","",IFERROR(INDEX('Holders'!$B$4:$B$1003,MATCH(B714,'Holders'!$A$4:$A$1003,0)),""))</f>
        <v/>
      </c>
      <c r="F714" s="30">
        <f t="array" ref="F714">IF(B714="","",_xlfn.TEXTJOIN(", ",TRUE,IF(('Companies'!$A$4:$A$63&lt;&gt;"")*(COUNTIFS('Holdings'!$A$4:$A$2503,B714,'Holdings'!$J$4:$J$2503,'Companies'!$A$4:$A$63,'Holdings'!$L$4:$L$2503,"Yes",'Holdings'!$C$4:$C$2503,"&gt;0")&gt;0),'Companies'!$A$4:$A$63,"")))</f>
        <v/>
      </c>
      <c r="G714" s="30">
        <f>IF(A714="","",IF(COUNTIF('People'!$A$4:$A$1003,A714)=0,"Email not on People",IF(COUNTIF('Holders'!$A$4:$A$1003,B714)=0,"Unknown holder ID",IF(COUNTIFS($A$4:$A$1503,A714,$B$4:$B$1503,B714)&gt;1,"Duplicate link",IF(C714="","Missing access","OK")))))</f>
        <v/>
      </c>
    </row>
    <row r="715">
      <c r="A715" s="26" t="n"/>
      <c r="B715" s="26" t="n"/>
      <c r="C715" s="26" t="n"/>
      <c r="D715" s="26" t="n"/>
      <c r="E715" s="30">
        <f>IF(B715="","",IFERROR(INDEX('Holders'!$B$4:$B$1003,MATCH(B715,'Holders'!$A$4:$A$1003,0)),""))</f>
        <v/>
      </c>
      <c r="F715" s="30">
        <f t="array" ref="F715">IF(B715="","",_xlfn.TEXTJOIN(", ",TRUE,IF(('Companies'!$A$4:$A$63&lt;&gt;"")*(COUNTIFS('Holdings'!$A$4:$A$2503,B715,'Holdings'!$J$4:$J$2503,'Companies'!$A$4:$A$63,'Holdings'!$L$4:$L$2503,"Yes",'Holdings'!$C$4:$C$2503,"&gt;0")&gt;0),'Companies'!$A$4:$A$63,"")))</f>
        <v/>
      </c>
      <c r="G715" s="30">
        <f>IF(A715="","",IF(COUNTIF('People'!$A$4:$A$1003,A715)=0,"Email not on People",IF(COUNTIF('Holders'!$A$4:$A$1003,B715)=0,"Unknown holder ID",IF(COUNTIFS($A$4:$A$1503,A715,$B$4:$B$1503,B715)&gt;1,"Duplicate link",IF(C715="","Missing access","OK")))))</f>
        <v/>
      </c>
    </row>
    <row r="716">
      <c r="A716" s="26" t="n"/>
      <c r="B716" s="26" t="n"/>
      <c r="C716" s="26" t="n"/>
      <c r="D716" s="26" t="n"/>
      <c r="E716" s="30">
        <f>IF(B716="","",IFERROR(INDEX('Holders'!$B$4:$B$1003,MATCH(B716,'Holders'!$A$4:$A$1003,0)),""))</f>
        <v/>
      </c>
      <c r="F716" s="30">
        <f t="array" ref="F716">IF(B716="","",_xlfn.TEXTJOIN(", ",TRUE,IF(('Companies'!$A$4:$A$63&lt;&gt;"")*(COUNTIFS('Holdings'!$A$4:$A$2503,B716,'Holdings'!$J$4:$J$2503,'Companies'!$A$4:$A$63,'Holdings'!$L$4:$L$2503,"Yes",'Holdings'!$C$4:$C$2503,"&gt;0")&gt;0),'Companies'!$A$4:$A$63,"")))</f>
        <v/>
      </c>
      <c r="G716" s="30">
        <f>IF(A716="","",IF(COUNTIF('People'!$A$4:$A$1003,A716)=0,"Email not on People",IF(COUNTIF('Holders'!$A$4:$A$1003,B716)=0,"Unknown holder ID",IF(COUNTIFS($A$4:$A$1503,A716,$B$4:$B$1503,B716)&gt;1,"Duplicate link",IF(C716="","Missing access","OK")))))</f>
        <v/>
      </c>
    </row>
    <row r="717">
      <c r="A717" s="26" t="n"/>
      <c r="B717" s="26" t="n"/>
      <c r="C717" s="26" t="n"/>
      <c r="D717" s="26" t="n"/>
      <c r="E717" s="30">
        <f>IF(B717="","",IFERROR(INDEX('Holders'!$B$4:$B$1003,MATCH(B717,'Holders'!$A$4:$A$1003,0)),""))</f>
        <v/>
      </c>
      <c r="F717" s="30">
        <f t="array" ref="F717">IF(B717="","",_xlfn.TEXTJOIN(", ",TRUE,IF(('Companies'!$A$4:$A$63&lt;&gt;"")*(COUNTIFS('Holdings'!$A$4:$A$2503,B717,'Holdings'!$J$4:$J$2503,'Companies'!$A$4:$A$63,'Holdings'!$L$4:$L$2503,"Yes",'Holdings'!$C$4:$C$2503,"&gt;0")&gt;0),'Companies'!$A$4:$A$63,"")))</f>
        <v/>
      </c>
      <c r="G717" s="30">
        <f>IF(A717="","",IF(COUNTIF('People'!$A$4:$A$1003,A717)=0,"Email not on People",IF(COUNTIF('Holders'!$A$4:$A$1003,B717)=0,"Unknown holder ID",IF(COUNTIFS($A$4:$A$1503,A717,$B$4:$B$1503,B717)&gt;1,"Duplicate link",IF(C717="","Missing access","OK")))))</f>
        <v/>
      </c>
    </row>
    <row r="718">
      <c r="A718" s="26" t="n"/>
      <c r="B718" s="26" t="n"/>
      <c r="C718" s="26" t="n"/>
      <c r="D718" s="26" t="n"/>
      <c r="E718" s="30">
        <f>IF(B718="","",IFERROR(INDEX('Holders'!$B$4:$B$1003,MATCH(B718,'Holders'!$A$4:$A$1003,0)),""))</f>
        <v/>
      </c>
      <c r="F718" s="30">
        <f t="array" ref="F718">IF(B718="","",_xlfn.TEXTJOIN(", ",TRUE,IF(('Companies'!$A$4:$A$63&lt;&gt;"")*(COUNTIFS('Holdings'!$A$4:$A$2503,B718,'Holdings'!$J$4:$J$2503,'Companies'!$A$4:$A$63,'Holdings'!$L$4:$L$2503,"Yes",'Holdings'!$C$4:$C$2503,"&gt;0")&gt;0),'Companies'!$A$4:$A$63,"")))</f>
        <v/>
      </c>
      <c r="G718" s="30">
        <f>IF(A718="","",IF(COUNTIF('People'!$A$4:$A$1003,A718)=0,"Email not on People",IF(COUNTIF('Holders'!$A$4:$A$1003,B718)=0,"Unknown holder ID",IF(COUNTIFS($A$4:$A$1503,A718,$B$4:$B$1503,B718)&gt;1,"Duplicate link",IF(C718="","Missing access","OK")))))</f>
        <v/>
      </c>
    </row>
    <row r="719">
      <c r="A719" s="26" t="n"/>
      <c r="B719" s="26" t="n"/>
      <c r="C719" s="26" t="n"/>
      <c r="D719" s="26" t="n"/>
      <c r="E719" s="30">
        <f>IF(B719="","",IFERROR(INDEX('Holders'!$B$4:$B$1003,MATCH(B719,'Holders'!$A$4:$A$1003,0)),""))</f>
        <v/>
      </c>
      <c r="F719" s="30">
        <f t="array" ref="F719">IF(B719="","",_xlfn.TEXTJOIN(", ",TRUE,IF(('Companies'!$A$4:$A$63&lt;&gt;"")*(COUNTIFS('Holdings'!$A$4:$A$2503,B719,'Holdings'!$J$4:$J$2503,'Companies'!$A$4:$A$63,'Holdings'!$L$4:$L$2503,"Yes",'Holdings'!$C$4:$C$2503,"&gt;0")&gt;0),'Companies'!$A$4:$A$63,"")))</f>
        <v/>
      </c>
      <c r="G719" s="30">
        <f>IF(A719="","",IF(COUNTIF('People'!$A$4:$A$1003,A719)=0,"Email not on People",IF(COUNTIF('Holders'!$A$4:$A$1003,B719)=0,"Unknown holder ID",IF(COUNTIFS($A$4:$A$1503,A719,$B$4:$B$1503,B719)&gt;1,"Duplicate link",IF(C719="","Missing access","OK")))))</f>
        <v/>
      </c>
    </row>
    <row r="720">
      <c r="A720" s="26" t="n"/>
      <c r="B720" s="26" t="n"/>
      <c r="C720" s="26" t="n"/>
      <c r="D720" s="26" t="n"/>
      <c r="E720" s="30">
        <f>IF(B720="","",IFERROR(INDEX('Holders'!$B$4:$B$1003,MATCH(B720,'Holders'!$A$4:$A$1003,0)),""))</f>
        <v/>
      </c>
      <c r="F720" s="30">
        <f t="array" ref="F720">IF(B720="","",_xlfn.TEXTJOIN(", ",TRUE,IF(('Companies'!$A$4:$A$63&lt;&gt;"")*(COUNTIFS('Holdings'!$A$4:$A$2503,B720,'Holdings'!$J$4:$J$2503,'Companies'!$A$4:$A$63,'Holdings'!$L$4:$L$2503,"Yes",'Holdings'!$C$4:$C$2503,"&gt;0")&gt;0),'Companies'!$A$4:$A$63,"")))</f>
        <v/>
      </c>
      <c r="G720" s="30">
        <f>IF(A720="","",IF(COUNTIF('People'!$A$4:$A$1003,A720)=0,"Email not on People",IF(COUNTIF('Holders'!$A$4:$A$1003,B720)=0,"Unknown holder ID",IF(COUNTIFS($A$4:$A$1503,A720,$B$4:$B$1503,B720)&gt;1,"Duplicate link",IF(C720="","Missing access","OK")))))</f>
        <v/>
      </c>
    </row>
    <row r="721">
      <c r="A721" s="26" t="n"/>
      <c r="B721" s="26" t="n"/>
      <c r="C721" s="26" t="n"/>
      <c r="D721" s="26" t="n"/>
      <c r="E721" s="30">
        <f>IF(B721="","",IFERROR(INDEX('Holders'!$B$4:$B$1003,MATCH(B721,'Holders'!$A$4:$A$1003,0)),""))</f>
        <v/>
      </c>
      <c r="F721" s="30">
        <f t="array" ref="F721">IF(B721="","",_xlfn.TEXTJOIN(", ",TRUE,IF(('Companies'!$A$4:$A$63&lt;&gt;"")*(COUNTIFS('Holdings'!$A$4:$A$2503,B721,'Holdings'!$J$4:$J$2503,'Companies'!$A$4:$A$63,'Holdings'!$L$4:$L$2503,"Yes",'Holdings'!$C$4:$C$2503,"&gt;0")&gt;0),'Companies'!$A$4:$A$63,"")))</f>
        <v/>
      </c>
      <c r="G721" s="30">
        <f>IF(A721="","",IF(COUNTIF('People'!$A$4:$A$1003,A721)=0,"Email not on People",IF(COUNTIF('Holders'!$A$4:$A$1003,B721)=0,"Unknown holder ID",IF(COUNTIFS($A$4:$A$1503,A721,$B$4:$B$1503,B721)&gt;1,"Duplicate link",IF(C721="","Missing access","OK")))))</f>
        <v/>
      </c>
    </row>
    <row r="722">
      <c r="A722" s="26" t="n"/>
      <c r="B722" s="26" t="n"/>
      <c r="C722" s="26" t="n"/>
      <c r="D722" s="26" t="n"/>
      <c r="E722" s="30">
        <f>IF(B722="","",IFERROR(INDEX('Holders'!$B$4:$B$1003,MATCH(B722,'Holders'!$A$4:$A$1003,0)),""))</f>
        <v/>
      </c>
      <c r="F722" s="30">
        <f t="array" ref="F722">IF(B722="","",_xlfn.TEXTJOIN(", ",TRUE,IF(('Companies'!$A$4:$A$63&lt;&gt;"")*(COUNTIFS('Holdings'!$A$4:$A$2503,B722,'Holdings'!$J$4:$J$2503,'Companies'!$A$4:$A$63,'Holdings'!$L$4:$L$2503,"Yes",'Holdings'!$C$4:$C$2503,"&gt;0")&gt;0),'Companies'!$A$4:$A$63,"")))</f>
        <v/>
      </c>
      <c r="G722" s="30">
        <f>IF(A722="","",IF(COUNTIF('People'!$A$4:$A$1003,A722)=0,"Email not on People",IF(COUNTIF('Holders'!$A$4:$A$1003,B722)=0,"Unknown holder ID",IF(COUNTIFS($A$4:$A$1503,A722,$B$4:$B$1503,B722)&gt;1,"Duplicate link",IF(C722="","Missing access","OK")))))</f>
        <v/>
      </c>
    </row>
    <row r="723">
      <c r="A723" s="26" t="n"/>
      <c r="B723" s="26" t="n"/>
      <c r="C723" s="26" t="n"/>
      <c r="D723" s="26" t="n"/>
      <c r="E723" s="30">
        <f>IF(B723="","",IFERROR(INDEX('Holders'!$B$4:$B$1003,MATCH(B723,'Holders'!$A$4:$A$1003,0)),""))</f>
        <v/>
      </c>
      <c r="F723" s="30">
        <f t="array" ref="F723">IF(B723="","",_xlfn.TEXTJOIN(", ",TRUE,IF(('Companies'!$A$4:$A$63&lt;&gt;"")*(COUNTIFS('Holdings'!$A$4:$A$2503,B723,'Holdings'!$J$4:$J$2503,'Companies'!$A$4:$A$63,'Holdings'!$L$4:$L$2503,"Yes",'Holdings'!$C$4:$C$2503,"&gt;0")&gt;0),'Companies'!$A$4:$A$63,"")))</f>
        <v/>
      </c>
      <c r="G723" s="30">
        <f>IF(A723="","",IF(COUNTIF('People'!$A$4:$A$1003,A723)=0,"Email not on People",IF(COUNTIF('Holders'!$A$4:$A$1003,B723)=0,"Unknown holder ID",IF(COUNTIFS($A$4:$A$1503,A723,$B$4:$B$1503,B723)&gt;1,"Duplicate link",IF(C723="","Missing access","OK")))))</f>
        <v/>
      </c>
    </row>
    <row r="724">
      <c r="A724" s="26" t="n"/>
      <c r="B724" s="26" t="n"/>
      <c r="C724" s="26" t="n"/>
      <c r="D724" s="26" t="n"/>
      <c r="E724" s="30">
        <f>IF(B724="","",IFERROR(INDEX('Holders'!$B$4:$B$1003,MATCH(B724,'Holders'!$A$4:$A$1003,0)),""))</f>
        <v/>
      </c>
      <c r="F724" s="30">
        <f t="array" ref="F724">IF(B724="","",_xlfn.TEXTJOIN(", ",TRUE,IF(('Companies'!$A$4:$A$63&lt;&gt;"")*(COUNTIFS('Holdings'!$A$4:$A$2503,B724,'Holdings'!$J$4:$J$2503,'Companies'!$A$4:$A$63,'Holdings'!$L$4:$L$2503,"Yes",'Holdings'!$C$4:$C$2503,"&gt;0")&gt;0),'Companies'!$A$4:$A$63,"")))</f>
        <v/>
      </c>
      <c r="G724" s="30">
        <f>IF(A724="","",IF(COUNTIF('People'!$A$4:$A$1003,A724)=0,"Email not on People",IF(COUNTIF('Holders'!$A$4:$A$1003,B724)=0,"Unknown holder ID",IF(COUNTIFS($A$4:$A$1503,A724,$B$4:$B$1503,B724)&gt;1,"Duplicate link",IF(C724="","Missing access","OK")))))</f>
        <v/>
      </c>
    </row>
    <row r="725">
      <c r="A725" s="26" t="n"/>
      <c r="B725" s="26" t="n"/>
      <c r="C725" s="26" t="n"/>
      <c r="D725" s="26" t="n"/>
      <c r="E725" s="30">
        <f>IF(B725="","",IFERROR(INDEX('Holders'!$B$4:$B$1003,MATCH(B725,'Holders'!$A$4:$A$1003,0)),""))</f>
        <v/>
      </c>
      <c r="F725" s="30">
        <f t="array" ref="F725">IF(B725="","",_xlfn.TEXTJOIN(", ",TRUE,IF(('Companies'!$A$4:$A$63&lt;&gt;"")*(COUNTIFS('Holdings'!$A$4:$A$2503,B725,'Holdings'!$J$4:$J$2503,'Companies'!$A$4:$A$63,'Holdings'!$L$4:$L$2503,"Yes",'Holdings'!$C$4:$C$2503,"&gt;0")&gt;0),'Companies'!$A$4:$A$63,"")))</f>
        <v/>
      </c>
      <c r="G725" s="30">
        <f>IF(A725="","",IF(COUNTIF('People'!$A$4:$A$1003,A725)=0,"Email not on People",IF(COUNTIF('Holders'!$A$4:$A$1003,B725)=0,"Unknown holder ID",IF(COUNTIFS($A$4:$A$1503,A725,$B$4:$B$1503,B725)&gt;1,"Duplicate link",IF(C725="","Missing access","OK")))))</f>
        <v/>
      </c>
    </row>
    <row r="726">
      <c r="A726" s="26" t="n"/>
      <c r="B726" s="26" t="n"/>
      <c r="C726" s="26" t="n"/>
      <c r="D726" s="26" t="n"/>
      <c r="E726" s="30">
        <f>IF(B726="","",IFERROR(INDEX('Holders'!$B$4:$B$1003,MATCH(B726,'Holders'!$A$4:$A$1003,0)),""))</f>
        <v/>
      </c>
      <c r="F726" s="30">
        <f t="array" ref="F726">IF(B726="","",_xlfn.TEXTJOIN(", ",TRUE,IF(('Companies'!$A$4:$A$63&lt;&gt;"")*(COUNTIFS('Holdings'!$A$4:$A$2503,B726,'Holdings'!$J$4:$J$2503,'Companies'!$A$4:$A$63,'Holdings'!$L$4:$L$2503,"Yes",'Holdings'!$C$4:$C$2503,"&gt;0")&gt;0),'Companies'!$A$4:$A$63,"")))</f>
        <v/>
      </c>
      <c r="G726" s="30">
        <f>IF(A726="","",IF(COUNTIF('People'!$A$4:$A$1003,A726)=0,"Email not on People",IF(COUNTIF('Holders'!$A$4:$A$1003,B726)=0,"Unknown holder ID",IF(COUNTIFS($A$4:$A$1503,A726,$B$4:$B$1503,B726)&gt;1,"Duplicate link",IF(C726="","Missing access","OK")))))</f>
        <v/>
      </c>
    </row>
    <row r="727">
      <c r="A727" s="26" t="n"/>
      <c r="B727" s="26" t="n"/>
      <c r="C727" s="26" t="n"/>
      <c r="D727" s="26" t="n"/>
      <c r="E727" s="30">
        <f>IF(B727="","",IFERROR(INDEX('Holders'!$B$4:$B$1003,MATCH(B727,'Holders'!$A$4:$A$1003,0)),""))</f>
        <v/>
      </c>
      <c r="F727" s="30">
        <f t="array" ref="F727">IF(B727="","",_xlfn.TEXTJOIN(", ",TRUE,IF(('Companies'!$A$4:$A$63&lt;&gt;"")*(COUNTIFS('Holdings'!$A$4:$A$2503,B727,'Holdings'!$J$4:$J$2503,'Companies'!$A$4:$A$63,'Holdings'!$L$4:$L$2503,"Yes",'Holdings'!$C$4:$C$2503,"&gt;0")&gt;0),'Companies'!$A$4:$A$63,"")))</f>
        <v/>
      </c>
      <c r="G727" s="30">
        <f>IF(A727="","",IF(COUNTIF('People'!$A$4:$A$1003,A727)=0,"Email not on People",IF(COUNTIF('Holders'!$A$4:$A$1003,B727)=0,"Unknown holder ID",IF(COUNTIFS($A$4:$A$1503,A727,$B$4:$B$1503,B727)&gt;1,"Duplicate link",IF(C727="","Missing access","OK")))))</f>
        <v/>
      </c>
    </row>
    <row r="728">
      <c r="A728" s="26" t="n"/>
      <c r="B728" s="26" t="n"/>
      <c r="C728" s="26" t="n"/>
      <c r="D728" s="26" t="n"/>
      <c r="E728" s="30">
        <f>IF(B728="","",IFERROR(INDEX('Holders'!$B$4:$B$1003,MATCH(B728,'Holders'!$A$4:$A$1003,0)),""))</f>
        <v/>
      </c>
      <c r="F728" s="30">
        <f t="array" ref="F728">IF(B728="","",_xlfn.TEXTJOIN(", ",TRUE,IF(('Companies'!$A$4:$A$63&lt;&gt;"")*(COUNTIFS('Holdings'!$A$4:$A$2503,B728,'Holdings'!$J$4:$J$2503,'Companies'!$A$4:$A$63,'Holdings'!$L$4:$L$2503,"Yes",'Holdings'!$C$4:$C$2503,"&gt;0")&gt;0),'Companies'!$A$4:$A$63,"")))</f>
        <v/>
      </c>
      <c r="G728" s="30">
        <f>IF(A728="","",IF(COUNTIF('People'!$A$4:$A$1003,A728)=0,"Email not on People",IF(COUNTIF('Holders'!$A$4:$A$1003,B728)=0,"Unknown holder ID",IF(COUNTIFS($A$4:$A$1503,A728,$B$4:$B$1503,B728)&gt;1,"Duplicate link",IF(C728="","Missing access","OK")))))</f>
        <v/>
      </c>
    </row>
    <row r="729">
      <c r="A729" s="26" t="n"/>
      <c r="B729" s="26" t="n"/>
      <c r="C729" s="26" t="n"/>
      <c r="D729" s="26" t="n"/>
      <c r="E729" s="30">
        <f>IF(B729="","",IFERROR(INDEX('Holders'!$B$4:$B$1003,MATCH(B729,'Holders'!$A$4:$A$1003,0)),""))</f>
        <v/>
      </c>
      <c r="F729" s="30">
        <f t="array" ref="F729">IF(B729="","",_xlfn.TEXTJOIN(", ",TRUE,IF(('Companies'!$A$4:$A$63&lt;&gt;"")*(COUNTIFS('Holdings'!$A$4:$A$2503,B729,'Holdings'!$J$4:$J$2503,'Companies'!$A$4:$A$63,'Holdings'!$L$4:$L$2503,"Yes",'Holdings'!$C$4:$C$2503,"&gt;0")&gt;0),'Companies'!$A$4:$A$63,"")))</f>
        <v/>
      </c>
      <c r="G729" s="30">
        <f>IF(A729="","",IF(COUNTIF('People'!$A$4:$A$1003,A729)=0,"Email not on People",IF(COUNTIF('Holders'!$A$4:$A$1003,B729)=0,"Unknown holder ID",IF(COUNTIFS($A$4:$A$1503,A729,$B$4:$B$1503,B729)&gt;1,"Duplicate link",IF(C729="","Missing access","OK")))))</f>
        <v/>
      </c>
    </row>
    <row r="730">
      <c r="A730" s="26" t="n"/>
      <c r="B730" s="26" t="n"/>
      <c r="C730" s="26" t="n"/>
      <c r="D730" s="26" t="n"/>
      <c r="E730" s="30">
        <f>IF(B730="","",IFERROR(INDEX('Holders'!$B$4:$B$1003,MATCH(B730,'Holders'!$A$4:$A$1003,0)),""))</f>
        <v/>
      </c>
      <c r="F730" s="30">
        <f t="array" ref="F730">IF(B730="","",_xlfn.TEXTJOIN(", ",TRUE,IF(('Companies'!$A$4:$A$63&lt;&gt;"")*(COUNTIFS('Holdings'!$A$4:$A$2503,B730,'Holdings'!$J$4:$J$2503,'Companies'!$A$4:$A$63,'Holdings'!$L$4:$L$2503,"Yes",'Holdings'!$C$4:$C$2503,"&gt;0")&gt;0),'Companies'!$A$4:$A$63,"")))</f>
        <v/>
      </c>
      <c r="G730" s="30">
        <f>IF(A730="","",IF(COUNTIF('People'!$A$4:$A$1003,A730)=0,"Email not on People",IF(COUNTIF('Holders'!$A$4:$A$1003,B730)=0,"Unknown holder ID",IF(COUNTIFS($A$4:$A$1503,A730,$B$4:$B$1503,B730)&gt;1,"Duplicate link",IF(C730="","Missing access","OK")))))</f>
        <v/>
      </c>
    </row>
    <row r="731">
      <c r="A731" s="26" t="n"/>
      <c r="B731" s="26" t="n"/>
      <c r="C731" s="26" t="n"/>
      <c r="D731" s="26" t="n"/>
      <c r="E731" s="30">
        <f>IF(B731="","",IFERROR(INDEX('Holders'!$B$4:$B$1003,MATCH(B731,'Holders'!$A$4:$A$1003,0)),""))</f>
        <v/>
      </c>
      <c r="F731" s="30">
        <f t="array" ref="F731">IF(B731="","",_xlfn.TEXTJOIN(", ",TRUE,IF(('Companies'!$A$4:$A$63&lt;&gt;"")*(COUNTIFS('Holdings'!$A$4:$A$2503,B731,'Holdings'!$J$4:$J$2503,'Companies'!$A$4:$A$63,'Holdings'!$L$4:$L$2503,"Yes",'Holdings'!$C$4:$C$2503,"&gt;0")&gt;0),'Companies'!$A$4:$A$63,"")))</f>
        <v/>
      </c>
      <c r="G731" s="30">
        <f>IF(A731="","",IF(COUNTIF('People'!$A$4:$A$1003,A731)=0,"Email not on People",IF(COUNTIF('Holders'!$A$4:$A$1003,B731)=0,"Unknown holder ID",IF(COUNTIFS($A$4:$A$1503,A731,$B$4:$B$1503,B731)&gt;1,"Duplicate link",IF(C731="","Missing access","OK")))))</f>
        <v/>
      </c>
    </row>
    <row r="732">
      <c r="A732" s="26" t="n"/>
      <c r="B732" s="26" t="n"/>
      <c r="C732" s="26" t="n"/>
      <c r="D732" s="26" t="n"/>
      <c r="E732" s="30">
        <f>IF(B732="","",IFERROR(INDEX('Holders'!$B$4:$B$1003,MATCH(B732,'Holders'!$A$4:$A$1003,0)),""))</f>
        <v/>
      </c>
      <c r="F732" s="30">
        <f t="array" ref="F732">IF(B732="","",_xlfn.TEXTJOIN(", ",TRUE,IF(('Companies'!$A$4:$A$63&lt;&gt;"")*(COUNTIFS('Holdings'!$A$4:$A$2503,B732,'Holdings'!$J$4:$J$2503,'Companies'!$A$4:$A$63,'Holdings'!$L$4:$L$2503,"Yes",'Holdings'!$C$4:$C$2503,"&gt;0")&gt;0),'Companies'!$A$4:$A$63,"")))</f>
        <v/>
      </c>
      <c r="G732" s="30">
        <f>IF(A732="","",IF(COUNTIF('People'!$A$4:$A$1003,A732)=0,"Email not on People",IF(COUNTIF('Holders'!$A$4:$A$1003,B732)=0,"Unknown holder ID",IF(COUNTIFS($A$4:$A$1503,A732,$B$4:$B$1503,B732)&gt;1,"Duplicate link",IF(C732="","Missing access","OK")))))</f>
        <v/>
      </c>
    </row>
    <row r="733">
      <c r="A733" s="26" t="n"/>
      <c r="B733" s="26" t="n"/>
      <c r="C733" s="26" t="n"/>
      <c r="D733" s="26" t="n"/>
      <c r="E733" s="30">
        <f>IF(B733="","",IFERROR(INDEX('Holders'!$B$4:$B$1003,MATCH(B733,'Holders'!$A$4:$A$1003,0)),""))</f>
        <v/>
      </c>
      <c r="F733" s="30">
        <f t="array" ref="F733">IF(B733="","",_xlfn.TEXTJOIN(", ",TRUE,IF(('Companies'!$A$4:$A$63&lt;&gt;"")*(COUNTIFS('Holdings'!$A$4:$A$2503,B733,'Holdings'!$J$4:$J$2503,'Companies'!$A$4:$A$63,'Holdings'!$L$4:$L$2503,"Yes",'Holdings'!$C$4:$C$2503,"&gt;0")&gt;0),'Companies'!$A$4:$A$63,"")))</f>
        <v/>
      </c>
      <c r="G733" s="30">
        <f>IF(A733="","",IF(COUNTIF('People'!$A$4:$A$1003,A733)=0,"Email not on People",IF(COUNTIF('Holders'!$A$4:$A$1003,B733)=0,"Unknown holder ID",IF(COUNTIFS($A$4:$A$1503,A733,$B$4:$B$1503,B733)&gt;1,"Duplicate link",IF(C733="","Missing access","OK")))))</f>
        <v/>
      </c>
    </row>
    <row r="734">
      <c r="A734" s="26" t="n"/>
      <c r="B734" s="26" t="n"/>
      <c r="C734" s="26" t="n"/>
      <c r="D734" s="26" t="n"/>
      <c r="E734" s="30">
        <f>IF(B734="","",IFERROR(INDEX('Holders'!$B$4:$B$1003,MATCH(B734,'Holders'!$A$4:$A$1003,0)),""))</f>
        <v/>
      </c>
      <c r="F734" s="30">
        <f t="array" ref="F734">IF(B734="","",_xlfn.TEXTJOIN(", ",TRUE,IF(('Companies'!$A$4:$A$63&lt;&gt;"")*(COUNTIFS('Holdings'!$A$4:$A$2503,B734,'Holdings'!$J$4:$J$2503,'Companies'!$A$4:$A$63,'Holdings'!$L$4:$L$2503,"Yes",'Holdings'!$C$4:$C$2503,"&gt;0")&gt;0),'Companies'!$A$4:$A$63,"")))</f>
        <v/>
      </c>
      <c r="G734" s="30">
        <f>IF(A734="","",IF(COUNTIF('People'!$A$4:$A$1003,A734)=0,"Email not on People",IF(COUNTIF('Holders'!$A$4:$A$1003,B734)=0,"Unknown holder ID",IF(COUNTIFS($A$4:$A$1503,A734,$B$4:$B$1503,B734)&gt;1,"Duplicate link",IF(C734="","Missing access","OK")))))</f>
        <v/>
      </c>
    </row>
    <row r="735">
      <c r="A735" s="26" t="n"/>
      <c r="B735" s="26" t="n"/>
      <c r="C735" s="26" t="n"/>
      <c r="D735" s="26" t="n"/>
      <c r="E735" s="30">
        <f>IF(B735="","",IFERROR(INDEX('Holders'!$B$4:$B$1003,MATCH(B735,'Holders'!$A$4:$A$1003,0)),""))</f>
        <v/>
      </c>
      <c r="F735" s="30">
        <f t="array" ref="F735">IF(B735="","",_xlfn.TEXTJOIN(", ",TRUE,IF(('Companies'!$A$4:$A$63&lt;&gt;"")*(COUNTIFS('Holdings'!$A$4:$A$2503,B735,'Holdings'!$J$4:$J$2503,'Companies'!$A$4:$A$63,'Holdings'!$L$4:$L$2503,"Yes",'Holdings'!$C$4:$C$2503,"&gt;0")&gt;0),'Companies'!$A$4:$A$63,"")))</f>
        <v/>
      </c>
      <c r="G735" s="30">
        <f>IF(A735="","",IF(COUNTIF('People'!$A$4:$A$1003,A735)=0,"Email not on People",IF(COUNTIF('Holders'!$A$4:$A$1003,B735)=0,"Unknown holder ID",IF(COUNTIFS($A$4:$A$1503,A735,$B$4:$B$1503,B735)&gt;1,"Duplicate link",IF(C735="","Missing access","OK")))))</f>
        <v/>
      </c>
    </row>
    <row r="736">
      <c r="A736" s="26" t="n"/>
      <c r="B736" s="26" t="n"/>
      <c r="C736" s="26" t="n"/>
      <c r="D736" s="26" t="n"/>
      <c r="E736" s="30">
        <f>IF(B736="","",IFERROR(INDEX('Holders'!$B$4:$B$1003,MATCH(B736,'Holders'!$A$4:$A$1003,0)),""))</f>
        <v/>
      </c>
      <c r="F736" s="30">
        <f t="array" ref="F736">IF(B736="","",_xlfn.TEXTJOIN(", ",TRUE,IF(('Companies'!$A$4:$A$63&lt;&gt;"")*(COUNTIFS('Holdings'!$A$4:$A$2503,B736,'Holdings'!$J$4:$J$2503,'Companies'!$A$4:$A$63,'Holdings'!$L$4:$L$2503,"Yes",'Holdings'!$C$4:$C$2503,"&gt;0")&gt;0),'Companies'!$A$4:$A$63,"")))</f>
        <v/>
      </c>
      <c r="G736" s="30">
        <f>IF(A736="","",IF(COUNTIF('People'!$A$4:$A$1003,A736)=0,"Email not on People",IF(COUNTIF('Holders'!$A$4:$A$1003,B736)=0,"Unknown holder ID",IF(COUNTIFS($A$4:$A$1503,A736,$B$4:$B$1503,B736)&gt;1,"Duplicate link",IF(C736="","Missing access","OK")))))</f>
        <v/>
      </c>
    </row>
    <row r="737">
      <c r="A737" s="26" t="n"/>
      <c r="B737" s="26" t="n"/>
      <c r="C737" s="26" t="n"/>
      <c r="D737" s="26" t="n"/>
      <c r="E737" s="30">
        <f>IF(B737="","",IFERROR(INDEX('Holders'!$B$4:$B$1003,MATCH(B737,'Holders'!$A$4:$A$1003,0)),""))</f>
        <v/>
      </c>
      <c r="F737" s="30">
        <f t="array" ref="F737">IF(B737="","",_xlfn.TEXTJOIN(", ",TRUE,IF(('Companies'!$A$4:$A$63&lt;&gt;"")*(COUNTIFS('Holdings'!$A$4:$A$2503,B737,'Holdings'!$J$4:$J$2503,'Companies'!$A$4:$A$63,'Holdings'!$L$4:$L$2503,"Yes",'Holdings'!$C$4:$C$2503,"&gt;0")&gt;0),'Companies'!$A$4:$A$63,"")))</f>
        <v/>
      </c>
      <c r="G737" s="30">
        <f>IF(A737="","",IF(COUNTIF('People'!$A$4:$A$1003,A737)=0,"Email not on People",IF(COUNTIF('Holders'!$A$4:$A$1003,B737)=0,"Unknown holder ID",IF(COUNTIFS($A$4:$A$1503,A737,$B$4:$B$1503,B737)&gt;1,"Duplicate link",IF(C737="","Missing access","OK")))))</f>
        <v/>
      </c>
    </row>
    <row r="738">
      <c r="A738" s="26" t="n"/>
      <c r="B738" s="26" t="n"/>
      <c r="C738" s="26" t="n"/>
      <c r="D738" s="26" t="n"/>
      <c r="E738" s="30">
        <f>IF(B738="","",IFERROR(INDEX('Holders'!$B$4:$B$1003,MATCH(B738,'Holders'!$A$4:$A$1003,0)),""))</f>
        <v/>
      </c>
      <c r="F738" s="30">
        <f t="array" ref="F738">IF(B738="","",_xlfn.TEXTJOIN(", ",TRUE,IF(('Companies'!$A$4:$A$63&lt;&gt;"")*(COUNTIFS('Holdings'!$A$4:$A$2503,B738,'Holdings'!$J$4:$J$2503,'Companies'!$A$4:$A$63,'Holdings'!$L$4:$L$2503,"Yes",'Holdings'!$C$4:$C$2503,"&gt;0")&gt;0),'Companies'!$A$4:$A$63,"")))</f>
        <v/>
      </c>
      <c r="G738" s="30">
        <f>IF(A738="","",IF(COUNTIF('People'!$A$4:$A$1003,A738)=0,"Email not on People",IF(COUNTIF('Holders'!$A$4:$A$1003,B738)=0,"Unknown holder ID",IF(COUNTIFS($A$4:$A$1503,A738,$B$4:$B$1503,B738)&gt;1,"Duplicate link",IF(C738="","Missing access","OK")))))</f>
        <v/>
      </c>
    </row>
    <row r="739">
      <c r="A739" s="26" t="n"/>
      <c r="B739" s="26" t="n"/>
      <c r="C739" s="26" t="n"/>
      <c r="D739" s="26" t="n"/>
      <c r="E739" s="30">
        <f>IF(B739="","",IFERROR(INDEX('Holders'!$B$4:$B$1003,MATCH(B739,'Holders'!$A$4:$A$1003,0)),""))</f>
        <v/>
      </c>
      <c r="F739" s="30">
        <f t="array" ref="F739">IF(B739="","",_xlfn.TEXTJOIN(", ",TRUE,IF(('Companies'!$A$4:$A$63&lt;&gt;"")*(COUNTIFS('Holdings'!$A$4:$A$2503,B739,'Holdings'!$J$4:$J$2503,'Companies'!$A$4:$A$63,'Holdings'!$L$4:$L$2503,"Yes",'Holdings'!$C$4:$C$2503,"&gt;0")&gt;0),'Companies'!$A$4:$A$63,"")))</f>
        <v/>
      </c>
      <c r="G739" s="30">
        <f>IF(A739="","",IF(COUNTIF('People'!$A$4:$A$1003,A739)=0,"Email not on People",IF(COUNTIF('Holders'!$A$4:$A$1003,B739)=0,"Unknown holder ID",IF(COUNTIFS($A$4:$A$1503,A739,$B$4:$B$1503,B739)&gt;1,"Duplicate link",IF(C739="","Missing access","OK")))))</f>
        <v/>
      </c>
    </row>
    <row r="740">
      <c r="A740" s="26" t="n"/>
      <c r="B740" s="26" t="n"/>
      <c r="C740" s="26" t="n"/>
      <c r="D740" s="26" t="n"/>
      <c r="E740" s="30">
        <f>IF(B740="","",IFERROR(INDEX('Holders'!$B$4:$B$1003,MATCH(B740,'Holders'!$A$4:$A$1003,0)),""))</f>
        <v/>
      </c>
      <c r="F740" s="30">
        <f t="array" ref="F740">IF(B740="","",_xlfn.TEXTJOIN(", ",TRUE,IF(('Companies'!$A$4:$A$63&lt;&gt;"")*(COUNTIFS('Holdings'!$A$4:$A$2503,B740,'Holdings'!$J$4:$J$2503,'Companies'!$A$4:$A$63,'Holdings'!$L$4:$L$2503,"Yes",'Holdings'!$C$4:$C$2503,"&gt;0")&gt;0),'Companies'!$A$4:$A$63,"")))</f>
        <v/>
      </c>
      <c r="G740" s="30">
        <f>IF(A740="","",IF(COUNTIF('People'!$A$4:$A$1003,A740)=0,"Email not on People",IF(COUNTIF('Holders'!$A$4:$A$1003,B740)=0,"Unknown holder ID",IF(COUNTIFS($A$4:$A$1503,A740,$B$4:$B$1503,B740)&gt;1,"Duplicate link",IF(C740="","Missing access","OK")))))</f>
        <v/>
      </c>
    </row>
    <row r="741">
      <c r="A741" s="26" t="n"/>
      <c r="B741" s="26" t="n"/>
      <c r="C741" s="26" t="n"/>
      <c r="D741" s="26" t="n"/>
      <c r="E741" s="30">
        <f>IF(B741="","",IFERROR(INDEX('Holders'!$B$4:$B$1003,MATCH(B741,'Holders'!$A$4:$A$1003,0)),""))</f>
        <v/>
      </c>
      <c r="F741" s="30">
        <f t="array" ref="F741">IF(B741="","",_xlfn.TEXTJOIN(", ",TRUE,IF(('Companies'!$A$4:$A$63&lt;&gt;"")*(COUNTIFS('Holdings'!$A$4:$A$2503,B741,'Holdings'!$J$4:$J$2503,'Companies'!$A$4:$A$63,'Holdings'!$L$4:$L$2503,"Yes",'Holdings'!$C$4:$C$2503,"&gt;0")&gt;0),'Companies'!$A$4:$A$63,"")))</f>
        <v/>
      </c>
      <c r="G741" s="30">
        <f>IF(A741="","",IF(COUNTIF('People'!$A$4:$A$1003,A741)=0,"Email not on People",IF(COUNTIF('Holders'!$A$4:$A$1003,B741)=0,"Unknown holder ID",IF(COUNTIFS($A$4:$A$1503,A741,$B$4:$B$1503,B741)&gt;1,"Duplicate link",IF(C741="","Missing access","OK")))))</f>
        <v/>
      </c>
    </row>
    <row r="742">
      <c r="A742" s="26" t="n"/>
      <c r="B742" s="26" t="n"/>
      <c r="C742" s="26" t="n"/>
      <c r="D742" s="26" t="n"/>
      <c r="E742" s="30">
        <f>IF(B742="","",IFERROR(INDEX('Holders'!$B$4:$B$1003,MATCH(B742,'Holders'!$A$4:$A$1003,0)),""))</f>
        <v/>
      </c>
      <c r="F742" s="30">
        <f t="array" ref="F742">IF(B742="","",_xlfn.TEXTJOIN(", ",TRUE,IF(('Companies'!$A$4:$A$63&lt;&gt;"")*(COUNTIFS('Holdings'!$A$4:$A$2503,B742,'Holdings'!$J$4:$J$2503,'Companies'!$A$4:$A$63,'Holdings'!$L$4:$L$2503,"Yes",'Holdings'!$C$4:$C$2503,"&gt;0")&gt;0),'Companies'!$A$4:$A$63,"")))</f>
        <v/>
      </c>
      <c r="G742" s="30">
        <f>IF(A742="","",IF(COUNTIF('People'!$A$4:$A$1003,A742)=0,"Email not on People",IF(COUNTIF('Holders'!$A$4:$A$1003,B742)=0,"Unknown holder ID",IF(COUNTIFS($A$4:$A$1503,A742,$B$4:$B$1503,B742)&gt;1,"Duplicate link",IF(C742="","Missing access","OK")))))</f>
        <v/>
      </c>
    </row>
    <row r="743">
      <c r="A743" s="26" t="n"/>
      <c r="B743" s="26" t="n"/>
      <c r="C743" s="26" t="n"/>
      <c r="D743" s="26" t="n"/>
      <c r="E743" s="30">
        <f>IF(B743="","",IFERROR(INDEX('Holders'!$B$4:$B$1003,MATCH(B743,'Holders'!$A$4:$A$1003,0)),""))</f>
        <v/>
      </c>
      <c r="F743" s="30">
        <f t="array" ref="F743">IF(B743="","",_xlfn.TEXTJOIN(", ",TRUE,IF(('Companies'!$A$4:$A$63&lt;&gt;"")*(COUNTIFS('Holdings'!$A$4:$A$2503,B743,'Holdings'!$J$4:$J$2503,'Companies'!$A$4:$A$63,'Holdings'!$L$4:$L$2503,"Yes",'Holdings'!$C$4:$C$2503,"&gt;0")&gt;0),'Companies'!$A$4:$A$63,"")))</f>
        <v/>
      </c>
      <c r="G743" s="30">
        <f>IF(A743="","",IF(COUNTIF('People'!$A$4:$A$1003,A743)=0,"Email not on People",IF(COUNTIF('Holders'!$A$4:$A$1003,B743)=0,"Unknown holder ID",IF(COUNTIFS($A$4:$A$1503,A743,$B$4:$B$1503,B743)&gt;1,"Duplicate link",IF(C743="","Missing access","OK")))))</f>
        <v/>
      </c>
    </row>
    <row r="744">
      <c r="A744" s="26" t="n"/>
      <c r="B744" s="26" t="n"/>
      <c r="C744" s="26" t="n"/>
      <c r="D744" s="26" t="n"/>
      <c r="E744" s="30">
        <f>IF(B744="","",IFERROR(INDEX('Holders'!$B$4:$B$1003,MATCH(B744,'Holders'!$A$4:$A$1003,0)),""))</f>
        <v/>
      </c>
      <c r="F744" s="30">
        <f t="array" ref="F744">IF(B744="","",_xlfn.TEXTJOIN(", ",TRUE,IF(('Companies'!$A$4:$A$63&lt;&gt;"")*(COUNTIFS('Holdings'!$A$4:$A$2503,B744,'Holdings'!$J$4:$J$2503,'Companies'!$A$4:$A$63,'Holdings'!$L$4:$L$2503,"Yes",'Holdings'!$C$4:$C$2503,"&gt;0")&gt;0),'Companies'!$A$4:$A$63,"")))</f>
        <v/>
      </c>
      <c r="G744" s="30">
        <f>IF(A744="","",IF(COUNTIF('People'!$A$4:$A$1003,A744)=0,"Email not on People",IF(COUNTIF('Holders'!$A$4:$A$1003,B744)=0,"Unknown holder ID",IF(COUNTIFS($A$4:$A$1503,A744,$B$4:$B$1503,B744)&gt;1,"Duplicate link",IF(C744="","Missing access","OK")))))</f>
        <v/>
      </c>
    </row>
    <row r="745">
      <c r="A745" s="26" t="n"/>
      <c r="B745" s="26" t="n"/>
      <c r="C745" s="26" t="n"/>
      <c r="D745" s="26" t="n"/>
      <c r="E745" s="30">
        <f>IF(B745="","",IFERROR(INDEX('Holders'!$B$4:$B$1003,MATCH(B745,'Holders'!$A$4:$A$1003,0)),""))</f>
        <v/>
      </c>
      <c r="F745" s="30">
        <f t="array" ref="F745">IF(B745="","",_xlfn.TEXTJOIN(", ",TRUE,IF(('Companies'!$A$4:$A$63&lt;&gt;"")*(COUNTIFS('Holdings'!$A$4:$A$2503,B745,'Holdings'!$J$4:$J$2503,'Companies'!$A$4:$A$63,'Holdings'!$L$4:$L$2503,"Yes",'Holdings'!$C$4:$C$2503,"&gt;0")&gt;0),'Companies'!$A$4:$A$63,"")))</f>
        <v/>
      </c>
      <c r="G745" s="30">
        <f>IF(A745="","",IF(COUNTIF('People'!$A$4:$A$1003,A745)=0,"Email not on People",IF(COUNTIF('Holders'!$A$4:$A$1003,B745)=0,"Unknown holder ID",IF(COUNTIFS($A$4:$A$1503,A745,$B$4:$B$1503,B745)&gt;1,"Duplicate link",IF(C745="","Missing access","OK")))))</f>
        <v/>
      </c>
    </row>
    <row r="746">
      <c r="A746" s="26" t="n"/>
      <c r="B746" s="26" t="n"/>
      <c r="C746" s="26" t="n"/>
      <c r="D746" s="26" t="n"/>
      <c r="E746" s="30">
        <f>IF(B746="","",IFERROR(INDEX('Holders'!$B$4:$B$1003,MATCH(B746,'Holders'!$A$4:$A$1003,0)),""))</f>
        <v/>
      </c>
      <c r="F746" s="30">
        <f t="array" ref="F746">IF(B746="","",_xlfn.TEXTJOIN(", ",TRUE,IF(('Companies'!$A$4:$A$63&lt;&gt;"")*(COUNTIFS('Holdings'!$A$4:$A$2503,B746,'Holdings'!$J$4:$J$2503,'Companies'!$A$4:$A$63,'Holdings'!$L$4:$L$2503,"Yes",'Holdings'!$C$4:$C$2503,"&gt;0")&gt;0),'Companies'!$A$4:$A$63,"")))</f>
        <v/>
      </c>
      <c r="G746" s="30">
        <f>IF(A746="","",IF(COUNTIF('People'!$A$4:$A$1003,A746)=0,"Email not on People",IF(COUNTIF('Holders'!$A$4:$A$1003,B746)=0,"Unknown holder ID",IF(COUNTIFS($A$4:$A$1503,A746,$B$4:$B$1503,B746)&gt;1,"Duplicate link",IF(C746="","Missing access","OK")))))</f>
        <v/>
      </c>
    </row>
    <row r="747">
      <c r="A747" s="26" t="n"/>
      <c r="B747" s="26" t="n"/>
      <c r="C747" s="26" t="n"/>
      <c r="D747" s="26" t="n"/>
      <c r="E747" s="30">
        <f>IF(B747="","",IFERROR(INDEX('Holders'!$B$4:$B$1003,MATCH(B747,'Holders'!$A$4:$A$1003,0)),""))</f>
        <v/>
      </c>
      <c r="F747" s="30">
        <f t="array" ref="F747">IF(B747="","",_xlfn.TEXTJOIN(", ",TRUE,IF(('Companies'!$A$4:$A$63&lt;&gt;"")*(COUNTIFS('Holdings'!$A$4:$A$2503,B747,'Holdings'!$J$4:$J$2503,'Companies'!$A$4:$A$63,'Holdings'!$L$4:$L$2503,"Yes",'Holdings'!$C$4:$C$2503,"&gt;0")&gt;0),'Companies'!$A$4:$A$63,"")))</f>
        <v/>
      </c>
      <c r="G747" s="30">
        <f>IF(A747="","",IF(COUNTIF('People'!$A$4:$A$1003,A747)=0,"Email not on People",IF(COUNTIF('Holders'!$A$4:$A$1003,B747)=0,"Unknown holder ID",IF(COUNTIFS($A$4:$A$1503,A747,$B$4:$B$1503,B747)&gt;1,"Duplicate link",IF(C747="","Missing access","OK")))))</f>
        <v/>
      </c>
    </row>
    <row r="748">
      <c r="A748" s="26" t="n"/>
      <c r="B748" s="26" t="n"/>
      <c r="C748" s="26" t="n"/>
      <c r="D748" s="26" t="n"/>
      <c r="E748" s="30">
        <f>IF(B748="","",IFERROR(INDEX('Holders'!$B$4:$B$1003,MATCH(B748,'Holders'!$A$4:$A$1003,0)),""))</f>
        <v/>
      </c>
      <c r="F748" s="30">
        <f t="array" ref="F748">IF(B748="","",_xlfn.TEXTJOIN(", ",TRUE,IF(('Companies'!$A$4:$A$63&lt;&gt;"")*(COUNTIFS('Holdings'!$A$4:$A$2503,B748,'Holdings'!$J$4:$J$2503,'Companies'!$A$4:$A$63,'Holdings'!$L$4:$L$2503,"Yes",'Holdings'!$C$4:$C$2503,"&gt;0")&gt;0),'Companies'!$A$4:$A$63,"")))</f>
        <v/>
      </c>
      <c r="G748" s="30">
        <f>IF(A748="","",IF(COUNTIF('People'!$A$4:$A$1003,A748)=0,"Email not on People",IF(COUNTIF('Holders'!$A$4:$A$1003,B748)=0,"Unknown holder ID",IF(COUNTIFS($A$4:$A$1503,A748,$B$4:$B$1503,B748)&gt;1,"Duplicate link",IF(C748="","Missing access","OK")))))</f>
        <v/>
      </c>
    </row>
    <row r="749">
      <c r="A749" s="26" t="n"/>
      <c r="B749" s="26" t="n"/>
      <c r="C749" s="26" t="n"/>
      <c r="D749" s="26" t="n"/>
      <c r="E749" s="30">
        <f>IF(B749="","",IFERROR(INDEX('Holders'!$B$4:$B$1003,MATCH(B749,'Holders'!$A$4:$A$1003,0)),""))</f>
        <v/>
      </c>
      <c r="F749" s="30">
        <f t="array" ref="F749">IF(B749="","",_xlfn.TEXTJOIN(", ",TRUE,IF(('Companies'!$A$4:$A$63&lt;&gt;"")*(COUNTIFS('Holdings'!$A$4:$A$2503,B749,'Holdings'!$J$4:$J$2503,'Companies'!$A$4:$A$63,'Holdings'!$L$4:$L$2503,"Yes",'Holdings'!$C$4:$C$2503,"&gt;0")&gt;0),'Companies'!$A$4:$A$63,"")))</f>
        <v/>
      </c>
      <c r="G749" s="30">
        <f>IF(A749="","",IF(COUNTIF('People'!$A$4:$A$1003,A749)=0,"Email not on People",IF(COUNTIF('Holders'!$A$4:$A$1003,B749)=0,"Unknown holder ID",IF(COUNTIFS($A$4:$A$1503,A749,$B$4:$B$1503,B749)&gt;1,"Duplicate link",IF(C749="","Missing access","OK")))))</f>
        <v/>
      </c>
    </row>
    <row r="750">
      <c r="A750" s="26" t="n"/>
      <c r="B750" s="26" t="n"/>
      <c r="C750" s="26" t="n"/>
      <c r="D750" s="26" t="n"/>
      <c r="E750" s="30">
        <f>IF(B750="","",IFERROR(INDEX('Holders'!$B$4:$B$1003,MATCH(B750,'Holders'!$A$4:$A$1003,0)),""))</f>
        <v/>
      </c>
      <c r="F750" s="30">
        <f t="array" ref="F750">IF(B750="","",_xlfn.TEXTJOIN(", ",TRUE,IF(('Companies'!$A$4:$A$63&lt;&gt;"")*(COUNTIFS('Holdings'!$A$4:$A$2503,B750,'Holdings'!$J$4:$J$2503,'Companies'!$A$4:$A$63,'Holdings'!$L$4:$L$2503,"Yes",'Holdings'!$C$4:$C$2503,"&gt;0")&gt;0),'Companies'!$A$4:$A$63,"")))</f>
        <v/>
      </c>
      <c r="G750" s="30">
        <f>IF(A750="","",IF(COUNTIF('People'!$A$4:$A$1003,A750)=0,"Email not on People",IF(COUNTIF('Holders'!$A$4:$A$1003,B750)=0,"Unknown holder ID",IF(COUNTIFS($A$4:$A$1503,A750,$B$4:$B$1503,B750)&gt;1,"Duplicate link",IF(C750="","Missing access","OK")))))</f>
        <v/>
      </c>
    </row>
    <row r="751">
      <c r="A751" s="26" t="n"/>
      <c r="B751" s="26" t="n"/>
      <c r="C751" s="26" t="n"/>
      <c r="D751" s="26" t="n"/>
      <c r="E751" s="30">
        <f>IF(B751="","",IFERROR(INDEX('Holders'!$B$4:$B$1003,MATCH(B751,'Holders'!$A$4:$A$1003,0)),""))</f>
        <v/>
      </c>
      <c r="F751" s="30">
        <f t="array" ref="F751">IF(B751="","",_xlfn.TEXTJOIN(", ",TRUE,IF(('Companies'!$A$4:$A$63&lt;&gt;"")*(COUNTIFS('Holdings'!$A$4:$A$2503,B751,'Holdings'!$J$4:$J$2503,'Companies'!$A$4:$A$63,'Holdings'!$L$4:$L$2503,"Yes",'Holdings'!$C$4:$C$2503,"&gt;0")&gt;0),'Companies'!$A$4:$A$63,"")))</f>
        <v/>
      </c>
      <c r="G751" s="30">
        <f>IF(A751="","",IF(COUNTIF('People'!$A$4:$A$1003,A751)=0,"Email not on People",IF(COUNTIF('Holders'!$A$4:$A$1003,B751)=0,"Unknown holder ID",IF(COUNTIFS($A$4:$A$1503,A751,$B$4:$B$1503,B751)&gt;1,"Duplicate link",IF(C751="","Missing access","OK")))))</f>
        <v/>
      </c>
    </row>
    <row r="752">
      <c r="A752" s="26" t="n"/>
      <c r="B752" s="26" t="n"/>
      <c r="C752" s="26" t="n"/>
      <c r="D752" s="26" t="n"/>
      <c r="E752" s="30">
        <f>IF(B752="","",IFERROR(INDEX('Holders'!$B$4:$B$1003,MATCH(B752,'Holders'!$A$4:$A$1003,0)),""))</f>
        <v/>
      </c>
      <c r="F752" s="30">
        <f t="array" ref="F752">IF(B752="","",_xlfn.TEXTJOIN(", ",TRUE,IF(('Companies'!$A$4:$A$63&lt;&gt;"")*(COUNTIFS('Holdings'!$A$4:$A$2503,B752,'Holdings'!$J$4:$J$2503,'Companies'!$A$4:$A$63,'Holdings'!$L$4:$L$2503,"Yes",'Holdings'!$C$4:$C$2503,"&gt;0")&gt;0),'Companies'!$A$4:$A$63,"")))</f>
        <v/>
      </c>
      <c r="G752" s="30">
        <f>IF(A752="","",IF(COUNTIF('People'!$A$4:$A$1003,A752)=0,"Email not on People",IF(COUNTIF('Holders'!$A$4:$A$1003,B752)=0,"Unknown holder ID",IF(COUNTIFS($A$4:$A$1503,A752,$B$4:$B$1503,B752)&gt;1,"Duplicate link",IF(C752="","Missing access","OK")))))</f>
        <v/>
      </c>
    </row>
    <row r="753">
      <c r="A753" s="26" t="n"/>
      <c r="B753" s="26" t="n"/>
      <c r="C753" s="26" t="n"/>
      <c r="D753" s="26" t="n"/>
      <c r="E753" s="30">
        <f>IF(B753="","",IFERROR(INDEX('Holders'!$B$4:$B$1003,MATCH(B753,'Holders'!$A$4:$A$1003,0)),""))</f>
        <v/>
      </c>
      <c r="F753" s="30">
        <f t="array" ref="F753">IF(B753="","",_xlfn.TEXTJOIN(", ",TRUE,IF(('Companies'!$A$4:$A$63&lt;&gt;"")*(COUNTIFS('Holdings'!$A$4:$A$2503,B753,'Holdings'!$J$4:$J$2503,'Companies'!$A$4:$A$63,'Holdings'!$L$4:$L$2503,"Yes",'Holdings'!$C$4:$C$2503,"&gt;0")&gt;0),'Companies'!$A$4:$A$63,"")))</f>
        <v/>
      </c>
      <c r="G753" s="30">
        <f>IF(A753="","",IF(COUNTIF('People'!$A$4:$A$1003,A753)=0,"Email not on People",IF(COUNTIF('Holders'!$A$4:$A$1003,B753)=0,"Unknown holder ID",IF(COUNTIFS($A$4:$A$1503,A753,$B$4:$B$1503,B753)&gt;1,"Duplicate link",IF(C753="","Missing access","OK")))))</f>
        <v/>
      </c>
    </row>
    <row r="754">
      <c r="A754" s="26" t="n"/>
      <c r="B754" s="26" t="n"/>
      <c r="C754" s="26" t="n"/>
      <c r="D754" s="26" t="n"/>
      <c r="E754" s="30">
        <f>IF(B754="","",IFERROR(INDEX('Holders'!$B$4:$B$1003,MATCH(B754,'Holders'!$A$4:$A$1003,0)),""))</f>
        <v/>
      </c>
      <c r="F754" s="30">
        <f t="array" ref="F754">IF(B754="","",_xlfn.TEXTJOIN(", ",TRUE,IF(('Companies'!$A$4:$A$63&lt;&gt;"")*(COUNTIFS('Holdings'!$A$4:$A$2503,B754,'Holdings'!$J$4:$J$2503,'Companies'!$A$4:$A$63,'Holdings'!$L$4:$L$2503,"Yes",'Holdings'!$C$4:$C$2503,"&gt;0")&gt;0),'Companies'!$A$4:$A$63,"")))</f>
        <v/>
      </c>
      <c r="G754" s="30">
        <f>IF(A754="","",IF(COUNTIF('People'!$A$4:$A$1003,A754)=0,"Email not on People",IF(COUNTIF('Holders'!$A$4:$A$1003,B754)=0,"Unknown holder ID",IF(COUNTIFS($A$4:$A$1503,A754,$B$4:$B$1503,B754)&gt;1,"Duplicate link",IF(C754="","Missing access","OK")))))</f>
        <v/>
      </c>
    </row>
    <row r="755">
      <c r="A755" s="26" t="n"/>
      <c r="B755" s="26" t="n"/>
      <c r="C755" s="26" t="n"/>
      <c r="D755" s="26" t="n"/>
      <c r="E755" s="30">
        <f>IF(B755="","",IFERROR(INDEX('Holders'!$B$4:$B$1003,MATCH(B755,'Holders'!$A$4:$A$1003,0)),""))</f>
        <v/>
      </c>
      <c r="F755" s="30">
        <f t="array" ref="F755">IF(B755="","",_xlfn.TEXTJOIN(", ",TRUE,IF(('Companies'!$A$4:$A$63&lt;&gt;"")*(COUNTIFS('Holdings'!$A$4:$A$2503,B755,'Holdings'!$J$4:$J$2503,'Companies'!$A$4:$A$63,'Holdings'!$L$4:$L$2503,"Yes",'Holdings'!$C$4:$C$2503,"&gt;0")&gt;0),'Companies'!$A$4:$A$63,"")))</f>
        <v/>
      </c>
      <c r="G755" s="30">
        <f>IF(A755="","",IF(COUNTIF('People'!$A$4:$A$1003,A755)=0,"Email not on People",IF(COUNTIF('Holders'!$A$4:$A$1003,B755)=0,"Unknown holder ID",IF(COUNTIFS($A$4:$A$1503,A755,$B$4:$B$1503,B755)&gt;1,"Duplicate link",IF(C755="","Missing access","OK")))))</f>
        <v/>
      </c>
    </row>
    <row r="756">
      <c r="A756" s="26" t="n"/>
      <c r="B756" s="26" t="n"/>
      <c r="C756" s="26" t="n"/>
      <c r="D756" s="26" t="n"/>
      <c r="E756" s="30">
        <f>IF(B756="","",IFERROR(INDEX('Holders'!$B$4:$B$1003,MATCH(B756,'Holders'!$A$4:$A$1003,0)),""))</f>
        <v/>
      </c>
      <c r="F756" s="30">
        <f t="array" ref="F756">IF(B756="","",_xlfn.TEXTJOIN(", ",TRUE,IF(('Companies'!$A$4:$A$63&lt;&gt;"")*(COUNTIFS('Holdings'!$A$4:$A$2503,B756,'Holdings'!$J$4:$J$2503,'Companies'!$A$4:$A$63,'Holdings'!$L$4:$L$2503,"Yes",'Holdings'!$C$4:$C$2503,"&gt;0")&gt;0),'Companies'!$A$4:$A$63,"")))</f>
        <v/>
      </c>
      <c r="G756" s="30">
        <f>IF(A756="","",IF(COUNTIF('People'!$A$4:$A$1003,A756)=0,"Email not on People",IF(COUNTIF('Holders'!$A$4:$A$1003,B756)=0,"Unknown holder ID",IF(COUNTIFS($A$4:$A$1503,A756,$B$4:$B$1503,B756)&gt;1,"Duplicate link",IF(C756="","Missing access","OK")))))</f>
        <v/>
      </c>
    </row>
    <row r="757">
      <c r="A757" s="26" t="n"/>
      <c r="B757" s="26" t="n"/>
      <c r="C757" s="26" t="n"/>
      <c r="D757" s="26" t="n"/>
      <c r="E757" s="30">
        <f>IF(B757="","",IFERROR(INDEX('Holders'!$B$4:$B$1003,MATCH(B757,'Holders'!$A$4:$A$1003,0)),""))</f>
        <v/>
      </c>
      <c r="F757" s="30">
        <f t="array" ref="F757">IF(B757="","",_xlfn.TEXTJOIN(", ",TRUE,IF(('Companies'!$A$4:$A$63&lt;&gt;"")*(COUNTIFS('Holdings'!$A$4:$A$2503,B757,'Holdings'!$J$4:$J$2503,'Companies'!$A$4:$A$63,'Holdings'!$L$4:$L$2503,"Yes",'Holdings'!$C$4:$C$2503,"&gt;0")&gt;0),'Companies'!$A$4:$A$63,"")))</f>
        <v/>
      </c>
      <c r="G757" s="30">
        <f>IF(A757="","",IF(COUNTIF('People'!$A$4:$A$1003,A757)=0,"Email not on People",IF(COUNTIF('Holders'!$A$4:$A$1003,B757)=0,"Unknown holder ID",IF(COUNTIFS($A$4:$A$1503,A757,$B$4:$B$1503,B757)&gt;1,"Duplicate link",IF(C757="","Missing access","OK")))))</f>
        <v/>
      </c>
    </row>
    <row r="758">
      <c r="A758" s="26" t="n"/>
      <c r="B758" s="26" t="n"/>
      <c r="C758" s="26" t="n"/>
      <c r="D758" s="26" t="n"/>
      <c r="E758" s="30">
        <f>IF(B758="","",IFERROR(INDEX('Holders'!$B$4:$B$1003,MATCH(B758,'Holders'!$A$4:$A$1003,0)),""))</f>
        <v/>
      </c>
      <c r="F758" s="30">
        <f t="array" ref="F758">IF(B758="","",_xlfn.TEXTJOIN(", ",TRUE,IF(('Companies'!$A$4:$A$63&lt;&gt;"")*(COUNTIFS('Holdings'!$A$4:$A$2503,B758,'Holdings'!$J$4:$J$2503,'Companies'!$A$4:$A$63,'Holdings'!$L$4:$L$2503,"Yes",'Holdings'!$C$4:$C$2503,"&gt;0")&gt;0),'Companies'!$A$4:$A$63,"")))</f>
        <v/>
      </c>
      <c r="G758" s="30">
        <f>IF(A758="","",IF(COUNTIF('People'!$A$4:$A$1003,A758)=0,"Email not on People",IF(COUNTIF('Holders'!$A$4:$A$1003,B758)=0,"Unknown holder ID",IF(COUNTIFS($A$4:$A$1503,A758,$B$4:$B$1503,B758)&gt;1,"Duplicate link",IF(C758="","Missing access","OK")))))</f>
        <v/>
      </c>
    </row>
    <row r="759">
      <c r="A759" s="26" t="n"/>
      <c r="B759" s="26" t="n"/>
      <c r="C759" s="26" t="n"/>
      <c r="D759" s="26" t="n"/>
      <c r="E759" s="30">
        <f>IF(B759="","",IFERROR(INDEX('Holders'!$B$4:$B$1003,MATCH(B759,'Holders'!$A$4:$A$1003,0)),""))</f>
        <v/>
      </c>
      <c r="F759" s="30">
        <f t="array" ref="F759">IF(B759="","",_xlfn.TEXTJOIN(", ",TRUE,IF(('Companies'!$A$4:$A$63&lt;&gt;"")*(COUNTIFS('Holdings'!$A$4:$A$2503,B759,'Holdings'!$J$4:$J$2503,'Companies'!$A$4:$A$63,'Holdings'!$L$4:$L$2503,"Yes",'Holdings'!$C$4:$C$2503,"&gt;0")&gt;0),'Companies'!$A$4:$A$63,"")))</f>
        <v/>
      </c>
      <c r="G759" s="30">
        <f>IF(A759="","",IF(COUNTIF('People'!$A$4:$A$1003,A759)=0,"Email not on People",IF(COUNTIF('Holders'!$A$4:$A$1003,B759)=0,"Unknown holder ID",IF(COUNTIFS($A$4:$A$1503,A759,$B$4:$B$1503,B759)&gt;1,"Duplicate link",IF(C759="","Missing access","OK")))))</f>
        <v/>
      </c>
    </row>
    <row r="760">
      <c r="A760" s="26" t="n"/>
      <c r="B760" s="26" t="n"/>
      <c r="C760" s="26" t="n"/>
      <c r="D760" s="26" t="n"/>
      <c r="E760" s="30">
        <f>IF(B760="","",IFERROR(INDEX('Holders'!$B$4:$B$1003,MATCH(B760,'Holders'!$A$4:$A$1003,0)),""))</f>
        <v/>
      </c>
      <c r="F760" s="30">
        <f t="array" ref="F760">IF(B760="","",_xlfn.TEXTJOIN(", ",TRUE,IF(('Companies'!$A$4:$A$63&lt;&gt;"")*(COUNTIFS('Holdings'!$A$4:$A$2503,B760,'Holdings'!$J$4:$J$2503,'Companies'!$A$4:$A$63,'Holdings'!$L$4:$L$2503,"Yes",'Holdings'!$C$4:$C$2503,"&gt;0")&gt;0),'Companies'!$A$4:$A$63,"")))</f>
        <v/>
      </c>
      <c r="G760" s="30">
        <f>IF(A760="","",IF(COUNTIF('People'!$A$4:$A$1003,A760)=0,"Email not on People",IF(COUNTIF('Holders'!$A$4:$A$1003,B760)=0,"Unknown holder ID",IF(COUNTIFS($A$4:$A$1503,A760,$B$4:$B$1503,B760)&gt;1,"Duplicate link",IF(C760="","Missing access","OK")))))</f>
        <v/>
      </c>
    </row>
    <row r="761">
      <c r="A761" s="26" t="n"/>
      <c r="B761" s="26" t="n"/>
      <c r="C761" s="26" t="n"/>
      <c r="D761" s="26" t="n"/>
      <c r="E761" s="30">
        <f>IF(B761="","",IFERROR(INDEX('Holders'!$B$4:$B$1003,MATCH(B761,'Holders'!$A$4:$A$1003,0)),""))</f>
        <v/>
      </c>
      <c r="F761" s="30">
        <f t="array" ref="F761">IF(B761="","",_xlfn.TEXTJOIN(", ",TRUE,IF(('Companies'!$A$4:$A$63&lt;&gt;"")*(COUNTIFS('Holdings'!$A$4:$A$2503,B761,'Holdings'!$J$4:$J$2503,'Companies'!$A$4:$A$63,'Holdings'!$L$4:$L$2503,"Yes",'Holdings'!$C$4:$C$2503,"&gt;0")&gt;0),'Companies'!$A$4:$A$63,"")))</f>
        <v/>
      </c>
      <c r="G761" s="30">
        <f>IF(A761="","",IF(COUNTIF('People'!$A$4:$A$1003,A761)=0,"Email not on People",IF(COUNTIF('Holders'!$A$4:$A$1003,B761)=0,"Unknown holder ID",IF(COUNTIFS($A$4:$A$1503,A761,$B$4:$B$1503,B761)&gt;1,"Duplicate link",IF(C761="","Missing access","OK")))))</f>
        <v/>
      </c>
    </row>
    <row r="762">
      <c r="A762" s="26" t="n"/>
      <c r="B762" s="26" t="n"/>
      <c r="C762" s="26" t="n"/>
      <c r="D762" s="26" t="n"/>
      <c r="E762" s="30">
        <f>IF(B762="","",IFERROR(INDEX('Holders'!$B$4:$B$1003,MATCH(B762,'Holders'!$A$4:$A$1003,0)),""))</f>
        <v/>
      </c>
      <c r="F762" s="30">
        <f t="array" ref="F762">IF(B762="","",_xlfn.TEXTJOIN(", ",TRUE,IF(('Companies'!$A$4:$A$63&lt;&gt;"")*(COUNTIFS('Holdings'!$A$4:$A$2503,B762,'Holdings'!$J$4:$J$2503,'Companies'!$A$4:$A$63,'Holdings'!$L$4:$L$2503,"Yes",'Holdings'!$C$4:$C$2503,"&gt;0")&gt;0),'Companies'!$A$4:$A$63,"")))</f>
        <v/>
      </c>
      <c r="G762" s="30">
        <f>IF(A762="","",IF(COUNTIF('People'!$A$4:$A$1003,A762)=0,"Email not on People",IF(COUNTIF('Holders'!$A$4:$A$1003,B762)=0,"Unknown holder ID",IF(COUNTIFS($A$4:$A$1503,A762,$B$4:$B$1503,B762)&gt;1,"Duplicate link",IF(C762="","Missing access","OK")))))</f>
        <v/>
      </c>
    </row>
    <row r="763">
      <c r="A763" s="26" t="n"/>
      <c r="B763" s="26" t="n"/>
      <c r="C763" s="26" t="n"/>
      <c r="D763" s="26" t="n"/>
      <c r="E763" s="30">
        <f>IF(B763="","",IFERROR(INDEX('Holders'!$B$4:$B$1003,MATCH(B763,'Holders'!$A$4:$A$1003,0)),""))</f>
        <v/>
      </c>
      <c r="F763" s="30">
        <f t="array" ref="F763">IF(B763="","",_xlfn.TEXTJOIN(", ",TRUE,IF(('Companies'!$A$4:$A$63&lt;&gt;"")*(COUNTIFS('Holdings'!$A$4:$A$2503,B763,'Holdings'!$J$4:$J$2503,'Companies'!$A$4:$A$63,'Holdings'!$L$4:$L$2503,"Yes",'Holdings'!$C$4:$C$2503,"&gt;0")&gt;0),'Companies'!$A$4:$A$63,"")))</f>
        <v/>
      </c>
      <c r="G763" s="30">
        <f>IF(A763="","",IF(COUNTIF('People'!$A$4:$A$1003,A763)=0,"Email not on People",IF(COUNTIF('Holders'!$A$4:$A$1003,B763)=0,"Unknown holder ID",IF(COUNTIFS($A$4:$A$1503,A763,$B$4:$B$1503,B763)&gt;1,"Duplicate link",IF(C763="","Missing access","OK")))))</f>
        <v/>
      </c>
    </row>
    <row r="764">
      <c r="A764" s="26" t="n"/>
      <c r="B764" s="26" t="n"/>
      <c r="C764" s="26" t="n"/>
      <c r="D764" s="26" t="n"/>
      <c r="E764" s="30">
        <f>IF(B764="","",IFERROR(INDEX('Holders'!$B$4:$B$1003,MATCH(B764,'Holders'!$A$4:$A$1003,0)),""))</f>
        <v/>
      </c>
      <c r="F764" s="30">
        <f t="array" ref="F764">IF(B764="","",_xlfn.TEXTJOIN(", ",TRUE,IF(('Companies'!$A$4:$A$63&lt;&gt;"")*(COUNTIFS('Holdings'!$A$4:$A$2503,B764,'Holdings'!$J$4:$J$2503,'Companies'!$A$4:$A$63,'Holdings'!$L$4:$L$2503,"Yes",'Holdings'!$C$4:$C$2503,"&gt;0")&gt;0),'Companies'!$A$4:$A$63,"")))</f>
        <v/>
      </c>
      <c r="G764" s="30">
        <f>IF(A764="","",IF(COUNTIF('People'!$A$4:$A$1003,A764)=0,"Email not on People",IF(COUNTIF('Holders'!$A$4:$A$1003,B764)=0,"Unknown holder ID",IF(COUNTIFS($A$4:$A$1503,A764,$B$4:$B$1503,B764)&gt;1,"Duplicate link",IF(C764="","Missing access","OK")))))</f>
        <v/>
      </c>
    </row>
    <row r="765">
      <c r="A765" s="26" t="n"/>
      <c r="B765" s="26" t="n"/>
      <c r="C765" s="26" t="n"/>
      <c r="D765" s="26" t="n"/>
      <c r="E765" s="30">
        <f>IF(B765="","",IFERROR(INDEX('Holders'!$B$4:$B$1003,MATCH(B765,'Holders'!$A$4:$A$1003,0)),""))</f>
        <v/>
      </c>
      <c r="F765" s="30">
        <f t="array" ref="F765">IF(B765="","",_xlfn.TEXTJOIN(", ",TRUE,IF(('Companies'!$A$4:$A$63&lt;&gt;"")*(COUNTIFS('Holdings'!$A$4:$A$2503,B765,'Holdings'!$J$4:$J$2503,'Companies'!$A$4:$A$63,'Holdings'!$L$4:$L$2503,"Yes",'Holdings'!$C$4:$C$2503,"&gt;0")&gt;0),'Companies'!$A$4:$A$63,"")))</f>
        <v/>
      </c>
      <c r="G765" s="30">
        <f>IF(A765="","",IF(COUNTIF('People'!$A$4:$A$1003,A765)=0,"Email not on People",IF(COUNTIF('Holders'!$A$4:$A$1003,B765)=0,"Unknown holder ID",IF(COUNTIFS($A$4:$A$1503,A765,$B$4:$B$1503,B765)&gt;1,"Duplicate link",IF(C765="","Missing access","OK")))))</f>
        <v/>
      </c>
    </row>
    <row r="766">
      <c r="A766" s="26" t="n"/>
      <c r="B766" s="26" t="n"/>
      <c r="C766" s="26" t="n"/>
      <c r="D766" s="26" t="n"/>
      <c r="E766" s="30">
        <f>IF(B766="","",IFERROR(INDEX('Holders'!$B$4:$B$1003,MATCH(B766,'Holders'!$A$4:$A$1003,0)),""))</f>
        <v/>
      </c>
      <c r="F766" s="30">
        <f t="array" ref="F766">IF(B766="","",_xlfn.TEXTJOIN(", ",TRUE,IF(('Companies'!$A$4:$A$63&lt;&gt;"")*(COUNTIFS('Holdings'!$A$4:$A$2503,B766,'Holdings'!$J$4:$J$2503,'Companies'!$A$4:$A$63,'Holdings'!$L$4:$L$2503,"Yes",'Holdings'!$C$4:$C$2503,"&gt;0")&gt;0),'Companies'!$A$4:$A$63,"")))</f>
        <v/>
      </c>
      <c r="G766" s="30">
        <f>IF(A766="","",IF(COUNTIF('People'!$A$4:$A$1003,A766)=0,"Email not on People",IF(COUNTIF('Holders'!$A$4:$A$1003,B766)=0,"Unknown holder ID",IF(COUNTIFS($A$4:$A$1503,A766,$B$4:$B$1503,B766)&gt;1,"Duplicate link",IF(C766="","Missing access","OK")))))</f>
        <v/>
      </c>
    </row>
    <row r="767">
      <c r="A767" s="26" t="n"/>
      <c r="B767" s="26" t="n"/>
      <c r="C767" s="26" t="n"/>
      <c r="D767" s="26" t="n"/>
      <c r="E767" s="30">
        <f>IF(B767="","",IFERROR(INDEX('Holders'!$B$4:$B$1003,MATCH(B767,'Holders'!$A$4:$A$1003,0)),""))</f>
        <v/>
      </c>
      <c r="F767" s="30">
        <f t="array" ref="F767">IF(B767="","",_xlfn.TEXTJOIN(", ",TRUE,IF(('Companies'!$A$4:$A$63&lt;&gt;"")*(COUNTIFS('Holdings'!$A$4:$A$2503,B767,'Holdings'!$J$4:$J$2503,'Companies'!$A$4:$A$63,'Holdings'!$L$4:$L$2503,"Yes",'Holdings'!$C$4:$C$2503,"&gt;0")&gt;0),'Companies'!$A$4:$A$63,"")))</f>
        <v/>
      </c>
      <c r="G767" s="30">
        <f>IF(A767="","",IF(COUNTIF('People'!$A$4:$A$1003,A767)=0,"Email not on People",IF(COUNTIF('Holders'!$A$4:$A$1003,B767)=0,"Unknown holder ID",IF(COUNTIFS($A$4:$A$1503,A767,$B$4:$B$1503,B767)&gt;1,"Duplicate link",IF(C767="","Missing access","OK")))))</f>
        <v/>
      </c>
    </row>
    <row r="768">
      <c r="A768" s="26" t="n"/>
      <c r="B768" s="26" t="n"/>
      <c r="C768" s="26" t="n"/>
      <c r="D768" s="26" t="n"/>
      <c r="E768" s="30">
        <f>IF(B768="","",IFERROR(INDEX('Holders'!$B$4:$B$1003,MATCH(B768,'Holders'!$A$4:$A$1003,0)),""))</f>
        <v/>
      </c>
      <c r="F768" s="30">
        <f t="array" ref="F768">IF(B768="","",_xlfn.TEXTJOIN(", ",TRUE,IF(('Companies'!$A$4:$A$63&lt;&gt;"")*(COUNTIFS('Holdings'!$A$4:$A$2503,B768,'Holdings'!$J$4:$J$2503,'Companies'!$A$4:$A$63,'Holdings'!$L$4:$L$2503,"Yes",'Holdings'!$C$4:$C$2503,"&gt;0")&gt;0),'Companies'!$A$4:$A$63,"")))</f>
        <v/>
      </c>
      <c r="G768" s="30">
        <f>IF(A768="","",IF(COUNTIF('People'!$A$4:$A$1003,A768)=0,"Email not on People",IF(COUNTIF('Holders'!$A$4:$A$1003,B768)=0,"Unknown holder ID",IF(COUNTIFS($A$4:$A$1503,A768,$B$4:$B$1503,B768)&gt;1,"Duplicate link",IF(C768="","Missing access","OK")))))</f>
        <v/>
      </c>
    </row>
    <row r="769">
      <c r="A769" s="26" t="n"/>
      <c r="B769" s="26" t="n"/>
      <c r="C769" s="26" t="n"/>
      <c r="D769" s="26" t="n"/>
      <c r="E769" s="30">
        <f>IF(B769="","",IFERROR(INDEX('Holders'!$B$4:$B$1003,MATCH(B769,'Holders'!$A$4:$A$1003,0)),""))</f>
        <v/>
      </c>
      <c r="F769" s="30">
        <f t="array" ref="F769">IF(B769="","",_xlfn.TEXTJOIN(", ",TRUE,IF(('Companies'!$A$4:$A$63&lt;&gt;"")*(COUNTIFS('Holdings'!$A$4:$A$2503,B769,'Holdings'!$J$4:$J$2503,'Companies'!$A$4:$A$63,'Holdings'!$L$4:$L$2503,"Yes",'Holdings'!$C$4:$C$2503,"&gt;0")&gt;0),'Companies'!$A$4:$A$63,"")))</f>
        <v/>
      </c>
      <c r="G769" s="30">
        <f>IF(A769="","",IF(COUNTIF('People'!$A$4:$A$1003,A769)=0,"Email not on People",IF(COUNTIF('Holders'!$A$4:$A$1003,B769)=0,"Unknown holder ID",IF(COUNTIFS($A$4:$A$1503,A769,$B$4:$B$1503,B769)&gt;1,"Duplicate link",IF(C769="","Missing access","OK")))))</f>
        <v/>
      </c>
    </row>
    <row r="770">
      <c r="A770" s="26" t="n"/>
      <c r="B770" s="26" t="n"/>
      <c r="C770" s="26" t="n"/>
      <c r="D770" s="26" t="n"/>
      <c r="E770" s="30">
        <f>IF(B770="","",IFERROR(INDEX('Holders'!$B$4:$B$1003,MATCH(B770,'Holders'!$A$4:$A$1003,0)),""))</f>
        <v/>
      </c>
      <c r="F770" s="30">
        <f t="array" ref="F770">IF(B770="","",_xlfn.TEXTJOIN(", ",TRUE,IF(('Companies'!$A$4:$A$63&lt;&gt;"")*(COUNTIFS('Holdings'!$A$4:$A$2503,B770,'Holdings'!$J$4:$J$2503,'Companies'!$A$4:$A$63,'Holdings'!$L$4:$L$2503,"Yes",'Holdings'!$C$4:$C$2503,"&gt;0")&gt;0),'Companies'!$A$4:$A$63,"")))</f>
        <v/>
      </c>
      <c r="G770" s="30">
        <f>IF(A770="","",IF(COUNTIF('People'!$A$4:$A$1003,A770)=0,"Email not on People",IF(COUNTIF('Holders'!$A$4:$A$1003,B770)=0,"Unknown holder ID",IF(COUNTIFS($A$4:$A$1503,A770,$B$4:$B$1503,B770)&gt;1,"Duplicate link",IF(C770="","Missing access","OK")))))</f>
        <v/>
      </c>
    </row>
    <row r="771">
      <c r="A771" s="26" t="n"/>
      <c r="B771" s="26" t="n"/>
      <c r="C771" s="26" t="n"/>
      <c r="D771" s="26" t="n"/>
      <c r="E771" s="30">
        <f>IF(B771="","",IFERROR(INDEX('Holders'!$B$4:$B$1003,MATCH(B771,'Holders'!$A$4:$A$1003,0)),""))</f>
        <v/>
      </c>
      <c r="F771" s="30">
        <f t="array" ref="F771">IF(B771="","",_xlfn.TEXTJOIN(", ",TRUE,IF(('Companies'!$A$4:$A$63&lt;&gt;"")*(COUNTIFS('Holdings'!$A$4:$A$2503,B771,'Holdings'!$J$4:$J$2503,'Companies'!$A$4:$A$63,'Holdings'!$L$4:$L$2503,"Yes",'Holdings'!$C$4:$C$2503,"&gt;0")&gt;0),'Companies'!$A$4:$A$63,"")))</f>
        <v/>
      </c>
      <c r="G771" s="30">
        <f>IF(A771="","",IF(COUNTIF('People'!$A$4:$A$1003,A771)=0,"Email not on People",IF(COUNTIF('Holders'!$A$4:$A$1003,B771)=0,"Unknown holder ID",IF(COUNTIFS($A$4:$A$1503,A771,$B$4:$B$1503,B771)&gt;1,"Duplicate link",IF(C771="","Missing access","OK")))))</f>
        <v/>
      </c>
    </row>
    <row r="772">
      <c r="A772" s="26" t="n"/>
      <c r="B772" s="26" t="n"/>
      <c r="C772" s="26" t="n"/>
      <c r="D772" s="26" t="n"/>
      <c r="E772" s="30">
        <f>IF(B772="","",IFERROR(INDEX('Holders'!$B$4:$B$1003,MATCH(B772,'Holders'!$A$4:$A$1003,0)),""))</f>
        <v/>
      </c>
      <c r="F772" s="30">
        <f t="array" ref="F772">IF(B772="","",_xlfn.TEXTJOIN(", ",TRUE,IF(('Companies'!$A$4:$A$63&lt;&gt;"")*(COUNTIFS('Holdings'!$A$4:$A$2503,B772,'Holdings'!$J$4:$J$2503,'Companies'!$A$4:$A$63,'Holdings'!$L$4:$L$2503,"Yes",'Holdings'!$C$4:$C$2503,"&gt;0")&gt;0),'Companies'!$A$4:$A$63,"")))</f>
        <v/>
      </c>
      <c r="G772" s="30">
        <f>IF(A772="","",IF(COUNTIF('People'!$A$4:$A$1003,A772)=0,"Email not on People",IF(COUNTIF('Holders'!$A$4:$A$1003,B772)=0,"Unknown holder ID",IF(COUNTIFS($A$4:$A$1503,A772,$B$4:$B$1503,B772)&gt;1,"Duplicate link",IF(C772="","Missing access","OK")))))</f>
        <v/>
      </c>
    </row>
    <row r="773">
      <c r="A773" s="26" t="n"/>
      <c r="B773" s="26" t="n"/>
      <c r="C773" s="26" t="n"/>
      <c r="D773" s="26" t="n"/>
      <c r="E773" s="30">
        <f>IF(B773="","",IFERROR(INDEX('Holders'!$B$4:$B$1003,MATCH(B773,'Holders'!$A$4:$A$1003,0)),""))</f>
        <v/>
      </c>
      <c r="F773" s="30">
        <f t="array" ref="F773">IF(B773="","",_xlfn.TEXTJOIN(", ",TRUE,IF(('Companies'!$A$4:$A$63&lt;&gt;"")*(COUNTIFS('Holdings'!$A$4:$A$2503,B773,'Holdings'!$J$4:$J$2503,'Companies'!$A$4:$A$63,'Holdings'!$L$4:$L$2503,"Yes",'Holdings'!$C$4:$C$2503,"&gt;0")&gt;0),'Companies'!$A$4:$A$63,"")))</f>
        <v/>
      </c>
      <c r="G773" s="30">
        <f>IF(A773="","",IF(COUNTIF('People'!$A$4:$A$1003,A773)=0,"Email not on People",IF(COUNTIF('Holders'!$A$4:$A$1003,B773)=0,"Unknown holder ID",IF(COUNTIFS($A$4:$A$1503,A773,$B$4:$B$1503,B773)&gt;1,"Duplicate link",IF(C773="","Missing access","OK")))))</f>
        <v/>
      </c>
    </row>
    <row r="774">
      <c r="A774" s="26" t="n"/>
      <c r="B774" s="26" t="n"/>
      <c r="C774" s="26" t="n"/>
      <c r="D774" s="26" t="n"/>
      <c r="E774" s="30">
        <f>IF(B774="","",IFERROR(INDEX('Holders'!$B$4:$B$1003,MATCH(B774,'Holders'!$A$4:$A$1003,0)),""))</f>
        <v/>
      </c>
      <c r="F774" s="30">
        <f t="array" ref="F774">IF(B774="","",_xlfn.TEXTJOIN(", ",TRUE,IF(('Companies'!$A$4:$A$63&lt;&gt;"")*(COUNTIFS('Holdings'!$A$4:$A$2503,B774,'Holdings'!$J$4:$J$2503,'Companies'!$A$4:$A$63,'Holdings'!$L$4:$L$2503,"Yes",'Holdings'!$C$4:$C$2503,"&gt;0")&gt;0),'Companies'!$A$4:$A$63,"")))</f>
        <v/>
      </c>
      <c r="G774" s="30">
        <f>IF(A774="","",IF(COUNTIF('People'!$A$4:$A$1003,A774)=0,"Email not on People",IF(COUNTIF('Holders'!$A$4:$A$1003,B774)=0,"Unknown holder ID",IF(COUNTIFS($A$4:$A$1503,A774,$B$4:$B$1503,B774)&gt;1,"Duplicate link",IF(C774="","Missing access","OK")))))</f>
        <v/>
      </c>
    </row>
    <row r="775">
      <c r="A775" s="26" t="n"/>
      <c r="B775" s="26" t="n"/>
      <c r="C775" s="26" t="n"/>
      <c r="D775" s="26" t="n"/>
      <c r="E775" s="30">
        <f>IF(B775="","",IFERROR(INDEX('Holders'!$B$4:$B$1003,MATCH(B775,'Holders'!$A$4:$A$1003,0)),""))</f>
        <v/>
      </c>
      <c r="F775" s="30">
        <f t="array" ref="F775">IF(B775="","",_xlfn.TEXTJOIN(", ",TRUE,IF(('Companies'!$A$4:$A$63&lt;&gt;"")*(COUNTIFS('Holdings'!$A$4:$A$2503,B775,'Holdings'!$J$4:$J$2503,'Companies'!$A$4:$A$63,'Holdings'!$L$4:$L$2503,"Yes",'Holdings'!$C$4:$C$2503,"&gt;0")&gt;0),'Companies'!$A$4:$A$63,"")))</f>
        <v/>
      </c>
      <c r="G775" s="30">
        <f>IF(A775="","",IF(COUNTIF('People'!$A$4:$A$1003,A775)=0,"Email not on People",IF(COUNTIF('Holders'!$A$4:$A$1003,B775)=0,"Unknown holder ID",IF(COUNTIFS($A$4:$A$1503,A775,$B$4:$B$1503,B775)&gt;1,"Duplicate link",IF(C775="","Missing access","OK")))))</f>
        <v/>
      </c>
    </row>
    <row r="776">
      <c r="A776" s="26" t="n"/>
      <c r="B776" s="26" t="n"/>
      <c r="C776" s="26" t="n"/>
      <c r="D776" s="26" t="n"/>
      <c r="E776" s="30">
        <f>IF(B776="","",IFERROR(INDEX('Holders'!$B$4:$B$1003,MATCH(B776,'Holders'!$A$4:$A$1003,0)),""))</f>
        <v/>
      </c>
      <c r="F776" s="30">
        <f t="array" ref="F776">IF(B776="","",_xlfn.TEXTJOIN(", ",TRUE,IF(('Companies'!$A$4:$A$63&lt;&gt;"")*(COUNTIFS('Holdings'!$A$4:$A$2503,B776,'Holdings'!$J$4:$J$2503,'Companies'!$A$4:$A$63,'Holdings'!$L$4:$L$2503,"Yes",'Holdings'!$C$4:$C$2503,"&gt;0")&gt;0),'Companies'!$A$4:$A$63,"")))</f>
        <v/>
      </c>
      <c r="G776" s="30">
        <f>IF(A776="","",IF(COUNTIF('People'!$A$4:$A$1003,A776)=0,"Email not on People",IF(COUNTIF('Holders'!$A$4:$A$1003,B776)=0,"Unknown holder ID",IF(COUNTIFS($A$4:$A$1503,A776,$B$4:$B$1503,B776)&gt;1,"Duplicate link",IF(C776="","Missing access","OK")))))</f>
        <v/>
      </c>
    </row>
    <row r="777">
      <c r="A777" s="26" t="n"/>
      <c r="B777" s="26" t="n"/>
      <c r="C777" s="26" t="n"/>
      <c r="D777" s="26" t="n"/>
      <c r="E777" s="30">
        <f>IF(B777="","",IFERROR(INDEX('Holders'!$B$4:$B$1003,MATCH(B777,'Holders'!$A$4:$A$1003,0)),""))</f>
        <v/>
      </c>
      <c r="F777" s="30">
        <f t="array" ref="F777">IF(B777="","",_xlfn.TEXTJOIN(", ",TRUE,IF(('Companies'!$A$4:$A$63&lt;&gt;"")*(COUNTIFS('Holdings'!$A$4:$A$2503,B777,'Holdings'!$J$4:$J$2503,'Companies'!$A$4:$A$63,'Holdings'!$L$4:$L$2503,"Yes",'Holdings'!$C$4:$C$2503,"&gt;0")&gt;0),'Companies'!$A$4:$A$63,"")))</f>
        <v/>
      </c>
      <c r="G777" s="30">
        <f>IF(A777="","",IF(COUNTIF('People'!$A$4:$A$1003,A777)=0,"Email not on People",IF(COUNTIF('Holders'!$A$4:$A$1003,B777)=0,"Unknown holder ID",IF(COUNTIFS($A$4:$A$1503,A777,$B$4:$B$1503,B777)&gt;1,"Duplicate link",IF(C777="","Missing access","OK")))))</f>
        <v/>
      </c>
    </row>
    <row r="778">
      <c r="A778" s="26" t="n"/>
      <c r="B778" s="26" t="n"/>
      <c r="C778" s="26" t="n"/>
      <c r="D778" s="26" t="n"/>
      <c r="E778" s="30">
        <f>IF(B778="","",IFERROR(INDEX('Holders'!$B$4:$B$1003,MATCH(B778,'Holders'!$A$4:$A$1003,0)),""))</f>
        <v/>
      </c>
      <c r="F778" s="30">
        <f t="array" ref="F778">IF(B778="","",_xlfn.TEXTJOIN(", ",TRUE,IF(('Companies'!$A$4:$A$63&lt;&gt;"")*(COUNTIFS('Holdings'!$A$4:$A$2503,B778,'Holdings'!$J$4:$J$2503,'Companies'!$A$4:$A$63,'Holdings'!$L$4:$L$2503,"Yes",'Holdings'!$C$4:$C$2503,"&gt;0")&gt;0),'Companies'!$A$4:$A$63,"")))</f>
        <v/>
      </c>
      <c r="G778" s="30">
        <f>IF(A778="","",IF(COUNTIF('People'!$A$4:$A$1003,A778)=0,"Email not on People",IF(COUNTIF('Holders'!$A$4:$A$1003,B778)=0,"Unknown holder ID",IF(COUNTIFS($A$4:$A$1503,A778,$B$4:$B$1503,B778)&gt;1,"Duplicate link",IF(C778="","Missing access","OK")))))</f>
        <v/>
      </c>
    </row>
    <row r="779">
      <c r="A779" s="26" t="n"/>
      <c r="B779" s="26" t="n"/>
      <c r="C779" s="26" t="n"/>
      <c r="D779" s="26" t="n"/>
      <c r="E779" s="30">
        <f>IF(B779="","",IFERROR(INDEX('Holders'!$B$4:$B$1003,MATCH(B779,'Holders'!$A$4:$A$1003,0)),""))</f>
        <v/>
      </c>
      <c r="F779" s="30">
        <f t="array" ref="F779">IF(B779="","",_xlfn.TEXTJOIN(", ",TRUE,IF(('Companies'!$A$4:$A$63&lt;&gt;"")*(COUNTIFS('Holdings'!$A$4:$A$2503,B779,'Holdings'!$J$4:$J$2503,'Companies'!$A$4:$A$63,'Holdings'!$L$4:$L$2503,"Yes",'Holdings'!$C$4:$C$2503,"&gt;0")&gt;0),'Companies'!$A$4:$A$63,"")))</f>
        <v/>
      </c>
      <c r="G779" s="30">
        <f>IF(A779="","",IF(COUNTIF('People'!$A$4:$A$1003,A779)=0,"Email not on People",IF(COUNTIF('Holders'!$A$4:$A$1003,B779)=0,"Unknown holder ID",IF(COUNTIFS($A$4:$A$1503,A779,$B$4:$B$1503,B779)&gt;1,"Duplicate link",IF(C779="","Missing access","OK")))))</f>
        <v/>
      </c>
    </row>
    <row r="780">
      <c r="A780" s="26" t="n"/>
      <c r="B780" s="26" t="n"/>
      <c r="C780" s="26" t="n"/>
      <c r="D780" s="26" t="n"/>
      <c r="E780" s="30">
        <f>IF(B780="","",IFERROR(INDEX('Holders'!$B$4:$B$1003,MATCH(B780,'Holders'!$A$4:$A$1003,0)),""))</f>
        <v/>
      </c>
      <c r="F780" s="30">
        <f t="array" ref="F780">IF(B780="","",_xlfn.TEXTJOIN(", ",TRUE,IF(('Companies'!$A$4:$A$63&lt;&gt;"")*(COUNTIFS('Holdings'!$A$4:$A$2503,B780,'Holdings'!$J$4:$J$2503,'Companies'!$A$4:$A$63,'Holdings'!$L$4:$L$2503,"Yes",'Holdings'!$C$4:$C$2503,"&gt;0")&gt;0),'Companies'!$A$4:$A$63,"")))</f>
        <v/>
      </c>
      <c r="G780" s="30">
        <f>IF(A780="","",IF(COUNTIF('People'!$A$4:$A$1003,A780)=0,"Email not on People",IF(COUNTIF('Holders'!$A$4:$A$1003,B780)=0,"Unknown holder ID",IF(COUNTIFS($A$4:$A$1503,A780,$B$4:$B$1503,B780)&gt;1,"Duplicate link",IF(C780="","Missing access","OK")))))</f>
        <v/>
      </c>
    </row>
    <row r="781">
      <c r="A781" s="26" t="n"/>
      <c r="B781" s="26" t="n"/>
      <c r="C781" s="26" t="n"/>
      <c r="D781" s="26" t="n"/>
      <c r="E781" s="30">
        <f>IF(B781="","",IFERROR(INDEX('Holders'!$B$4:$B$1003,MATCH(B781,'Holders'!$A$4:$A$1003,0)),""))</f>
        <v/>
      </c>
      <c r="F781" s="30">
        <f t="array" ref="F781">IF(B781="","",_xlfn.TEXTJOIN(", ",TRUE,IF(('Companies'!$A$4:$A$63&lt;&gt;"")*(COUNTIFS('Holdings'!$A$4:$A$2503,B781,'Holdings'!$J$4:$J$2503,'Companies'!$A$4:$A$63,'Holdings'!$L$4:$L$2503,"Yes",'Holdings'!$C$4:$C$2503,"&gt;0")&gt;0),'Companies'!$A$4:$A$63,"")))</f>
        <v/>
      </c>
      <c r="G781" s="30">
        <f>IF(A781="","",IF(COUNTIF('People'!$A$4:$A$1003,A781)=0,"Email not on People",IF(COUNTIF('Holders'!$A$4:$A$1003,B781)=0,"Unknown holder ID",IF(COUNTIFS($A$4:$A$1503,A781,$B$4:$B$1503,B781)&gt;1,"Duplicate link",IF(C781="","Missing access","OK")))))</f>
        <v/>
      </c>
    </row>
    <row r="782">
      <c r="A782" s="26" t="n"/>
      <c r="B782" s="26" t="n"/>
      <c r="C782" s="26" t="n"/>
      <c r="D782" s="26" t="n"/>
      <c r="E782" s="30">
        <f>IF(B782="","",IFERROR(INDEX('Holders'!$B$4:$B$1003,MATCH(B782,'Holders'!$A$4:$A$1003,0)),""))</f>
        <v/>
      </c>
      <c r="F782" s="30">
        <f t="array" ref="F782">IF(B782="","",_xlfn.TEXTJOIN(", ",TRUE,IF(('Companies'!$A$4:$A$63&lt;&gt;"")*(COUNTIFS('Holdings'!$A$4:$A$2503,B782,'Holdings'!$J$4:$J$2503,'Companies'!$A$4:$A$63,'Holdings'!$L$4:$L$2503,"Yes",'Holdings'!$C$4:$C$2503,"&gt;0")&gt;0),'Companies'!$A$4:$A$63,"")))</f>
        <v/>
      </c>
      <c r="G782" s="30">
        <f>IF(A782="","",IF(COUNTIF('People'!$A$4:$A$1003,A782)=0,"Email not on People",IF(COUNTIF('Holders'!$A$4:$A$1003,B782)=0,"Unknown holder ID",IF(COUNTIFS($A$4:$A$1503,A782,$B$4:$B$1503,B782)&gt;1,"Duplicate link",IF(C782="","Missing access","OK")))))</f>
        <v/>
      </c>
    </row>
    <row r="783">
      <c r="A783" s="26" t="n"/>
      <c r="B783" s="26" t="n"/>
      <c r="C783" s="26" t="n"/>
      <c r="D783" s="26" t="n"/>
      <c r="E783" s="30">
        <f>IF(B783="","",IFERROR(INDEX('Holders'!$B$4:$B$1003,MATCH(B783,'Holders'!$A$4:$A$1003,0)),""))</f>
        <v/>
      </c>
      <c r="F783" s="30">
        <f t="array" ref="F783">IF(B783="","",_xlfn.TEXTJOIN(", ",TRUE,IF(('Companies'!$A$4:$A$63&lt;&gt;"")*(COUNTIFS('Holdings'!$A$4:$A$2503,B783,'Holdings'!$J$4:$J$2503,'Companies'!$A$4:$A$63,'Holdings'!$L$4:$L$2503,"Yes",'Holdings'!$C$4:$C$2503,"&gt;0")&gt;0),'Companies'!$A$4:$A$63,"")))</f>
        <v/>
      </c>
      <c r="G783" s="30">
        <f>IF(A783="","",IF(COUNTIF('People'!$A$4:$A$1003,A783)=0,"Email not on People",IF(COUNTIF('Holders'!$A$4:$A$1003,B783)=0,"Unknown holder ID",IF(COUNTIFS($A$4:$A$1503,A783,$B$4:$B$1503,B783)&gt;1,"Duplicate link",IF(C783="","Missing access","OK")))))</f>
        <v/>
      </c>
    </row>
    <row r="784">
      <c r="A784" s="26" t="n"/>
      <c r="B784" s="26" t="n"/>
      <c r="C784" s="26" t="n"/>
      <c r="D784" s="26" t="n"/>
      <c r="E784" s="30">
        <f>IF(B784="","",IFERROR(INDEX('Holders'!$B$4:$B$1003,MATCH(B784,'Holders'!$A$4:$A$1003,0)),""))</f>
        <v/>
      </c>
      <c r="F784" s="30">
        <f t="array" ref="F784">IF(B784="","",_xlfn.TEXTJOIN(", ",TRUE,IF(('Companies'!$A$4:$A$63&lt;&gt;"")*(COUNTIFS('Holdings'!$A$4:$A$2503,B784,'Holdings'!$J$4:$J$2503,'Companies'!$A$4:$A$63,'Holdings'!$L$4:$L$2503,"Yes",'Holdings'!$C$4:$C$2503,"&gt;0")&gt;0),'Companies'!$A$4:$A$63,"")))</f>
        <v/>
      </c>
      <c r="G784" s="30">
        <f>IF(A784="","",IF(COUNTIF('People'!$A$4:$A$1003,A784)=0,"Email not on People",IF(COUNTIF('Holders'!$A$4:$A$1003,B784)=0,"Unknown holder ID",IF(COUNTIFS($A$4:$A$1503,A784,$B$4:$B$1503,B784)&gt;1,"Duplicate link",IF(C784="","Missing access","OK")))))</f>
        <v/>
      </c>
    </row>
    <row r="785">
      <c r="A785" s="26" t="n"/>
      <c r="B785" s="26" t="n"/>
      <c r="C785" s="26" t="n"/>
      <c r="D785" s="26" t="n"/>
      <c r="E785" s="30">
        <f>IF(B785="","",IFERROR(INDEX('Holders'!$B$4:$B$1003,MATCH(B785,'Holders'!$A$4:$A$1003,0)),""))</f>
        <v/>
      </c>
      <c r="F785" s="30">
        <f t="array" ref="F785">IF(B785="","",_xlfn.TEXTJOIN(", ",TRUE,IF(('Companies'!$A$4:$A$63&lt;&gt;"")*(COUNTIFS('Holdings'!$A$4:$A$2503,B785,'Holdings'!$J$4:$J$2503,'Companies'!$A$4:$A$63,'Holdings'!$L$4:$L$2503,"Yes",'Holdings'!$C$4:$C$2503,"&gt;0")&gt;0),'Companies'!$A$4:$A$63,"")))</f>
        <v/>
      </c>
      <c r="G785" s="30">
        <f>IF(A785="","",IF(COUNTIF('People'!$A$4:$A$1003,A785)=0,"Email not on People",IF(COUNTIF('Holders'!$A$4:$A$1003,B785)=0,"Unknown holder ID",IF(COUNTIFS($A$4:$A$1503,A785,$B$4:$B$1503,B785)&gt;1,"Duplicate link",IF(C785="","Missing access","OK")))))</f>
        <v/>
      </c>
    </row>
    <row r="786">
      <c r="A786" s="26" t="n"/>
      <c r="B786" s="26" t="n"/>
      <c r="C786" s="26" t="n"/>
      <c r="D786" s="26" t="n"/>
      <c r="E786" s="30">
        <f>IF(B786="","",IFERROR(INDEX('Holders'!$B$4:$B$1003,MATCH(B786,'Holders'!$A$4:$A$1003,0)),""))</f>
        <v/>
      </c>
      <c r="F786" s="30">
        <f t="array" ref="F786">IF(B786="","",_xlfn.TEXTJOIN(", ",TRUE,IF(('Companies'!$A$4:$A$63&lt;&gt;"")*(COUNTIFS('Holdings'!$A$4:$A$2503,B786,'Holdings'!$J$4:$J$2503,'Companies'!$A$4:$A$63,'Holdings'!$L$4:$L$2503,"Yes",'Holdings'!$C$4:$C$2503,"&gt;0")&gt;0),'Companies'!$A$4:$A$63,"")))</f>
        <v/>
      </c>
      <c r="G786" s="30">
        <f>IF(A786="","",IF(COUNTIF('People'!$A$4:$A$1003,A786)=0,"Email not on People",IF(COUNTIF('Holders'!$A$4:$A$1003,B786)=0,"Unknown holder ID",IF(COUNTIFS($A$4:$A$1503,A786,$B$4:$B$1503,B786)&gt;1,"Duplicate link",IF(C786="","Missing access","OK")))))</f>
        <v/>
      </c>
    </row>
    <row r="787">
      <c r="A787" s="26" t="n"/>
      <c r="B787" s="26" t="n"/>
      <c r="C787" s="26" t="n"/>
      <c r="D787" s="26" t="n"/>
      <c r="E787" s="30">
        <f>IF(B787="","",IFERROR(INDEX('Holders'!$B$4:$B$1003,MATCH(B787,'Holders'!$A$4:$A$1003,0)),""))</f>
        <v/>
      </c>
      <c r="F787" s="30">
        <f t="array" ref="F787">IF(B787="","",_xlfn.TEXTJOIN(", ",TRUE,IF(('Companies'!$A$4:$A$63&lt;&gt;"")*(COUNTIFS('Holdings'!$A$4:$A$2503,B787,'Holdings'!$J$4:$J$2503,'Companies'!$A$4:$A$63,'Holdings'!$L$4:$L$2503,"Yes",'Holdings'!$C$4:$C$2503,"&gt;0")&gt;0),'Companies'!$A$4:$A$63,"")))</f>
        <v/>
      </c>
      <c r="G787" s="30">
        <f>IF(A787="","",IF(COUNTIF('People'!$A$4:$A$1003,A787)=0,"Email not on People",IF(COUNTIF('Holders'!$A$4:$A$1003,B787)=0,"Unknown holder ID",IF(COUNTIFS($A$4:$A$1503,A787,$B$4:$B$1503,B787)&gt;1,"Duplicate link",IF(C787="","Missing access","OK")))))</f>
        <v/>
      </c>
    </row>
    <row r="788">
      <c r="A788" s="26" t="n"/>
      <c r="B788" s="26" t="n"/>
      <c r="C788" s="26" t="n"/>
      <c r="D788" s="26" t="n"/>
      <c r="E788" s="30">
        <f>IF(B788="","",IFERROR(INDEX('Holders'!$B$4:$B$1003,MATCH(B788,'Holders'!$A$4:$A$1003,0)),""))</f>
        <v/>
      </c>
      <c r="F788" s="30">
        <f t="array" ref="F788">IF(B788="","",_xlfn.TEXTJOIN(", ",TRUE,IF(('Companies'!$A$4:$A$63&lt;&gt;"")*(COUNTIFS('Holdings'!$A$4:$A$2503,B788,'Holdings'!$J$4:$J$2503,'Companies'!$A$4:$A$63,'Holdings'!$L$4:$L$2503,"Yes",'Holdings'!$C$4:$C$2503,"&gt;0")&gt;0),'Companies'!$A$4:$A$63,"")))</f>
        <v/>
      </c>
      <c r="G788" s="30">
        <f>IF(A788="","",IF(COUNTIF('People'!$A$4:$A$1003,A788)=0,"Email not on People",IF(COUNTIF('Holders'!$A$4:$A$1003,B788)=0,"Unknown holder ID",IF(COUNTIFS($A$4:$A$1503,A788,$B$4:$B$1503,B788)&gt;1,"Duplicate link",IF(C788="","Missing access","OK")))))</f>
        <v/>
      </c>
    </row>
    <row r="789">
      <c r="A789" s="26" t="n"/>
      <c r="B789" s="26" t="n"/>
      <c r="C789" s="26" t="n"/>
      <c r="D789" s="26" t="n"/>
      <c r="E789" s="30">
        <f>IF(B789="","",IFERROR(INDEX('Holders'!$B$4:$B$1003,MATCH(B789,'Holders'!$A$4:$A$1003,0)),""))</f>
        <v/>
      </c>
      <c r="F789" s="30">
        <f t="array" ref="F789">IF(B789="","",_xlfn.TEXTJOIN(", ",TRUE,IF(('Companies'!$A$4:$A$63&lt;&gt;"")*(COUNTIFS('Holdings'!$A$4:$A$2503,B789,'Holdings'!$J$4:$J$2503,'Companies'!$A$4:$A$63,'Holdings'!$L$4:$L$2503,"Yes",'Holdings'!$C$4:$C$2503,"&gt;0")&gt;0),'Companies'!$A$4:$A$63,"")))</f>
        <v/>
      </c>
      <c r="G789" s="30">
        <f>IF(A789="","",IF(COUNTIF('People'!$A$4:$A$1003,A789)=0,"Email not on People",IF(COUNTIF('Holders'!$A$4:$A$1003,B789)=0,"Unknown holder ID",IF(COUNTIFS($A$4:$A$1503,A789,$B$4:$B$1503,B789)&gt;1,"Duplicate link",IF(C789="","Missing access","OK")))))</f>
        <v/>
      </c>
    </row>
    <row r="790">
      <c r="A790" s="26" t="n"/>
      <c r="B790" s="26" t="n"/>
      <c r="C790" s="26" t="n"/>
      <c r="D790" s="26" t="n"/>
      <c r="E790" s="30">
        <f>IF(B790="","",IFERROR(INDEX('Holders'!$B$4:$B$1003,MATCH(B790,'Holders'!$A$4:$A$1003,0)),""))</f>
        <v/>
      </c>
      <c r="F790" s="30">
        <f t="array" ref="F790">IF(B790="","",_xlfn.TEXTJOIN(", ",TRUE,IF(('Companies'!$A$4:$A$63&lt;&gt;"")*(COUNTIFS('Holdings'!$A$4:$A$2503,B790,'Holdings'!$J$4:$J$2503,'Companies'!$A$4:$A$63,'Holdings'!$L$4:$L$2503,"Yes",'Holdings'!$C$4:$C$2503,"&gt;0")&gt;0),'Companies'!$A$4:$A$63,"")))</f>
        <v/>
      </c>
      <c r="G790" s="30">
        <f>IF(A790="","",IF(COUNTIF('People'!$A$4:$A$1003,A790)=0,"Email not on People",IF(COUNTIF('Holders'!$A$4:$A$1003,B790)=0,"Unknown holder ID",IF(COUNTIFS($A$4:$A$1503,A790,$B$4:$B$1503,B790)&gt;1,"Duplicate link",IF(C790="","Missing access","OK")))))</f>
        <v/>
      </c>
    </row>
    <row r="791">
      <c r="A791" s="26" t="n"/>
      <c r="B791" s="26" t="n"/>
      <c r="C791" s="26" t="n"/>
      <c r="D791" s="26" t="n"/>
      <c r="E791" s="30">
        <f>IF(B791="","",IFERROR(INDEX('Holders'!$B$4:$B$1003,MATCH(B791,'Holders'!$A$4:$A$1003,0)),""))</f>
        <v/>
      </c>
      <c r="F791" s="30">
        <f t="array" ref="F791">IF(B791="","",_xlfn.TEXTJOIN(", ",TRUE,IF(('Companies'!$A$4:$A$63&lt;&gt;"")*(COUNTIFS('Holdings'!$A$4:$A$2503,B791,'Holdings'!$J$4:$J$2503,'Companies'!$A$4:$A$63,'Holdings'!$L$4:$L$2503,"Yes",'Holdings'!$C$4:$C$2503,"&gt;0")&gt;0),'Companies'!$A$4:$A$63,"")))</f>
        <v/>
      </c>
      <c r="G791" s="30">
        <f>IF(A791="","",IF(COUNTIF('People'!$A$4:$A$1003,A791)=0,"Email not on People",IF(COUNTIF('Holders'!$A$4:$A$1003,B791)=0,"Unknown holder ID",IF(COUNTIFS($A$4:$A$1503,A791,$B$4:$B$1503,B791)&gt;1,"Duplicate link",IF(C791="","Missing access","OK")))))</f>
        <v/>
      </c>
    </row>
    <row r="792">
      <c r="A792" s="26" t="n"/>
      <c r="B792" s="26" t="n"/>
      <c r="C792" s="26" t="n"/>
      <c r="D792" s="26" t="n"/>
      <c r="E792" s="30">
        <f>IF(B792="","",IFERROR(INDEX('Holders'!$B$4:$B$1003,MATCH(B792,'Holders'!$A$4:$A$1003,0)),""))</f>
        <v/>
      </c>
      <c r="F792" s="30">
        <f t="array" ref="F792">IF(B792="","",_xlfn.TEXTJOIN(", ",TRUE,IF(('Companies'!$A$4:$A$63&lt;&gt;"")*(COUNTIFS('Holdings'!$A$4:$A$2503,B792,'Holdings'!$J$4:$J$2503,'Companies'!$A$4:$A$63,'Holdings'!$L$4:$L$2503,"Yes",'Holdings'!$C$4:$C$2503,"&gt;0")&gt;0),'Companies'!$A$4:$A$63,"")))</f>
        <v/>
      </c>
      <c r="G792" s="30">
        <f>IF(A792="","",IF(COUNTIF('People'!$A$4:$A$1003,A792)=0,"Email not on People",IF(COUNTIF('Holders'!$A$4:$A$1003,B792)=0,"Unknown holder ID",IF(COUNTIFS($A$4:$A$1503,A792,$B$4:$B$1503,B792)&gt;1,"Duplicate link",IF(C792="","Missing access","OK")))))</f>
        <v/>
      </c>
    </row>
    <row r="793">
      <c r="A793" s="26" t="n"/>
      <c r="B793" s="26" t="n"/>
      <c r="C793" s="26" t="n"/>
      <c r="D793" s="26" t="n"/>
      <c r="E793" s="30">
        <f>IF(B793="","",IFERROR(INDEX('Holders'!$B$4:$B$1003,MATCH(B793,'Holders'!$A$4:$A$1003,0)),""))</f>
        <v/>
      </c>
      <c r="F793" s="30">
        <f t="array" ref="F793">IF(B793="","",_xlfn.TEXTJOIN(", ",TRUE,IF(('Companies'!$A$4:$A$63&lt;&gt;"")*(COUNTIFS('Holdings'!$A$4:$A$2503,B793,'Holdings'!$J$4:$J$2503,'Companies'!$A$4:$A$63,'Holdings'!$L$4:$L$2503,"Yes",'Holdings'!$C$4:$C$2503,"&gt;0")&gt;0),'Companies'!$A$4:$A$63,"")))</f>
        <v/>
      </c>
      <c r="G793" s="30">
        <f>IF(A793="","",IF(COUNTIF('People'!$A$4:$A$1003,A793)=0,"Email not on People",IF(COUNTIF('Holders'!$A$4:$A$1003,B793)=0,"Unknown holder ID",IF(COUNTIFS($A$4:$A$1503,A793,$B$4:$B$1503,B793)&gt;1,"Duplicate link",IF(C793="","Missing access","OK")))))</f>
        <v/>
      </c>
    </row>
    <row r="794">
      <c r="A794" s="26" t="n"/>
      <c r="B794" s="26" t="n"/>
      <c r="C794" s="26" t="n"/>
      <c r="D794" s="26" t="n"/>
      <c r="E794" s="30">
        <f>IF(B794="","",IFERROR(INDEX('Holders'!$B$4:$B$1003,MATCH(B794,'Holders'!$A$4:$A$1003,0)),""))</f>
        <v/>
      </c>
      <c r="F794" s="30">
        <f t="array" ref="F794">IF(B794="","",_xlfn.TEXTJOIN(", ",TRUE,IF(('Companies'!$A$4:$A$63&lt;&gt;"")*(COUNTIFS('Holdings'!$A$4:$A$2503,B794,'Holdings'!$J$4:$J$2503,'Companies'!$A$4:$A$63,'Holdings'!$L$4:$L$2503,"Yes",'Holdings'!$C$4:$C$2503,"&gt;0")&gt;0),'Companies'!$A$4:$A$63,"")))</f>
        <v/>
      </c>
      <c r="G794" s="30">
        <f>IF(A794="","",IF(COUNTIF('People'!$A$4:$A$1003,A794)=0,"Email not on People",IF(COUNTIF('Holders'!$A$4:$A$1003,B794)=0,"Unknown holder ID",IF(COUNTIFS($A$4:$A$1503,A794,$B$4:$B$1503,B794)&gt;1,"Duplicate link",IF(C794="","Missing access","OK")))))</f>
        <v/>
      </c>
    </row>
    <row r="795">
      <c r="A795" s="26" t="n"/>
      <c r="B795" s="26" t="n"/>
      <c r="C795" s="26" t="n"/>
      <c r="D795" s="26" t="n"/>
      <c r="E795" s="30">
        <f>IF(B795="","",IFERROR(INDEX('Holders'!$B$4:$B$1003,MATCH(B795,'Holders'!$A$4:$A$1003,0)),""))</f>
        <v/>
      </c>
      <c r="F795" s="30">
        <f t="array" ref="F795">IF(B795="","",_xlfn.TEXTJOIN(", ",TRUE,IF(('Companies'!$A$4:$A$63&lt;&gt;"")*(COUNTIFS('Holdings'!$A$4:$A$2503,B795,'Holdings'!$J$4:$J$2503,'Companies'!$A$4:$A$63,'Holdings'!$L$4:$L$2503,"Yes",'Holdings'!$C$4:$C$2503,"&gt;0")&gt;0),'Companies'!$A$4:$A$63,"")))</f>
        <v/>
      </c>
      <c r="G795" s="30">
        <f>IF(A795="","",IF(COUNTIF('People'!$A$4:$A$1003,A795)=0,"Email not on People",IF(COUNTIF('Holders'!$A$4:$A$1003,B795)=0,"Unknown holder ID",IF(COUNTIFS($A$4:$A$1503,A795,$B$4:$B$1503,B795)&gt;1,"Duplicate link",IF(C795="","Missing access","OK")))))</f>
        <v/>
      </c>
    </row>
    <row r="796">
      <c r="A796" s="26" t="n"/>
      <c r="B796" s="26" t="n"/>
      <c r="C796" s="26" t="n"/>
      <c r="D796" s="26" t="n"/>
      <c r="E796" s="30">
        <f>IF(B796="","",IFERROR(INDEX('Holders'!$B$4:$B$1003,MATCH(B796,'Holders'!$A$4:$A$1003,0)),""))</f>
        <v/>
      </c>
      <c r="F796" s="30">
        <f t="array" ref="F796">IF(B796="","",_xlfn.TEXTJOIN(", ",TRUE,IF(('Companies'!$A$4:$A$63&lt;&gt;"")*(COUNTIFS('Holdings'!$A$4:$A$2503,B796,'Holdings'!$J$4:$J$2503,'Companies'!$A$4:$A$63,'Holdings'!$L$4:$L$2503,"Yes",'Holdings'!$C$4:$C$2503,"&gt;0")&gt;0),'Companies'!$A$4:$A$63,"")))</f>
        <v/>
      </c>
      <c r="G796" s="30">
        <f>IF(A796="","",IF(COUNTIF('People'!$A$4:$A$1003,A796)=0,"Email not on People",IF(COUNTIF('Holders'!$A$4:$A$1003,B796)=0,"Unknown holder ID",IF(COUNTIFS($A$4:$A$1503,A796,$B$4:$B$1503,B796)&gt;1,"Duplicate link",IF(C796="","Missing access","OK")))))</f>
        <v/>
      </c>
    </row>
    <row r="797">
      <c r="A797" s="26" t="n"/>
      <c r="B797" s="26" t="n"/>
      <c r="C797" s="26" t="n"/>
      <c r="D797" s="26" t="n"/>
      <c r="E797" s="30">
        <f>IF(B797="","",IFERROR(INDEX('Holders'!$B$4:$B$1003,MATCH(B797,'Holders'!$A$4:$A$1003,0)),""))</f>
        <v/>
      </c>
      <c r="F797" s="30">
        <f t="array" ref="F797">IF(B797="","",_xlfn.TEXTJOIN(", ",TRUE,IF(('Companies'!$A$4:$A$63&lt;&gt;"")*(COUNTIFS('Holdings'!$A$4:$A$2503,B797,'Holdings'!$J$4:$J$2503,'Companies'!$A$4:$A$63,'Holdings'!$L$4:$L$2503,"Yes",'Holdings'!$C$4:$C$2503,"&gt;0")&gt;0),'Companies'!$A$4:$A$63,"")))</f>
        <v/>
      </c>
      <c r="G797" s="30">
        <f>IF(A797="","",IF(COUNTIF('People'!$A$4:$A$1003,A797)=0,"Email not on People",IF(COUNTIF('Holders'!$A$4:$A$1003,B797)=0,"Unknown holder ID",IF(COUNTIFS($A$4:$A$1503,A797,$B$4:$B$1503,B797)&gt;1,"Duplicate link",IF(C797="","Missing access","OK")))))</f>
        <v/>
      </c>
    </row>
    <row r="798">
      <c r="A798" s="26" t="n"/>
      <c r="B798" s="26" t="n"/>
      <c r="C798" s="26" t="n"/>
      <c r="D798" s="26" t="n"/>
      <c r="E798" s="30">
        <f>IF(B798="","",IFERROR(INDEX('Holders'!$B$4:$B$1003,MATCH(B798,'Holders'!$A$4:$A$1003,0)),""))</f>
        <v/>
      </c>
      <c r="F798" s="30">
        <f t="array" ref="F798">IF(B798="","",_xlfn.TEXTJOIN(", ",TRUE,IF(('Companies'!$A$4:$A$63&lt;&gt;"")*(COUNTIFS('Holdings'!$A$4:$A$2503,B798,'Holdings'!$J$4:$J$2503,'Companies'!$A$4:$A$63,'Holdings'!$L$4:$L$2503,"Yes",'Holdings'!$C$4:$C$2503,"&gt;0")&gt;0),'Companies'!$A$4:$A$63,"")))</f>
        <v/>
      </c>
      <c r="G798" s="30">
        <f>IF(A798="","",IF(COUNTIF('People'!$A$4:$A$1003,A798)=0,"Email not on People",IF(COUNTIF('Holders'!$A$4:$A$1003,B798)=0,"Unknown holder ID",IF(COUNTIFS($A$4:$A$1503,A798,$B$4:$B$1503,B798)&gt;1,"Duplicate link",IF(C798="","Missing access","OK")))))</f>
        <v/>
      </c>
    </row>
    <row r="799">
      <c r="A799" s="26" t="n"/>
      <c r="B799" s="26" t="n"/>
      <c r="C799" s="26" t="n"/>
      <c r="D799" s="26" t="n"/>
      <c r="E799" s="30">
        <f>IF(B799="","",IFERROR(INDEX('Holders'!$B$4:$B$1003,MATCH(B799,'Holders'!$A$4:$A$1003,0)),""))</f>
        <v/>
      </c>
      <c r="F799" s="30">
        <f t="array" ref="F799">IF(B799="","",_xlfn.TEXTJOIN(", ",TRUE,IF(('Companies'!$A$4:$A$63&lt;&gt;"")*(COUNTIFS('Holdings'!$A$4:$A$2503,B799,'Holdings'!$J$4:$J$2503,'Companies'!$A$4:$A$63,'Holdings'!$L$4:$L$2503,"Yes",'Holdings'!$C$4:$C$2503,"&gt;0")&gt;0),'Companies'!$A$4:$A$63,"")))</f>
        <v/>
      </c>
      <c r="G799" s="30">
        <f>IF(A799="","",IF(COUNTIF('People'!$A$4:$A$1003,A799)=0,"Email not on People",IF(COUNTIF('Holders'!$A$4:$A$1003,B799)=0,"Unknown holder ID",IF(COUNTIFS($A$4:$A$1503,A799,$B$4:$B$1503,B799)&gt;1,"Duplicate link",IF(C799="","Missing access","OK")))))</f>
        <v/>
      </c>
    </row>
    <row r="800">
      <c r="A800" s="26" t="n"/>
      <c r="B800" s="26" t="n"/>
      <c r="C800" s="26" t="n"/>
      <c r="D800" s="26" t="n"/>
      <c r="E800" s="30">
        <f>IF(B800="","",IFERROR(INDEX('Holders'!$B$4:$B$1003,MATCH(B800,'Holders'!$A$4:$A$1003,0)),""))</f>
        <v/>
      </c>
      <c r="F800" s="30">
        <f t="array" ref="F800">IF(B800="","",_xlfn.TEXTJOIN(", ",TRUE,IF(('Companies'!$A$4:$A$63&lt;&gt;"")*(COUNTIFS('Holdings'!$A$4:$A$2503,B800,'Holdings'!$J$4:$J$2503,'Companies'!$A$4:$A$63,'Holdings'!$L$4:$L$2503,"Yes",'Holdings'!$C$4:$C$2503,"&gt;0")&gt;0),'Companies'!$A$4:$A$63,"")))</f>
        <v/>
      </c>
      <c r="G800" s="30">
        <f>IF(A800="","",IF(COUNTIF('People'!$A$4:$A$1003,A800)=0,"Email not on People",IF(COUNTIF('Holders'!$A$4:$A$1003,B800)=0,"Unknown holder ID",IF(COUNTIFS($A$4:$A$1503,A800,$B$4:$B$1503,B800)&gt;1,"Duplicate link",IF(C800="","Missing access","OK")))))</f>
        <v/>
      </c>
    </row>
    <row r="801">
      <c r="A801" s="26" t="n"/>
      <c r="B801" s="26" t="n"/>
      <c r="C801" s="26" t="n"/>
      <c r="D801" s="26" t="n"/>
      <c r="E801" s="30">
        <f>IF(B801="","",IFERROR(INDEX('Holders'!$B$4:$B$1003,MATCH(B801,'Holders'!$A$4:$A$1003,0)),""))</f>
        <v/>
      </c>
      <c r="F801" s="30">
        <f t="array" ref="F801">IF(B801="","",_xlfn.TEXTJOIN(", ",TRUE,IF(('Companies'!$A$4:$A$63&lt;&gt;"")*(COUNTIFS('Holdings'!$A$4:$A$2503,B801,'Holdings'!$J$4:$J$2503,'Companies'!$A$4:$A$63,'Holdings'!$L$4:$L$2503,"Yes",'Holdings'!$C$4:$C$2503,"&gt;0")&gt;0),'Companies'!$A$4:$A$63,"")))</f>
        <v/>
      </c>
      <c r="G801" s="30">
        <f>IF(A801="","",IF(COUNTIF('People'!$A$4:$A$1003,A801)=0,"Email not on People",IF(COUNTIF('Holders'!$A$4:$A$1003,B801)=0,"Unknown holder ID",IF(COUNTIFS($A$4:$A$1503,A801,$B$4:$B$1503,B801)&gt;1,"Duplicate link",IF(C801="","Missing access","OK")))))</f>
        <v/>
      </c>
    </row>
    <row r="802">
      <c r="A802" s="26" t="n"/>
      <c r="B802" s="26" t="n"/>
      <c r="C802" s="26" t="n"/>
      <c r="D802" s="26" t="n"/>
      <c r="E802" s="30">
        <f>IF(B802="","",IFERROR(INDEX('Holders'!$B$4:$B$1003,MATCH(B802,'Holders'!$A$4:$A$1003,0)),""))</f>
        <v/>
      </c>
      <c r="F802" s="30">
        <f t="array" ref="F802">IF(B802="","",_xlfn.TEXTJOIN(", ",TRUE,IF(('Companies'!$A$4:$A$63&lt;&gt;"")*(COUNTIFS('Holdings'!$A$4:$A$2503,B802,'Holdings'!$J$4:$J$2503,'Companies'!$A$4:$A$63,'Holdings'!$L$4:$L$2503,"Yes",'Holdings'!$C$4:$C$2503,"&gt;0")&gt;0),'Companies'!$A$4:$A$63,"")))</f>
        <v/>
      </c>
      <c r="G802" s="30">
        <f>IF(A802="","",IF(COUNTIF('People'!$A$4:$A$1003,A802)=0,"Email not on People",IF(COUNTIF('Holders'!$A$4:$A$1003,B802)=0,"Unknown holder ID",IF(COUNTIFS($A$4:$A$1503,A802,$B$4:$B$1503,B802)&gt;1,"Duplicate link",IF(C802="","Missing access","OK")))))</f>
        <v/>
      </c>
    </row>
    <row r="803">
      <c r="A803" s="26" t="n"/>
      <c r="B803" s="26" t="n"/>
      <c r="C803" s="26" t="n"/>
      <c r="D803" s="26" t="n"/>
      <c r="E803" s="30">
        <f>IF(B803="","",IFERROR(INDEX('Holders'!$B$4:$B$1003,MATCH(B803,'Holders'!$A$4:$A$1003,0)),""))</f>
        <v/>
      </c>
      <c r="F803" s="30">
        <f t="array" ref="F803">IF(B803="","",_xlfn.TEXTJOIN(", ",TRUE,IF(('Companies'!$A$4:$A$63&lt;&gt;"")*(COUNTIFS('Holdings'!$A$4:$A$2503,B803,'Holdings'!$J$4:$J$2503,'Companies'!$A$4:$A$63,'Holdings'!$L$4:$L$2503,"Yes",'Holdings'!$C$4:$C$2503,"&gt;0")&gt;0),'Companies'!$A$4:$A$63,"")))</f>
        <v/>
      </c>
      <c r="G803" s="30">
        <f>IF(A803="","",IF(COUNTIF('People'!$A$4:$A$1003,A803)=0,"Email not on People",IF(COUNTIF('Holders'!$A$4:$A$1003,B803)=0,"Unknown holder ID",IF(COUNTIFS($A$4:$A$1503,A803,$B$4:$B$1503,B803)&gt;1,"Duplicate link",IF(C803="","Missing access","OK")))))</f>
        <v/>
      </c>
    </row>
    <row r="804">
      <c r="A804" s="26" t="n"/>
      <c r="B804" s="26" t="n"/>
      <c r="C804" s="26" t="n"/>
      <c r="D804" s="26" t="n"/>
      <c r="E804" s="30">
        <f>IF(B804="","",IFERROR(INDEX('Holders'!$B$4:$B$1003,MATCH(B804,'Holders'!$A$4:$A$1003,0)),""))</f>
        <v/>
      </c>
      <c r="F804" s="30">
        <f t="array" ref="F804">IF(B804="","",_xlfn.TEXTJOIN(", ",TRUE,IF(('Companies'!$A$4:$A$63&lt;&gt;"")*(COUNTIFS('Holdings'!$A$4:$A$2503,B804,'Holdings'!$J$4:$J$2503,'Companies'!$A$4:$A$63,'Holdings'!$L$4:$L$2503,"Yes",'Holdings'!$C$4:$C$2503,"&gt;0")&gt;0),'Companies'!$A$4:$A$63,"")))</f>
        <v/>
      </c>
      <c r="G804" s="30">
        <f>IF(A804="","",IF(COUNTIF('People'!$A$4:$A$1003,A804)=0,"Email not on People",IF(COUNTIF('Holders'!$A$4:$A$1003,B804)=0,"Unknown holder ID",IF(COUNTIFS($A$4:$A$1503,A804,$B$4:$B$1503,B804)&gt;1,"Duplicate link",IF(C804="","Missing access","OK")))))</f>
        <v/>
      </c>
    </row>
    <row r="805">
      <c r="A805" s="26" t="n"/>
      <c r="B805" s="26" t="n"/>
      <c r="C805" s="26" t="n"/>
      <c r="D805" s="26" t="n"/>
      <c r="E805" s="30">
        <f>IF(B805="","",IFERROR(INDEX('Holders'!$B$4:$B$1003,MATCH(B805,'Holders'!$A$4:$A$1003,0)),""))</f>
        <v/>
      </c>
      <c r="F805" s="30">
        <f t="array" ref="F805">IF(B805="","",_xlfn.TEXTJOIN(", ",TRUE,IF(('Companies'!$A$4:$A$63&lt;&gt;"")*(COUNTIFS('Holdings'!$A$4:$A$2503,B805,'Holdings'!$J$4:$J$2503,'Companies'!$A$4:$A$63,'Holdings'!$L$4:$L$2503,"Yes",'Holdings'!$C$4:$C$2503,"&gt;0")&gt;0),'Companies'!$A$4:$A$63,"")))</f>
        <v/>
      </c>
      <c r="G805" s="30">
        <f>IF(A805="","",IF(COUNTIF('People'!$A$4:$A$1003,A805)=0,"Email not on People",IF(COUNTIF('Holders'!$A$4:$A$1003,B805)=0,"Unknown holder ID",IF(COUNTIFS($A$4:$A$1503,A805,$B$4:$B$1503,B805)&gt;1,"Duplicate link",IF(C805="","Missing access","OK")))))</f>
        <v/>
      </c>
    </row>
    <row r="806">
      <c r="A806" s="26" t="n"/>
      <c r="B806" s="26" t="n"/>
      <c r="C806" s="26" t="n"/>
      <c r="D806" s="26" t="n"/>
      <c r="E806" s="30">
        <f>IF(B806="","",IFERROR(INDEX('Holders'!$B$4:$B$1003,MATCH(B806,'Holders'!$A$4:$A$1003,0)),""))</f>
        <v/>
      </c>
      <c r="F806" s="30">
        <f t="array" ref="F806">IF(B806="","",_xlfn.TEXTJOIN(", ",TRUE,IF(('Companies'!$A$4:$A$63&lt;&gt;"")*(COUNTIFS('Holdings'!$A$4:$A$2503,B806,'Holdings'!$J$4:$J$2503,'Companies'!$A$4:$A$63,'Holdings'!$L$4:$L$2503,"Yes",'Holdings'!$C$4:$C$2503,"&gt;0")&gt;0),'Companies'!$A$4:$A$63,"")))</f>
        <v/>
      </c>
      <c r="G806" s="30">
        <f>IF(A806="","",IF(COUNTIF('People'!$A$4:$A$1003,A806)=0,"Email not on People",IF(COUNTIF('Holders'!$A$4:$A$1003,B806)=0,"Unknown holder ID",IF(COUNTIFS($A$4:$A$1503,A806,$B$4:$B$1503,B806)&gt;1,"Duplicate link",IF(C806="","Missing access","OK")))))</f>
        <v/>
      </c>
    </row>
    <row r="807">
      <c r="A807" s="26" t="n"/>
      <c r="B807" s="26" t="n"/>
      <c r="C807" s="26" t="n"/>
      <c r="D807" s="26" t="n"/>
      <c r="E807" s="30">
        <f>IF(B807="","",IFERROR(INDEX('Holders'!$B$4:$B$1003,MATCH(B807,'Holders'!$A$4:$A$1003,0)),""))</f>
        <v/>
      </c>
      <c r="F807" s="30">
        <f t="array" ref="F807">IF(B807="","",_xlfn.TEXTJOIN(", ",TRUE,IF(('Companies'!$A$4:$A$63&lt;&gt;"")*(COUNTIFS('Holdings'!$A$4:$A$2503,B807,'Holdings'!$J$4:$J$2503,'Companies'!$A$4:$A$63,'Holdings'!$L$4:$L$2503,"Yes",'Holdings'!$C$4:$C$2503,"&gt;0")&gt;0),'Companies'!$A$4:$A$63,"")))</f>
        <v/>
      </c>
      <c r="G807" s="30">
        <f>IF(A807="","",IF(COUNTIF('People'!$A$4:$A$1003,A807)=0,"Email not on People",IF(COUNTIF('Holders'!$A$4:$A$1003,B807)=0,"Unknown holder ID",IF(COUNTIFS($A$4:$A$1503,A807,$B$4:$B$1503,B807)&gt;1,"Duplicate link",IF(C807="","Missing access","OK")))))</f>
        <v/>
      </c>
    </row>
    <row r="808">
      <c r="A808" s="26" t="n"/>
      <c r="B808" s="26" t="n"/>
      <c r="C808" s="26" t="n"/>
      <c r="D808" s="26" t="n"/>
      <c r="E808" s="30">
        <f>IF(B808="","",IFERROR(INDEX('Holders'!$B$4:$B$1003,MATCH(B808,'Holders'!$A$4:$A$1003,0)),""))</f>
        <v/>
      </c>
      <c r="F808" s="30">
        <f t="array" ref="F808">IF(B808="","",_xlfn.TEXTJOIN(", ",TRUE,IF(('Companies'!$A$4:$A$63&lt;&gt;"")*(COUNTIFS('Holdings'!$A$4:$A$2503,B808,'Holdings'!$J$4:$J$2503,'Companies'!$A$4:$A$63,'Holdings'!$L$4:$L$2503,"Yes",'Holdings'!$C$4:$C$2503,"&gt;0")&gt;0),'Companies'!$A$4:$A$63,"")))</f>
        <v/>
      </c>
      <c r="G808" s="30">
        <f>IF(A808="","",IF(COUNTIF('People'!$A$4:$A$1003,A808)=0,"Email not on People",IF(COUNTIF('Holders'!$A$4:$A$1003,B808)=0,"Unknown holder ID",IF(COUNTIFS($A$4:$A$1503,A808,$B$4:$B$1503,B808)&gt;1,"Duplicate link",IF(C808="","Missing access","OK")))))</f>
        <v/>
      </c>
    </row>
    <row r="809">
      <c r="A809" s="26" t="n"/>
      <c r="B809" s="26" t="n"/>
      <c r="C809" s="26" t="n"/>
      <c r="D809" s="26" t="n"/>
      <c r="E809" s="30">
        <f>IF(B809="","",IFERROR(INDEX('Holders'!$B$4:$B$1003,MATCH(B809,'Holders'!$A$4:$A$1003,0)),""))</f>
        <v/>
      </c>
      <c r="F809" s="30">
        <f t="array" ref="F809">IF(B809="","",_xlfn.TEXTJOIN(", ",TRUE,IF(('Companies'!$A$4:$A$63&lt;&gt;"")*(COUNTIFS('Holdings'!$A$4:$A$2503,B809,'Holdings'!$J$4:$J$2503,'Companies'!$A$4:$A$63,'Holdings'!$L$4:$L$2503,"Yes",'Holdings'!$C$4:$C$2503,"&gt;0")&gt;0),'Companies'!$A$4:$A$63,"")))</f>
        <v/>
      </c>
      <c r="G809" s="30">
        <f>IF(A809="","",IF(COUNTIF('People'!$A$4:$A$1003,A809)=0,"Email not on People",IF(COUNTIF('Holders'!$A$4:$A$1003,B809)=0,"Unknown holder ID",IF(COUNTIFS($A$4:$A$1503,A809,$B$4:$B$1503,B809)&gt;1,"Duplicate link",IF(C809="","Missing access","OK")))))</f>
        <v/>
      </c>
    </row>
    <row r="810">
      <c r="A810" s="26" t="n"/>
      <c r="B810" s="26" t="n"/>
      <c r="C810" s="26" t="n"/>
      <c r="D810" s="26" t="n"/>
      <c r="E810" s="30">
        <f>IF(B810="","",IFERROR(INDEX('Holders'!$B$4:$B$1003,MATCH(B810,'Holders'!$A$4:$A$1003,0)),""))</f>
        <v/>
      </c>
      <c r="F810" s="30">
        <f t="array" ref="F810">IF(B810="","",_xlfn.TEXTJOIN(", ",TRUE,IF(('Companies'!$A$4:$A$63&lt;&gt;"")*(COUNTIFS('Holdings'!$A$4:$A$2503,B810,'Holdings'!$J$4:$J$2503,'Companies'!$A$4:$A$63,'Holdings'!$L$4:$L$2503,"Yes",'Holdings'!$C$4:$C$2503,"&gt;0")&gt;0),'Companies'!$A$4:$A$63,"")))</f>
        <v/>
      </c>
      <c r="G810" s="30">
        <f>IF(A810="","",IF(COUNTIF('People'!$A$4:$A$1003,A810)=0,"Email not on People",IF(COUNTIF('Holders'!$A$4:$A$1003,B810)=0,"Unknown holder ID",IF(COUNTIFS($A$4:$A$1503,A810,$B$4:$B$1503,B810)&gt;1,"Duplicate link",IF(C810="","Missing access","OK")))))</f>
        <v/>
      </c>
    </row>
    <row r="811">
      <c r="A811" s="26" t="n"/>
      <c r="B811" s="26" t="n"/>
      <c r="C811" s="26" t="n"/>
      <c r="D811" s="26" t="n"/>
      <c r="E811" s="30">
        <f>IF(B811="","",IFERROR(INDEX('Holders'!$B$4:$B$1003,MATCH(B811,'Holders'!$A$4:$A$1003,0)),""))</f>
        <v/>
      </c>
      <c r="F811" s="30">
        <f t="array" ref="F811">IF(B811="","",_xlfn.TEXTJOIN(", ",TRUE,IF(('Companies'!$A$4:$A$63&lt;&gt;"")*(COUNTIFS('Holdings'!$A$4:$A$2503,B811,'Holdings'!$J$4:$J$2503,'Companies'!$A$4:$A$63,'Holdings'!$L$4:$L$2503,"Yes",'Holdings'!$C$4:$C$2503,"&gt;0")&gt;0),'Companies'!$A$4:$A$63,"")))</f>
        <v/>
      </c>
      <c r="G811" s="30">
        <f>IF(A811="","",IF(COUNTIF('People'!$A$4:$A$1003,A811)=0,"Email not on People",IF(COUNTIF('Holders'!$A$4:$A$1003,B811)=0,"Unknown holder ID",IF(COUNTIFS($A$4:$A$1503,A811,$B$4:$B$1503,B811)&gt;1,"Duplicate link",IF(C811="","Missing access","OK")))))</f>
        <v/>
      </c>
    </row>
    <row r="812">
      <c r="A812" s="26" t="n"/>
      <c r="B812" s="26" t="n"/>
      <c r="C812" s="26" t="n"/>
      <c r="D812" s="26" t="n"/>
      <c r="E812" s="30">
        <f>IF(B812="","",IFERROR(INDEX('Holders'!$B$4:$B$1003,MATCH(B812,'Holders'!$A$4:$A$1003,0)),""))</f>
        <v/>
      </c>
      <c r="F812" s="30">
        <f t="array" ref="F812">IF(B812="","",_xlfn.TEXTJOIN(", ",TRUE,IF(('Companies'!$A$4:$A$63&lt;&gt;"")*(COUNTIFS('Holdings'!$A$4:$A$2503,B812,'Holdings'!$J$4:$J$2503,'Companies'!$A$4:$A$63,'Holdings'!$L$4:$L$2503,"Yes",'Holdings'!$C$4:$C$2503,"&gt;0")&gt;0),'Companies'!$A$4:$A$63,"")))</f>
        <v/>
      </c>
      <c r="G812" s="30">
        <f>IF(A812="","",IF(COUNTIF('People'!$A$4:$A$1003,A812)=0,"Email not on People",IF(COUNTIF('Holders'!$A$4:$A$1003,B812)=0,"Unknown holder ID",IF(COUNTIFS($A$4:$A$1503,A812,$B$4:$B$1503,B812)&gt;1,"Duplicate link",IF(C812="","Missing access","OK")))))</f>
        <v/>
      </c>
    </row>
    <row r="813">
      <c r="A813" s="26" t="n"/>
      <c r="B813" s="26" t="n"/>
      <c r="C813" s="26" t="n"/>
      <c r="D813" s="26" t="n"/>
      <c r="E813" s="30">
        <f>IF(B813="","",IFERROR(INDEX('Holders'!$B$4:$B$1003,MATCH(B813,'Holders'!$A$4:$A$1003,0)),""))</f>
        <v/>
      </c>
      <c r="F813" s="30">
        <f t="array" ref="F813">IF(B813="","",_xlfn.TEXTJOIN(", ",TRUE,IF(('Companies'!$A$4:$A$63&lt;&gt;"")*(COUNTIFS('Holdings'!$A$4:$A$2503,B813,'Holdings'!$J$4:$J$2503,'Companies'!$A$4:$A$63,'Holdings'!$L$4:$L$2503,"Yes",'Holdings'!$C$4:$C$2503,"&gt;0")&gt;0),'Companies'!$A$4:$A$63,"")))</f>
        <v/>
      </c>
      <c r="G813" s="30">
        <f>IF(A813="","",IF(COUNTIF('People'!$A$4:$A$1003,A813)=0,"Email not on People",IF(COUNTIF('Holders'!$A$4:$A$1003,B813)=0,"Unknown holder ID",IF(COUNTIFS($A$4:$A$1503,A813,$B$4:$B$1503,B813)&gt;1,"Duplicate link",IF(C813="","Missing access","OK")))))</f>
        <v/>
      </c>
    </row>
    <row r="814">
      <c r="A814" s="26" t="n"/>
      <c r="B814" s="26" t="n"/>
      <c r="C814" s="26" t="n"/>
      <c r="D814" s="26" t="n"/>
      <c r="E814" s="30">
        <f>IF(B814="","",IFERROR(INDEX('Holders'!$B$4:$B$1003,MATCH(B814,'Holders'!$A$4:$A$1003,0)),""))</f>
        <v/>
      </c>
      <c r="F814" s="30">
        <f t="array" ref="F814">IF(B814="","",_xlfn.TEXTJOIN(", ",TRUE,IF(('Companies'!$A$4:$A$63&lt;&gt;"")*(COUNTIFS('Holdings'!$A$4:$A$2503,B814,'Holdings'!$J$4:$J$2503,'Companies'!$A$4:$A$63,'Holdings'!$L$4:$L$2503,"Yes",'Holdings'!$C$4:$C$2503,"&gt;0")&gt;0),'Companies'!$A$4:$A$63,"")))</f>
        <v/>
      </c>
      <c r="G814" s="30">
        <f>IF(A814="","",IF(COUNTIF('People'!$A$4:$A$1003,A814)=0,"Email not on People",IF(COUNTIF('Holders'!$A$4:$A$1003,B814)=0,"Unknown holder ID",IF(COUNTIFS($A$4:$A$1503,A814,$B$4:$B$1503,B814)&gt;1,"Duplicate link",IF(C814="","Missing access","OK")))))</f>
        <v/>
      </c>
    </row>
    <row r="815">
      <c r="A815" s="26" t="n"/>
      <c r="B815" s="26" t="n"/>
      <c r="C815" s="26" t="n"/>
      <c r="D815" s="26" t="n"/>
      <c r="E815" s="30">
        <f>IF(B815="","",IFERROR(INDEX('Holders'!$B$4:$B$1003,MATCH(B815,'Holders'!$A$4:$A$1003,0)),""))</f>
        <v/>
      </c>
      <c r="F815" s="30">
        <f t="array" ref="F815">IF(B815="","",_xlfn.TEXTJOIN(", ",TRUE,IF(('Companies'!$A$4:$A$63&lt;&gt;"")*(COUNTIFS('Holdings'!$A$4:$A$2503,B815,'Holdings'!$J$4:$J$2503,'Companies'!$A$4:$A$63,'Holdings'!$L$4:$L$2503,"Yes",'Holdings'!$C$4:$C$2503,"&gt;0")&gt;0),'Companies'!$A$4:$A$63,"")))</f>
        <v/>
      </c>
      <c r="G815" s="30">
        <f>IF(A815="","",IF(COUNTIF('People'!$A$4:$A$1003,A815)=0,"Email not on People",IF(COUNTIF('Holders'!$A$4:$A$1003,B815)=0,"Unknown holder ID",IF(COUNTIFS($A$4:$A$1503,A815,$B$4:$B$1503,B815)&gt;1,"Duplicate link",IF(C815="","Missing access","OK")))))</f>
        <v/>
      </c>
    </row>
    <row r="816">
      <c r="A816" s="26" t="n"/>
      <c r="B816" s="26" t="n"/>
      <c r="C816" s="26" t="n"/>
      <c r="D816" s="26" t="n"/>
      <c r="E816" s="30">
        <f>IF(B816="","",IFERROR(INDEX('Holders'!$B$4:$B$1003,MATCH(B816,'Holders'!$A$4:$A$1003,0)),""))</f>
        <v/>
      </c>
      <c r="F816" s="30">
        <f t="array" ref="F816">IF(B816="","",_xlfn.TEXTJOIN(", ",TRUE,IF(('Companies'!$A$4:$A$63&lt;&gt;"")*(COUNTIFS('Holdings'!$A$4:$A$2503,B816,'Holdings'!$J$4:$J$2503,'Companies'!$A$4:$A$63,'Holdings'!$L$4:$L$2503,"Yes",'Holdings'!$C$4:$C$2503,"&gt;0")&gt;0),'Companies'!$A$4:$A$63,"")))</f>
        <v/>
      </c>
      <c r="G816" s="30">
        <f>IF(A816="","",IF(COUNTIF('People'!$A$4:$A$1003,A816)=0,"Email not on People",IF(COUNTIF('Holders'!$A$4:$A$1003,B816)=0,"Unknown holder ID",IF(COUNTIFS($A$4:$A$1503,A816,$B$4:$B$1503,B816)&gt;1,"Duplicate link",IF(C816="","Missing access","OK")))))</f>
        <v/>
      </c>
    </row>
    <row r="817">
      <c r="A817" s="26" t="n"/>
      <c r="B817" s="26" t="n"/>
      <c r="C817" s="26" t="n"/>
      <c r="D817" s="26" t="n"/>
      <c r="E817" s="30">
        <f>IF(B817="","",IFERROR(INDEX('Holders'!$B$4:$B$1003,MATCH(B817,'Holders'!$A$4:$A$1003,0)),""))</f>
        <v/>
      </c>
      <c r="F817" s="30">
        <f t="array" ref="F817">IF(B817="","",_xlfn.TEXTJOIN(", ",TRUE,IF(('Companies'!$A$4:$A$63&lt;&gt;"")*(COUNTIFS('Holdings'!$A$4:$A$2503,B817,'Holdings'!$J$4:$J$2503,'Companies'!$A$4:$A$63,'Holdings'!$L$4:$L$2503,"Yes",'Holdings'!$C$4:$C$2503,"&gt;0")&gt;0),'Companies'!$A$4:$A$63,"")))</f>
        <v/>
      </c>
      <c r="G817" s="30">
        <f>IF(A817="","",IF(COUNTIF('People'!$A$4:$A$1003,A817)=0,"Email not on People",IF(COUNTIF('Holders'!$A$4:$A$1003,B817)=0,"Unknown holder ID",IF(COUNTIFS($A$4:$A$1503,A817,$B$4:$B$1503,B817)&gt;1,"Duplicate link",IF(C817="","Missing access","OK")))))</f>
        <v/>
      </c>
    </row>
    <row r="818">
      <c r="A818" s="26" t="n"/>
      <c r="B818" s="26" t="n"/>
      <c r="C818" s="26" t="n"/>
      <c r="D818" s="26" t="n"/>
      <c r="E818" s="30">
        <f>IF(B818="","",IFERROR(INDEX('Holders'!$B$4:$B$1003,MATCH(B818,'Holders'!$A$4:$A$1003,0)),""))</f>
        <v/>
      </c>
      <c r="F818" s="30">
        <f t="array" ref="F818">IF(B818="","",_xlfn.TEXTJOIN(", ",TRUE,IF(('Companies'!$A$4:$A$63&lt;&gt;"")*(COUNTIFS('Holdings'!$A$4:$A$2503,B818,'Holdings'!$J$4:$J$2503,'Companies'!$A$4:$A$63,'Holdings'!$L$4:$L$2503,"Yes",'Holdings'!$C$4:$C$2503,"&gt;0")&gt;0),'Companies'!$A$4:$A$63,"")))</f>
        <v/>
      </c>
      <c r="G818" s="30">
        <f>IF(A818="","",IF(COUNTIF('People'!$A$4:$A$1003,A818)=0,"Email not on People",IF(COUNTIF('Holders'!$A$4:$A$1003,B818)=0,"Unknown holder ID",IF(COUNTIFS($A$4:$A$1503,A818,$B$4:$B$1503,B818)&gt;1,"Duplicate link",IF(C818="","Missing access","OK")))))</f>
        <v/>
      </c>
    </row>
    <row r="819">
      <c r="A819" s="26" t="n"/>
      <c r="B819" s="26" t="n"/>
      <c r="C819" s="26" t="n"/>
      <c r="D819" s="26" t="n"/>
      <c r="E819" s="30">
        <f>IF(B819="","",IFERROR(INDEX('Holders'!$B$4:$B$1003,MATCH(B819,'Holders'!$A$4:$A$1003,0)),""))</f>
        <v/>
      </c>
      <c r="F819" s="30">
        <f t="array" ref="F819">IF(B819="","",_xlfn.TEXTJOIN(", ",TRUE,IF(('Companies'!$A$4:$A$63&lt;&gt;"")*(COUNTIFS('Holdings'!$A$4:$A$2503,B819,'Holdings'!$J$4:$J$2503,'Companies'!$A$4:$A$63,'Holdings'!$L$4:$L$2503,"Yes",'Holdings'!$C$4:$C$2503,"&gt;0")&gt;0),'Companies'!$A$4:$A$63,"")))</f>
        <v/>
      </c>
      <c r="G819" s="30">
        <f>IF(A819="","",IF(COUNTIF('People'!$A$4:$A$1003,A819)=0,"Email not on People",IF(COUNTIF('Holders'!$A$4:$A$1003,B819)=0,"Unknown holder ID",IF(COUNTIFS($A$4:$A$1503,A819,$B$4:$B$1503,B819)&gt;1,"Duplicate link",IF(C819="","Missing access","OK")))))</f>
        <v/>
      </c>
    </row>
    <row r="820">
      <c r="A820" s="26" t="n"/>
      <c r="B820" s="26" t="n"/>
      <c r="C820" s="26" t="n"/>
      <c r="D820" s="26" t="n"/>
      <c r="E820" s="30">
        <f>IF(B820="","",IFERROR(INDEX('Holders'!$B$4:$B$1003,MATCH(B820,'Holders'!$A$4:$A$1003,0)),""))</f>
        <v/>
      </c>
      <c r="F820" s="30">
        <f t="array" ref="F820">IF(B820="","",_xlfn.TEXTJOIN(", ",TRUE,IF(('Companies'!$A$4:$A$63&lt;&gt;"")*(COUNTIFS('Holdings'!$A$4:$A$2503,B820,'Holdings'!$J$4:$J$2503,'Companies'!$A$4:$A$63,'Holdings'!$L$4:$L$2503,"Yes",'Holdings'!$C$4:$C$2503,"&gt;0")&gt;0),'Companies'!$A$4:$A$63,"")))</f>
        <v/>
      </c>
      <c r="G820" s="30">
        <f>IF(A820="","",IF(COUNTIF('People'!$A$4:$A$1003,A820)=0,"Email not on People",IF(COUNTIF('Holders'!$A$4:$A$1003,B820)=0,"Unknown holder ID",IF(COUNTIFS($A$4:$A$1503,A820,$B$4:$B$1503,B820)&gt;1,"Duplicate link",IF(C820="","Missing access","OK")))))</f>
        <v/>
      </c>
    </row>
    <row r="821">
      <c r="A821" s="26" t="n"/>
      <c r="B821" s="26" t="n"/>
      <c r="C821" s="26" t="n"/>
      <c r="D821" s="26" t="n"/>
      <c r="E821" s="30">
        <f>IF(B821="","",IFERROR(INDEX('Holders'!$B$4:$B$1003,MATCH(B821,'Holders'!$A$4:$A$1003,0)),""))</f>
        <v/>
      </c>
      <c r="F821" s="30">
        <f t="array" ref="F821">IF(B821="","",_xlfn.TEXTJOIN(", ",TRUE,IF(('Companies'!$A$4:$A$63&lt;&gt;"")*(COUNTIFS('Holdings'!$A$4:$A$2503,B821,'Holdings'!$J$4:$J$2503,'Companies'!$A$4:$A$63,'Holdings'!$L$4:$L$2503,"Yes",'Holdings'!$C$4:$C$2503,"&gt;0")&gt;0),'Companies'!$A$4:$A$63,"")))</f>
        <v/>
      </c>
      <c r="G821" s="30">
        <f>IF(A821="","",IF(COUNTIF('People'!$A$4:$A$1003,A821)=0,"Email not on People",IF(COUNTIF('Holders'!$A$4:$A$1003,B821)=0,"Unknown holder ID",IF(COUNTIFS($A$4:$A$1503,A821,$B$4:$B$1503,B821)&gt;1,"Duplicate link",IF(C821="","Missing access","OK")))))</f>
        <v/>
      </c>
    </row>
    <row r="822">
      <c r="A822" s="26" t="n"/>
      <c r="B822" s="26" t="n"/>
      <c r="C822" s="26" t="n"/>
      <c r="D822" s="26" t="n"/>
      <c r="E822" s="30">
        <f>IF(B822="","",IFERROR(INDEX('Holders'!$B$4:$B$1003,MATCH(B822,'Holders'!$A$4:$A$1003,0)),""))</f>
        <v/>
      </c>
      <c r="F822" s="30">
        <f t="array" ref="F822">IF(B822="","",_xlfn.TEXTJOIN(", ",TRUE,IF(('Companies'!$A$4:$A$63&lt;&gt;"")*(COUNTIFS('Holdings'!$A$4:$A$2503,B822,'Holdings'!$J$4:$J$2503,'Companies'!$A$4:$A$63,'Holdings'!$L$4:$L$2503,"Yes",'Holdings'!$C$4:$C$2503,"&gt;0")&gt;0),'Companies'!$A$4:$A$63,"")))</f>
        <v/>
      </c>
      <c r="G822" s="30">
        <f>IF(A822="","",IF(COUNTIF('People'!$A$4:$A$1003,A822)=0,"Email not on People",IF(COUNTIF('Holders'!$A$4:$A$1003,B822)=0,"Unknown holder ID",IF(COUNTIFS($A$4:$A$1503,A822,$B$4:$B$1503,B822)&gt;1,"Duplicate link",IF(C822="","Missing access","OK")))))</f>
        <v/>
      </c>
    </row>
    <row r="823">
      <c r="A823" s="26" t="n"/>
      <c r="B823" s="26" t="n"/>
      <c r="C823" s="26" t="n"/>
      <c r="D823" s="26" t="n"/>
      <c r="E823" s="30">
        <f>IF(B823="","",IFERROR(INDEX('Holders'!$B$4:$B$1003,MATCH(B823,'Holders'!$A$4:$A$1003,0)),""))</f>
        <v/>
      </c>
      <c r="F823" s="30">
        <f t="array" ref="F823">IF(B823="","",_xlfn.TEXTJOIN(", ",TRUE,IF(('Companies'!$A$4:$A$63&lt;&gt;"")*(COUNTIFS('Holdings'!$A$4:$A$2503,B823,'Holdings'!$J$4:$J$2503,'Companies'!$A$4:$A$63,'Holdings'!$L$4:$L$2503,"Yes",'Holdings'!$C$4:$C$2503,"&gt;0")&gt;0),'Companies'!$A$4:$A$63,"")))</f>
        <v/>
      </c>
      <c r="G823" s="30">
        <f>IF(A823="","",IF(COUNTIF('People'!$A$4:$A$1003,A823)=0,"Email not on People",IF(COUNTIF('Holders'!$A$4:$A$1003,B823)=0,"Unknown holder ID",IF(COUNTIFS($A$4:$A$1503,A823,$B$4:$B$1503,B823)&gt;1,"Duplicate link",IF(C823="","Missing access","OK")))))</f>
        <v/>
      </c>
    </row>
    <row r="824">
      <c r="A824" s="26" t="n"/>
      <c r="B824" s="26" t="n"/>
      <c r="C824" s="26" t="n"/>
      <c r="D824" s="26" t="n"/>
      <c r="E824" s="30">
        <f>IF(B824="","",IFERROR(INDEX('Holders'!$B$4:$B$1003,MATCH(B824,'Holders'!$A$4:$A$1003,0)),""))</f>
        <v/>
      </c>
      <c r="F824" s="30">
        <f t="array" ref="F824">IF(B824="","",_xlfn.TEXTJOIN(", ",TRUE,IF(('Companies'!$A$4:$A$63&lt;&gt;"")*(COUNTIFS('Holdings'!$A$4:$A$2503,B824,'Holdings'!$J$4:$J$2503,'Companies'!$A$4:$A$63,'Holdings'!$L$4:$L$2503,"Yes",'Holdings'!$C$4:$C$2503,"&gt;0")&gt;0),'Companies'!$A$4:$A$63,"")))</f>
        <v/>
      </c>
      <c r="G824" s="30">
        <f>IF(A824="","",IF(COUNTIF('People'!$A$4:$A$1003,A824)=0,"Email not on People",IF(COUNTIF('Holders'!$A$4:$A$1003,B824)=0,"Unknown holder ID",IF(COUNTIFS($A$4:$A$1503,A824,$B$4:$B$1503,B824)&gt;1,"Duplicate link",IF(C824="","Missing access","OK")))))</f>
        <v/>
      </c>
    </row>
    <row r="825">
      <c r="A825" s="26" t="n"/>
      <c r="B825" s="26" t="n"/>
      <c r="C825" s="26" t="n"/>
      <c r="D825" s="26" t="n"/>
      <c r="E825" s="30">
        <f>IF(B825="","",IFERROR(INDEX('Holders'!$B$4:$B$1003,MATCH(B825,'Holders'!$A$4:$A$1003,0)),""))</f>
        <v/>
      </c>
      <c r="F825" s="30">
        <f t="array" ref="F825">IF(B825="","",_xlfn.TEXTJOIN(", ",TRUE,IF(('Companies'!$A$4:$A$63&lt;&gt;"")*(COUNTIFS('Holdings'!$A$4:$A$2503,B825,'Holdings'!$J$4:$J$2503,'Companies'!$A$4:$A$63,'Holdings'!$L$4:$L$2503,"Yes",'Holdings'!$C$4:$C$2503,"&gt;0")&gt;0),'Companies'!$A$4:$A$63,"")))</f>
        <v/>
      </c>
      <c r="G825" s="30">
        <f>IF(A825="","",IF(COUNTIF('People'!$A$4:$A$1003,A825)=0,"Email not on People",IF(COUNTIF('Holders'!$A$4:$A$1003,B825)=0,"Unknown holder ID",IF(COUNTIFS($A$4:$A$1503,A825,$B$4:$B$1503,B825)&gt;1,"Duplicate link",IF(C825="","Missing access","OK")))))</f>
        <v/>
      </c>
    </row>
    <row r="826">
      <c r="A826" s="26" t="n"/>
      <c r="B826" s="26" t="n"/>
      <c r="C826" s="26" t="n"/>
      <c r="D826" s="26" t="n"/>
      <c r="E826" s="30">
        <f>IF(B826="","",IFERROR(INDEX('Holders'!$B$4:$B$1003,MATCH(B826,'Holders'!$A$4:$A$1003,0)),""))</f>
        <v/>
      </c>
      <c r="F826" s="30">
        <f t="array" ref="F826">IF(B826="","",_xlfn.TEXTJOIN(", ",TRUE,IF(('Companies'!$A$4:$A$63&lt;&gt;"")*(COUNTIFS('Holdings'!$A$4:$A$2503,B826,'Holdings'!$J$4:$J$2503,'Companies'!$A$4:$A$63,'Holdings'!$L$4:$L$2503,"Yes",'Holdings'!$C$4:$C$2503,"&gt;0")&gt;0),'Companies'!$A$4:$A$63,"")))</f>
        <v/>
      </c>
      <c r="G826" s="30">
        <f>IF(A826="","",IF(COUNTIF('People'!$A$4:$A$1003,A826)=0,"Email not on People",IF(COUNTIF('Holders'!$A$4:$A$1003,B826)=0,"Unknown holder ID",IF(COUNTIFS($A$4:$A$1503,A826,$B$4:$B$1503,B826)&gt;1,"Duplicate link",IF(C826="","Missing access","OK")))))</f>
        <v/>
      </c>
    </row>
    <row r="827">
      <c r="A827" s="26" t="n"/>
      <c r="B827" s="26" t="n"/>
      <c r="C827" s="26" t="n"/>
      <c r="D827" s="26" t="n"/>
      <c r="E827" s="30">
        <f>IF(B827="","",IFERROR(INDEX('Holders'!$B$4:$B$1003,MATCH(B827,'Holders'!$A$4:$A$1003,0)),""))</f>
        <v/>
      </c>
      <c r="F827" s="30">
        <f t="array" ref="F827">IF(B827="","",_xlfn.TEXTJOIN(", ",TRUE,IF(('Companies'!$A$4:$A$63&lt;&gt;"")*(COUNTIFS('Holdings'!$A$4:$A$2503,B827,'Holdings'!$J$4:$J$2503,'Companies'!$A$4:$A$63,'Holdings'!$L$4:$L$2503,"Yes",'Holdings'!$C$4:$C$2503,"&gt;0")&gt;0),'Companies'!$A$4:$A$63,"")))</f>
        <v/>
      </c>
      <c r="G827" s="30">
        <f>IF(A827="","",IF(COUNTIF('People'!$A$4:$A$1003,A827)=0,"Email not on People",IF(COUNTIF('Holders'!$A$4:$A$1003,B827)=0,"Unknown holder ID",IF(COUNTIFS($A$4:$A$1503,A827,$B$4:$B$1503,B827)&gt;1,"Duplicate link",IF(C827="","Missing access","OK")))))</f>
        <v/>
      </c>
    </row>
    <row r="828">
      <c r="A828" s="26" t="n"/>
      <c r="B828" s="26" t="n"/>
      <c r="C828" s="26" t="n"/>
      <c r="D828" s="26" t="n"/>
      <c r="E828" s="30">
        <f>IF(B828="","",IFERROR(INDEX('Holders'!$B$4:$B$1003,MATCH(B828,'Holders'!$A$4:$A$1003,0)),""))</f>
        <v/>
      </c>
      <c r="F828" s="30">
        <f t="array" ref="F828">IF(B828="","",_xlfn.TEXTJOIN(", ",TRUE,IF(('Companies'!$A$4:$A$63&lt;&gt;"")*(COUNTIFS('Holdings'!$A$4:$A$2503,B828,'Holdings'!$J$4:$J$2503,'Companies'!$A$4:$A$63,'Holdings'!$L$4:$L$2503,"Yes",'Holdings'!$C$4:$C$2503,"&gt;0")&gt;0),'Companies'!$A$4:$A$63,"")))</f>
        <v/>
      </c>
      <c r="G828" s="30">
        <f>IF(A828="","",IF(COUNTIF('People'!$A$4:$A$1003,A828)=0,"Email not on People",IF(COUNTIF('Holders'!$A$4:$A$1003,B828)=0,"Unknown holder ID",IF(COUNTIFS($A$4:$A$1503,A828,$B$4:$B$1503,B828)&gt;1,"Duplicate link",IF(C828="","Missing access","OK")))))</f>
        <v/>
      </c>
    </row>
    <row r="829">
      <c r="A829" s="26" t="n"/>
      <c r="B829" s="26" t="n"/>
      <c r="C829" s="26" t="n"/>
      <c r="D829" s="26" t="n"/>
      <c r="E829" s="30">
        <f>IF(B829="","",IFERROR(INDEX('Holders'!$B$4:$B$1003,MATCH(B829,'Holders'!$A$4:$A$1003,0)),""))</f>
        <v/>
      </c>
      <c r="F829" s="30">
        <f t="array" ref="F829">IF(B829="","",_xlfn.TEXTJOIN(", ",TRUE,IF(('Companies'!$A$4:$A$63&lt;&gt;"")*(COUNTIFS('Holdings'!$A$4:$A$2503,B829,'Holdings'!$J$4:$J$2503,'Companies'!$A$4:$A$63,'Holdings'!$L$4:$L$2503,"Yes",'Holdings'!$C$4:$C$2503,"&gt;0")&gt;0),'Companies'!$A$4:$A$63,"")))</f>
        <v/>
      </c>
      <c r="G829" s="30">
        <f>IF(A829="","",IF(COUNTIF('People'!$A$4:$A$1003,A829)=0,"Email not on People",IF(COUNTIF('Holders'!$A$4:$A$1003,B829)=0,"Unknown holder ID",IF(COUNTIFS($A$4:$A$1503,A829,$B$4:$B$1503,B829)&gt;1,"Duplicate link",IF(C829="","Missing access","OK")))))</f>
        <v/>
      </c>
    </row>
    <row r="830">
      <c r="A830" s="26" t="n"/>
      <c r="B830" s="26" t="n"/>
      <c r="C830" s="26" t="n"/>
      <c r="D830" s="26" t="n"/>
      <c r="E830" s="30">
        <f>IF(B830="","",IFERROR(INDEX('Holders'!$B$4:$B$1003,MATCH(B830,'Holders'!$A$4:$A$1003,0)),""))</f>
        <v/>
      </c>
      <c r="F830" s="30">
        <f t="array" ref="F830">IF(B830="","",_xlfn.TEXTJOIN(", ",TRUE,IF(('Companies'!$A$4:$A$63&lt;&gt;"")*(COUNTIFS('Holdings'!$A$4:$A$2503,B830,'Holdings'!$J$4:$J$2503,'Companies'!$A$4:$A$63,'Holdings'!$L$4:$L$2503,"Yes",'Holdings'!$C$4:$C$2503,"&gt;0")&gt;0),'Companies'!$A$4:$A$63,"")))</f>
        <v/>
      </c>
      <c r="G830" s="30">
        <f>IF(A830="","",IF(COUNTIF('People'!$A$4:$A$1003,A830)=0,"Email not on People",IF(COUNTIF('Holders'!$A$4:$A$1003,B830)=0,"Unknown holder ID",IF(COUNTIFS($A$4:$A$1503,A830,$B$4:$B$1503,B830)&gt;1,"Duplicate link",IF(C830="","Missing access","OK")))))</f>
        <v/>
      </c>
    </row>
    <row r="831">
      <c r="A831" s="26" t="n"/>
      <c r="B831" s="26" t="n"/>
      <c r="C831" s="26" t="n"/>
      <c r="D831" s="26" t="n"/>
      <c r="E831" s="30">
        <f>IF(B831="","",IFERROR(INDEX('Holders'!$B$4:$B$1003,MATCH(B831,'Holders'!$A$4:$A$1003,0)),""))</f>
        <v/>
      </c>
      <c r="F831" s="30">
        <f t="array" ref="F831">IF(B831="","",_xlfn.TEXTJOIN(", ",TRUE,IF(('Companies'!$A$4:$A$63&lt;&gt;"")*(COUNTIFS('Holdings'!$A$4:$A$2503,B831,'Holdings'!$J$4:$J$2503,'Companies'!$A$4:$A$63,'Holdings'!$L$4:$L$2503,"Yes",'Holdings'!$C$4:$C$2503,"&gt;0")&gt;0),'Companies'!$A$4:$A$63,"")))</f>
        <v/>
      </c>
      <c r="G831" s="30">
        <f>IF(A831="","",IF(COUNTIF('People'!$A$4:$A$1003,A831)=0,"Email not on People",IF(COUNTIF('Holders'!$A$4:$A$1003,B831)=0,"Unknown holder ID",IF(COUNTIFS($A$4:$A$1503,A831,$B$4:$B$1503,B831)&gt;1,"Duplicate link",IF(C831="","Missing access","OK")))))</f>
        <v/>
      </c>
    </row>
    <row r="832">
      <c r="A832" s="26" t="n"/>
      <c r="B832" s="26" t="n"/>
      <c r="C832" s="26" t="n"/>
      <c r="D832" s="26" t="n"/>
      <c r="E832" s="30">
        <f>IF(B832="","",IFERROR(INDEX('Holders'!$B$4:$B$1003,MATCH(B832,'Holders'!$A$4:$A$1003,0)),""))</f>
        <v/>
      </c>
      <c r="F832" s="30">
        <f t="array" ref="F832">IF(B832="","",_xlfn.TEXTJOIN(", ",TRUE,IF(('Companies'!$A$4:$A$63&lt;&gt;"")*(COUNTIFS('Holdings'!$A$4:$A$2503,B832,'Holdings'!$J$4:$J$2503,'Companies'!$A$4:$A$63,'Holdings'!$L$4:$L$2503,"Yes",'Holdings'!$C$4:$C$2503,"&gt;0")&gt;0),'Companies'!$A$4:$A$63,"")))</f>
        <v/>
      </c>
      <c r="G832" s="30">
        <f>IF(A832="","",IF(COUNTIF('People'!$A$4:$A$1003,A832)=0,"Email not on People",IF(COUNTIF('Holders'!$A$4:$A$1003,B832)=0,"Unknown holder ID",IF(COUNTIFS($A$4:$A$1503,A832,$B$4:$B$1503,B832)&gt;1,"Duplicate link",IF(C832="","Missing access","OK")))))</f>
        <v/>
      </c>
    </row>
    <row r="833">
      <c r="A833" s="26" t="n"/>
      <c r="B833" s="26" t="n"/>
      <c r="C833" s="26" t="n"/>
      <c r="D833" s="26" t="n"/>
      <c r="E833" s="30">
        <f>IF(B833="","",IFERROR(INDEX('Holders'!$B$4:$B$1003,MATCH(B833,'Holders'!$A$4:$A$1003,0)),""))</f>
        <v/>
      </c>
      <c r="F833" s="30">
        <f t="array" ref="F833">IF(B833="","",_xlfn.TEXTJOIN(", ",TRUE,IF(('Companies'!$A$4:$A$63&lt;&gt;"")*(COUNTIFS('Holdings'!$A$4:$A$2503,B833,'Holdings'!$J$4:$J$2503,'Companies'!$A$4:$A$63,'Holdings'!$L$4:$L$2503,"Yes",'Holdings'!$C$4:$C$2503,"&gt;0")&gt;0),'Companies'!$A$4:$A$63,"")))</f>
        <v/>
      </c>
      <c r="G833" s="30">
        <f>IF(A833="","",IF(COUNTIF('People'!$A$4:$A$1003,A833)=0,"Email not on People",IF(COUNTIF('Holders'!$A$4:$A$1003,B833)=0,"Unknown holder ID",IF(COUNTIFS($A$4:$A$1503,A833,$B$4:$B$1503,B833)&gt;1,"Duplicate link",IF(C833="","Missing access","OK")))))</f>
        <v/>
      </c>
    </row>
    <row r="834">
      <c r="A834" s="26" t="n"/>
      <c r="B834" s="26" t="n"/>
      <c r="C834" s="26" t="n"/>
      <c r="D834" s="26" t="n"/>
      <c r="E834" s="30">
        <f>IF(B834="","",IFERROR(INDEX('Holders'!$B$4:$B$1003,MATCH(B834,'Holders'!$A$4:$A$1003,0)),""))</f>
        <v/>
      </c>
      <c r="F834" s="30">
        <f t="array" ref="F834">IF(B834="","",_xlfn.TEXTJOIN(", ",TRUE,IF(('Companies'!$A$4:$A$63&lt;&gt;"")*(COUNTIFS('Holdings'!$A$4:$A$2503,B834,'Holdings'!$J$4:$J$2503,'Companies'!$A$4:$A$63,'Holdings'!$L$4:$L$2503,"Yes",'Holdings'!$C$4:$C$2503,"&gt;0")&gt;0),'Companies'!$A$4:$A$63,"")))</f>
        <v/>
      </c>
      <c r="G834" s="30">
        <f>IF(A834="","",IF(COUNTIF('People'!$A$4:$A$1003,A834)=0,"Email not on People",IF(COUNTIF('Holders'!$A$4:$A$1003,B834)=0,"Unknown holder ID",IF(COUNTIFS($A$4:$A$1503,A834,$B$4:$B$1503,B834)&gt;1,"Duplicate link",IF(C834="","Missing access","OK")))))</f>
        <v/>
      </c>
    </row>
    <row r="835">
      <c r="A835" s="26" t="n"/>
      <c r="B835" s="26" t="n"/>
      <c r="C835" s="26" t="n"/>
      <c r="D835" s="26" t="n"/>
      <c r="E835" s="30">
        <f>IF(B835="","",IFERROR(INDEX('Holders'!$B$4:$B$1003,MATCH(B835,'Holders'!$A$4:$A$1003,0)),""))</f>
        <v/>
      </c>
      <c r="F835" s="30">
        <f t="array" ref="F835">IF(B835="","",_xlfn.TEXTJOIN(", ",TRUE,IF(('Companies'!$A$4:$A$63&lt;&gt;"")*(COUNTIFS('Holdings'!$A$4:$A$2503,B835,'Holdings'!$J$4:$J$2503,'Companies'!$A$4:$A$63,'Holdings'!$L$4:$L$2503,"Yes",'Holdings'!$C$4:$C$2503,"&gt;0")&gt;0),'Companies'!$A$4:$A$63,"")))</f>
        <v/>
      </c>
      <c r="G835" s="30">
        <f>IF(A835="","",IF(COUNTIF('People'!$A$4:$A$1003,A835)=0,"Email not on People",IF(COUNTIF('Holders'!$A$4:$A$1003,B835)=0,"Unknown holder ID",IF(COUNTIFS($A$4:$A$1503,A835,$B$4:$B$1503,B835)&gt;1,"Duplicate link",IF(C835="","Missing access","OK")))))</f>
        <v/>
      </c>
    </row>
    <row r="836">
      <c r="A836" s="26" t="n"/>
      <c r="B836" s="26" t="n"/>
      <c r="C836" s="26" t="n"/>
      <c r="D836" s="26" t="n"/>
      <c r="E836" s="30">
        <f>IF(B836="","",IFERROR(INDEX('Holders'!$B$4:$B$1003,MATCH(B836,'Holders'!$A$4:$A$1003,0)),""))</f>
        <v/>
      </c>
      <c r="F836" s="30">
        <f t="array" ref="F836">IF(B836="","",_xlfn.TEXTJOIN(", ",TRUE,IF(('Companies'!$A$4:$A$63&lt;&gt;"")*(COUNTIFS('Holdings'!$A$4:$A$2503,B836,'Holdings'!$J$4:$J$2503,'Companies'!$A$4:$A$63,'Holdings'!$L$4:$L$2503,"Yes",'Holdings'!$C$4:$C$2503,"&gt;0")&gt;0),'Companies'!$A$4:$A$63,"")))</f>
        <v/>
      </c>
      <c r="G836" s="30">
        <f>IF(A836="","",IF(COUNTIF('People'!$A$4:$A$1003,A836)=0,"Email not on People",IF(COUNTIF('Holders'!$A$4:$A$1003,B836)=0,"Unknown holder ID",IF(COUNTIFS($A$4:$A$1503,A836,$B$4:$B$1503,B836)&gt;1,"Duplicate link",IF(C836="","Missing access","OK")))))</f>
        <v/>
      </c>
    </row>
    <row r="837">
      <c r="A837" s="26" t="n"/>
      <c r="B837" s="26" t="n"/>
      <c r="C837" s="26" t="n"/>
      <c r="D837" s="26" t="n"/>
      <c r="E837" s="30">
        <f>IF(B837="","",IFERROR(INDEX('Holders'!$B$4:$B$1003,MATCH(B837,'Holders'!$A$4:$A$1003,0)),""))</f>
        <v/>
      </c>
      <c r="F837" s="30">
        <f t="array" ref="F837">IF(B837="","",_xlfn.TEXTJOIN(", ",TRUE,IF(('Companies'!$A$4:$A$63&lt;&gt;"")*(COUNTIFS('Holdings'!$A$4:$A$2503,B837,'Holdings'!$J$4:$J$2503,'Companies'!$A$4:$A$63,'Holdings'!$L$4:$L$2503,"Yes",'Holdings'!$C$4:$C$2503,"&gt;0")&gt;0),'Companies'!$A$4:$A$63,"")))</f>
        <v/>
      </c>
      <c r="G837" s="30">
        <f>IF(A837="","",IF(COUNTIF('People'!$A$4:$A$1003,A837)=0,"Email not on People",IF(COUNTIF('Holders'!$A$4:$A$1003,B837)=0,"Unknown holder ID",IF(COUNTIFS($A$4:$A$1503,A837,$B$4:$B$1503,B837)&gt;1,"Duplicate link",IF(C837="","Missing access","OK")))))</f>
        <v/>
      </c>
    </row>
    <row r="838">
      <c r="A838" s="26" t="n"/>
      <c r="B838" s="26" t="n"/>
      <c r="C838" s="26" t="n"/>
      <c r="D838" s="26" t="n"/>
      <c r="E838" s="30">
        <f>IF(B838="","",IFERROR(INDEX('Holders'!$B$4:$B$1003,MATCH(B838,'Holders'!$A$4:$A$1003,0)),""))</f>
        <v/>
      </c>
      <c r="F838" s="30">
        <f t="array" ref="F838">IF(B838="","",_xlfn.TEXTJOIN(", ",TRUE,IF(('Companies'!$A$4:$A$63&lt;&gt;"")*(COUNTIFS('Holdings'!$A$4:$A$2503,B838,'Holdings'!$J$4:$J$2503,'Companies'!$A$4:$A$63,'Holdings'!$L$4:$L$2503,"Yes",'Holdings'!$C$4:$C$2503,"&gt;0")&gt;0),'Companies'!$A$4:$A$63,"")))</f>
        <v/>
      </c>
      <c r="G838" s="30">
        <f>IF(A838="","",IF(COUNTIF('People'!$A$4:$A$1003,A838)=0,"Email not on People",IF(COUNTIF('Holders'!$A$4:$A$1003,B838)=0,"Unknown holder ID",IF(COUNTIFS($A$4:$A$1503,A838,$B$4:$B$1503,B838)&gt;1,"Duplicate link",IF(C838="","Missing access","OK")))))</f>
        <v/>
      </c>
    </row>
    <row r="839">
      <c r="A839" s="26" t="n"/>
      <c r="B839" s="26" t="n"/>
      <c r="C839" s="26" t="n"/>
      <c r="D839" s="26" t="n"/>
      <c r="E839" s="30">
        <f>IF(B839="","",IFERROR(INDEX('Holders'!$B$4:$B$1003,MATCH(B839,'Holders'!$A$4:$A$1003,0)),""))</f>
        <v/>
      </c>
      <c r="F839" s="30">
        <f t="array" ref="F839">IF(B839="","",_xlfn.TEXTJOIN(", ",TRUE,IF(('Companies'!$A$4:$A$63&lt;&gt;"")*(COUNTIFS('Holdings'!$A$4:$A$2503,B839,'Holdings'!$J$4:$J$2503,'Companies'!$A$4:$A$63,'Holdings'!$L$4:$L$2503,"Yes",'Holdings'!$C$4:$C$2503,"&gt;0")&gt;0),'Companies'!$A$4:$A$63,"")))</f>
        <v/>
      </c>
      <c r="G839" s="30">
        <f>IF(A839="","",IF(COUNTIF('People'!$A$4:$A$1003,A839)=0,"Email not on People",IF(COUNTIF('Holders'!$A$4:$A$1003,B839)=0,"Unknown holder ID",IF(COUNTIFS($A$4:$A$1503,A839,$B$4:$B$1503,B839)&gt;1,"Duplicate link",IF(C839="","Missing access","OK")))))</f>
        <v/>
      </c>
    </row>
    <row r="840">
      <c r="A840" s="26" t="n"/>
      <c r="B840" s="26" t="n"/>
      <c r="C840" s="26" t="n"/>
      <c r="D840" s="26" t="n"/>
      <c r="E840" s="30">
        <f>IF(B840="","",IFERROR(INDEX('Holders'!$B$4:$B$1003,MATCH(B840,'Holders'!$A$4:$A$1003,0)),""))</f>
        <v/>
      </c>
      <c r="F840" s="30">
        <f t="array" ref="F840">IF(B840="","",_xlfn.TEXTJOIN(", ",TRUE,IF(('Companies'!$A$4:$A$63&lt;&gt;"")*(COUNTIFS('Holdings'!$A$4:$A$2503,B840,'Holdings'!$J$4:$J$2503,'Companies'!$A$4:$A$63,'Holdings'!$L$4:$L$2503,"Yes",'Holdings'!$C$4:$C$2503,"&gt;0")&gt;0),'Companies'!$A$4:$A$63,"")))</f>
        <v/>
      </c>
      <c r="G840" s="30">
        <f>IF(A840="","",IF(COUNTIF('People'!$A$4:$A$1003,A840)=0,"Email not on People",IF(COUNTIF('Holders'!$A$4:$A$1003,B840)=0,"Unknown holder ID",IF(COUNTIFS($A$4:$A$1503,A840,$B$4:$B$1503,B840)&gt;1,"Duplicate link",IF(C840="","Missing access","OK")))))</f>
        <v/>
      </c>
    </row>
    <row r="841">
      <c r="A841" s="26" t="n"/>
      <c r="B841" s="26" t="n"/>
      <c r="C841" s="26" t="n"/>
      <c r="D841" s="26" t="n"/>
      <c r="E841" s="30">
        <f>IF(B841="","",IFERROR(INDEX('Holders'!$B$4:$B$1003,MATCH(B841,'Holders'!$A$4:$A$1003,0)),""))</f>
        <v/>
      </c>
      <c r="F841" s="30">
        <f t="array" ref="F841">IF(B841="","",_xlfn.TEXTJOIN(", ",TRUE,IF(('Companies'!$A$4:$A$63&lt;&gt;"")*(COUNTIFS('Holdings'!$A$4:$A$2503,B841,'Holdings'!$J$4:$J$2503,'Companies'!$A$4:$A$63,'Holdings'!$L$4:$L$2503,"Yes",'Holdings'!$C$4:$C$2503,"&gt;0")&gt;0),'Companies'!$A$4:$A$63,"")))</f>
        <v/>
      </c>
      <c r="G841" s="30">
        <f>IF(A841="","",IF(COUNTIF('People'!$A$4:$A$1003,A841)=0,"Email not on People",IF(COUNTIF('Holders'!$A$4:$A$1003,B841)=0,"Unknown holder ID",IF(COUNTIFS($A$4:$A$1503,A841,$B$4:$B$1503,B841)&gt;1,"Duplicate link",IF(C841="","Missing access","OK")))))</f>
        <v/>
      </c>
    </row>
    <row r="842">
      <c r="A842" s="26" t="n"/>
      <c r="B842" s="26" t="n"/>
      <c r="C842" s="26" t="n"/>
      <c r="D842" s="26" t="n"/>
      <c r="E842" s="30">
        <f>IF(B842="","",IFERROR(INDEX('Holders'!$B$4:$B$1003,MATCH(B842,'Holders'!$A$4:$A$1003,0)),""))</f>
        <v/>
      </c>
      <c r="F842" s="30">
        <f t="array" ref="F842">IF(B842="","",_xlfn.TEXTJOIN(", ",TRUE,IF(('Companies'!$A$4:$A$63&lt;&gt;"")*(COUNTIFS('Holdings'!$A$4:$A$2503,B842,'Holdings'!$J$4:$J$2503,'Companies'!$A$4:$A$63,'Holdings'!$L$4:$L$2503,"Yes",'Holdings'!$C$4:$C$2503,"&gt;0")&gt;0),'Companies'!$A$4:$A$63,"")))</f>
        <v/>
      </c>
      <c r="G842" s="30">
        <f>IF(A842="","",IF(COUNTIF('People'!$A$4:$A$1003,A842)=0,"Email not on People",IF(COUNTIF('Holders'!$A$4:$A$1003,B842)=0,"Unknown holder ID",IF(COUNTIFS($A$4:$A$1503,A842,$B$4:$B$1503,B842)&gt;1,"Duplicate link",IF(C842="","Missing access","OK")))))</f>
        <v/>
      </c>
    </row>
    <row r="843">
      <c r="A843" s="26" t="n"/>
      <c r="B843" s="26" t="n"/>
      <c r="C843" s="26" t="n"/>
      <c r="D843" s="26" t="n"/>
      <c r="E843" s="30">
        <f>IF(B843="","",IFERROR(INDEX('Holders'!$B$4:$B$1003,MATCH(B843,'Holders'!$A$4:$A$1003,0)),""))</f>
        <v/>
      </c>
      <c r="F843" s="30">
        <f t="array" ref="F843">IF(B843="","",_xlfn.TEXTJOIN(", ",TRUE,IF(('Companies'!$A$4:$A$63&lt;&gt;"")*(COUNTIFS('Holdings'!$A$4:$A$2503,B843,'Holdings'!$J$4:$J$2503,'Companies'!$A$4:$A$63,'Holdings'!$L$4:$L$2503,"Yes",'Holdings'!$C$4:$C$2503,"&gt;0")&gt;0),'Companies'!$A$4:$A$63,"")))</f>
        <v/>
      </c>
      <c r="G843" s="30">
        <f>IF(A843="","",IF(COUNTIF('People'!$A$4:$A$1003,A843)=0,"Email not on People",IF(COUNTIF('Holders'!$A$4:$A$1003,B843)=0,"Unknown holder ID",IF(COUNTIFS($A$4:$A$1503,A843,$B$4:$B$1503,B843)&gt;1,"Duplicate link",IF(C843="","Missing access","OK")))))</f>
        <v/>
      </c>
    </row>
    <row r="844">
      <c r="A844" s="26" t="n"/>
      <c r="B844" s="26" t="n"/>
      <c r="C844" s="26" t="n"/>
      <c r="D844" s="26" t="n"/>
      <c r="E844" s="30">
        <f>IF(B844="","",IFERROR(INDEX('Holders'!$B$4:$B$1003,MATCH(B844,'Holders'!$A$4:$A$1003,0)),""))</f>
        <v/>
      </c>
      <c r="F844" s="30">
        <f t="array" ref="F844">IF(B844="","",_xlfn.TEXTJOIN(", ",TRUE,IF(('Companies'!$A$4:$A$63&lt;&gt;"")*(COUNTIFS('Holdings'!$A$4:$A$2503,B844,'Holdings'!$J$4:$J$2503,'Companies'!$A$4:$A$63,'Holdings'!$L$4:$L$2503,"Yes",'Holdings'!$C$4:$C$2503,"&gt;0")&gt;0),'Companies'!$A$4:$A$63,"")))</f>
        <v/>
      </c>
      <c r="G844" s="30">
        <f>IF(A844="","",IF(COUNTIF('People'!$A$4:$A$1003,A844)=0,"Email not on People",IF(COUNTIF('Holders'!$A$4:$A$1003,B844)=0,"Unknown holder ID",IF(COUNTIFS($A$4:$A$1503,A844,$B$4:$B$1503,B844)&gt;1,"Duplicate link",IF(C844="","Missing access","OK")))))</f>
        <v/>
      </c>
    </row>
    <row r="845">
      <c r="A845" s="26" t="n"/>
      <c r="B845" s="26" t="n"/>
      <c r="C845" s="26" t="n"/>
      <c r="D845" s="26" t="n"/>
      <c r="E845" s="30">
        <f>IF(B845="","",IFERROR(INDEX('Holders'!$B$4:$B$1003,MATCH(B845,'Holders'!$A$4:$A$1003,0)),""))</f>
        <v/>
      </c>
      <c r="F845" s="30">
        <f t="array" ref="F845">IF(B845="","",_xlfn.TEXTJOIN(", ",TRUE,IF(('Companies'!$A$4:$A$63&lt;&gt;"")*(COUNTIFS('Holdings'!$A$4:$A$2503,B845,'Holdings'!$J$4:$J$2503,'Companies'!$A$4:$A$63,'Holdings'!$L$4:$L$2503,"Yes",'Holdings'!$C$4:$C$2503,"&gt;0")&gt;0),'Companies'!$A$4:$A$63,"")))</f>
        <v/>
      </c>
      <c r="G845" s="30">
        <f>IF(A845="","",IF(COUNTIF('People'!$A$4:$A$1003,A845)=0,"Email not on People",IF(COUNTIF('Holders'!$A$4:$A$1003,B845)=0,"Unknown holder ID",IF(COUNTIFS($A$4:$A$1503,A845,$B$4:$B$1503,B845)&gt;1,"Duplicate link",IF(C845="","Missing access","OK")))))</f>
        <v/>
      </c>
    </row>
    <row r="846">
      <c r="A846" s="26" t="n"/>
      <c r="B846" s="26" t="n"/>
      <c r="C846" s="26" t="n"/>
      <c r="D846" s="26" t="n"/>
      <c r="E846" s="30">
        <f>IF(B846="","",IFERROR(INDEX('Holders'!$B$4:$B$1003,MATCH(B846,'Holders'!$A$4:$A$1003,0)),""))</f>
        <v/>
      </c>
      <c r="F846" s="30">
        <f t="array" ref="F846">IF(B846="","",_xlfn.TEXTJOIN(", ",TRUE,IF(('Companies'!$A$4:$A$63&lt;&gt;"")*(COUNTIFS('Holdings'!$A$4:$A$2503,B846,'Holdings'!$J$4:$J$2503,'Companies'!$A$4:$A$63,'Holdings'!$L$4:$L$2503,"Yes",'Holdings'!$C$4:$C$2503,"&gt;0")&gt;0),'Companies'!$A$4:$A$63,"")))</f>
        <v/>
      </c>
      <c r="G846" s="30">
        <f>IF(A846="","",IF(COUNTIF('People'!$A$4:$A$1003,A846)=0,"Email not on People",IF(COUNTIF('Holders'!$A$4:$A$1003,B846)=0,"Unknown holder ID",IF(COUNTIFS($A$4:$A$1503,A846,$B$4:$B$1503,B846)&gt;1,"Duplicate link",IF(C846="","Missing access","OK")))))</f>
        <v/>
      </c>
    </row>
    <row r="847">
      <c r="A847" s="26" t="n"/>
      <c r="B847" s="26" t="n"/>
      <c r="C847" s="26" t="n"/>
      <c r="D847" s="26" t="n"/>
      <c r="E847" s="30">
        <f>IF(B847="","",IFERROR(INDEX('Holders'!$B$4:$B$1003,MATCH(B847,'Holders'!$A$4:$A$1003,0)),""))</f>
        <v/>
      </c>
      <c r="F847" s="30">
        <f t="array" ref="F847">IF(B847="","",_xlfn.TEXTJOIN(", ",TRUE,IF(('Companies'!$A$4:$A$63&lt;&gt;"")*(COUNTIFS('Holdings'!$A$4:$A$2503,B847,'Holdings'!$J$4:$J$2503,'Companies'!$A$4:$A$63,'Holdings'!$L$4:$L$2503,"Yes",'Holdings'!$C$4:$C$2503,"&gt;0")&gt;0),'Companies'!$A$4:$A$63,"")))</f>
        <v/>
      </c>
      <c r="G847" s="30">
        <f>IF(A847="","",IF(COUNTIF('People'!$A$4:$A$1003,A847)=0,"Email not on People",IF(COUNTIF('Holders'!$A$4:$A$1003,B847)=0,"Unknown holder ID",IF(COUNTIFS($A$4:$A$1503,A847,$B$4:$B$1503,B847)&gt;1,"Duplicate link",IF(C847="","Missing access","OK")))))</f>
        <v/>
      </c>
    </row>
    <row r="848">
      <c r="A848" s="26" t="n"/>
      <c r="B848" s="26" t="n"/>
      <c r="C848" s="26" t="n"/>
      <c r="D848" s="26" t="n"/>
      <c r="E848" s="30">
        <f>IF(B848="","",IFERROR(INDEX('Holders'!$B$4:$B$1003,MATCH(B848,'Holders'!$A$4:$A$1003,0)),""))</f>
        <v/>
      </c>
      <c r="F848" s="30">
        <f t="array" ref="F848">IF(B848="","",_xlfn.TEXTJOIN(", ",TRUE,IF(('Companies'!$A$4:$A$63&lt;&gt;"")*(COUNTIFS('Holdings'!$A$4:$A$2503,B848,'Holdings'!$J$4:$J$2503,'Companies'!$A$4:$A$63,'Holdings'!$L$4:$L$2503,"Yes",'Holdings'!$C$4:$C$2503,"&gt;0")&gt;0),'Companies'!$A$4:$A$63,"")))</f>
        <v/>
      </c>
      <c r="G848" s="30">
        <f>IF(A848="","",IF(COUNTIF('People'!$A$4:$A$1003,A848)=0,"Email not on People",IF(COUNTIF('Holders'!$A$4:$A$1003,B848)=0,"Unknown holder ID",IF(COUNTIFS($A$4:$A$1503,A848,$B$4:$B$1503,B848)&gt;1,"Duplicate link",IF(C848="","Missing access","OK")))))</f>
        <v/>
      </c>
    </row>
    <row r="849">
      <c r="A849" s="26" t="n"/>
      <c r="B849" s="26" t="n"/>
      <c r="C849" s="26" t="n"/>
      <c r="D849" s="26" t="n"/>
      <c r="E849" s="30">
        <f>IF(B849="","",IFERROR(INDEX('Holders'!$B$4:$B$1003,MATCH(B849,'Holders'!$A$4:$A$1003,0)),""))</f>
        <v/>
      </c>
      <c r="F849" s="30">
        <f t="array" ref="F849">IF(B849="","",_xlfn.TEXTJOIN(", ",TRUE,IF(('Companies'!$A$4:$A$63&lt;&gt;"")*(COUNTIFS('Holdings'!$A$4:$A$2503,B849,'Holdings'!$J$4:$J$2503,'Companies'!$A$4:$A$63,'Holdings'!$L$4:$L$2503,"Yes",'Holdings'!$C$4:$C$2503,"&gt;0")&gt;0),'Companies'!$A$4:$A$63,"")))</f>
        <v/>
      </c>
      <c r="G849" s="30">
        <f>IF(A849="","",IF(COUNTIF('People'!$A$4:$A$1003,A849)=0,"Email not on People",IF(COUNTIF('Holders'!$A$4:$A$1003,B849)=0,"Unknown holder ID",IF(COUNTIFS($A$4:$A$1503,A849,$B$4:$B$1503,B849)&gt;1,"Duplicate link",IF(C849="","Missing access","OK")))))</f>
        <v/>
      </c>
    </row>
    <row r="850">
      <c r="A850" s="26" t="n"/>
      <c r="B850" s="26" t="n"/>
      <c r="C850" s="26" t="n"/>
      <c r="D850" s="26" t="n"/>
      <c r="E850" s="30">
        <f>IF(B850="","",IFERROR(INDEX('Holders'!$B$4:$B$1003,MATCH(B850,'Holders'!$A$4:$A$1003,0)),""))</f>
        <v/>
      </c>
      <c r="F850" s="30">
        <f t="array" ref="F850">IF(B850="","",_xlfn.TEXTJOIN(", ",TRUE,IF(('Companies'!$A$4:$A$63&lt;&gt;"")*(COUNTIFS('Holdings'!$A$4:$A$2503,B850,'Holdings'!$J$4:$J$2503,'Companies'!$A$4:$A$63,'Holdings'!$L$4:$L$2503,"Yes",'Holdings'!$C$4:$C$2503,"&gt;0")&gt;0),'Companies'!$A$4:$A$63,"")))</f>
        <v/>
      </c>
      <c r="G850" s="30">
        <f>IF(A850="","",IF(COUNTIF('People'!$A$4:$A$1003,A850)=0,"Email not on People",IF(COUNTIF('Holders'!$A$4:$A$1003,B850)=0,"Unknown holder ID",IF(COUNTIFS($A$4:$A$1503,A850,$B$4:$B$1503,B850)&gt;1,"Duplicate link",IF(C850="","Missing access","OK")))))</f>
        <v/>
      </c>
    </row>
    <row r="851">
      <c r="A851" s="26" t="n"/>
      <c r="B851" s="26" t="n"/>
      <c r="C851" s="26" t="n"/>
      <c r="D851" s="26" t="n"/>
      <c r="E851" s="30">
        <f>IF(B851="","",IFERROR(INDEX('Holders'!$B$4:$B$1003,MATCH(B851,'Holders'!$A$4:$A$1003,0)),""))</f>
        <v/>
      </c>
      <c r="F851" s="30">
        <f t="array" ref="F851">IF(B851="","",_xlfn.TEXTJOIN(", ",TRUE,IF(('Companies'!$A$4:$A$63&lt;&gt;"")*(COUNTIFS('Holdings'!$A$4:$A$2503,B851,'Holdings'!$J$4:$J$2503,'Companies'!$A$4:$A$63,'Holdings'!$L$4:$L$2503,"Yes",'Holdings'!$C$4:$C$2503,"&gt;0")&gt;0),'Companies'!$A$4:$A$63,"")))</f>
        <v/>
      </c>
      <c r="G851" s="30">
        <f>IF(A851="","",IF(COUNTIF('People'!$A$4:$A$1003,A851)=0,"Email not on People",IF(COUNTIF('Holders'!$A$4:$A$1003,B851)=0,"Unknown holder ID",IF(COUNTIFS($A$4:$A$1503,A851,$B$4:$B$1503,B851)&gt;1,"Duplicate link",IF(C851="","Missing access","OK")))))</f>
        <v/>
      </c>
    </row>
    <row r="852">
      <c r="A852" s="26" t="n"/>
      <c r="B852" s="26" t="n"/>
      <c r="C852" s="26" t="n"/>
      <c r="D852" s="26" t="n"/>
      <c r="E852" s="30">
        <f>IF(B852="","",IFERROR(INDEX('Holders'!$B$4:$B$1003,MATCH(B852,'Holders'!$A$4:$A$1003,0)),""))</f>
        <v/>
      </c>
      <c r="F852" s="30">
        <f t="array" ref="F852">IF(B852="","",_xlfn.TEXTJOIN(", ",TRUE,IF(('Companies'!$A$4:$A$63&lt;&gt;"")*(COUNTIFS('Holdings'!$A$4:$A$2503,B852,'Holdings'!$J$4:$J$2503,'Companies'!$A$4:$A$63,'Holdings'!$L$4:$L$2503,"Yes",'Holdings'!$C$4:$C$2503,"&gt;0")&gt;0),'Companies'!$A$4:$A$63,"")))</f>
        <v/>
      </c>
      <c r="G852" s="30">
        <f>IF(A852="","",IF(COUNTIF('People'!$A$4:$A$1003,A852)=0,"Email not on People",IF(COUNTIF('Holders'!$A$4:$A$1003,B852)=0,"Unknown holder ID",IF(COUNTIFS($A$4:$A$1503,A852,$B$4:$B$1503,B852)&gt;1,"Duplicate link",IF(C852="","Missing access","OK")))))</f>
        <v/>
      </c>
    </row>
    <row r="853">
      <c r="A853" s="26" t="n"/>
      <c r="B853" s="26" t="n"/>
      <c r="C853" s="26" t="n"/>
      <c r="D853" s="26" t="n"/>
      <c r="E853" s="30">
        <f>IF(B853="","",IFERROR(INDEX('Holders'!$B$4:$B$1003,MATCH(B853,'Holders'!$A$4:$A$1003,0)),""))</f>
        <v/>
      </c>
      <c r="F853" s="30">
        <f t="array" ref="F853">IF(B853="","",_xlfn.TEXTJOIN(", ",TRUE,IF(('Companies'!$A$4:$A$63&lt;&gt;"")*(COUNTIFS('Holdings'!$A$4:$A$2503,B853,'Holdings'!$J$4:$J$2503,'Companies'!$A$4:$A$63,'Holdings'!$L$4:$L$2503,"Yes",'Holdings'!$C$4:$C$2503,"&gt;0")&gt;0),'Companies'!$A$4:$A$63,"")))</f>
        <v/>
      </c>
      <c r="G853" s="30">
        <f>IF(A853="","",IF(COUNTIF('People'!$A$4:$A$1003,A853)=0,"Email not on People",IF(COUNTIF('Holders'!$A$4:$A$1003,B853)=0,"Unknown holder ID",IF(COUNTIFS($A$4:$A$1503,A853,$B$4:$B$1503,B853)&gt;1,"Duplicate link",IF(C853="","Missing access","OK")))))</f>
        <v/>
      </c>
    </row>
    <row r="854">
      <c r="A854" s="26" t="n"/>
      <c r="B854" s="26" t="n"/>
      <c r="C854" s="26" t="n"/>
      <c r="D854" s="26" t="n"/>
      <c r="E854" s="30">
        <f>IF(B854="","",IFERROR(INDEX('Holders'!$B$4:$B$1003,MATCH(B854,'Holders'!$A$4:$A$1003,0)),""))</f>
        <v/>
      </c>
      <c r="F854" s="30">
        <f t="array" ref="F854">IF(B854="","",_xlfn.TEXTJOIN(", ",TRUE,IF(('Companies'!$A$4:$A$63&lt;&gt;"")*(COUNTIFS('Holdings'!$A$4:$A$2503,B854,'Holdings'!$J$4:$J$2503,'Companies'!$A$4:$A$63,'Holdings'!$L$4:$L$2503,"Yes",'Holdings'!$C$4:$C$2503,"&gt;0")&gt;0),'Companies'!$A$4:$A$63,"")))</f>
        <v/>
      </c>
      <c r="G854" s="30">
        <f>IF(A854="","",IF(COUNTIF('People'!$A$4:$A$1003,A854)=0,"Email not on People",IF(COUNTIF('Holders'!$A$4:$A$1003,B854)=0,"Unknown holder ID",IF(COUNTIFS($A$4:$A$1503,A854,$B$4:$B$1503,B854)&gt;1,"Duplicate link",IF(C854="","Missing access","OK")))))</f>
        <v/>
      </c>
    </row>
    <row r="855">
      <c r="A855" s="26" t="n"/>
      <c r="B855" s="26" t="n"/>
      <c r="C855" s="26" t="n"/>
      <c r="D855" s="26" t="n"/>
      <c r="E855" s="30">
        <f>IF(B855="","",IFERROR(INDEX('Holders'!$B$4:$B$1003,MATCH(B855,'Holders'!$A$4:$A$1003,0)),""))</f>
        <v/>
      </c>
      <c r="F855" s="30">
        <f t="array" ref="F855">IF(B855="","",_xlfn.TEXTJOIN(", ",TRUE,IF(('Companies'!$A$4:$A$63&lt;&gt;"")*(COUNTIFS('Holdings'!$A$4:$A$2503,B855,'Holdings'!$J$4:$J$2503,'Companies'!$A$4:$A$63,'Holdings'!$L$4:$L$2503,"Yes",'Holdings'!$C$4:$C$2503,"&gt;0")&gt;0),'Companies'!$A$4:$A$63,"")))</f>
        <v/>
      </c>
      <c r="G855" s="30">
        <f>IF(A855="","",IF(COUNTIF('People'!$A$4:$A$1003,A855)=0,"Email not on People",IF(COUNTIF('Holders'!$A$4:$A$1003,B855)=0,"Unknown holder ID",IF(COUNTIFS($A$4:$A$1503,A855,$B$4:$B$1503,B855)&gt;1,"Duplicate link",IF(C855="","Missing access","OK")))))</f>
        <v/>
      </c>
    </row>
    <row r="856">
      <c r="A856" s="26" t="n"/>
      <c r="B856" s="26" t="n"/>
      <c r="C856" s="26" t="n"/>
      <c r="D856" s="26" t="n"/>
      <c r="E856" s="30">
        <f>IF(B856="","",IFERROR(INDEX('Holders'!$B$4:$B$1003,MATCH(B856,'Holders'!$A$4:$A$1003,0)),""))</f>
        <v/>
      </c>
      <c r="F856" s="30">
        <f t="array" ref="F856">IF(B856="","",_xlfn.TEXTJOIN(", ",TRUE,IF(('Companies'!$A$4:$A$63&lt;&gt;"")*(COUNTIFS('Holdings'!$A$4:$A$2503,B856,'Holdings'!$J$4:$J$2503,'Companies'!$A$4:$A$63,'Holdings'!$L$4:$L$2503,"Yes",'Holdings'!$C$4:$C$2503,"&gt;0")&gt;0),'Companies'!$A$4:$A$63,"")))</f>
        <v/>
      </c>
      <c r="G856" s="30">
        <f>IF(A856="","",IF(COUNTIF('People'!$A$4:$A$1003,A856)=0,"Email not on People",IF(COUNTIF('Holders'!$A$4:$A$1003,B856)=0,"Unknown holder ID",IF(COUNTIFS($A$4:$A$1503,A856,$B$4:$B$1503,B856)&gt;1,"Duplicate link",IF(C856="","Missing access","OK")))))</f>
        <v/>
      </c>
    </row>
    <row r="857">
      <c r="A857" s="26" t="n"/>
      <c r="B857" s="26" t="n"/>
      <c r="C857" s="26" t="n"/>
      <c r="D857" s="26" t="n"/>
      <c r="E857" s="30">
        <f>IF(B857="","",IFERROR(INDEX('Holders'!$B$4:$B$1003,MATCH(B857,'Holders'!$A$4:$A$1003,0)),""))</f>
        <v/>
      </c>
      <c r="F857" s="30">
        <f t="array" ref="F857">IF(B857="","",_xlfn.TEXTJOIN(", ",TRUE,IF(('Companies'!$A$4:$A$63&lt;&gt;"")*(COUNTIFS('Holdings'!$A$4:$A$2503,B857,'Holdings'!$J$4:$J$2503,'Companies'!$A$4:$A$63,'Holdings'!$L$4:$L$2503,"Yes",'Holdings'!$C$4:$C$2503,"&gt;0")&gt;0),'Companies'!$A$4:$A$63,"")))</f>
        <v/>
      </c>
      <c r="G857" s="30">
        <f>IF(A857="","",IF(COUNTIF('People'!$A$4:$A$1003,A857)=0,"Email not on People",IF(COUNTIF('Holders'!$A$4:$A$1003,B857)=0,"Unknown holder ID",IF(COUNTIFS($A$4:$A$1503,A857,$B$4:$B$1503,B857)&gt;1,"Duplicate link",IF(C857="","Missing access","OK")))))</f>
        <v/>
      </c>
    </row>
    <row r="858">
      <c r="A858" s="26" t="n"/>
      <c r="B858" s="26" t="n"/>
      <c r="C858" s="26" t="n"/>
      <c r="D858" s="26" t="n"/>
      <c r="E858" s="30">
        <f>IF(B858="","",IFERROR(INDEX('Holders'!$B$4:$B$1003,MATCH(B858,'Holders'!$A$4:$A$1003,0)),""))</f>
        <v/>
      </c>
      <c r="F858" s="30">
        <f t="array" ref="F858">IF(B858="","",_xlfn.TEXTJOIN(", ",TRUE,IF(('Companies'!$A$4:$A$63&lt;&gt;"")*(COUNTIFS('Holdings'!$A$4:$A$2503,B858,'Holdings'!$J$4:$J$2503,'Companies'!$A$4:$A$63,'Holdings'!$L$4:$L$2503,"Yes",'Holdings'!$C$4:$C$2503,"&gt;0")&gt;0),'Companies'!$A$4:$A$63,"")))</f>
        <v/>
      </c>
      <c r="G858" s="30">
        <f>IF(A858="","",IF(COUNTIF('People'!$A$4:$A$1003,A858)=0,"Email not on People",IF(COUNTIF('Holders'!$A$4:$A$1003,B858)=0,"Unknown holder ID",IF(COUNTIFS($A$4:$A$1503,A858,$B$4:$B$1503,B858)&gt;1,"Duplicate link",IF(C858="","Missing access","OK")))))</f>
        <v/>
      </c>
    </row>
    <row r="859">
      <c r="A859" s="26" t="n"/>
      <c r="B859" s="26" t="n"/>
      <c r="C859" s="26" t="n"/>
      <c r="D859" s="26" t="n"/>
      <c r="E859" s="30">
        <f>IF(B859="","",IFERROR(INDEX('Holders'!$B$4:$B$1003,MATCH(B859,'Holders'!$A$4:$A$1003,0)),""))</f>
        <v/>
      </c>
      <c r="F859" s="30">
        <f t="array" ref="F859">IF(B859="","",_xlfn.TEXTJOIN(", ",TRUE,IF(('Companies'!$A$4:$A$63&lt;&gt;"")*(COUNTIFS('Holdings'!$A$4:$A$2503,B859,'Holdings'!$J$4:$J$2503,'Companies'!$A$4:$A$63,'Holdings'!$L$4:$L$2503,"Yes",'Holdings'!$C$4:$C$2503,"&gt;0")&gt;0),'Companies'!$A$4:$A$63,"")))</f>
        <v/>
      </c>
      <c r="G859" s="30">
        <f>IF(A859="","",IF(COUNTIF('People'!$A$4:$A$1003,A859)=0,"Email not on People",IF(COUNTIF('Holders'!$A$4:$A$1003,B859)=0,"Unknown holder ID",IF(COUNTIFS($A$4:$A$1503,A859,$B$4:$B$1503,B859)&gt;1,"Duplicate link",IF(C859="","Missing access","OK")))))</f>
        <v/>
      </c>
    </row>
    <row r="860">
      <c r="A860" s="26" t="n"/>
      <c r="B860" s="26" t="n"/>
      <c r="C860" s="26" t="n"/>
      <c r="D860" s="26" t="n"/>
      <c r="E860" s="30">
        <f>IF(B860="","",IFERROR(INDEX('Holders'!$B$4:$B$1003,MATCH(B860,'Holders'!$A$4:$A$1003,0)),""))</f>
        <v/>
      </c>
      <c r="F860" s="30">
        <f t="array" ref="F860">IF(B860="","",_xlfn.TEXTJOIN(", ",TRUE,IF(('Companies'!$A$4:$A$63&lt;&gt;"")*(COUNTIFS('Holdings'!$A$4:$A$2503,B860,'Holdings'!$J$4:$J$2503,'Companies'!$A$4:$A$63,'Holdings'!$L$4:$L$2503,"Yes",'Holdings'!$C$4:$C$2503,"&gt;0")&gt;0),'Companies'!$A$4:$A$63,"")))</f>
        <v/>
      </c>
      <c r="G860" s="30">
        <f>IF(A860="","",IF(COUNTIF('People'!$A$4:$A$1003,A860)=0,"Email not on People",IF(COUNTIF('Holders'!$A$4:$A$1003,B860)=0,"Unknown holder ID",IF(COUNTIFS($A$4:$A$1503,A860,$B$4:$B$1503,B860)&gt;1,"Duplicate link",IF(C860="","Missing access","OK")))))</f>
        <v/>
      </c>
    </row>
    <row r="861">
      <c r="A861" s="26" t="n"/>
      <c r="B861" s="26" t="n"/>
      <c r="C861" s="26" t="n"/>
      <c r="D861" s="26" t="n"/>
      <c r="E861" s="30">
        <f>IF(B861="","",IFERROR(INDEX('Holders'!$B$4:$B$1003,MATCH(B861,'Holders'!$A$4:$A$1003,0)),""))</f>
        <v/>
      </c>
      <c r="F861" s="30">
        <f t="array" ref="F861">IF(B861="","",_xlfn.TEXTJOIN(", ",TRUE,IF(('Companies'!$A$4:$A$63&lt;&gt;"")*(COUNTIFS('Holdings'!$A$4:$A$2503,B861,'Holdings'!$J$4:$J$2503,'Companies'!$A$4:$A$63,'Holdings'!$L$4:$L$2503,"Yes",'Holdings'!$C$4:$C$2503,"&gt;0")&gt;0),'Companies'!$A$4:$A$63,"")))</f>
        <v/>
      </c>
      <c r="G861" s="30">
        <f>IF(A861="","",IF(COUNTIF('People'!$A$4:$A$1003,A861)=0,"Email not on People",IF(COUNTIF('Holders'!$A$4:$A$1003,B861)=0,"Unknown holder ID",IF(COUNTIFS($A$4:$A$1503,A861,$B$4:$B$1503,B861)&gt;1,"Duplicate link",IF(C861="","Missing access","OK")))))</f>
        <v/>
      </c>
    </row>
    <row r="862">
      <c r="A862" s="26" t="n"/>
      <c r="B862" s="26" t="n"/>
      <c r="C862" s="26" t="n"/>
      <c r="D862" s="26" t="n"/>
      <c r="E862" s="30">
        <f>IF(B862="","",IFERROR(INDEX('Holders'!$B$4:$B$1003,MATCH(B862,'Holders'!$A$4:$A$1003,0)),""))</f>
        <v/>
      </c>
      <c r="F862" s="30">
        <f t="array" ref="F862">IF(B862="","",_xlfn.TEXTJOIN(", ",TRUE,IF(('Companies'!$A$4:$A$63&lt;&gt;"")*(COUNTIFS('Holdings'!$A$4:$A$2503,B862,'Holdings'!$J$4:$J$2503,'Companies'!$A$4:$A$63,'Holdings'!$L$4:$L$2503,"Yes",'Holdings'!$C$4:$C$2503,"&gt;0")&gt;0),'Companies'!$A$4:$A$63,"")))</f>
        <v/>
      </c>
      <c r="G862" s="30">
        <f>IF(A862="","",IF(COUNTIF('People'!$A$4:$A$1003,A862)=0,"Email not on People",IF(COUNTIF('Holders'!$A$4:$A$1003,B862)=0,"Unknown holder ID",IF(COUNTIFS($A$4:$A$1503,A862,$B$4:$B$1503,B862)&gt;1,"Duplicate link",IF(C862="","Missing access","OK")))))</f>
        <v/>
      </c>
    </row>
    <row r="863">
      <c r="A863" s="26" t="n"/>
      <c r="B863" s="26" t="n"/>
      <c r="C863" s="26" t="n"/>
      <c r="D863" s="26" t="n"/>
      <c r="E863" s="30">
        <f>IF(B863="","",IFERROR(INDEX('Holders'!$B$4:$B$1003,MATCH(B863,'Holders'!$A$4:$A$1003,0)),""))</f>
        <v/>
      </c>
      <c r="F863" s="30">
        <f t="array" ref="F863">IF(B863="","",_xlfn.TEXTJOIN(", ",TRUE,IF(('Companies'!$A$4:$A$63&lt;&gt;"")*(COUNTIFS('Holdings'!$A$4:$A$2503,B863,'Holdings'!$J$4:$J$2503,'Companies'!$A$4:$A$63,'Holdings'!$L$4:$L$2503,"Yes",'Holdings'!$C$4:$C$2503,"&gt;0")&gt;0),'Companies'!$A$4:$A$63,"")))</f>
        <v/>
      </c>
      <c r="G863" s="30">
        <f>IF(A863="","",IF(COUNTIF('People'!$A$4:$A$1003,A863)=0,"Email not on People",IF(COUNTIF('Holders'!$A$4:$A$1003,B863)=0,"Unknown holder ID",IF(COUNTIFS($A$4:$A$1503,A863,$B$4:$B$1503,B863)&gt;1,"Duplicate link",IF(C863="","Missing access","OK")))))</f>
        <v/>
      </c>
    </row>
    <row r="864">
      <c r="A864" s="26" t="n"/>
      <c r="B864" s="26" t="n"/>
      <c r="C864" s="26" t="n"/>
      <c r="D864" s="26" t="n"/>
      <c r="E864" s="30">
        <f>IF(B864="","",IFERROR(INDEX('Holders'!$B$4:$B$1003,MATCH(B864,'Holders'!$A$4:$A$1003,0)),""))</f>
        <v/>
      </c>
      <c r="F864" s="30">
        <f t="array" ref="F864">IF(B864="","",_xlfn.TEXTJOIN(", ",TRUE,IF(('Companies'!$A$4:$A$63&lt;&gt;"")*(COUNTIFS('Holdings'!$A$4:$A$2503,B864,'Holdings'!$J$4:$J$2503,'Companies'!$A$4:$A$63,'Holdings'!$L$4:$L$2503,"Yes",'Holdings'!$C$4:$C$2503,"&gt;0")&gt;0),'Companies'!$A$4:$A$63,"")))</f>
        <v/>
      </c>
      <c r="G864" s="30">
        <f>IF(A864="","",IF(COUNTIF('People'!$A$4:$A$1003,A864)=0,"Email not on People",IF(COUNTIF('Holders'!$A$4:$A$1003,B864)=0,"Unknown holder ID",IF(COUNTIFS($A$4:$A$1503,A864,$B$4:$B$1503,B864)&gt;1,"Duplicate link",IF(C864="","Missing access","OK")))))</f>
        <v/>
      </c>
    </row>
    <row r="865">
      <c r="A865" s="26" t="n"/>
      <c r="B865" s="26" t="n"/>
      <c r="C865" s="26" t="n"/>
      <c r="D865" s="26" t="n"/>
      <c r="E865" s="30">
        <f>IF(B865="","",IFERROR(INDEX('Holders'!$B$4:$B$1003,MATCH(B865,'Holders'!$A$4:$A$1003,0)),""))</f>
        <v/>
      </c>
      <c r="F865" s="30">
        <f t="array" ref="F865">IF(B865="","",_xlfn.TEXTJOIN(", ",TRUE,IF(('Companies'!$A$4:$A$63&lt;&gt;"")*(COUNTIFS('Holdings'!$A$4:$A$2503,B865,'Holdings'!$J$4:$J$2503,'Companies'!$A$4:$A$63,'Holdings'!$L$4:$L$2503,"Yes",'Holdings'!$C$4:$C$2503,"&gt;0")&gt;0),'Companies'!$A$4:$A$63,"")))</f>
        <v/>
      </c>
      <c r="G865" s="30">
        <f>IF(A865="","",IF(COUNTIF('People'!$A$4:$A$1003,A865)=0,"Email not on People",IF(COUNTIF('Holders'!$A$4:$A$1003,B865)=0,"Unknown holder ID",IF(COUNTIFS($A$4:$A$1503,A865,$B$4:$B$1503,B865)&gt;1,"Duplicate link",IF(C865="","Missing access","OK")))))</f>
        <v/>
      </c>
    </row>
    <row r="866">
      <c r="A866" s="26" t="n"/>
      <c r="B866" s="26" t="n"/>
      <c r="C866" s="26" t="n"/>
      <c r="D866" s="26" t="n"/>
      <c r="E866" s="30">
        <f>IF(B866="","",IFERROR(INDEX('Holders'!$B$4:$B$1003,MATCH(B866,'Holders'!$A$4:$A$1003,0)),""))</f>
        <v/>
      </c>
      <c r="F866" s="30">
        <f t="array" ref="F866">IF(B866="","",_xlfn.TEXTJOIN(", ",TRUE,IF(('Companies'!$A$4:$A$63&lt;&gt;"")*(COUNTIFS('Holdings'!$A$4:$A$2503,B866,'Holdings'!$J$4:$J$2503,'Companies'!$A$4:$A$63,'Holdings'!$L$4:$L$2503,"Yes",'Holdings'!$C$4:$C$2503,"&gt;0")&gt;0),'Companies'!$A$4:$A$63,"")))</f>
        <v/>
      </c>
      <c r="G866" s="30">
        <f>IF(A866="","",IF(COUNTIF('People'!$A$4:$A$1003,A866)=0,"Email not on People",IF(COUNTIF('Holders'!$A$4:$A$1003,B866)=0,"Unknown holder ID",IF(COUNTIFS($A$4:$A$1503,A866,$B$4:$B$1503,B866)&gt;1,"Duplicate link",IF(C866="","Missing access","OK")))))</f>
        <v/>
      </c>
    </row>
    <row r="867">
      <c r="A867" s="26" t="n"/>
      <c r="B867" s="26" t="n"/>
      <c r="C867" s="26" t="n"/>
      <c r="D867" s="26" t="n"/>
      <c r="E867" s="30">
        <f>IF(B867="","",IFERROR(INDEX('Holders'!$B$4:$B$1003,MATCH(B867,'Holders'!$A$4:$A$1003,0)),""))</f>
        <v/>
      </c>
      <c r="F867" s="30">
        <f t="array" ref="F867">IF(B867="","",_xlfn.TEXTJOIN(", ",TRUE,IF(('Companies'!$A$4:$A$63&lt;&gt;"")*(COUNTIFS('Holdings'!$A$4:$A$2503,B867,'Holdings'!$J$4:$J$2503,'Companies'!$A$4:$A$63,'Holdings'!$L$4:$L$2503,"Yes",'Holdings'!$C$4:$C$2503,"&gt;0")&gt;0),'Companies'!$A$4:$A$63,"")))</f>
        <v/>
      </c>
      <c r="G867" s="30">
        <f>IF(A867="","",IF(COUNTIF('People'!$A$4:$A$1003,A867)=0,"Email not on People",IF(COUNTIF('Holders'!$A$4:$A$1003,B867)=0,"Unknown holder ID",IF(COUNTIFS($A$4:$A$1503,A867,$B$4:$B$1503,B867)&gt;1,"Duplicate link",IF(C867="","Missing access","OK")))))</f>
        <v/>
      </c>
    </row>
    <row r="868">
      <c r="A868" s="26" t="n"/>
      <c r="B868" s="26" t="n"/>
      <c r="C868" s="26" t="n"/>
      <c r="D868" s="26" t="n"/>
      <c r="E868" s="30">
        <f>IF(B868="","",IFERROR(INDEX('Holders'!$B$4:$B$1003,MATCH(B868,'Holders'!$A$4:$A$1003,0)),""))</f>
        <v/>
      </c>
      <c r="F868" s="30">
        <f t="array" ref="F868">IF(B868="","",_xlfn.TEXTJOIN(", ",TRUE,IF(('Companies'!$A$4:$A$63&lt;&gt;"")*(COUNTIFS('Holdings'!$A$4:$A$2503,B868,'Holdings'!$J$4:$J$2503,'Companies'!$A$4:$A$63,'Holdings'!$L$4:$L$2503,"Yes",'Holdings'!$C$4:$C$2503,"&gt;0")&gt;0),'Companies'!$A$4:$A$63,"")))</f>
        <v/>
      </c>
      <c r="G868" s="30">
        <f>IF(A868="","",IF(COUNTIF('People'!$A$4:$A$1003,A868)=0,"Email not on People",IF(COUNTIF('Holders'!$A$4:$A$1003,B868)=0,"Unknown holder ID",IF(COUNTIFS($A$4:$A$1503,A868,$B$4:$B$1503,B868)&gt;1,"Duplicate link",IF(C868="","Missing access","OK")))))</f>
        <v/>
      </c>
    </row>
    <row r="869">
      <c r="A869" s="26" t="n"/>
      <c r="B869" s="26" t="n"/>
      <c r="C869" s="26" t="n"/>
      <c r="D869" s="26" t="n"/>
      <c r="E869" s="30">
        <f>IF(B869="","",IFERROR(INDEX('Holders'!$B$4:$B$1003,MATCH(B869,'Holders'!$A$4:$A$1003,0)),""))</f>
        <v/>
      </c>
      <c r="F869" s="30">
        <f t="array" ref="F869">IF(B869="","",_xlfn.TEXTJOIN(", ",TRUE,IF(('Companies'!$A$4:$A$63&lt;&gt;"")*(COUNTIFS('Holdings'!$A$4:$A$2503,B869,'Holdings'!$J$4:$J$2503,'Companies'!$A$4:$A$63,'Holdings'!$L$4:$L$2503,"Yes",'Holdings'!$C$4:$C$2503,"&gt;0")&gt;0),'Companies'!$A$4:$A$63,"")))</f>
        <v/>
      </c>
      <c r="G869" s="30">
        <f>IF(A869="","",IF(COUNTIF('People'!$A$4:$A$1003,A869)=0,"Email not on People",IF(COUNTIF('Holders'!$A$4:$A$1003,B869)=0,"Unknown holder ID",IF(COUNTIFS($A$4:$A$1503,A869,$B$4:$B$1503,B869)&gt;1,"Duplicate link",IF(C869="","Missing access","OK")))))</f>
        <v/>
      </c>
    </row>
    <row r="870">
      <c r="A870" s="26" t="n"/>
      <c r="B870" s="26" t="n"/>
      <c r="C870" s="26" t="n"/>
      <c r="D870" s="26" t="n"/>
      <c r="E870" s="30">
        <f>IF(B870="","",IFERROR(INDEX('Holders'!$B$4:$B$1003,MATCH(B870,'Holders'!$A$4:$A$1003,0)),""))</f>
        <v/>
      </c>
      <c r="F870" s="30">
        <f t="array" ref="F870">IF(B870="","",_xlfn.TEXTJOIN(", ",TRUE,IF(('Companies'!$A$4:$A$63&lt;&gt;"")*(COUNTIFS('Holdings'!$A$4:$A$2503,B870,'Holdings'!$J$4:$J$2503,'Companies'!$A$4:$A$63,'Holdings'!$L$4:$L$2503,"Yes",'Holdings'!$C$4:$C$2503,"&gt;0")&gt;0),'Companies'!$A$4:$A$63,"")))</f>
        <v/>
      </c>
      <c r="G870" s="30">
        <f>IF(A870="","",IF(COUNTIF('People'!$A$4:$A$1003,A870)=0,"Email not on People",IF(COUNTIF('Holders'!$A$4:$A$1003,B870)=0,"Unknown holder ID",IF(COUNTIFS($A$4:$A$1503,A870,$B$4:$B$1503,B870)&gt;1,"Duplicate link",IF(C870="","Missing access","OK")))))</f>
        <v/>
      </c>
    </row>
    <row r="871">
      <c r="A871" s="26" t="n"/>
      <c r="B871" s="26" t="n"/>
      <c r="C871" s="26" t="n"/>
      <c r="D871" s="26" t="n"/>
      <c r="E871" s="30">
        <f>IF(B871="","",IFERROR(INDEX('Holders'!$B$4:$B$1003,MATCH(B871,'Holders'!$A$4:$A$1003,0)),""))</f>
        <v/>
      </c>
      <c r="F871" s="30">
        <f t="array" ref="F871">IF(B871="","",_xlfn.TEXTJOIN(", ",TRUE,IF(('Companies'!$A$4:$A$63&lt;&gt;"")*(COUNTIFS('Holdings'!$A$4:$A$2503,B871,'Holdings'!$J$4:$J$2503,'Companies'!$A$4:$A$63,'Holdings'!$L$4:$L$2503,"Yes",'Holdings'!$C$4:$C$2503,"&gt;0")&gt;0),'Companies'!$A$4:$A$63,"")))</f>
        <v/>
      </c>
      <c r="G871" s="30">
        <f>IF(A871="","",IF(COUNTIF('People'!$A$4:$A$1003,A871)=0,"Email not on People",IF(COUNTIF('Holders'!$A$4:$A$1003,B871)=0,"Unknown holder ID",IF(COUNTIFS($A$4:$A$1503,A871,$B$4:$B$1503,B871)&gt;1,"Duplicate link",IF(C871="","Missing access","OK")))))</f>
        <v/>
      </c>
    </row>
    <row r="872">
      <c r="A872" s="26" t="n"/>
      <c r="B872" s="26" t="n"/>
      <c r="C872" s="26" t="n"/>
      <c r="D872" s="26" t="n"/>
      <c r="E872" s="30">
        <f>IF(B872="","",IFERROR(INDEX('Holders'!$B$4:$B$1003,MATCH(B872,'Holders'!$A$4:$A$1003,0)),""))</f>
        <v/>
      </c>
      <c r="F872" s="30">
        <f t="array" ref="F872">IF(B872="","",_xlfn.TEXTJOIN(", ",TRUE,IF(('Companies'!$A$4:$A$63&lt;&gt;"")*(COUNTIFS('Holdings'!$A$4:$A$2503,B872,'Holdings'!$J$4:$J$2503,'Companies'!$A$4:$A$63,'Holdings'!$L$4:$L$2503,"Yes",'Holdings'!$C$4:$C$2503,"&gt;0")&gt;0),'Companies'!$A$4:$A$63,"")))</f>
        <v/>
      </c>
      <c r="G872" s="30">
        <f>IF(A872="","",IF(COUNTIF('People'!$A$4:$A$1003,A872)=0,"Email not on People",IF(COUNTIF('Holders'!$A$4:$A$1003,B872)=0,"Unknown holder ID",IF(COUNTIFS($A$4:$A$1503,A872,$B$4:$B$1503,B872)&gt;1,"Duplicate link",IF(C872="","Missing access","OK")))))</f>
        <v/>
      </c>
    </row>
    <row r="873">
      <c r="A873" s="26" t="n"/>
      <c r="B873" s="26" t="n"/>
      <c r="C873" s="26" t="n"/>
      <c r="D873" s="26" t="n"/>
      <c r="E873" s="30">
        <f>IF(B873="","",IFERROR(INDEX('Holders'!$B$4:$B$1003,MATCH(B873,'Holders'!$A$4:$A$1003,0)),""))</f>
        <v/>
      </c>
      <c r="F873" s="30">
        <f t="array" ref="F873">IF(B873="","",_xlfn.TEXTJOIN(", ",TRUE,IF(('Companies'!$A$4:$A$63&lt;&gt;"")*(COUNTIFS('Holdings'!$A$4:$A$2503,B873,'Holdings'!$J$4:$J$2503,'Companies'!$A$4:$A$63,'Holdings'!$L$4:$L$2503,"Yes",'Holdings'!$C$4:$C$2503,"&gt;0")&gt;0),'Companies'!$A$4:$A$63,"")))</f>
        <v/>
      </c>
      <c r="G873" s="30">
        <f>IF(A873="","",IF(COUNTIF('People'!$A$4:$A$1003,A873)=0,"Email not on People",IF(COUNTIF('Holders'!$A$4:$A$1003,B873)=0,"Unknown holder ID",IF(COUNTIFS($A$4:$A$1503,A873,$B$4:$B$1503,B873)&gt;1,"Duplicate link",IF(C873="","Missing access","OK")))))</f>
        <v/>
      </c>
    </row>
    <row r="874">
      <c r="A874" s="26" t="n"/>
      <c r="B874" s="26" t="n"/>
      <c r="C874" s="26" t="n"/>
      <c r="D874" s="26" t="n"/>
      <c r="E874" s="30">
        <f>IF(B874="","",IFERROR(INDEX('Holders'!$B$4:$B$1003,MATCH(B874,'Holders'!$A$4:$A$1003,0)),""))</f>
        <v/>
      </c>
      <c r="F874" s="30">
        <f t="array" ref="F874">IF(B874="","",_xlfn.TEXTJOIN(", ",TRUE,IF(('Companies'!$A$4:$A$63&lt;&gt;"")*(COUNTIFS('Holdings'!$A$4:$A$2503,B874,'Holdings'!$J$4:$J$2503,'Companies'!$A$4:$A$63,'Holdings'!$L$4:$L$2503,"Yes",'Holdings'!$C$4:$C$2503,"&gt;0")&gt;0),'Companies'!$A$4:$A$63,"")))</f>
        <v/>
      </c>
      <c r="G874" s="30">
        <f>IF(A874="","",IF(COUNTIF('People'!$A$4:$A$1003,A874)=0,"Email not on People",IF(COUNTIF('Holders'!$A$4:$A$1003,B874)=0,"Unknown holder ID",IF(COUNTIFS($A$4:$A$1503,A874,$B$4:$B$1503,B874)&gt;1,"Duplicate link",IF(C874="","Missing access","OK")))))</f>
        <v/>
      </c>
    </row>
    <row r="875">
      <c r="A875" s="26" t="n"/>
      <c r="B875" s="26" t="n"/>
      <c r="C875" s="26" t="n"/>
      <c r="D875" s="26" t="n"/>
      <c r="E875" s="30">
        <f>IF(B875="","",IFERROR(INDEX('Holders'!$B$4:$B$1003,MATCH(B875,'Holders'!$A$4:$A$1003,0)),""))</f>
        <v/>
      </c>
      <c r="F875" s="30">
        <f t="array" ref="F875">IF(B875="","",_xlfn.TEXTJOIN(", ",TRUE,IF(('Companies'!$A$4:$A$63&lt;&gt;"")*(COUNTIFS('Holdings'!$A$4:$A$2503,B875,'Holdings'!$J$4:$J$2503,'Companies'!$A$4:$A$63,'Holdings'!$L$4:$L$2503,"Yes",'Holdings'!$C$4:$C$2503,"&gt;0")&gt;0),'Companies'!$A$4:$A$63,"")))</f>
        <v/>
      </c>
      <c r="G875" s="30">
        <f>IF(A875="","",IF(COUNTIF('People'!$A$4:$A$1003,A875)=0,"Email not on People",IF(COUNTIF('Holders'!$A$4:$A$1003,B875)=0,"Unknown holder ID",IF(COUNTIFS($A$4:$A$1503,A875,$B$4:$B$1503,B875)&gt;1,"Duplicate link",IF(C875="","Missing access","OK")))))</f>
        <v/>
      </c>
    </row>
    <row r="876">
      <c r="A876" s="26" t="n"/>
      <c r="B876" s="26" t="n"/>
      <c r="C876" s="26" t="n"/>
      <c r="D876" s="26" t="n"/>
      <c r="E876" s="30">
        <f>IF(B876="","",IFERROR(INDEX('Holders'!$B$4:$B$1003,MATCH(B876,'Holders'!$A$4:$A$1003,0)),""))</f>
        <v/>
      </c>
      <c r="F876" s="30">
        <f t="array" ref="F876">IF(B876="","",_xlfn.TEXTJOIN(", ",TRUE,IF(('Companies'!$A$4:$A$63&lt;&gt;"")*(COUNTIFS('Holdings'!$A$4:$A$2503,B876,'Holdings'!$J$4:$J$2503,'Companies'!$A$4:$A$63,'Holdings'!$L$4:$L$2503,"Yes",'Holdings'!$C$4:$C$2503,"&gt;0")&gt;0),'Companies'!$A$4:$A$63,"")))</f>
        <v/>
      </c>
      <c r="G876" s="30">
        <f>IF(A876="","",IF(COUNTIF('People'!$A$4:$A$1003,A876)=0,"Email not on People",IF(COUNTIF('Holders'!$A$4:$A$1003,B876)=0,"Unknown holder ID",IF(COUNTIFS($A$4:$A$1503,A876,$B$4:$B$1503,B876)&gt;1,"Duplicate link",IF(C876="","Missing access","OK")))))</f>
        <v/>
      </c>
    </row>
    <row r="877">
      <c r="A877" s="26" t="n"/>
      <c r="B877" s="26" t="n"/>
      <c r="C877" s="26" t="n"/>
      <c r="D877" s="26" t="n"/>
      <c r="E877" s="30">
        <f>IF(B877="","",IFERROR(INDEX('Holders'!$B$4:$B$1003,MATCH(B877,'Holders'!$A$4:$A$1003,0)),""))</f>
        <v/>
      </c>
      <c r="F877" s="30">
        <f t="array" ref="F877">IF(B877="","",_xlfn.TEXTJOIN(", ",TRUE,IF(('Companies'!$A$4:$A$63&lt;&gt;"")*(COUNTIFS('Holdings'!$A$4:$A$2503,B877,'Holdings'!$J$4:$J$2503,'Companies'!$A$4:$A$63,'Holdings'!$L$4:$L$2503,"Yes",'Holdings'!$C$4:$C$2503,"&gt;0")&gt;0),'Companies'!$A$4:$A$63,"")))</f>
        <v/>
      </c>
      <c r="G877" s="30">
        <f>IF(A877="","",IF(COUNTIF('People'!$A$4:$A$1003,A877)=0,"Email not on People",IF(COUNTIF('Holders'!$A$4:$A$1003,B877)=0,"Unknown holder ID",IF(COUNTIFS($A$4:$A$1503,A877,$B$4:$B$1503,B877)&gt;1,"Duplicate link",IF(C877="","Missing access","OK")))))</f>
        <v/>
      </c>
    </row>
    <row r="878">
      <c r="A878" s="26" t="n"/>
      <c r="B878" s="26" t="n"/>
      <c r="C878" s="26" t="n"/>
      <c r="D878" s="26" t="n"/>
      <c r="E878" s="30">
        <f>IF(B878="","",IFERROR(INDEX('Holders'!$B$4:$B$1003,MATCH(B878,'Holders'!$A$4:$A$1003,0)),""))</f>
        <v/>
      </c>
      <c r="F878" s="30">
        <f t="array" ref="F878">IF(B878="","",_xlfn.TEXTJOIN(", ",TRUE,IF(('Companies'!$A$4:$A$63&lt;&gt;"")*(COUNTIFS('Holdings'!$A$4:$A$2503,B878,'Holdings'!$J$4:$J$2503,'Companies'!$A$4:$A$63,'Holdings'!$L$4:$L$2503,"Yes",'Holdings'!$C$4:$C$2503,"&gt;0")&gt;0),'Companies'!$A$4:$A$63,"")))</f>
        <v/>
      </c>
      <c r="G878" s="30">
        <f>IF(A878="","",IF(COUNTIF('People'!$A$4:$A$1003,A878)=0,"Email not on People",IF(COUNTIF('Holders'!$A$4:$A$1003,B878)=0,"Unknown holder ID",IF(COUNTIFS($A$4:$A$1503,A878,$B$4:$B$1503,B878)&gt;1,"Duplicate link",IF(C878="","Missing access","OK")))))</f>
        <v/>
      </c>
    </row>
    <row r="879">
      <c r="A879" s="26" t="n"/>
      <c r="B879" s="26" t="n"/>
      <c r="C879" s="26" t="n"/>
      <c r="D879" s="26" t="n"/>
      <c r="E879" s="30">
        <f>IF(B879="","",IFERROR(INDEX('Holders'!$B$4:$B$1003,MATCH(B879,'Holders'!$A$4:$A$1003,0)),""))</f>
        <v/>
      </c>
      <c r="F879" s="30">
        <f t="array" ref="F879">IF(B879="","",_xlfn.TEXTJOIN(", ",TRUE,IF(('Companies'!$A$4:$A$63&lt;&gt;"")*(COUNTIFS('Holdings'!$A$4:$A$2503,B879,'Holdings'!$J$4:$J$2503,'Companies'!$A$4:$A$63,'Holdings'!$L$4:$L$2503,"Yes",'Holdings'!$C$4:$C$2503,"&gt;0")&gt;0),'Companies'!$A$4:$A$63,"")))</f>
        <v/>
      </c>
      <c r="G879" s="30">
        <f>IF(A879="","",IF(COUNTIF('People'!$A$4:$A$1003,A879)=0,"Email not on People",IF(COUNTIF('Holders'!$A$4:$A$1003,B879)=0,"Unknown holder ID",IF(COUNTIFS($A$4:$A$1503,A879,$B$4:$B$1503,B879)&gt;1,"Duplicate link",IF(C879="","Missing access","OK")))))</f>
        <v/>
      </c>
    </row>
    <row r="880">
      <c r="A880" s="26" t="n"/>
      <c r="B880" s="26" t="n"/>
      <c r="C880" s="26" t="n"/>
      <c r="D880" s="26" t="n"/>
      <c r="E880" s="30">
        <f>IF(B880="","",IFERROR(INDEX('Holders'!$B$4:$B$1003,MATCH(B880,'Holders'!$A$4:$A$1003,0)),""))</f>
        <v/>
      </c>
      <c r="F880" s="30">
        <f t="array" ref="F880">IF(B880="","",_xlfn.TEXTJOIN(", ",TRUE,IF(('Companies'!$A$4:$A$63&lt;&gt;"")*(COUNTIFS('Holdings'!$A$4:$A$2503,B880,'Holdings'!$J$4:$J$2503,'Companies'!$A$4:$A$63,'Holdings'!$L$4:$L$2503,"Yes",'Holdings'!$C$4:$C$2503,"&gt;0")&gt;0),'Companies'!$A$4:$A$63,"")))</f>
        <v/>
      </c>
      <c r="G880" s="30">
        <f>IF(A880="","",IF(COUNTIF('People'!$A$4:$A$1003,A880)=0,"Email not on People",IF(COUNTIF('Holders'!$A$4:$A$1003,B880)=0,"Unknown holder ID",IF(COUNTIFS($A$4:$A$1503,A880,$B$4:$B$1503,B880)&gt;1,"Duplicate link",IF(C880="","Missing access","OK")))))</f>
        <v/>
      </c>
    </row>
    <row r="881">
      <c r="A881" s="26" t="n"/>
      <c r="B881" s="26" t="n"/>
      <c r="C881" s="26" t="n"/>
      <c r="D881" s="26" t="n"/>
      <c r="E881" s="30">
        <f>IF(B881="","",IFERROR(INDEX('Holders'!$B$4:$B$1003,MATCH(B881,'Holders'!$A$4:$A$1003,0)),""))</f>
        <v/>
      </c>
      <c r="F881" s="30">
        <f t="array" ref="F881">IF(B881="","",_xlfn.TEXTJOIN(", ",TRUE,IF(('Companies'!$A$4:$A$63&lt;&gt;"")*(COUNTIFS('Holdings'!$A$4:$A$2503,B881,'Holdings'!$J$4:$J$2503,'Companies'!$A$4:$A$63,'Holdings'!$L$4:$L$2503,"Yes",'Holdings'!$C$4:$C$2503,"&gt;0")&gt;0),'Companies'!$A$4:$A$63,"")))</f>
        <v/>
      </c>
      <c r="G881" s="30">
        <f>IF(A881="","",IF(COUNTIF('People'!$A$4:$A$1003,A881)=0,"Email not on People",IF(COUNTIF('Holders'!$A$4:$A$1003,B881)=0,"Unknown holder ID",IF(COUNTIFS($A$4:$A$1503,A881,$B$4:$B$1503,B881)&gt;1,"Duplicate link",IF(C881="","Missing access","OK")))))</f>
        <v/>
      </c>
    </row>
    <row r="882">
      <c r="A882" s="26" t="n"/>
      <c r="B882" s="26" t="n"/>
      <c r="C882" s="26" t="n"/>
      <c r="D882" s="26" t="n"/>
      <c r="E882" s="30">
        <f>IF(B882="","",IFERROR(INDEX('Holders'!$B$4:$B$1003,MATCH(B882,'Holders'!$A$4:$A$1003,0)),""))</f>
        <v/>
      </c>
      <c r="F882" s="30">
        <f t="array" ref="F882">IF(B882="","",_xlfn.TEXTJOIN(", ",TRUE,IF(('Companies'!$A$4:$A$63&lt;&gt;"")*(COUNTIFS('Holdings'!$A$4:$A$2503,B882,'Holdings'!$J$4:$J$2503,'Companies'!$A$4:$A$63,'Holdings'!$L$4:$L$2503,"Yes",'Holdings'!$C$4:$C$2503,"&gt;0")&gt;0),'Companies'!$A$4:$A$63,"")))</f>
        <v/>
      </c>
      <c r="G882" s="30">
        <f>IF(A882="","",IF(COUNTIF('People'!$A$4:$A$1003,A882)=0,"Email not on People",IF(COUNTIF('Holders'!$A$4:$A$1003,B882)=0,"Unknown holder ID",IF(COUNTIFS($A$4:$A$1503,A882,$B$4:$B$1503,B882)&gt;1,"Duplicate link",IF(C882="","Missing access","OK")))))</f>
        <v/>
      </c>
    </row>
    <row r="883">
      <c r="A883" s="26" t="n"/>
      <c r="B883" s="26" t="n"/>
      <c r="C883" s="26" t="n"/>
      <c r="D883" s="26" t="n"/>
      <c r="E883" s="30">
        <f>IF(B883="","",IFERROR(INDEX('Holders'!$B$4:$B$1003,MATCH(B883,'Holders'!$A$4:$A$1003,0)),""))</f>
        <v/>
      </c>
      <c r="F883" s="30">
        <f t="array" ref="F883">IF(B883="","",_xlfn.TEXTJOIN(", ",TRUE,IF(('Companies'!$A$4:$A$63&lt;&gt;"")*(COUNTIFS('Holdings'!$A$4:$A$2503,B883,'Holdings'!$J$4:$J$2503,'Companies'!$A$4:$A$63,'Holdings'!$L$4:$L$2503,"Yes",'Holdings'!$C$4:$C$2503,"&gt;0")&gt;0),'Companies'!$A$4:$A$63,"")))</f>
        <v/>
      </c>
      <c r="G883" s="30">
        <f>IF(A883="","",IF(COUNTIF('People'!$A$4:$A$1003,A883)=0,"Email not on People",IF(COUNTIF('Holders'!$A$4:$A$1003,B883)=0,"Unknown holder ID",IF(COUNTIFS($A$4:$A$1503,A883,$B$4:$B$1503,B883)&gt;1,"Duplicate link",IF(C883="","Missing access","OK")))))</f>
        <v/>
      </c>
    </row>
    <row r="884">
      <c r="A884" s="26" t="n"/>
      <c r="B884" s="26" t="n"/>
      <c r="C884" s="26" t="n"/>
      <c r="D884" s="26" t="n"/>
      <c r="E884" s="30">
        <f>IF(B884="","",IFERROR(INDEX('Holders'!$B$4:$B$1003,MATCH(B884,'Holders'!$A$4:$A$1003,0)),""))</f>
        <v/>
      </c>
      <c r="F884" s="30">
        <f t="array" ref="F884">IF(B884="","",_xlfn.TEXTJOIN(", ",TRUE,IF(('Companies'!$A$4:$A$63&lt;&gt;"")*(COUNTIFS('Holdings'!$A$4:$A$2503,B884,'Holdings'!$J$4:$J$2503,'Companies'!$A$4:$A$63,'Holdings'!$L$4:$L$2503,"Yes",'Holdings'!$C$4:$C$2503,"&gt;0")&gt;0),'Companies'!$A$4:$A$63,"")))</f>
        <v/>
      </c>
      <c r="G884" s="30">
        <f>IF(A884="","",IF(COUNTIF('People'!$A$4:$A$1003,A884)=0,"Email not on People",IF(COUNTIF('Holders'!$A$4:$A$1003,B884)=0,"Unknown holder ID",IF(COUNTIFS($A$4:$A$1503,A884,$B$4:$B$1503,B884)&gt;1,"Duplicate link",IF(C884="","Missing access","OK")))))</f>
        <v/>
      </c>
    </row>
    <row r="885">
      <c r="A885" s="26" t="n"/>
      <c r="B885" s="26" t="n"/>
      <c r="C885" s="26" t="n"/>
      <c r="D885" s="26" t="n"/>
      <c r="E885" s="30">
        <f>IF(B885="","",IFERROR(INDEX('Holders'!$B$4:$B$1003,MATCH(B885,'Holders'!$A$4:$A$1003,0)),""))</f>
        <v/>
      </c>
      <c r="F885" s="30">
        <f t="array" ref="F885">IF(B885="","",_xlfn.TEXTJOIN(", ",TRUE,IF(('Companies'!$A$4:$A$63&lt;&gt;"")*(COUNTIFS('Holdings'!$A$4:$A$2503,B885,'Holdings'!$J$4:$J$2503,'Companies'!$A$4:$A$63,'Holdings'!$L$4:$L$2503,"Yes",'Holdings'!$C$4:$C$2503,"&gt;0")&gt;0),'Companies'!$A$4:$A$63,"")))</f>
        <v/>
      </c>
      <c r="G885" s="30">
        <f>IF(A885="","",IF(COUNTIF('People'!$A$4:$A$1003,A885)=0,"Email not on People",IF(COUNTIF('Holders'!$A$4:$A$1003,B885)=0,"Unknown holder ID",IF(COUNTIFS($A$4:$A$1503,A885,$B$4:$B$1503,B885)&gt;1,"Duplicate link",IF(C885="","Missing access","OK")))))</f>
        <v/>
      </c>
    </row>
    <row r="886">
      <c r="A886" s="26" t="n"/>
      <c r="B886" s="26" t="n"/>
      <c r="C886" s="26" t="n"/>
      <c r="D886" s="26" t="n"/>
      <c r="E886" s="30">
        <f>IF(B886="","",IFERROR(INDEX('Holders'!$B$4:$B$1003,MATCH(B886,'Holders'!$A$4:$A$1003,0)),""))</f>
        <v/>
      </c>
      <c r="F886" s="30">
        <f t="array" ref="F886">IF(B886="","",_xlfn.TEXTJOIN(", ",TRUE,IF(('Companies'!$A$4:$A$63&lt;&gt;"")*(COUNTIFS('Holdings'!$A$4:$A$2503,B886,'Holdings'!$J$4:$J$2503,'Companies'!$A$4:$A$63,'Holdings'!$L$4:$L$2503,"Yes",'Holdings'!$C$4:$C$2503,"&gt;0")&gt;0),'Companies'!$A$4:$A$63,"")))</f>
        <v/>
      </c>
      <c r="G886" s="30">
        <f>IF(A886="","",IF(COUNTIF('People'!$A$4:$A$1003,A886)=0,"Email not on People",IF(COUNTIF('Holders'!$A$4:$A$1003,B886)=0,"Unknown holder ID",IF(COUNTIFS($A$4:$A$1503,A886,$B$4:$B$1503,B886)&gt;1,"Duplicate link",IF(C886="","Missing access","OK")))))</f>
        <v/>
      </c>
    </row>
    <row r="887">
      <c r="A887" s="26" t="n"/>
      <c r="B887" s="26" t="n"/>
      <c r="C887" s="26" t="n"/>
      <c r="D887" s="26" t="n"/>
      <c r="E887" s="30">
        <f>IF(B887="","",IFERROR(INDEX('Holders'!$B$4:$B$1003,MATCH(B887,'Holders'!$A$4:$A$1003,0)),""))</f>
        <v/>
      </c>
      <c r="F887" s="30">
        <f t="array" ref="F887">IF(B887="","",_xlfn.TEXTJOIN(", ",TRUE,IF(('Companies'!$A$4:$A$63&lt;&gt;"")*(COUNTIFS('Holdings'!$A$4:$A$2503,B887,'Holdings'!$J$4:$J$2503,'Companies'!$A$4:$A$63,'Holdings'!$L$4:$L$2503,"Yes",'Holdings'!$C$4:$C$2503,"&gt;0")&gt;0),'Companies'!$A$4:$A$63,"")))</f>
        <v/>
      </c>
      <c r="G887" s="30">
        <f>IF(A887="","",IF(COUNTIF('People'!$A$4:$A$1003,A887)=0,"Email not on People",IF(COUNTIF('Holders'!$A$4:$A$1003,B887)=0,"Unknown holder ID",IF(COUNTIFS($A$4:$A$1503,A887,$B$4:$B$1503,B887)&gt;1,"Duplicate link",IF(C887="","Missing access","OK")))))</f>
        <v/>
      </c>
    </row>
    <row r="888">
      <c r="A888" s="26" t="n"/>
      <c r="B888" s="26" t="n"/>
      <c r="C888" s="26" t="n"/>
      <c r="D888" s="26" t="n"/>
      <c r="E888" s="30">
        <f>IF(B888="","",IFERROR(INDEX('Holders'!$B$4:$B$1003,MATCH(B888,'Holders'!$A$4:$A$1003,0)),""))</f>
        <v/>
      </c>
      <c r="F888" s="30">
        <f t="array" ref="F888">IF(B888="","",_xlfn.TEXTJOIN(", ",TRUE,IF(('Companies'!$A$4:$A$63&lt;&gt;"")*(COUNTIFS('Holdings'!$A$4:$A$2503,B888,'Holdings'!$J$4:$J$2503,'Companies'!$A$4:$A$63,'Holdings'!$L$4:$L$2503,"Yes",'Holdings'!$C$4:$C$2503,"&gt;0")&gt;0),'Companies'!$A$4:$A$63,"")))</f>
        <v/>
      </c>
      <c r="G888" s="30">
        <f>IF(A888="","",IF(COUNTIF('People'!$A$4:$A$1003,A888)=0,"Email not on People",IF(COUNTIF('Holders'!$A$4:$A$1003,B888)=0,"Unknown holder ID",IF(COUNTIFS($A$4:$A$1503,A888,$B$4:$B$1503,B888)&gt;1,"Duplicate link",IF(C888="","Missing access","OK")))))</f>
        <v/>
      </c>
    </row>
    <row r="889">
      <c r="A889" s="26" t="n"/>
      <c r="B889" s="26" t="n"/>
      <c r="C889" s="26" t="n"/>
      <c r="D889" s="26" t="n"/>
      <c r="E889" s="30">
        <f>IF(B889="","",IFERROR(INDEX('Holders'!$B$4:$B$1003,MATCH(B889,'Holders'!$A$4:$A$1003,0)),""))</f>
        <v/>
      </c>
      <c r="F889" s="30">
        <f t="array" ref="F889">IF(B889="","",_xlfn.TEXTJOIN(", ",TRUE,IF(('Companies'!$A$4:$A$63&lt;&gt;"")*(COUNTIFS('Holdings'!$A$4:$A$2503,B889,'Holdings'!$J$4:$J$2503,'Companies'!$A$4:$A$63,'Holdings'!$L$4:$L$2503,"Yes",'Holdings'!$C$4:$C$2503,"&gt;0")&gt;0),'Companies'!$A$4:$A$63,"")))</f>
        <v/>
      </c>
      <c r="G889" s="30">
        <f>IF(A889="","",IF(COUNTIF('People'!$A$4:$A$1003,A889)=0,"Email not on People",IF(COUNTIF('Holders'!$A$4:$A$1003,B889)=0,"Unknown holder ID",IF(COUNTIFS($A$4:$A$1503,A889,$B$4:$B$1503,B889)&gt;1,"Duplicate link",IF(C889="","Missing access","OK")))))</f>
        <v/>
      </c>
    </row>
    <row r="890">
      <c r="A890" s="26" t="n"/>
      <c r="B890" s="26" t="n"/>
      <c r="C890" s="26" t="n"/>
      <c r="D890" s="26" t="n"/>
      <c r="E890" s="30">
        <f>IF(B890="","",IFERROR(INDEX('Holders'!$B$4:$B$1003,MATCH(B890,'Holders'!$A$4:$A$1003,0)),""))</f>
        <v/>
      </c>
      <c r="F890" s="30">
        <f t="array" ref="F890">IF(B890="","",_xlfn.TEXTJOIN(", ",TRUE,IF(('Companies'!$A$4:$A$63&lt;&gt;"")*(COUNTIFS('Holdings'!$A$4:$A$2503,B890,'Holdings'!$J$4:$J$2503,'Companies'!$A$4:$A$63,'Holdings'!$L$4:$L$2503,"Yes",'Holdings'!$C$4:$C$2503,"&gt;0")&gt;0),'Companies'!$A$4:$A$63,"")))</f>
        <v/>
      </c>
      <c r="G890" s="30">
        <f>IF(A890="","",IF(COUNTIF('People'!$A$4:$A$1003,A890)=0,"Email not on People",IF(COUNTIF('Holders'!$A$4:$A$1003,B890)=0,"Unknown holder ID",IF(COUNTIFS($A$4:$A$1503,A890,$B$4:$B$1503,B890)&gt;1,"Duplicate link",IF(C890="","Missing access","OK")))))</f>
        <v/>
      </c>
    </row>
    <row r="891">
      <c r="A891" s="26" t="n"/>
      <c r="B891" s="26" t="n"/>
      <c r="C891" s="26" t="n"/>
      <c r="D891" s="26" t="n"/>
      <c r="E891" s="30">
        <f>IF(B891="","",IFERROR(INDEX('Holders'!$B$4:$B$1003,MATCH(B891,'Holders'!$A$4:$A$1003,0)),""))</f>
        <v/>
      </c>
      <c r="F891" s="30">
        <f t="array" ref="F891">IF(B891="","",_xlfn.TEXTJOIN(", ",TRUE,IF(('Companies'!$A$4:$A$63&lt;&gt;"")*(COUNTIFS('Holdings'!$A$4:$A$2503,B891,'Holdings'!$J$4:$J$2503,'Companies'!$A$4:$A$63,'Holdings'!$L$4:$L$2503,"Yes",'Holdings'!$C$4:$C$2503,"&gt;0")&gt;0),'Companies'!$A$4:$A$63,"")))</f>
        <v/>
      </c>
      <c r="G891" s="30">
        <f>IF(A891="","",IF(COUNTIF('People'!$A$4:$A$1003,A891)=0,"Email not on People",IF(COUNTIF('Holders'!$A$4:$A$1003,B891)=0,"Unknown holder ID",IF(COUNTIFS($A$4:$A$1503,A891,$B$4:$B$1503,B891)&gt;1,"Duplicate link",IF(C891="","Missing access","OK")))))</f>
        <v/>
      </c>
    </row>
    <row r="892">
      <c r="A892" s="26" t="n"/>
      <c r="B892" s="26" t="n"/>
      <c r="C892" s="26" t="n"/>
      <c r="D892" s="26" t="n"/>
      <c r="E892" s="30">
        <f>IF(B892="","",IFERROR(INDEX('Holders'!$B$4:$B$1003,MATCH(B892,'Holders'!$A$4:$A$1003,0)),""))</f>
        <v/>
      </c>
      <c r="F892" s="30">
        <f t="array" ref="F892">IF(B892="","",_xlfn.TEXTJOIN(", ",TRUE,IF(('Companies'!$A$4:$A$63&lt;&gt;"")*(COUNTIFS('Holdings'!$A$4:$A$2503,B892,'Holdings'!$J$4:$J$2503,'Companies'!$A$4:$A$63,'Holdings'!$L$4:$L$2503,"Yes",'Holdings'!$C$4:$C$2503,"&gt;0")&gt;0),'Companies'!$A$4:$A$63,"")))</f>
        <v/>
      </c>
      <c r="G892" s="30">
        <f>IF(A892="","",IF(COUNTIF('People'!$A$4:$A$1003,A892)=0,"Email not on People",IF(COUNTIF('Holders'!$A$4:$A$1003,B892)=0,"Unknown holder ID",IF(COUNTIFS($A$4:$A$1503,A892,$B$4:$B$1503,B892)&gt;1,"Duplicate link",IF(C892="","Missing access","OK")))))</f>
        <v/>
      </c>
    </row>
    <row r="893">
      <c r="A893" s="26" t="n"/>
      <c r="B893" s="26" t="n"/>
      <c r="C893" s="26" t="n"/>
      <c r="D893" s="26" t="n"/>
      <c r="E893" s="30">
        <f>IF(B893="","",IFERROR(INDEX('Holders'!$B$4:$B$1003,MATCH(B893,'Holders'!$A$4:$A$1003,0)),""))</f>
        <v/>
      </c>
      <c r="F893" s="30">
        <f t="array" ref="F893">IF(B893="","",_xlfn.TEXTJOIN(", ",TRUE,IF(('Companies'!$A$4:$A$63&lt;&gt;"")*(COUNTIFS('Holdings'!$A$4:$A$2503,B893,'Holdings'!$J$4:$J$2503,'Companies'!$A$4:$A$63,'Holdings'!$L$4:$L$2503,"Yes",'Holdings'!$C$4:$C$2503,"&gt;0")&gt;0),'Companies'!$A$4:$A$63,"")))</f>
        <v/>
      </c>
      <c r="G893" s="30">
        <f>IF(A893="","",IF(COUNTIF('People'!$A$4:$A$1003,A893)=0,"Email not on People",IF(COUNTIF('Holders'!$A$4:$A$1003,B893)=0,"Unknown holder ID",IF(COUNTIFS($A$4:$A$1503,A893,$B$4:$B$1503,B893)&gt;1,"Duplicate link",IF(C893="","Missing access","OK")))))</f>
        <v/>
      </c>
    </row>
    <row r="894">
      <c r="A894" s="26" t="n"/>
      <c r="B894" s="26" t="n"/>
      <c r="C894" s="26" t="n"/>
      <c r="D894" s="26" t="n"/>
      <c r="E894" s="30">
        <f>IF(B894="","",IFERROR(INDEX('Holders'!$B$4:$B$1003,MATCH(B894,'Holders'!$A$4:$A$1003,0)),""))</f>
        <v/>
      </c>
      <c r="F894" s="30">
        <f t="array" ref="F894">IF(B894="","",_xlfn.TEXTJOIN(", ",TRUE,IF(('Companies'!$A$4:$A$63&lt;&gt;"")*(COUNTIFS('Holdings'!$A$4:$A$2503,B894,'Holdings'!$J$4:$J$2503,'Companies'!$A$4:$A$63,'Holdings'!$L$4:$L$2503,"Yes",'Holdings'!$C$4:$C$2503,"&gt;0")&gt;0),'Companies'!$A$4:$A$63,"")))</f>
        <v/>
      </c>
      <c r="G894" s="30">
        <f>IF(A894="","",IF(COUNTIF('People'!$A$4:$A$1003,A894)=0,"Email not on People",IF(COUNTIF('Holders'!$A$4:$A$1003,B894)=0,"Unknown holder ID",IF(COUNTIFS($A$4:$A$1503,A894,$B$4:$B$1503,B894)&gt;1,"Duplicate link",IF(C894="","Missing access","OK")))))</f>
        <v/>
      </c>
    </row>
    <row r="895">
      <c r="A895" s="26" t="n"/>
      <c r="B895" s="26" t="n"/>
      <c r="C895" s="26" t="n"/>
      <c r="D895" s="26" t="n"/>
      <c r="E895" s="30">
        <f>IF(B895="","",IFERROR(INDEX('Holders'!$B$4:$B$1003,MATCH(B895,'Holders'!$A$4:$A$1003,0)),""))</f>
        <v/>
      </c>
      <c r="F895" s="30">
        <f t="array" ref="F895">IF(B895="","",_xlfn.TEXTJOIN(", ",TRUE,IF(('Companies'!$A$4:$A$63&lt;&gt;"")*(COUNTIFS('Holdings'!$A$4:$A$2503,B895,'Holdings'!$J$4:$J$2503,'Companies'!$A$4:$A$63,'Holdings'!$L$4:$L$2503,"Yes",'Holdings'!$C$4:$C$2503,"&gt;0")&gt;0),'Companies'!$A$4:$A$63,"")))</f>
        <v/>
      </c>
      <c r="G895" s="30">
        <f>IF(A895="","",IF(COUNTIF('People'!$A$4:$A$1003,A895)=0,"Email not on People",IF(COUNTIF('Holders'!$A$4:$A$1003,B895)=0,"Unknown holder ID",IF(COUNTIFS($A$4:$A$1503,A895,$B$4:$B$1503,B895)&gt;1,"Duplicate link",IF(C895="","Missing access","OK")))))</f>
        <v/>
      </c>
    </row>
    <row r="896">
      <c r="A896" s="26" t="n"/>
      <c r="B896" s="26" t="n"/>
      <c r="C896" s="26" t="n"/>
      <c r="D896" s="26" t="n"/>
      <c r="E896" s="30">
        <f>IF(B896="","",IFERROR(INDEX('Holders'!$B$4:$B$1003,MATCH(B896,'Holders'!$A$4:$A$1003,0)),""))</f>
        <v/>
      </c>
      <c r="F896" s="30">
        <f t="array" ref="F896">IF(B896="","",_xlfn.TEXTJOIN(", ",TRUE,IF(('Companies'!$A$4:$A$63&lt;&gt;"")*(COUNTIFS('Holdings'!$A$4:$A$2503,B896,'Holdings'!$J$4:$J$2503,'Companies'!$A$4:$A$63,'Holdings'!$L$4:$L$2503,"Yes",'Holdings'!$C$4:$C$2503,"&gt;0")&gt;0),'Companies'!$A$4:$A$63,"")))</f>
        <v/>
      </c>
      <c r="G896" s="30">
        <f>IF(A896="","",IF(COUNTIF('People'!$A$4:$A$1003,A896)=0,"Email not on People",IF(COUNTIF('Holders'!$A$4:$A$1003,B896)=0,"Unknown holder ID",IF(COUNTIFS($A$4:$A$1503,A896,$B$4:$B$1503,B896)&gt;1,"Duplicate link",IF(C896="","Missing access","OK")))))</f>
        <v/>
      </c>
    </row>
    <row r="897">
      <c r="A897" s="26" t="n"/>
      <c r="B897" s="26" t="n"/>
      <c r="C897" s="26" t="n"/>
      <c r="D897" s="26" t="n"/>
      <c r="E897" s="30">
        <f>IF(B897="","",IFERROR(INDEX('Holders'!$B$4:$B$1003,MATCH(B897,'Holders'!$A$4:$A$1003,0)),""))</f>
        <v/>
      </c>
      <c r="F897" s="30">
        <f t="array" ref="F897">IF(B897="","",_xlfn.TEXTJOIN(", ",TRUE,IF(('Companies'!$A$4:$A$63&lt;&gt;"")*(COUNTIFS('Holdings'!$A$4:$A$2503,B897,'Holdings'!$J$4:$J$2503,'Companies'!$A$4:$A$63,'Holdings'!$L$4:$L$2503,"Yes",'Holdings'!$C$4:$C$2503,"&gt;0")&gt;0),'Companies'!$A$4:$A$63,"")))</f>
        <v/>
      </c>
      <c r="G897" s="30">
        <f>IF(A897="","",IF(COUNTIF('People'!$A$4:$A$1003,A897)=0,"Email not on People",IF(COUNTIF('Holders'!$A$4:$A$1003,B897)=0,"Unknown holder ID",IF(COUNTIFS($A$4:$A$1503,A897,$B$4:$B$1503,B897)&gt;1,"Duplicate link",IF(C897="","Missing access","OK")))))</f>
        <v/>
      </c>
    </row>
    <row r="898">
      <c r="A898" s="26" t="n"/>
      <c r="B898" s="26" t="n"/>
      <c r="C898" s="26" t="n"/>
      <c r="D898" s="26" t="n"/>
      <c r="E898" s="30">
        <f>IF(B898="","",IFERROR(INDEX('Holders'!$B$4:$B$1003,MATCH(B898,'Holders'!$A$4:$A$1003,0)),""))</f>
        <v/>
      </c>
      <c r="F898" s="30">
        <f t="array" ref="F898">IF(B898="","",_xlfn.TEXTJOIN(", ",TRUE,IF(('Companies'!$A$4:$A$63&lt;&gt;"")*(COUNTIFS('Holdings'!$A$4:$A$2503,B898,'Holdings'!$J$4:$J$2503,'Companies'!$A$4:$A$63,'Holdings'!$L$4:$L$2503,"Yes",'Holdings'!$C$4:$C$2503,"&gt;0")&gt;0),'Companies'!$A$4:$A$63,"")))</f>
        <v/>
      </c>
      <c r="G898" s="30">
        <f>IF(A898="","",IF(COUNTIF('People'!$A$4:$A$1003,A898)=0,"Email not on People",IF(COUNTIF('Holders'!$A$4:$A$1003,B898)=0,"Unknown holder ID",IF(COUNTIFS($A$4:$A$1503,A898,$B$4:$B$1503,B898)&gt;1,"Duplicate link",IF(C898="","Missing access","OK")))))</f>
        <v/>
      </c>
    </row>
    <row r="899">
      <c r="A899" s="26" t="n"/>
      <c r="B899" s="26" t="n"/>
      <c r="C899" s="26" t="n"/>
      <c r="D899" s="26" t="n"/>
      <c r="E899" s="30">
        <f>IF(B899="","",IFERROR(INDEX('Holders'!$B$4:$B$1003,MATCH(B899,'Holders'!$A$4:$A$1003,0)),""))</f>
        <v/>
      </c>
      <c r="F899" s="30">
        <f t="array" ref="F899">IF(B899="","",_xlfn.TEXTJOIN(", ",TRUE,IF(('Companies'!$A$4:$A$63&lt;&gt;"")*(COUNTIFS('Holdings'!$A$4:$A$2503,B899,'Holdings'!$J$4:$J$2503,'Companies'!$A$4:$A$63,'Holdings'!$L$4:$L$2503,"Yes",'Holdings'!$C$4:$C$2503,"&gt;0")&gt;0),'Companies'!$A$4:$A$63,"")))</f>
        <v/>
      </c>
      <c r="G899" s="30">
        <f>IF(A899="","",IF(COUNTIF('People'!$A$4:$A$1003,A899)=0,"Email not on People",IF(COUNTIF('Holders'!$A$4:$A$1003,B899)=0,"Unknown holder ID",IF(COUNTIFS($A$4:$A$1503,A899,$B$4:$B$1503,B899)&gt;1,"Duplicate link",IF(C899="","Missing access","OK")))))</f>
        <v/>
      </c>
    </row>
    <row r="900">
      <c r="A900" s="26" t="n"/>
      <c r="B900" s="26" t="n"/>
      <c r="C900" s="26" t="n"/>
      <c r="D900" s="26" t="n"/>
      <c r="E900" s="30">
        <f>IF(B900="","",IFERROR(INDEX('Holders'!$B$4:$B$1003,MATCH(B900,'Holders'!$A$4:$A$1003,0)),""))</f>
        <v/>
      </c>
      <c r="F900" s="30">
        <f t="array" ref="F900">IF(B900="","",_xlfn.TEXTJOIN(", ",TRUE,IF(('Companies'!$A$4:$A$63&lt;&gt;"")*(COUNTIFS('Holdings'!$A$4:$A$2503,B900,'Holdings'!$J$4:$J$2503,'Companies'!$A$4:$A$63,'Holdings'!$L$4:$L$2503,"Yes",'Holdings'!$C$4:$C$2503,"&gt;0")&gt;0),'Companies'!$A$4:$A$63,"")))</f>
        <v/>
      </c>
      <c r="G900" s="30">
        <f>IF(A900="","",IF(COUNTIF('People'!$A$4:$A$1003,A900)=0,"Email not on People",IF(COUNTIF('Holders'!$A$4:$A$1003,B900)=0,"Unknown holder ID",IF(COUNTIFS($A$4:$A$1503,A900,$B$4:$B$1503,B900)&gt;1,"Duplicate link",IF(C900="","Missing access","OK")))))</f>
        <v/>
      </c>
    </row>
    <row r="901">
      <c r="A901" s="26" t="n"/>
      <c r="B901" s="26" t="n"/>
      <c r="C901" s="26" t="n"/>
      <c r="D901" s="26" t="n"/>
      <c r="E901" s="30">
        <f>IF(B901="","",IFERROR(INDEX('Holders'!$B$4:$B$1003,MATCH(B901,'Holders'!$A$4:$A$1003,0)),""))</f>
        <v/>
      </c>
      <c r="F901" s="30">
        <f t="array" ref="F901">IF(B901="","",_xlfn.TEXTJOIN(", ",TRUE,IF(('Companies'!$A$4:$A$63&lt;&gt;"")*(COUNTIFS('Holdings'!$A$4:$A$2503,B901,'Holdings'!$J$4:$J$2503,'Companies'!$A$4:$A$63,'Holdings'!$L$4:$L$2503,"Yes",'Holdings'!$C$4:$C$2503,"&gt;0")&gt;0),'Companies'!$A$4:$A$63,"")))</f>
        <v/>
      </c>
      <c r="G901" s="30">
        <f>IF(A901="","",IF(COUNTIF('People'!$A$4:$A$1003,A901)=0,"Email not on People",IF(COUNTIF('Holders'!$A$4:$A$1003,B901)=0,"Unknown holder ID",IF(COUNTIFS($A$4:$A$1503,A901,$B$4:$B$1503,B901)&gt;1,"Duplicate link",IF(C901="","Missing access","OK")))))</f>
        <v/>
      </c>
    </row>
    <row r="902">
      <c r="A902" s="26" t="n"/>
      <c r="B902" s="26" t="n"/>
      <c r="C902" s="26" t="n"/>
      <c r="D902" s="26" t="n"/>
      <c r="E902" s="30">
        <f>IF(B902="","",IFERROR(INDEX('Holders'!$B$4:$B$1003,MATCH(B902,'Holders'!$A$4:$A$1003,0)),""))</f>
        <v/>
      </c>
      <c r="F902" s="30">
        <f t="array" ref="F902">IF(B902="","",_xlfn.TEXTJOIN(", ",TRUE,IF(('Companies'!$A$4:$A$63&lt;&gt;"")*(COUNTIFS('Holdings'!$A$4:$A$2503,B902,'Holdings'!$J$4:$J$2503,'Companies'!$A$4:$A$63,'Holdings'!$L$4:$L$2503,"Yes",'Holdings'!$C$4:$C$2503,"&gt;0")&gt;0),'Companies'!$A$4:$A$63,"")))</f>
        <v/>
      </c>
      <c r="G902" s="30">
        <f>IF(A902="","",IF(COUNTIF('People'!$A$4:$A$1003,A902)=0,"Email not on People",IF(COUNTIF('Holders'!$A$4:$A$1003,B902)=0,"Unknown holder ID",IF(COUNTIFS($A$4:$A$1503,A902,$B$4:$B$1503,B902)&gt;1,"Duplicate link",IF(C902="","Missing access","OK")))))</f>
        <v/>
      </c>
    </row>
    <row r="903">
      <c r="A903" s="26" t="n"/>
      <c r="B903" s="26" t="n"/>
      <c r="C903" s="26" t="n"/>
      <c r="D903" s="26" t="n"/>
      <c r="E903" s="30">
        <f>IF(B903="","",IFERROR(INDEX('Holders'!$B$4:$B$1003,MATCH(B903,'Holders'!$A$4:$A$1003,0)),""))</f>
        <v/>
      </c>
      <c r="F903" s="30">
        <f t="array" ref="F903">IF(B903="","",_xlfn.TEXTJOIN(", ",TRUE,IF(('Companies'!$A$4:$A$63&lt;&gt;"")*(COUNTIFS('Holdings'!$A$4:$A$2503,B903,'Holdings'!$J$4:$J$2503,'Companies'!$A$4:$A$63,'Holdings'!$L$4:$L$2503,"Yes",'Holdings'!$C$4:$C$2503,"&gt;0")&gt;0),'Companies'!$A$4:$A$63,"")))</f>
        <v/>
      </c>
      <c r="G903" s="30">
        <f>IF(A903="","",IF(COUNTIF('People'!$A$4:$A$1003,A903)=0,"Email not on People",IF(COUNTIF('Holders'!$A$4:$A$1003,B903)=0,"Unknown holder ID",IF(COUNTIFS($A$4:$A$1503,A903,$B$4:$B$1503,B903)&gt;1,"Duplicate link",IF(C903="","Missing access","OK")))))</f>
        <v/>
      </c>
    </row>
    <row r="904">
      <c r="A904" s="26" t="n"/>
      <c r="B904" s="26" t="n"/>
      <c r="C904" s="26" t="n"/>
      <c r="D904" s="26" t="n"/>
      <c r="E904" s="30">
        <f>IF(B904="","",IFERROR(INDEX('Holders'!$B$4:$B$1003,MATCH(B904,'Holders'!$A$4:$A$1003,0)),""))</f>
        <v/>
      </c>
      <c r="F904" s="30">
        <f t="array" ref="F904">IF(B904="","",_xlfn.TEXTJOIN(", ",TRUE,IF(('Companies'!$A$4:$A$63&lt;&gt;"")*(COUNTIFS('Holdings'!$A$4:$A$2503,B904,'Holdings'!$J$4:$J$2503,'Companies'!$A$4:$A$63,'Holdings'!$L$4:$L$2503,"Yes",'Holdings'!$C$4:$C$2503,"&gt;0")&gt;0),'Companies'!$A$4:$A$63,"")))</f>
        <v/>
      </c>
      <c r="G904" s="30">
        <f>IF(A904="","",IF(COUNTIF('People'!$A$4:$A$1003,A904)=0,"Email not on People",IF(COUNTIF('Holders'!$A$4:$A$1003,B904)=0,"Unknown holder ID",IF(COUNTIFS($A$4:$A$1503,A904,$B$4:$B$1503,B904)&gt;1,"Duplicate link",IF(C904="","Missing access","OK")))))</f>
        <v/>
      </c>
    </row>
    <row r="905">
      <c r="A905" s="26" t="n"/>
      <c r="B905" s="26" t="n"/>
      <c r="C905" s="26" t="n"/>
      <c r="D905" s="26" t="n"/>
      <c r="E905" s="30">
        <f>IF(B905="","",IFERROR(INDEX('Holders'!$B$4:$B$1003,MATCH(B905,'Holders'!$A$4:$A$1003,0)),""))</f>
        <v/>
      </c>
      <c r="F905" s="30">
        <f t="array" ref="F905">IF(B905="","",_xlfn.TEXTJOIN(", ",TRUE,IF(('Companies'!$A$4:$A$63&lt;&gt;"")*(COUNTIFS('Holdings'!$A$4:$A$2503,B905,'Holdings'!$J$4:$J$2503,'Companies'!$A$4:$A$63,'Holdings'!$L$4:$L$2503,"Yes",'Holdings'!$C$4:$C$2503,"&gt;0")&gt;0),'Companies'!$A$4:$A$63,"")))</f>
        <v/>
      </c>
      <c r="G905" s="30">
        <f>IF(A905="","",IF(COUNTIF('People'!$A$4:$A$1003,A905)=0,"Email not on People",IF(COUNTIF('Holders'!$A$4:$A$1003,B905)=0,"Unknown holder ID",IF(COUNTIFS($A$4:$A$1503,A905,$B$4:$B$1503,B905)&gt;1,"Duplicate link",IF(C905="","Missing access","OK")))))</f>
        <v/>
      </c>
    </row>
    <row r="906">
      <c r="A906" s="26" t="n"/>
      <c r="B906" s="26" t="n"/>
      <c r="C906" s="26" t="n"/>
      <c r="D906" s="26" t="n"/>
      <c r="E906" s="30">
        <f>IF(B906="","",IFERROR(INDEX('Holders'!$B$4:$B$1003,MATCH(B906,'Holders'!$A$4:$A$1003,0)),""))</f>
        <v/>
      </c>
      <c r="F906" s="30">
        <f t="array" ref="F906">IF(B906="","",_xlfn.TEXTJOIN(", ",TRUE,IF(('Companies'!$A$4:$A$63&lt;&gt;"")*(COUNTIFS('Holdings'!$A$4:$A$2503,B906,'Holdings'!$J$4:$J$2503,'Companies'!$A$4:$A$63,'Holdings'!$L$4:$L$2503,"Yes",'Holdings'!$C$4:$C$2503,"&gt;0")&gt;0),'Companies'!$A$4:$A$63,"")))</f>
        <v/>
      </c>
      <c r="G906" s="30">
        <f>IF(A906="","",IF(COUNTIF('People'!$A$4:$A$1003,A906)=0,"Email not on People",IF(COUNTIF('Holders'!$A$4:$A$1003,B906)=0,"Unknown holder ID",IF(COUNTIFS($A$4:$A$1503,A906,$B$4:$B$1503,B906)&gt;1,"Duplicate link",IF(C906="","Missing access","OK")))))</f>
        <v/>
      </c>
    </row>
    <row r="907">
      <c r="A907" s="26" t="n"/>
      <c r="B907" s="26" t="n"/>
      <c r="C907" s="26" t="n"/>
      <c r="D907" s="26" t="n"/>
      <c r="E907" s="30">
        <f>IF(B907="","",IFERROR(INDEX('Holders'!$B$4:$B$1003,MATCH(B907,'Holders'!$A$4:$A$1003,0)),""))</f>
        <v/>
      </c>
      <c r="F907" s="30">
        <f t="array" ref="F907">IF(B907="","",_xlfn.TEXTJOIN(", ",TRUE,IF(('Companies'!$A$4:$A$63&lt;&gt;"")*(COUNTIFS('Holdings'!$A$4:$A$2503,B907,'Holdings'!$J$4:$J$2503,'Companies'!$A$4:$A$63,'Holdings'!$L$4:$L$2503,"Yes",'Holdings'!$C$4:$C$2503,"&gt;0")&gt;0),'Companies'!$A$4:$A$63,"")))</f>
        <v/>
      </c>
      <c r="G907" s="30">
        <f>IF(A907="","",IF(COUNTIF('People'!$A$4:$A$1003,A907)=0,"Email not on People",IF(COUNTIF('Holders'!$A$4:$A$1003,B907)=0,"Unknown holder ID",IF(COUNTIFS($A$4:$A$1503,A907,$B$4:$B$1503,B907)&gt;1,"Duplicate link",IF(C907="","Missing access","OK")))))</f>
        <v/>
      </c>
    </row>
    <row r="908">
      <c r="A908" s="26" t="n"/>
      <c r="B908" s="26" t="n"/>
      <c r="C908" s="26" t="n"/>
      <c r="D908" s="26" t="n"/>
      <c r="E908" s="30">
        <f>IF(B908="","",IFERROR(INDEX('Holders'!$B$4:$B$1003,MATCH(B908,'Holders'!$A$4:$A$1003,0)),""))</f>
        <v/>
      </c>
      <c r="F908" s="30">
        <f t="array" ref="F908">IF(B908="","",_xlfn.TEXTJOIN(", ",TRUE,IF(('Companies'!$A$4:$A$63&lt;&gt;"")*(COUNTIFS('Holdings'!$A$4:$A$2503,B908,'Holdings'!$J$4:$J$2503,'Companies'!$A$4:$A$63,'Holdings'!$L$4:$L$2503,"Yes",'Holdings'!$C$4:$C$2503,"&gt;0")&gt;0),'Companies'!$A$4:$A$63,"")))</f>
        <v/>
      </c>
      <c r="G908" s="30">
        <f>IF(A908="","",IF(COUNTIF('People'!$A$4:$A$1003,A908)=0,"Email not on People",IF(COUNTIF('Holders'!$A$4:$A$1003,B908)=0,"Unknown holder ID",IF(COUNTIFS($A$4:$A$1503,A908,$B$4:$B$1503,B908)&gt;1,"Duplicate link",IF(C908="","Missing access","OK")))))</f>
        <v/>
      </c>
    </row>
    <row r="909">
      <c r="A909" s="26" t="n"/>
      <c r="B909" s="26" t="n"/>
      <c r="C909" s="26" t="n"/>
      <c r="D909" s="26" t="n"/>
      <c r="E909" s="30">
        <f>IF(B909="","",IFERROR(INDEX('Holders'!$B$4:$B$1003,MATCH(B909,'Holders'!$A$4:$A$1003,0)),""))</f>
        <v/>
      </c>
      <c r="F909" s="30">
        <f t="array" ref="F909">IF(B909="","",_xlfn.TEXTJOIN(", ",TRUE,IF(('Companies'!$A$4:$A$63&lt;&gt;"")*(COUNTIFS('Holdings'!$A$4:$A$2503,B909,'Holdings'!$J$4:$J$2503,'Companies'!$A$4:$A$63,'Holdings'!$L$4:$L$2503,"Yes",'Holdings'!$C$4:$C$2503,"&gt;0")&gt;0),'Companies'!$A$4:$A$63,"")))</f>
        <v/>
      </c>
      <c r="G909" s="30">
        <f>IF(A909="","",IF(COUNTIF('People'!$A$4:$A$1003,A909)=0,"Email not on People",IF(COUNTIF('Holders'!$A$4:$A$1003,B909)=0,"Unknown holder ID",IF(COUNTIFS($A$4:$A$1503,A909,$B$4:$B$1503,B909)&gt;1,"Duplicate link",IF(C909="","Missing access","OK")))))</f>
        <v/>
      </c>
    </row>
    <row r="910">
      <c r="A910" s="26" t="n"/>
      <c r="B910" s="26" t="n"/>
      <c r="C910" s="26" t="n"/>
      <c r="D910" s="26" t="n"/>
      <c r="E910" s="30">
        <f>IF(B910="","",IFERROR(INDEX('Holders'!$B$4:$B$1003,MATCH(B910,'Holders'!$A$4:$A$1003,0)),""))</f>
        <v/>
      </c>
      <c r="F910" s="30">
        <f t="array" ref="F910">IF(B910="","",_xlfn.TEXTJOIN(", ",TRUE,IF(('Companies'!$A$4:$A$63&lt;&gt;"")*(COUNTIFS('Holdings'!$A$4:$A$2503,B910,'Holdings'!$J$4:$J$2503,'Companies'!$A$4:$A$63,'Holdings'!$L$4:$L$2503,"Yes",'Holdings'!$C$4:$C$2503,"&gt;0")&gt;0),'Companies'!$A$4:$A$63,"")))</f>
        <v/>
      </c>
      <c r="G910" s="30">
        <f>IF(A910="","",IF(COUNTIF('People'!$A$4:$A$1003,A910)=0,"Email not on People",IF(COUNTIF('Holders'!$A$4:$A$1003,B910)=0,"Unknown holder ID",IF(COUNTIFS($A$4:$A$1503,A910,$B$4:$B$1503,B910)&gt;1,"Duplicate link",IF(C910="","Missing access","OK")))))</f>
        <v/>
      </c>
    </row>
    <row r="911">
      <c r="A911" s="26" t="n"/>
      <c r="B911" s="26" t="n"/>
      <c r="C911" s="26" t="n"/>
      <c r="D911" s="26" t="n"/>
      <c r="E911" s="30">
        <f>IF(B911="","",IFERROR(INDEX('Holders'!$B$4:$B$1003,MATCH(B911,'Holders'!$A$4:$A$1003,0)),""))</f>
        <v/>
      </c>
      <c r="F911" s="30">
        <f t="array" ref="F911">IF(B911="","",_xlfn.TEXTJOIN(", ",TRUE,IF(('Companies'!$A$4:$A$63&lt;&gt;"")*(COUNTIFS('Holdings'!$A$4:$A$2503,B911,'Holdings'!$J$4:$J$2503,'Companies'!$A$4:$A$63,'Holdings'!$L$4:$L$2503,"Yes",'Holdings'!$C$4:$C$2503,"&gt;0")&gt;0),'Companies'!$A$4:$A$63,"")))</f>
        <v/>
      </c>
      <c r="G911" s="30">
        <f>IF(A911="","",IF(COUNTIF('People'!$A$4:$A$1003,A911)=0,"Email not on People",IF(COUNTIF('Holders'!$A$4:$A$1003,B911)=0,"Unknown holder ID",IF(COUNTIFS($A$4:$A$1503,A911,$B$4:$B$1503,B911)&gt;1,"Duplicate link",IF(C911="","Missing access","OK")))))</f>
        <v/>
      </c>
    </row>
    <row r="912">
      <c r="A912" s="26" t="n"/>
      <c r="B912" s="26" t="n"/>
      <c r="C912" s="26" t="n"/>
      <c r="D912" s="26" t="n"/>
      <c r="E912" s="30">
        <f>IF(B912="","",IFERROR(INDEX('Holders'!$B$4:$B$1003,MATCH(B912,'Holders'!$A$4:$A$1003,0)),""))</f>
        <v/>
      </c>
      <c r="F912" s="30">
        <f t="array" ref="F912">IF(B912="","",_xlfn.TEXTJOIN(", ",TRUE,IF(('Companies'!$A$4:$A$63&lt;&gt;"")*(COUNTIFS('Holdings'!$A$4:$A$2503,B912,'Holdings'!$J$4:$J$2503,'Companies'!$A$4:$A$63,'Holdings'!$L$4:$L$2503,"Yes",'Holdings'!$C$4:$C$2503,"&gt;0")&gt;0),'Companies'!$A$4:$A$63,"")))</f>
        <v/>
      </c>
      <c r="G912" s="30">
        <f>IF(A912="","",IF(COUNTIF('People'!$A$4:$A$1003,A912)=0,"Email not on People",IF(COUNTIF('Holders'!$A$4:$A$1003,B912)=0,"Unknown holder ID",IF(COUNTIFS($A$4:$A$1503,A912,$B$4:$B$1503,B912)&gt;1,"Duplicate link",IF(C912="","Missing access","OK")))))</f>
        <v/>
      </c>
    </row>
    <row r="913">
      <c r="A913" s="26" t="n"/>
      <c r="B913" s="26" t="n"/>
      <c r="C913" s="26" t="n"/>
      <c r="D913" s="26" t="n"/>
      <c r="E913" s="30">
        <f>IF(B913="","",IFERROR(INDEX('Holders'!$B$4:$B$1003,MATCH(B913,'Holders'!$A$4:$A$1003,0)),""))</f>
        <v/>
      </c>
      <c r="F913" s="30">
        <f t="array" ref="F913">IF(B913="","",_xlfn.TEXTJOIN(", ",TRUE,IF(('Companies'!$A$4:$A$63&lt;&gt;"")*(COUNTIFS('Holdings'!$A$4:$A$2503,B913,'Holdings'!$J$4:$J$2503,'Companies'!$A$4:$A$63,'Holdings'!$L$4:$L$2503,"Yes",'Holdings'!$C$4:$C$2503,"&gt;0")&gt;0),'Companies'!$A$4:$A$63,"")))</f>
        <v/>
      </c>
      <c r="G913" s="30">
        <f>IF(A913="","",IF(COUNTIF('People'!$A$4:$A$1003,A913)=0,"Email not on People",IF(COUNTIF('Holders'!$A$4:$A$1003,B913)=0,"Unknown holder ID",IF(COUNTIFS($A$4:$A$1503,A913,$B$4:$B$1503,B913)&gt;1,"Duplicate link",IF(C913="","Missing access","OK")))))</f>
        <v/>
      </c>
    </row>
    <row r="914">
      <c r="A914" s="26" t="n"/>
      <c r="B914" s="26" t="n"/>
      <c r="C914" s="26" t="n"/>
      <c r="D914" s="26" t="n"/>
      <c r="E914" s="30">
        <f>IF(B914="","",IFERROR(INDEX('Holders'!$B$4:$B$1003,MATCH(B914,'Holders'!$A$4:$A$1003,0)),""))</f>
        <v/>
      </c>
      <c r="F914" s="30">
        <f t="array" ref="F914">IF(B914="","",_xlfn.TEXTJOIN(", ",TRUE,IF(('Companies'!$A$4:$A$63&lt;&gt;"")*(COUNTIFS('Holdings'!$A$4:$A$2503,B914,'Holdings'!$J$4:$J$2503,'Companies'!$A$4:$A$63,'Holdings'!$L$4:$L$2503,"Yes",'Holdings'!$C$4:$C$2503,"&gt;0")&gt;0),'Companies'!$A$4:$A$63,"")))</f>
        <v/>
      </c>
      <c r="G914" s="30">
        <f>IF(A914="","",IF(COUNTIF('People'!$A$4:$A$1003,A914)=0,"Email not on People",IF(COUNTIF('Holders'!$A$4:$A$1003,B914)=0,"Unknown holder ID",IF(COUNTIFS($A$4:$A$1503,A914,$B$4:$B$1503,B914)&gt;1,"Duplicate link",IF(C914="","Missing access","OK")))))</f>
        <v/>
      </c>
    </row>
    <row r="915">
      <c r="A915" s="26" t="n"/>
      <c r="B915" s="26" t="n"/>
      <c r="C915" s="26" t="n"/>
      <c r="D915" s="26" t="n"/>
      <c r="E915" s="30">
        <f>IF(B915="","",IFERROR(INDEX('Holders'!$B$4:$B$1003,MATCH(B915,'Holders'!$A$4:$A$1003,0)),""))</f>
        <v/>
      </c>
      <c r="F915" s="30">
        <f t="array" ref="F915">IF(B915="","",_xlfn.TEXTJOIN(", ",TRUE,IF(('Companies'!$A$4:$A$63&lt;&gt;"")*(COUNTIFS('Holdings'!$A$4:$A$2503,B915,'Holdings'!$J$4:$J$2503,'Companies'!$A$4:$A$63,'Holdings'!$L$4:$L$2503,"Yes",'Holdings'!$C$4:$C$2503,"&gt;0")&gt;0),'Companies'!$A$4:$A$63,"")))</f>
        <v/>
      </c>
      <c r="G915" s="30">
        <f>IF(A915="","",IF(COUNTIF('People'!$A$4:$A$1003,A915)=0,"Email not on People",IF(COUNTIF('Holders'!$A$4:$A$1003,B915)=0,"Unknown holder ID",IF(COUNTIFS($A$4:$A$1503,A915,$B$4:$B$1503,B915)&gt;1,"Duplicate link",IF(C915="","Missing access","OK")))))</f>
        <v/>
      </c>
    </row>
    <row r="916">
      <c r="A916" s="26" t="n"/>
      <c r="B916" s="26" t="n"/>
      <c r="C916" s="26" t="n"/>
      <c r="D916" s="26" t="n"/>
      <c r="E916" s="30">
        <f>IF(B916="","",IFERROR(INDEX('Holders'!$B$4:$B$1003,MATCH(B916,'Holders'!$A$4:$A$1003,0)),""))</f>
        <v/>
      </c>
      <c r="F916" s="30">
        <f t="array" ref="F916">IF(B916="","",_xlfn.TEXTJOIN(", ",TRUE,IF(('Companies'!$A$4:$A$63&lt;&gt;"")*(COUNTIFS('Holdings'!$A$4:$A$2503,B916,'Holdings'!$J$4:$J$2503,'Companies'!$A$4:$A$63,'Holdings'!$L$4:$L$2503,"Yes",'Holdings'!$C$4:$C$2503,"&gt;0")&gt;0),'Companies'!$A$4:$A$63,"")))</f>
        <v/>
      </c>
      <c r="G916" s="30">
        <f>IF(A916="","",IF(COUNTIF('People'!$A$4:$A$1003,A916)=0,"Email not on People",IF(COUNTIF('Holders'!$A$4:$A$1003,B916)=0,"Unknown holder ID",IF(COUNTIFS($A$4:$A$1503,A916,$B$4:$B$1503,B916)&gt;1,"Duplicate link",IF(C916="","Missing access","OK")))))</f>
        <v/>
      </c>
    </row>
    <row r="917">
      <c r="A917" s="26" t="n"/>
      <c r="B917" s="26" t="n"/>
      <c r="C917" s="26" t="n"/>
      <c r="D917" s="26" t="n"/>
      <c r="E917" s="30">
        <f>IF(B917="","",IFERROR(INDEX('Holders'!$B$4:$B$1003,MATCH(B917,'Holders'!$A$4:$A$1003,0)),""))</f>
        <v/>
      </c>
      <c r="F917" s="30">
        <f t="array" ref="F917">IF(B917="","",_xlfn.TEXTJOIN(", ",TRUE,IF(('Companies'!$A$4:$A$63&lt;&gt;"")*(COUNTIFS('Holdings'!$A$4:$A$2503,B917,'Holdings'!$J$4:$J$2503,'Companies'!$A$4:$A$63,'Holdings'!$L$4:$L$2503,"Yes",'Holdings'!$C$4:$C$2503,"&gt;0")&gt;0),'Companies'!$A$4:$A$63,"")))</f>
        <v/>
      </c>
      <c r="G917" s="30">
        <f>IF(A917="","",IF(COUNTIF('People'!$A$4:$A$1003,A917)=0,"Email not on People",IF(COUNTIF('Holders'!$A$4:$A$1003,B917)=0,"Unknown holder ID",IF(COUNTIFS($A$4:$A$1503,A917,$B$4:$B$1503,B917)&gt;1,"Duplicate link",IF(C917="","Missing access","OK")))))</f>
        <v/>
      </c>
    </row>
    <row r="918">
      <c r="A918" s="26" t="n"/>
      <c r="B918" s="26" t="n"/>
      <c r="C918" s="26" t="n"/>
      <c r="D918" s="26" t="n"/>
      <c r="E918" s="30">
        <f>IF(B918="","",IFERROR(INDEX('Holders'!$B$4:$B$1003,MATCH(B918,'Holders'!$A$4:$A$1003,0)),""))</f>
        <v/>
      </c>
      <c r="F918" s="30">
        <f t="array" ref="F918">IF(B918="","",_xlfn.TEXTJOIN(", ",TRUE,IF(('Companies'!$A$4:$A$63&lt;&gt;"")*(COUNTIFS('Holdings'!$A$4:$A$2503,B918,'Holdings'!$J$4:$J$2503,'Companies'!$A$4:$A$63,'Holdings'!$L$4:$L$2503,"Yes",'Holdings'!$C$4:$C$2503,"&gt;0")&gt;0),'Companies'!$A$4:$A$63,"")))</f>
        <v/>
      </c>
      <c r="G918" s="30">
        <f>IF(A918="","",IF(COUNTIF('People'!$A$4:$A$1003,A918)=0,"Email not on People",IF(COUNTIF('Holders'!$A$4:$A$1003,B918)=0,"Unknown holder ID",IF(COUNTIFS($A$4:$A$1503,A918,$B$4:$B$1503,B918)&gt;1,"Duplicate link",IF(C918="","Missing access","OK")))))</f>
        <v/>
      </c>
    </row>
    <row r="919">
      <c r="A919" s="26" t="n"/>
      <c r="B919" s="26" t="n"/>
      <c r="C919" s="26" t="n"/>
      <c r="D919" s="26" t="n"/>
      <c r="E919" s="30">
        <f>IF(B919="","",IFERROR(INDEX('Holders'!$B$4:$B$1003,MATCH(B919,'Holders'!$A$4:$A$1003,0)),""))</f>
        <v/>
      </c>
      <c r="F919" s="30">
        <f t="array" ref="F919">IF(B919="","",_xlfn.TEXTJOIN(", ",TRUE,IF(('Companies'!$A$4:$A$63&lt;&gt;"")*(COUNTIFS('Holdings'!$A$4:$A$2503,B919,'Holdings'!$J$4:$J$2503,'Companies'!$A$4:$A$63,'Holdings'!$L$4:$L$2503,"Yes",'Holdings'!$C$4:$C$2503,"&gt;0")&gt;0),'Companies'!$A$4:$A$63,"")))</f>
        <v/>
      </c>
      <c r="G919" s="30">
        <f>IF(A919="","",IF(COUNTIF('People'!$A$4:$A$1003,A919)=0,"Email not on People",IF(COUNTIF('Holders'!$A$4:$A$1003,B919)=0,"Unknown holder ID",IF(COUNTIFS($A$4:$A$1503,A919,$B$4:$B$1503,B919)&gt;1,"Duplicate link",IF(C919="","Missing access","OK")))))</f>
        <v/>
      </c>
    </row>
    <row r="920">
      <c r="A920" s="26" t="n"/>
      <c r="B920" s="26" t="n"/>
      <c r="C920" s="26" t="n"/>
      <c r="D920" s="26" t="n"/>
      <c r="E920" s="30">
        <f>IF(B920="","",IFERROR(INDEX('Holders'!$B$4:$B$1003,MATCH(B920,'Holders'!$A$4:$A$1003,0)),""))</f>
        <v/>
      </c>
      <c r="F920" s="30">
        <f t="array" ref="F920">IF(B920="","",_xlfn.TEXTJOIN(", ",TRUE,IF(('Companies'!$A$4:$A$63&lt;&gt;"")*(COUNTIFS('Holdings'!$A$4:$A$2503,B920,'Holdings'!$J$4:$J$2503,'Companies'!$A$4:$A$63,'Holdings'!$L$4:$L$2503,"Yes",'Holdings'!$C$4:$C$2503,"&gt;0")&gt;0),'Companies'!$A$4:$A$63,"")))</f>
        <v/>
      </c>
      <c r="G920" s="30">
        <f>IF(A920="","",IF(COUNTIF('People'!$A$4:$A$1003,A920)=0,"Email not on People",IF(COUNTIF('Holders'!$A$4:$A$1003,B920)=0,"Unknown holder ID",IF(COUNTIFS($A$4:$A$1503,A920,$B$4:$B$1503,B920)&gt;1,"Duplicate link",IF(C920="","Missing access","OK")))))</f>
        <v/>
      </c>
    </row>
    <row r="921">
      <c r="A921" s="26" t="n"/>
      <c r="B921" s="26" t="n"/>
      <c r="C921" s="26" t="n"/>
      <c r="D921" s="26" t="n"/>
      <c r="E921" s="30">
        <f>IF(B921="","",IFERROR(INDEX('Holders'!$B$4:$B$1003,MATCH(B921,'Holders'!$A$4:$A$1003,0)),""))</f>
        <v/>
      </c>
      <c r="F921" s="30">
        <f t="array" ref="F921">IF(B921="","",_xlfn.TEXTJOIN(", ",TRUE,IF(('Companies'!$A$4:$A$63&lt;&gt;"")*(COUNTIFS('Holdings'!$A$4:$A$2503,B921,'Holdings'!$J$4:$J$2503,'Companies'!$A$4:$A$63,'Holdings'!$L$4:$L$2503,"Yes",'Holdings'!$C$4:$C$2503,"&gt;0")&gt;0),'Companies'!$A$4:$A$63,"")))</f>
        <v/>
      </c>
      <c r="G921" s="30">
        <f>IF(A921="","",IF(COUNTIF('People'!$A$4:$A$1003,A921)=0,"Email not on People",IF(COUNTIF('Holders'!$A$4:$A$1003,B921)=0,"Unknown holder ID",IF(COUNTIFS($A$4:$A$1503,A921,$B$4:$B$1503,B921)&gt;1,"Duplicate link",IF(C921="","Missing access","OK")))))</f>
        <v/>
      </c>
    </row>
    <row r="922">
      <c r="A922" s="26" t="n"/>
      <c r="B922" s="26" t="n"/>
      <c r="C922" s="26" t="n"/>
      <c r="D922" s="26" t="n"/>
      <c r="E922" s="30">
        <f>IF(B922="","",IFERROR(INDEX('Holders'!$B$4:$B$1003,MATCH(B922,'Holders'!$A$4:$A$1003,0)),""))</f>
        <v/>
      </c>
      <c r="F922" s="30">
        <f t="array" ref="F922">IF(B922="","",_xlfn.TEXTJOIN(", ",TRUE,IF(('Companies'!$A$4:$A$63&lt;&gt;"")*(COUNTIFS('Holdings'!$A$4:$A$2503,B922,'Holdings'!$J$4:$J$2503,'Companies'!$A$4:$A$63,'Holdings'!$L$4:$L$2503,"Yes",'Holdings'!$C$4:$C$2503,"&gt;0")&gt;0),'Companies'!$A$4:$A$63,"")))</f>
        <v/>
      </c>
      <c r="G922" s="30">
        <f>IF(A922="","",IF(COUNTIF('People'!$A$4:$A$1003,A922)=0,"Email not on People",IF(COUNTIF('Holders'!$A$4:$A$1003,B922)=0,"Unknown holder ID",IF(COUNTIFS($A$4:$A$1503,A922,$B$4:$B$1503,B922)&gt;1,"Duplicate link",IF(C922="","Missing access","OK")))))</f>
        <v/>
      </c>
    </row>
    <row r="923">
      <c r="A923" s="26" t="n"/>
      <c r="B923" s="26" t="n"/>
      <c r="C923" s="26" t="n"/>
      <c r="D923" s="26" t="n"/>
      <c r="E923" s="30">
        <f>IF(B923="","",IFERROR(INDEX('Holders'!$B$4:$B$1003,MATCH(B923,'Holders'!$A$4:$A$1003,0)),""))</f>
        <v/>
      </c>
      <c r="F923" s="30">
        <f t="array" ref="F923">IF(B923="","",_xlfn.TEXTJOIN(", ",TRUE,IF(('Companies'!$A$4:$A$63&lt;&gt;"")*(COUNTIFS('Holdings'!$A$4:$A$2503,B923,'Holdings'!$J$4:$J$2503,'Companies'!$A$4:$A$63,'Holdings'!$L$4:$L$2503,"Yes",'Holdings'!$C$4:$C$2503,"&gt;0")&gt;0),'Companies'!$A$4:$A$63,"")))</f>
        <v/>
      </c>
      <c r="G923" s="30">
        <f>IF(A923="","",IF(COUNTIF('People'!$A$4:$A$1003,A923)=0,"Email not on People",IF(COUNTIF('Holders'!$A$4:$A$1003,B923)=0,"Unknown holder ID",IF(COUNTIFS($A$4:$A$1503,A923,$B$4:$B$1503,B923)&gt;1,"Duplicate link",IF(C923="","Missing access","OK")))))</f>
        <v/>
      </c>
    </row>
    <row r="924">
      <c r="A924" s="26" t="n"/>
      <c r="B924" s="26" t="n"/>
      <c r="C924" s="26" t="n"/>
      <c r="D924" s="26" t="n"/>
      <c r="E924" s="30">
        <f>IF(B924="","",IFERROR(INDEX('Holders'!$B$4:$B$1003,MATCH(B924,'Holders'!$A$4:$A$1003,0)),""))</f>
        <v/>
      </c>
      <c r="F924" s="30">
        <f t="array" ref="F924">IF(B924="","",_xlfn.TEXTJOIN(", ",TRUE,IF(('Companies'!$A$4:$A$63&lt;&gt;"")*(COUNTIFS('Holdings'!$A$4:$A$2503,B924,'Holdings'!$J$4:$J$2503,'Companies'!$A$4:$A$63,'Holdings'!$L$4:$L$2503,"Yes",'Holdings'!$C$4:$C$2503,"&gt;0")&gt;0),'Companies'!$A$4:$A$63,"")))</f>
        <v/>
      </c>
      <c r="G924" s="30">
        <f>IF(A924="","",IF(COUNTIF('People'!$A$4:$A$1003,A924)=0,"Email not on People",IF(COUNTIF('Holders'!$A$4:$A$1003,B924)=0,"Unknown holder ID",IF(COUNTIFS($A$4:$A$1503,A924,$B$4:$B$1503,B924)&gt;1,"Duplicate link",IF(C924="","Missing access","OK")))))</f>
        <v/>
      </c>
    </row>
    <row r="925">
      <c r="A925" s="26" t="n"/>
      <c r="B925" s="26" t="n"/>
      <c r="C925" s="26" t="n"/>
      <c r="D925" s="26" t="n"/>
      <c r="E925" s="30">
        <f>IF(B925="","",IFERROR(INDEX('Holders'!$B$4:$B$1003,MATCH(B925,'Holders'!$A$4:$A$1003,0)),""))</f>
        <v/>
      </c>
      <c r="F925" s="30">
        <f t="array" ref="F925">IF(B925="","",_xlfn.TEXTJOIN(", ",TRUE,IF(('Companies'!$A$4:$A$63&lt;&gt;"")*(COUNTIFS('Holdings'!$A$4:$A$2503,B925,'Holdings'!$J$4:$J$2503,'Companies'!$A$4:$A$63,'Holdings'!$L$4:$L$2503,"Yes",'Holdings'!$C$4:$C$2503,"&gt;0")&gt;0),'Companies'!$A$4:$A$63,"")))</f>
        <v/>
      </c>
      <c r="G925" s="30">
        <f>IF(A925="","",IF(COUNTIF('People'!$A$4:$A$1003,A925)=0,"Email not on People",IF(COUNTIF('Holders'!$A$4:$A$1003,B925)=0,"Unknown holder ID",IF(COUNTIFS($A$4:$A$1503,A925,$B$4:$B$1503,B925)&gt;1,"Duplicate link",IF(C925="","Missing access","OK")))))</f>
        <v/>
      </c>
    </row>
    <row r="926">
      <c r="A926" s="26" t="n"/>
      <c r="B926" s="26" t="n"/>
      <c r="C926" s="26" t="n"/>
      <c r="D926" s="26" t="n"/>
      <c r="E926" s="30">
        <f>IF(B926="","",IFERROR(INDEX('Holders'!$B$4:$B$1003,MATCH(B926,'Holders'!$A$4:$A$1003,0)),""))</f>
        <v/>
      </c>
      <c r="F926" s="30">
        <f t="array" ref="F926">IF(B926="","",_xlfn.TEXTJOIN(", ",TRUE,IF(('Companies'!$A$4:$A$63&lt;&gt;"")*(COUNTIFS('Holdings'!$A$4:$A$2503,B926,'Holdings'!$J$4:$J$2503,'Companies'!$A$4:$A$63,'Holdings'!$L$4:$L$2503,"Yes",'Holdings'!$C$4:$C$2503,"&gt;0")&gt;0),'Companies'!$A$4:$A$63,"")))</f>
        <v/>
      </c>
      <c r="G926" s="30">
        <f>IF(A926="","",IF(COUNTIF('People'!$A$4:$A$1003,A926)=0,"Email not on People",IF(COUNTIF('Holders'!$A$4:$A$1003,B926)=0,"Unknown holder ID",IF(COUNTIFS($A$4:$A$1503,A926,$B$4:$B$1503,B926)&gt;1,"Duplicate link",IF(C926="","Missing access","OK")))))</f>
        <v/>
      </c>
    </row>
    <row r="927">
      <c r="A927" s="26" t="n"/>
      <c r="B927" s="26" t="n"/>
      <c r="C927" s="26" t="n"/>
      <c r="D927" s="26" t="n"/>
      <c r="E927" s="30">
        <f>IF(B927="","",IFERROR(INDEX('Holders'!$B$4:$B$1003,MATCH(B927,'Holders'!$A$4:$A$1003,0)),""))</f>
        <v/>
      </c>
      <c r="F927" s="30">
        <f t="array" ref="F927">IF(B927="","",_xlfn.TEXTJOIN(", ",TRUE,IF(('Companies'!$A$4:$A$63&lt;&gt;"")*(COUNTIFS('Holdings'!$A$4:$A$2503,B927,'Holdings'!$J$4:$J$2503,'Companies'!$A$4:$A$63,'Holdings'!$L$4:$L$2503,"Yes",'Holdings'!$C$4:$C$2503,"&gt;0")&gt;0),'Companies'!$A$4:$A$63,"")))</f>
        <v/>
      </c>
      <c r="G927" s="30">
        <f>IF(A927="","",IF(COUNTIF('People'!$A$4:$A$1003,A927)=0,"Email not on People",IF(COUNTIF('Holders'!$A$4:$A$1003,B927)=0,"Unknown holder ID",IF(COUNTIFS($A$4:$A$1503,A927,$B$4:$B$1503,B927)&gt;1,"Duplicate link",IF(C927="","Missing access","OK")))))</f>
        <v/>
      </c>
    </row>
    <row r="928">
      <c r="A928" s="26" t="n"/>
      <c r="B928" s="26" t="n"/>
      <c r="C928" s="26" t="n"/>
      <c r="D928" s="26" t="n"/>
      <c r="E928" s="30">
        <f>IF(B928="","",IFERROR(INDEX('Holders'!$B$4:$B$1003,MATCH(B928,'Holders'!$A$4:$A$1003,0)),""))</f>
        <v/>
      </c>
      <c r="F928" s="30">
        <f t="array" ref="F928">IF(B928="","",_xlfn.TEXTJOIN(", ",TRUE,IF(('Companies'!$A$4:$A$63&lt;&gt;"")*(COUNTIFS('Holdings'!$A$4:$A$2503,B928,'Holdings'!$J$4:$J$2503,'Companies'!$A$4:$A$63,'Holdings'!$L$4:$L$2503,"Yes",'Holdings'!$C$4:$C$2503,"&gt;0")&gt;0),'Companies'!$A$4:$A$63,"")))</f>
        <v/>
      </c>
      <c r="G928" s="30">
        <f>IF(A928="","",IF(COUNTIF('People'!$A$4:$A$1003,A928)=0,"Email not on People",IF(COUNTIF('Holders'!$A$4:$A$1003,B928)=0,"Unknown holder ID",IF(COUNTIFS($A$4:$A$1503,A928,$B$4:$B$1503,B928)&gt;1,"Duplicate link",IF(C928="","Missing access","OK")))))</f>
        <v/>
      </c>
    </row>
    <row r="929">
      <c r="A929" s="26" t="n"/>
      <c r="B929" s="26" t="n"/>
      <c r="C929" s="26" t="n"/>
      <c r="D929" s="26" t="n"/>
      <c r="E929" s="30">
        <f>IF(B929="","",IFERROR(INDEX('Holders'!$B$4:$B$1003,MATCH(B929,'Holders'!$A$4:$A$1003,0)),""))</f>
        <v/>
      </c>
      <c r="F929" s="30">
        <f t="array" ref="F929">IF(B929="","",_xlfn.TEXTJOIN(", ",TRUE,IF(('Companies'!$A$4:$A$63&lt;&gt;"")*(COUNTIFS('Holdings'!$A$4:$A$2503,B929,'Holdings'!$J$4:$J$2503,'Companies'!$A$4:$A$63,'Holdings'!$L$4:$L$2503,"Yes",'Holdings'!$C$4:$C$2503,"&gt;0")&gt;0),'Companies'!$A$4:$A$63,"")))</f>
        <v/>
      </c>
      <c r="G929" s="30">
        <f>IF(A929="","",IF(COUNTIF('People'!$A$4:$A$1003,A929)=0,"Email not on People",IF(COUNTIF('Holders'!$A$4:$A$1003,B929)=0,"Unknown holder ID",IF(COUNTIFS($A$4:$A$1503,A929,$B$4:$B$1503,B929)&gt;1,"Duplicate link",IF(C929="","Missing access","OK")))))</f>
        <v/>
      </c>
    </row>
    <row r="930">
      <c r="A930" s="26" t="n"/>
      <c r="B930" s="26" t="n"/>
      <c r="C930" s="26" t="n"/>
      <c r="D930" s="26" t="n"/>
      <c r="E930" s="30">
        <f>IF(B930="","",IFERROR(INDEX('Holders'!$B$4:$B$1003,MATCH(B930,'Holders'!$A$4:$A$1003,0)),""))</f>
        <v/>
      </c>
      <c r="F930" s="30">
        <f t="array" ref="F930">IF(B930="","",_xlfn.TEXTJOIN(", ",TRUE,IF(('Companies'!$A$4:$A$63&lt;&gt;"")*(COUNTIFS('Holdings'!$A$4:$A$2503,B930,'Holdings'!$J$4:$J$2503,'Companies'!$A$4:$A$63,'Holdings'!$L$4:$L$2503,"Yes",'Holdings'!$C$4:$C$2503,"&gt;0")&gt;0),'Companies'!$A$4:$A$63,"")))</f>
        <v/>
      </c>
      <c r="G930" s="30">
        <f>IF(A930="","",IF(COUNTIF('People'!$A$4:$A$1003,A930)=0,"Email not on People",IF(COUNTIF('Holders'!$A$4:$A$1003,B930)=0,"Unknown holder ID",IF(COUNTIFS($A$4:$A$1503,A930,$B$4:$B$1503,B930)&gt;1,"Duplicate link",IF(C930="","Missing access","OK")))))</f>
        <v/>
      </c>
    </row>
    <row r="931">
      <c r="A931" s="26" t="n"/>
      <c r="B931" s="26" t="n"/>
      <c r="C931" s="26" t="n"/>
      <c r="D931" s="26" t="n"/>
      <c r="E931" s="30">
        <f>IF(B931="","",IFERROR(INDEX('Holders'!$B$4:$B$1003,MATCH(B931,'Holders'!$A$4:$A$1003,0)),""))</f>
        <v/>
      </c>
      <c r="F931" s="30">
        <f t="array" ref="F931">IF(B931="","",_xlfn.TEXTJOIN(", ",TRUE,IF(('Companies'!$A$4:$A$63&lt;&gt;"")*(COUNTIFS('Holdings'!$A$4:$A$2503,B931,'Holdings'!$J$4:$J$2503,'Companies'!$A$4:$A$63,'Holdings'!$L$4:$L$2503,"Yes",'Holdings'!$C$4:$C$2503,"&gt;0")&gt;0),'Companies'!$A$4:$A$63,"")))</f>
        <v/>
      </c>
      <c r="G931" s="30">
        <f>IF(A931="","",IF(COUNTIF('People'!$A$4:$A$1003,A931)=0,"Email not on People",IF(COUNTIF('Holders'!$A$4:$A$1003,B931)=0,"Unknown holder ID",IF(COUNTIFS($A$4:$A$1503,A931,$B$4:$B$1503,B931)&gt;1,"Duplicate link",IF(C931="","Missing access","OK")))))</f>
        <v/>
      </c>
    </row>
    <row r="932">
      <c r="A932" s="26" t="n"/>
      <c r="B932" s="26" t="n"/>
      <c r="C932" s="26" t="n"/>
      <c r="D932" s="26" t="n"/>
      <c r="E932" s="30">
        <f>IF(B932="","",IFERROR(INDEX('Holders'!$B$4:$B$1003,MATCH(B932,'Holders'!$A$4:$A$1003,0)),""))</f>
        <v/>
      </c>
      <c r="F932" s="30">
        <f t="array" ref="F932">IF(B932="","",_xlfn.TEXTJOIN(", ",TRUE,IF(('Companies'!$A$4:$A$63&lt;&gt;"")*(COUNTIFS('Holdings'!$A$4:$A$2503,B932,'Holdings'!$J$4:$J$2503,'Companies'!$A$4:$A$63,'Holdings'!$L$4:$L$2503,"Yes",'Holdings'!$C$4:$C$2503,"&gt;0")&gt;0),'Companies'!$A$4:$A$63,"")))</f>
        <v/>
      </c>
      <c r="G932" s="30">
        <f>IF(A932="","",IF(COUNTIF('People'!$A$4:$A$1003,A932)=0,"Email not on People",IF(COUNTIF('Holders'!$A$4:$A$1003,B932)=0,"Unknown holder ID",IF(COUNTIFS($A$4:$A$1503,A932,$B$4:$B$1503,B932)&gt;1,"Duplicate link",IF(C932="","Missing access","OK")))))</f>
        <v/>
      </c>
    </row>
    <row r="933">
      <c r="A933" s="26" t="n"/>
      <c r="B933" s="26" t="n"/>
      <c r="C933" s="26" t="n"/>
      <c r="D933" s="26" t="n"/>
      <c r="E933" s="30">
        <f>IF(B933="","",IFERROR(INDEX('Holders'!$B$4:$B$1003,MATCH(B933,'Holders'!$A$4:$A$1003,0)),""))</f>
        <v/>
      </c>
      <c r="F933" s="30">
        <f t="array" ref="F933">IF(B933="","",_xlfn.TEXTJOIN(", ",TRUE,IF(('Companies'!$A$4:$A$63&lt;&gt;"")*(COUNTIFS('Holdings'!$A$4:$A$2503,B933,'Holdings'!$J$4:$J$2503,'Companies'!$A$4:$A$63,'Holdings'!$L$4:$L$2503,"Yes",'Holdings'!$C$4:$C$2503,"&gt;0")&gt;0),'Companies'!$A$4:$A$63,"")))</f>
        <v/>
      </c>
      <c r="G933" s="30">
        <f>IF(A933="","",IF(COUNTIF('People'!$A$4:$A$1003,A933)=0,"Email not on People",IF(COUNTIF('Holders'!$A$4:$A$1003,B933)=0,"Unknown holder ID",IF(COUNTIFS($A$4:$A$1503,A933,$B$4:$B$1503,B933)&gt;1,"Duplicate link",IF(C933="","Missing access","OK")))))</f>
        <v/>
      </c>
    </row>
    <row r="934">
      <c r="A934" s="26" t="n"/>
      <c r="B934" s="26" t="n"/>
      <c r="C934" s="26" t="n"/>
      <c r="D934" s="26" t="n"/>
      <c r="E934" s="30">
        <f>IF(B934="","",IFERROR(INDEX('Holders'!$B$4:$B$1003,MATCH(B934,'Holders'!$A$4:$A$1003,0)),""))</f>
        <v/>
      </c>
      <c r="F934" s="30">
        <f t="array" ref="F934">IF(B934="","",_xlfn.TEXTJOIN(", ",TRUE,IF(('Companies'!$A$4:$A$63&lt;&gt;"")*(COUNTIFS('Holdings'!$A$4:$A$2503,B934,'Holdings'!$J$4:$J$2503,'Companies'!$A$4:$A$63,'Holdings'!$L$4:$L$2503,"Yes",'Holdings'!$C$4:$C$2503,"&gt;0")&gt;0),'Companies'!$A$4:$A$63,"")))</f>
        <v/>
      </c>
      <c r="G934" s="30">
        <f>IF(A934="","",IF(COUNTIF('People'!$A$4:$A$1003,A934)=0,"Email not on People",IF(COUNTIF('Holders'!$A$4:$A$1003,B934)=0,"Unknown holder ID",IF(COUNTIFS($A$4:$A$1503,A934,$B$4:$B$1503,B934)&gt;1,"Duplicate link",IF(C934="","Missing access","OK")))))</f>
        <v/>
      </c>
    </row>
    <row r="935">
      <c r="A935" s="26" t="n"/>
      <c r="B935" s="26" t="n"/>
      <c r="C935" s="26" t="n"/>
      <c r="D935" s="26" t="n"/>
      <c r="E935" s="30">
        <f>IF(B935="","",IFERROR(INDEX('Holders'!$B$4:$B$1003,MATCH(B935,'Holders'!$A$4:$A$1003,0)),""))</f>
        <v/>
      </c>
      <c r="F935" s="30">
        <f t="array" ref="F935">IF(B935="","",_xlfn.TEXTJOIN(", ",TRUE,IF(('Companies'!$A$4:$A$63&lt;&gt;"")*(COUNTIFS('Holdings'!$A$4:$A$2503,B935,'Holdings'!$J$4:$J$2503,'Companies'!$A$4:$A$63,'Holdings'!$L$4:$L$2503,"Yes",'Holdings'!$C$4:$C$2503,"&gt;0")&gt;0),'Companies'!$A$4:$A$63,"")))</f>
        <v/>
      </c>
      <c r="G935" s="30">
        <f>IF(A935="","",IF(COUNTIF('People'!$A$4:$A$1003,A935)=0,"Email not on People",IF(COUNTIF('Holders'!$A$4:$A$1003,B935)=0,"Unknown holder ID",IF(COUNTIFS($A$4:$A$1503,A935,$B$4:$B$1503,B935)&gt;1,"Duplicate link",IF(C935="","Missing access","OK")))))</f>
        <v/>
      </c>
    </row>
    <row r="936">
      <c r="A936" s="26" t="n"/>
      <c r="B936" s="26" t="n"/>
      <c r="C936" s="26" t="n"/>
      <c r="D936" s="26" t="n"/>
      <c r="E936" s="30">
        <f>IF(B936="","",IFERROR(INDEX('Holders'!$B$4:$B$1003,MATCH(B936,'Holders'!$A$4:$A$1003,0)),""))</f>
        <v/>
      </c>
      <c r="F936" s="30">
        <f t="array" ref="F936">IF(B936="","",_xlfn.TEXTJOIN(", ",TRUE,IF(('Companies'!$A$4:$A$63&lt;&gt;"")*(COUNTIFS('Holdings'!$A$4:$A$2503,B936,'Holdings'!$J$4:$J$2503,'Companies'!$A$4:$A$63,'Holdings'!$L$4:$L$2503,"Yes",'Holdings'!$C$4:$C$2503,"&gt;0")&gt;0),'Companies'!$A$4:$A$63,"")))</f>
        <v/>
      </c>
      <c r="G936" s="30">
        <f>IF(A936="","",IF(COUNTIF('People'!$A$4:$A$1003,A936)=0,"Email not on People",IF(COUNTIF('Holders'!$A$4:$A$1003,B936)=0,"Unknown holder ID",IF(COUNTIFS($A$4:$A$1503,A936,$B$4:$B$1503,B936)&gt;1,"Duplicate link",IF(C936="","Missing access","OK")))))</f>
        <v/>
      </c>
    </row>
    <row r="937">
      <c r="A937" s="26" t="n"/>
      <c r="B937" s="26" t="n"/>
      <c r="C937" s="26" t="n"/>
      <c r="D937" s="26" t="n"/>
      <c r="E937" s="30">
        <f>IF(B937="","",IFERROR(INDEX('Holders'!$B$4:$B$1003,MATCH(B937,'Holders'!$A$4:$A$1003,0)),""))</f>
        <v/>
      </c>
      <c r="F937" s="30">
        <f t="array" ref="F937">IF(B937="","",_xlfn.TEXTJOIN(", ",TRUE,IF(('Companies'!$A$4:$A$63&lt;&gt;"")*(COUNTIFS('Holdings'!$A$4:$A$2503,B937,'Holdings'!$J$4:$J$2503,'Companies'!$A$4:$A$63,'Holdings'!$L$4:$L$2503,"Yes",'Holdings'!$C$4:$C$2503,"&gt;0")&gt;0),'Companies'!$A$4:$A$63,"")))</f>
        <v/>
      </c>
      <c r="G937" s="30">
        <f>IF(A937="","",IF(COUNTIF('People'!$A$4:$A$1003,A937)=0,"Email not on People",IF(COUNTIF('Holders'!$A$4:$A$1003,B937)=0,"Unknown holder ID",IF(COUNTIFS($A$4:$A$1503,A937,$B$4:$B$1503,B937)&gt;1,"Duplicate link",IF(C937="","Missing access","OK")))))</f>
        <v/>
      </c>
    </row>
    <row r="938">
      <c r="A938" s="26" t="n"/>
      <c r="B938" s="26" t="n"/>
      <c r="C938" s="26" t="n"/>
      <c r="D938" s="26" t="n"/>
      <c r="E938" s="30">
        <f>IF(B938="","",IFERROR(INDEX('Holders'!$B$4:$B$1003,MATCH(B938,'Holders'!$A$4:$A$1003,0)),""))</f>
        <v/>
      </c>
      <c r="F938" s="30">
        <f t="array" ref="F938">IF(B938="","",_xlfn.TEXTJOIN(", ",TRUE,IF(('Companies'!$A$4:$A$63&lt;&gt;"")*(COUNTIFS('Holdings'!$A$4:$A$2503,B938,'Holdings'!$J$4:$J$2503,'Companies'!$A$4:$A$63,'Holdings'!$L$4:$L$2503,"Yes",'Holdings'!$C$4:$C$2503,"&gt;0")&gt;0),'Companies'!$A$4:$A$63,"")))</f>
        <v/>
      </c>
      <c r="G938" s="30">
        <f>IF(A938="","",IF(COUNTIF('People'!$A$4:$A$1003,A938)=0,"Email not on People",IF(COUNTIF('Holders'!$A$4:$A$1003,B938)=0,"Unknown holder ID",IF(COUNTIFS($A$4:$A$1503,A938,$B$4:$B$1503,B938)&gt;1,"Duplicate link",IF(C938="","Missing access","OK")))))</f>
        <v/>
      </c>
    </row>
    <row r="939">
      <c r="A939" s="26" t="n"/>
      <c r="B939" s="26" t="n"/>
      <c r="C939" s="26" t="n"/>
      <c r="D939" s="26" t="n"/>
      <c r="E939" s="30">
        <f>IF(B939="","",IFERROR(INDEX('Holders'!$B$4:$B$1003,MATCH(B939,'Holders'!$A$4:$A$1003,0)),""))</f>
        <v/>
      </c>
      <c r="F939" s="30">
        <f t="array" ref="F939">IF(B939="","",_xlfn.TEXTJOIN(", ",TRUE,IF(('Companies'!$A$4:$A$63&lt;&gt;"")*(COUNTIFS('Holdings'!$A$4:$A$2503,B939,'Holdings'!$J$4:$J$2503,'Companies'!$A$4:$A$63,'Holdings'!$L$4:$L$2503,"Yes",'Holdings'!$C$4:$C$2503,"&gt;0")&gt;0),'Companies'!$A$4:$A$63,"")))</f>
        <v/>
      </c>
      <c r="G939" s="30">
        <f>IF(A939="","",IF(COUNTIF('People'!$A$4:$A$1003,A939)=0,"Email not on People",IF(COUNTIF('Holders'!$A$4:$A$1003,B939)=0,"Unknown holder ID",IF(COUNTIFS($A$4:$A$1503,A939,$B$4:$B$1503,B939)&gt;1,"Duplicate link",IF(C939="","Missing access","OK")))))</f>
        <v/>
      </c>
    </row>
    <row r="940">
      <c r="A940" s="26" t="n"/>
      <c r="B940" s="26" t="n"/>
      <c r="C940" s="26" t="n"/>
      <c r="D940" s="26" t="n"/>
      <c r="E940" s="30">
        <f>IF(B940="","",IFERROR(INDEX('Holders'!$B$4:$B$1003,MATCH(B940,'Holders'!$A$4:$A$1003,0)),""))</f>
        <v/>
      </c>
      <c r="F940" s="30">
        <f t="array" ref="F940">IF(B940="","",_xlfn.TEXTJOIN(", ",TRUE,IF(('Companies'!$A$4:$A$63&lt;&gt;"")*(COUNTIFS('Holdings'!$A$4:$A$2503,B940,'Holdings'!$J$4:$J$2503,'Companies'!$A$4:$A$63,'Holdings'!$L$4:$L$2503,"Yes",'Holdings'!$C$4:$C$2503,"&gt;0")&gt;0),'Companies'!$A$4:$A$63,"")))</f>
        <v/>
      </c>
      <c r="G940" s="30">
        <f>IF(A940="","",IF(COUNTIF('People'!$A$4:$A$1003,A940)=0,"Email not on People",IF(COUNTIF('Holders'!$A$4:$A$1003,B940)=0,"Unknown holder ID",IF(COUNTIFS($A$4:$A$1503,A940,$B$4:$B$1503,B940)&gt;1,"Duplicate link",IF(C940="","Missing access","OK")))))</f>
        <v/>
      </c>
    </row>
    <row r="941">
      <c r="A941" s="26" t="n"/>
      <c r="B941" s="26" t="n"/>
      <c r="C941" s="26" t="n"/>
      <c r="D941" s="26" t="n"/>
      <c r="E941" s="30">
        <f>IF(B941="","",IFERROR(INDEX('Holders'!$B$4:$B$1003,MATCH(B941,'Holders'!$A$4:$A$1003,0)),""))</f>
        <v/>
      </c>
      <c r="F941" s="30">
        <f t="array" ref="F941">IF(B941="","",_xlfn.TEXTJOIN(", ",TRUE,IF(('Companies'!$A$4:$A$63&lt;&gt;"")*(COUNTIFS('Holdings'!$A$4:$A$2503,B941,'Holdings'!$J$4:$J$2503,'Companies'!$A$4:$A$63,'Holdings'!$L$4:$L$2503,"Yes",'Holdings'!$C$4:$C$2503,"&gt;0")&gt;0),'Companies'!$A$4:$A$63,"")))</f>
        <v/>
      </c>
      <c r="G941" s="30">
        <f>IF(A941="","",IF(COUNTIF('People'!$A$4:$A$1003,A941)=0,"Email not on People",IF(COUNTIF('Holders'!$A$4:$A$1003,B941)=0,"Unknown holder ID",IF(COUNTIFS($A$4:$A$1503,A941,$B$4:$B$1503,B941)&gt;1,"Duplicate link",IF(C941="","Missing access","OK")))))</f>
        <v/>
      </c>
    </row>
    <row r="942">
      <c r="A942" s="26" t="n"/>
      <c r="B942" s="26" t="n"/>
      <c r="C942" s="26" t="n"/>
      <c r="D942" s="26" t="n"/>
      <c r="E942" s="30">
        <f>IF(B942="","",IFERROR(INDEX('Holders'!$B$4:$B$1003,MATCH(B942,'Holders'!$A$4:$A$1003,0)),""))</f>
        <v/>
      </c>
      <c r="F942" s="30">
        <f t="array" ref="F942">IF(B942="","",_xlfn.TEXTJOIN(", ",TRUE,IF(('Companies'!$A$4:$A$63&lt;&gt;"")*(COUNTIFS('Holdings'!$A$4:$A$2503,B942,'Holdings'!$J$4:$J$2503,'Companies'!$A$4:$A$63,'Holdings'!$L$4:$L$2503,"Yes",'Holdings'!$C$4:$C$2503,"&gt;0")&gt;0),'Companies'!$A$4:$A$63,"")))</f>
        <v/>
      </c>
      <c r="G942" s="30">
        <f>IF(A942="","",IF(COUNTIF('People'!$A$4:$A$1003,A942)=0,"Email not on People",IF(COUNTIF('Holders'!$A$4:$A$1003,B942)=0,"Unknown holder ID",IF(COUNTIFS($A$4:$A$1503,A942,$B$4:$B$1503,B942)&gt;1,"Duplicate link",IF(C942="","Missing access","OK")))))</f>
        <v/>
      </c>
    </row>
    <row r="943">
      <c r="A943" s="26" t="n"/>
      <c r="B943" s="26" t="n"/>
      <c r="C943" s="26" t="n"/>
      <c r="D943" s="26" t="n"/>
      <c r="E943" s="30">
        <f>IF(B943="","",IFERROR(INDEX('Holders'!$B$4:$B$1003,MATCH(B943,'Holders'!$A$4:$A$1003,0)),""))</f>
        <v/>
      </c>
      <c r="F943" s="30">
        <f t="array" ref="F943">IF(B943="","",_xlfn.TEXTJOIN(", ",TRUE,IF(('Companies'!$A$4:$A$63&lt;&gt;"")*(COUNTIFS('Holdings'!$A$4:$A$2503,B943,'Holdings'!$J$4:$J$2503,'Companies'!$A$4:$A$63,'Holdings'!$L$4:$L$2503,"Yes",'Holdings'!$C$4:$C$2503,"&gt;0")&gt;0),'Companies'!$A$4:$A$63,"")))</f>
        <v/>
      </c>
      <c r="G943" s="30">
        <f>IF(A943="","",IF(COUNTIF('People'!$A$4:$A$1003,A943)=0,"Email not on People",IF(COUNTIF('Holders'!$A$4:$A$1003,B943)=0,"Unknown holder ID",IF(COUNTIFS($A$4:$A$1503,A943,$B$4:$B$1503,B943)&gt;1,"Duplicate link",IF(C943="","Missing access","OK")))))</f>
        <v/>
      </c>
    </row>
    <row r="944">
      <c r="A944" s="26" t="n"/>
      <c r="B944" s="26" t="n"/>
      <c r="C944" s="26" t="n"/>
      <c r="D944" s="26" t="n"/>
      <c r="E944" s="30">
        <f>IF(B944="","",IFERROR(INDEX('Holders'!$B$4:$B$1003,MATCH(B944,'Holders'!$A$4:$A$1003,0)),""))</f>
        <v/>
      </c>
      <c r="F944" s="30">
        <f t="array" ref="F944">IF(B944="","",_xlfn.TEXTJOIN(", ",TRUE,IF(('Companies'!$A$4:$A$63&lt;&gt;"")*(COUNTIFS('Holdings'!$A$4:$A$2503,B944,'Holdings'!$J$4:$J$2503,'Companies'!$A$4:$A$63,'Holdings'!$L$4:$L$2503,"Yes",'Holdings'!$C$4:$C$2503,"&gt;0")&gt;0),'Companies'!$A$4:$A$63,"")))</f>
        <v/>
      </c>
      <c r="G944" s="30">
        <f>IF(A944="","",IF(COUNTIF('People'!$A$4:$A$1003,A944)=0,"Email not on People",IF(COUNTIF('Holders'!$A$4:$A$1003,B944)=0,"Unknown holder ID",IF(COUNTIFS($A$4:$A$1503,A944,$B$4:$B$1503,B944)&gt;1,"Duplicate link",IF(C944="","Missing access","OK")))))</f>
        <v/>
      </c>
    </row>
    <row r="945">
      <c r="A945" s="26" t="n"/>
      <c r="B945" s="26" t="n"/>
      <c r="C945" s="26" t="n"/>
      <c r="D945" s="26" t="n"/>
      <c r="E945" s="30">
        <f>IF(B945="","",IFERROR(INDEX('Holders'!$B$4:$B$1003,MATCH(B945,'Holders'!$A$4:$A$1003,0)),""))</f>
        <v/>
      </c>
      <c r="F945" s="30">
        <f t="array" ref="F945">IF(B945="","",_xlfn.TEXTJOIN(", ",TRUE,IF(('Companies'!$A$4:$A$63&lt;&gt;"")*(COUNTIFS('Holdings'!$A$4:$A$2503,B945,'Holdings'!$J$4:$J$2503,'Companies'!$A$4:$A$63,'Holdings'!$L$4:$L$2503,"Yes",'Holdings'!$C$4:$C$2503,"&gt;0")&gt;0),'Companies'!$A$4:$A$63,"")))</f>
        <v/>
      </c>
      <c r="G945" s="30">
        <f>IF(A945="","",IF(COUNTIF('People'!$A$4:$A$1003,A945)=0,"Email not on People",IF(COUNTIF('Holders'!$A$4:$A$1003,B945)=0,"Unknown holder ID",IF(COUNTIFS($A$4:$A$1503,A945,$B$4:$B$1503,B945)&gt;1,"Duplicate link",IF(C945="","Missing access","OK")))))</f>
        <v/>
      </c>
    </row>
    <row r="946">
      <c r="A946" s="26" t="n"/>
      <c r="B946" s="26" t="n"/>
      <c r="C946" s="26" t="n"/>
      <c r="D946" s="26" t="n"/>
      <c r="E946" s="30">
        <f>IF(B946="","",IFERROR(INDEX('Holders'!$B$4:$B$1003,MATCH(B946,'Holders'!$A$4:$A$1003,0)),""))</f>
        <v/>
      </c>
      <c r="F946" s="30">
        <f t="array" ref="F946">IF(B946="","",_xlfn.TEXTJOIN(", ",TRUE,IF(('Companies'!$A$4:$A$63&lt;&gt;"")*(COUNTIFS('Holdings'!$A$4:$A$2503,B946,'Holdings'!$J$4:$J$2503,'Companies'!$A$4:$A$63,'Holdings'!$L$4:$L$2503,"Yes",'Holdings'!$C$4:$C$2503,"&gt;0")&gt;0),'Companies'!$A$4:$A$63,"")))</f>
        <v/>
      </c>
      <c r="G946" s="30">
        <f>IF(A946="","",IF(COUNTIF('People'!$A$4:$A$1003,A946)=0,"Email not on People",IF(COUNTIF('Holders'!$A$4:$A$1003,B946)=0,"Unknown holder ID",IF(COUNTIFS($A$4:$A$1503,A946,$B$4:$B$1503,B946)&gt;1,"Duplicate link",IF(C946="","Missing access","OK")))))</f>
        <v/>
      </c>
    </row>
    <row r="947">
      <c r="A947" s="26" t="n"/>
      <c r="B947" s="26" t="n"/>
      <c r="C947" s="26" t="n"/>
      <c r="D947" s="26" t="n"/>
      <c r="E947" s="30">
        <f>IF(B947="","",IFERROR(INDEX('Holders'!$B$4:$B$1003,MATCH(B947,'Holders'!$A$4:$A$1003,0)),""))</f>
        <v/>
      </c>
      <c r="F947" s="30">
        <f t="array" ref="F947">IF(B947="","",_xlfn.TEXTJOIN(", ",TRUE,IF(('Companies'!$A$4:$A$63&lt;&gt;"")*(COUNTIFS('Holdings'!$A$4:$A$2503,B947,'Holdings'!$J$4:$J$2503,'Companies'!$A$4:$A$63,'Holdings'!$L$4:$L$2503,"Yes",'Holdings'!$C$4:$C$2503,"&gt;0")&gt;0),'Companies'!$A$4:$A$63,"")))</f>
        <v/>
      </c>
      <c r="G947" s="30">
        <f>IF(A947="","",IF(COUNTIF('People'!$A$4:$A$1003,A947)=0,"Email not on People",IF(COUNTIF('Holders'!$A$4:$A$1003,B947)=0,"Unknown holder ID",IF(COUNTIFS($A$4:$A$1503,A947,$B$4:$B$1503,B947)&gt;1,"Duplicate link",IF(C947="","Missing access","OK")))))</f>
        <v/>
      </c>
    </row>
    <row r="948">
      <c r="A948" s="26" t="n"/>
      <c r="B948" s="26" t="n"/>
      <c r="C948" s="26" t="n"/>
      <c r="D948" s="26" t="n"/>
      <c r="E948" s="30">
        <f>IF(B948="","",IFERROR(INDEX('Holders'!$B$4:$B$1003,MATCH(B948,'Holders'!$A$4:$A$1003,0)),""))</f>
        <v/>
      </c>
      <c r="F948" s="30">
        <f t="array" ref="F948">IF(B948="","",_xlfn.TEXTJOIN(", ",TRUE,IF(('Companies'!$A$4:$A$63&lt;&gt;"")*(COUNTIFS('Holdings'!$A$4:$A$2503,B948,'Holdings'!$J$4:$J$2503,'Companies'!$A$4:$A$63,'Holdings'!$L$4:$L$2503,"Yes",'Holdings'!$C$4:$C$2503,"&gt;0")&gt;0),'Companies'!$A$4:$A$63,"")))</f>
        <v/>
      </c>
      <c r="G948" s="30">
        <f>IF(A948="","",IF(COUNTIF('People'!$A$4:$A$1003,A948)=0,"Email not on People",IF(COUNTIF('Holders'!$A$4:$A$1003,B948)=0,"Unknown holder ID",IF(COUNTIFS($A$4:$A$1503,A948,$B$4:$B$1503,B948)&gt;1,"Duplicate link",IF(C948="","Missing access","OK")))))</f>
        <v/>
      </c>
    </row>
    <row r="949">
      <c r="A949" s="26" t="n"/>
      <c r="B949" s="26" t="n"/>
      <c r="C949" s="26" t="n"/>
      <c r="D949" s="26" t="n"/>
      <c r="E949" s="30">
        <f>IF(B949="","",IFERROR(INDEX('Holders'!$B$4:$B$1003,MATCH(B949,'Holders'!$A$4:$A$1003,0)),""))</f>
        <v/>
      </c>
      <c r="F949" s="30">
        <f t="array" ref="F949">IF(B949="","",_xlfn.TEXTJOIN(", ",TRUE,IF(('Companies'!$A$4:$A$63&lt;&gt;"")*(COUNTIFS('Holdings'!$A$4:$A$2503,B949,'Holdings'!$J$4:$J$2503,'Companies'!$A$4:$A$63,'Holdings'!$L$4:$L$2503,"Yes",'Holdings'!$C$4:$C$2503,"&gt;0")&gt;0),'Companies'!$A$4:$A$63,"")))</f>
        <v/>
      </c>
      <c r="G949" s="30">
        <f>IF(A949="","",IF(COUNTIF('People'!$A$4:$A$1003,A949)=0,"Email not on People",IF(COUNTIF('Holders'!$A$4:$A$1003,B949)=0,"Unknown holder ID",IF(COUNTIFS($A$4:$A$1503,A949,$B$4:$B$1503,B949)&gt;1,"Duplicate link",IF(C949="","Missing access","OK")))))</f>
        <v/>
      </c>
    </row>
    <row r="950">
      <c r="A950" s="26" t="n"/>
      <c r="B950" s="26" t="n"/>
      <c r="C950" s="26" t="n"/>
      <c r="D950" s="26" t="n"/>
      <c r="E950" s="30">
        <f>IF(B950="","",IFERROR(INDEX('Holders'!$B$4:$B$1003,MATCH(B950,'Holders'!$A$4:$A$1003,0)),""))</f>
        <v/>
      </c>
      <c r="F950" s="30">
        <f t="array" ref="F950">IF(B950="","",_xlfn.TEXTJOIN(", ",TRUE,IF(('Companies'!$A$4:$A$63&lt;&gt;"")*(COUNTIFS('Holdings'!$A$4:$A$2503,B950,'Holdings'!$J$4:$J$2503,'Companies'!$A$4:$A$63,'Holdings'!$L$4:$L$2503,"Yes",'Holdings'!$C$4:$C$2503,"&gt;0")&gt;0),'Companies'!$A$4:$A$63,"")))</f>
        <v/>
      </c>
      <c r="G950" s="30">
        <f>IF(A950="","",IF(COUNTIF('People'!$A$4:$A$1003,A950)=0,"Email not on People",IF(COUNTIF('Holders'!$A$4:$A$1003,B950)=0,"Unknown holder ID",IF(COUNTIFS($A$4:$A$1503,A950,$B$4:$B$1503,B950)&gt;1,"Duplicate link",IF(C950="","Missing access","OK")))))</f>
        <v/>
      </c>
    </row>
    <row r="951">
      <c r="A951" s="26" t="n"/>
      <c r="B951" s="26" t="n"/>
      <c r="C951" s="26" t="n"/>
      <c r="D951" s="26" t="n"/>
      <c r="E951" s="30">
        <f>IF(B951="","",IFERROR(INDEX('Holders'!$B$4:$B$1003,MATCH(B951,'Holders'!$A$4:$A$1003,0)),""))</f>
        <v/>
      </c>
      <c r="F951" s="30">
        <f t="array" ref="F951">IF(B951="","",_xlfn.TEXTJOIN(", ",TRUE,IF(('Companies'!$A$4:$A$63&lt;&gt;"")*(COUNTIFS('Holdings'!$A$4:$A$2503,B951,'Holdings'!$J$4:$J$2503,'Companies'!$A$4:$A$63,'Holdings'!$L$4:$L$2503,"Yes",'Holdings'!$C$4:$C$2503,"&gt;0")&gt;0),'Companies'!$A$4:$A$63,"")))</f>
        <v/>
      </c>
      <c r="G951" s="30">
        <f>IF(A951="","",IF(COUNTIF('People'!$A$4:$A$1003,A951)=0,"Email not on People",IF(COUNTIF('Holders'!$A$4:$A$1003,B951)=0,"Unknown holder ID",IF(COUNTIFS($A$4:$A$1503,A951,$B$4:$B$1503,B951)&gt;1,"Duplicate link",IF(C951="","Missing access","OK")))))</f>
        <v/>
      </c>
    </row>
    <row r="952">
      <c r="A952" s="26" t="n"/>
      <c r="B952" s="26" t="n"/>
      <c r="C952" s="26" t="n"/>
      <c r="D952" s="26" t="n"/>
      <c r="E952" s="30">
        <f>IF(B952="","",IFERROR(INDEX('Holders'!$B$4:$B$1003,MATCH(B952,'Holders'!$A$4:$A$1003,0)),""))</f>
        <v/>
      </c>
      <c r="F952" s="30">
        <f t="array" ref="F952">IF(B952="","",_xlfn.TEXTJOIN(", ",TRUE,IF(('Companies'!$A$4:$A$63&lt;&gt;"")*(COUNTIFS('Holdings'!$A$4:$A$2503,B952,'Holdings'!$J$4:$J$2503,'Companies'!$A$4:$A$63,'Holdings'!$L$4:$L$2503,"Yes",'Holdings'!$C$4:$C$2503,"&gt;0")&gt;0),'Companies'!$A$4:$A$63,"")))</f>
        <v/>
      </c>
      <c r="G952" s="30">
        <f>IF(A952="","",IF(COUNTIF('People'!$A$4:$A$1003,A952)=0,"Email not on People",IF(COUNTIF('Holders'!$A$4:$A$1003,B952)=0,"Unknown holder ID",IF(COUNTIFS($A$4:$A$1503,A952,$B$4:$B$1503,B952)&gt;1,"Duplicate link",IF(C952="","Missing access","OK")))))</f>
        <v/>
      </c>
    </row>
    <row r="953">
      <c r="A953" s="26" t="n"/>
      <c r="B953" s="26" t="n"/>
      <c r="C953" s="26" t="n"/>
      <c r="D953" s="26" t="n"/>
      <c r="E953" s="30">
        <f>IF(B953="","",IFERROR(INDEX('Holders'!$B$4:$B$1003,MATCH(B953,'Holders'!$A$4:$A$1003,0)),""))</f>
        <v/>
      </c>
      <c r="F953" s="30">
        <f t="array" ref="F953">IF(B953="","",_xlfn.TEXTJOIN(", ",TRUE,IF(('Companies'!$A$4:$A$63&lt;&gt;"")*(COUNTIFS('Holdings'!$A$4:$A$2503,B953,'Holdings'!$J$4:$J$2503,'Companies'!$A$4:$A$63,'Holdings'!$L$4:$L$2503,"Yes",'Holdings'!$C$4:$C$2503,"&gt;0")&gt;0),'Companies'!$A$4:$A$63,"")))</f>
        <v/>
      </c>
      <c r="G953" s="30">
        <f>IF(A953="","",IF(COUNTIF('People'!$A$4:$A$1003,A953)=0,"Email not on People",IF(COUNTIF('Holders'!$A$4:$A$1003,B953)=0,"Unknown holder ID",IF(COUNTIFS($A$4:$A$1503,A953,$B$4:$B$1503,B953)&gt;1,"Duplicate link",IF(C953="","Missing access","OK")))))</f>
        <v/>
      </c>
    </row>
    <row r="954">
      <c r="A954" s="26" t="n"/>
      <c r="B954" s="26" t="n"/>
      <c r="C954" s="26" t="n"/>
      <c r="D954" s="26" t="n"/>
      <c r="E954" s="30">
        <f>IF(B954="","",IFERROR(INDEX('Holders'!$B$4:$B$1003,MATCH(B954,'Holders'!$A$4:$A$1003,0)),""))</f>
        <v/>
      </c>
      <c r="F954" s="30">
        <f t="array" ref="F954">IF(B954="","",_xlfn.TEXTJOIN(", ",TRUE,IF(('Companies'!$A$4:$A$63&lt;&gt;"")*(COUNTIFS('Holdings'!$A$4:$A$2503,B954,'Holdings'!$J$4:$J$2503,'Companies'!$A$4:$A$63,'Holdings'!$L$4:$L$2503,"Yes",'Holdings'!$C$4:$C$2503,"&gt;0")&gt;0),'Companies'!$A$4:$A$63,"")))</f>
        <v/>
      </c>
      <c r="G954" s="30">
        <f>IF(A954="","",IF(COUNTIF('People'!$A$4:$A$1003,A954)=0,"Email not on People",IF(COUNTIF('Holders'!$A$4:$A$1003,B954)=0,"Unknown holder ID",IF(COUNTIFS($A$4:$A$1503,A954,$B$4:$B$1503,B954)&gt;1,"Duplicate link",IF(C954="","Missing access","OK")))))</f>
        <v/>
      </c>
    </row>
    <row r="955">
      <c r="A955" s="26" t="n"/>
      <c r="B955" s="26" t="n"/>
      <c r="C955" s="26" t="n"/>
      <c r="D955" s="26" t="n"/>
      <c r="E955" s="30">
        <f>IF(B955="","",IFERROR(INDEX('Holders'!$B$4:$B$1003,MATCH(B955,'Holders'!$A$4:$A$1003,0)),""))</f>
        <v/>
      </c>
      <c r="F955" s="30">
        <f t="array" ref="F955">IF(B955="","",_xlfn.TEXTJOIN(", ",TRUE,IF(('Companies'!$A$4:$A$63&lt;&gt;"")*(COUNTIFS('Holdings'!$A$4:$A$2503,B955,'Holdings'!$J$4:$J$2503,'Companies'!$A$4:$A$63,'Holdings'!$L$4:$L$2503,"Yes",'Holdings'!$C$4:$C$2503,"&gt;0")&gt;0),'Companies'!$A$4:$A$63,"")))</f>
        <v/>
      </c>
      <c r="G955" s="30">
        <f>IF(A955="","",IF(COUNTIF('People'!$A$4:$A$1003,A955)=0,"Email not on People",IF(COUNTIF('Holders'!$A$4:$A$1003,B955)=0,"Unknown holder ID",IF(COUNTIFS($A$4:$A$1503,A955,$B$4:$B$1503,B955)&gt;1,"Duplicate link",IF(C955="","Missing access","OK")))))</f>
        <v/>
      </c>
    </row>
    <row r="956">
      <c r="A956" s="26" t="n"/>
      <c r="B956" s="26" t="n"/>
      <c r="C956" s="26" t="n"/>
      <c r="D956" s="26" t="n"/>
      <c r="E956" s="30">
        <f>IF(B956="","",IFERROR(INDEX('Holders'!$B$4:$B$1003,MATCH(B956,'Holders'!$A$4:$A$1003,0)),""))</f>
        <v/>
      </c>
      <c r="F956" s="30">
        <f t="array" ref="F956">IF(B956="","",_xlfn.TEXTJOIN(", ",TRUE,IF(('Companies'!$A$4:$A$63&lt;&gt;"")*(COUNTIFS('Holdings'!$A$4:$A$2503,B956,'Holdings'!$J$4:$J$2503,'Companies'!$A$4:$A$63,'Holdings'!$L$4:$L$2503,"Yes",'Holdings'!$C$4:$C$2503,"&gt;0")&gt;0),'Companies'!$A$4:$A$63,"")))</f>
        <v/>
      </c>
      <c r="G956" s="30">
        <f>IF(A956="","",IF(COUNTIF('People'!$A$4:$A$1003,A956)=0,"Email not on People",IF(COUNTIF('Holders'!$A$4:$A$1003,B956)=0,"Unknown holder ID",IF(COUNTIFS($A$4:$A$1503,A956,$B$4:$B$1503,B956)&gt;1,"Duplicate link",IF(C956="","Missing access","OK")))))</f>
        <v/>
      </c>
    </row>
    <row r="957">
      <c r="A957" s="26" t="n"/>
      <c r="B957" s="26" t="n"/>
      <c r="C957" s="26" t="n"/>
      <c r="D957" s="26" t="n"/>
      <c r="E957" s="30">
        <f>IF(B957="","",IFERROR(INDEX('Holders'!$B$4:$B$1003,MATCH(B957,'Holders'!$A$4:$A$1003,0)),""))</f>
        <v/>
      </c>
      <c r="F957" s="30">
        <f t="array" ref="F957">IF(B957="","",_xlfn.TEXTJOIN(", ",TRUE,IF(('Companies'!$A$4:$A$63&lt;&gt;"")*(COUNTIFS('Holdings'!$A$4:$A$2503,B957,'Holdings'!$J$4:$J$2503,'Companies'!$A$4:$A$63,'Holdings'!$L$4:$L$2503,"Yes",'Holdings'!$C$4:$C$2503,"&gt;0")&gt;0),'Companies'!$A$4:$A$63,"")))</f>
        <v/>
      </c>
      <c r="G957" s="30">
        <f>IF(A957="","",IF(COUNTIF('People'!$A$4:$A$1003,A957)=0,"Email not on People",IF(COUNTIF('Holders'!$A$4:$A$1003,B957)=0,"Unknown holder ID",IF(COUNTIFS($A$4:$A$1503,A957,$B$4:$B$1503,B957)&gt;1,"Duplicate link",IF(C957="","Missing access","OK")))))</f>
        <v/>
      </c>
    </row>
    <row r="958">
      <c r="A958" s="26" t="n"/>
      <c r="B958" s="26" t="n"/>
      <c r="C958" s="26" t="n"/>
      <c r="D958" s="26" t="n"/>
      <c r="E958" s="30">
        <f>IF(B958="","",IFERROR(INDEX('Holders'!$B$4:$B$1003,MATCH(B958,'Holders'!$A$4:$A$1003,0)),""))</f>
        <v/>
      </c>
      <c r="F958" s="30">
        <f t="array" ref="F958">IF(B958="","",_xlfn.TEXTJOIN(", ",TRUE,IF(('Companies'!$A$4:$A$63&lt;&gt;"")*(COUNTIFS('Holdings'!$A$4:$A$2503,B958,'Holdings'!$J$4:$J$2503,'Companies'!$A$4:$A$63,'Holdings'!$L$4:$L$2503,"Yes",'Holdings'!$C$4:$C$2503,"&gt;0")&gt;0),'Companies'!$A$4:$A$63,"")))</f>
        <v/>
      </c>
      <c r="G958" s="30">
        <f>IF(A958="","",IF(COUNTIF('People'!$A$4:$A$1003,A958)=0,"Email not on People",IF(COUNTIF('Holders'!$A$4:$A$1003,B958)=0,"Unknown holder ID",IF(COUNTIFS($A$4:$A$1503,A958,$B$4:$B$1503,B958)&gt;1,"Duplicate link",IF(C958="","Missing access","OK")))))</f>
        <v/>
      </c>
    </row>
    <row r="959">
      <c r="A959" s="26" t="n"/>
      <c r="B959" s="26" t="n"/>
      <c r="C959" s="26" t="n"/>
      <c r="D959" s="26" t="n"/>
      <c r="E959" s="30">
        <f>IF(B959="","",IFERROR(INDEX('Holders'!$B$4:$B$1003,MATCH(B959,'Holders'!$A$4:$A$1003,0)),""))</f>
        <v/>
      </c>
      <c r="F959" s="30">
        <f t="array" ref="F959">IF(B959="","",_xlfn.TEXTJOIN(", ",TRUE,IF(('Companies'!$A$4:$A$63&lt;&gt;"")*(COUNTIFS('Holdings'!$A$4:$A$2503,B959,'Holdings'!$J$4:$J$2503,'Companies'!$A$4:$A$63,'Holdings'!$L$4:$L$2503,"Yes",'Holdings'!$C$4:$C$2503,"&gt;0")&gt;0),'Companies'!$A$4:$A$63,"")))</f>
        <v/>
      </c>
      <c r="G959" s="30">
        <f>IF(A959="","",IF(COUNTIF('People'!$A$4:$A$1003,A959)=0,"Email not on People",IF(COUNTIF('Holders'!$A$4:$A$1003,B959)=0,"Unknown holder ID",IF(COUNTIFS($A$4:$A$1503,A959,$B$4:$B$1503,B959)&gt;1,"Duplicate link",IF(C959="","Missing access","OK")))))</f>
        <v/>
      </c>
    </row>
    <row r="960">
      <c r="A960" s="26" t="n"/>
      <c r="B960" s="26" t="n"/>
      <c r="C960" s="26" t="n"/>
      <c r="D960" s="26" t="n"/>
      <c r="E960" s="30">
        <f>IF(B960="","",IFERROR(INDEX('Holders'!$B$4:$B$1003,MATCH(B960,'Holders'!$A$4:$A$1003,0)),""))</f>
        <v/>
      </c>
      <c r="F960" s="30">
        <f t="array" ref="F960">IF(B960="","",_xlfn.TEXTJOIN(", ",TRUE,IF(('Companies'!$A$4:$A$63&lt;&gt;"")*(COUNTIFS('Holdings'!$A$4:$A$2503,B960,'Holdings'!$J$4:$J$2503,'Companies'!$A$4:$A$63,'Holdings'!$L$4:$L$2503,"Yes",'Holdings'!$C$4:$C$2503,"&gt;0")&gt;0),'Companies'!$A$4:$A$63,"")))</f>
        <v/>
      </c>
      <c r="G960" s="30">
        <f>IF(A960="","",IF(COUNTIF('People'!$A$4:$A$1003,A960)=0,"Email not on People",IF(COUNTIF('Holders'!$A$4:$A$1003,B960)=0,"Unknown holder ID",IF(COUNTIFS($A$4:$A$1503,A960,$B$4:$B$1503,B960)&gt;1,"Duplicate link",IF(C960="","Missing access","OK")))))</f>
        <v/>
      </c>
    </row>
    <row r="961">
      <c r="A961" s="26" t="n"/>
      <c r="B961" s="26" t="n"/>
      <c r="C961" s="26" t="n"/>
      <c r="D961" s="26" t="n"/>
      <c r="E961" s="30">
        <f>IF(B961="","",IFERROR(INDEX('Holders'!$B$4:$B$1003,MATCH(B961,'Holders'!$A$4:$A$1003,0)),""))</f>
        <v/>
      </c>
      <c r="F961" s="30">
        <f t="array" ref="F961">IF(B961="","",_xlfn.TEXTJOIN(", ",TRUE,IF(('Companies'!$A$4:$A$63&lt;&gt;"")*(COUNTIFS('Holdings'!$A$4:$A$2503,B961,'Holdings'!$J$4:$J$2503,'Companies'!$A$4:$A$63,'Holdings'!$L$4:$L$2503,"Yes",'Holdings'!$C$4:$C$2503,"&gt;0")&gt;0),'Companies'!$A$4:$A$63,"")))</f>
        <v/>
      </c>
      <c r="G961" s="30">
        <f>IF(A961="","",IF(COUNTIF('People'!$A$4:$A$1003,A961)=0,"Email not on People",IF(COUNTIF('Holders'!$A$4:$A$1003,B961)=0,"Unknown holder ID",IF(COUNTIFS($A$4:$A$1503,A961,$B$4:$B$1503,B961)&gt;1,"Duplicate link",IF(C961="","Missing access","OK")))))</f>
        <v/>
      </c>
    </row>
    <row r="962">
      <c r="A962" s="26" t="n"/>
      <c r="B962" s="26" t="n"/>
      <c r="C962" s="26" t="n"/>
      <c r="D962" s="26" t="n"/>
      <c r="E962" s="30">
        <f>IF(B962="","",IFERROR(INDEX('Holders'!$B$4:$B$1003,MATCH(B962,'Holders'!$A$4:$A$1003,0)),""))</f>
        <v/>
      </c>
      <c r="F962" s="30">
        <f t="array" ref="F962">IF(B962="","",_xlfn.TEXTJOIN(", ",TRUE,IF(('Companies'!$A$4:$A$63&lt;&gt;"")*(COUNTIFS('Holdings'!$A$4:$A$2503,B962,'Holdings'!$J$4:$J$2503,'Companies'!$A$4:$A$63,'Holdings'!$L$4:$L$2503,"Yes",'Holdings'!$C$4:$C$2503,"&gt;0")&gt;0),'Companies'!$A$4:$A$63,"")))</f>
        <v/>
      </c>
      <c r="G962" s="30">
        <f>IF(A962="","",IF(COUNTIF('People'!$A$4:$A$1003,A962)=0,"Email not on People",IF(COUNTIF('Holders'!$A$4:$A$1003,B962)=0,"Unknown holder ID",IF(COUNTIFS($A$4:$A$1503,A962,$B$4:$B$1503,B962)&gt;1,"Duplicate link",IF(C962="","Missing access","OK")))))</f>
        <v/>
      </c>
    </row>
    <row r="963">
      <c r="A963" s="26" t="n"/>
      <c r="B963" s="26" t="n"/>
      <c r="C963" s="26" t="n"/>
      <c r="D963" s="26" t="n"/>
      <c r="E963" s="30">
        <f>IF(B963="","",IFERROR(INDEX('Holders'!$B$4:$B$1003,MATCH(B963,'Holders'!$A$4:$A$1003,0)),""))</f>
        <v/>
      </c>
      <c r="F963" s="30">
        <f t="array" ref="F963">IF(B963="","",_xlfn.TEXTJOIN(", ",TRUE,IF(('Companies'!$A$4:$A$63&lt;&gt;"")*(COUNTIFS('Holdings'!$A$4:$A$2503,B963,'Holdings'!$J$4:$J$2503,'Companies'!$A$4:$A$63,'Holdings'!$L$4:$L$2503,"Yes",'Holdings'!$C$4:$C$2503,"&gt;0")&gt;0),'Companies'!$A$4:$A$63,"")))</f>
        <v/>
      </c>
      <c r="G963" s="30">
        <f>IF(A963="","",IF(COUNTIF('People'!$A$4:$A$1003,A963)=0,"Email not on People",IF(COUNTIF('Holders'!$A$4:$A$1003,B963)=0,"Unknown holder ID",IF(COUNTIFS($A$4:$A$1503,A963,$B$4:$B$1503,B963)&gt;1,"Duplicate link",IF(C963="","Missing access","OK")))))</f>
        <v/>
      </c>
    </row>
    <row r="964">
      <c r="A964" s="26" t="n"/>
      <c r="B964" s="26" t="n"/>
      <c r="C964" s="26" t="n"/>
      <c r="D964" s="26" t="n"/>
      <c r="E964" s="30">
        <f>IF(B964="","",IFERROR(INDEX('Holders'!$B$4:$B$1003,MATCH(B964,'Holders'!$A$4:$A$1003,0)),""))</f>
        <v/>
      </c>
      <c r="F964" s="30">
        <f t="array" ref="F964">IF(B964="","",_xlfn.TEXTJOIN(", ",TRUE,IF(('Companies'!$A$4:$A$63&lt;&gt;"")*(COUNTIFS('Holdings'!$A$4:$A$2503,B964,'Holdings'!$J$4:$J$2503,'Companies'!$A$4:$A$63,'Holdings'!$L$4:$L$2503,"Yes",'Holdings'!$C$4:$C$2503,"&gt;0")&gt;0),'Companies'!$A$4:$A$63,"")))</f>
        <v/>
      </c>
      <c r="G964" s="30">
        <f>IF(A964="","",IF(COUNTIF('People'!$A$4:$A$1003,A964)=0,"Email not on People",IF(COUNTIF('Holders'!$A$4:$A$1003,B964)=0,"Unknown holder ID",IF(COUNTIFS($A$4:$A$1503,A964,$B$4:$B$1503,B964)&gt;1,"Duplicate link",IF(C964="","Missing access","OK")))))</f>
        <v/>
      </c>
    </row>
    <row r="965">
      <c r="A965" s="26" t="n"/>
      <c r="B965" s="26" t="n"/>
      <c r="C965" s="26" t="n"/>
      <c r="D965" s="26" t="n"/>
      <c r="E965" s="30">
        <f>IF(B965="","",IFERROR(INDEX('Holders'!$B$4:$B$1003,MATCH(B965,'Holders'!$A$4:$A$1003,0)),""))</f>
        <v/>
      </c>
      <c r="F965" s="30">
        <f t="array" ref="F965">IF(B965="","",_xlfn.TEXTJOIN(", ",TRUE,IF(('Companies'!$A$4:$A$63&lt;&gt;"")*(COUNTIFS('Holdings'!$A$4:$A$2503,B965,'Holdings'!$J$4:$J$2503,'Companies'!$A$4:$A$63,'Holdings'!$L$4:$L$2503,"Yes",'Holdings'!$C$4:$C$2503,"&gt;0")&gt;0),'Companies'!$A$4:$A$63,"")))</f>
        <v/>
      </c>
      <c r="G965" s="30">
        <f>IF(A965="","",IF(COUNTIF('People'!$A$4:$A$1003,A965)=0,"Email not on People",IF(COUNTIF('Holders'!$A$4:$A$1003,B965)=0,"Unknown holder ID",IF(COUNTIFS($A$4:$A$1503,A965,$B$4:$B$1503,B965)&gt;1,"Duplicate link",IF(C965="","Missing access","OK")))))</f>
        <v/>
      </c>
    </row>
    <row r="966">
      <c r="A966" s="26" t="n"/>
      <c r="B966" s="26" t="n"/>
      <c r="C966" s="26" t="n"/>
      <c r="D966" s="26" t="n"/>
      <c r="E966" s="30">
        <f>IF(B966="","",IFERROR(INDEX('Holders'!$B$4:$B$1003,MATCH(B966,'Holders'!$A$4:$A$1003,0)),""))</f>
        <v/>
      </c>
      <c r="F966" s="30">
        <f t="array" ref="F966">IF(B966="","",_xlfn.TEXTJOIN(", ",TRUE,IF(('Companies'!$A$4:$A$63&lt;&gt;"")*(COUNTIFS('Holdings'!$A$4:$A$2503,B966,'Holdings'!$J$4:$J$2503,'Companies'!$A$4:$A$63,'Holdings'!$L$4:$L$2503,"Yes",'Holdings'!$C$4:$C$2503,"&gt;0")&gt;0),'Companies'!$A$4:$A$63,"")))</f>
        <v/>
      </c>
      <c r="G966" s="30">
        <f>IF(A966="","",IF(COUNTIF('People'!$A$4:$A$1003,A966)=0,"Email not on People",IF(COUNTIF('Holders'!$A$4:$A$1003,B966)=0,"Unknown holder ID",IF(COUNTIFS($A$4:$A$1503,A966,$B$4:$B$1503,B966)&gt;1,"Duplicate link",IF(C966="","Missing access","OK")))))</f>
        <v/>
      </c>
    </row>
    <row r="967">
      <c r="A967" s="26" t="n"/>
      <c r="B967" s="26" t="n"/>
      <c r="C967" s="26" t="n"/>
      <c r="D967" s="26" t="n"/>
      <c r="E967" s="30">
        <f>IF(B967="","",IFERROR(INDEX('Holders'!$B$4:$B$1003,MATCH(B967,'Holders'!$A$4:$A$1003,0)),""))</f>
        <v/>
      </c>
      <c r="F967" s="30">
        <f t="array" ref="F967">IF(B967="","",_xlfn.TEXTJOIN(", ",TRUE,IF(('Companies'!$A$4:$A$63&lt;&gt;"")*(COUNTIFS('Holdings'!$A$4:$A$2503,B967,'Holdings'!$J$4:$J$2503,'Companies'!$A$4:$A$63,'Holdings'!$L$4:$L$2503,"Yes",'Holdings'!$C$4:$C$2503,"&gt;0")&gt;0),'Companies'!$A$4:$A$63,"")))</f>
        <v/>
      </c>
      <c r="G967" s="30">
        <f>IF(A967="","",IF(COUNTIF('People'!$A$4:$A$1003,A967)=0,"Email not on People",IF(COUNTIF('Holders'!$A$4:$A$1003,B967)=0,"Unknown holder ID",IF(COUNTIFS($A$4:$A$1503,A967,$B$4:$B$1503,B967)&gt;1,"Duplicate link",IF(C967="","Missing access","OK")))))</f>
        <v/>
      </c>
    </row>
    <row r="968">
      <c r="A968" s="26" t="n"/>
      <c r="B968" s="26" t="n"/>
      <c r="C968" s="26" t="n"/>
      <c r="D968" s="26" t="n"/>
      <c r="E968" s="30">
        <f>IF(B968="","",IFERROR(INDEX('Holders'!$B$4:$B$1003,MATCH(B968,'Holders'!$A$4:$A$1003,0)),""))</f>
        <v/>
      </c>
      <c r="F968" s="30">
        <f t="array" ref="F968">IF(B968="","",_xlfn.TEXTJOIN(", ",TRUE,IF(('Companies'!$A$4:$A$63&lt;&gt;"")*(COUNTIFS('Holdings'!$A$4:$A$2503,B968,'Holdings'!$J$4:$J$2503,'Companies'!$A$4:$A$63,'Holdings'!$L$4:$L$2503,"Yes",'Holdings'!$C$4:$C$2503,"&gt;0")&gt;0),'Companies'!$A$4:$A$63,"")))</f>
        <v/>
      </c>
      <c r="G968" s="30">
        <f>IF(A968="","",IF(COUNTIF('People'!$A$4:$A$1003,A968)=0,"Email not on People",IF(COUNTIF('Holders'!$A$4:$A$1003,B968)=0,"Unknown holder ID",IF(COUNTIFS($A$4:$A$1503,A968,$B$4:$B$1503,B968)&gt;1,"Duplicate link",IF(C968="","Missing access","OK")))))</f>
        <v/>
      </c>
    </row>
    <row r="969">
      <c r="A969" s="26" t="n"/>
      <c r="B969" s="26" t="n"/>
      <c r="C969" s="26" t="n"/>
      <c r="D969" s="26" t="n"/>
      <c r="E969" s="30">
        <f>IF(B969="","",IFERROR(INDEX('Holders'!$B$4:$B$1003,MATCH(B969,'Holders'!$A$4:$A$1003,0)),""))</f>
        <v/>
      </c>
      <c r="F969" s="30">
        <f t="array" ref="F969">IF(B969="","",_xlfn.TEXTJOIN(", ",TRUE,IF(('Companies'!$A$4:$A$63&lt;&gt;"")*(COUNTIFS('Holdings'!$A$4:$A$2503,B969,'Holdings'!$J$4:$J$2503,'Companies'!$A$4:$A$63,'Holdings'!$L$4:$L$2503,"Yes",'Holdings'!$C$4:$C$2503,"&gt;0")&gt;0),'Companies'!$A$4:$A$63,"")))</f>
        <v/>
      </c>
      <c r="G969" s="30">
        <f>IF(A969="","",IF(COUNTIF('People'!$A$4:$A$1003,A969)=0,"Email not on People",IF(COUNTIF('Holders'!$A$4:$A$1003,B969)=0,"Unknown holder ID",IF(COUNTIFS($A$4:$A$1503,A969,$B$4:$B$1503,B969)&gt;1,"Duplicate link",IF(C969="","Missing access","OK")))))</f>
        <v/>
      </c>
    </row>
    <row r="970">
      <c r="A970" s="26" t="n"/>
      <c r="B970" s="26" t="n"/>
      <c r="C970" s="26" t="n"/>
      <c r="D970" s="26" t="n"/>
      <c r="E970" s="30">
        <f>IF(B970="","",IFERROR(INDEX('Holders'!$B$4:$B$1003,MATCH(B970,'Holders'!$A$4:$A$1003,0)),""))</f>
        <v/>
      </c>
      <c r="F970" s="30">
        <f t="array" ref="F970">IF(B970="","",_xlfn.TEXTJOIN(", ",TRUE,IF(('Companies'!$A$4:$A$63&lt;&gt;"")*(COUNTIFS('Holdings'!$A$4:$A$2503,B970,'Holdings'!$J$4:$J$2503,'Companies'!$A$4:$A$63,'Holdings'!$L$4:$L$2503,"Yes",'Holdings'!$C$4:$C$2503,"&gt;0")&gt;0),'Companies'!$A$4:$A$63,"")))</f>
        <v/>
      </c>
      <c r="G970" s="30">
        <f>IF(A970="","",IF(COUNTIF('People'!$A$4:$A$1003,A970)=0,"Email not on People",IF(COUNTIF('Holders'!$A$4:$A$1003,B970)=0,"Unknown holder ID",IF(COUNTIFS($A$4:$A$1503,A970,$B$4:$B$1503,B970)&gt;1,"Duplicate link",IF(C970="","Missing access","OK")))))</f>
        <v/>
      </c>
    </row>
    <row r="971">
      <c r="A971" s="26" t="n"/>
      <c r="B971" s="26" t="n"/>
      <c r="C971" s="26" t="n"/>
      <c r="D971" s="26" t="n"/>
      <c r="E971" s="30">
        <f>IF(B971="","",IFERROR(INDEX('Holders'!$B$4:$B$1003,MATCH(B971,'Holders'!$A$4:$A$1003,0)),""))</f>
        <v/>
      </c>
      <c r="F971" s="30">
        <f t="array" ref="F971">IF(B971="","",_xlfn.TEXTJOIN(", ",TRUE,IF(('Companies'!$A$4:$A$63&lt;&gt;"")*(COUNTIFS('Holdings'!$A$4:$A$2503,B971,'Holdings'!$J$4:$J$2503,'Companies'!$A$4:$A$63,'Holdings'!$L$4:$L$2503,"Yes",'Holdings'!$C$4:$C$2503,"&gt;0")&gt;0),'Companies'!$A$4:$A$63,"")))</f>
        <v/>
      </c>
      <c r="G971" s="30">
        <f>IF(A971="","",IF(COUNTIF('People'!$A$4:$A$1003,A971)=0,"Email not on People",IF(COUNTIF('Holders'!$A$4:$A$1003,B971)=0,"Unknown holder ID",IF(COUNTIFS($A$4:$A$1503,A971,$B$4:$B$1503,B971)&gt;1,"Duplicate link",IF(C971="","Missing access","OK")))))</f>
        <v/>
      </c>
    </row>
    <row r="972">
      <c r="A972" s="26" t="n"/>
      <c r="B972" s="26" t="n"/>
      <c r="C972" s="26" t="n"/>
      <c r="D972" s="26" t="n"/>
      <c r="E972" s="30">
        <f>IF(B972="","",IFERROR(INDEX('Holders'!$B$4:$B$1003,MATCH(B972,'Holders'!$A$4:$A$1003,0)),""))</f>
        <v/>
      </c>
      <c r="F972" s="30">
        <f t="array" ref="F972">IF(B972="","",_xlfn.TEXTJOIN(", ",TRUE,IF(('Companies'!$A$4:$A$63&lt;&gt;"")*(COUNTIFS('Holdings'!$A$4:$A$2503,B972,'Holdings'!$J$4:$J$2503,'Companies'!$A$4:$A$63,'Holdings'!$L$4:$L$2503,"Yes",'Holdings'!$C$4:$C$2503,"&gt;0")&gt;0),'Companies'!$A$4:$A$63,"")))</f>
        <v/>
      </c>
      <c r="G972" s="30">
        <f>IF(A972="","",IF(COUNTIF('People'!$A$4:$A$1003,A972)=0,"Email not on People",IF(COUNTIF('Holders'!$A$4:$A$1003,B972)=0,"Unknown holder ID",IF(COUNTIFS($A$4:$A$1503,A972,$B$4:$B$1503,B972)&gt;1,"Duplicate link",IF(C972="","Missing access","OK")))))</f>
        <v/>
      </c>
    </row>
    <row r="973">
      <c r="A973" s="26" t="n"/>
      <c r="B973" s="26" t="n"/>
      <c r="C973" s="26" t="n"/>
      <c r="D973" s="26" t="n"/>
      <c r="E973" s="30">
        <f>IF(B973="","",IFERROR(INDEX('Holders'!$B$4:$B$1003,MATCH(B973,'Holders'!$A$4:$A$1003,0)),""))</f>
        <v/>
      </c>
      <c r="F973" s="30">
        <f t="array" ref="F973">IF(B973="","",_xlfn.TEXTJOIN(", ",TRUE,IF(('Companies'!$A$4:$A$63&lt;&gt;"")*(COUNTIFS('Holdings'!$A$4:$A$2503,B973,'Holdings'!$J$4:$J$2503,'Companies'!$A$4:$A$63,'Holdings'!$L$4:$L$2503,"Yes",'Holdings'!$C$4:$C$2503,"&gt;0")&gt;0),'Companies'!$A$4:$A$63,"")))</f>
        <v/>
      </c>
      <c r="G973" s="30">
        <f>IF(A973="","",IF(COUNTIF('People'!$A$4:$A$1003,A973)=0,"Email not on People",IF(COUNTIF('Holders'!$A$4:$A$1003,B973)=0,"Unknown holder ID",IF(COUNTIFS($A$4:$A$1503,A973,$B$4:$B$1503,B973)&gt;1,"Duplicate link",IF(C973="","Missing access","OK")))))</f>
        <v/>
      </c>
    </row>
    <row r="974">
      <c r="A974" s="26" t="n"/>
      <c r="B974" s="26" t="n"/>
      <c r="C974" s="26" t="n"/>
      <c r="D974" s="26" t="n"/>
      <c r="E974" s="30">
        <f>IF(B974="","",IFERROR(INDEX('Holders'!$B$4:$B$1003,MATCH(B974,'Holders'!$A$4:$A$1003,0)),""))</f>
        <v/>
      </c>
      <c r="F974" s="30">
        <f t="array" ref="F974">IF(B974="","",_xlfn.TEXTJOIN(", ",TRUE,IF(('Companies'!$A$4:$A$63&lt;&gt;"")*(COUNTIFS('Holdings'!$A$4:$A$2503,B974,'Holdings'!$J$4:$J$2503,'Companies'!$A$4:$A$63,'Holdings'!$L$4:$L$2503,"Yes",'Holdings'!$C$4:$C$2503,"&gt;0")&gt;0),'Companies'!$A$4:$A$63,"")))</f>
        <v/>
      </c>
      <c r="G974" s="30">
        <f>IF(A974="","",IF(COUNTIF('People'!$A$4:$A$1003,A974)=0,"Email not on People",IF(COUNTIF('Holders'!$A$4:$A$1003,B974)=0,"Unknown holder ID",IF(COUNTIFS($A$4:$A$1503,A974,$B$4:$B$1503,B974)&gt;1,"Duplicate link",IF(C974="","Missing access","OK")))))</f>
        <v/>
      </c>
    </row>
    <row r="975">
      <c r="A975" s="26" t="n"/>
      <c r="B975" s="26" t="n"/>
      <c r="C975" s="26" t="n"/>
      <c r="D975" s="26" t="n"/>
      <c r="E975" s="30">
        <f>IF(B975="","",IFERROR(INDEX('Holders'!$B$4:$B$1003,MATCH(B975,'Holders'!$A$4:$A$1003,0)),""))</f>
        <v/>
      </c>
      <c r="F975" s="30">
        <f t="array" ref="F975">IF(B975="","",_xlfn.TEXTJOIN(", ",TRUE,IF(('Companies'!$A$4:$A$63&lt;&gt;"")*(COUNTIFS('Holdings'!$A$4:$A$2503,B975,'Holdings'!$J$4:$J$2503,'Companies'!$A$4:$A$63,'Holdings'!$L$4:$L$2503,"Yes",'Holdings'!$C$4:$C$2503,"&gt;0")&gt;0),'Companies'!$A$4:$A$63,"")))</f>
        <v/>
      </c>
      <c r="G975" s="30">
        <f>IF(A975="","",IF(COUNTIF('People'!$A$4:$A$1003,A975)=0,"Email not on People",IF(COUNTIF('Holders'!$A$4:$A$1003,B975)=0,"Unknown holder ID",IF(COUNTIFS($A$4:$A$1503,A975,$B$4:$B$1503,B975)&gt;1,"Duplicate link",IF(C975="","Missing access","OK")))))</f>
        <v/>
      </c>
    </row>
    <row r="976">
      <c r="A976" s="26" t="n"/>
      <c r="B976" s="26" t="n"/>
      <c r="C976" s="26" t="n"/>
      <c r="D976" s="26" t="n"/>
      <c r="E976" s="30">
        <f>IF(B976="","",IFERROR(INDEX('Holders'!$B$4:$B$1003,MATCH(B976,'Holders'!$A$4:$A$1003,0)),""))</f>
        <v/>
      </c>
      <c r="F976" s="30">
        <f t="array" ref="F976">IF(B976="","",_xlfn.TEXTJOIN(", ",TRUE,IF(('Companies'!$A$4:$A$63&lt;&gt;"")*(COUNTIFS('Holdings'!$A$4:$A$2503,B976,'Holdings'!$J$4:$J$2503,'Companies'!$A$4:$A$63,'Holdings'!$L$4:$L$2503,"Yes",'Holdings'!$C$4:$C$2503,"&gt;0")&gt;0),'Companies'!$A$4:$A$63,"")))</f>
        <v/>
      </c>
      <c r="G976" s="30">
        <f>IF(A976="","",IF(COUNTIF('People'!$A$4:$A$1003,A976)=0,"Email not on People",IF(COUNTIF('Holders'!$A$4:$A$1003,B976)=0,"Unknown holder ID",IF(COUNTIFS($A$4:$A$1503,A976,$B$4:$B$1503,B976)&gt;1,"Duplicate link",IF(C976="","Missing access","OK")))))</f>
        <v/>
      </c>
    </row>
    <row r="977">
      <c r="A977" s="26" t="n"/>
      <c r="B977" s="26" t="n"/>
      <c r="C977" s="26" t="n"/>
      <c r="D977" s="26" t="n"/>
      <c r="E977" s="30">
        <f>IF(B977="","",IFERROR(INDEX('Holders'!$B$4:$B$1003,MATCH(B977,'Holders'!$A$4:$A$1003,0)),""))</f>
        <v/>
      </c>
      <c r="F977" s="30">
        <f t="array" ref="F977">IF(B977="","",_xlfn.TEXTJOIN(", ",TRUE,IF(('Companies'!$A$4:$A$63&lt;&gt;"")*(COUNTIFS('Holdings'!$A$4:$A$2503,B977,'Holdings'!$J$4:$J$2503,'Companies'!$A$4:$A$63,'Holdings'!$L$4:$L$2503,"Yes",'Holdings'!$C$4:$C$2503,"&gt;0")&gt;0),'Companies'!$A$4:$A$63,"")))</f>
        <v/>
      </c>
      <c r="G977" s="30">
        <f>IF(A977="","",IF(COUNTIF('People'!$A$4:$A$1003,A977)=0,"Email not on People",IF(COUNTIF('Holders'!$A$4:$A$1003,B977)=0,"Unknown holder ID",IF(COUNTIFS($A$4:$A$1503,A977,$B$4:$B$1503,B977)&gt;1,"Duplicate link",IF(C977="","Missing access","OK")))))</f>
        <v/>
      </c>
    </row>
    <row r="978">
      <c r="A978" s="26" t="n"/>
      <c r="B978" s="26" t="n"/>
      <c r="C978" s="26" t="n"/>
      <c r="D978" s="26" t="n"/>
      <c r="E978" s="30">
        <f>IF(B978="","",IFERROR(INDEX('Holders'!$B$4:$B$1003,MATCH(B978,'Holders'!$A$4:$A$1003,0)),""))</f>
        <v/>
      </c>
      <c r="F978" s="30">
        <f t="array" ref="F978">IF(B978="","",_xlfn.TEXTJOIN(", ",TRUE,IF(('Companies'!$A$4:$A$63&lt;&gt;"")*(COUNTIFS('Holdings'!$A$4:$A$2503,B978,'Holdings'!$J$4:$J$2503,'Companies'!$A$4:$A$63,'Holdings'!$L$4:$L$2503,"Yes",'Holdings'!$C$4:$C$2503,"&gt;0")&gt;0),'Companies'!$A$4:$A$63,"")))</f>
        <v/>
      </c>
      <c r="G978" s="30">
        <f>IF(A978="","",IF(COUNTIF('People'!$A$4:$A$1003,A978)=0,"Email not on People",IF(COUNTIF('Holders'!$A$4:$A$1003,B978)=0,"Unknown holder ID",IF(COUNTIFS($A$4:$A$1503,A978,$B$4:$B$1503,B978)&gt;1,"Duplicate link",IF(C978="","Missing access","OK")))))</f>
        <v/>
      </c>
    </row>
    <row r="979">
      <c r="A979" s="26" t="n"/>
      <c r="B979" s="26" t="n"/>
      <c r="C979" s="26" t="n"/>
      <c r="D979" s="26" t="n"/>
      <c r="E979" s="30">
        <f>IF(B979="","",IFERROR(INDEX('Holders'!$B$4:$B$1003,MATCH(B979,'Holders'!$A$4:$A$1003,0)),""))</f>
        <v/>
      </c>
      <c r="F979" s="30">
        <f t="array" ref="F979">IF(B979="","",_xlfn.TEXTJOIN(", ",TRUE,IF(('Companies'!$A$4:$A$63&lt;&gt;"")*(COUNTIFS('Holdings'!$A$4:$A$2503,B979,'Holdings'!$J$4:$J$2503,'Companies'!$A$4:$A$63,'Holdings'!$L$4:$L$2503,"Yes",'Holdings'!$C$4:$C$2503,"&gt;0")&gt;0),'Companies'!$A$4:$A$63,"")))</f>
        <v/>
      </c>
      <c r="G979" s="30">
        <f>IF(A979="","",IF(COUNTIF('People'!$A$4:$A$1003,A979)=0,"Email not on People",IF(COUNTIF('Holders'!$A$4:$A$1003,B979)=0,"Unknown holder ID",IF(COUNTIFS($A$4:$A$1503,A979,$B$4:$B$1503,B979)&gt;1,"Duplicate link",IF(C979="","Missing access","OK")))))</f>
        <v/>
      </c>
    </row>
    <row r="980">
      <c r="A980" s="26" t="n"/>
      <c r="B980" s="26" t="n"/>
      <c r="C980" s="26" t="n"/>
      <c r="D980" s="26" t="n"/>
      <c r="E980" s="30">
        <f>IF(B980="","",IFERROR(INDEX('Holders'!$B$4:$B$1003,MATCH(B980,'Holders'!$A$4:$A$1003,0)),""))</f>
        <v/>
      </c>
      <c r="F980" s="30">
        <f t="array" ref="F980">IF(B980="","",_xlfn.TEXTJOIN(", ",TRUE,IF(('Companies'!$A$4:$A$63&lt;&gt;"")*(COUNTIFS('Holdings'!$A$4:$A$2503,B980,'Holdings'!$J$4:$J$2503,'Companies'!$A$4:$A$63,'Holdings'!$L$4:$L$2503,"Yes",'Holdings'!$C$4:$C$2503,"&gt;0")&gt;0),'Companies'!$A$4:$A$63,"")))</f>
        <v/>
      </c>
      <c r="G980" s="30">
        <f>IF(A980="","",IF(COUNTIF('People'!$A$4:$A$1003,A980)=0,"Email not on People",IF(COUNTIF('Holders'!$A$4:$A$1003,B980)=0,"Unknown holder ID",IF(COUNTIFS($A$4:$A$1503,A980,$B$4:$B$1503,B980)&gt;1,"Duplicate link",IF(C980="","Missing access","OK")))))</f>
        <v/>
      </c>
    </row>
    <row r="981">
      <c r="A981" s="26" t="n"/>
      <c r="B981" s="26" t="n"/>
      <c r="C981" s="26" t="n"/>
      <c r="D981" s="26" t="n"/>
      <c r="E981" s="30">
        <f>IF(B981="","",IFERROR(INDEX('Holders'!$B$4:$B$1003,MATCH(B981,'Holders'!$A$4:$A$1003,0)),""))</f>
        <v/>
      </c>
      <c r="F981" s="30">
        <f t="array" ref="F981">IF(B981="","",_xlfn.TEXTJOIN(", ",TRUE,IF(('Companies'!$A$4:$A$63&lt;&gt;"")*(COUNTIFS('Holdings'!$A$4:$A$2503,B981,'Holdings'!$J$4:$J$2503,'Companies'!$A$4:$A$63,'Holdings'!$L$4:$L$2503,"Yes",'Holdings'!$C$4:$C$2503,"&gt;0")&gt;0),'Companies'!$A$4:$A$63,"")))</f>
        <v/>
      </c>
      <c r="G981" s="30">
        <f>IF(A981="","",IF(COUNTIF('People'!$A$4:$A$1003,A981)=0,"Email not on People",IF(COUNTIF('Holders'!$A$4:$A$1003,B981)=0,"Unknown holder ID",IF(COUNTIFS($A$4:$A$1503,A981,$B$4:$B$1503,B981)&gt;1,"Duplicate link",IF(C981="","Missing access","OK")))))</f>
        <v/>
      </c>
    </row>
    <row r="982">
      <c r="A982" s="26" t="n"/>
      <c r="B982" s="26" t="n"/>
      <c r="C982" s="26" t="n"/>
      <c r="D982" s="26" t="n"/>
      <c r="E982" s="30">
        <f>IF(B982="","",IFERROR(INDEX('Holders'!$B$4:$B$1003,MATCH(B982,'Holders'!$A$4:$A$1003,0)),""))</f>
        <v/>
      </c>
      <c r="F982" s="30">
        <f t="array" ref="F982">IF(B982="","",_xlfn.TEXTJOIN(", ",TRUE,IF(('Companies'!$A$4:$A$63&lt;&gt;"")*(COUNTIFS('Holdings'!$A$4:$A$2503,B982,'Holdings'!$J$4:$J$2503,'Companies'!$A$4:$A$63,'Holdings'!$L$4:$L$2503,"Yes",'Holdings'!$C$4:$C$2503,"&gt;0")&gt;0),'Companies'!$A$4:$A$63,"")))</f>
        <v/>
      </c>
      <c r="G982" s="30">
        <f>IF(A982="","",IF(COUNTIF('People'!$A$4:$A$1003,A982)=0,"Email not on People",IF(COUNTIF('Holders'!$A$4:$A$1003,B982)=0,"Unknown holder ID",IF(COUNTIFS($A$4:$A$1503,A982,$B$4:$B$1503,B982)&gt;1,"Duplicate link",IF(C982="","Missing access","OK")))))</f>
        <v/>
      </c>
    </row>
    <row r="983">
      <c r="A983" s="26" t="n"/>
      <c r="B983" s="26" t="n"/>
      <c r="C983" s="26" t="n"/>
      <c r="D983" s="26" t="n"/>
      <c r="E983" s="30">
        <f>IF(B983="","",IFERROR(INDEX('Holders'!$B$4:$B$1003,MATCH(B983,'Holders'!$A$4:$A$1003,0)),""))</f>
        <v/>
      </c>
      <c r="F983" s="30">
        <f t="array" ref="F983">IF(B983="","",_xlfn.TEXTJOIN(", ",TRUE,IF(('Companies'!$A$4:$A$63&lt;&gt;"")*(COUNTIFS('Holdings'!$A$4:$A$2503,B983,'Holdings'!$J$4:$J$2503,'Companies'!$A$4:$A$63,'Holdings'!$L$4:$L$2503,"Yes",'Holdings'!$C$4:$C$2503,"&gt;0")&gt;0),'Companies'!$A$4:$A$63,"")))</f>
        <v/>
      </c>
      <c r="G983" s="30">
        <f>IF(A983="","",IF(COUNTIF('People'!$A$4:$A$1003,A983)=0,"Email not on People",IF(COUNTIF('Holders'!$A$4:$A$1003,B983)=0,"Unknown holder ID",IF(COUNTIFS($A$4:$A$1503,A983,$B$4:$B$1503,B983)&gt;1,"Duplicate link",IF(C983="","Missing access","OK")))))</f>
        <v/>
      </c>
    </row>
    <row r="984">
      <c r="A984" s="26" t="n"/>
      <c r="B984" s="26" t="n"/>
      <c r="C984" s="26" t="n"/>
      <c r="D984" s="26" t="n"/>
      <c r="E984" s="30">
        <f>IF(B984="","",IFERROR(INDEX('Holders'!$B$4:$B$1003,MATCH(B984,'Holders'!$A$4:$A$1003,0)),""))</f>
        <v/>
      </c>
      <c r="F984" s="30">
        <f t="array" ref="F984">IF(B984="","",_xlfn.TEXTJOIN(", ",TRUE,IF(('Companies'!$A$4:$A$63&lt;&gt;"")*(COUNTIFS('Holdings'!$A$4:$A$2503,B984,'Holdings'!$J$4:$J$2503,'Companies'!$A$4:$A$63,'Holdings'!$L$4:$L$2503,"Yes",'Holdings'!$C$4:$C$2503,"&gt;0")&gt;0),'Companies'!$A$4:$A$63,"")))</f>
        <v/>
      </c>
      <c r="G984" s="30">
        <f>IF(A984="","",IF(COUNTIF('People'!$A$4:$A$1003,A984)=0,"Email not on People",IF(COUNTIF('Holders'!$A$4:$A$1003,B984)=0,"Unknown holder ID",IF(COUNTIFS($A$4:$A$1503,A984,$B$4:$B$1503,B984)&gt;1,"Duplicate link",IF(C984="","Missing access","OK")))))</f>
        <v/>
      </c>
    </row>
    <row r="985">
      <c r="A985" s="26" t="n"/>
      <c r="B985" s="26" t="n"/>
      <c r="C985" s="26" t="n"/>
      <c r="D985" s="26" t="n"/>
      <c r="E985" s="30">
        <f>IF(B985="","",IFERROR(INDEX('Holders'!$B$4:$B$1003,MATCH(B985,'Holders'!$A$4:$A$1003,0)),""))</f>
        <v/>
      </c>
      <c r="F985" s="30">
        <f t="array" ref="F985">IF(B985="","",_xlfn.TEXTJOIN(", ",TRUE,IF(('Companies'!$A$4:$A$63&lt;&gt;"")*(COUNTIFS('Holdings'!$A$4:$A$2503,B985,'Holdings'!$J$4:$J$2503,'Companies'!$A$4:$A$63,'Holdings'!$L$4:$L$2503,"Yes",'Holdings'!$C$4:$C$2503,"&gt;0")&gt;0),'Companies'!$A$4:$A$63,"")))</f>
        <v/>
      </c>
      <c r="G985" s="30">
        <f>IF(A985="","",IF(COUNTIF('People'!$A$4:$A$1003,A985)=0,"Email not on People",IF(COUNTIF('Holders'!$A$4:$A$1003,B985)=0,"Unknown holder ID",IF(COUNTIFS($A$4:$A$1503,A985,$B$4:$B$1503,B985)&gt;1,"Duplicate link",IF(C985="","Missing access","OK")))))</f>
        <v/>
      </c>
    </row>
    <row r="986">
      <c r="A986" s="26" t="n"/>
      <c r="B986" s="26" t="n"/>
      <c r="C986" s="26" t="n"/>
      <c r="D986" s="26" t="n"/>
      <c r="E986" s="30">
        <f>IF(B986="","",IFERROR(INDEX('Holders'!$B$4:$B$1003,MATCH(B986,'Holders'!$A$4:$A$1003,0)),""))</f>
        <v/>
      </c>
      <c r="F986" s="30">
        <f t="array" ref="F986">IF(B986="","",_xlfn.TEXTJOIN(", ",TRUE,IF(('Companies'!$A$4:$A$63&lt;&gt;"")*(COUNTIFS('Holdings'!$A$4:$A$2503,B986,'Holdings'!$J$4:$J$2503,'Companies'!$A$4:$A$63,'Holdings'!$L$4:$L$2503,"Yes",'Holdings'!$C$4:$C$2503,"&gt;0")&gt;0),'Companies'!$A$4:$A$63,"")))</f>
        <v/>
      </c>
      <c r="G986" s="30">
        <f>IF(A986="","",IF(COUNTIF('People'!$A$4:$A$1003,A986)=0,"Email not on People",IF(COUNTIF('Holders'!$A$4:$A$1003,B986)=0,"Unknown holder ID",IF(COUNTIFS($A$4:$A$1503,A986,$B$4:$B$1503,B986)&gt;1,"Duplicate link",IF(C986="","Missing access","OK")))))</f>
        <v/>
      </c>
    </row>
    <row r="987">
      <c r="A987" s="26" t="n"/>
      <c r="B987" s="26" t="n"/>
      <c r="C987" s="26" t="n"/>
      <c r="D987" s="26" t="n"/>
      <c r="E987" s="30">
        <f>IF(B987="","",IFERROR(INDEX('Holders'!$B$4:$B$1003,MATCH(B987,'Holders'!$A$4:$A$1003,0)),""))</f>
        <v/>
      </c>
      <c r="F987" s="30">
        <f t="array" ref="F987">IF(B987="","",_xlfn.TEXTJOIN(", ",TRUE,IF(('Companies'!$A$4:$A$63&lt;&gt;"")*(COUNTIFS('Holdings'!$A$4:$A$2503,B987,'Holdings'!$J$4:$J$2503,'Companies'!$A$4:$A$63,'Holdings'!$L$4:$L$2503,"Yes",'Holdings'!$C$4:$C$2503,"&gt;0")&gt;0),'Companies'!$A$4:$A$63,"")))</f>
        <v/>
      </c>
      <c r="G987" s="30">
        <f>IF(A987="","",IF(COUNTIF('People'!$A$4:$A$1003,A987)=0,"Email not on People",IF(COUNTIF('Holders'!$A$4:$A$1003,B987)=0,"Unknown holder ID",IF(COUNTIFS($A$4:$A$1503,A987,$B$4:$B$1503,B987)&gt;1,"Duplicate link",IF(C987="","Missing access","OK")))))</f>
        <v/>
      </c>
    </row>
    <row r="988">
      <c r="A988" s="26" t="n"/>
      <c r="B988" s="26" t="n"/>
      <c r="C988" s="26" t="n"/>
      <c r="D988" s="26" t="n"/>
      <c r="E988" s="30">
        <f>IF(B988="","",IFERROR(INDEX('Holders'!$B$4:$B$1003,MATCH(B988,'Holders'!$A$4:$A$1003,0)),""))</f>
        <v/>
      </c>
      <c r="F988" s="30">
        <f t="array" ref="F988">IF(B988="","",_xlfn.TEXTJOIN(", ",TRUE,IF(('Companies'!$A$4:$A$63&lt;&gt;"")*(COUNTIFS('Holdings'!$A$4:$A$2503,B988,'Holdings'!$J$4:$J$2503,'Companies'!$A$4:$A$63,'Holdings'!$L$4:$L$2503,"Yes",'Holdings'!$C$4:$C$2503,"&gt;0")&gt;0),'Companies'!$A$4:$A$63,"")))</f>
        <v/>
      </c>
      <c r="G988" s="30">
        <f>IF(A988="","",IF(COUNTIF('People'!$A$4:$A$1003,A988)=0,"Email not on People",IF(COUNTIF('Holders'!$A$4:$A$1003,B988)=0,"Unknown holder ID",IF(COUNTIFS($A$4:$A$1503,A988,$B$4:$B$1503,B988)&gt;1,"Duplicate link",IF(C988="","Missing access","OK")))))</f>
        <v/>
      </c>
    </row>
    <row r="989">
      <c r="A989" s="26" t="n"/>
      <c r="B989" s="26" t="n"/>
      <c r="C989" s="26" t="n"/>
      <c r="D989" s="26" t="n"/>
      <c r="E989" s="30">
        <f>IF(B989="","",IFERROR(INDEX('Holders'!$B$4:$B$1003,MATCH(B989,'Holders'!$A$4:$A$1003,0)),""))</f>
        <v/>
      </c>
      <c r="F989" s="30">
        <f t="array" ref="F989">IF(B989="","",_xlfn.TEXTJOIN(", ",TRUE,IF(('Companies'!$A$4:$A$63&lt;&gt;"")*(COUNTIFS('Holdings'!$A$4:$A$2503,B989,'Holdings'!$J$4:$J$2503,'Companies'!$A$4:$A$63,'Holdings'!$L$4:$L$2503,"Yes",'Holdings'!$C$4:$C$2503,"&gt;0")&gt;0),'Companies'!$A$4:$A$63,"")))</f>
        <v/>
      </c>
      <c r="G989" s="30">
        <f>IF(A989="","",IF(COUNTIF('People'!$A$4:$A$1003,A989)=0,"Email not on People",IF(COUNTIF('Holders'!$A$4:$A$1003,B989)=0,"Unknown holder ID",IF(COUNTIFS($A$4:$A$1503,A989,$B$4:$B$1503,B989)&gt;1,"Duplicate link",IF(C989="","Missing access","OK")))))</f>
        <v/>
      </c>
    </row>
    <row r="990">
      <c r="A990" s="26" t="n"/>
      <c r="B990" s="26" t="n"/>
      <c r="C990" s="26" t="n"/>
      <c r="D990" s="26" t="n"/>
      <c r="E990" s="30">
        <f>IF(B990="","",IFERROR(INDEX('Holders'!$B$4:$B$1003,MATCH(B990,'Holders'!$A$4:$A$1003,0)),""))</f>
        <v/>
      </c>
      <c r="F990" s="30">
        <f t="array" ref="F990">IF(B990="","",_xlfn.TEXTJOIN(", ",TRUE,IF(('Companies'!$A$4:$A$63&lt;&gt;"")*(COUNTIFS('Holdings'!$A$4:$A$2503,B990,'Holdings'!$J$4:$J$2503,'Companies'!$A$4:$A$63,'Holdings'!$L$4:$L$2503,"Yes",'Holdings'!$C$4:$C$2503,"&gt;0")&gt;0),'Companies'!$A$4:$A$63,"")))</f>
        <v/>
      </c>
      <c r="G990" s="30">
        <f>IF(A990="","",IF(COUNTIF('People'!$A$4:$A$1003,A990)=0,"Email not on People",IF(COUNTIF('Holders'!$A$4:$A$1003,B990)=0,"Unknown holder ID",IF(COUNTIFS($A$4:$A$1503,A990,$B$4:$B$1503,B990)&gt;1,"Duplicate link",IF(C990="","Missing access","OK")))))</f>
        <v/>
      </c>
    </row>
    <row r="991">
      <c r="A991" s="26" t="n"/>
      <c r="B991" s="26" t="n"/>
      <c r="C991" s="26" t="n"/>
      <c r="D991" s="26" t="n"/>
      <c r="E991" s="30">
        <f>IF(B991="","",IFERROR(INDEX('Holders'!$B$4:$B$1003,MATCH(B991,'Holders'!$A$4:$A$1003,0)),""))</f>
        <v/>
      </c>
      <c r="F991" s="30">
        <f t="array" ref="F991">IF(B991="","",_xlfn.TEXTJOIN(", ",TRUE,IF(('Companies'!$A$4:$A$63&lt;&gt;"")*(COUNTIFS('Holdings'!$A$4:$A$2503,B991,'Holdings'!$J$4:$J$2503,'Companies'!$A$4:$A$63,'Holdings'!$L$4:$L$2503,"Yes",'Holdings'!$C$4:$C$2503,"&gt;0")&gt;0),'Companies'!$A$4:$A$63,"")))</f>
        <v/>
      </c>
      <c r="G991" s="30">
        <f>IF(A991="","",IF(COUNTIF('People'!$A$4:$A$1003,A991)=0,"Email not on People",IF(COUNTIF('Holders'!$A$4:$A$1003,B991)=0,"Unknown holder ID",IF(COUNTIFS($A$4:$A$1503,A991,$B$4:$B$1503,B991)&gt;1,"Duplicate link",IF(C991="","Missing access","OK")))))</f>
        <v/>
      </c>
    </row>
    <row r="992">
      <c r="A992" s="26" t="n"/>
      <c r="B992" s="26" t="n"/>
      <c r="C992" s="26" t="n"/>
      <c r="D992" s="26" t="n"/>
      <c r="E992" s="30">
        <f>IF(B992="","",IFERROR(INDEX('Holders'!$B$4:$B$1003,MATCH(B992,'Holders'!$A$4:$A$1003,0)),""))</f>
        <v/>
      </c>
      <c r="F992" s="30">
        <f t="array" ref="F992">IF(B992="","",_xlfn.TEXTJOIN(", ",TRUE,IF(('Companies'!$A$4:$A$63&lt;&gt;"")*(COUNTIFS('Holdings'!$A$4:$A$2503,B992,'Holdings'!$J$4:$J$2503,'Companies'!$A$4:$A$63,'Holdings'!$L$4:$L$2503,"Yes",'Holdings'!$C$4:$C$2503,"&gt;0")&gt;0),'Companies'!$A$4:$A$63,"")))</f>
        <v/>
      </c>
      <c r="G992" s="30">
        <f>IF(A992="","",IF(COUNTIF('People'!$A$4:$A$1003,A992)=0,"Email not on People",IF(COUNTIF('Holders'!$A$4:$A$1003,B992)=0,"Unknown holder ID",IF(COUNTIFS($A$4:$A$1503,A992,$B$4:$B$1503,B992)&gt;1,"Duplicate link",IF(C992="","Missing access","OK")))))</f>
        <v/>
      </c>
    </row>
    <row r="993">
      <c r="A993" s="26" t="n"/>
      <c r="B993" s="26" t="n"/>
      <c r="C993" s="26" t="n"/>
      <c r="D993" s="26" t="n"/>
      <c r="E993" s="30">
        <f>IF(B993="","",IFERROR(INDEX('Holders'!$B$4:$B$1003,MATCH(B993,'Holders'!$A$4:$A$1003,0)),""))</f>
        <v/>
      </c>
      <c r="F993" s="30">
        <f t="array" ref="F993">IF(B993="","",_xlfn.TEXTJOIN(", ",TRUE,IF(('Companies'!$A$4:$A$63&lt;&gt;"")*(COUNTIFS('Holdings'!$A$4:$A$2503,B993,'Holdings'!$J$4:$J$2503,'Companies'!$A$4:$A$63,'Holdings'!$L$4:$L$2503,"Yes",'Holdings'!$C$4:$C$2503,"&gt;0")&gt;0),'Companies'!$A$4:$A$63,"")))</f>
        <v/>
      </c>
      <c r="G993" s="30">
        <f>IF(A993="","",IF(COUNTIF('People'!$A$4:$A$1003,A993)=0,"Email not on People",IF(COUNTIF('Holders'!$A$4:$A$1003,B993)=0,"Unknown holder ID",IF(COUNTIFS($A$4:$A$1503,A993,$B$4:$B$1503,B993)&gt;1,"Duplicate link",IF(C993="","Missing access","OK")))))</f>
        <v/>
      </c>
    </row>
    <row r="994">
      <c r="A994" s="26" t="n"/>
      <c r="B994" s="26" t="n"/>
      <c r="C994" s="26" t="n"/>
      <c r="D994" s="26" t="n"/>
      <c r="E994" s="30">
        <f>IF(B994="","",IFERROR(INDEX('Holders'!$B$4:$B$1003,MATCH(B994,'Holders'!$A$4:$A$1003,0)),""))</f>
        <v/>
      </c>
      <c r="F994" s="30">
        <f t="array" ref="F994">IF(B994="","",_xlfn.TEXTJOIN(", ",TRUE,IF(('Companies'!$A$4:$A$63&lt;&gt;"")*(COUNTIFS('Holdings'!$A$4:$A$2503,B994,'Holdings'!$J$4:$J$2503,'Companies'!$A$4:$A$63,'Holdings'!$L$4:$L$2503,"Yes",'Holdings'!$C$4:$C$2503,"&gt;0")&gt;0),'Companies'!$A$4:$A$63,"")))</f>
        <v/>
      </c>
      <c r="G994" s="30">
        <f>IF(A994="","",IF(COUNTIF('People'!$A$4:$A$1003,A994)=0,"Email not on People",IF(COUNTIF('Holders'!$A$4:$A$1003,B994)=0,"Unknown holder ID",IF(COUNTIFS($A$4:$A$1503,A994,$B$4:$B$1503,B994)&gt;1,"Duplicate link",IF(C994="","Missing access","OK")))))</f>
        <v/>
      </c>
    </row>
    <row r="995">
      <c r="A995" s="26" t="n"/>
      <c r="B995" s="26" t="n"/>
      <c r="C995" s="26" t="n"/>
      <c r="D995" s="26" t="n"/>
      <c r="E995" s="30">
        <f>IF(B995="","",IFERROR(INDEX('Holders'!$B$4:$B$1003,MATCH(B995,'Holders'!$A$4:$A$1003,0)),""))</f>
        <v/>
      </c>
      <c r="F995" s="30">
        <f t="array" ref="F995">IF(B995="","",_xlfn.TEXTJOIN(", ",TRUE,IF(('Companies'!$A$4:$A$63&lt;&gt;"")*(COUNTIFS('Holdings'!$A$4:$A$2503,B995,'Holdings'!$J$4:$J$2503,'Companies'!$A$4:$A$63,'Holdings'!$L$4:$L$2503,"Yes",'Holdings'!$C$4:$C$2503,"&gt;0")&gt;0),'Companies'!$A$4:$A$63,"")))</f>
        <v/>
      </c>
      <c r="G995" s="30">
        <f>IF(A995="","",IF(COUNTIF('People'!$A$4:$A$1003,A995)=0,"Email not on People",IF(COUNTIF('Holders'!$A$4:$A$1003,B995)=0,"Unknown holder ID",IF(COUNTIFS($A$4:$A$1503,A995,$B$4:$B$1503,B995)&gt;1,"Duplicate link",IF(C995="","Missing access","OK")))))</f>
        <v/>
      </c>
    </row>
    <row r="996">
      <c r="A996" s="26" t="n"/>
      <c r="B996" s="26" t="n"/>
      <c r="C996" s="26" t="n"/>
      <c r="D996" s="26" t="n"/>
      <c r="E996" s="30">
        <f>IF(B996="","",IFERROR(INDEX('Holders'!$B$4:$B$1003,MATCH(B996,'Holders'!$A$4:$A$1003,0)),""))</f>
        <v/>
      </c>
      <c r="F996" s="30">
        <f t="array" ref="F996">IF(B996="","",_xlfn.TEXTJOIN(", ",TRUE,IF(('Companies'!$A$4:$A$63&lt;&gt;"")*(COUNTIFS('Holdings'!$A$4:$A$2503,B996,'Holdings'!$J$4:$J$2503,'Companies'!$A$4:$A$63,'Holdings'!$L$4:$L$2503,"Yes",'Holdings'!$C$4:$C$2503,"&gt;0")&gt;0),'Companies'!$A$4:$A$63,"")))</f>
        <v/>
      </c>
      <c r="G996" s="30">
        <f>IF(A996="","",IF(COUNTIF('People'!$A$4:$A$1003,A996)=0,"Email not on People",IF(COUNTIF('Holders'!$A$4:$A$1003,B996)=0,"Unknown holder ID",IF(COUNTIFS($A$4:$A$1503,A996,$B$4:$B$1503,B996)&gt;1,"Duplicate link",IF(C996="","Missing access","OK")))))</f>
        <v/>
      </c>
    </row>
    <row r="997">
      <c r="A997" s="26" t="n"/>
      <c r="B997" s="26" t="n"/>
      <c r="C997" s="26" t="n"/>
      <c r="D997" s="26" t="n"/>
      <c r="E997" s="30">
        <f>IF(B997="","",IFERROR(INDEX('Holders'!$B$4:$B$1003,MATCH(B997,'Holders'!$A$4:$A$1003,0)),""))</f>
        <v/>
      </c>
      <c r="F997" s="30">
        <f t="array" ref="F997">IF(B997="","",_xlfn.TEXTJOIN(", ",TRUE,IF(('Companies'!$A$4:$A$63&lt;&gt;"")*(COUNTIFS('Holdings'!$A$4:$A$2503,B997,'Holdings'!$J$4:$J$2503,'Companies'!$A$4:$A$63,'Holdings'!$L$4:$L$2503,"Yes",'Holdings'!$C$4:$C$2503,"&gt;0")&gt;0),'Companies'!$A$4:$A$63,"")))</f>
        <v/>
      </c>
      <c r="G997" s="30">
        <f>IF(A997="","",IF(COUNTIF('People'!$A$4:$A$1003,A997)=0,"Email not on People",IF(COUNTIF('Holders'!$A$4:$A$1003,B997)=0,"Unknown holder ID",IF(COUNTIFS($A$4:$A$1503,A997,$B$4:$B$1503,B997)&gt;1,"Duplicate link",IF(C997="","Missing access","OK")))))</f>
        <v/>
      </c>
    </row>
    <row r="998">
      <c r="A998" s="26" t="n"/>
      <c r="B998" s="26" t="n"/>
      <c r="C998" s="26" t="n"/>
      <c r="D998" s="26" t="n"/>
      <c r="E998" s="30">
        <f>IF(B998="","",IFERROR(INDEX('Holders'!$B$4:$B$1003,MATCH(B998,'Holders'!$A$4:$A$1003,0)),""))</f>
        <v/>
      </c>
      <c r="F998" s="30">
        <f t="array" ref="F998">IF(B998="","",_xlfn.TEXTJOIN(", ",TRUE,IF(('Companies'!$A$4:$A$63&lt;&gt;"")*(COUNTIFS('Holdings'!$A$4:$A$2503,B998,'Holdings'!$J$4:$J$2503,'Companies'!$A$4:$A$63,'Holdings'!$L$4:$L$2503,"Yes",'Holdings'!$C$4:$C$2503,"&gt;0")&gt;0),'Companies'!$A$4:$A$63,"")))</f>
        <v/>
      </c>
      <c r="G998" s="30">
        <f>IF(A998="","",IF(COUNTIF('People'!$A$4:$A$1003,A998)=0,"Email not on People",IF(COUNTIF('Holders'!$A$4:$A$1003,B998)=0,"Unknown holder ID",IF(COUNTIFS($A$4:$A$1503,A998,$B$4:$B$1503,B998)&gt;1,"Duplicate link",IF(C998="","Missing access","OK")))))</f>
        <v/>
      </c>
    </row>
    <row r="999">
      <c r="A999" s="26" t="n"/>
      <c r="B999" s="26" t="n"/>
      <c r="C999" s="26" t="n"/>
      <c r="D999" s="26" t="n"/>
      <c r="E999" s="30">
        <f>IF(B999="","",IFERROR(INDEX('Holders'!$B$4:$B$1003,MATCH(B999,'Holders'!$A$4:$A$1003,0)),""))</f>
        <v/>
      </c>
      <c r="F999" s="30">
        <f t="array" ref="F999">IF(B999="","",_xlfn.TEXTJOIN(", ",TRUE,IF(('Companies'!$A$4:$A$63&lt;&gt;"")*(COUNTIFS('Holdings'!$A$4:$A$2503,B999,'Holdings'!$J$4:$J$2503,'Companies'!$A$4:$A$63,'Holdings'!$L$4:$L$2503,"Yes",'Holdings'!$C$4:$C$2503,"&gt;0")&gt;0),'Companies'!$A$4:$A$63,"")))</f>
        <v/>
      </c>
      <c r="G999" s="30">
        <f>IF(A999="","",IF(COUNTIF('People'!$A$4:$A$1003,A999)=0,"Email not on People",IF(COUNTIF('Holders'!$A$4:$A$1003,B999)=0,"Unknown holder ID",IF(COUNTIFS($A$4:$A$1503,A999,$B$4:$B$1503,B999)&gt;1,"Duplicate link",IF(C999="","Missing access","OK")))))</f>
        <v/>
      </c>
    </row>
    <row r="1000">
      <c r="A1000" s="26" t="n"/>
      <c r="B1000" s="26" t="n"/>
      <c r="C1000" s="26" t="n"/>
      <c r="D1000" s="26" t="n"/>
      <c r="E1000" s="30">
        <f>IF(B1000="","",IFERROR(INDEX('Holders'!$B$4:$B$1003,MATCH(B1000,'Holders'!$A$4:$A$1003,0)),""))</f>
        <v/>
      </c>
      <c r="F1000" s="30">
        <f t="array" ref="F1000">IF(B1000="","",_xlfn.TEXTJOIN(", ",TRUE,IF(('Companies'!$A$4:$A$63&lt;&gt;"")*(COUNTIFS('Holdings'!$A$4:$A$2503,B1000,'Holdings'!$J$4:$J$2503,'Companies'!$A$4:$A$63,'Holdings'!$L$4:$L$2503,"Yes",'Holdings'!$C$4:$C$2503,"&gt;0")&gt;0),'Companies'!$A$4:$A$63,"")))</f>
        <v/>
      </c>
      <c r="G1000" s="30">
        <f>IF(A1000="","",IF(COUNTIF('People'!$A$4:$A$1003,A1000)=0,"Email not on People",IF(COUNTIF('Holders'!$A$4:$A$1003,B1000)=0,"Unknown holder ID",IF(COUNTIFS($A$4:$A$1503,A1000,$B$4:$B$1503,B1000)&gt;1,"Duplicate link",IF(C1000="","Missing access","OK")))))</f>
        <v/>
      </c>
    </row>
    <row r="1001">
      <c r="A1001" s="26" t="n"/>
      <c r="B1001" s="26" t="n"/>
      <c r="C1001" s="26" t="n"/>
      <c r="D1001" s="26" t="n"/>
      <c r="E1001" s="30">
        <f>IF(B1001="","",IFERROR(INDEX('Holders'!$B$4:$B$1003,MATCH(B1001,'Holders'!$A$4:$A$1003,0)),""))</f>
        <v/>
      </c>
      <c r="F1001" s="30">
        <f t="array" ref="F1001">IF(B1001="","",_xlfn.TEXTJOIN(", ",TRUE,IF(('Companies'!$A$4:$A$63&lt;&gt;"")*(COUNTIFS('Holdings'!$A$4:$A$2503,B1001,'Holdings'!$J$4:$J$2503,'Companies'!$A$4:$A$63,'Holdings'!$L$4:$L$2503,"Yes",'Holdings'!$C$4:$C$2503,"&gt;0")&gt;0),'Companies'!$A$4:$A$63,"")))</f>
        <v/>
      </c>
      <c r="G1001" s="30">
        <f>IF(A1001="","",IF(COUNTIF('People'!$A$4:$A$1003,A1001)=0,"Email not on People",IF(COUNTIF('Holders'!$A$4:$A$1003,B1001)=0,"Unknown holder ID",IF(COUNTIFS($A$4:$A$1503,A1001,$B$4:$B$1503,B1001)&gt;1,"Duplicate link",IF(C1001="","Missing access","OK")))))</f>
        <v/>
      </c>
    </row>
    <row r="1002">
      <c r="A1002" s="26" t="n"/>
      <c r="B1002" s="26" t="n"/>
      <c r="C1002" s="26" t="n"/>
      <c r="D1002" s="26" t="n"/>
      <c r="E1002" s="30">
        <f>IF(B1002="","",IFERROR(INDEX('Holders'!$B$4:$B$1003,MATCH(B1002,'Holders'!$A$4:$A$1003,0)),""))</f>
        <v/>
      </c>
      <c r="F1002" s="30">
        <f t="array" ref="F1002">IF(B1002="","",_xlfn.TEXTJOIN(", ",TRUE,IF(('Companies'!$A$4:$A$63&lt;&gt;"")*(COUNTIFS('Holdings'!$A$4:$A$2503,B1002,'Holdings'!$J$4:$J$2503,'Companies'!$A$4:$A$63,'Holdings'!$L$4:$L$2503,"Yes",'Holdings'!$C$4:$C$2503,"&gt;0")&gt;0),'Companies'!$A$4:$A$63,"")))</f>
        <v/>
      </c>
      <c r="G1002" s="30">
        <f>IF(A1002="","",IF(COUNTIF('People'!$A$4:$A$1003,A1002)=0,"Email not on People",IF(COUNTIF('Holders'!$A$4:$A$1003,B1002)=0,"Unknown holder ID",IF(COUNTIFS($A$4:$A$1503,A1002,$B$4:$B$1503,B1002)&gt;1,"Duplicate link",IF(C1002="","Missing access","OK")))))</f>
        <v/>
      </c>
    </row>
    <row r="1003">
      <c r="A1003" s="26" t="n"/>
      <c r="B1003" s="26" t="n"/>
      <c r="C1003" s="26" t="n"/>
      <c r="D1003" s="26" t="n"/>
      <c r="E1003" s="30">
        <f>IF(B1003="","",IFERROR(INDEX('Holders'!$B$4:$B$1003,MATCH(B1003,'Holders'!$A$4:$A$1003,0)),""))</f>
        <v/>
      </c>
      <c r="F1003" s="30">
        <f t="array" ref="F1003">IF(B1003="","",_xlfn.TEXTJOIN(", ",TRUE,IF(('Companies'!$A$4:$A$63&lt;&gt;"")*(COUNTIFS('Holdings'!$A$4:$A$2503,B1003,'Holdings'!$J$4:$J$2503,'Companies'!$A$4:$A$63,'Holdings'!$L$4:$L$2503,"Yes",'Holdings'!$C$4:$C$2503,"&gt;0")&gt;0),'Companies'!$A$4:$A$63,"")))</f>
        <v/>
      </c>
      <c r="G1003" s="30">
        <f>IF(A1003="","",IF(COUNTIF('People'!$A$4:$A$1003,A1003)=0,"Email not on People",IF(COUNTIF('Holders'!$A$4:$A$1003,B1003)=0,"Unknown holder ID",IF(COUNTIFS($A$4:$A$1503,A1003,$B$4:$B$1503,B1003)&gt;1,"Duplicate link",IF(C1003="","Missing access","OK")))))</f>
        <v/>
      </c>
    </row>
    <row r="1004">
      <c r="A1004" s="26" t="n"/>
      <c r="B1004" s="26" t="n"/>
      <c r="C1004" s="26" t="n"/>
      <c r="D1004" s="26" t="n"/>
      <c r="E1004" s="30">
        <f>IF(B1004="","",IFERROR(INDEX('Holders'!$B$4:$B$1003,MATCH(B1004,'Holders'!$A$4:$A$1003,0)),""))</f>
        <v/>
      </c>
      <c r="F1004" s="30">
        <f t="array" ref="F1004">IF(B1004="","",_xlfn.TEXTJOIN(", ",TRUE,IF(('Companies'!$A$4:$A$63&lt;&gt;"")*(COUNTIFS('Holdings'!$A$4:$A$2503,B1004,'Holdings'!$J$4:$J$2503,'Companies'!$A$4:$A$63,'Holdings'!$L$4:$L$2503,"Yes",'Holdings'!$C$4:$C$2503,"&gt;0")&gt;0),'Companies'!$A$4:$A$63,"")))</f>
        <v/>
      </c>
      <c r="G1004" s="30">
        <f>IF(A1004="","",IF(COUNTIF('People'!$A$4:$A$1003,A1004)=0,"Email not on People",IF(COUNTIF('Holders'!$A$4:$A$1003,B1004)=0,"Unknown holder ID",IF(COUNTIFS($A$4:$A$1503,A1004,$B$4:$B$1503,B1004)&gt;1,"Duplicate link",IF(C1004="","Missing access","OK")))))</f>
        <v/>
      </c>
    </row>
    <row r="1005">
      <c r="A1005" s="26" t="n"/>
      <c r="B1005" s="26" t="n"/>
      <c r="C1005" s="26" t="n"/>
      <c r="D1005" s="26" t="n"/>
      <c r="E1005" s="30">
        <f>IF(B1005="","",IFERROR(INDEX('Holders'!$B$4:$B$1003,MATCH(B1005,'Holders'!$A$4:$A$1003,0)),""))</f>
        <v/>
      </c>
      <c r="F1005" s="30">
        <f t="array" ref="F1005">IF(B1005="","",_xlfn.TEXTJOIN(", ",TRUE,IF(('Companies'!$A$4:$A$63&lt;&gt;"")*(COUNTIFS('Holdings'!$A$4:$A$2503,B1005,'Holdings'!$J$4:$J$2503,'Companies'!$A$4:$A$63,'Holdings'!$L$4:$L$2503,"Yes",'Holdings'!$C$4:$C$2503,"&gt;0")&gt;0),'Companies'!$A$4:$A$63,"")))</f>
        <v/>
      </c>
      <c r="G1005" s="30">
        <f>IF(A1005="","",IF(COUNTIF('People'!$A$4:$A$1003,A1005)=0,"Email not on People",IF(COUNTIF('Holders'!$A$4:$A$1003,B1005)=0,"Unknown holder ID",IF(COUNTIFS($A$4:$A$1503,A1005,$B$4:$B$1503,B1005)&gt;1,"Duplicate link",IF(C1005="","Missing access","OK")))))</f>
        <v/>
      </c>
    </row>
    <row r="1006">
      <c r="A1006" s="26" t="n"/>
      <c r="B1006" s="26" t="n"/>
      <c r="C1006" s="26" t="n"/>
      <c r="D1006" s="26" t="n"/>
      <c r="E1006" s="30">
        <f>IF(B1006="","",IFERROR(INDEX('Holders'!$B$4:$B$1003,MATCH(B1006,'Holders'!$A$4:$A$1003,0)),""))</f>
        <v/>
      </c>
      <c r="F1006" s="30">
        <f t="array" ref="F1006">IF(B1006="","",_xlfn.TEXTJOIN(", ",TRUE,IF(('Companies'!$A$4:$A$63&lt;&gt;"")*(COUNTIFS('Holdings'!$A$4:$A$2503,B1006,'Holdings'!$J$4:$J$2503,'Companies'!$A$4:$A$63,'Holdings'!$L$4:$L$2503,"Yes",'Holdings'!$C$4:$C$2503,"&gt;0")&gt;0),'Companies'!$A$4:$A$63,"")))</f>
        <v/>
      </c>
      <c r="G1006" s="30">
        <f>IF(A1006="","",IF(COUNTIF('People'!$A$4:$A$1003,A1006)=0,"Email not on People",IF(COUNTIF('Holders'!$A$4:$A$1003,B1006)=0,"Unknown holder ID",IF(COUNTIFS($A$4:$A$1503,A1006,$B$4:$B$1503,B1006)&gt;1,"Duplicate link",IF(C1006="","Missing access","OK")))))</f>
        <v/>
      </c>
    </row>
    <row r="1007">
      <c r="A1007" s="26" t="n"/>
      <c r="B1007" s="26" t="n"/>
      <c r="C1007" s="26" t="n"/>
      <c r="D1007" s="26" t="n"/>
      <c r="E1007" s="30">
        <f>IF(B1007="","",IFERROR(INDEX('Holders'!$B$4:$B$1003,MATCH(B1007,'Holders'!$A$4:$A$1003,0)),""))</f>
        <v/>
      </c>
      <c r="F1007" s="30">
        <f t="array" ref="F1007">IF(B1007="","",_xlfn.TEXTJOIN(", ",TRUE,IF(('Companies'!$A$4:$A$63&lt;&gt;"")*(COUNTIFS('Holdings'!$A$4:$A$2503,B1007,'Holdings'!$J$4:$J$2503,'Companies'!$A$4:$A$63,'Holdings'!$L$4:$L$2503,"Yes",'Holdings'!$C$4:$C$2503,"&gt;0")&gt;0),'Companies'!$A$4:$A$63,"")))</f>
        <v/>
      </c>
      <c r="G1007" s="30">
        <f>IF(A1007="","",IF(COUNTIF('People'!$A$4:$A$1003,A1007)=0,"Email not on People",IF(COUNTIF('Holders'!$A$4:$A$1003,B1007)=0,"Unknown holder ID",IF(COUNTIFS($A$4:$A$1503,A1007,$B$4:$B$1503,B1007)&gt;1,"Duplicate link",IF(C1007="","Missing access","OK")))))</f>
        <v/>
      </c>
    </row>
    <row r="1008">
      <c r="A1008" s="26" t="n"/>
      <c r="B1008" s="26" t="n"/>
      <c r="C1008" s="26" t="n"/>
      <c r="D1008" s="26" t="n"/>
      <c r="E1008" s="30">
        <f>IF(B1008="","",IFERROR(INDEX('Holders'!$B$4:$B$1003,MATCH(B1008,'Holders'!$A$4:$A$1003,0)),""))</f>
        <v/>
      </c>
      <c r="F1008" s="30">
        <f t="array" ref="F1008">IF(B1008="","",_xlfn.TEXTJOIN(", ",TRUE,IF(('Companies'!$A$4:$A$63&lt;&gt;"")*(COUNTIFS('Holdings'!$A$4:$A$2503,B1008,'Holdings'!$J$4:$J$2503,'Companies'!$A$4:$A$63,'Holdings'!$L$4:$L$2503,"Yes",'Holdings'!$C$4:$C$2503,"&gt;0")&gt;0),'Companies'!$A$4:$A$63,"")))</f>
        <v/>
      </c>
      <c r="G1008" s="30">
        <f>IF(A1008="","",IF(COUNTIF('People'!$A$4:$A$1003,A1008)=0,"Email not on People",IF(COUNTIF('Holders'!$A$4:$A$1003,B1008)=0,"Unknown holder ID",IF(COUNTIFS($A$4:$A$1503,A1008,$B$4:$B$1503,B1008)&gt;1,"Duplicate link",IF(C1008="","Missing access","OK")))))</f>
        <v/>
      </c>
    </row>
    <row r="1009">
      <c r="A1009" s="26" t="n"/>
      <c r="B1009" s="26" t="n"/>
      <c r="C1009" s="26" t="n"/>
      <c r="D1009" s="26" t="n"/>
      <c r="E1009" s="30">
        <f>IF(B1009="","",IFERROR(INDEX('Holders'!$B$4:$B$1003,MATCH(B1009,'Holders'!$A$4:$A$1003,0)),""))</f>
        <v/>
      </c>
      <c r="F1009" s="30">
        <f t="array" ref="F1009">IF(B1009="","",_xlfn.TEXTJOIN(", ",TRUE,IF(('Companies'!$A$4:$A$63&lt;&gt;"")*(COUNTIFS('Holdings'!$A$4:$A$2503,B1009,'Holdings'!$J$4:$J$2503,'Companies'!$A$4:$A$63,'Holdings'!$L$4:$L$2503,"Yes",'Holdings'!$C$4:$C$2503,"&gt;0")&gt;0),'Companies'!$A$4:$A$63,"")))</f>
        <v/>
      </c>
      <c r="G1009" s="30">
        <f>IF(A1009="","",IF(COUNTIF('People'!$A$4:$A$1003,A1009)=0,"Email not on People",IF(COUNTIF('Holders'!$A$4:$A$1003,B1009)=0,"Unknown holder ID",IF(COUNTIFS($A$4:$A$1503,A1009,$B$4:$B$1503,B1009)&gt;1,"Duplicate link",IF(C1009="","Missing access","OK")))))</f>
        <v/>
      </c>
    </row>
    <row r="1010">
      <c r="A1010" s="26" t="n"/>
      <c r="B1010" s="26" t="n"/>
      <c r="C1010" s="26" t="n"/>
      <c r="D1010" s="26" t="n"/>
      <c r="E1010" s="30">
        <f>IF(B1010="","",IFERROR(INDEX('Holders'!$B$4:$B$1003,MATCH(B1010,'Holders'!$A$4:$A$1003,0)),""))</f>
        <v/>
      </c>
      <c r="F1010" s="30">
        <f t="array" ref="F1010">IF(B1010="","",_xlfn.TEXTJOIN(", ",TRUE,IF(('Companies'!$A$4:$A$63&lt;&gt;"")*(COUNTIFS('Holdings'!$A$4:$A$2503,B1010,'Holdings'!$J$4:$J$2503,'Companies'!$A$4:$A$63,'Holdings'!$L$4:$L$2503,"Yes",'Holdings'!$C$4:$C$2503,"&gt;0")&gt;0),'Companies'!$A$4:$A$63,"")))</f>
        <v/>
      </c>
      <c r="G1010" s="30">
        <f>IF(A1010="","",IF(COUNTIF('People'!$A$4:$A$1003,A1010)=0,"Email not on People",IF(COUNTIF('Holders'!$A$4:$A$1003,B1010)=0,"Unknown holder ID",IF(COUNTIFS($A$4:$A$1503,A1010,$B$4:$B$1503,B1010)&gt;1,"Duplicate link",IF(C1010="","Missing access","OK")))))</f>
        <v/>
      </c>
    </row>
    <row r="1011">
      <c r="A1011" s="26" t="n"/>
      <c r="B1011" s="26" t="n"/>
      <c r="C1011" s="26" t="n"/>
      <c r="D1011" s="26" t="n"/>
      <c r="E1011" s="30">
        <f>IF(B1011="","",IFERROR(INDEX('Holders'!$B$4:$B$1003,MATCH(B1011,'Holders'!$A$4:$A$1003,0)),""))</f>
        <v/>
      </c>
      <c r="F1011" s="30">
        <f t="array" ref="F1011">IF(B1011="","",_xlfn.TEXTJOIN(", ",TRUE,IF(('Companies'!$A$4:$A$63&lt;&gt;"")*(COUNTIFS('Holdings'!$A$4:$A$2503,B1011,'Holdings'!$J$4:$J$2503,'Companies'!$A$4:$A$63,'Holdings'!$L$4:$L$2503,"Yes",'Holdings'!$C$4:$C$2503,"&gt;0")&gt;0),'Companies'!$A$4:$A$63,"")))</f>
        <v/>
      </c>
      <c r="G1011" s="30">
        <f>IF(A1011="","",IF(COUNTIF('People'!$A$4:$A$1003,A1011)=0,"Email not on People",IF(COUNTIF('Holders'!$A$4:$A$1003,B1011)=0,"Unknown holder ID",IF(COUNTIFS($A$4:$A$1503,A1011,$B$4:$B$1503,B1011)&gt;1,"Duplicate link",IF(C1011="","Missing access","OK")))))</f>
        <v/>
      </c>
    </row>
    <row r="1012">
      <c r="A1012" s="26" t="n"/>
      <c r="B1012" s="26" t="n"/>
      <c r="C1012" s="26" t="n"/>
      <c r="D1012" s="26" t="n"/>
      <c r="E1012" s="30">
        <f>IF(B1012="","",IFERROR(INDEX('Holders'!$B$4:$B$1003,MATCH(B1012,'Holders'!$A$4:$A$1003,0)),""))</f>
        <v/>
      </c>
      <c r="F1012" s="30">
        <f t="array" ref="F1012">IF(B1012="","",_xlfn.TEXTJOIN(", ",TRUE,IF(('Companies'!$A$4:$A$63&lt;&gt;"")*(COUNTIFS('Holdings'!$A$4:$A$2503,B1012,'Holdings'!$J$4:$J$2503,'Companies'!$A$4:$A$63,'Holdings'!$L$4:$L$2503,"Yes",'Holdings'!$C$4:$C$2503,"&gt;0")&gt;0),'Companies'!$A$4:$A$63,"")))</f>
        <v/>
      </c>
      <c r="G1012" s="30">
        <f>IF(A1012="","",IF(COUNTIF('People'!$A$4:$A$1003,A1012)=0,"Email not on People",IF(COUNTIF('Holders'!$A$4:$A$1003,B1012)=0,"Unknown holder ID",IF(COUNTIFS($A$4:$A$1503,A1012,$B$4:$B$1503,B1012)&gt;1,"Duplicate link",IF(C1012="","Missing access","OK")))))</f>
        <v/>
      </c>
    </row>
    <row r="1013">
      <c r="A1013" s="26" t="n"/>
      <c r="B1013" s="26" t="n"/>
      <c r="C1013" s="26" t="n"/>
      <c r="D1013" s="26" t="n"/>
      <c r="E1013" s="30">
        <f>IF(B1013="","",IFERROR(INDEX('Holders'!$B$4:$B$1003,MATCH(B1013,'Holders'!$A$4:$A$1003,0)),""))</f>
        <v/>
      </c>
      <c r="F1013" s="30">
        <f t="array" ref="F1013">IF(B1013="","",_xlfn.TEXTJOIN(", ",TRUE,IF(('Companies'!$A$4:$A$63&lt;&gt;"")*(COUNTIFS('Holdings'!$A$4:$A$2503,B1013,'Holdings'!$J$4:$J$2503,'Companies'!$A$4:$A$63,'Holdings'!$L$4:$L$2503,"Yes",'Holdings'!$C$4:$C$2503,"&gt;0")&gt;0),'Companies'!$A$4:$A$63,"")))</f>
        <v/>
      </c>
      <c r="G1013" s="30">
        <f>IF(A1013="","",IF(COUNTIF('People'!$A$4:$A$1003,A1013)=0,"Email not on People",IF(COUNTIF('Holders'!$A$4:$A$1003,B1013)=0,"Unknown holder ID",IF(COUNTIFS($A$4:$A$1503,A1013,$B$4:$B$1503,B1013)&gt;1,"Duplicate link",IF(C1013="","Missing access","OK")))))</f>
        <v/>
      </c>
    </row>
    <row r="1014">
      <c r="A1014" s="26" t="n"/>
      <c r="B1014" s="26" t="n"/>
      <c r="C1014" s="26" t="n"/>
      <c r="D1014" s="26" t="n"/>
      <c r="E1014" s="30">
        <f>IF(B1014="","",IFERROR(INDEX('Holders'!$B$4:$B$1003,MATCH(B1014,'Holders'!$A$4:$A$1003,0)),""))</f>
        <v/>
      </c>
      <c r="F1014" s="30">
        <f t="array" ref="F1014">IF(B1014="","",_xlfn.TEXTJOIN(", ",TRUE,IF(('Companies'!$A$4:$A$63&lt;&gt;"")*(COUNTIFS('Holdings'!$A$4:$A$2503,B1014,'Holdings'!$J$4:$J$2503,'Companies'!$A$4:$A$63,'Holdings'!$L$4:$L$2503,"Yes",'Holdings'!$C$4:$C$2503,"&gt;0")&gt;0),'Companies'!$A$4:$A$63,"")))</f>
        <v/>
      </c>
      <c r="G1014" s="30">
        <f>IF(A1014="","",IF(COUNTIF('People'!$A$4:$A$1003,A1014)=0,"Email not on People",IF(COUNTIF('Holders'!$A$4:$A$1003,B1014)=0,"Unknown holder ID",IF(COUNTIFS($A$4:$A$1503,A1014,$B$4:$B$1503,B1014)&gt;1,"Duplicate link",IF(C1014="","Missing access","OK")))))</f>
        <v/>
      </c>
    </row>
    <row r="1015">
      <c r="A1015" s="26" t="n"/>
      <c r="B1015" s="26" t="n"/>
      <c r="C1015" s="26" t="n"/>
      <c r="D1015" s="26" t="n"/>
      <c r="E1015" s="30">
        <f>IF(B1015="","",IFERROR(INDEX('Holders'!$B$4:$B$1003,MATCH(B1015,'Holders'!$A$4:$A$1003,0)),""))</f>
        <v/>
      </c>
      <c r="F1015" s="30">
        <f t="array" ref="F1015">IF(B1015="","",_xlfn.TEXTJOIN(", ",TRUE,IF(('Companies'!$A$4:$A$63&lt;&gt;"")*(COUNTIFS('Holdings'!$A$4:$A$2503,B1015,'Holdings'!$J$4:$J$2503,'Companies'!$A$4:$A$63,'Holdings'!$L$4:$L$2503,"Yes",'Holdings'!$C$4:$C$2503,"&gt;0")&gt;0),'Companies'!$A$4:$A$63,"")))</f>
        <v/>
      </c>
      <c r="G1015" s="30">
        <f>IF(A1015="","",IF(COUNTIF('People'!$A$4:$A$1003,A1015)=0,"Email not on People",IF(COUNTIF('Holders'!$A$4:$A$1003,B1015)=0,"Unknown holder ID",IF(COUNTIFS($A$4:$A$1503,A1015,$B$4:$B$1503,B1015)&gt;1,"Duplicate link",IF(C1015="","Missing access","OK")))))</f>
        <v/>
      </c>
    </row>
    <row r="1016">
      <c r="A1016" s="26" t="n"/>
      <c r="B1016" s="26" t="n"/>
      <c r="C1016" s="26" t="n"/>
      <c r="D1016" s="26" t="n"/>
      <c r="E1016" s="30">
        <f>IF(B1016="","",IFERROR(INDEX('Holders'!$B$4:$B$1003,MATCH(B1016,'Holders'!$A$4:$A$1003,0)),""))</f>
        <v/>
      </c>
      <c r="F1016" s="30">
        <f t="array" ref="F1016">IF(B1016="","",_xlfn.TEXTJOIN(", ",TRUE,IF(('Companies'!$A$4:$A$63&lt;&gt;"")*(COUNTIFS('Holdings'!$A$4:$A$2503,B1016,'Holdings'!$J$4:$J$2503,'Companies'!$A$4:$A$63,'Holdings'!$L$4:$L$2503,"Yes",'Holdings'!$C$4:$C$2503,"&gt;0")&gt;0),'Companies'!$A$4:$A$63,"")))</f>
        <v/>
      </c>
      <c r="G1016" s="30">
        <f>IF(A1016="","",IF(COUNTIF('People'!$A$4:$A$1003,A1016)=0,"Email not on People",IF(COUNTIF('Holders'!$A$4:$A$1003,B1016)=0,"Unknown holder ID",IF(COUNTIFS($A$4:$A$1503,A1016,$B$4:$B$1503,B1016)&gt;1,"Duplicate link",IF(C1016="","Missing access","OK")))))</f>
        <v/>
      </c>
    </row>
    <row r="1017">
      <c r="A1017" s="26" t="n"/>
      <c r="B1017" s="26" t="n"/>
      <c r="C1017" s="26" t="n"/>
      <c r="D1017" s="26" t="n"/>
      <c r="E1017" s="30">
        <f>IF(B1017="","",IFERROR(INDEX('Holders'!$B$4:$B$1003,MATCH(B1017,'Holders'!$A$4:$A$1003,0)),""))</f>
        <v/>
      </c>
      <c r="F1017" s="30">
        <f t="array" ref="F1017">IF(B1017="","",_xlfn.TEXTJOIN(", ",TRUE,IF(('Companies'!$A$4:$A$63&lt;&gt;"")*(COUNTIFS('Holdings'!$A$4:$A$2503,B1017,'Holdings'!$J$4:$J$2503,'Companies'!$A$4:$A$63,'Holdings'!$L$4:$L$2503,"Yes",'Holdings'!$C$4:$C$2503,"&gt;0")&gt;0),'Companies'!$A$4:$A$63,"")))</f>
        <v/>
      </c>
      <c r="G1017" s="30">
        <f>IF(A1017="","",IF(COUNTIF('People'!$A$4:$A$1003,A1017)=0,"Email not on People",IF(COUNTIF('Holders'!$A$4:$A$1003,B1017)=0,"Unknown holder ID",IF(COUNTIFS($A$4:$A$1503,A1017,$B$4:$B$1503,B1017)&gt;1,"Duplicate link",IF(C1017="","Missing access","OK")))))</f>
        <v/>
      </c>
    </row>
    <row r="1018">
      <c r="A1018" s="26" t="n"/>
      <c r="B1018" s="26" t="n"/>
      <c r="C1018" s="26" t="n"/>
      <c r="D1018" s="26" t="n"/>
      <c r="E1018" s="30">
        <f>IF(B1018="","",IFERROR(INDEX('Holders'!$B$4:$B$1003,MATCH(B1018,'Holders'!$A$4:$A$1003,0)),""))</f>
        <v/>
      </c>
      <c r="F1018" s="30">
        <f t="array" ref="F1018">IF(B1018="","",_xlfn.TEXTJOIN(", ",TRUE,IF(('Companies'!$A$4:$A$63&lt;&gt;"")*(COUNTIFS('Holdings'!$A$4:$A$2503,B1018,'Holdings'!$J$4:$J$2503,'Companies'!$A$4:$A$63,'Holdings'!$L$4:$L$2503,"Yes",'Holdings'!$C$4:$C$2503,"&gt;0")&gt;0),'Companies'!$A$4:$A$63,"")))</f>
        <v/>
      </c>
      <c r="G1018" s="30">
        <f>IF(A1018="","",IF(COUNTIF('People'!$A$4:$A$1003,A1018)=0,"Email not on People",IF(COUNTIF('Holders'!$A$4:$A$1003,B1018)=0,"Unknown holder ID",IF(COUNTIFS($A$4:$A$1503,A1018,$B$4:$B$1503,B1018)&gt;1,"Duplicate link",IF(C1018="","Missing access","OK")))))</f>
        <v/>
      </c>
    </row>
    <row r="1019">
      <c r="A1019" s="26" t="n"/>
      <c r="B1019" s="26" t="n"/>
      <c r="C1019" s="26" t="n"/>
      <c r="D1019" s="26" t="n"/>
      <c r="E1019" s="30">
        <f>IF(B1019="","",IFERROR(INDEX('Holders'!$B$4:$B$1003,MATCH(B1019,'Holders'!$A$4:$A$1003,0)),""))</f>
        <v/>
      </c>
      <c r="F1019" s="30">
        <f t="array" ref="F1019">IF(B1019="","",_xlfn.TEXTJOIN(", ",TRUE,IF(('Companies'!$A$4:$A$63&lt;&gt;"")*(COUNTIFS('Holdings'!$A$4:$A$2503,B1019,'Holdings'!$J$4:$J$2503,'Companies'!$A$4:$A$63,'Holdings'!$L$4:$L$2503,"Yes",'Holdings'!$C$4:$C$2503,"&gt;0")&gt;0),'Companies'!$A$4:$A$63,"")))</f>
        <v/>
      </c>
      <c r="G1019" s="30">
        <f>IF(A1019="","",IF(COUNTIF('People'!$A$4:$A$1003,A1019)=0,"Email not on People",IF(COUNTIF('Holders'!$A$4:$A$1003,B1019)=0,"Unknown holder ID",IF(COUNTIFS($A$4:$A$1503,A1019,$B$4:$B$1503,B1019)&gt;1,"Duplicate link",IF(C1019="","Missing access","OK")))))</f>
        <v/>
      </c>
    </row>
    <row r="1020">
      <c r="A1020" s="26" t="n"/>
      <c r="B1020" s="26" t="n"/>
      <c r="C1020" s="26" t="n"/>
      <c r="D1020" s="26" t="n"/>
      <c r="E1020" s="30">
        <f>IF(B1020="","",IFERROR(INDEX('Holders'!$B$4:$B$1003,MATCH(B1020,'Holders'!$A$4:$A$1003,0)),""))</f>
        <v/>
      </c>
      <c r="F1020" s="30">
        <f t="array" ref="F1020">IF(B1020="","",_xlfn.TEXTJOIN(", ",TRUE,IF(('Companies'!$A$4:$A$63&lt;&gt;"")*(COUNTIFS('Holdings'!$A$4:$A$2503,B1020,'Holdings'!$J$4:$J$2503,'Companies'!$A$4:$A$63,'Holdings'!$L$4:$L$2503,"Yes",'Holdings'!$C$4:$C$2503,"&gt;0")&gt;0),'Companies'!$A$4:$A$63,"")))</f>
        <v/>
      </c>
      <c r="G1020" s="30">
        <f>IF(A1020="","",IF(COUNTIF('People'!$A$4:$A$1003,A1020)=0,"Email not on People",IF(COUNTIF('Holders'!$A$4:$A$1003,B1020)=0,"Unknown holder ID",IF(COUNTIFS($A$4:$A$1503,A1020,$B$4:$B$1503,B1020)&gt;1,"Duplicate link",IF(C1020="","Missing access","OK")))))</f>
        <v/>
      </c>
    </row>
    <row r="1021">
      <c r="A1021" s="26" t="n"/>
      <c r="B1021" s="26" t="n"/>
      <c r="C1021" s="26" t="n"/>
      <c r="D1021" s="26" t="n"/>
      <c r="E1021" s="30">
        <f>IF(B1021="","",IFERROR(INDEX('Holders'!$B$4:$B$1003,MATCH(B1021,'Holders'!$A$4:$A$1003,0)),""))</f>
        <v/>
      </c>
      <c r="F1021" s="30">
        <f t="array" ref="F1021">IF(B1021="","",_xlfn.TEXTJOIN(", ",TRUE,IF(('Companies'!$A$4:$A$63&lt;&gt;"")*(COUNTIFS('Holdings'!$A$4:$A$2503,B1021,'Holdings'!$J$4:$J$2503,'Companies'!$A$4:$A$63,'Holdings'!$L$4:$L$2503,"Yes",'Holdings'!$C$4:$C$2503,"&gt;0")&gt;0),'Companies'!$A$4:$A$63,"")))</f>
        <v/>
      </c>
      <c r="G1021" s="30">
        <f>IF(A1021="","",IF(COUNTIF('People'!$A$4:$A$1003,A1021)=0,"Email not on People",IF(COUNTIF('Holders'!$A$4:$A$1003,B1021)=0,"Unknown holder ID",IF(COUNTIFS($A$4:$A$1503,A1021,$B$4:$B$1503,B1021)&gt;1,"Duplicate link",IF(C1021="","Missing access","OK")))))</f>
        <v/>
      </c>
    </row>
    <row r="1022">
      <c r="A1022" s="26" t="n"/>
      <c r="B1022" s="26" t="n"/>
      <c r="C1022" s="26" t="n"/>
      <c r="D1022" s="26" t="n"/>
      <c r="E1022" s="30">
        <f>IF(B1022="","",IFERROR(INDEX('Holders'!$B$4:$B$1003,MATCH(B1022,'Holders'!$A$4:$A$1003,0)),""))</f>
        <v/>
      </c>
      <c r="F1022" s="30">
        <f t="array" ref="F1022">IF(B1022="","",_xlfn.TEXTJOIN(", ",TRUE,IF(('Companies'!$A$4:$A$63&lt;&gt;"")*(COUNTIFS('Holdings'!$A$4:$A$2503,B1022,'Holdings'!$J$4:$J$2503,'Companies'!$A$4:$A$63,'Holdings'!$L$4:$L$2503,"Yes",'Holdings'!$C$4:$C$2503,"&gt;0")&gt;0),'Companies'!$A$4:$A$63,"")))</f>
        <v/>
      </c>
      <c r="G1022" s="30">
        <f>IF(A1022="","",IF(COUNTIF('People'!$A$4:$A$1003,A1022)=0,"Email not on People",IF(COUNTIF('Holders'!$A$4:$A$1003,B1022)=0,"Unknown holder ID",IF(COUNTIFS($A$4:$A$1503,A1022,$B$4:$B$1503,B1022)&gt;1,"Duplicate link",IF(C1022="","Missing access","OK")))))</f>
        <v/>
      </c>
    </row>
    <row r="1023">
      <c r="A1023" s="26" t="n"/>
      <c r="B1023" s="26" t="n"/>
      <c r="C1023" s="26" t="n"/>
      <c r="D1023" s="26" t="n"/>
      <c r="E1023" s="30">
        <f>IF(B1023="","",IFERROR(INDEX('Holders'!$B$4:$B$1003,MATCH(B1023,'Holders'!$A$4:$A$1003,0)),""))</f>
        <v/>
      </c>
      <c r="F1023" s="30">
        <f t="array" ref="F1023">IF(B1023="","",_xlfn.TEXTJOIN(", ",TRUE,IF(('Companies'!$A$4:$A$63&lt;&gt;"")*(COUNTIFS('Holdings'!$A$4:$A$2503,B1023,'Holdings'!$J$4:$J$2503,'Companies'!$A$4:$A$63,'Holdings'!$L$4:$L$2503,"Yes",'Holdings'!$C$4:$C$2503,"&gt;0")&gt;0),'Companies'!$A$4:$A$63,"")))</f>
        <v/>
      </c>
      <c r="G1023" s="30">
        <f>IF(A1023="","",IF(COUNTIF('People'!$A$4:$A$1003,A1023)=0,"Email not on People",IF(COUNTIF('Holders'!$A$4:$A$1003,B1023)=0,"Unknown holder ID",IF(COUNTIFS($A$4:$A$1503,A1023,$B$4:$B$1503,B1023)&gt;1,"Duplicate link",IF(C1023="","Missing access","OK")))))</f>
        <v/>
      </c>
    </row>
    <row r="1024">
      <c r="A1024" s="26" t="n"/>
      <c r="B1024" s="26" t="n"/>
      <c r="C1024" s="26" t="n"/>
      <c r="D1024" s="26" t="n"/>
      <c r="E1024" s="30">
        <f>IF(B1024="","",IFERROR(INDEX('Holders'!$B$4:$B$1003,MATCH(B1024,'Holders'!$A$4:$A$1003,0)),""))</f>
        <v/>
      </c>
      <c r="F1024" s="30">
        <f t="array" ref="F1024">IF(B1024="","",_xlfn.TEXTJOIN(", ",TRUE,IF(('Companies'!$A$4:$A$63&lt;&gt;"")*(COUNTIFS('Holdings'!$A$4:$A$2503,B1024,'Holdings'!$J$4:$J$2503,'Companies'!$A$4:$A$63,'Holdings'!$L$4:$L$2503,"Yes",'Holdings'!$C$4:$C$2503,"&gt;0")&gt;0),'Companies'!$A$4:$A$63,"")))</f>
        <v/>
      </c>
      <c r="G1024" s="30">
        <f>IF(A1024="","",IF(COUNTIF('People'!$A$4:$A$1003,A1024)=0,"Email not on People",IF(COUNTIF('Holders'!$A$4:$A$1003,B1024)=0,"Unknown holder ID",IF(COUNTIFS($A$4:$A$1503,A1024,$B$4:$B$1503,B1024)&gt;1,"Duplicate link",IF(C1024="","Missing access","OK")))))</f>
        <v/>
      </c>
    </row>
    <row r="1025">
      <c r="A1025" s="26" t="n"/>
      <c r="B1025" s="26" t="n"/>
      <c r="C1025" s="26" t="n"/>
      <c r="D1025" s="26" t="n"/>
      <c r="E1025" s="30">
        <f>IF(B1025="","",IFERROR(INDEX('Holders'!$B$4:$B$1003,MATCH(B1025,'Holders'!$A$4:$A$1003,0)),""))</f>
        <v/>
      </c>
      <c r="F1025" s="30">
        <f t="array" ref="F1025">IF(B1025="","",_xlfn.TEXTJOIN(", ",TRUE,IF(('Companies'!$A$4:$A$63&lt;&gt;"")*(COUNTIFS('Holdings'!$A$4:$A$2503,B1025,'Holdings'!$J$4:$J$2503,'Companies'!$A$4:$A$63,'Holdings'!$L$4:$L$2503,"Yes",'Holdings'!$C$4:$C$2503,"&gt;0")&gt;0),'Companies'!$A$4:$A$63,"")))</f>
        <v/>
      </c>
      <c r="G1025" s="30">
        <f>IF(A1025="","",IF(COUNTIF('People'!$A$4:$A$1003,A1025)=0,"Email not on People",IF(COUNTIF('Holders'!$A$4:$A$1003,B1025)=0,"Unknown holder ID",IF(COUNTIFS($A$4:$A$1503,A1025,$B$4:$B$1503,B1025)&gt;1,"Duplicate link",IF(C1025="","Missing access","OK")))))</f>
        <v/>
      </c>
    </row>
    <row r="1026">
      <c r="A1026" s="26" t="n"/>
      <c r="B1026" s="26" t="n"/>
      <c r="C1026" s="26" t="n"/>
      <c r="D1026" s="26" t="n"/>
      <c r="E1026" s="30">
        <f>IF(B1026="","",IFERROR(INDEX('Holders'!$B$4:$B$1003,MATCH(B1026,'Holders'!$A$4:$A$1003,0)),""))</f>
        <v/>
      </c>
      <c r="F1026" s="30">
        <f t="array" ref="F1026">IF(B1026="","",_xlfn.TEXTJOIN(", ",TRUE,IF(('Companies'!$A$4:$A$63&lt;&gt;"")*(COUNTIFS('Holdings'!$A$4:$A$2503,B1026,'Holdings'!$J$4:$J$2503,'Companies'!$A$4:$A$63,'Holdings'!$L$4:$L$2503,"Yes",'Holdings'!$C$4:$C$2503,"&gt;0")&gt;0),'Companies'!$A$4:$A$63,"")))</f>
        <v/>
      </c>
      <c r="G1026" s="30">
        <f>IF(A1026="","",IF(COUNTIF('People'!$A$4:$A$1003,A1026)=0,"Email not on People",IF(COUNTIF('Holders'!$A$4:$A$1003,B1026)=0,"Unknown holder ID",IF(COUNTIFS($A$4:$A$1503,A1026,$B$4:$B$1503,B1026)&gt;1,"Duplicate link",IF(C1026="","Missing access","OK")))))</f>
        <v/>
      </c>
    </row>
    <row r="1027">
      <c r="A1027" s="26" t="n"/>
      <c r="B1027" s="26" t="n"/>
      <c r="C1027" s="26" t="n"/>
      <c r="D1027" s="26" t="n"/>
      <c r="E1027" s="30">
        <f>IF(B1027="","",IFERROR(INDEX('Holders'!$B$4:$B$1003,MATCH(B1027,'Holders'!$A$4:$A$1003,0)),""))</f>
        <v/>
      </c>
      <c r="F1027" s="30">
        <f t="array" ref="F1027">IF(B1027="","",_xlfn.TEXTJOIN(", ",TRUE,IF(('Companies'!$A$4:$A$63&lt;&gt;"")*(COUNTIFS('Holdings'!$A$4:$A$2503,B1027,'Holdings'!$J$4:$J$2503,'Companies'!$A$4:$A$63,'Holdings'!$L$4:$L$2503,"Yes",'Holdings'!$C$4:$C$2503,"&gt;0")&gt;0),'Companies'!$A$4:$A$63,"")))</f>
        <v/>
      </c>
      <c r="G1027" s="30">
        <f>IF(A1027="","",IF(COUNTIF('People'!$A$4:$A$1003,A1027)=0,"Email not on People",IF(COUNTIF('Holders'!$A$4:$A$1003,B1027)=0,"Unknown holder ID",IF(COUNTIFS($A$4:$A$1503,A1027,$B$4:$B$1503,B1027)&gt;1,"Duplicate link",IF(C1027="","Missing access","OK")))))</f>
        <v/>
      </c>
    </row>
    <row r="1028">
      <c r="A1028" s="26" t="n"/>
      <c r="B1028" s="26" t="n"/>
      <c r="C1028" s="26" t="n"/>
      <c r="D1028" s="26" t="n"/>
      <c r="E1028" s="30">
        <f>IF(B1028="","",IFERROR(INDEX('Holders'!$B$4:$B$1003,MATCH(B1028,'Holders'!$A$4:$A$1003,0)),""))</f>
        <v/>
      </c>
      <c r="F1028" s="30">
        <f t="array" ref="F1028">IF(B1028="","",_xlfn.TEXTJOIN(", ",TRUE,IF(('Companies'!$A$4:$A$63&lt;&gt;"")*(COUNTIFS('Holdings'!$A$4:$A$2503,B1028,'Holdings'!$J$4:$J$2503,'Companies'!$A$4:$A$63,'Holdings'!$L$4:$L$2503,"Yes",'Holdings'!$C$4:$C$2503,"&gt;0")&gt;0),'Companies'!$A$4:$A$63,"")))</f>
        <v/>
      </c>
      <c r="G1028" s="30">
        <f>IF(A1028="","",IF(COUNTIF('People'!$A$4:$A$1003,A1028)=0,"Email not on People",IF(COUNTIF('Holders'!$A$4:$A$1003,B1028)=0,"Unknown holder ID",IF(COUNTIFS($A$4:$A$1503,A1028,$B$4:$B$1503,B1028)&gt;1,"Duplicate link",IF(C1028="","Missing access","OK")))))</f>
        <v/>
      </c>
    </row>
    <row r="1029">
      <c r="A1029" s="26" t="n"/>
      <c r="B1029" s="26" t="n"/>
      <c r="C1029" s="26" t="n"/>
      <c r="D1029" s="26" t="n"/>
      <c r="E1029" s="30">
        <f>IF(B1029="","",IFERROR(INDEX('Holders'!$B$4:$B$1003,MATCH(B1029,'Holders'!$A$4:$A$1003,0)),""))</f>
        <v/>
      </c>
      <c r="F1029" s="30">
        <f t="array" ref="F1029">IF(B1029="","",_xlfn.TEXTJOIN(", ",TRUE,IF(('Companies'!$A$4:$A$63&lt;&gt;"")*(COUNTIFS('Holdings'!$A$4:$A$2503,B1029,'Holdings'!$J$4:$J$2503,'Companies'!$A$4:$A$63,'Holdings'!$L$4:$L$2503,"Yes",'Holdings'!$C$4:$C$2503,"&gt;0")&gt;0),'Companies'!$A$4:$A$63,"")))</f>
        <v/>
      </c>
      <c r="G1029" s="30">
        <f>IF(A1029="","",IF(COUNTIF('People'!$A$4:$A$1003,A1029)=0,"Email not on People",IF(COUNTIF('Holders'!$A$4:$A$1003,B1029)=0,"Unknown holder ID",IF(COUNTIFS($A$4:$A$1503,A1029,$B$4:$B$1503,B1029)&gt;1,"Duplicate link",IF(C1029="","Missing access","OK")))))</f>
        <v/>
      </c>
    </row>
    <row r="1030">
      <c r="A1030" s="26" t="n"/>
      <c r="B1030" s="26" t="n"/>
      <c r="C1030" s="26" t="n"/>
      <c r="D1030" s="26" t="n"/>
      <c r="E1030" s="30">
        <f>IF(B1030="","",IFERROR(INDEX('Holders'!$B$4:$B$1003,MATCH(B1030,'Holders'!$A$4:$A$1003,0)),""))</f>
        <v/>
      </c>
      <c r="F1030" s="30">
        <f t="array" ref="F1030">IF(B1030="","",_xlfn.TEXTJOIN(", ",TRUE,IF(('Companies'!$A$4:$A$63&lt;&gt;"")*(COUNTIFS('Holdings'!$A$4:$A$2503,B1030,'Holdings'!$J$4:$J$2503,'Companies'!$A$4:$A$63,'Holdings'!$L$4:$L$2503,"Yes",'Holdings'!$C$4:$C$2503,"&gt;0")&gt;0),'Companies'!$A$4:$A$63,"")))</f>
        <v/>
      </c>
      <c r="G1030" s="30">
        <f>IF(A1030="","",IF(COUNTIF('People'!$A$4:$A$1003,A1030)=0,"Email not on People",IF(COUNTIF('Holders'!$A$4:$A$1003,B1030)=0,"Unknown holder ID",IF(COUNTIFS($A$4:$A$1503,A1030,$B$4:$B$1503,B1030)&gt;1,"Duplicate link",IF(C1030="","Missing access","OK")))))</f>
        <v/>
      </c>
    </row>
    <row r="1031">
      <c r="A1031" s="26" t="n"/>
      <c r="B1031" s="26" t="n"/>
      <c r="C1031" s="26" t="n"/>
      <c r="D1031" s="26" t="n"/>
      <c r="E1031" s="30">
        <f>IF(B1031="","",IFERROR(INDEX('Holders'!$B$4:$B$1003,MATCH(B1031,'Holders'!$A$4:$A$1003,0)),""))</f>
        <v/>
      </c>
      <c r="F1031" s="30">
        <f t="array" ref="F1031">IF(B1031="","",_xlfn.TEXTJOIN(", ",TRUE,IF(('Companies'!$A$4:$A$63&lt;&gt;"")*(COUNTIFS('Holdings'!$A$4:$A$2503,B1031,'Holdings'!$J$4:$J$2503,'Companies'!$A$4:$A$63,'Holdings'!$L$4:$L$2503,"Yes",'Holdings'!$C$4:$C$2503,"&gt;0")&gt;0),'Companies'!$A$4:$A$63,"")))</f>
        <v/>
      </c>
      <c r="G1031" s="30">
        <f>IF(A1031="","",IF(COUNTIF('People'!$A$4:$A$1003,A1031)=0,"Email not on People",IF(COUNTIF('Holders'!$A$4:$A$1003,B1031)=0,"Unknown holder ID",IF(COUNTIFS($A$4:$A$1503,A1031,$B$4:$B$1503,B1031)&gt;1,"Duplicate link",IF(C1031="","Missing access","OK")))))</f>
        <v/>
      </c>
    </row>
    <row r="1032">
      <c r="A1032" s="26" t="n"/>
      <c r="B1032" s="26" t="n"/>
      <c r="C1032" s="26" t="n"/>
      <c r="D1032" s="26" t="n"/>
      <c r="E1032" s="30">
        <f>IF(B1032="","",IFERROR(INDEX('Holders'!$B$4:$B$1003,MATCH(B1032,'Holders'!$A$4:$A$1003,0)),""))</f>
        <v/>
      </c>
      <c r="F1032" s="30">
        <f t="array" ref="F1032">IF(B1032="","",_xlfn.TEXTJOIN(", ",TRUE,IF(('Companies'!$A$4:$A$63&lt;&gt;"")*(COUNTIFS('Holdings'!$A$4:$A$2503,B1032,'Holdings'!$J$4:$J$2503,'Companies'!$A$4:$A$63,'Holdings'!$L$4:$L$2503,"Yes",'Holdings'!$C$4:$C$2503,"&gt;0")&gt;0),'Companies'!$A$4:$A$63,"")))</f>
        <v/>
      </c>
      <c r="G1032" s="30">
        <f>IF(A1032="","",IF(COUNTIF('People'!$A$4:$A$1003,A1032)=0,"Email not on People",IF(COUNTIF('Holders'!$A$4:$A$1003,B1032)=0,"Unknown holder ID",IF(COUNTIFS($A$4:$A$1503,A1032,$B$4:$B$1503,B1032)&gt;1,"Duplicate link",IF(C1032="","Missing access","OK")))))</f>
        <v/>
      </c>
    </row>
    <row r="1033">
      <c r="A1033" s="26" t="n"/>
      <c r="B1033" s="26" t="n"/>
      <c r="C1033" s="26" t="n"/>
      <c r="D1033" s="26" t="n"/>
      <c r="E1033" s="30">
        <f>IF(B1033="","",IFERROR(INDEX('Holders'!$B$4:$B$1003,MATCH(B1033,'Holders'!$A$4:$A$1003,0)),""))</f>
        <v/>
      </c>
      <c r="F1033" s="30">
        <f t="array" ref="F1033">IF(B1033="","",_xlfn.TEXTJOIN(", ",TRUE,IF(('Companies'!$A$4:$A$63&lt;&gt;"")*(COUNTIFS('Holdings'!$A$4:$A$2503,B1033,'Holdings'!$J$4:$J$2503,'Companies'!$A$4:$A$63,'Holdings'!$L$4:$L$2503,"Yes",'Holdings'!$C$4:$C$2503,"&gt;0")&gt;0),'Companies'!$A$4:$A$63,"")))</f>
        <v/>
      </c>
      <c r="G1033" s="30">
        <f>IF(A1033="","",IF(COUNTIF('People'!$A$4:$A$1003,A1033)=0,"Email not on People",IF(COUNTIF('Holders'!$A$4:$A$1003,B1033)=0,"Unknown holder ID",IF(COUNTIFS($A$4:$A$1503,A1033,$B$4:$B$1503,B1033)&gt;1,"Duplicate link",IF(C1033="","Missing access","OK")))))</f>
        <v/>
      </c>
    </row>
    <row r="1034">
      <c r="A1034" s="26" t="n"/>
      <c r="B1034" s="26" t="n"/>
      <c r="C1034" s="26" t="n"/>
      <c r="D1034" s="26" t="n"/>
      <c r="E1034" s="30">
        <f>IF(B1034="","",IFERROR(INDEX('Holders'!$B$4:$B$1003,MATCH(B1034,'Holders'!$A$4:$A$1003,0)),""))</f>
        <v/>
      </c>
      <c r="F1034" s="30">
        <f t="array" ref="F1034">IF(B1034="","",_xlfn.TEXTJOIN(", ",TRUE,IF(('Companies'!$A$4:$A$63&lt;&gt;"")*(COUNTIFS('Holdings'!$A$4:$A$2503,B1034,'Holdings'!$J$4:$J$2503,'Companies'!$A$4:$A$63,'Holdings'!$L$4:$L$2503,"Yes",'Holdings'!$C$4:$C$2503,"&gt;0")&gt;0),'Companies'!$A$4:$A$63,"")))</f>
        <v/>
      </c>
      <c r="G1034" s="30">
        <f>IF(A1034="","",IF(COUNTIF('People'!$A$4:$A$1003,A1034)=0,"Email not on People",IF(COUNTIF('Holders'!$A$4:$A$1003,B1034)=0,"Unknown holder ID",IF(COUNTIFS($A$4:$A$1503,A1034,$B$4:$B$1503,B1034)&gt;1,"Duplicate link",IF(C1034="","Missing access","OK")))))</f>
        <v/>
      </c>
    </row>
    <row r="1035">
      <c r="A1035" s="26" t="n"/>
      <c r="B1035" s="26" t="n"/>
      <c r="C1035" s="26" t="n"/>
      <c r="D1035" s="26" t="n"/>
      <c r="E1035" s="30">
        <f>IF(B1035="","",IFERROR(INDEX('Holders'!$B$4:$B$1003,MATCH(B1035,'Holders'!$A$4:$A$1003,0)),""))</f>
        <v/>
      </c>
      <c r="F1035" s="30">
        <f t="array" ref="F1035">IF(B1035="","",_xlfn.TEXTJOIN(", ",TRUE,IF(('Companies'!$A$4:$A$63&lt;&gt;"")*(COUNTIFS('Holdings'!$A$4:$A$2503,B1035,'Holdings'!$J$4:$J$2503,'Companies'!$A$4:$A$63,'Holdings'!$L$4:$L$2503,"Yes",'Holdings'!$C$4:$C$2503,"&gt;0")&gt;0),'Companies'!$A$4:$A$63,"")))</f>
        <v/>
      </c>
      <c r="G1035" s="30">
        <f>IF(A1035="","",IF(COUNTIF('People'!$A$4:$A$1003,A1035)=0,"Email not on People",IF(COUNTIF('Holders'!$A$4:$A$1003,B1035)=0,"Unknown holder ID",IF(COUNTIFS($A$4:$A$1503,A1035,$B$4:$B$1503,B1035)&gt;1,"Duplicate link",IF(C1035="","Missing access","OK")))))</f>
        <v/>
      </c>
    </row>
    <row r="1036">
      <c r="A1036" s="26" t="n"/>
      <c r="B1036" s="26" t="n"/>
      <c r="C1036" s="26" t="n"/>
      <c r="D1036" s="26" t="n"/>
      <c r="E1036" s="30">
        <f>IF(B1036="","",IFERROR(INDEX('Holders'!$B$4:$B$1003,MATCH(B1036,'Holders'!$A$4:$A$1003,0)),""))</f>
        <v/>
      </c>
      <c r="F1036" s="30">
        <f t="array" ref="F1036">IF(B1036="","",_xlfn.TEXTJOIN(", ",TRUE,IF(('Companies'!$A$4:$A$63&lt;&gt;"")*(COUNTIFS('Holdings'!$A$4:$A$2503,B1036,'Holdings'!$J$4:$J$2503,'Companies'!$A$4:$A$63,'Holdings'!$L$4:$L$2503,"Yes",'Holdings'!$C$4:$C$2503,"&gt;0")&gt;0),'Companies'!$A$4:$A$63,"")))</f>
        <v/>
      </c>
      <c r="G1036" s="30">
        <f>IF(A1036="","",IF(COUNTIF('People'!$A$4:$A$1003,A1036)=0,"Email not on People",IF(COUNTIF('Holders'!$A$4:$A$1003,B1036)=0,"Unknown holder ID",IF(COUNTIFS($A$4:$A$1503,A1036,$B$4:$B$1503,B1036)&gt;1,"Duplicate link",IF(C1036="","Missing access","OK")))))</f>
        <v/>
      </c>
    </row>
    <row r="1037">
      <c r="A1037" s="26" t="n"/>
      <c r="B1037" s="26" t="n"/>
      <c r="C1037" s="26" t="n"/>
      <c r="D1037" s="26" t="n"/>
      <c r="E1037" s="30">
        <f>IF(B1037="","",IFERROR(INDEX('Holders'!$B$4:$B$1003,MATCH(B1037,'Holders'!$A$4:$A$1003,0)),""))</f>
        <v/>
      </c>
      <c r="F1037" s="30">
        <f t="array" ref="F1037">IF(B1037="","",_xlfn.TEXTJOIN(", ",TRUE,IF(('Companies'!$A$4:$A$63&lt;&gt;"")*(COUNTIFS('Holdings'!$A$4:$A$2503,B1037,'Holdings'!$J$4:$J$2503,'Companies'!$A$4:$A$63,'Holdings'!$L$4:$L$2503,"Yes",'Holdings'!$C$4:$C$2503,"&gt;0")&gt;0),'Companies'!$A$4:$A$63,"")))</f>
        <v/>
      </c>
      <c r="G1037" s="30">
        <f>IF(A1037="","",IF(COUNTIF('People'!$A$4:$A$1003,A1037)=0,"Email not on People",IF(COUNTIF('Holders'!$A$4:$A$1003,B1037)=0,"Unknown holder ID",IF(COUNTIFS($A$4:$A$1503,A1037,$B$4:$B$1503,B1037)&gt;1,"Duplicate link",IF(C1037="","Missing access","OK")))))</f>
        <v/>
      </c>
    </row>
    <row r="1038">
      <c r="A1038" s="26" t="n"/>
      <c r="B1038" s="26" t="n"/>
      <c r="C1038" s="26" t="n"/>
      <c r="D1038" s="26" t="n"/>
      <c r="E1038" s="30">
        <f>IF(B1038="","",IFERROR(INDEX('Holders'!$B$4:$B$1003,MATCH(B1038,'Holders'!$A$4:$A$1003,0)),""))</f>
        <v/>
      </c>
      <c r="F1038" s="30">
        <f t="array" ref="F1038">IF(B1038="","",_xlfn.TEXTJOIN(", ",TRUE,IF(('Companies'!$A$4:$A$63&lt;&gt;"")*(COUNTIFS('Holdings'!$A$4:$A$2503,B1038,'Holdings'!$J$4:$J$2503,'Companies'!$A$4:$A$63,'Holdings'!$L$4:$L$2503,"Yes",'Holdings'!$C$4:$C$2503,"&gt;0")&gt;0),'Companies'!$A$4:$A$63,"")))</f>
        <v/>
      </c>
      <c r="G1038" s="30">
        <f>IF(A1038="","",IF(COUNTIF('People'!$A$4:$A$1003,A1038)=0,"Email not on People",IF(COUNTIF('Holders'!$A$4:$A$1003,B1038)=0,"Unknown holder ID",IF(COUNTIFS($A$4:$A$1503,A1038,$B$4:$B$1503,B1038)&gt;1,"Duplicate link",IF(C1038="","Missing access","OK")))))</f>
        <v/>
      </c>
    </row>
    <row r="1039">
      <c r="A1039" s="26" t="n"/>
      <c r="B1039" s="26" t="n"/>
      <c r="C1039" s="26" t="n"/>
      <c r="D1039" s="26" t="n"/>
      <c r="E1039" s="30">
        <f>IF(B1039="","",IFERROR(INDEX('Holders'!$B$4:$B$1003,MATCH(B1039,'Holders'!$A$4:$A$1003,0)),""))</f>
        <v/>
      </c>
      <c r="F1039" s="30">
        <f t="array" ref="F1039">IF(B1039="","",_xlfn.TEXTJOIN(", ",TRUE,IF(('Companies'!$A$4:$A$63&lt;&gt;"")*(COUNTIFS('Holdings'!$A$4:$A$2503,B1039,'Holdings'!$J$4:$J$2503,'Companies'!$A$4:$A$63,'Holdings'!$L$4:$L$2503,"Yes",'Holdings'!$C$4:$C$2503,"&gt;0")&gt;0),'Companies'!$A$4:$A$63,"")))</f>
        <v/>
      </c>
      <c r="G1039" s="30">
        <f>IF(A1039="","",IF(COUNTIF('People'!$A$4:$A$1003,A1039)=0,"Email not on People",IF(COUNTIF('Holders'!$A$4:$A$1003,B1039)=0,"Unknown holder ID",IF(COUNTIFS($A$4:$A$1503,A1039,$B$4:$B$1503,B1039)&gt;1,"Duplicate link",IF(C1039="","Missing access","OK")))))</f>
        <v/>
      </c>
    </row>
    <row r="1040">
      <c r="A1040" s="26" t="n"/>
      <c r="B1040" s="26" t="n"/>
      <c r="C1040" s="26" t="n"/>
      <c r="D1040" s="26" t="n"/>
      <c r="E1040" s="30">
        <f>IF(B1040="","",IFERROR(INDEX('Holders'!$B$4:$B$1003,MATCH(B1040,'Holders'!$A$4:$A$1003,0)),""))</f>
        <v/>
      </c>
      <c r="F1040" s="30">
        <f t="array" ref="F1040">IF(B1040="","",_xlfn.TEXTJOIN(", ",TRUE,IF(('Companies'!$A$4:$A$63&lt;&gt;"")*(COUNTIFS('Holdings'!$A$4:$A$2503,B1040,'Holdings'!$J$4:$J$2503,'Companies'!$A$4:$A$63,'Holdings'!$L$4:$L$2503,"Yes",'Holdings'!$C$4:$C$2503,"&gt;0")&gt;0),'Companies'!$A$4:$A$63,"")))</f>
        <v/>
      </c>
      <c r="G1040" s="30">
        <f>IF(A1040="","",IF(COUNTIF('People'!$A$4:$A$1003,A1040)=0,"Email not on People",IF(COUNTIF('Holders'!$A$4:$A$1003,B1040)=0,"Unknown holder ID",IF(COUNTIFS($A$4:$A$1503,A1040,$B$4:$B$1503,B1040)&gt;1,"Duplicate link",IF(C1040="","Missing access","OK")))))</f>
        <v/>
      </c>
    </row>
    <row r="1041">
      <c r="A1041" s="26" t="n"/>
      <c r="B1041" s="26" t="n"/>
      <c r="C1041" s="26" t="n"/>
      <c r="D1041" s="26" t="n"/>
      <c r="E1041" s="30">
        <f>IF(B1041="","",IFERROR(INDEX('Holders'!$B$4:$B$1003,MATCH(B1041,'Holders'!$A$4:$A$1003,0)),""))</f>
        <v/>
      </c>
      <c r="F1041" s="30">
        <f t="array" ref="F1041">IF(B1041="","",_xlfn.TEXTJOIN(", ",TRUE,IF(('Companies'!$A$4:$A$63&lt;&gt;"")*(COUNTIFS('Holdings'!$A$4:$A$2503,B1041,'Holdings'!$J$4:$J$2503,'Companies'!$A$4:$A$63,'Holdings'!$L$4:$L$2503,"Yes",'Holdings'!$C$4:$C$2503,"&gt;0")&gt;0),'Companies'!$A$4:$A$63,"")))</f>
        <v/>
      </c>
      <c r="G1041" s="30">
        <f>IF(A1041="","",IF(COUNTIF('People'!$A$4:$A$1003,A1041)=0,"Email not on People",IF(COUNTIF('Holders'!$A$4:$A$1003,B1041)=0,"Unknown holder ID",IF(COUNTIFS($A$4:$A$1503,A1041,$B$4:$B$1503,B1041)&gt;1,"Duplicate link",IF(C1041="","Missing access","OK")))))</f>
        <v/>
      </c>
    </row>
    <row r="1042">
      <c r="A1042" s="26" t="n"/>
      <c r="B1042" s="26" t="n"/>
      <c r="C1042" s="26" t="n"/>
      <c r="D1042" s="26" t="n"/>
      <c r="E1042" s="30">
        <f>IF(B1042="","",IFERROR(INDEX('Holders'!$B$4:$B$1003,MATCH(B1042,'Holders'!$A$4:$A$1003,0)),""))</f>
        <v/>
      </c>
      <c r="F1042" s="30">
        <f t="array" ref="F1042">IF(B1042="","",_xlfn.TEXTJOIN(", ",TRUE,IF(('Companies'!$A$4:$A$63&lt;&gt;"")*(COUNTIFS('Holdings'!$A$4:$A$2503,B1042,'Holdings'!$J$4:$J$2503,'Companies'!$A$4:$A$63,'Holdings'!$L$4:$L$2503,"Yes",'Holdings'!$C$4:$C$2503,"&gt;0")&gt;0),'Companies'!$A$4:$A$63,"")))</f>
        <v/>
      </c>
      <c r="G1042" s="30">
        <f>IF(A1042="","",IF(COUNTIF('People'!$A$4:$A$1003,A1042)=0,"Email not on People",IF(COUNTIF('Holders'!$A$4:$A$1003,B1042)=0,"Unknown holder ID",IF(COUNTIFS($A$4:$A$1503,A1042,$B$4:$B$1503,B1042)&gt;1,"Duplicate link",IF(C1042="","Missing access","OK")))))</f>
        <v/>
      </c>
    </row>
    <row r="1043">
      <c r="A1043" s="26" t="n"/>
      <c r="B1043" s="26" t="n"/>
      <c r="C1043" s="26" t="n"/>
      <c r="D1043" s="26" t="n"/>
      <c r="E1043" s="30">
        <f>IF(B1043="","",IFERROR(INDEX('Holders'!$B$4:$B$1003,MATCH(B1043,'Holders'!$A$4:$A$1003,0)),""))</f>
        <v/>
      </c>
      <c r="F1043" s="30">
        <f t="array" ref="F1043">IF(B1043="","",_xlfn.TEXTJOIN(", ",TRUE,IF(('Companies'!$A$4:$A$63&lt;&gt;"")*(COUNTIFS('Holdings'!$A$4:$A$2503,B1043,'Holdings'!$J$4:$J$2503,'Companies'!$A$4:$A$63,'Holdings'!$L$4:$L$2503,"Yes",'Holdings'!$C$4:$C$2503,"&gt;0")&gt;0),'Companies'!$A$4:$A$63,"")))</f>
        <v/>
      </c>
      <c r="G1043" s="30">
        <f>IF(A1043="","",IF(COUNTIF('People'!$A$4:$A$1003,A1043)=0,"Email not on People",IF(COUNTIF('Holders'!$A$4:$A$1003,B1043)=0,"Unknown holder ID",IF(COUNTIFS($A$4:$A$1503,A1043,$B$4:$B$1503,B1043)&gt;1,"Duplicate link",IF(C1043="","Missing access","OK")))))</f>
        <v/>
      </c>
    </row>
    <row r="1044">
      <c r="A1044" s="26" t="n"/>
      <c r="B1044" s="26" t="n"/>
      <c r="C1044" s="26" t="n"/>
      <c r="D1044" s="26" t="n"/>
      <c r="E1044" s="30">
        <f>IF(B1044="","",IFERROR(INDEX('Holders'!$B$4:$B$1003,MATCH(B1044,'Holders'!$A$4:$A$1003,0)),""))</f>
        <v/>
      </c>
      <c r="F1044" s="30">
        <f t="array" ref="F1044">IF(B1044="","",_xlfn.TEXTJOIN(", ",TRUE,IF(('Companies'!$A$4:$A$63&lt;&gt;"")*(COUNTIFS('Holdings'!$A$4:$A$2503,B1044,'Holdings'!$J$4:$J$2503,'Companies'!$A$4:$A$63,'Holdings'!$L$4:$L$2503,"Yes",'Holdings'!$C$4:$C$2503,"&gt;0")&gt;0),'Companies'!$A$4:$A$63,"")))</f>
        <v/>
      </c>
      <c r="G1044" s="30">
        <f>IF(A1044="","",IF(COUNTIF('People'!$A$4:$A$1003,A1044)=0,"Email not on People",IF(COUNTIF('Holders'!$A$4:$A$1003,B1044)=0,"Unknown holder ID",IF(COUNTIFS($A$4:$A$1503,A1044,$B$4:$B$1503,B1044)&gt;1,"Duplicate link",IF(C1044="","Missing access","OK")))))</f>
        <v/>
      </c>
    </row>
    <row r="1045">
      <c r="A1045" s="26" t="n"/>
      <c r="B1045" s="26" t="n"/>
      <c r="C1045" s="26" t="n"/>
      <c r="D1045" s="26" t="n"/>
      <c r="E1045" s="30">
        <f>IF(B1045="","",IFERROR(INDEX('Holders'!$B$4:$B$1003,MATCH(B1045,'Holders'!$A$4:$A$1003,0)),""))</f>
        <v/>
      </c>
      <c r="F1045" s="30">
        <f t="array" ref="F1045">IF(B1045="","",_xlfn.TEXTJOIN(", ",TRUE,IF(('Companies'!$A$4:$A$63&lt;&gt;"")*(COUNTIFS('Holdings'!$A$4:$A$2503,B1045,'Holdings'!$J$4:$J$2503,'Companies'!$A$4:$A$63,'Holdings'!$L$4:$L$2503,"Yes",'Holdings'!$C$4:$C$2503,"&gt;0")&gt;0),'Companies'!$A$4:$A$63,"")))</f>
        <v/>
      </c>
      <c r="G1045" s="30">
        <f>IF(A1045="","",IF(COUNTIF('People'!$A$4:$A$1003,A1045)=0,"Email not on People",IF(COUNTIF('Holders'!$A$4:$A$1003,B1045)=0,"Unknown holder ID",IF(COUNTIFS($A$4:$A$1503,A1045,$B$4:$B$1503,B1045)&gt;1,"Duplicate link",IF(C1045="","Missing access","OK")))))</f>
        <v/>
      </c>
    </row>
    <row r="1046">
      <c r="A1046" s="26" t="n"/>
      <c r="B1046" s="26" t="n"/>
      <c r="C1046" s="26" t="n"/>
      <c r="D1046" s="26" t="n"/>
      <c r="E1046" s="30">
        <f>IF(B1046="","",IFERROR(INDEX('Holders'!$B$4:$B$1003,MATCH(B1046,'Holders'!$A$4:$A$1003,0)),""))</f>
        <v/>
      </c>
      <c r="F1046" s="30">
        <f t="array" ref="F1046">IF(B1046="","",_xlfn.TEXTJOIN(", ",TRUE,IF(('Companies'!$A$4:$A$63&lt;&gt;"")*(COUNTIFS('Holdings'!$A$4:$A$2503,B1046,'Holdings'!$J$4:$J$2503,'Companies'!$A$4:$A$63,'Holdings'!$L$4:$L$2503,"Yes",'Holdings'!$C$4:$C$2503,"&gt;0")&gt;0),'Companies'!$A$4:$A$63,"")))</f>
        <v/>
      </c>
      <c r="G1046" s="30">
        <f>IF(A1046="","",IF(COUNTIF('People'!$A$4:$A$1003,A1046)=0,"Email not on People",IF(COUNTIF('Holders'!$A$4:$A$1003,B1046)=0,"Unknown holder ID",IF(COUNTIFS($A$4:$A$1503,A1046,$B$4:$B$1503,B1046)&gt;1,"Duplicate link",IF(C1046="","Missing access","OK")))))</f>
        <v/>
      </c>
    </row>
    <row r="1047">
      <c r="A1047" s="26" t="n"/>
      <c r="B1047" s="26" t="n"/>
      <c r="C1047" s="26" t="n"/>
      <c r="D1047" s="26" t="n"/>
      <c r="E1047" s="30">
        <f>IF(B1047="","",IFERROR(INDEX('Holders'!$B$4:$B$1003,MATCH(B1047,'Holders'!$A$4:$A$1003,0)),""))</f>
        <v/>
      </c>
      <c r="F1047" s="30">
        <f t="array" ref="F1047">IF(B1047="","",_xlfn.TEXTJOIN(", ",TRUE,IF(('Companies'!$A$4:$A$63&lt;&gt;"")*(COUNTIFS('Holdings'!$A$4:$A$2503,B1047,'Holdings'!$J$4:$J$2503,'Companies'!$A$4:$A$63,'Holdings'!$L$4:$L$2503,"Yes",'Holdings'!$C$4:$C$2503,"&gt;0")&gt;0),'Companies'!$A$4:$A$63,"")))</f>
        <v/>
      </c>
      <c r="G1047" s="30">
        <f>IF(A1047="","",IF(COUNTIF('People'!$A$4:$A$1003,A1047)=0,"Email not on People",IF(COUNTIF('Holders'!$A$4:$A$1003,B1047)=0,"Unknown holder ID",IF(COUNTIFS($A$4:$A$1503,A1047,$B$4:$B$1503,B1047)&gt;1,"Duplicate link",IF(C1047="","Missing access","OK")))))</f>
        <v/>
      </c>
    </row>
    <row r="1048">
      <c r="A1048" s="26" t="n"/>
      <c r="B1048" s="26" t="n"/>
      <c r="C1048" s="26" t="n"/>
      <c r="D1048" s="26" t="n"/>
      <c r="E1048" s="30">
        <f>IF(B1048="","",IFERROR(INDEX('Holders'!$B$4:$B$1003,MATCH(B1048,'Holders'!$A$4:$A$1003,0)),""))</f>
        <v/>
      </c>
      <c r="F1048" s="30">
        <f t="array" ref="F1048">IF(B1048="","",_xlfn.TEXTJOIN(", ",TRUE,IF(('Companies'!$A$4:$A$63&lt;&gt;"")*(COUNTIFS('Holdings'!$A$4:$A$2503,B1048,'Holdings'!$J$4:$J$2503,'Companies'!$A$4:$A$63,'Holdings'!$L$4:$L$2503,"Yes",'Holdings'!$C$4:$C$2503,"&gt;0")&gt;0),'Companies'!$A$4:$A$63,"")))</f>
        <v/>
      </c>
      <c r="G1048" s="30">
        <f>IF(A1048="","",IF(COUNTIF('People'!$A$4:$A$1003,A1048)=0,"Email not on People",IF(COUNTIF('Holders'!$A$4:$A$1003,B1048)=0,"Unknown holder ID",IF(COUNTIFS($A$4:$A$1503,A1048,$B$4:$B$1503,B1048)&gt;1,"Duplicate link",IF(C1048="","Missing access","OK")))))</f>
        <v/>
      </c>
    </row>
    <row r="1049">
      <c r="A1049" s="26" t="n"/>
      <c r="B1049" s="26" t="n"/>
      <c r="C1049" s="26" t="n"/>
      <c r="D1049" s="26" t="n"/>
      <c r="E1049" s="30">
        <f>IF(B1049="","",IFERROR(INDEX('Holders'!$B$4:$B$1003,MATCH(B1049,'Holders'!$A$4:$A$1003,0)),""))</f>
        <v/>
      </c>
      <c r="F1049" s="30">
        <f t="array" ref="F1049">IF(B1049="","",_xlfn.TEXTJOIN(", ",TRUE,IF(('Companies'!$A$4:$A$63&lt;&gt;"")*(COUNTIFS('Holdings'!$A$4:$A$2503,B1049,'Holdings'!$J$4:$J$2503,'Companies'!$A$4:$A$63,'Holdings'!$L$4:$L$2503,"Yes",'Holdings'!$C$4:$C$2503,"&gt;0")&gt;0),'Companies'!$A$4:$A$63,"")))</f>
        <v/>
      </c>
      <c r="G1049" s="30">
        <f>IF(A1049="","",IF(COUNTIF('People'!$A$4:$A$1003,A1049)=0,"Email not on People",IF(COUNTIF('Holders'!$A$4:$A$1003,B1049)=0,"Unknown holder ID",IF(COUNTIFS($A$4:$A$1503,A1049,$B$4:$B$1503,B1049)&gt;1,"Duplicate link",IF(C1049="","Missing access","OK")))))</f>
        <v/>
      </c>
    </row>
    <row r="1050">
      <c r="A1050" s="26" t="n"/>
      <c r="B1050" s="26" t="n"/>
      <c r="C1050" s="26" t="n"/>
      <c r="D1050" s="26" t="n"/>
      <c r="E1050" s="30">
        <f>IF(B1050="","",IFERROR(INDEX('Holders'!$B$4:$B$1003,MATCH(B1050,'Holders'!$A$4:$A$1003,0)),""))</f>
        <v/>
      </c>
      <c r="F1050" s="30">
        <f t="array" ref="F1050">IF(B1050="","",_xlfn.TEXTJOIN(", ",TRUE,IF(('Companies'!$A$4:$A$63&lt;&gt;"")*(COUNTIFS('Holdings'!$A$4:$A$2503,B1050,'Holdings'!$J$4:$J$2503,'Companies'!$A$4:$A$63,'Holdings'!$L$4:$L$2503,"Yes",'Holdings'!$C$4:$C$2503,"&gt;0")&gt;0),'Companies'!$A$4:$A$63,"")))</f>
        <v/>
      </c>
      <c r="G1050" s="30">
        <f>IF(A1050="","",IF(COUNTIF('People'!$A$4:$A$1003,A1050)=0,"Email not on People",IF(COUNTIF('Holders'!$A$4:$A$1003,B1050)=0,"Unknown holder ID",IF(COUNTIFS($A$4:$A$1503,A1050,$B$4:$B$1503,B1050)&gt;1,"Duplicate link",IF(C1050="","Missing access","OK")))))</f>
        <v/>
      </c>
    </row>
    <row r="1051">
      <c r="A1051" s="26" t="n"/>
      <c r="B1051" s="26" t="n"/>
      <c r="C1051" s="26" t="n"/>
      <c r="D1051" s="26" t="n"/>
      <c r="E1051" s="30">
        <f>IF(B1051="","",IFERROR(INDEX('Holders'!$B$4:$B$1003,MATCH(B1051,'Holders'!$A$4:$A$1003,0)),""))</f>
        <v/>
      </c>
      <c r="F1051" s="30">
        <f t="array" ref="F1051">IF(B1051="","",_xlfn.TEXTJOIN(", ",TRUE,IF(('Companies'!$A$4:$A$63&lt;&gt;"")*(COUNTIFS('Holdings'!$A$4:$A$2503,B1051,'Holdings'!$J$4:$J$2503,'Companies'!$A$4:$A$63,'Holdings'!$L$4:$L$2503,"Yes",'Holdings'!$C$4:$C$2503,"&gt;0")&gt;0),'Companies'!$A$4:$A$63,"")))</f>
        <v/>
      </c>
      <c r="G1051" s="30">
        <f>IF(A1051="","",IF(COUNTIF('People'!$A$4:$A$1003,A1051)=0,"Email not on People",IF(COUNTIF('Holders'!$A$4:$A$1003,B1051)=0,"Unknown holder ID",IF(COUNTIFS($A$4:$A$1503,A1051,$B$4:$B$1503,B1051)&gt;1,"Duplicate link",IF(C1051="","Missing access","OK")))))</f>
        <v/>
      </c>
    </row>
    <row r="1052">
      <c r="A1052" s="26" t="n"/>
      <c r="B1052" s="26" t="n"/>
      <c r="C1052" s="26" t="n"/>
      <c r="D1052" s="26" t="n"/>
      <c r="E1052" s="30">
        <f>IF(B1052="","",IFERROR(INDEX('Holders'!$B$4:$B$1003,MATCH(B1052,'Holders'!$A$4:$A$1003,0)),""))</f>
        <v/>
      </c>
      <c r="F1052" s="30">
        <f t="array" ref="F1052">IF(B1052="","",_xlfn.TEXTJOIN(", ",TRUE,IF(('Companies'!$A$4:$A$63&lt;&gt;"")*(COUNTIFS('Holdings'!$A$4:$A$2503,B1052,'Holdings'!$J$4:$J$2503,'Companies'!$A$4:$A$63,'Holdings'!$L$4:$L$2503,"Yes",'Holdings'!$C$4:$C$2503,"&gt;0")&gt;0),'Companies'!$A$4:$A$63,"")))</f>
        <v/>
      </c>
      <c r="G1052" s="30">
        <f>IF(A1052="","",IF(COUNTIF('People'!$A$4:$A$1003,A1052)=0,"Email not on People",IF(COUNTIF('Holders'!$A$4:$A$1003,B1052)=0,"Unknown holder ID",IF(COUNTIFS($A$4:$A$1503,A1052,$B$4:$B$1503,B1052)&gt;1,"Duplicate link",IF(C1052="","Missing access","OK")))))</f>
        <v/>
      </c>
    </row>
    <row r="1053">
      <c r="A1053" s="26" t="n"/>
      <c r="B1053" s="26" t="n"/>
      <c r="C1053" s="26" t="n"/>
      <c r="D1053" s="26" t="n"/>
      <c r="E1053" s="30">
        <f>IF(B1053="","",IFERROR(INDEX('Holders'!$B$4:$B$1003,MATCH(B1053,'Holders'!$A$4:$A$1003,0)),""))</f>
        <v/>
      </c>
      <c r="F1053" s="30">
        <f t="array" ref="F1053">IF(B1053="","",_xlfn.TEXTJOIN(", ",TRUE,IF(('Companies'!$A$4:$A$63&lt;&gt;"")*(COUNTIFS('Holdings'!$A$4:$A$2503,B1053,'Holdings'!$J$4:$J$2503,'Companies'!$A$4:$A$63,'Holdings'!$L$4:$L$2503,"Yes",'Holdings'!$C$4:$C$2503,"&gt;0")&gt;0),'Companies'!$A$4:$A$63,"")))</f>
        <v/>
      </c>
      <c r="G1053" s="30">
        <f>IF(A1053="","",IF(COUNTIF('People'!$A$4:$A$1003,A1053)=0,"Email not on People",IF(COUNTIF('Holders'!$A$4:$A$1003,B1053)=0,"Unknown holder ID",IF(COUNTIFS($A$4:$A$1503,A1053,$B$4:$B$1503,B1053)&gt;1,"Duplicate link",IF(C1053="","Missing access","OK")))))</f>
        <v/>
      </c>
    </row>
    <row r="1054">
      <c r="A1054" s="26" t="n"/>
      <c r="B1054" s="26" t="n"/>
      <c r="C1054" s="26" t="n"/>
      <c r="D1054" s="26" t="n"/>
      <c r="E1054" s="30">
        <f>IF(B1054="","",IFERROR(INDEX('Holders'!$B$4:$B$1003,MATCH(B1054,'Holders'!$A$4:$A$1003,0)),""))</f>
        <v/>
      </c>
      <c r="F1054" s="30">
        <f t="array" ref="F1054">IF(B1054="","",_xlfn.TEXTJOIN(", ",TRUE,IF(('Companies'!$A$4:$A$63&lt;&gt;"")*(COUNTIFS('Holdings'!$A$4:$A$2503,B1054,'Holdings'!$J$4:$J$2503,'Companies'!$A$4:$A$63,'Holdings'!$L$4:$L$2503,"Yes",'Holdings'!$C$4:$C$2503,"&gt;0")&gt;0),'Companies'!$A$4:$A$63,"")))</f>
        <v/>
      </c>
      <c r="G1054" s="30">
        <f>IF(A1054="","",IF(COUNTIF('People'!$A$4:$A$1003,A1054)=0,"Email not on People",IF(COUNTIF('Holders'!$A$4:$A$1003,B1054)=0,"Unknown holder ID",IF(COUNTIFS($A$4:$A$1503,A1054,$B$4:$B$1503,B1054)&gt;1,"Duplicate link",IF(C1054="","Missing access","OK")))))</f>
        <v/>
      </c>
    </row>
    <row r="1055">
      <c r="A1055" s="26" t="n"/>
      <c r="B1055" s="26" t="n"/>
      <c r="C1055" s="26" t="n"/>
      <c r="D1055" s="26" t="n"/>
      <c r="E1055" s="30">
        <f>IF(B1055="","",IFERROR(INDEX('Holders'!$B$4:$B$1003,MATCH(B1055,'Holders'!$A$4:$A$1003,0)),""))</f>
        <v/>
      </c>
      <c r="F1055" s="30">
        <f t="array" ref="F1055">IF(B1055="","",_xlfn.TEXTJOIN(", ",TRUE,IF(('Companies'!$A$4:$A$63&lt;&gt;"")*(COUNTIFS('Holdings'!$A$4:$A$2503,B1055,'Holdings'!$J$4:$J$2503,'Companies'!$A$4:$A$63,'Holdings'!$L$4:$L$2503,"Yes",'Holdings'!$C$4:$C$2503,"&gt;0")&gt;0),'Companies'!$A$4:$A$63,"")))</f>
        <v/>
      </c>
      <c r="G1055" s="30">
        <f>IF(A1055="","",IF(COUNTIF('People'!$A$4:$A$1003,A1055)=0,"Email not on People",IF(COUNTIF('Holders'!$A$4:$A$1003,B1055)=0,"Unknown holder ID",IF(COUNTIFS($A$4:$A$1503,A1055,$B$4:$B$1503,B1055)&gt;1,"Duplicate link",IF(C1055="","Missing access","OK")))))</f>
        <v/>
      </c>
    </row>
    <row r="1056">
      <c r="A1056" s="26" t="n"/>
      <c r="B1056" s="26" t="n"/>
      <c r="C1056" s="26" t="n"/>
      <c r="D1056" s="26" t="n"/>
      <c r="E1056" s="30">
        <f>IF(B1056="","",IFERROR(INDEX('Holders'!$B$4:$B$1003,MATCH(B1056,'Holders'!$A$4:$A$1003,0)),""))</f>
        <v/>
      </c>
      <c r="F1056" s="30">
        <f t="array" ref="F1056">IF(B1056="","",_xlfn.TEXTJOIN(", ",TRUE,IF(('Companies'!$A$4:$A$63&lt;&gt;"")*(COUNTIFS('Holdings'!$A$4:$A$2503,B1056,'Holdings'!$J$4:$J$2503,'Companies'!$A$4:$A$63,'Holdings'!$L$4:$L$2503,"Yes",'Holdings'!$C$4:$C$2503,"&gt;0")&gt;0),'Companies'!$A$4:$A$63,"")))</f>
        <v/>
      </c>
      <c r="G1056" s="30">
        <f>IF(A1056="","",IF(COUNTIF('People'!$A$4:$A$1003,A1056)=0,"Email not on People",IF(COUNTIF('Holders'!$A$4:$A$1003,B1056)=0,"Unknown holder ID",IF(COUNTIFS($A$4:$A$1503,A1056,$B$4:$B$1503,B1056)&gt;1,"Duplicate link",IF(C1056="","Missing access","OK")))))</f>
        <v/>
      </c>
    </row>
    <row r="1057">
      <c r="A1057" s="26" t="n"/>
      <c r="B1057" s="26" t="n"/>
      <c r="C1057" s="26" t="n"/>
      <c r="D1057" s="26" t="n"/>
      <c r="E1057" s="30">
        <f>IF(B1057="","",IFERROR(INDEX('Holders'!$B$4:$B$1003,MATCH(B1057,'Holders'!$A$4:$A$1003,0)),""))</f>
        <v/>
      </c>
      <c r="F1057" s="30">
        <f t="array" ref="F1057">IF(B1057="","",_xlfn.TEXTJOIN(", ",TRUE,IF(('Companies'!$A$4:$A$63&lt;&gt;"")*(COUNTIFS('Holdings'!$A$4:$A$2503,B1057,'Holdings'!$J$4:$J$2503,'Companies'!$A$4:$A$63,'Holdings'!$L$4:$L$2503,"Yes",'Holdings'!$C$4:$C$2503,"&gt;0")&gt;0),'Companies'!$A$4:$A$63,"")))</f>
        <v/>
      </c>
      <c r="G1057" s="30">
        <f>IF(A1057="","",IF(COUNTIF('People'!$A$4:$A$1003,A1057)=0,"Email not on People",IF(COUNTIF('Holders'!$A$4:$A$1003,B1057)=0,"Unknown holder ID",IF(COUNTIFS($A$4:$A$1503,A1057,$B$4:$B$1503,B1057)&gt;1,"Duplicate link",IF(C1057="","Missing access","OK")))))</f>
        <v/>
      </c>
    </row>
    <row r="1058">
      <c r="A1058" s="26" t="n"/>
      <c r="B1058" s="26" t="n"/>
      <c r="C1058" s="26" t="n"/>
      <c r="D1058" s="26" t="n"/>
      <c r="E1058" s="30">
        <f>IF(B1058="","",IFERROR(INDEX('Holders'!$B$4:$B$1003,MATCH(B1058,'Holders'!$A$4:$A$1003,0)),""))</f>
        <v/>
      </c>
      <c r="F1058" s="30">
        <f t="array" ref="F1058">IF(B1058="","",_xlfn.TEXTJOIN(", ",TRUE,IF(('Companies'!$A$4:$A$63&lt;&gt;"")*(COUNTIFS('Holdings'!$A$4:$A$2503,B1058,'Holdings'!$J$4:$J$2503,'Companies'!$A$4:$A$63,'Holdings'!$L$4:$L$2503,"Yes",'Holdings'!$C$4:$C$2503,"&gt;0")&gt;0),'Companies'!$A$4:$A$63,"")))</f>
        <v/>
      </c>
      <c r="G1058" s="30">
        <f>IF(A1058="","",IF(COUNTIF('People'!$A$4:$A$1003,A1058)=0,"Email not on People",IF(COUNTIF('Holders'!$A$4:$A$1003,B1058)=0,"Unknown holder ID",IF(COUNTIFS($A$4:$A$1503,A1058,$B$4:$B$1503,B1058)&gt;1,"Duplicate link",IF(C1058="","Missing access","OK")))))</f>
        <v/>
      </c>
    </row>
    <row r="1059">
      <c r="A1059" s="26" t="n"/>
      <c r="B1059" s="26" t="n"/>
      <c r="C1059" s="26" t="n"/>
      <c r="D1059" s="26" t="n"/>
      <c r="E1059" s="30">
        <f>IF(B1059="","",IFERROR(INDEX('Holders'!$B$4:$B$1003,MATCH(B1059,'Holders'!$A$4:$A$1003,0)),""))</f>
        <v/>
      </c>
      <c r="F1059" s="30">
        <f t="array" ref="F1059">IF(B1059="","",_xlfn.TEXTJOIN(", ",TRUE,IF(('Companies'!$A$4:$A$63&lt;&gt;"")*(COUNTIFS('Holdings'!$A$4:$A$2503,B1059,'Holdings'!$J$4:$J$2503,'Companies'!$A$4:$A$63,'Holdings'!$L$4:$L$2503,"Yes",'Holdings'!$C$4:$C$2503,"&gt;0")&gt;0),'Companies'!$A$4:$A$63,"")))</f>
        <v/>
      </c>
      <c r="G1059" s="30">
        <f>IF(A1059="","",IF(COUNTIF('People'!$A$4:$A$1003,A1059)=0,"Email not on People",IF(COUNTIF('Holders'!$A$4:$A$1003,B1059)=0,"Unknown holder ID",IF(COUNTIFS($A$4:$A$1503,A1059,$B$4:$B$1503,B1059)&gt;1,"Duplicate link",IF(C1059="","Missing access","OK")))))</f>
        <v/>
      </c>
    </row>
    <row r="1060">
      <c r="A1060" s="26" t="n"/>
      <c r="B1060" s="26" t="n"/>
      <c r="C1060" s="26" t="n"/>
      <c r="D1060" s="26" t="n"/>
      <c r="E1060" s="30">
        <f>IF(B1060="","",IFERROR(INDEX('Holders'!$B$4:$B$1003,MATCH(B1060,'Holders'!$A$4:$A$1003,0)),""))</f>
        <v/>
      </c>
      <c r="F1060" s="30">
        <f t="array" ref="F1060">IF(B1060="","",_xlfn.TEXTJOIN(", ",TRUE,IF(('Companies'!$A$4:$A$63&lt;&gt;"")*(COUNTIFS('Holdings'!$A$4:$A$2503,B1060,'Holdings'!$J$4:$J$2503,'Companies'!$A$4:$A$63,'Holdings'!$L$4:$L$2503,"Yes",'Holdings'!$C$4:$C$2503,"&gt;0")&gt;0),'Companies'!$A$4:$A$63,"")))</f>
        <v/>
      </c>
      <c r="G1060" s="30">
        <f>IF(A1060="","",IF(COUNTIF('People'!$A$4:$A$1003,A1060)=0,"Email not on People",IF(COUNTIF('Holders'!$A$4:$A$1003,B1060)=0,"Unknown holder ID",IF(COUNTIFS($A$4:$A$1503,A1060,$B$4:$B$1503,B1060)&gt;1,"Duplicate link",IF(C1060="","Missing access","OK")))))</f>
        <v/>
      </c>
    </row>
    <row r="1061">
      <c r="A1061" s="26" t="n"/>
      <c r="B1061" s="26" t="n"/>
      <c r="C1061" s="26" t="n"/>
      <c r="D1061" s="26" t="n"/>
      <c r="E1061" s="30">
        <f>IF(B1061="","",IFERROR(INDEX('Holders'!$B$4:$B$1003,MATCH(B1061,'Holders'!$A$4:$A$1003,0)),""))</f>
        <v/>
      </c>
      <c r="F1061" s="30">
        <f t="array" ref="F1061">IF(B1061="","",_xlfn.TEXTJOIN(", ",TRUE,IF(('Companies'!$A$4:$A$63&lt;&gt;"")*(COUNTIFS('Holdings'!$A$4:$A$2503,B1061,'Holdings'!$J$4:$J$2503,'Companies'!$A$4:$A$63,'Holdings'!$L$4:$L$2503,"Yes",'Holdings'!$C$4:$C$2503,"&gt;0")&gt;0),'Companies'!$A$4:$A$63,"")))</f>
        <v/>
      </c>
      <c r="G1061" s="30">
        <f>IF(A1061="","",IF(COUNTIF('People'!$A$4:$A$1003,A1061)=0,"Email not on People",IF(COUNTIF('Holders'!$A$4:$A$1003,B1061)=0,"Unknown holder ID",IF(COUNTIFS($A$4:$A$1503,A1061,$B$4:$B$1503,B1061)&gt;1,"Duplicate link",IF(C1061="","Missing access","OK")))))</f>
        <v/>
      </c>
    </row>
    <row r="1062">
      <c r="A1062" s="26" t="n"/>
      <c r="B1062" s="26" t="n"/>
      <c r="C1062" s="26" t="n"/>
      <c r="D1062" s="26" t="n"/>
      <c r="E1062" s="30">
        <f>IF(B1062="","",IFERROR(INDEX('Holders'!$B$4:$B$1003,MATCH(B1062,'Holders'!$A$4:$A$1003,0)),""))</f>
        <v/>
      </c>
      <c r="F1062" s="30">
        <f t="array" ref="F1062">IF(B1062="","",_xlfn.TEXTJOIN(", ",TRUE,IF(('Companies'!$A$4:$A$63&lt;&gt;"")*(COUNTIFS('Holdings'!$A$4:$A$2503,B1062,'Holdings'!$J$4:$J$2503,'Companies'!$A$4:$A$63,'Holdings'!$L$4:$L$2503,"Yes",'Holdings'!$C$4:$C$2503,"&gt;0")&gt;0),'Companies'!$A$4:$A$63,"")))</f>
        <v/>
      </c>
      <c r="G1062" s="30">
        <f>IF(A1062="","",IF(COUNTIF('People'!$A$4:$A$1003,A1062)=0,"Email not on People",IF(COUNTIF('Holders'!$A$4:$A$1003,B1062)=0,"Unknown holder ID",IF(COUNTIFS($A$4:$A$1503,A1062,$B$4:$B$1503,B1062)&gt;1,"Duplicate link",IF(C1062="","Missing access","OK")))))</f>
        <v/>
      </c>
    </row>
    <row r="1063">
      <c r="A1063" s="26" t="n"/>
      <c r="B1063" s="26" t="n"/>
      <c r="C1063" s="26" t="n"/>
      <c r="D1063" s="26" t="n"/>
      <c r="E1063" s="30">
        <f>IF(B1063="","",IFERROR(INDEX('Holders'!$B$4:$B$1003,MATCH(B1063,'Holders'!$A$4:$A$1003,0)),""))</f>
        <v/>
      </c>
      <c r="F1063" s="30">
        <f t="array" ref="F1063">IF(B1063="","",_xlfn.TEXTJOIN(", ",TRUE,IF(('Companies'!$A$4:$A$63&lt;&gt;"")*(COUNTIFS('Holdings'!$A$4:$A$2503,B1063,'Holdings'!$J$4:$J$2503,'Companies'!$A$4:$A$63,'Holdings'!$L$4:$L$2503,"Yes",'Holdings'!$C$4:$C$2503,"&gt;0")&gt;0),'Companies'!$A$4:$A$63,"")))</f>
        <v/>
      </c>
      <c r="G1063" s="30">
        <f>IF(A1063="","",IF(COUNTIF('People'!$A$4:$A$1003,A1063)=0,"Email not on People",IF(COUNTIF('Holders'!$A$4:$A$1003,B1063)=0,"Unknown holder ID",IF(COUNTIFS($A$4:$A$1503,A1063,$B$4:$B$1503,B1063)&gt;1,"Duplicate link",IF(C1063="","Missing access","OK")))))</f>
        <v/>
      </c>
    </row>
    <row r="1064">
      <c r="A1064" s="26" t="n"/>
      <c r="B1064" s="26" t="n"/>
      <c r="C1064" s="26" t="n"/>
      <c r="D1064" s="26" t="n"/>
      <c r="E1064" s="30">
        <f>IF(B1064="","",IFERROR(INDEX('Holders'!$B$4:$B$1003,MATCH(B1064,'Holders'!$A$4:$A$1003,0)),""))</f>
        <v/>
      </c>
      <c r="F1064" s="30">
        <f t="array" ref="F1064">IF(B1064="","",_xlfn.TEXTJOIN(", ",TRUE,IF(('Companies'!$A$4:$A$63&lt;&gt;"")*(COUNTIFS('Holdings'!$A$4:$A$2503,B1064,'Holdings'!$J$4:$J$2503,'Companies'!$A$4:$A$63,'Holdings'!$L$4:$L$2503,"Yes",'Holdings'!$C$4:$C$2503,"&gt;0")&gt;0),'Companies'!$A$4:$A$63,"")))</f>
        <v/>
      </c>
      <c r="G1064" s="30">
        <f>IF(A1064="","",IF(COUNTIF('People'!$A$4:$A$1003,A1064)=0,"Email not on People",IF(COUNTIF('Holders'!$A$4:$A$1003,B1064)=0,"Unknown holder ID",IF(COUNTIFS($A$4:$A$1503,A1064,$B$4:$B$1503,B1064)&gt;1,"Duplicate link",IF(C1064="","Missing access","OK")))))</f>
        <v/>
      </c>
    </row>
    <row r="1065">
      <c r="A1065" s="26" t="n"/>
      <c r="B1065" s="26" t="n"/>
      <c r="C1065" s="26" t="n"/>
      <c r="D1065" s="26" t="n"/>
      <c r="E1065" s="30">
        <f>IF(B1065="","",IFERROR(INDEX('Holders'!$B$4:$B$1003,MATCH(B1065,'Holders'!$A$4:$A$1003,0)),""))</f>
        <v/>
      </c>
      <c r="F1065" s="30">
        <f t="array" ref="F1065">IF(B1065="","",_xlfn.TEXTJOIN(", ",TRUE,IF(('Companies'!$A$4:$A$63&lt;&gt;"")*(COUNTIFS('Holdings'!$A$4:$A$2503,B1065,'Holdings'!$J$4:$J$2503,'Companies'!$A$4:$A$63,'Holdings'!$L$4:$L$2503,"Yes",'Holdings'!$C$4:$C$2503,"&gt;0")&gt;0),'Companies'!$A$4:$A$63,"")))</f>
        <v/>
      </c>
      <c r="G1065" s="30">
        <f>IF(A1065="","",IF(COUNTIF('People'!$A$4:$A$1003,A1065)=0,"Email not on People",IF(COUNTIF('Holders'!$A$4:$A$1003,B1065)=0,"Unknown holder ID",IF(COUNTIFS($A$4:$A$1503,A1065,$B$4:$B$1503,B1065)&gt;1,"Duplicate link",IF(C1065="","Missing access","OK")))))</f>
        <v/>
      </c>
    </row>
    <row r="1066">
      <c r="A1066" s="26" t="n"/>
      <c r="B1066" s="26" t="n"/>
      <c r="C1066" s="26" t="n"/>
      <c r="D1066" s="26" t="n"/>
      <c r="E1066" s="30">
        <f>IF(B1066="","",IFERROR(INDEX('Holders'!$B$4:$B$1003,MATCH(B1066,'Holders'!$A$4:$A$1003,0)),""))</f>
        <v/>
      </c>
      <c r="F1066" s="30">
        <f t="array" ref="F1066">IF(B1066="","",_xlfn.TEXTJOIN(", ",TRUE,IF(('Companies'!$A$4:$A$63&lt;&gt;"")*(COUNTIFS('Holdings'!$A$4:$A$2503,B1066,'Holdings'!$J$4:$J$2503,'Companies'!$A$4:$A$63,'Holdings'!$L$4:$L$2503,"Yes",'Holdings'!$C$4:$C$2503,"&gt;0")&gt;0),'Companies'!$A$4:$A$63,"")))</f>
        <v/>
      </c>
      <c r="G1066" s="30">
        <f>IF(A1066="","",IF(COUNTIF('People'!$A$4:$A$1003,A1066)=0,"Email not on People",IF(COUNTIF('Holders'!$A$4:$A$1003,B1066)=0,"Unknown holder ID",IF(COUNTIFS($A$4:$A$1503,A1066,$B$4:$B$1503,B1066)&gt;1,"Duplicate link",IF(C1066="","Missing access","OK")))))</f>
        <v/>
      </c>
    </row>
    <row r="1067">
      <c r="A1067" s="26" t="n"/>
      <c r="B1067" s="26" t="n"/>
      <c r="C1067" s="26" t="n"/>
      <c r="D1067" s="26" t="n"/>
      <c r="E1067" s="30">
        <f>IF(B1067="","",IFERROR(INDEX('Holders'!$B$4:$B$1003,MATCH(B1067,'Holders'!$A$4:$A$1003,0)),""))</f>
        <v/>
      </c>
      <c r="F1067" s="30">
        <f t="array" ref="F1067">IF(B1067="","",_xlfn.TEXTJOIN(", ",TRUE,IF(('Companies'!$A$4:$A$63&lt;&gt;"")*(COUNTIFS('Holdings'!$A$4:$A$2503,B1067,'Holdings'!$J$4:$J$2503,'Companies'!$A$4:$A$63,'Holdings'!$L$4:$L$2503,"Yes",'Holdings'!$C$4:$C$2503,"&gt;0")&gt;0),'Companies'!$A$4:$A$63,"")))</f>
        <v/>
      </c>
      <c r="G1067" s="30">
        <f>IF(A1067="","",IF(COUNTIF('People'!$A$4:$A$1003,A1067)=0,"Email not on People",IF(COUNTIF('Holders'!$A$4:$A$1003,B1067)=0,"Unknown holder ID",IF(COUNTIFS($A$4:$A$1503,A1067,$B$4:$B$1503,B1067)&gt;1,"Duplicate link",IF(C1067="","Missing access","OK")))))</f>
        <v/>
      </c>
    </row>
    <row r="1068">
      <c r="A1068" s="26" t="n"/>
      <c r="B1068" s="26" t="n"/>
      <c r="C1068" s="26" t="n"/>
      <c r="D1068" s="26" t="n"/>
      <c r="E1068" s="30">
        <f>IF(B1068="","",IFERROR(INDEX('Holders'!$B$4:$B$1003,MATCH(B1068,'Holders'!$A$4:$A$1003,0)),""))</f>
        <v/>
      </c>
      <c r="F1068" s="30">
        <f t="array" ref="F1068">IF(B1068="","",_xlfn.TEXTJOIN(", ",TRUE,IF(('Companies'!$A$4:$A$63&lt;&gt;"")*(COUNTIFS('Holdings'!$A$4:$A$2503,B1068,'Holdings'!$J$4:$J$2503,'Companies'!$A$4:$A$63,'Holdings'!$L$4:$L$2503,"Yes",'Holdings'!$C$4:$C$2503,"&gt;0")&gt;0),'Companies'!$A$4:$A$63,"")))</f>
        <v/>
      </c>
      <c r="G1068" s="30">
        <f>IF(A1068="","",IF(COUNTIF('People'!$A$4:$A$1003,A1068)=0,"Email not on People",IF(COUNTIF('Holders'!$A$4:$A$1003,B1068)=0,"Unknown holder ID",IF(COUNTIFS($A$4:$A$1503,A1068,$B$4:$B$1503,B1068)&gt;1,"Duplicate link",IF(C1068="","Missing access","OK")))))</f>
        <v/>
      </c>
    </row>
    <row r="1069">
      <c r="A1069" s="26" t="n"/>
      <c r="B1069" s="26" t="n"/>
      <c r="C1069" s="26" t="n"/>
      <c r="D1069" s="26" t="n"/>
      <c r="E1069" s="30">
        <f>IF(B1069="","",IFERROR(INDEX('Holders'!$B$4:$B$1003,MATCH(B1069,'Holders'!$A$4:$A$1003,0)),""))</f>
        <v/>
      </c>
      <c r="F1069" s="30">
        <f t="array" ref="F1069">IF(B1069="","",_xlfn.TEXTJOIN(", ",TRUE,IF(('Companies'!$A$4:$A$63&lt;&gt;"")*(COUNTIFS('Holdings'!$A$4:$A$2503,B1069,'Holdings'!$J$4:$J$2503,'Companies'!$A$4:$A$63,'Holdings'!$L$4:$L$2503,"Yes",'Holdings'!$C$4:$C$2503,"&gt;0")&gt;0),'Companies'!$A$4:$A$63,"")))</f>
        <v/>
      </c>
      <c r="G1069" s="30">
        <f>IF(A1069="","",IF(COUNTIF('People'!$A$4:$A$1003,A1069)=0,"Email not on People",IF(COUNTIF('Holders'!$A$4:$A$1003,B1069)=0,"Unknown holder ID",IF(COUNTIFS($A$4:$A$1503,A1069,$B$4:$B$1503,B1069)&gt;1,"Duplicate link",IF(C1069="","Missing access","OK")))))</f>
        <v/>
      </c>
    </row>
    <row r="1070">
      <c r="A1070" s="26" t="n"/>
      <c r="B1070" s="26" t="n"/>
      <c r="C1070" s="26" t="n"/>
      <c r="D1070" s="26" t="n"/>
      <c r="E1070" s="30">
        <f>IF(B1070="","",IFERROR(INDEX('Holders'!$B$4:$B$1003,MATCH(B1070,'Holders'!$A$4:$A$1003,0)),""))</f>
        <v/>
      </c>
      <c r="F1070" s="30">
        <f t="array" ref="F1070">IF(B1070="","",_xlfn.TEXTJOIN(", ",TRUE,IF(('Companies'!$A$4:$A$63&lt;&gt;"")*(COUNTIFS('Holdings'!$A$4:$A$2503,B1070,'Holdings'!$J$4:$J$2503,'Companies'!$A$4:$A$63,'Holdings'!$L$4:$L$2503,"Yes",'Holdings'!$C$4:$C$2503,"&gt;0")&gt;0),'Companies'!$A$4:$A$63,"")))</f>
        <v/>
      </c>
      <c r="G1070" s="30">
        <f>IF(A1070="","",IF(COUNTIF('People'!$A$4:$A$1003,A1070)=0,"Email not on People",IF(COUNTIF('Holders'!$A$4:$A$1003,B1070)=0,"Unknown holder ID",IF(COUNTIFS($A$4:$A$1503,A1070,$B$4:$B$1503,B1070)&gt;1,"Duplicate link",IF(C1070="","Missing access","OK")))))</f>
        <v/>
      </c>
    </row>
    <row r="1071">
      <c r="A1071" s="26" t="n"/>
      <c r="B1071" s="26" t="n"/>
      <c r="C1071" s="26" t="n"/>
      <c r="D1071" s="26" t="n"/>
      <c r="E1071" s="30">
        <f>IF(B1071="","",IFERROR(INDEX('Holders'!$B$4:$B$1003,MATCH(B1071,'Holders'!$A$4:$A$1003,0)),""))</f>
        <v/>
      </c>
      <c r="F1071" s="30">
        <f t="array" ref="F1071">IF(B1071="","",_xlfn.TEXTJOIN(", ",TRUE,IF(('Companies'!$A$4:$A$63&lt;&gt;"")*(COUNTIFS('Holdings'!$A$4:$A$2503,B1071,'Holdings'!$J$4:$J$2503,'Companies'!$A$4:$A$63,'Holdings'!$L$4:$L$2503,"Yes",'Holdings'!$C$4:$C$2503,"&gt;0")&gt;0),'Companies'!$A$4:$A$63,"")))</f>
        <v/>
      </c>
      <c r="G1071" s="30">
        <f>IF(A1071="","",IF(COUNTIF('People'!$A$4:$A$1003,A1071)=0,"Email not on People",IF(COUNTIF('Holders'!$A$4:$A$1003,B1071)=0,"Unknown holder ID",IF(COUNTIFS($A$4:$A$1503,A1071,$B$4:$B$1503,B1071)&gt;1,"Duplicate link",IF(C1071="","Missing access","OK")))))</f>
        <v/>
      </c>
    </row>
    <row r="1072">
      <c r="A1072" s="26" t="n"/>
      <c r="B1072" s="26" t="n"/>
      <c r="C1072" s="26" t="n"/>
      <c r="D1072" s="26" t="n"/>
      <c r="E1072" s="30">
        <f>IF(B1072="","",IFERROR(INDEX('Holders'!$B$4:$B$1003,MATCH(B1072,'Holders'!$A$4:$A$1003,0)),""))</f>
        <v/>
      </c>
      <c r="F1072" s="30">
        <f t="array" ref="F1072">IF(B1072="","",_xlfn.TEXTJOIN(", ",TRUE,IF(('Companies'!$A$4:$A$63&lt;&gt;"")*(COUNTIFS('Holdings'!$A$4:$A$2503,B1072,'Holdings'!$J$4:$J$2503,'Companies'!$A$4:$A$63,'Holdings'!$L$4:$L$2503,"Yes",'Holdings'!$C$4:$C$2503,"&gt;0")&gt;0),'Companies'!$A$4:$A$63,"")))</f>
        <v/>
      </c>
      <c r="G1072" s="30">
        <f>IF(A1072="","",IF(COUNTIF('People'!$A$4:$A$1003,A1072)=0,"Email not on People",IF(COUNTIF('Holders'!$A$4:$A$1003,B1072)=0,"Unknown holder ID",IF(COUNTIFS($A$4:$A$1503,A1072,$B$4:$B$1503,B1072)&gt;1,"Duplicate link",IF(C1072="","Missing access","OK")))))</f>
        <v/>
      </c>
    </row>
    <row r="1073">
      <c r="A1073" s="26" t="n"/>
      <c r="B1073" s="26" t="n"/>
      <c r="C1073" s="26" t="n"/>
      <c r="D1073" s="26" t="n"/>
      <c r="E1073" s="30">
        <f>IF(B1073="","",IFERROR(INDEX('Holders'!$B$4:$B$1003,MATCH(B1073,'Holders'!$A$4:$A$1003,0)),""))</f>
        <v/>
      </c>
      <c r="F1073" s="30">
        <f t="array" ref="F1073">IF(B1073="","",_xlfn.TEXTJOIN(", ",TRUE,IF(('Companies'!$A$4:$A$63&lt;&gt;"")*(COUNTIFS('Holdings'!$A$4:$A$2503,B1073,'Holdings'!$J$4:$J$2503,'Companies'!$A$4:$A$63,'Holdings'!$L$4:$L$2503,"Yes",'Holdings'!$C$4:$C$2503,"&gt;0")&gt;0),'Companies'!$A$4:$A$63,"")))</f>
        <v/>
      </c>
      <c r="G1073" s="30">
        <f>IF(A1073="","",IF(COUNTIF('People'!$A$4:$A$1003,A1073)=0,"Email not on People",IF(COUNTIF('Holders'!$A$4:$A$1003,B1073)=0,"Unknown holder ID",IF(COUNTIFS($A$4:$A$1503,A1073,$B$4:$B$1503,B1073)&gt;1,"Duplicate link",IF(C1073="","Missing access","OK")))))</f>
        <v/>
      </c>
    </row>
    <row r="1074">
      <c r="A1074" s="26" t="n"/>
      <c r="B1074" s="26" t="n"/>
      <c r="C1074" s="26" t="n"/>
      <c r="D1074" s="26" t="n"/>
      <c r="E1074" s="30">
        <f>IF(B1074="","",IFERROR(INDEX('Holders'!$B$4:$B$1003,MATCH(B1074,'Holders'!$A$4:$A$1003,0)),""))</f>
        <v/>
      </c>
      <c r="F1074" s="30">
        <f t="array" ref="F1074">IF(B1074="","",_xlfn.TEXTJOIN(", ",TRUE,IF(('Companies'!$A$4:$A$63&lt;&gt;"")*(COUNTIFS('Holdings'!$A$4:$A$2503,B1074,'Holdings'!$J$4:$J$2503,'Companies'!$A$4:$A$63,'Holdings'!$L$4:$L$2503,"Yes",'Holdings'!$C$4:$C$2503,"&gt;0")&gt;0),'Companies'!$A$4:$A$63,"")))</f>
        <v/>
      </c>
      <c r="G1074" s="30">
        <f>IF(A1074="","",IF(COUNTIF('People'!$A$4:$A$1003,A1074)=0,"Email not on People",IF(COUNTIF('Holders'!$A$4:$A$1003,B1074)=0,"Unknown holder ID",IF(COUNTIFS($A$4:$A$1503,A1074,$B$4:$B$1503,B1074)&gt;1,"Duplicate link",IF(C1074="","Missing access","OK")))))</f>
        <v/>
      </c>
    </row>
    <row r="1075">
      <c r="A1075" s="26" t="n"/>
      <c r="B1075" s="26" t="n"/>
      <c r="C1075" s="26" t="n"/>
      <c r="D1075" s="26" t="n"/>
      <c r="E1075" s="30">
        <f>IF(B1075="","",IFERROR(INDEX('Holders'!$B$4:$B$1003,MATCH(B1075,'Holders'!$A$4:$A$1003,0)),""))</f>
        <v/>
      </c>
      <c r="F1075" s="30">
        <f t="array" ref="F1075">IF(B1075="","",_xlfn.TEXTJOIN(", ",TRUE,IF(('Companies'!$A$4:$A$63&lt;&gt;"")*(COUNTIFS('Holdings'!$A$4:$A$2503,B1075,'Holdings'!$J$4:$J$2503,'Companies'!$A$4:$A$63,'Holdings'!$L$4:$L$2503,"Yes",'Holdings'!$C$4:$C$2503,"&gt;0")&gt;0),'Companies'!$A$4:$A$63,"")))</f>
        <v/>
      </c>
      <c r="G1075" s="30">
        <f>IF(A1075="","",IF(COUNTIF('People'!$A$4:$A$1003,A1075)=0,"Email not on People",IF(COUNTIF('Holders'!$A$4:$A$1003,B1075)=0,"Unknown holder ID",IF(COUNTIFS($A$4:$A$1503,A1075,$B$4:$B$1503,B1075)&gt;1,"Duplicate link",IF(C1075="","Missing access","OK")))))</f>
        <v/>
      </c>
    </row>
    <row r="1076">
      <c r="A1076" s="26" t="n"/>
      <c r="B1076" s="26" t="n"/>
      <c r="C1076" s="26" t="n"/>
      <c r="D1076" s="26" t="n"/>
      <c r="E1076" s="30">
        <f>IF(B1076="","",IFERROR(INDEX('Holders'!$B$4:$B$1003,MATCH(B1076,'Holders'!$A$4:$A$1003,0)),""))</f>
        <v/>
      </c>
      <c r="F1076" s="30">
        <f t="array" ref="F1076">IF(B1076="","",_xlfn.TEXTJOIN(", ",TRUE,IF(('Companies'!$A$4:$A$63&lt;&gt;"")*(COUNTIFS('Holdings'!$A$4:$A$2503,B1076,'Holdings'!$J$4:$J$2503,'Companies'!$A$4:$A$63,'Holdings'!$L$4:$L$2503,"Yes",'Holdings'!$C$4:$C$2503,"&gt;0")&gt;0),'Companies'!$A$4:$A$63,"")))</f>
        <v/>
      </c>
      <c r="G1076" s="30">
        <f>IF(A1076="","",IF(COUNTIF('People'!$A$4:$A$1003,A1076)=0,"Email not on People",IF(COUNTIF('Holders'!$A$4:$A$1003,B1076)=0,"Unknown holder ID",IF(COUNTIFS($A$4:$A$1503,A1076,$B$4:$B$1503,B1076)&gt;1,"Duplicate link",IF(C1076="","Missing access","OK")))))</f>
        <v/>
      </c>
    </row>
    <row r="1077">
      <c r="A1077" s="26" t="n"/>
      <c r="B1077" s="26" t="n"/>
      <c r="C1077" s="26" t="n"/>
      <c r="D1077" s="26" t="n"/>
      <c r="E1077" s="30">
        <f>IF(B1077="","",IFERROR(INDEX('Holders'!$B$4:$B$1003,MATCH(B1077,'Holders'!$A$4:$A$1003,0)),""))</f>
        <v/>
      </c>
      <c r="F1077" s="30">
        <f t="array" ref="F1077">IF(B1077="","",_xlfn.TEXTJOIN(", ",TRUE,IF(('Companies'!$A$4:$A$63&lt;&gt;"")*(COUNTIFS('Holdings'!$A$4:$A$2503,B1077,'Holdings'!$J$4:$J$2503,'Companies'!$A$4:$A$63,'Holdings'!$L$4:$L$2503,"Yes",'Holdings'!$C$4:$C$2503,"&gt;0")&gt;0),'Companies'!$A$4:$A$63,"")))</f>
        <v/>
      </c>
      <c r="G1077" s="30">
        <f>IF(A1077="","",IF(COUNTIF('People'!$A$4:$A$1003,A1077)=0,"Email not on People",IF(COUNTIF('Holders'!$A$4:$A$1003,B1077)=0,"Unknown holder ID",IF(COUNTIFS($A$4:$A$1503,A1077,$B$4:$B$1503,B1077)&gt;1,"Duplicate link",IF(C1077="","Missing access","OK")))))</f>
        <v/>
      </c>
    </row>
    <row r="1078">
      <c r="A1078" s="26" t="n"/>
      <c r="B1078" s="26" t="n"/>
      <c r="C1078" s="26" t="n"/>
      <c r="D1078" s="26" t="n"/>
      <c r="E1078" s="30">
        <f>IF(B1078="","",IFERROR(INDEX('Holders'!$B$4:$B$1003,MATCH(B1078,'Holders'!$A$4:$A$1003,0)),""))</f>
        <v/>
      </c>
      <c r="F1078" s="30">
        <f t="array" ref="F1078">IF(B1078="","",_xlfn.TEXTJOIN(", ",TRUE,IF(('Companies'!$A$4:$A$63&lt;&gt;"")*(COUNTIFS('Holdings'!$A$4:$A$2503,B1078,'Holdings'!$J$4:$J$2503,'Companies'!$A$4:$A$63,'Holdings'!$L$4:$L$2503,"Yes",'Holdings'!$C$4:$C$2503,"&gt;0")&gt;0),'Companies'!$A$4:$A$63,"")))</f>
        <v/>
      </c>
      <c r="G1078" s="30">
        <f>IF(A1078="","",IF(COUNTIF('People'!$A$4:$A$1003,A1078)=0,"Email not on People",IF(COUNTIF('Holders'!$A$4:$A$1003,B1078)=0,"Unknown holder ID",IF(COUNTIFS($A$4:$A$1503,A1078,$B$4:$B$1503,B1078)&gt;1,"Duplicate link",IF(C1078="","Missing access","OK")))))</f>
        <v/>
      </c>
    </row>
    <row r="1079">
      <c r="A1079" s="26" t="n"/>
      <c r="B1079" s="26" t="n"/>
      <c r="C1079" s="26" t="n"/>
      <c r="D1079" s="26" t="n"/>
      <c r="E1079" s="30">
        <f>IF(B1079="","",IFERROR(INDEX('Holders'!$B$4:$B$1003,MATCH(B1079,'Holders'!$A$4:$A$1003,0)),""))</f>
        <v/>
      </c>
      <c r="F1079" s="30">
        <f t="array" ref="F1079">IF(B1079="","",_xlfn.TEXTJOIN(", ",TRUE,IF(('Companies'!$A$4:$A$63&lt;&gt;"")*(COUNTIFS('Holdings'!$A$4:$A$2503,B1079,'Holdings'!$J$4:$J$2503,'Companies'!$A$4:$A$63,'Holdings'!$L$4:$L$2503,"Yes",'Holdings'!$C$4:$C$2503,"&gt;0")&gt;0),'Companies'!$A$4:$A$63,"")))</f>
        <v/>
      </c>
      <c r="G1079" s="30">
        <f>IF(A1079="","",IF(COUNTIF('People'!$A$4:$A$1003,A1079)=0,"Email not on People",IF(COUNTIF('Holders'!$A$4:$A$1003,B1079)=0,"Unknown holder ID",IF(COUNTIFS($A$4:$A$1503,A1079,$B$4:$B$1503,B1079)&gt;1,"Duplicate link",IF(C1079="","Missing access","OK")))))</f>
        <v/>
      </c>
    </row>
    <row r="1080">
      <c r="A1080" s="26" t="n"/>
      <c r="B1080" s="26" t="n"/>
      <c r="C1080" s="26" t="n"/>
      <c r="D1080" s="26" t="n"/>
      <c r="E1080" s="30">
        <f>IF(B1080="","",IFERROR(INDEX('Holders'!$B$4:$B$1003,MATCH(B1080,'Holders'!$A$4:$A$1003,0)),""))</f>
        <v/>
      </c>
      <c r="F1080" s="30">
        <f t="array" ref="F1080">IF(B1080="","",_xlfn.TEXTJOIN(", ",TRUE,IF(('Companies'!$A$4:$A$63&lt;&gt;"")*(COUNTIFS('Holdings'!$A$4:$A$2503,B1080,'Holdings'!$J$4:$J$2503,'Companies'!$A$4:$A$63,'Holdings'!$L$4:$L$2503,"Yes",'Holdings'!$C$4:$C$2503,"&gt;0")&gt;0),'Companies'!$A$4:$A$63,"")))</f>
        <v/>
      </c>
      <c r="G1080" s="30">
        <f>IF(A1080="","",IF(COUNTIF('People'!$A$4:$A$1003,A1080)=0,"Email not on People",IF(COUNTIF('Holders'!$A$4:$A$1003,B1080)=0,"Unknown holder ID",IF(COUNTIFS($A$4:$A$1503,A1080,$B$4:$B$1503,B1080)&gt;1,"Duplicate link",IF(C1080="","Missing access","OK")))))</f>
        <v/>
      </c>
    </row>
    <row r="1081">
      <c r="A1081" s="26" t="n"/>
      <c r="B1081" s="26" t="n"/>
      <c r="C1081" s="26" t="n"/>
      <c r="D1081" s="26" t="n"/>
      <c r="E1081" s="30">
        <f>IF(B1081="","",IFERROR(INDEX('Holders'!$B$4:$B$1003,MATCH(B1081,'Holders'!$A$4:$A$1003,0)),""))</f>
        <v/>
      </c>
      <c r="F1081" s="30">
        <f t="array" ref="F1081">IF(B1081="","",_xlfn.TEXTJOIN(", ",TRUE,IF(('Companies'!$A$4:$A$63&lt;&gt;"")*(COUNTIFS('Holdings'!$A$4:$A$2503,B1081,'Holdings'!$J$4:$J$2503,'Companies'!$A$4:$A$63,'Holdings'!$L$4:$L$2503,"Yes",'Holdings'!$C$4:$C$2503,"&gt;0")&gt;0),'Companies'!$A$4:$A$63,"")))</f>
        <v/>
      </c>
      <c r="G1081" s="30">
        <f>IF(A1081="","",IF(COUNTIF('People'!$A$4:$A$1003,A1081)=0,"Email not on People",IF(COUNTIF('Holders'!$A$4:$A$1003,B1081)=0,"Unknown holder ID",IF(COUNTIFS($A$4:$A$1503,A1081,$B$4:$B$1503,B1081)&gt;1,"Duplicate link",IF(C1081="","Missing access","OK")))))</f>
        <v/>
      </c>
    </row>
    <row r="1082">
      <c r="A1082" s="26" t="n"/>
      <c r="B1082" s="26" t="n"/>
      <c r="C1082" s="26" t="n"/>
      <c r="D1082" s="26" t="n"/>
      <c r="E1082" s="30">
        <f>IF(B1082="","",IFERROR(INDEX('Holders'!$B$4:$B$1003,MATCH(B1082,'Holders'!$A$4:$A$1003,0)),""))</f>
        <v/>
      </c>
      <c r="F1082" s="30">
        <f t="array" ref="F1082">IF(B1082="","",_xlfn.TEXTJOIN(", ",TRUE,IF(('Companies'!$A$4:$A$63&lt;&gt;"")*(COUNTIFS('Holdings'!$A$4:$A$2503,B1082,'Holdings'!$J$4:$J$2503,'Companies'!$A$4:$A$63,'Holdings'!$L$4:$L$2503,"Yes",'Holdings'!$C$4:$C$2503,"&gt;0")&gt;0),'Companies'!$A$4:$A$63,"")))</f>
        <v/>
      </c>
      <c r="G1082" s="30">
        <f>IF(A1082="","",IF(COUNTIF('People'!$A$4:$A$1003,A1082)=0,"Email not on People",IF(COUNTIF('Holders'!$A$4:$A$1003,B1082)=0,"Unknown holder ID",IF(COUNTIFS($A$4:$A$1503,A1082,$B$4:$B$1503,B1082)&gt;1,"Duplicate link",IF(C1082="","Missing access","OK")))))</f>
        <v/>
      </c>
    </row>
    <row r="1083">
      <c r="A1083" s="26" t="n"/>
      <c r="B1083" s="26" t="n"/>
      <c r="C1083" s="26" t="n"/>
      <c r="D1083" s="26" t="n"/>
      <c r="E1083" s="30">
        <f>IF(B1083="","",IFERROR(INDEX('Holders'!$B$4:$B$1003,MATCH(B1083,'Holders'!$A$4:$A$1003,0)),""))</f>
        <v/>
      </c>
      <c r="F1083" s="30">
        <f t="array" ref="F1083">IF(B1083="","",_xlfn.TEXTJOIN(", ",TRUE,IF(('Companies'!$A$4:$A$63&lt;&gt;"")*(COUNTIFS('Holdings'!$A$4:$A$2503,B1083,'Holdings'!$J$4:$J$2503,'Companies'!$A$4:$A$63,'Holdings'!$L$4:$L$2503,"Yes",'Holdings'!$C$4:$C$2503,"&gt;0")&gt;0),'Companies'!$A$4:$A$63,"")))</f>
        <v/>
      </c>
      <c r="G1083" s="30">
        <f>IF(A1083="","",IF(COUNTIF('People'!$A$4:$A$1003,A1083)=0,"Email not on People",IF(COUNTIF('Holders'!$A$4:$A$1003,B1083)=0,"Unknown holder ID",IF(COUNTIFS($A$4:$A$1503,A1083,$B$4:$B$1503,B1083)&gt;1,"Duplicate link",IF(C1083="","Missing access","OK")))))</f>
        <v/>
      </c>
    </row>
    <row r="1084">
      <c r="A1084" s="26" t="n"/>
      <c r="B1084" s="26" t="n"/>
      <c r="C1084" s="26" t="n"/>
      <c r="D1084" s="26" t="n"/>
      <c r="E1084" s="30">
        <f>IF(B1084="","",IFERROR(INDEX('Holders'!$B$4:$B$1003,MATCH(B1084,'Holders'!$A$4:$A$1003,0)),""))</f>
        <v/>
      </c>
      <c r="F1084" s="30">
        <f t="array" ref="F1084">IF(B1084="","",_xlfn.TEXTJOIN(", ",TRUE,IF(('Companies'!$A$4:$A$63&lt;&gt;"")*(COUNTIFS('Holdings'!$A$4:$A$2503,B1084,'Holdings'!$J$4:$J$2503,'Companies'!$A$4:$A$63,'Holdings'!$L$4:$L$2503,"Yes",'Holdings'!$C$4:$C$2503,"&gt;0")&gt;0),'Companies'!$A$4:$A$63,"")))</f>
        <v/>
      </c>
      <c r="G1084" s="30">
        <f>IF(A1084="","",IF(COUNTIF('People'!$A$4:$A$1003,A1084)=0,"Email not on People",IF(COUNTIF('Holders'!$A$4:$A$1003,B1084)=0,"Unknown holder ID",IF(COUNTIFS($A$4:$A$1503,A1084,$B$4:$B$1503,B1084)&gt;1,"Duplicate link",IF(C1084="","Missing access","OK")))))</f>
        <v/>
      </c>
    </row>
    <row r="1085">
      <c r="A1085" s="26" t="n"/>
      <c r="B1085" s="26" t="n"/>
      <c r="C1085" s="26" t="n"/>
      <c r="D1085" s="26" t="n"/>
      <c r="E1085" s="30">
        <f>IF(B1085="","",IFERROR(INDEX('Holders'!$B$4:$B$1003,MATCH(B1085,'Holders'!$A$4:$A$1003,0)),""))</f>
        <v/>
      </c>
      <c r="F1085" s="30">
        <f t="array" ref="F1085">IF(B1085="","",_xlfn.TEXTJOIN(", ",TRUE,IF(('Companies'!$A$4:$A$63&lt;&gt;"")*(COUNTIFS('Holdings'!$A$4:$A$2503,B1085,'Holdings'!$J$4:$J$2503,'Companies'!$A$4:$A$63,'Holdings'!$L$4:$L$2503,"Yes",'Holdings'!$C$4:$C$2503,"&gt;0")&gt;0),'Companies'!$A$4:$A$63,"")))</f>
        <v/>
      </c>
      <c r="G1085" s="30">
        <f>IF(A1085="","",IF(COUNTIF('People'!$A$4:$A$1003,A1085)=0,"Email not on People",IF(COUNTIF('Holders'!$A$4:$A$1003,B1085)=0,"Unknown holder ID",IF(COUNTIFS($A$4:$A$1503,A1085,$B$4:$B$1503,B1085)&gt;1,"Duplicate link",IF(C1085="","Missing access","OK")))))</f>
        <v/>
      </c>
    </row>
    <row r="1086">
      <c r="A1086" s="26" t="n"/>
      <c r="B1086" s="26" t="n"/>
      <c r="C1086" s="26" t="n"/>
      <c r="D1086" s="26" t="n"/>
      <c r="E1086" s="30">
        <f>IF(B1086="","",IFERROR(INDEX('Holders'!$B$4:$B$1003,MATCH(B1086,'Holders'!$A$4:$A$1003,0)),""))</f>
        <v/>
      </c>
      <c r="F1086" s="30">
        <f t="array" ref="F1086">IF(B1086="","",_xlfn.TEXTJOIN(", ",TRUE,IF(('Companies'!$A$4:$A$63&lt;&gt;"")*(COUNTIFS('Holdings'!$A$4:$A$2503,B1086,'Holdings'!$J$4:$J$2503,'Companies'!$A$4:$A$63,'Holdings'!$L$4:$L$2503,"Yes",'Holdings'!$C$4:$C$2503,"&gt;0")&gt;0),'Companies'!$A$4:$A$63,"")))</f>
        <v/>
      </c>
      <c r="G1086" s="30">
        <f>IF(A1086="","",IF(COUNTIF('People'!$A$4:$A$1003,A1086)=0,"Email not on People",IF(COUNTIF('Holders'!$A$4:$A$1003,B1086)=0,"Unknown holder ID",IF(COUNTIFS($A$4:$A$1503,A1086,$B$4:$B$1503,B1086)&gt;1,"Duplicate link",IF(C1086="","Missing access","OK")))))</f>
        <v/>
      </c>
    </row>
    <row r="1087">
      <c r="A1087" s="26" t="n"/>
      <c r="B1087" s="26" t="n"/>
      <c r="C1087" s="26" t="n"/>
      <c r="D1087" s="26" t="n"/>
      <c r="E1087" s="30">
        <f>IF(B1087="","",IFERROR(INDEX('Holders'!$B$4:$B$1003,MATCH(B1087,'Holders'!$A$4:$A$1003,0)),""))</f>
        <v/>
      </c>
      <c r="F1087" s="30">
        <f t="array" ref="F1087">IF(B1087="","",_xlfn.TEXTJOIN(", ",TRUE,IF(('Companies'!$A$4:$A$63&lt;&gt;"")*(COUNTIFS('Holdings'!$A$4:$A$2503,B1087,'Holdings'!$J$4:$J$2503,'Companies'!$A$4:$A$63,'Holdings'!$L$4:$L$2503,"Yes",'Holdings'!$C$4:$C$2503,"&gt;0")&gt;0),'Companies'!$A$4:$A$63,"")))</f>
        <v/>
      </c>
      <c r="G1087" s="30">
        <f>IF(A1087="","",IF(COUNTIF('People'!$A$4:$A$1003,A1087)=0,"Email not on People",IF(COUNTIF('Holders'!$A$4:$A$1003,B1087)=0,"Unknown holder ID",IF(COUNTIFS($A$4:$A$1503,A1087,$B$4:$B$1503,B1087)&gt;1,"Duplicate link",IF(C1087="","Missing access","OK")))))</f>
        <v/>
      </c>
    </row>
    <row r="1088">
      <c r="A1088" s="26" t="n"/>
      <c r="B1088" s="26" t="n"/>
      <c r="C1088" s="26" t="n"/>
      <c r="D1088" s="26" t="n"/>
      <c r="E1088" s="30">
        <f>IF(B1088="","",IFERROR(INDEX('Holders'!$B$4:$B$1003,MATCH(B1088,'Holders'!$A$4:$A$1003,0)),""))</f>
        <v/>
      </c>
      <c r="F1088" s="30">
        <f t="array" ref="F1088">IF(B1088="","",_xlfn.TEXTJOIN(", ",TRUE,IF(('Companies'!$A$4:$A$63&lt;&gt;"")*(COUNTIFS('Holdings'!$A$4:$A$2503,B1088,'Holdings'!$J$4:$J$2503,'Companies'!$A$4:$A$63,'Holdings'!$L$4:$L$2503,"Yes",'Holdings'!$C$4:$C$2503,"&gt;0")&gt;0),'Companies'!$A$4:$A$63,"")))</f>
        <v/>
      </c>
      <c r="G1088" s="30">
        <f>IF(A1088="","",IF(COUNTIF('People'!$A$4:$A$1003,A1088)=0,"Email not on People",IF(COUNTIF('Holders'!$A$4:$A$1003,B1088)=0,"Unknown holder ID",IF(COUNTIFS($A$4:$A$1503,A1088,$B$4:$B$1503,B1088)&gt;1,"Duplicate link",IF(C1088="","Missing access","OK")))))</f>
        <v/>
      </c>
    </row>
    <row r="1089">
      <c r="A1089" s="26" t="n"/>
      <c r="B1089" s="26" t="n"/>
      <c r="C1089" s="26" t="n"/>
      <c r="D1089" s="26" t="n"/>
      <c r="E1089" s="30">
        <f>IF(B1089="","",IFERROR(INDEX('Holders'!$B$4:$B$1003,MATCH(B1089,'Holders'!$A$4:$A$1003,0)),""))</f>
        <v/>
      </c>
      <c r="F1089" s="30">
        <f t="array" ref="F1089">IF(B1089="","",_xlfn.TEXTJOIN(", ",TRUE,IF(('Companies'!$A$4:$A$63&lt;&gt;"")*(COUNTIFS('Holdings'!$A$4:$A$2503,B1089,'Holdings'!$J$4:$J$2503,'Companies'!$A$4:$A$63,'Holdings'!$L$4:$L$2503,"Yes",'Holdings'!$C$4:$C$2503,"&gt;0")&gt;0),'Companies'!$A$4:$A$63,"")))</f>
        <v/>
      </c>
      <c r="G1089" s="30">
        <f>IF(A1089="","",IF(COUNTIF('People'!$A$4:$A$1003,A1089)=0,"Email not on People",IF(COUNTIF('Holders'!$A$4:$A$1003,B1089)=0,"Unknown holder ID",IF(COUNTIFS($A$4:$A$1503,A1089,$B$4:$B$1503,B1089)&gt;1,"Duplicate link",IF(C1089="","Missing access","OK")))))</f>
        <v/>
      </c>
    </row>
    <row r="1090">
      <c r="A1090" s="26" t="n"/>
      <c r="B1090" s="26" t="n"/>
      <c r="C1090" s="26" t="n"/>
      <c r="D1090" s="26" t="n"/>
      <c r="E1090" s="30">
        <f>IF(B1090="","",IFERROR(INDEX('Holders'!$B$4:$B$1003,MATCH(B1090,'Holders'!$A$4:$A$1003,0)),""))</f>
        <v/>
      </c>
      <c r="F1090" s="30">
        <f t="array" ref="F1090">IF(B1090="","",_xlfn.TEXTJOIN(", ",TRUE,IF(('Companies'!$A$4:$A$63&lt;&gt;"")*(COUNTIFS('Holdings'!$A$4:$A$2503,B1090,'Holdings'!$J$4:$J$2503,'Companies'!$A$4:$A$63,'Holdings'!$L$4:$L$2503,"Yes",'Holdings'!$C$4:$C$2503,"&gt;0")&gt;0),'Companies'!$A$4:$A$63,"")))</f>
        <v/>
      </c>
      <c r="G1090" s="30">
        <f>IF(A1090="","",IF(COUNTIF('People'!$A$4:$A$1003,A1090)=0,"Email not on People",IF(COUNTIF('Holders'!$A$4:$A$1003,B1090)=0,"Unknown holder ID",IF(COUNTIFS($A$4:$A$1503,A1090,$B$4:$B$1503,B1090)&gt;1,"Duplicate link",IF(C1090="","Missing access","OK")))))</f>
        <v/>
      </c>
    </row>
    <row r="1091">
      <c r="A1091" s="26" t="n"/>
      <c r="B1091" s="26" t="n"/>
      <c r="C1091" s="26" t="n"/>
      <c r="D1091" s="26" t="n"/>
      <c r="E1091" s="30">
        <f>IF(B1091="","",IFERROR(INDEX('Holders'!$B$4:$B$1003,MATCH(B1091,'Holders'!$A$4:$A$1003,0)),""))</f>
        <v/>
      </c>
      <c r="F1091" s="30">
        <f t="array" ref="F1091">IF(B1091="","",_xlfn.TEXTJOIN(", ",TRUE,IF(('Companies'!$A$4:$A$63&lt;&gt;"")*(COUNTIFS('Holdings'!$A$4:$A$2503,B1091,'Holdings'!$J$4:$J$2503,'Companies'!$A$4:$A$63,'Holdings'!$L$4:$L$2503,"Yes",'Holdings'!$C$4:$C$2503,"&gt;0")&gt;0),'Companies'!$A$4:$A$63,"")))</f>
        <v/>
      </c>
      <c r="G1091" s="30">
        <f>IF(A1091="","",IF(COUNTIF('People'!$A$4:$A$1003,A1091)=0,"Email not on People",IF(COUNTIF('Holders'!$A$4:$A$1003,B1091)=0,"Unknown holder ID",IF(COUNTIFS($A$4:$A$1503,A1091,$B$4:$B$1503,B1091)&gt;1,"Duplicate link",IF(C1091="","Missing access","OK")))))</f>
        <v/>
      </c>
    </row>
    <row r="1092">
      <c r="A1092" s="26" t="n"/>
      <c r="B1092" s="26" t="n"/>
      <c r="C1092" s="26" t="n"/>
      <c r="D1092" s="26" t="n"/>
      <c r="E1092" s="30">
        <f>IF(B1092="","",IFERROR(INDEX('Holders'!$B$4:$B$1003,MATCH(B1092,'Holders'!$A$4:$A$1003,0)),""))</f>
        <v/>
      </c>
      <c r="F1092" s="30">
        <f t="array" ref="F1092">IF(B1092="","",_xlfn.TEXTJOIN(", ",TRUE,IF(('Companies'!$A$4:$A$63&lt;&gt;"")*(COUNTIFS('Holdings'!$A$4:$A$2503,B1092,'Holdings'!$J$4:$J$2503,'Companies'!$A$4:$A$63,'Holdings'!$L$4:$L$2503,"Yes",'Holdings'!$C$4:$C$2503,"&gt;0")&gt;0),'Companies'!$A$4:$A$63,"")))</f>
        <v/>
      </c>
      <c r="G1092" s="30">
        <f>IF(A1092="","",IF(COUNTIF('People'!$A$4:$A$1003,A1092)=0,"Email not on People",IF(COUNTIF('Holders'!$A$4:$A$1003,B1092)=0,"Unknown holder ID",IF(COUNTIFS($A$4:$A$1503,A1092,$B$4:$B$1503,B1092)&gt;1,"Duplicate link",IF(C1092="","Missing access","OK")))))</f>
        <v/>
      </c>
    </row>
    <row r="1093">
      <c r="A1093" s="26" t="n"/>
      <c r="B1093" s="26" t="n"/>
      <c r="C1093" s="26" t="n"/>
      <c r="D1093" s="26" t="n"/>
      <c r="E1093" s="30">
        <f>IF(B1093="","",IFERROR(INDEX('Holders'!$B$4:$B$1003,MATCH(B1093,'Holders'!$A$4:$A$1003,0)),""))</f>
        <v/>
      </c>
      <c r="F1093" s="30">
        <f t="array" ref="F1093">IF(B1093="","",_xlfn.TEXTJOIN(", ",TRUE,IF(('Companies'!$A$4:$A$63&lt;&gt;"")*(COUNTIFS('Holdings'!$A$4:$A$2503,B1093,'Holdings'!$J$4:$J$2503,'Companies'!$A$4:$A$63,'Holdings'!$L$4:$L$2503,"Yes",'Holdings'!$C$4:$C$2503,"&gt;0")&gt;0),'Companies'!$A$4:$A$63,"")))</f>
        <v/>
      </c>
      <c r="G1093" s="30">
        <f>IF(A1093="","",IF(COUNTIF('People'!$A$4:$A$1003,A1093)=0,"Email not on People",IF(COUNTIF('Holders'!$A$4:$A$1003,B1093)=0,"Unknown holder ID",IF(COUNTIFS($A$4:$A$1503,A1093,$B$4:$B$1503,B1093)&gt;1,"Duplicate link",IF(C1093="","Missing access","OK")))))</f>
        <v/>
      </c>
    </row>
    <row r="1094">
      <c r="A1094" s="26" t="n"/>
      <c r="B1094" s="26" t="n"/>
      <c r="C1094" s="26" t="n"/>
      <c r="D1094" s="26" t="n"/>
      <c r="E1094" s="30">
        <f>IF(B1094="","",IFERROR(INDEX('Holders'!$B$4:$B$1003,MATCH(B1094,'Holders'!$A$4:$A$1003,0)),""))</f>
        <v/>
      </c>
      <c r="F1094" s="30">
        <f t="array" ref="F1094">IF(B1094="","",_xlfn.TEXTJOIN(", ",TRUE,IF(('Companies'!$A$4:$A$63&lt;&gt;"")*(COUNTIFS('Holdings'!$A$4:$A$2503,B1094,'Holdings'!$J$4:$J$2503,'Companies'!$A$4:$A$63,'Holdings'!$L$4:$L$2503,"Yes",'Holdings'!$C$4:$C$2503,"&gt;0")&gt;0),'Companies'!$A$4:$A$63,"")))</f>
        <v/>
      </c>
      <c r="G1094" s="30">
        <f>IF(A1094="","",IF(COUNTIF('People'!$A$4:$A$1003,A1094)=0,"Email not on People",IF(COUNTIF('Holders'!$A$4:$A$1003,B1094)=0,"Unknown holder ID",IF(COUNTIFS($A$4:$A$1503,A1094,$B$4:$B$1503,B1094)&gt;1,"Duplicate link",IF(C1094="","Missing access","OK")))))</f>
        <v/>
      </c>
    </row>
    <row r="1095">
      <c r="A1095" s="26" t="n"/>
      <c r="B1095" s="26" t="n"/>
      <c r="C1095" s="26" t="n"/>
      <c r="D1095" s="26" t="n"/>
      <c r="E1095" s="30">
        <f>IF(B1095="","",IFERROR(INDEX('Holders'!$B$4:$B$1003,MATCH(B1095,'Holders'!$A$4:$A$1003,0)),""))</f>
        <v/>
      </c>
      <c r="F1095" s="30">
        <f t="array" ref="F1095">IF(B1095="","",_xlfn.TEXTJOIN(", ",TRUE,IF(('Companies'!$A$4:$A$63&lt;&gt;"")*(COUNTIFS('Holdings'!$A$4:$A$2503,B1095,'Holdings'!$J$4:$J$2503,'Companies'!$A$4:$A$63,'Holdings'!$L$4:$L$2503,"Yes",'Holdings'!$C$4:$C$2503,"&gt;0")&gt;0),'Companies'!$A$4:$A$63,"")))</f>
        <v/>
      </c>
      <c r="G1095" s="30">
        <f>IF(A1095="","",IF(COUNTIF('People'!$A$4:$A$1003,A1095)=0,"Email not on People",IF(COUNTIF('Holders'!$A$4:$A$1003,B1095)=0,"Unknown holder ID",IF(COUNTIFS($A$4:$A$1503,A1095,$B$4:$B$1503,B1095)&gt;1,"Duplicate link",IF(C1095="","Missing access","OK")))))</f>
        <v/>
      </c>
    </row>
    <row r="1096">
      <c r="A1096" s="26" t="n"/>
      <c r="B1096" s="26" t="n"/>
      <c r="C1096" s="26" t="n"/>
      <c r="D1096" s="26" t="n"/>
      <c r="E1096" s="30">
        <f>IF(B1096="","",IFERROR(INDEX('Holders'!$B$4:$B$1003,MATCH(B1096,'Holders'!$A$4:$A$1003,0)),""))</f>
        <v/>
      </c>
      <c r="F1096" s="30">
        <f t="array" ref="F1096">IF(B1096="","",_xlfn.TEXTJOIN(", ",TRUE,IF(('Companies'!$A$4:$A$63&lt;&gt;"")*(COUNTIFS('Holdings'!$A$4:$A$2503,B1096,'Holdings'!$J$4:$J$2503,'Companies'!$A$4:$A$63,'Holdings'!$L$4:$L$2503,"Yes",'Holdings'!$C$4:$C$2503,"&gt;0")&gt;0),'Companies'!$A$4:$A$63,"")))</f>
        <v/>
      </c>
      <c r="G1096" s="30">
        <f>IF(A1096="","",IF(COUNTIF('People'!$A$4:$A$1003,A1096)=0,"Email not on People",IF(COUNTIF('Holders'!$A$4:$A$1003,B1096)=0,"Unknown holder ID",IF(COUNTIFS($A$4:$A$1503,A1096,$B$4:$B$1503,B1096)&gt;1,"Duplicate link",IF(C1096="","Missing access","OK")))))</f>
        <v/>
      </c>
    </row>
    <row r="1097">
      <c r="A1097" s="26" t="n"/>
      <c r="B1097" s="26" t="n"/>
      <c r="C1097" s="26" t="n"/>
      <c r="D1097" s="26" t="n"/>
      <c r="E1097" s="30">
        <f>IF(B1097="","",IFERROR(INDEX('Holders'!$B$4:$B$1003,MATCH(B1097,'Holders'!$A$4:$A$1003,0)),""))</f>
        <v/>
      </c>
      <c r="F1097" s="30">
        <f t="array" ref="F1097">IF(B1097="","",_xlfn.TEXTJOIN(", ",TRUE,IF(('Companies'!$A$4:$A$63&lt;&gt;"")*(COUNTIFS('Holdings'!$A$4:$A$2503,B1097,'Holdings'!$J$4:$J$2503,'Companies'!$A$4:$A$63,'Holdings'!$L$4:$L$2503,"Yes",'Holdings'!$C$4:$C$2503,"&gt;0")&gt;0),'Companies'!$A$4:$A$63,"")))</f>
        <v/>
      </c>
      <c r="G1097" s="30">
        <f>IF(A1097="","",IF(COUNTIF('People'!$A$4:$A$1003,A1097)=0,"Email not on People",IF(COUNTIF('Holders'!$A$4:$A$1003,B1097)=0,"Unknown holder ID",IF(COUNTIFS($A$4:$A$1503,A1097,$B$4:$B$1503,B1097)&gt;1,"Duplicate link",IF(C1097="","Missing access","OK")))))</f>
        <v/>
      </c>
    </row>
    <row r="1098">
      <c r="A1098" s="26" t="n"/>
      <c r="B1098" s="26" t="n"/>
      <c r="C1098" s="26" t="n"/>
      <c r="D1098" s="26" t="n"/>
      <c r="E1098" s="30">
        <f>IF(B1098="","",IFERROR(INDEX('Holders'!$B$4:$B$1003,MATCH(B1098,'Holders'!$A$4:$A$1003,0)),""))</f>
        <v/>
      </c>
      <c r="F1098" s="30">
        <f t="array" ref="F1098">IF(B1098="","",_xlfn.TEXTJOIN(", ",TRUE,IF(('Companies'!$A$4:$A$63&lt;&gt;"")*(COUNTIFS('Holdings'!$A$4:$A$2503,B1098,'Holdings'!$J$4:$J$2503,'Companies'!$A$4:$A$63,'Holdings'!$L$4:$L$2503,"Yes",'Holdings'!$C$4:$C$2503,"&gt;0")&gt;0),'Companies'!$A$4:$A$63,"")))</f>
        <v/>
      </c>
      <c r="G1098" s="30">
        <f>IF(A1098="","",IF(COUNTIF('People'!$A$4:$A$1003,A1098)=0,"Email not on People",IF(COUNTIF('Holders'!$A$4:$A$1003,B1098)=0,"Unknown holder ID",IF(COUNTIFS($A$4:$A$1503,A1098,$B$4:$B$1503,B1098)&gt;1,"Duplicate link",IF(C1098="","Missing access","OK")))))</f>
        <v/>
      </c>
    </row>
    <row r="1099">
      <c r="A1099" s="26" t="n"/>
      <c r="B1099" s="26" t="n"/>
      <c r="C1099" s="26" t="n"/>
      <c r="D1099" s="26" t="n"/>
      <c r="E1099" s="30">
        <f>IF(B1099="","",IFERROR(INDEX('Holders'!$B$4:$B$1003,MATCH(B1099,'Holders'!$A$4:$A$1003,0)),""))</f>
        <v/>
      </c>
      <c r="F1099" s="30">
        <f t="array" ref="F1099">IF(B1099="","",_xlfn.TEXTJOIN(", ",TRUE,IF(('Companies'!$A$4:$A$63&lt;&gt;"")*(COUNTIFS('Holdings'!$A$4:$A$2503,B1099,'Holdings'!$J$4:$J$2503,'Companies'!$A$4:$A$63,'Holdings'!$L$4:$L$2503,"Yes",'Holdings'!$C$4:$C$2503,"&gt;0")&gt;0),'Companies'!$A$4:$A$63,"")))</f>
        <v/>
      </c>
      <c r="G1099" s="30">
        <f>IF(A1099="","",IF(COUNTIF('People'!$A$4:$A$1003,A1099)=0,"Email not on People",IF(COUNTIF('Holders'!$A$4:$A$1003,B1099)=0,"Unknown holder ID",IF(COUNTIFS($A$4:$A$1503,A1099,$B$4:$B$1503,B1099)&gt;1,"Duplicate link",IF(C1099="","Missing access","OK")))))</f>
        <v/>
      </c>
    </row>
    <row r="1100">
      <c r="A1100" s="26" t="n"/>
      <c r="B1100" s="26" t="n"/>
      <c r="C1100" s="26" t="n"/>
      <c r="D1100" s="26" t="n"/>
      <c r="E1100" s="30">
        <f>IF(B1100="","",IFERROR(INDEX('Holders'!$B$4:$B$1003,MATCH(B1100,'Holders'!$A$4:$A$1003,0)),""))</f>
        <v/>
      </c>
      <c r="F1100" s="30">
        <f t="array" ref="F1100">IF(B1100="","",_xlfn.TEXTJOIN(", ",TRUE,IF(('Companies'!$A$4:$A$63&lt;&gt;"")*(COUNTIFS('Holdings'!$A$4:$A$2503,B1100,'Holdings'!$J$4:$J$2503,'Companies'!$A$4:$A$63,'Holdings'!$L$4:$L$2503,"Yes",'Holdings'!$C$4:$C$2503,"&gt;0")&gt;0),'Companies'!$A$4:$A$63,"")))</f>
        <v/>
      </c>
      <c r="G1100" s="30">
        <f>IF(A1100="","",IF(COUNTIF('People'!$A$4:$A$1003,A1100)=0,"Email not on People",IF(COUNTIF('Holders'!$A$4:$A$1003,B1100)=0,"Unknown holder ID",IF(COUNTIFS($A$4:$A$1503,A1100,$B$4:$B$1503,B1100)&gt;1,"Duplicate link",IF(C1100="","Missing access","OK")))))</f>
        <v/>
      </c>
    </row>
    <row r="1101">
      <c r="A1101" s="26" t="n"/>
      <c r="B1101" s="26" t="n"/>
      <c r="C1101" s="26" t="n"/>
      <c r="D1101" s="26" t="n"/>
      <c r="E1101" s="30">
        <f>IF(B1101="","",IFERROR(INDEX('Holders'!$B$4:$B$1003,MATCH(B1101,'Holders'!$A$4:$A$1003,0)),""))</f>
        <v/>
      </c>
      <c r="F1101" s="30">
        <f t="array" ref="F1101">IF(B1101="","",_xlfn.TEXTJOIN(", ",TRUE,IF(('Companies'!$A$4:$A$63&lt;&gt;"")*(COUNTIFS('Holdings'!$A$4:$A$2503,B1101,'Holdings'!$J$4:$J$2503,'Companies'!$A$4:$A$63,'Holdings'!$L$4:$L$2503,"Yes",'Holdings'!$C$4:$C$2503,"&gt;0")&gt;0),'Companies'!$A$4:$A$63,"")))</f>
        <v/>
      </c>
      <c r="G1101" s="30">
        <f>IF(A1101="","",IF(COUNTIF('People'!$A$4:$A$1003,A1101)=0,"Email not on People",IF(COUNTIF('Holders'!$A$4:$A$1003,B1101)=0,"Unknown holder ID",IF(COUNTIFS($A$4:$A$1503,A1101,$B$4:$B$1503,B1101)&gt;1,"Duplicate link",IF(C1101="","Missing access","OK")))))</f>
        <v/>
      </c>
    </row>
    <row r="1102">
      <c r="A1102" s="26" t="n"/>
      <c r="B1102" s="26" t="n"/>
      <c r="C1102" s="26" t="n"/>
      <c r="D1102" s="26" t="n"/>
      <c r="E1102" s="30">
        <f>IF(B1102="","",IFERROR(INDEX('Holders'!$B$4:$B$1003,MATCH(B1102,'Holders'!$A$4:$A$1003,0)),""))</f>
        <v/>
      </c>
      <c r="F1102" s="30">
        <f t="array" ref="F1102">IF(B1102="","",_xlfn.TEXTJOIN(", ",TRUE,IF(('Companies'!$A$4:$A$63&lt;&gt;"")*(COUNTIFS('Holdings'!$A$4:$A$2503,B1102,'Holdings'!$J$4:$J$2503,'Companies'!$A$4:$A$63,'Holdings'!$L$4:$L$2503,"Yes",'Holdings'!$C$4:$C$2503,"&gt;0")&gt;0),'Companies'!$A$4:$A$63,"")))</f>
        <v/>
      </c>
      <c r="G1102" s="30">
        <f>IF(A1102="","",IF(COUNTIF('People'!$A$4:$A$1003,A1102)=0,"Email not on People",IF(COUNTIF('Holders'!$A$4:$A$1003,B1102)=0,"Unknown holder ID",IF(COUNTIFS($A$4:$A$1503,A1102,$B$4:$B$1503,B1102)&gt;1,"Duplicate link",IF(C1102="","Missing access","OK")))))</f>
        <v/>
      </c>
    </row>
    <row r="1103">
      <c r="A1103" s="26" t="n"/>
      <c r="B1103" s="26" t="n"/>
      <c r="C1103" s="26" t="n"/>
      <c r="D1103" s="26" t="n"/>
      <c r="E1103" s="30">
        <f>IF(B1103="","",IFERROR(INDEX('Holders'!$B$4:$B$1003,MATCH(B1103,'Holders'!$A$4:$A$1003,0)),""))</f>
        <v/>
      </c>
      <c r="F1103" s="30">
        <f t="array" ref="F1103">IF(B1103="","",_xlfn.TEXTJOIN(", ",TRUE,IF(('Companies'!$A$4:$A$63&lt;&gt;"")*(COUNTIFS('Holdings'!$A$4:$A$2503,B1103,'Holdings'!$J$4:$J$2503,'Companies'!$A$4:$A$63,'Holdings'!$L$4:$L$2503,"Yes",'Holdings'!$C$4:$C$2503,"&gt;0")&gt;0),'Companies'!$A$4:$A$63,"")))</f>
        <v/>
      </c>
      <c r="G1103" s="30">
        <f>IF(A1103="","",IF(COUNTIF('People'!$A$4:$A$1003,A1103)=0,"Email not on People",IF(COUNTIF('Holders'!$A$4:$A$1003,B1103)=0,"Unknown holder ID",IF(COUNTIFS($A$4:$A$1503,A1103,$B$4:$B$1503,B1103)&gt;1,"Duplicate link",IF(C1103="","Missing access","OK")))))</f>
        <v/>
      </c>
    </row>
    <row r="1104">
      <c r="A1104" s="26" t="n"/>
      <c r="B1104" s="26" t="n"/>
      <c r="C1104" s="26" t="n"/>
      <c r="D1104" s="26" t="n"/>
      <c r="E1104" s="30">
        <f>IF(B1104="","",IFERROR(INDEX('Holders'!$B$4:$B$1003,MATCH(B1104,'Holders'!$A$4:$A$1003,0)),""))</f>
        <v/>
      </c>
      <c r="F1104" s="30">
        <f t="array" ref="F1104">IF(B1104="","",_xlfn.TEXTJOIN(", ",TRUE,IF(('Companies'!$A$4:$A$63&lt;&gt;"")*(COUNTIFS('Holdings'!$A$4:$A$2503,B1104,'Holdings'!$J$4:$J$2503,'Companies'!$A$4:$A$63,'Holdings'!$L$4:$L$2503,"Yes",'Holdings'!$C$4:$C$2503,"&gt;0")&gt;0),'Companies'!$A$4:$A$63,"")))</f>
        <v/>
      </c>
      <c r="G1104" s="30">
        <f>IF(A1104="","",IF(COUNTIF('People'!$A$4:$A$1003,A1104)=0,"Email not on People",IF(COUNTIF('Holders'!$A$4:$A$1003,B1104)=0,"Unknown holder ID",IF(COUNTIFS($A$4:$A$1503,A1104,$B$4:$B$1503,B1104)&gt;1,"Duplicate link",IF(C1104="","Missing access","OK")))))</f>
        <v/>
      </c>
    </row>
    <row r="1105">
      <c r="A1105" s="26" t="n"/>
      <c r="B1105" s="26" t="n"/>
      <c r="C1105" s="26" t="n"/>
      <c r="D1105" s="26" t="n"/>
      <c r="E1105" s="30">
        <f>IF(B1105="","",IFERROR(INDEX('Holders'!$B$4:$B$1003,MATCH(B1105,'Holders'!$A$4:$A$1003,0)),""))</f>
        <v/>
      </c>
      <c r="F1105" s="30">
        <f t="array" ref="F1105">IF(B1105="","",_xlfn.TEXTJOIN(", ",TRUE,IF(('Companies'!$A$4:$A$63&lt;&gt;"")*(COUNTIFS('Holdings'!$A$4:$A$2503,B1105,'Holdings'!$J$4:$J$2503,'Companies'!$A$4:$A$63,'Holdings'!$L$4:$L$2503,"Yes",'Holdings'!$C$4:$C$2503,"&gt;0")&gt;0),'Companies'!$A$4:$A$63,"")))</f>
        <v/>
      </c>
      <c r="G1105" s="30">
        <f>IF(A1105="","",IF(COUNTIF('People'!$A$4:$A$1003,A1105)=0,"Email not on People",IF(COUNTIF('Holders'!$A$4:$A$1003,B1105)=0,"Unknown holder ID",IF(COUNTIFS($A$4:$A$1503,A1105,$B$4:$B$1503,B1105)&gt;1,"Duplicate link",IF(C1105="","Missing access","OK")))))</f>
        <v/>
      </c>
    </row>
    <row r="1106">
      <c r="A1106" s="26" t="n"/>
      <c r="B1106" s="26" t="n"/>
      <c r="C1106" s="26" t="n"/>
      <c r="D1106" s="26" t="n"/>
      <c r="E1106" s="30">
        <f>IF(B1106="","",IFERROR(INDEX('Holders'!$B$4:$B$1003,MATCH(B1106,'Holders'!$A$4:$A$1003,0)),""))</f>
        <v/>
      </c>
      <c r="F1106" s="30">
        <f t="array" ref="F1106">IF(B1106="","",_xlfn.TEXTJOIN(", ",TRUE,IF(('Companies'!$A$4:$A$63&lt;&gt;"")*(COUNTIFS('Holdings'!$A$4:$A$2503,B1106,'Holdings'!$J$4:$J$2503,'Companies'!$A$4:$A$63,'Holdings'!$L$4:$L$2503,"Yes",'Holdings'!$C$4:$C$2503,"&gt;0")&gt;0),'Companies'!$A$4:$A$63,"")))</f>
        <v/>
      </c>
      <c r="G1106" s="30">
        <f>IF(A1106="","",IF(COUNTIF('People'!$A$4:$A$1003,A1106)=0,"Email not on People",IF(COUNTIF('Holders'!$A$4:$A$1003,B1106)=0,"Unknown holder ID",IF(COUNTIFS($A$4:$A$1503,A1106,$B$4:$B$1503,B1106)&gt;1,"Duplicate link",IF(C1106="","Missing access","OK")))))</f>
        <v/>
      </c>
    </row>
    <row r="1107">
      <c r="A1107" s="26" t="n"/>
      <c r="B1107" s="26" t="n"/>
      <c r="C1107" s="26" t="n"/>
      <c r="D1107" s="26" t="n"/>
      <c r="E1107" s="30">
        <f>IF(B1107="","",IFERROR(INDEX('Holders'!$B$4:$B$1003,MATCH(B1107,'Holders'!$A$4:$A$1003,0)),""))</f>
        <v/>
      </c>
      <c r="F1107" s="30">
        <f t="array" ref="F1107">IF(B1107="","",_xlfn.TEXTJOIN(", ",TRUE,IF(('Companies'!$A$4:$A$63&lt;&gt;"")*(COUNTIFS('Holdings'!$A$4:$A$2503,B1107,'Holdings'!$J$4:$J$2503,'Companies'!$A$4:$A$63,'Holdings'!$L$4:$L$2503,"Yes",'Holdings'!$C$4:$C$2503,"&gt;0")&gt;0),'Companies'!$A$4:$A$63,"")))</f>
        <v/>
      </c>
      <c r="G1107" s="30">
        <f>IF(A1107="","",IF(COUNTIF('People'!$A$4:$A$1003,A1107)=0,"Email not on People",IF(COUNTIF('Holders'!$A$4:$A$1003,B1107)=0,"Unknown holder ID",IF(COUNTIFS($A$4:$A$1503,A1107,$B$4:$B$1503,B1107)&gt;1,"Duplicate link",IF(C1107="","Missing access","OK")))))</f>
        <v/>
      </c>
    </row>
    <row r="1108">
      <c r="A1108" s="26" t="n"/>
      <c r="B1108" s="26" t="n"/>
      <c r="C1108" s="26" t="n"/>
      <c r="D1108" s="26" t="n"/>
      <c r="E1108" s="30">
        <f>IF(B1108="","",IFERROR(INDEX('Holders'!$B$4:$B$1003,MATCH(B1108,'Holders'!$A$4:$A$1003,0)),""))</f>
        <v/>
      </c>
      <c r="F1108" s="30">
        <f t="array" ref="F1108">IF(B1108="","",_xlfn.TEXTJOIN(", ",TRUE,IF(('Companies'!$A$4:$A$63&lt;&gt;"")*(COUNTIFS('Holdings'!$A$4:$A$2503,B1108,'Holdings'!$J$4:$J$2503,'Companies'!$A$4:$A$63,'Holdings'!$L$4:$L$2503,"Yes",'Holdings'!$C$4:$C$2503,"&gt;0")&gt;0),'Companies'!$A$4:$A$63,"")))</f>
        <v/>
      </c>
      <c r="G1108" s="30">
        <f>IF(A1108="","",IF(COUNTIF('People'!$A$4:$A$1003,A1108)=0,"Email not on People",IF(COUNTIF('Holders'!$A$4:$A$1003,B1108)=0,"Unknown holder ID",IF(COUNTIFS($A$4:$A$1503,A1108,$B$4:$B$1503,B1108)&gt;1,"Duplicate link",IF(C1108="","Missing access","OK")))))</f>
        <v/>
      </c>
    </row>
    <row r="1109">
      <c r="A1109" s="26" t="n"/>
      <c r="B1109" s="26" t="n"/>
      <c r="C1109" s="26" t="n"/>
      <c r="D1109" s="26" t="n"/>
      <c r="E1109" s="30">
        <f>IF(B1109="","",IFERROR(INDEX('Holders'!$B$4:$B$1003,MATCH(B1109,'Holders'!$A$4:$A$1003,0)),""))</f>
        <v/>
      </c>
      <c r="F1109" s="30">
        <f t="array" ref="F1109">IF(B1109="","",_xlfn.TEXTJOIN(", ",TRUE,IF(('Companies'!$A$4:$A$63&lt;&gt;"")*(COUNTIFS('Holdings'!$A$4:$A$2503,B1109,'Holdings'!$J$4:$J$2503,'Companies'!$A$4:$A$63,'Holdings'!$L$4:$L$2503,"Yes",'Holdings'!$C$4:$C$2503,"&gt;0")&gt;0),'Companies'!$A$4:$A$63,"")))</f>
        <v/>
      </c>
      <c r="G1109" s="30">
        <f>IF(A1109="","",IF(COUNTIF('People'!$A$4:$A$1003,A1109)=0,"Email not on People",IF(COUNTIF('Holders'!$A$4:$A$1003,B1109)=0,"Unknown holder ID",IF(COUNTIFS($A$4:$A$1503,A1109,$B$4:$B$1503,B1109)&gt;1,"Duplicate link",IF(C1109="","Missing access","OK")))))</f>
        <v/>
      </c>
    </row>
    <row r="1110">
      <c r="A1110" s="26" t="n"/>
      <c r="B1110" s="26" t="n"/>
      <c r="C1110" s="26" t="n"/>
      <c r="D1110" s="26" t="n"/>
      <c r="E1110" s="30">
        <f>IF(B1110="","",IFERROR(INDEX('Holders'!$B$4:$B$1003,MATCH(B1110,'Holders'!$A$4:$A$1003,0)),""))</f>
        <v/>
      </c>
      <c r="F1110" s="30">
        <f t="array" ref="F1110">IF(B1110="","",_xlfn.TEXTJOIN(", ",TRUE,IF(('Companies'!$A$4:$A$63&lt;&gt;"")*(COUNTIFS('Holdings'!$A$4:$A$2503,B1110,'Holdings'!$J$4:$J$2503,'Companies'!$A$4:$A$63,'Holdings'!$L$4:$L$2503,"Yes",'Holdings'!$C$4:$C$2503,"&gt;0")&gt;0),'Companies'!$A$4:$A$63,"")))</f>
        <v/>
      </c>
      <c r="G1110" s="30">
        <f>IF(A1110="","",IF(COUNTIF('People'!$A$4:$A$1003,A1110)=0,"Email not on People",IF(COUNTIF('Holders'!$A$4:$A$1003,B1110)=0,"Unknown holder ID",IF(COUNTIFS($A$4:$A$1503,A1110,$B$4:$B$1503,B1110)&gt;1,"Duplicate link",IF(C1110="","Missing access","OK")))))</f>
        <v/>
      </c>
    </row>
    <row r="1111">
      <c r="A1111" s="26" t="n"/>
      <c r="B1111" s="26" t="n"/>
      <c r="C1111" s="26" t="n"/>
      <c r="D1111" s="26" t="n"/>
      <c r="E1111" s="30">
        <f>IF(B1111="","",IFERROR(INDEX('Holders'!$B$4:$B$1003,MATCH(B1111,'Holders'!$A$4:$A$1003,0)),""))</f>
        <v/>
      </c>
      <c r="F1111" s="30">
        <f t="array" ref="F1111">IF(B1111="","",_xlfn.TEXTJOIN(", ",TRUE,IF(('Companies'!$A$4:$A$63&lt;&gt;"")*(COUNTIFS('Holdings'!$A$4:$A$2503,B1111,'Holdings'!$J$4:$J$2503,'Companies'!$A$4:$A$63,'Holdings'!$L$4:$L$2503,"Yes",'Holdings'!$C$4:$C$2503,"&gt;0")&gt;0),'Companies'!$A$4:$A$63,"")))</f>
        <v/>
      </c>
      <c r="G1111" s="30">
        <f>IF(A1111="","",IF(COUNTIF('People'!$A$4:$A$1003,A1111)=0,"Email not on People",IF(COUNTIF('Holders'!$A$4:$A$1003,B1111)=0,"Unknown holder ID",IF(COUNTIFS($A$4:$A$1503,A1111,$B$4:$B$1503,B1111)&gt;1,"Duplicate link",IF(C1111="","Missing access","OK")))))</f>
        <v/>
      </c>
    </row>
    <row r="1112">
      <c r="A1112" s="26" t="n"/>
      <c r="B1112" s="26" t="n"/>
      <c r="C1112" s="26" t="n"/>
      <c r="D1112" s="26" t="n"/>
      <c r="E1112" s="30">
        <f>IF(B1112="","",IFERROR(INDEX('Holders'!$B$4:$B$1003,MATCH(B1112,'Holders'!$A$4:$A$1003,0)),""))</f>
        <v/>
      </c>
      <c r="F1112" s="30">
        <f t="array" ref="F1112">IF(B1112="","",_xlfn.TEXTJOIN(", ",TRUE,IF(('Companies'!$A$4:$A$63&lt;&gt;"")*(COUNTIFS('Holdings'!$A$4:$A$2503,B1112,'Holdings'!$J$4:$J$2503,'Companies'!$A$4:$A$63,'Holdings'!$L$4:$L$2503,"Yes",'Holdings'!$C$4:$C$2503,"&gt;0")&gt;0),'Companies'!$A$4:$A$63,"")))</f>
        <v/>
      </c>
      <c r="G1112" s="30">
        <f>IF(A1112="","",IF(COUNTIF('People'!$A$4:$A$1003,A1112)=0,"Email not on People",IF(COUNTIF('Holders'!$A$4:$A$1003,B1112)=0,"Unknown holder ID",IF(COUNTIFS($A$4:$A$1503,A1112,$B$4:$B$1503,B1112)&gt;1,"Duplicate link",IF(C1112="","Missing access","OK")))))</f>
        <v/>
      </c>
    </row>
    <row r="1113">
      <c r="A1113" s="26" t="n"/>
      <c r="B1113" s="26" t="n"/>
      <c r="C1113" s="26" t="n"/>
      <c r="D1113" s="26" t="n"/>
      <c r="E1113" s="30">
        <f>IF(B1113="","",IFERROR(INDEX('Holders'!$B$4:$B$1003,MATCH(B1113,'Holders'!$A$4:$A$1003,0)),""))</f>
        <v/>
      </c>
      <c r="F1113" s="30">
        <f t="array" ref="F1113">IF(B1113="","",_xlfn.TEXTJOIN(", ",TRUE,IF(('Companies'!$A$4:$A$63&lt;&gt;"")*(COUNTIFS('Holdings'!$A$4:$A$2503,B1113,'Holdings'!$J$4:$J$2503,'Companies'!$A$4:$A$63,'Holdings'!$L$4:$L$2503,"Yes",'Holdings'!$C$4:$C$2503,"&gt;0")&gt;0),'Companies'!$A$4:$A$63,"")))</f>
        <v/>
      </c>
      <c r="G1113" s="30">
        <f>IF(A1113="","",IF(COUNTIF('People'!$A$4:$A$1003,A1113)=0,"Email not on People",IF(COUNTIF('Holders'!$A$4:$A$1003,B1113)=0,"Unknown holder ID",IF(COUNTIFS($A$4:$A$1503,A1113,$B$4:$B$1503,B1113)&gt;1,"Duplicate link",IF(C1113="","Missing access","OK")))))</f>
        <v/>
      </c>
    </row>
    <row r="1114">
      <c r="A1114" s="26" t="n"/>
      <c r="B1114" s="26" t="n"/>
      <c r="C1114" s="26" t="n"/>
      <c r="D1114" s="26" t="n"/>
      <c r="E1114" s="30">
        <f>IF(B1114="","",IFERROR(INDEX('Holders'!$B$4:$B$1003,MATCH(B1114,'Holders'!$A$4:$A$1003,0)),""))</f>
        <v/>
      </c>
      <c r="F1114" s="30">
        <f t="array" ref="F1114">IF(B1114="","",_xlfn.TEXTJOIN(", ",TRUE,IF(('Companies'!$A$4:$A$63&lt;&gt;"")*(COUNTIFS('Holdings'!$A$4:$A$2503,B1114,'Holdings'!$J$4:$J$2503,'Companies'!$A$4:$A$63,'Holdings'!$L$4:$L$2503,"Yes",'Holdings'!$C$4:$C$2503,"&gt;0")&gt;0),'Companies'!$A$4:$A$63,"")))</f>
        <v/>
      </c>
      <c r="G1114" s="30">
        <f>IF(A1114="","",IF(COUNTIF('People'!$A$4:$A$1003,A1114)=0,"Email not on People",IF(COUNTIF('Holders'!$A$4:$A$1003,B1114)=0,"Unknown holder ID",IF(COUNTIFS($A$4:$A$1503,A1114,$B$4:$B$1503,B1114)&gt;1,"Duplicate link",IF(C1114="","Missing access","OK")))))</f>
        <v/>
      </c>
    </row>
    <row r="1115">
      <c r="A1115" s="26" t="n"/>
      <c r="B1115" s="26" t="n"/>
      <c r="C1115" s="26" t="n"/>
      <c r="D1115" s="26" t="n"/>
      <c r="E1115" s="30">
        <f>IF(B1115="","",IFERROR(INDEX('Holders'!$B$4:$B$1003,MATCH(B1115,'Holders'!$A$4:$A$1003,0)),""))</f>
        <v/>
      </c>
      <c r="F1115" s="30">
        <f t="array" ref="F1115">IF(B1115="","",_xlfn.TEXTJOIN(", ",TRUE,IF(('Companies'!$A$4:$A$63&lt;&gt;"")*(COUNTIFS('Holdings'!$A$4:$A$2503,B1115,'Holdings'!$J$4:$J$2503,'Companies'!$A$4:$A$63,'Holdings'!$L$4:$L$2503,"Yes",'Holdings'!$C$4:$C$2503,"&gt;0")&gt;0),'Companies'!$A$4:$A$63,"")))</f>
        <v/>
      </c>
      <c r="G1115" s="30">
        <f>IF(A1115="","",IF(COUNTIF('People'!$A$4:$A$1003,A1115)=0,"Email not on People",IF(COUNTIF('Holders'!$A$4:$A$1003,B1115)=0,"Unknown holder ID",IF(COUNTIFS($A$4:$A$1503,A1115,$B$4:$B$1503,B1115)&gt;1,"Duplicate link",IF(C1115="","Missing access","OK")))))</f>
        <v/>
      </c>
    </row>
    <row r="1116">
      <c r="A1116" s="26" t="n"/>
      <c r="B1116" s="26" t="n"/>
      <c r="C1116" s="26" t="n"/>
      <c r="D1116" s="26" t="n"/>
      <c r="E1116" s="30">
        <f>IF(B1116="","",IFERROR(INDEX('Holders'!$B$4:$B$1003,MATCH(B1116,'Holders'!$A$4:$A$1003,0)),""))</f>
        <v/>
      </c>
      <c r="F1116" s="30">
        <f t="array" ref="F1116">IF(B1116="","",_xlfn.TEXTJOIN(", ",TRUE,IF(('Companies'!$A$4:$A$63&lt;&gt;"")*(COUNTIFS('Holdings'!$A$4:$A$2503,B1116,'Holdings'!$J$4:$J$2503,'Companies'!$A$4:$A$63,'Holdings'!$L$4:$L$2503,"Yes",'Holdings'!$C$4:$C$2503,"&gt;0")&gt;0),'Companies'!$A$4:$A$63,"")))</f>
        <v/>
      </c>
      <c r="G1116" s="30">
        <f>IF(A1116="","",IF(COUNTIF('People'!$A$4:$A$1003,A1116)=0,"Email not on People",IF(COUNTIF('Holders'!$A$4:$A$1003,B1116)=0,"Unknown holder ID",IF(COUNTIFS($A$4:$A$1503,A1116,$B$4:$B$1503,B1116)&gt;1,"Duplicate link",IF(C1116="","Missing access","OK")))))</f>
        <v/>
      </c>
    </row>
    <row r="1117">
      <c r="A1117" s="26" t="n"/>
      <c r="B1117" s="26" t="n"/>
      <c r="C1117" s="26" t="n"/>
      <c r="D1117" s="26" t="n"/>
      <c r="E1117" s="30">
        <f>IF(B1117="","",IFERROR(INDEX('Holders'!$B$4:$B$1003,MATCH(B1117,'Holders'!$A$4:$A$1003,0)),""))</f>
        <v/>
      </c>
      <c r="F1117" s="30">
        <f t="array" ref="F1117">IF(B1117="","",_xlfn.TEXTJOIN(", ",TRUE,IF(('Companies'!$A$4:$A$63&lt;&gt;"")*(COUNTIFS('Holdings'!$A$4:$A$2503,B1117,'Holdings'!$J$4:$J$2503,'Companies'!$A$4:$A$63,'Holdings'!$L$4:$L$2503,"Yes",'Holdings'!$C$4:$C$2503,"&gt;0")&gt;0),'Companies'!$A$4:$A$63,"")))</f>
        <v/>
      </c>
      <c r="G1117" s="30">
        <f>IF(A1117="","",IF(COUNTIF('People'!$A$4:$A$1003,A1117)=0,"Email not on People",IF(COUNTIF('Holders'!$A$4:$A$1003,B1117)=0,"Unknown holder ID",IF(COUNTIFS($A$4:$A$1503,A1117,$B$4:$B$1503,B1117)&gt;1,"Duplicate link",IF(C1117="","Missing access","OK")))))</f>
        <v/>
      </c>
    </row>
    <row r="1118">
      <c r="A1118" s="26" t="n"/>
      <c r="B1118" s="26" t="n"/>
      <c r="C1118" s="26" t="n"/>
      <c r="D1118" s="26" t="n"/>
      <c r="E1118" s="30">
        <f>IF(B1118="","",IFERROR(INDEX('Holders'!$B$4:$B$1003,MATCH(B1118,'Holders'!$A$4:$A$1003,0)),""))</f>
        <v/>
      </c>
      <c r="F1118" s="30">
        <f t="array" ref="F1118">IF(B1118="","",_xlfn.TEXTJOIN(", ",TRUE,IF(('Companies'!$A$4:$A$63&lt;&gt;"")*(COUNTIFS('Holdings'!$A$4:$A$2503,B1118,'Holdings'!$J$4:$J$2503,'Companies'!$A$4:$A$63,'Holdings'!$L$4:$L$2503,"Yes",'Holdings'!$C$4:$C$2503,"&gt;0")&gt;0),'Companies'!$A$4:$A$63,"")))</f>
        <v/>
      </c>
      <c r="G1118" s="30">
        <f>IF(A1118="","",IF(COUNTIF('People'!$A$4:$A$1003,A1118)=0,"Email not on People",IF(COUNTIF('Holders'!$A$4:$A$1003,B1118)=0,"Unknown holder ID",IF(COUNTIFS($A$4:$A$1503,A1118,$B$4:$B$1503,B1118)&gt;1,"Duplicate link",IF(C1118="","Missing access","OK")))))</f>
        <v/>
      </c>
    </row>
    <row r="1119">
      <c r="A1119" s="26" t="n"/>
      <c r="B1119" s="26" t="n"/>
      <c r="C1119" s="26" t="n"/>
      <c r="D1119" s="26" t="n"/>
      <c r="E1119" s="30">
        <f>IF(B1119="","",IFERROR(INDEX('Holders'!$B$4:$B$1003,MATCH(B1119,'Holders'!$A$4:$A$1003,0)),""))</f>
        <v/>
      </c>
      <c r="F1119" s="30">
        <f t="array" ref="F1119">IF(B1119="","",_xlfn.TEXTJOIN(", ",TRUE,IF(('Companies'!$A$4:$A$63&lt;&gt;"")*(COUNTIFS('Holdings'!$A$4:$A$2503,B1119,'Holdings'!$J$4:$J$2503,'Companies'!$A$4:$A$63,'Holdings'!$L$4:$L$2503,"Yes",'Holdings'!$C$4:$C$2503,"&gt;0")&gt;0),'Companies'!$A$4:$A$63,"")))</f>
        <v/>
      </c>
      <c r="G1119" s="30">
        <f>IF(A1119="","",IF(COUNTIF('People'!$A$4:$A$1003,A1119)=0,"Email not on People",IF(COUNTIF('Holders'!$A$4:$A$1003,B1119)=0,"Unknown holder ID",IF(COUNTIFS($A$4:$A$1503,A1119,$B$4:$B$1503,B1119)&gt;1,"Duplicate link",IF(C1119="","Missing access","OK")))))</f>
        <v/>
      </c>
    </row>
    <row r="1120">
      <c r="A1120" s="26" t="n"/>
      <c r="B1120" s="26" t="n"/>
      <c r="C1120" s="26" t="n"/>
      <c r="D1120" s="26" t="n"/>
      <c r="E1120" s="30">
        <f>IF(B1120="","",IFERROR(INDEX('Holders'!$B$4:$B$1003,MATCH(B1120,'Holders'!$A$4:$A$1003,0)),""))</f>
        <v/>
      </c>
      <c r="F1120" s="30">
        <f t="array" ref="F1120">IF(B1120="","",_xlfn.TEXTJOIN(", ",TRUE,IF(('Companies'!$A$4:$A$63&lt;&gt;"")*(COUNTIFS('Holdings'!$A$4:$A$2503,B1120,'Holdings'!$J$4:$J$2503,'Companies'!$A$4:$A$63,'Holdings'!$L$4:$L$2503,"Yes",'Holdings'!$C$4:$C$2503,"&gt;0")&gt;0),'Companies'!$A$4:$A$63,"")))</f>
        <v/>
      </c>
      <c r="G1120" s="30">
        <f>IF(A1120="","",IF(COUNTIF('People'!$A$4:$A$1003,A1120)=0,"Email not on People",IF(COUNTIF('Holders'!$A$4:$A$1003,B1120)=0,"Unknown holder ID",IF(COUNTIFS($A$4:$A$1503,A1120,$B$4:$B$1503,B1120)&gt;1,"Duplicate link",IF(C1120="","Missing access","OK")))))</f>
        <v/>
      </c>
    </row>
    <row r="1121">
      <c r="A1121" s="26" t="n"/>
      <c r="B1121" s="26" t="n"/>
      <c r="C1121" s="26" t="n"/>
      <c r="D1121" s="26" t="n"/>
      <c r="E1121" s="30">
        <f>IF(B1121="","",IFERROR(INDEX('Holders'!$B$4:$B$1003,MATCH(B1121,'Holders'!$A$4:$A$1003,0)),""))</f>
        <v/>
      </c>
      <c r="F1121" s="30">
        <f t="array" ref="F1121">IF(B1121="","",_xlfn.TEXTJOIN(", ",TRUE,IF(('Companies'!$A$4:$A$63&lt;&gt;"")*(COUNTIFS('Holdings'!$A$4:$A$2503,B1121,'Holdings'!$J$4:$J$2503,'Companies'!$A$4:$A$63,'Holdings'!$L$4:$L$2503,"Yes",'Holdings'!$C$4:$C$2503,"&gt;0")&gt;0),'Companies'!$A$4:$A$63,"")))</f>
        <v/>
      </c>
      <c r="G1121" s="30">
        <f>IF(A1121="","",IF(COUNTIF('People'!$A$4:$A$1003,A1121)=0,"Email not on People",IF(COUNTIF('Holders'!$A$4:$A$1003,B1121)=0,"Unknown holder ID",IF(COUNTIFS($A$4:$A$1503,A1121,$B$4:$B$1503,B1121)&gt;1,"Duplicate link",IF(C1121="","Missing access","OK")))))</f>
        <v/>
      </c>
    </row>
    <row r="1122">
      <c r="A1122" s="26" t="n"/>
      <c r="B1122" s="26" t="n"/>
      <c r="C1122" s="26" t="n"/>
      <c r="D1122" s="26" t="n"/>
      <c r="E1122" s="30">
        <f>IF(B1122="","",IFERROR(INDEX('Holders'!$B$4:$B$1003,MATCH(B1122,'Holders'!$A$4:$A$1003,0)),""))</f>
        <v/>
      </c>
      <c r="F1122" s="30">
        <f t="array" ref="F1122">IF(B1122="","",_xlfn.TEXTJOIN(", ",TRUE,IF(('Companies'!$A$4:$A$63&lt;&gt;"")*(COUNTIFS('Holdings'!$A$4:$A$2503,B1122,'Holdings'!$J$4:$J$2503,'Companies'!$A$4:$A$63,'Holdings'!$L$4:$L$2503,"Yes",'Holdings'!$C$4:$C$2503,"&gt;0")&gt;0),'Companies'!$A$4:$A$63,"")))</f>
        <v/>
      </c>
      <c r="G1122" s="30">
        <f>IF(A1122="","",IF(COUNTIF('People'!$A$4:$A$1003,A1122)=0,"Email not on People",IF(COUNTIF('Holders'!$A$4:$A$1003,B1122)=0,"Unknown holder ID",IF(COUNTIFS($A$4:$A$1503,A1122,$B$4:$B$1503,B1122)&gt;1,"Duplicate link",IF(C1122="","Missing access","OK")))))</f>
        <v/>
      </c>
    </row>
    <row r="1123">
      <c r="A1123" s="26" t="n"/>
      <c r="B1123" s="26" t="n"/>
      <c r="C1123" s="26" t="n"/>
      <c r="D1123" s="26" t="n"/>
      <c r="E1123" s="30">
        <f>IF(B1123="","",IFERROR(INDEX('Holders'!$B$4:$B$1003,MATCH(B1123,'Holders'!$A$4:$A$1003,0)),""))</f>
        <v/>
      </c>
      <c r="F1123" s="30">
        <f t="array" ref="F1123">IF(B1123="","",_xlfn.TEXTJOIN(", ",TRUE,IF(('Companies'!$A$4:$A$63&lt;&gt;"")*(COUNTIFS('Holdings'!$A$4:$A$2503,B1123,'Holdings'!$J$4:$J$2503,'Companies'!$A$4:$A$63,'Holdings'!$L$4:$L$2503,"Yes",'Holdings'!$C$4:$C$2503,"&gt;0")&gt;0),'Companies'!$A$4:$A$63,"")))</f>
        <v/>
      </c>
      <c r="G1123" s="30">
        <f>IF(A1123="","",IF(COUNTIF('People'!$A$4:$A$1003,A1123)=0,"Email not on People",IF(COUNTIF('Holders'!$A$4:$A$1003,B1123)=0,"Unknown holder ID",IF(COUNTIFS($A$4:$A$1503,A1123,$B$4:$B$1503,B1123)&gt;1,"Duplicate link",IF(C1123="","Missing access","OK")))))</f>
        <v/>
      </c>
    </row>
    <row r="1124">
      <c r="A1124" s="26" t="n"/>
      <c r="B1124" s="26" t="n"/>
      <c r="C1124" s="26" t="n"/>
      <c r="D1124" s="26" t="n"/>
      <c r="E1124" s="30">
        <f>IF(B1124="","",IFERROR(INDEX('Holders'!$B$4:$B$1003,MATCH(B1124,'Holders'!$A$4:$A$1003,0)),""))</f>
        <v/>
      </c>
      <c r="F1124" s="30">
        <f t="array" ref="F1124">IF(B1124="","",_xlfn.TEXTJOIN(", ",TRUE,IF(('Companies'!$A$4:$A$63&lt;&gt;"")*(COUNTIFS('Holdings'!$A$4:$A$2503,B1124,'Holdings'!$J$4:$J$2503,'Companies'!$A$4:$A$63,'Holdings'!$L$4:$L$2503,"Yes",'Holdings'!$C$4:$C$2503,"&gt;0")&gt;0),'Companies'!$A$4:$A$63,"")))</f>
        <v/>
      </c>
      <c r="G1124" s="30">
        <f>IF(A1124="","",IF(COUNTIF('People'!$A$4:$A$1003,A1124)=0,"Email not on People",IF(COUNTIF('Holders'!$A$4:$A$1003,B1124)=0,"Unknown holder ID",IF(COUNTIFS($A$4:$A$1503,A1124,$B$4:$B$1503,B1124)&gt;1,"Duplicate link",IF(C1124="","Missing access","OK")))))</f>
        <v/>
      </c>
    </row>
    <row r="1125">
      <c r="A1125" s="26" t="n"/>
      <c r="B1125" s="26" t="n"/>
      <c r="C1125" s="26" t="n"/>
      <c r="D1125" s="26" t="n"/>
      <c r="E1125" s="30">
        <f>IF(B1125="","",IFERROR(INDEX('Holders'!$B$4:$B$1003,MATCH(B1125,'Holders'!$A$4:$A$1003,0)),""))</f>
        <v/>
      </c>
      <c r="F1125" s="30">
        <f t="array" ref="F1125">IF(B1125="","",_xlfn.TEXTJOIN(", ",TRUE,IF(('Companies'!$A$4:$A$63&lt;&gt;"")*(COUNTIFS('Holdings'!$A$4:$A$2503,B1125,'Holdings'!$J$4:$J$2503,'Companies'!$A$4:$A$63,'Holdings'!$L$4:$L$2503,"Yes",'Holdings'!$C$4:$C$2503,"&gt;0")&gt;0),'Companies'!$A$4:$A$63,"")))</f>
        <v/>
      </c>
      <c r="G1125" s="30">
        <f>IF(A1125="","",IF(COUNTIF('People'!$A$4:$A$1003,A1125)=0,"Email not on People",IF(COUNTIF('Holders'!$A$4:$A$1003,B1125)=0,"Unknown holder ID",IF(COUNTIFS($A$4:$A$1503,A1125,$B$4:$B$1503,B1125)&gt;1,"Duplicate link",IF(C1125="","Missing access","OK")))))</f>
        <v/>
      </c>
    </row>
    <row r="1126">
      <c r="A1126" s="26" t="n"/>
      <c r="B1126" s="26" t="n"/>
      <c r="C1126" s="26" t="n"/>
      <c r="D1126" s="26" t="n"/>
      <c r="E1126" s="30">
        <f>IF(B1126="","",IFERROR(INDEX('Holders'!$B$4:$B$1003,MATCH(B1126,'Holders'!$A$4:$A$1003,0)),""))</f>
        <v/>
      </c>
      <c r="F1126" s="30">
        <f t="array" ref="F1126">IF(B1126="","",_xlfn.TEXTJOIN(", ",TRUE,IF(('Companies'!$A$4:$A$63&lt;&gt;"")*(COUNTIFS('Holdings'!$A$4:$A$2503,B1126,'Holdings'!$J$4:$J$2503,'Companies'!$A$4:$A$63,'Holdings'!$L$4:$L$2503,"Yes",'Holdings'!$C$4:$C$2503,"&gt;0")&gt;0),'Companies'!$A$4:$A$63,"")))</f>
        <v/>
      </c>
      <c r="G1126" s="30">
        <f>IF(A1126="","",IF(COUNTIF('People'!$A$4:$A$1003,A1126)=0,"Email not on People",IF(COUNTIF('Holders'!$A$4:$A$1003,B1126)=0,"Unknown holder ID",IF(COUNTIFS($A$4:$A$1503,A1126,$B$4:$B$1503,B1126)&gt;1,"Duplicate link",IF(C1126="","Missing access","OK")))))</f>
        <v/>
      </c>
    </row>
    <row r="1127">
      <c r="A1127" s="26" t="n"/>
      <c r="B1127" s="26" t="n"/>
      <c r="C1127" s="26" t="n"/>
      <c r="D1127" s="26" t="n"/>
      <c r="E1127" s="30">
        <f>IF(B1127="","",IFERROR(INDEX('Holders'!$B$4:$B$1003,MATCH(B1127,'Holders'!$A$4:$A$1003,0)),""))</f>
        <v/>
      </c>
      <c r="F1127" s="30">
        <f t="array" ref="F1127">IF(B1127="","",_xlfn.TEXTJOIN(", ",TRUE,IF(('Companies'!$A$4:$A$63&lt;&gt;"")*(COUNTIFS('Holdings'!$A$4:$A$2503,B1127,'Holdings'!$J$4:$J$2503,'Companies'!$A$4:$A$63,'Holdings'!$L$4:$L$2503,"Yes",'Holdings'!$C$4:$C$2503,"&gt;0")&gt;0),'Companies'!$A$4:$A$63,"")))</f>
        <v/>
      </c>
      <c r="G1127" s="30">
        <f>IF(A1127="","",IF(COUNTIF('People'!$A$4:$A$1003,A1127)=0,"Email not on People",IF(COUNTIF('Holders'!$A$4:$A$1003,B1127)=0,"Unknown holder ID",IF(COUNTIFS($A$4:$A$1503,A1127,$B$4:$B$1503,B1127)&gt;1,"Duplicate link",IF(C1127="","Missing access","OK")))))</f>
        <v/>
      </c>
    </row>
    <row r="1128">
      <c r="A1128" s="26" t="n"/>
      <c r="B1128" s="26" t="n"/>
      <c r="C1128" s="26" t="n"/>
      <c r="D1128" s="26" t="n"/>
      <c r="E1128" s="30">
        <f>IF(B1128="","",IFERROR(INDEX('Holders'!$B$4:$B$1003,MATCH(B1128,'Holders'!$A$4:$A$1003,0)),""))</f>
        <v/>
      </c>
      <c r="F1128" s="30">
        <f t="array" ref="F1128">IF(B1128="","",_xlfn.TEXTJOIN(", ",TRUE,IF(('Companies'!$A$4:$A$63&lt;&gt;"")*(COUNTIFS('Holdings'!$A$4:$A$2503,B1128,'Holdings'!$J$4:$J$2503,'Companies'!$A$4:$A$63,'Holdings'!$L$4:$L$2503,"Yes",'Holdings'!$C$4:$C$2503,"&gt;0")&gt;0),'Companies'!$A$4:$A$63,"")))</f>
        <v/>
      </c>
      <c r="G1128" s="30">
        <f>IF(A1128="","",IF(COUNTIF('People'!$A$4:$A$1003,A1128)=0,"Email not on People",IF(COUNTIF('Holders'!$A$4:$A$1003,B1128)=0,"Unknown holder ID",IF(COUNTIFS($A$4:$A$1503,A1128,$B$4:$B$1503,B1128)&gt;1,"Duplicate link",IF(C1128="","Missing access","OK")))))</f>
        <v/>
      </c>
    </row>
    <row r="1129">
      <c r="A1129" s="26" t="n"/>
      <c r="B1129" s="26" t="n"/>
      <c r="C1129" s="26" t="n"/>
      <c r="D1129" s="26" t="n"/>
      <c r="E1129" s="30">
        <f>IF(B1129="","",IFERROR(INDEX('Holders'!$B$4:$B$1003,MATCH(B1129,'Holders'!$A$4:$A$1003,0)),""))</f>
        <v/>
      </c>
      <c r="F1129" s="30">
        <f t="array" ref="F1129">IF(B1129="","",_xlfn.TEXTJOIN(", ",TRUE,IF(('Companies'!$A$4:$A$63&lt;&gt;"")*(COUNTIFS('Holdings'!$A$4:$A$2503,B1129,'Holdings'!$J$4:$J$2503,'Companies'!$A$4:$A$63,'Holdings'!$L$4:$L$2503,"Yes",'Holdings'!$C$4:$C$2503,"&gt;0")&gt;0),'Companies'!$A$4:$A$63,"")))</f>
        <v/>
      </c>
      <c r="G1129" s="30">
        <f>IF(A1129="","",IF(COUNTIF('People'!$A$4:$A$1003,A1129)=0,"Email not on People",IF(COUNTIF('Holders'!$A$4:$A$1003,B1129)=0,"Unknown holder ID",IF(COUNTIFS($A$4:$A$1503,A1129,$B$4:$B$1503,B1129)&gt;1,"Duplicate link",IF(C1129="","Missing access","OK")))))</f>
        <v/>
      </c>
    </row>
    <row r="1130">
      <c r="A1130" s="26" t="n"/>
      <c r="B1130" s="26" t="n"/>
      <c r="C1130" s="26" t="n"/>
      <c r="D1130" s="26" t="n"/>
      <c r="E1130" s="30">
        <f>IF(B1130="","",IFERROR(INDEX('Holders'!$B$4:$B$1003,MATCH(B1130,'Holders'!$A$4:$A$1003,0)),""))</f>
        <v/>
      </c>
      <c r="F1130" s="30">
        <f t="array" ref="F1130">IF(B1130="","",_xlfn.TEXTJOIN(", ",TRUE,IF(('Companies'!$A$4:$A$63&lt;&gt;"")*(COUNTIFS('Holdings'!$A$4:$A$2503,B1130,'Holdings'!$J$4:$J$2503,'Companies'!$A$4:$A$63,'Holdings'!$L$4:$L$2503,"Yes",'Holdings'!$C$4:$C$2503,"&gt;0")&gt;0),'Companies'!$A$4:$A$63,"")))</f>
        <v/>
      </c>
      <c r="G1130" s="30">
        <f>IF(A1130="","",IF(COUNTIF('People'!$A$4:$A$1003,A1130)=0,"Email not on People",IF(COUNTIF('Holders'!$A$4:$A$1003,B1130)=0,"Unknown holder ID",IF(COUNTIFS($A$4:$A$1503,A1130,$B$4:$B$1503,B1130)&gt;1,"Duplicate link",IF(C1130="","Missing access","OK")))))</f>
        <v/>
      </c>
    </row>
    <row r="1131">
      <c r="A1131" s="26" t="n"/>
      <c r="B1131" s="26" t="n"/>
      <c r="C1131" s="26" t="n"/>
      <c r="D1131" s="26" t="n"/>
      <c r="E1131" s="30">
        <f>IF(B1131="","",IFERROR(INDEX('Holders'!$B$4:$B$1003,MATCH(B1131,'Holders'!$A$4:$A$1003,0)),""))</f>
        <v/>
      </c>
      <c r="F1131" s="30">
        <f t="array" ref="F1131">IF(B1131="","",_xlfn.TEXTJOIN(", ",TRUE,IF(('Companies'!$A$4:$A$63&lt;&gt;"")*(COUNTIFS('Holdings'!$A$4:$A$2503,B1131,'Holdings'!$J$4:$J$2503,'Companies'!$A$4:$A$63,'Holdings'!$L$4:$L$2503,"Yes",'Holdings'!$C$4:$C$2503,"&gt;0")&gt;0),'Companies'!$A$4:$A$63,"")))</f>
        <v/>
      </c>
      <c r="G1131" s="30">
        <f>IF(A1131="","",IF(COUNTIF('People'!$A$4:$A$1003,A1131)=0,"Email not on People",IF(COUNTIF('Holders'!$A$4:$A$1003,B1131)=0,"Unknown holder ID",IF(COUNTIFS($A$4:$A$1503,A1131,$B$4:$B$1503,B1131)&gt;1,"Duplicate link",IF(C1131="","Missing access","OK")))))</f>
        <v/>
      </c>
    </row>
    <row r="1132">
      <c r="A1132" s="26" t="n"/>
      <c r="B1132" s="26" t="n"/>
      <c r="C1132" s="26" t="n"/>
      <c r="D1132" s="26" t="n"/>
      <c r="E1132" s="30">
        <f>IF(B1132="","",IFERROR(INDEX('Holders'!$B$4:$B$1003,MATCH(B1132,'Holders'!$A$4:$A$1003,0)),""))</f>
        <v/>
      </c>
      <c r="F1132" s="30">
        <f t="array" ref="F1132">IF(B1132="","",_xlfn.TEXTJOIN(", ",TRUE,IF(('Companies'!$A$4:$A$63&lt;&gt;"")*(COUNTIFS('Holdings'!$A$4:$A$2503,B1132,'Holdings'!$J$4:$J$2503,'Companies'!$A$4:$A$63,'Holdings'!$L$4:$L$2503,"Yes",'Holdings'!$C$4:$C$2503,"&gt;0")&gt;0),'Companies'!$A$4:$A$63,"")))</f>
        <v/>
      </c>
      <c r="G1132" s="30">
        <f>IF(A1132="","",IF(COUNTIF('People'!$A$4:$A$1003,A1132)=0,"Email not on People",IF(COUNTIF('Holders'!$A$4:$A$1003,B1132)=0,"Unknown holder ID",IF(COUNTIFS($A$4:$A$1503,A1132,$B$4:$B$1503,B1132)&gt;1,"Duplicate link",IF(C1132="","Missing access","OK")))))</f>
        <v/>
      </c>
    </row>
    <row r="1133">
      <c r="A1133" s="26" t="n"/>
      <c r="B1133" s="26" t="n"/>
      <c r="C1133" s="26" t="n"/>
      <c r="D1133" s="26" t="n"/>
      <c r="E1133" s="30">
        <f>IF(B1133="","",IFERROR(INDEX('Holders'!$B$4:$B$1003,MATCH(B1133,'Holders'!$A$4:$A$1003,0)),""))</f>
        <v/>
      </c>
      <c r="F1133" s="30">
        <f t="array" ref="F1133">IF(B1133="","",_xlfn.TEXTJOIN(", ",TRUE,IF(('Companies'!$A$4:$A$63&lt;&gt;"")*(COUNTIFS('Holdings'!$A$4:$A$2503,B1133,'Holdings'!$J$4:$J$2503,'Companies'!$A$4:$A$63,'Holdings'!$L$4:$L$2503,"Yes",'Holdings'!$C$4:$C$2503,"&gt;0")&gt;0),'Companies'!$A$4:$A$63,"")))</f>
        <v/>
      </c>
      <c r="G1133" s="30">
        <f>IF(A1133="","",IF(COUNTIF('People'!$A$4:$A$1003,A1133)=0,"Email not on People",IF(COUNTIF('Holders'!$A$4:$A$1003,B1133)=0,"Unknown holder ID",IF(COUNTIFS($A$4:$A$1503,A1133,$B$4:$B$1503,B1133)&gt;1,"Duplicate link",IF(C1133="","Missing access","OK")))))</f>
        <v/>
      </c>
    </row>
    <row r="1134">
      <c r="A1134" s="26" t="n"/>
      <c r="B1134" s="26" t="n"/>
      <c r="C1134" s="26" t="n"/>
      <c r="D1134" s="26" t="n"/>
      <c r="E1134" s="30">
        <f>IF(B1134="","",IFERROR(INDEX('Holders'!$B$4:$B$1003,MATCH(B1134,'Holders'!$A$4:$A$1003,0)),""))</f>
        <v/>
      </c>
      <c r="F1134" s="30">
        <f t="array" ref="F1134">IF(B1134="","",_xlfn.TEXTJOIN(", ",TRUE,IF(('Companies'!$A$4:$A$63&lt;&gt;"")*(COUNTIFS('Holdings'!$A$4:$A$2503,B1134,'Holdings'!$J$4:$J$2503,'Companies'!$A$4:$A$63,'Holdings'!$L$4:$L$2503,"Yes",'Holdings'!$C$4:$C$2503,"&gt;0")&gt;0),'Companies'!$A$4:$A$63,"")))</f>
        <v/>
      </c>
      <c r="G1134" s="30">
        <f>IF(A1134="","",IF(COUNTIF('People'!$A$4:$A$1003,A1134)=0,"Email not on People",IF(COUNTIF('Holders'!$A$4:$A$1003,B1134)=0,"Unknown holder ID",IF(COUNTIFS($A$4:$A$1503,A1134,$B$4:$B$1503,B1134)&gt;1,"Duplicate link",IF(C1134="","Missing access","OK")))))</f>
        <v/>
      </c>
    </row>
    <row r="1135">
      <c r="A1135" s="26" t="n"/>
      <c r="B1135" s="26" t="n"/>
      <c r="C1135" s="26" t="n"/>
      <c r="D1135" s="26" t="n"/>
      <c r="E1135" s="30">
        <f>IF(B1135="","",IFERROR(INDEX('Holders'!$B$4:$B$1003,MATCH(B1135,'Holders'!$A$4:$A$1003,0)),""))</f>
        <v/>
      </c>
      <c r="F1135" s="30">
        <f t="array" ref="F1135">IF(B1135="","",_xlfn.TEXTJOIN(", ",TRUE,IF(('Companies'!$A$4:$A$63&lt;&gt;"")*(COUNTIFS('Holdings'!$A$4:$A$2503,B1135,'Holdings'!$J$4:$J$2503,'Companies'!$A$4:$A$63,'Holdings'!$L$4:$L$2503,"Yes",'Holdings'!$C$4:$C$2503,"&gt;0")&gt;0),'Companies'!$A$4:$A$63,"")))</f>
        <v/>
      </c>
      <c r="G1135" s="30">
        <f>IF(A1135="","",IF(COUNTIF('People'!$A$4:$A$1003,A1135)=0,"Email not on People",IF(COUNTIF('Holders'!$A$4:$A$1003,B1135)=0,"Unknown holder ID",IF(COUNTIFS($A$4:$A$1503,A1135,$B$4:$B$1503,B1135)&gt;1,"Duplicate link",IF(C1135="","Missing access","OK")))))</f>
        <v/>
      </c>
    </row>
    <row r="1136">
      <c r="A1136" s="26" t="n"/>
      <c r="B1136" s="26" t="n"/>
      <c r="C1136" s="26" t="n"/>
      <c r="D1136" s="26" t="n"/>
      <c r="E1136" s="30">
        <f>IF(B1136="","",IFERROR(INDEX('Holders'!$B$4:$B$1003,MATCH(B1136,'Holders'!$A$4:$A$1003,0)),""))</f>
        <v/>
      </c>
      <c r="F1136" s="30">
        <f t="array" ref="F1136">IF(B1136="","",_xlfn.TEXTJOIN(", ",TRUE,IF(('Companies'!$A$4:$A$63&lt;&gt;"")*(COUNTIFS('Holdings'!$A$4:$A$2503,B1136,'Holdings'!$J$4:$J$2503,'Companies'!$A$4:$A$63,'Holdings'!$L$4:$L$2503,"Yes",'Holdings'!$C$4:$C$2503,"&gt;0")&gt;0),'Companies'!$A$4:$A$63,"")))</f>
        <v/>
      </c>
      <c r="G1136" s="30">
        <f>IF(A1136="","",IF(COUNTIF('People'!$A$4:$A$1003,A1136)=0,"Email not on People",IF(COUNTIF('Holders'!$A$4:$A$1003,B1136)=0,"Unknown holder ID",IF(COUNTIFS($A$4:$A$1503,A1136,$B$4:$B$1503,B1136)&gt;1,"Duplicate link",IF(C1136="","Missing access","OK")))))</f>
        <v/>
      </c>
    </row>
    <row r="1137">
      <c r="A1137" s="26" t="n"/>
      <c r="B1137" s="26" t="n"/>
      <c r="C1137" s="26" t="n"/>
      <c r="D1137" s="26" t="n"/>
      <c r="E1137" s="30">
        <f>IF(B1137="","",IFERROR(INDEX('Holders'!$B$4:$B$1003,MATCH(B1137,'Holders'!$A$4:$A$1003,0)),""))</f>
        <v/>
      </c>
      <c r="F1137" s="30">
        <f t="array" ref="F1137">IF(B1137="","",_xlfn.TEXTJOIN(", ",TRUE,IF(('Companies'!$A$4:$A$63&lt;&gt;"")*(COUNTIFS('Holdings'!$A$4:$A$2503,B1137,'Holdings'!$J$4:$J$2503,'Companies'!$A$4:$A$63,'Holdings'!$L$4:$L$2503,"Yes",'Holdings'!$C$4:$C$2503,"&gt;0")&gt;0),'Companies'!$A$4:$A$63,"")))</f>
        <v/>
      </c>
      <c r="G1137" s="30">
        <f>IF(A1137="","",IF(COUNTIF('People'!$A$4:$A$1003,A1137)=0,"Email not on People",IF(COUNTIF('Holders'!$A$4:$A$1003,B1137)=0,"Unknown holder ID",IF(COUNTIFS($A$4:$A$1503,A1137,$B$4:$B$1503,B1137)&gt;1,"Duplicate link",IF(C1137="","Missing access","OK")))))</f>
        <v/>
      </c>
    </row>
    <row r="1138">
      <c r="A1138" s="26" t="n"/>
      <c r="B1138" s="26" t="n"/>
      <c r="C1138" s="26" t="n"/>
      <c r="D1138" s="26" t="n"/>
      <c r="E1138" s="30">
        <f>IF(B1138="","",IFERROR(INDEX('Holders'!$B$4:$B$1003,MATCH(B1138,'Holders'!$A$4:$A$1003,0)),""))</f>
        <v/>
      </c>
      <c r="F1138" s="30">
        <f t="array" ref="F1138">IF(B1138="","",_xlfn.TEXTJOIN(", ",TRUE,IF(('Companies'!$A$4:$A$63&lt;&gt;"")*(COUNTIFS('Holdings'!$A$4:$A$2503,B1138,'Holdings'!$J$4:$J$2503,'Companies'!$A$4:$A$63,'Holdings'!$L$4:$L$2503,"Yes",'Holdings'!$C$4:$C$2503,"&gt;0")&gt;0),'Companies'!$A$4:$A$63,"")))</f>
        <v/>
      </c>
      <c r="G1138" s="30">
        <f>IF(A1138="","",IF(COUNTIF('People'!$A$4:$A$1003,A1138)=0,"Email not on People",IF(COUNTIF('Holders'!$A$4:$A$1003,B1138)=0,"Unknown holder ID",IF(COUNTIFS($A$4:$A$1503,A1138,$B$4:$B$1503,B1138)&gt;1,"Duplicate link",IF(C1138="","Missing access","OK")))))</f>
        <v/>
      </c>
    </row>
    <row r="1139">
      <c r="A1139" s="26" t="n"/>
      <c r="B1139" s="26" t="n"/>
      <c r="C1139" s="26" t="n"/>
      <c r="D1139" s="26" t="n"/>
      <c r="E1139" s="30">
        <f>IF(B1139="","",IFERROR(INDEX('Holders'!$B$4:$B$1003,MATCH(B1139,'Holders'!$A$4:$A$1003,0)),""))</f>
        <v/>
      </c>
      <c r="F1139" s="30">
        <f t="array" ref="F1139">IF(B1139="","",_xlfn.TEXTJOIN(", ",TRUE,IF(('Companies'!$A$4:$A$63&lt;&gt;"")*(COUNTIFS('Holdings'!$A$4:$A$2503,B1139,'Holdings'!$J$4:$J$2503,'Companies'!$A$4:$A$63,'Holdings'!$L$4:$L$2503,"Yes",'Holdings'!$C$4:$C$2503,"&gt;0")&gt;0),'Companies'!$A$4:$A$63,"")))</f>
        <v/>
      </c>
      <c r="G1139" s="30">
        <f>IF(A1139="","",IF(COUNTIF('People'!$A$4:$A$1003,A1139)=0,"Email not on People",IF(COUNTIF('Holders'!$A$4:$A$1003,B1139)=0,"Unknown holder ID",IF(COUNTIFS($A$4:$A$1503,A1139,$B$4:$B$1503,B1139)&gt;1,"Duplicate link",IF(C1139="","Missing access","OK")))))</f>
        <v/>
      </c>
    </row>
    <row r="1140">
      <c r="A1140" s="26" t="n"/>
      <c r="B1140" s="26" t="n"/>
      <c r="C1140" s="26" t="n"/>
      <c r="D1140" s="26" t="n"/>
      <c r="E1140" s="30">
        <f>IF(B1140="","",IFERROR(INDEX('Holders'!$B$4:$B$1003,MATCH(B1140,'Holders'!$A$4:$A$1003,0)),""))</f>
        <v/>
      </c>
      <c r="F1140" s="30">
        <f t="array" ref="F1140">IF(B1140="","",_xlfn.TEXTJOIN(", ",TRUE,IF(('Companies'!$A$4:$A$63&lt;&gt;"")*(COUNTIFS('Holdings'!$A$4:$A$2503,B1140,'Holdings'!$J$4:$J$2503,'Companies'!$A$4:$A$63,'Holdings'!$L$4:$L$2503,"Yes",'Holdings'!$C$4:$C$2503,"&gt;0")&gt;0),'Companies'!$A$4:$A$63,"")))</f>
        <v/>
      </c>
      <c r="G1140" s="30">
        <f>IF(A1140="","",IF(COUNTIF('People'!$A$4:$A$1003,A1140)=0,"Email not on People",IF(COUNTIF('Holders'!$A$4:$A$1003,B1140)=0,"Unknown holder ID",IF(COUNTIFS($A$4:$A$1503,A1140,$B$4:$B$1503,B1140)&gt;1,"Duplicate link",IF(C1140="","Missing access","OK")))))</f>
        <v/>
      </c>
    </row>
    <row r="1141">
      <c r="A1141" s="26" t="n"/>
      <c r="B1141" s="26" t="n"/>
      <c r="C1141" s="26" t="n"/>
      <c r="D1141" s="26" t="n"/>
      <c r="E1141" s="30">
        <f>IF(B1141="","",IFERROR(INDEX('Holders'!$B$4:$B$1003,MATCH(B1141,'Holders'!$A$4:$A$1003,0)),""))</f>
        <v/>
      </c>
      <c r="F1141" s="30">
        <f t="array" ref="F1141">IF(B1141="","",_xlfn.TEXTJOIN(", ",TRUE,IF(('Companies'!$A$4:$A$63&lt;&gt;"")*(COUNTIFS('Holdings'!$A$4:$A$2503,B1141,'Holdings'!$J$4:$J$2503,'Companies'!$A$4:$A$63,'Holdings'!$L$4:$L$2503,"Yes",'Holdings'!$C$4:$C$2503,"&gt;0")&gt;0),'Companies'!$A$4:$A$63,"")))</f>
        <v/>
      </c>
      <c r="G1141" s="30">
        <f>IF(A1141="","",IF(COUNTIF('People'!$A$4:$A$1003,A1141)=0,"Email not on People",IF(COUNTIF('Holders'!$A$4:$A$1003,B1141)=0,"Unknown holder ID",IF(COUNTIFS($A$4:$A$1503,A1141,$B$4:$B$1503,B1141)&gt;1,"Duplicate link",IF(C1141="","Missing access","OK")))))</f>
        <v/>
      </c>
    </row>
    <row r="1142">
      <c r="A1142" s="26" t="n"/>
      <c r="B1142" s="26" t="n"/>
      <c r="C1142" s="26" t="n"/>
      <c r="D1142" s="26" t="n"/>
      <c r="E1142" s="30">
        <f>IF(B1142="","",IFERROR(INDEX('Holders'!$B$4:$B$1003,MATCH(B1142,'Holders'!$A$4:$A$1003,0)),""))</f>
        <v/>
      </c>
      <c r="F1142" s="30">
        <f t="array" ref="F1142">IF(B1142="","",_xlfn.TEXTJOIN(", ",TRUE,IF(('Companies'!$A$4:$A$63&lt;&gt;"")*(COUNTIFS('Holdings'!$A$4:$A$2503,B1142,'Holdings'!$J$4:$J$2503,'Companies'!$A$4:$A$63,'Holdings'!$L$4:$L$2503,"Yes",'Holdings'!$C$4:$C$2503,"&gt;0")&gt;0),'Companies'!$A$4:$A$63,"")))</f>
        <v/>
      </c>
      <c r="G1142" s="30">
        <f>IF(A1142="","",IF(COUNTIF('People'!$A$4:$A$1003,A1142)=0,"Email not on People",IF(COUNTIF('Holders'!$A$4:$A$1003,B1142)=0,"Unknown holder ID",IF(COUNTIFS($A$4:$A$1503,A1142,$B$4:$B$1503,B1142)&gt;1,"Duplicate link",IF(C1142="","Missing access","OK")))))</f>
        <v/>
      </c>
    </row>
    <row r="1143">
      <c r="A1143" s="26" t="n"/>
      <c r="B1143" s="26" t="n"/>
      <c r="C1143" s="26" t="n"/>
      <c r="D1143" s="26" t="n"/>
      <c r="E1143" s="30">
        <f>IF(B1143="","",IFERROR(INDEX('Holders'!$B$4:$B$1003,MATCH(B1143,'Holders'!$A$4:$A$1003,0)),""))</f>
        <v/>
      </c>
      <c r="F1143" s="30">
        <f t="array" ref="F1143">IF(B1143="","",_xlfn.TEXTJOIN(", ",TRUE,IF(('Companies'!$A$4:$A$63&lt;&gt;"")*(COUNTIFS('Holdings'!$A$4:$A$2503,B1143,'Holdings'!$J$4:$J$2503,'Companies'!$A$4:$A$63,'Holdings'!$L$4:$L$2503,"Yes",'Holdings'!$C$4:$C$2503,"&gt;0")&gt;0),'Companies'!$A$4:$A$63,"")))</f>
        <v/>
      </c>
      <c r="G1143" s="30">
        <f>IF(A1143="","",IF(COUNTIF('People'!$A$4:$A$1003,A1143)=0,"Email not on People",IF(COUNTIF('Holders'!$A$4:$A$1003,B1143)=0,"Unknown holder ID",IF(COUNTIFS($A$4:$A$1503,A1143,$B$4:$B$1503,B1143)&gt;1,"Duplicate link",IF(C1143="","Missing access","OK")))))</f>
        <v/>
      </c>
    </row>
    <row r="1144">
      <c r="A1144" s="26" t="n"/>
      <c r="B1144" s="26" t="n"/>
      <c r="C1144" s="26" t="n"/>
      <c r="D1144" s="26" t="n"/>
      <c r="E1144" s="30">
        <f>IF(B1144="","",IFERROR(INDEX('Holders'!$B$4:$B$1003,MATCH(B1144,'Holders'!$A$4:$A$1003,0)),""))</f>
        <v/>
      </c>
      <c r="F1144" s="30">
        <f t="array" ref="F1144">IF(B1144="","",_xlfn.TEXTJOIN(", ",TRUE,IF(('Companies'!$A$4:$A$63&lt;&gt;"")*(COUNTIFS('Holdings'!$A$4:$A$2503,B1144,'Holdings'!$J$4:$J$2503,'Companies'!$A$4:$A$63,'Holdings'!$L$4:$L$2503,"Yes",'Holdings'!$C$4:$C$2503,"&gt;0")&gt;0),'Companies'!$A$4:$A$63,"")))</f>
        <v/>
      </c>
      <c r="G1144" s="30">
        <f>IF(A1144="","",IF(COUNTIF('People'!$A$4:$A$1003,A1144)=0,"Email not on People",IF(COUNTIF('Holders'!$A$4:$A$1003,B1144)=0,"Unknown holder ID",IF(COUNTIFS($A$4:$A$1503,A1144,$B$4:$B$1503,B1144)&gt;1,"Duplicate link",IF(C1144="","Missing access","OK")))))</f>
        <v/>
      </c>
    </row>
    <row r="1145">
      <c r="A1145" s="26" t="n"/>
      <c r="B1145" s="26" t="n"/>
      <c r="C1145" s="26" t="n"/>
      <c r="D1145" s="26" t="n"/>
      <c r="E1145" s="30">
        <f>IF(B1145="","",IFERROR(INDEX('Holders'!$B$4:$B$1003,MATCH(B1145,'Holders'!$A$4:$A$1003,0)),""))</f>
        <v/>
      </c>
      <c r="F1145" s="30">
        <f t="array" ref="F1145">IF(B1145="","",_xlfn.TEXTJOIN(", ",TRUE,IF(('Companies'!$A$4:$A$63&lt;&gt;"")*(COUNTIFS('Holdings'!$A$4:$A$2503,B1145,'Holdings'!$J$4:$J$2503,'Companies'!$A$4:$A$63,'Holdings'!$L$4:$L$2503,"Yes",'Holdings'!$C$4:$C$2503,"&gt;0")&gt;0),'Companies'!$A$4:$A$63,"")))</f>
        <v/>
      </c>
      <c r="G1145" s="30">
        <f>IF(A1145="","",IF(COUNTIF('People'!$A$4:$A$1003,A1145)=0,"Email not on People",IF(COUNTIF('Holders'!$A$4:$A$1003,B1145)=0,"Unknown holder ID",IF(COUNTIFS($A$4:$A$1503,A1145,$B$4:$B$1503,B1145)&gt;1,"Duplicate link",IF(C1145="","Missing access","OK")))))</f>
        <v/>
      </c>
    </row>
    <row r="1146">
      <c r="A1146" s="26" t="n"/>
      <c r="B1146" s="26" t="n"/>
      <c r="C1146" s="26" t="n"/>
      <c r="D1146" s="26" t="n"/>
      <c r="E1146" s="30">
        <f>IF(B1146="","",IFERROR(INDEX('Holders'!$B$4:$B$1003,MATCH(B1146,'Holders'!$A$4:$A$1003,0)),""))</f>
        <v/>
      </c>
      <c r="F1146" s="30">
        <f t="array" ref="F1146">IF(B1146="","",_xlfn.TEXTJOIN(", ",TRUE,IF(('Companies'!$A$4:$A$63&lt;&gt;"")*(COUNTIFS('Holdings'!$A$4:$A$2503,B1146,'Holdings'!$J$4:$J$2503,'Companies'!$A$4:$A$63,'Holdings'!$L$4:$L$2503,"Yes",'Holdings'!$C$4:$C$2503,"&gt;0")&gt;0),'Companies'!$A$4:$A$63,"")))</f>
        <v/>
      </c>
      <c r="G1146" s="30">
        <f>IF(A1146="","",IF(COUNTIF('People'!$A$4:$A$1003,A1146)=0,"Email not on People",IF(COUNTIF('Holders'!$A$4:$A$1003,B1146)=0,"Unknown holder ID",IF(COUNTIFS($A$4:$A$1503,A1146,$B$4:$B$1503,B1146)&gt;1,"Duplicate link",IF(C1146="","Missing access","OK")))))</f>
        <v/>
      </c>
    </row>
    <row r="1147">
      <c r="A1147" s="26" t="n"/>
      <c r="B1147" s="26" t="n"/>
      <c r="C1147" s="26" t="n"/>
      <c r="D1147" s="26" t="n"/>
      <c r="E1147" s="30">
        <f>IF(B1147="","",IFERROR(INDEX('Holders'!$B$4:$B$1003,MATCH(B1147,'Holders'!$A$4:$A$1003,0)),""))</f>
        <v/>
      </c>
      <c r="F1147" s="30">
        <f t="array" ref="F1147">IF(B1147="","",_xlfn.TEXTJOIN(", ",TRUE,IF(('Companies'!$A$4:$A$63&lt;&gt;"")*(COUNTIFS('Holdings'!$A$4:$A$2503,B1147,'Holdings'!$J$4:$J$2503,'Companies'!$A$4:$A$63,'Holdings'!$L$4:$L$2503,"Yes",'Holdings'!$C$4:$C$2503,"&gt;0")&gt;0),'Companies'!$A$4:$A$63,"")))</f>
        <v/>
      </c>
      <c r="G1147" s="30">
        <f>IF(A1147="","",IF(COUNTIF('People'!$A$4:$A$1003,A1147)=0,"Email not on People",IF(COUNTIF('Holders'!$A$4:$A$1003,B1147)=0,"Unknown holder ID",IF(COUNTIFS($A$4:$A$1503,A1147,$B$4:$B$1503,B1147)&gt;1,"Duplicate link",IF(C1147="","Missing access","OK")))))</f>
        <v/>
      </c>
    </row>
    <row r="1148">
      <c r="A1148" s="26" t="n"/>
      <c r="B1148" s="26" t="n"/>
      <c r="C1148" s="26" t="n"/>
      <c r="D1148" s="26" t="n"/>
      <c r="E1148" s="30">
        <f>IF(B1148="","",IFERROR(INDEX('Holders'!$B$4:$B$1003,MATCH(B1148,'Holders'!$A$4:$A$1003,0)),""))</f>
        <v/>
      </c>
      <c r="F1148" s="30">
        <f t="array" ref="F1148">IF(B1148="","",_xlfn.TEXTJOIN(", ",TRUE,IF(('Companies'!$A$4:$A$63&lt;&gt;"")*(COUNTIFS('Holdings'!$A$4:$A$2503,B1148,'Holdings'!$J$4:$J$2503,'Companies'!$A$4:$A$63,'Holdings'!$L$4:$L$2503,"Yes",'Holdings'!$C$4:$C$2503,"&gt;0")&gt;0),'Companies'!$A$4:$A$63,"")))</f>
        <v/>
      </c>
      <c r="G1148" s="30">
        <f>IF(A1148="","",IF(COUNTIF('People'!$A$4:$A$1003,A1148)=0,"Email not on People",IF(COUNTIF('Holders'!$A$4:$A$1003,B1148)=0,"Unknown holder ID",IF(COUNTIFS($A$4:$A$1503,A1148,$B$4:$B$1503,B1148)&gt;1,"Duplicate link",IF(C1148="","Missing access","OK")))))</f>
        <v/>
      </c>
    </row>
    <row r="1149">
      <c r="A1149" s="26" t="n"/>
      <c r="B1149" s="26" t="n"/>
      <c r="C1149" s="26" t="n"/>
      <c r="D1149" s="26" t="n"/>
      <c r="E1149" s="30">
        <f>IF(B1149="","",IFERROR(INDEX('Holders'!$B$4:$B$1003,MATCH(B1149,'Holders'!$A$4:$A$1003,0)),""))</f>
        <v/>
      </c>
      <c r="F1149" s="30">
        <f t="array" ref="F1149">IF(B1149="","",_xlfn.TEXTJOIN(", ",TRUE,IF(('Companies'!$A$4:$A$63&lt;&gt;"")*(COUNTIFS('Holdings'!$A$4:$A$2503,B1149,'Holdings'!$J$4:$J$2503,'Companies'!$A$4:$A$63,'Holdings'!$L$4:$L$2503,"Yes",'Holdings'!$C$4:$C$2503,"&gt;0")&gt;0),'Companies'!$A$4:$A$63,"")))</f>
        <v/>
      </c>
      <c r="G1149" s="30">
        <f>IF(A1149="","",IF(COUNTIF('People'!$A$4:$A$1003,A1149)=0,"Email not on People",IF(COUNTIF('Holders'!$A$4:$A$1003,B1149)=0,"Unknown holder ID",IF(COUNTIFS($A$4:$A$1503,A1149,$B$4:$B$1503,B1149)&gt;1,"Duplicate link",IF(C1149="","Missing access","OK")))))</f>
        <v/>
      </c>
    </row>
    <row r="1150">
      <c r="A1150" s="26" t="n"/>
      <c r="B1150" s="26" t="n"/>
      <c r="C1150" s="26" t="n"/>
      <c r="D1150" s="26" t="n"/>
      <c r="E1150" s="30">
        <f>IF(B1150="","",IFERROR(INDEX('Holders'!$B$4:$B$1003,MATCH(B1150,'Holders'!$A$4:$A$1003,0)),""))</f>
        <v/>
      </c>
      <c r="F1150" s="30">
        <f t="array" ref="F1150">IF(B1150="","",_xlfn.TEXTJOIN(", ",TRUE,IF(('Companies'!$A$4:$A$63&lt;&gt;"")*(COUNTIFS('Holdings'!$A$4:$A$2503,B1150,'Holdings'!$J$4:$J$2503,'Companies'!$A$4:$A$63,'Holdings'!$L$4:$L$2503,"Yes",'Holdings'!$C$4:$C$2503,"&gt;0")&gt;0),'Companies'!$A$4:$A$63,"")))</f>
        <v/>
      </c>
      <c r="G1150" s="30">
        <f>IF(A1150="","",IF(COUNTIF('People'!$A$4:$A$1003,A1150)=0,"Email not on People",IF(COUNTIF('Holders'!$A$4:$A$1003,B1150)=0,"Unknown holder ID",IF(COUNTIFS($A$4:$A$1503,A1150,$B$4:$B$1503,B1150)&gt;1,"Duplicate link",IF(C1150="","Missing access","OK")))))</f>
        <v/>
      </c>
    </row>
    <row r="1151">
      <c r="A1151" s="26" t="n"/>
      <c r="B1151" s="26" t="n"/>
      <c r="C1151" s="26" t="n"/>
      <c r="D1151" s="26" t="n"/>
      <c r="E1151" s="30">
        <f>IF(B1151="","",IFERROR(INDEX('Holders'!$B$4:$B$1003,MATCH(B1151,'Holders'!$A$4:$A$1003,0)),""))</f>
        <v/>
      </c>
      <c r="F1151" s="30">
        <f t="array" ref="F1151">IF(B1151="","",_xlfn.TEXTJOIN(", ",TRUE,IF(('Companies'!$A$4:$A$63&lt;&gt;"")*(COUNTIFS('Holdings'!$A$4:$A$2503,B1151,'Holdings'!$J$4:$J$2503,'Companies'!$A$4:$A$63,'Holdings'!$L$4:$L$2503,"Yes",'Holdings'!$C$4:$C$2503,"&gt;0")&gt;0),'Companies'!$A$4:$A$63,"")))</f>
        <v/>
      </c>
      <c r="G1151" s="30">
        <f>IF(A1151="","",IF(COUNTIF('People'!$A$4:$A$1003,A1151)=0,"Email not on People",IF(COUNTIF('Holders'!$A$4:$A$1003,B1151)=0,"Unknown holder ID",IF(COUNTIFS($A$4:$A$1503,A1151,$B$4:$B$1503,B1151)&gt;1,"Duplicate link",IF(C1151="","Missing access","OK")))))</f>
        <v/>
      </c>
    </row>
    <row r="1152">
      <c r="A1152" s="26" t="n"/>
      <c r="B1152" s="26" t="n"/>
      <c r="C1152" s="26" t="n"/>
      <c r="D1152" s="26" t="n"/>
      <c r="E1152" s="30">
        <f>IF(B1152="","",IFERROR(INDEX('Holders'!$B$4:$B$1003,MATCH(B1152,'Holders'!$A$4:$A$1003,0)),""))</f>
        <v/>
      </c>
      <c r="F1152" s="30">
        <f t="array" ref="F1152">IF(B1152="","",_xlfn.TEXTJOIN(", ",TRUE,IF(('Companies'!$A$4:$A$63&lt;&gt;"")*(COUNTIFS('Holdings'!$A$4:$A$2503,B1152,'Holdings'!$J$4:$J$2503,'Companies'!$A$4:$A$63,'Holdings'!$L$4:$L$2503,"Yes",'Holdings'!$C$4:$C$2503,"&gt;0")&gt;0),'Companies'!$A$4:$A$63,"")))</f>
        <v/>
      </c>
      <c r="G1152" s="30">
        <f>IF(A1152="","",IF(COUNTIF('People'!$A$4:$A$1003,A1152)=0,"Email not on People",IF(COUNTIF('Holders'!$A$4:$A$1003,B1152)=0,"Unknown holder ID",IF(COUNTIFS($A$4:$A$1503,A1152,$B$4:$B$1503,B1152)&gt;1,"Duplicate link",IF(C1152="","Missing access","OK")))))</f>
        <v/>
      </c>
    </row>
    <row r="1153">
      <c r="A1153" s="26" t="n"/>
      <c r="B1153" s="26" t="n"/>
      <c r="C1153" s="26" t="n"/>
      <c r="D1153" s="26" t="n"/>
      <c r="E1153" s="30">
        <f>IF(B1153="","",IFERROR(INDEX('Holders'!$B$4:$B$1003,MATCH(B1153,'Holders'!$A$4:$A$1003,0)),""))</f>
        <v/>
      </c>
      <c r="F1153" s="30">
        <f t="array" ref="F1153">IF(B1153="","",_xlfn.TEXTJOIN(", ",TRUE,IF(('Companies'!$A$4:$A$63&lt;&gt;"")*(COUNTIFS('Holdings'!$A$4:$A$2503,B1153,'Holdings'!$J$4:$J$2503,'Companies'!$A$4:$A$63,'Holdings'!$L$4:$L$2503,"Yes",'Holdings'!$C$4:$C$2503,"&gt;0")&gt;0),'Companies'!$A$4:$A$63,"")))</f>
        <v/>
      </c>
      <c r="G1153" s="30">
        <f>IF(A1153="","",IF(COUNTIF('People'!$A$4:$A$1003,A1153)=0,"Email not on People",IF(COUNTIF('Holders'!$A$4:$A$1003,B1153)=0,"Unknown holder ID",IF(COUNTIFS($A$4:$A$1503,A1153,$B$4:$B$1503,B1153)&gt;1,"Duplicate link",IF(C1153="","Missing access","OK")))))</f>
        <v/>
      </c>
    </row>
    <row r="1154">
      <c r="A1154" s="26" t="n"/>
      <c r="B1154" s="26" t="n"/>
      <c r="C1154" s="26" t="n"/>
      <c r="D1154" s="26" t="n"/>
      <c r="E1154" s="30">
        <f>IF(B1154="","",IFERROR(INDEX('Holders'!$B$4:$B$1003,MATCH(B1154,'Holders'!$A$4:$A$1003,0)),""))</f>
        <v/>
      </c>
      <c r="F1154" s="30">
        <f t="array" ref="F1154">IF(B1154="","",_xlfn.TEXTJOIN(", ",TRUE,IF(('Companies'!$A$4:$A$63&lt;&gt;"")*(COUNTIFS('Holdings'!$A$4:$A$2503,B1154,'Holdings'!$J$4:$J$2503,'Companies'!$A$4:$A$63,'Holdings'!$L$4:$L$2503,"Yes",'Holdings'!$C$4:$C$2503,"&gt;0")&gt;0),'Companies'!$A$4:$A$63,"")))</f>
        <v/>
      </c>
      <c r="G1154" s="30">
        <f>IF(A1154="","",IF(COUNTIF('People'!$A$4:$A$1003,A1154)=0,"Email not on People",IF(COUNTIF('Holders'!$A$4:$A$1003,B1154)=0,"Unknown holder ID",IF(COUNTIFS($A$4:$A$1503,A1154,$B$4:$B$1503,B1154)&gt;1,"Duplicate link",IF(C1154="","Missing access","OK")))))</f>
        <v/>
      </c>
    </row>
    <row r="1155">
      <c r="A1155" s="26" t="n"/>
      <c r="B1155" s="26" t="n"/>
      <c r="C1155" s="26" t="n"/>
      <c r="D1155" s="26" t="n"/>
      <c r="E1155" s="30">
        <f>IF(B1155="","",IFERROR(INDEX('Holders'!$B$4:$B$1003,MATCH(B1155,'Holders'!$A$4:$A$1003,0)),""))</f>
        <v/>
      </c>
      <c r="F1155" s="30">
        <f t="array" ref="F1155">IF(B1155="","",_xlfn.TEXTJOIN(", ",TRUE,IF(('Companies'!$A$4:$A$63&lt;&gt;"")*(COUNTIFS('Holdings'!$A$4:$A$2503,B1155,'Holdings'!$J$4:$J$2503,'Companies'!$A$4:$A$63,'Holdings'!$L$4:$L$2503,"Yes",'Holdings'!$C$4:$C$2503,"&gt;0")&gt;0),'Companies'!$A$4:$A$63,"")))</f>
        <v/>
      </c>
      <c r="G1155" s="30">
        <f>IF(A1155="","",IF(COUNTIF('People'!$A$4:$A$1003,A1155)=0,"Email not on People",IF(COUNTIF('Holders'!$A$4:$A$1003,B1155)=0,"Unknown holder ID",IF(COUNTIFS($A$4:$A$1503,A1155,$B$4:$B$1503,B1155)&gt;1,"Duplicate link",IF(C1155="","Missing access","OK")))))</f>
        <v/>
      </c>
    </row>
    <row r="1156">
      <c r="A1156" s="26" t="n"/>
      <c r="B1156" s="26" t="n"/>
      <c r="C1156" s="26" t="n"/>
      <c r="D1156" s="26" t="n"/>
      <c r="E1156" s="30">
        <f>IF(B1156="","",IFERROR(INDEX('Holders'!$B$4:$B$1003,MATCH(B1156,'Holders'!$A$4:$A$1003,0)),""))</f>
        <v/>
      </c>
      <c r="F1156" s="30">
        <f t="array" ref="F1156">IF(B1156="","",_xlfn.TEXTJOIN(", ",TRUE,IF(('Companies'!$A$4:$A$63&lt;&gt;"")*(COUNTIFS('Holdings'!$A$4:$A$2503,B1156,'Holdings'!$J$4:$J$2503,'Companies'!$A$4:$A$63,'Holdings'!$L$4:$L$2503,"Yes",'Holdings'!$C$4:$C$2503,"&gt;0")&gt;0),'Companies'!$A$4:$A$63,"")))</f>
        <v/>
      </c>
      <c r="G1156" s="30">
        <f>IF(A1156="","",IF(COUNTIF('People'!$A$4:$A$1003,A1156)=0,"Email not on People",IF(COUNTIF('Holders'!$A$4:$A$1003,B1156)=0,"Unknown holder ID",IF(COUNTIFS($A$4:$A$1503,A1156,$B$4:$B$1503,B1156)&gt;1,"Duplicate link",IF(C1156="","Missing access","OK")))))</f>
        <v/>
      </c>
    </row>
    <row r="1157">
      <c r="A1157" s="26" t="n"/>
      <c r="B1157" s="26" t="n"/>
      <c r="C1157" s="26" t="n"/>
      <c r="D1157" s="26" t="n"/>
      <c r="E1157" s="30">
        <f>IF(B1157="","",IFERROR(INDEX('Holders'!$B$4:$B$1003,MATCH(B1157,'Holders'!$A$4:$A$1003,0)),""))</f>
        <v/>
      </c>
      <c r="F1157" s="30">
        <f t="array" ref="F1157">IF(B1157="","",_xlfn.TEXTJOIN(", ",TRUE,IF(('Companies'!$A$4:$A$63&lt;&gt;"")*(COUNTIFS('Holdings'!$A$4:$A$2503,B1157,'Holdings'!$J$4:$J$2503,'Companies'!$A$4:$A$63,'Holdings'!$L$4:$L$2503,"Yes",'Holdings'!$C$4:$C$2503,"&gt;0")&gt;0),'Companies'!$A$4:$A$63,"")))</f>
        <v/>
      </c>
      <c r="G1157" s="30">
        <f>IF(A1157="","",IF(COUNTIF('People'!$A$4:$A$1003,A1157)=0,"Email not on People",IF(COUNTIF('Holders'!$A$4:$A$1003,B1157)=0,"Unknown holder ID",IF(COUNTIFS($A$4:$A$1503,A1157,$B$4:$B$1503,B1157)&gt;1,"Duplicate link",IF(C1157="","Missing access","OK")))))</f>
        <v/>
      </c>
    </row>
    <row r="1158">
      <c r="A1158" s="26" t="n"/>
      <c r="B1158" s="26" t="n"/>
      <c r="C1158" s="26" t="n"/>
      <c r="D1158" s="26" t="n"/>
      <c r="E1158" s="30">
        <f>IF(B1158="","",IFERROR(INDEX('Holders'!$B$4:$B$1003,MATCH(B1158,'Holders'!$A$4:$A$1003,0)),""))</f>
        <v/>
      </c>
      <c r="F1158" s="30">
        <f t="array" ref="F1158">IF(B1158="","",_xlfn.TEXTJOIN(", ",TRUE,IF(('Companies'!$A$4:$A$63&lt;&gt;"")*(COUNTIFS('Holdings'!$A$4:$A$2503,B1158,'Holdings'!$J$4:$J$2503,'Companies'!$A$4:$A$63,'Holdings'!$L$4:$L$2503,"Yes",'Holdings'!$C$4:$C$2503,"&gt;0")&gt;0),'Companies'!$A$4:$A$63,"")))</f>
        <v/>
      </c>
      <c r="G1158" s="30">
        <f>IF(A1158="","",IF(COUNTIF('People'!$A$4:$A$1003,A1158)=0,"Email not on People",IF(COUNTIF('Holders'!$A$4:$A$1003,B1158)=0,"Unknown holder ID",IF(COUNTIFS($A$4:$A$1503,A1158,$B$4:$B$1503,B1158)&gt;1,"Duplicate link",IF(C1158="","Missing access","OK")))))</f>
        <v/>
      </c>
    </row>
    <row r="1159">
      <c r="A1159" s="26" t="n"/>
      <c r="B1159" s="26" t="n"/>
      <c r="C1159" s="26" t="n"/>
      <c r="D1159" s="26" t="n"/>
      <c r="E1159" s="30">
        <f>IF(B1159="","",IFERROR(INDEX('Holders'!$B$4:$B$1003,MATCH(B1159,'Holders'!$A$4:$A$1003,0)),""))</f>
        <v/>
      </c>
      <c r="F1159" s="30">
        <f t="array" ref="F1159">IF(B1159="","",_xlfn.TEXTJOIN(", ",TRUE,IF(('Companies'!$A$4:$A$63&lt;&gt;"")*(COUNTIFS('Holdings'!$A$4:$A$2503,B1159,'Holdings'!$J$4:$J$2503,'Companies'!$A$4:$A$63,'Holdings'!$L$4:$L$2503,"Yes",'Holdings'!$C$4:$C$2503,"&gt;0")&gt;0),'Companies'!$A$4:$A$63,"")))</f>
        <v/>
      </c>
      <c r="G1159" s="30">
        <f>IF(A1159="","",IF(COUNTIF('People'!$A$4:$A$1003,A1159)=0,"Email not on People",IF(COUNTIF('Holders'!$A$4:$A$1003,B1159)=0,"Unknown holder ID",IF(COUNTIFS($A$4:$A$1503,A1159,$B$4:$B$1503,B1159)&gt;1,"Duplicate link",IF(C1159="","Missing access","OK")))))</f>
        <v/>
      </c>
    </row>
    <row r="1160">
      <c r="A1160" s="26" t="n"/>
      <c r="B1160" s="26" t="n"/>
      <c r="C1160" s="26" t="n"/>
      <c r="D1160" s="26" t="n"/>
      <c r="E1160" s="30">
        <f>IF(B1160="","",IFERROR(INDEX('Holders'!$B$4:$B$1003,MATCH(B1160,'Holders'!$A$4:$A$1003,0)),""))</f>
        <v/>
      </c>
      <c r="F1160" s="30">
        <f t="array" ref="F1160">IF(B1160="","",_xlfn.TEXTJOIN(", ",TRUE,IF(('Companies'!$A$4:$A$63&lt;&gt;"")*(COUNTIFS('Holdings'!$A$4:$A$2503,B1160,'Holdings'!$J$4:$J$2503,'Companies'!$A$4:$A$63,'Holdings'!$L$4:$L$2503,"Yes",'Holdings'!$C$4:$C$2503,"&gt;0")&gt;0),'Companies'!$A$4:$A$63,"")))</f>
        <v/>
      </c>
      <c r="G1160" s="30">
        <f>IF(A1160="","",IF(COUNTIF('People'!$A$4:$A$1003,A1160)=0,"Email not on People",IF(COUNTIF('Holders'!$A$4:$A$1003,B1160)=0,"Unknown holder ID",IF(COUNTIFS($A$4:$A$1503,A1160,$B$4:$B$1503,B1160)&gt;1,"Duplicate link",IF(C1160="","Missing access","OK")))))</f>
        <v/>
      </c>
    </row>
    <row r="1161">
      <c r="A1161" s="26" t="n"/>
      <c r="B1161" s="26" t="n"/>
      <c r="C1161" s="26" t="n"/>
      <c r="D1161" s="26" t="n"/>
      <c r="E1161" s="30">
        <f>IF(B1161="","",IFERROR(INDEX('Holders'!$B$4:$B$1003,MATCH(B1161,'Holders'!$A$4:$A$1003,0)),""))</f>
        <v/>
      </c>
      <c r="F1161" s="30">
        <f t="array" ref="F1161">IF(B1161="","",_xlfn.TEXTJOIN(", ",TRUE,IF(('Companies'!$A$4:$A$63&lt;&gt;"")*(COUNTIFS('Holdings'!$A$4:$A$2503,B1161,'Holdings'!$J$4:$J$2503,'Companies'!$A$4:$A$63,'Holdings'!$L$4:$L$2503,"Yes",'Holdings'!$C$4:$C$2503,"&gt;0")&gt;0),'Companies'!$A$4:$A$63,"")))</f>
        <v/>
      </c>
      <c r="G1161" s="30">
        <f>IF(A1161="","",IF(COUNTIF('People'!$A$4:$A$1003,A1161)=0,"Email not on People",IF(COUNTIF('Holders'!$A$4:$A$1003,B1161)=0,"Unknown holder ID",IF(COUNTIFS($A$4:$A$1503,A1161,$B$4:$B$1503,B1161)&gt;1,"Duplicate link",IF(C1161="","Missing access","OK")))))</f>
        <v/>
      </c>
    </row>
    <row r="1162">
      <c r="A1162" s="26" t="n"/>
      <c r="B1162" s="26" t="n"/>
      <c r="C1162" s="26" t="n"/>
      <c r="D1162" s="26" t="n"/>
      <c r="E1162" s="30">
        <f>IF(B1162="","",IFERROR(INDEX('Holders'!$B$4:$B$1003,MATCH(B1162,'Holders'!$A$4:$A$1003,0)),""))</f>
        <v/>
      </c>
      <c r="F1162" s="30">
        <f t="array" ref="F1162">IF(B1162="","",_xlfn.TEXTJOIN(", ",TRUE,IF(('Companies'!$A$4:$A$63&lt;&gt;"")*(COUNTIFS('Holdings'!$A$4:$A$2503,B1162,'Holdings'!$J$4:$J$2503,'Companies'!$A$4:$A$63,'Holdings'!$L$4:$L$2503,"Yes",'Holdings'!$C$4:$C$2503,"&gt;0")&gt;0),'Companies'!$A$4:$A$63,"")))</f>
        <v/>
      </c>
      <c r="G1162" s="30">
        <f>IF(A1162="","",IF(COUNTIF('People'!$A$4:$A$1003,A1162)=0,"Email not on People",IF(COUNTIF('Holders'!$A$4:$A$1003,B1162)=0,"Unknown holder ID",IF(COUNTIFS($A$4:$A$1503,A1162,$B$4:$B$1503,B1162)&gt;1,"Duplicate link",IF(C1162="","Missing access","OK")))))</f>
        <v/>
      </c>
    </row>
    <row r="1163">
      <c r="A1163" s="26" t="n"/>
      <c r="B1163" s="26" t="n"/>
      <c r="C1163" s="26" t="n"/>
      <c r="D1163" s="26" t="n"/>
      <c r="E1163" s="30">
        <f>IF(B1163="","",IFERROR(INDEX('Holders'!$B$4:$B$1003,MATCH(B1163,'Holders'!$A$4:$A$1003,0)),""))</f>
        <v/>
      </c>
      <c r="F1163" s="30">
        <f t="array" ref="F1163">IF(B1163="","",_xlfn.TEXTJOIN(", ",TRUE,IF(('Companies'!$A$4:$A$63&lt;&gt;"")*(COUNTIFS('Holdings'!$A$4:$A$2503,B1163,'Holdings'!$J$4:$J$2503,'Companies'!$A$4:$A$63,'Holdings'!$L$4:$L$2503,"Yes",'Holdings'!$C$4:$C$2503,"&gt;0")&gt;0),'Companies'!$A$4:$A$63,"")))</f>
        <v/>
      </c>
      <c r="G1163" s="30">
        <f>IF(A1163="","",IF(COUNTIF('People'!$A$4:$A$1003,A1163)=0,"Email not on People",IF(COUNTIF('Holders'!$A$4:$A$1003,B1163)=0,"Unknown holder ID",IF(COUNTIFS($A$4:$A$1503,A1163,$B$4:$B$1503,B1163)&gt;1,"Duplicate link",IF(C1163="","Missing access","OK")))))</f>
        <v/>
      </c>
    </row>
    <row r="1164">
      <c r="A1164" s="26" t="n"/>
      <c r="B1164" s="26" t="n"/>
      <c r="C1164" s="26" t="n"/>
      <c r="D1164" s="26" t="n"/>
      <c r="E1164" s="30">
        <f>IF(B1164="","",IFERROR(INDEX('Holders'!$B$4:$B$1003,MATCH(B1164,'Holders'!$A$4:$A$1003,0)),""))</f>
        <v/>
      </c>
      <c r="F1164" s="30">
        <f t="array" ref="F1164">IF(B1164="","",_xlfn.TEXTJOIN(", ",TRUE,IF(('Companies'!$A$4:$A$63&lt;&gt;"")*(COUNTIFS('Holdings'!$A$4:$A$2503,B1164,'Holdings'!$J$4:$J$2503,'Companies'!$A$4:$A$63,'Holdings'!$L$4:$L$2503,"Yes",'Holdings'!$C$4:$C$2503,"&gt;0")&gt;0),'Companies'!$A$4:$A$63,"")))</f>
        <v/>
      </c>
      <c r="G1164" s="30">
        <f>IF(A1164="","",IF(COUNTIF('People'!$A$4:$A$1003,A1164)=0,"Email not on People",IF(COUNTIF('Holders'!$A$4:$A$1003,B1164)=0,"Unknown holder ID",IF(COUNTIFS($A$4:$A$1503,A1164,$B$4:$B$1503,B1164)&gt;1,"Duplicate link",IF(C1164="","Missing access","OK")))))</f>
        <v/>
      </c>
    </row>
    <row r="1165">
      <c r="A1165" s="26" t="n"/>
      <c r="B1165" s="26" t="n"/>
      <c r="C1165" s="26" t="n"/>
      <c r="D1165" s="26" t="n"/>
      <c r="E1165" s="30">
        <f>IF(B1165="","",IFERROR(INDEX('Holders'!$B$4:$B$1003,MATCH(B1165,'Holders'!$A$4:$A$1003,0)),""))</f>
        <v/>
      </c>
      <c r="F1165" s="30">
        <f t="array" ref="F1165">IF(B1165="","",_xlfn.TEXTJOIN(", ",TRUE,IF(('Companies'!$A$4:$A$63&lt;&gt;"")*(COUNTIFS('Holdings'!$A$4:$A$2503,B1165,'Holdings'!$J$4:$J$2503,'Companies'!$A$4:$A$63,'Holdings'!$L$4:$L$2503,"Yes",'Holdings'!$C$4:$C$2503,"&gt;0")&gt;0),'Companies'!$A$4:$A$63,"")))</f>
        <v/>
      </c>
      <c r="G1165" s="30">
        <f>IF(A1165="","",IF(COUNTIF('People'!$A$4:$A$1003,A1165)=0,"Email not on People",IF(COUNTIF('Holders'!$A$4:$A$1003,B1165)=0,"Unknown holder ID",IF(COUNTIFS($A$4:$A$1503,A1165,$B$4:$B$1503,B1165)&gt;1,"Duplicate link",IF(C1165="","Missing access","OK")))))</f>
        <v/>
      </c>
    </row>
    <row r="1166">
      <c r="A1166" s="26" t="n"/>
      <c r="B1166" s="26" t="n"/>
      <c r="C1166" s="26" t="n"/>
      <c r="D1166" s="26" t="n"/>
      <c r="E1166" s="30">
        <f>IF(B1166="","",IFERROR(INDEX('Holders'!$B$4:$B$1003,MATCH(B1166,'Holders'!$A$4:$A$1003,0)),""))</f>
        <v/>
      </c>
      <c r="F1166" s="30">
        <f t="array" ref="F1166">IF(B1166="","",_xlfn.TEXTJOIN(", ",TRUE,IF(('Companies'!$A$4:$A$63&lt;&gt;"")*(COUNTIFS('Holdings'!$A$4:$A$2503,B1166,'Holdings'!$J$4:$J$2503,'Companies'!$A$4:$A$63,'Holdings'!$L$4:$L$2503,"Yes",'Holdings'!$C$4:$C$2503,"&gt;0")&gt;0),'Companies'!$A$4:$A$63,"")))</f>
        <v/>
      </c>
      <c r="G1166" s="30">
        <f>IF(A1166="","",IF(COUNTIF('People'!$A$4:$A$1003,A1166)=0,"Email not on People",IF(COUNTIF('Holders'!$A$4:$A$1003,B1166)=0,"Unknown holder ID",IF(COUNTIFS($A$4:$A$1503,A1166,$B$4:$B$1503,B1166)&gt;1,"Duplicate link",IF(C1166="","Missing access","OK")))))</f>
        <v/>
      </c>
    </row>
    <row r="1167">
      <c r="A1167" s="26" t="n"/>
      <c r="B1167" s="26" t="n"/>
      <c r="C1167" s="26" t="n"/>
      <c r="D1167" s="26" t="n"/>
      <c r="E1167" s="30">
        <f>IF(B1167="","",IFERROR(INDEX('Holders'!$B$4:$B$1003,MATCH(B1167,'Holders'!$A$4:$A$1003,0)),""))</f>
        <v/>
      </c>
      <c r="F1167" s="30">
        <f t="array" ref="F1167">IF(B1167="","",_xlfn.TEXTJOIN(", ",TRUE,IF(('Companies'!$A$4:$A$63&lt;&gt;"")*(COUNTIFS('Holdings'!$A$4:$A$2503,B1167,'Holdings'!$J$4:$J$2503,'Companies'!$A$4:$A$63,'Holdings'!$L$4:$L$2503,"Yes",'Holdings'!$C$4:$C$2503,"&gt;0")&gt;0),'Companies'!$A$4:$A$63,"")))</f>
        <v/>
      </c>
      <c r="G1167" s="30">
        <f>IF(A1167="","",IF(COUNTIF('People'!$A$4:$A$1003,A1167)=0,"Email not on People",IF(COUNTIF('Holders'!$A$4:$A$1003,B1167)=0,"Unknown holder ID",IF(COUNTIFS($A$4:$A$1503,A1167,$B$4:$B$1503,B1167)&gt;1,"Duplicate link",IF(C1167="","Missing access","OK")))))</f>
        <v/>
      </c>
    </row>
    <row r="1168">
      <c r="A1168" s="26" t="n"/>
      <c r="B1168" s="26" t="n"/>
      <c r="C1168" s="26" t="n"/>
      <c r="D1168" s="26" t="n"/>
      <c r="E1168" s="30">
        <f>IF(B1168="","",IFERROR(INDEX('Holders'!$B$4:$B$1003,MATCH(B1168,'Holders'!$A$4:$A$1003,0)),""))</f>
        <v/>
      </c>
      <c r="F1168" s="30">
        <f t="array" ref="F1168">IF(B1168="","",_xlfn.TEXTJOIN(", ",TRUE,IF(('Companies'!$A$4:$A$63&lt;&gt;"")*(COUNTIFS('Holdings'!$A$4:$A$2503,B1168,'Holdings'!$J$4:$J$2503,'Companies'!$A$4:$A$63,'Holdings'!$L$4:$L$2503,"Yes",'Holdings'!$C$4:$C$2503,"&gt;0")&gt;0),'Companies'!$A$4:$A$63,"")))</f>
        <v/>
      </c>
      <c r="G1168" s="30">
        <f>IF(A1168="","",IF(COUNTIF('People'!$A$4:$A$1003,A1168)=0,"Email not on People",IF(COUNTIF('Holders'!$A$4:$A$1003,B1168)=0,"Unknown holder ID",IF(COUNTIFS($A$4:$A$1503,A1168,$B$4:$B$1503,B1168)&gt;1,"Duplicate link",IF(C1168="","Missing access","OK")))))</f>
        <v/>
      </c>
    </row>
    <row r="1169">
      <c r="A1169" s="26" t="n"/>
      <c r="B1169" s="26" t="n"/>
      <c r="C1169" s="26" t="n"/>
      <c r="D1169" s="26" t="n"/>
      <c r="E1169" s="30">
        <f>IF(B1169="","",IFERROR(INDEX('Holders'!$B$4:$B$1003,MATCH(B1169,'Holders'!$A$4:$A$1003,0)),""))</f>
        <v/>
      </c>
      <c r="F1169" s="30">
        <f t="array" ref="F1169">IF(B1169="","",_xlfn.TEXTJOIN(", ",TRUE,IF(('Companies'!$A$4:$A$63&lt;&gt;"")*(COUNTIFS('Holdings'!$A$4:$A$2503,B1169,'Holdings'!$J$4:$J$2503,'Companies'!$A$4:$A$63,'Holdings'!$L$4:$L$2503,"Yes",'Holdings'!$C$4:$C$2503,"&gt;0")&gt;0),'Companies'!$A$4:$A$63,"")))</f>
        <v/>
      </c>
      <c r="G1169" s="30">
        <f>IF(A1169="","",IF(COUNTIF('People'!$A$4:$A$1003,A1169)=0,"Email not on People",IF(COUNTIF('Holders'!$A$4:$A$1003,B1169)=0,"Unknown holder ID",IF(COUNTIFS($A$4:$A$1503,A1169,$B$4:$B$1503,B1169)&gt;1,"Duplicate link",IF(C1169="","Missing access","OK")))))</f>
        <v/>
      </c>
    </row>
    <row r="1170">
      <c r="A1170" s="26" t="n"/>
      <c r="B1170" s="26" t="n"/>
      <c r="C1170" s="26" t="n"/>
      <c r="D1170" s="26" t="n"/>
      <c r="E1170" s="30">
        <f>IF(B1170="","",IFERROR(INDEX('Holders'!$B$4:$B$1003,MATCH(B1170,'Holders'!$A$4:$A$1003,0)),""))</f>
        <v/>
      </c>
      <c r="F1170" s="30">
        <f t="array" ref="F1170">IF(B1170="","",_xlfn.TEXTJOIN(", ",TRUE,IF(('Companies'!$A$4:$A$63&lt;&gt;"")*(COUNTIFS('Holdings'!$A$4:$A$2503,B1170,'Holdings'!$J$4:$J$2503,'Companies'!$A$4:$A$63,'Holdings'!$L$4:$L$2503,"Yes",'Holdings'!$C$4:$C$2503,"&gt;0")&gt;0),'Companies'!$A$4:$A$63,"")))</f>
        <v/>
      </c>
      <c r="G1170" s="30">
        <f>IF(A1170="","",IF(COUNTIF('People'!$A$4:$A$1003,A1170)=0,"Email not on People",IF(COUNTIF('Holders'!$A$4:$A$1003,B1170)=0,"Unknown holder ID",IF(COUNTIFS($A$4:$A$1503,A1170,$B$4:$B$1503,B1170)&gt;1,"Duplicate link",IF(C1170="","Missing access","OK")))))</f>
        <v/>
      </c>
    </row>
    <row r="1171">
      <c r="A1171" s="26" t="n"/>
      <c r="B1171" s="26" t="n"/>
      <c r="C1171" s="26" t="n"/>
      <c r="D1171" s="26" t="n"/>
      <c r="E1171" s="30">
        <f>IF(B1171="","",IFERROR(INDEX('Holders'!$B$4:$B$1003,MATCH(B1171,'Holders'!$A$4:$A$1003,0)),""))</f>
        <v/>
      </c>
      <c r="F1171" s="30">
        <f t="array" ref="F1171">IF(B1171="","",_xlfn.TEXTJOIN(", ",TRUE,IF(('Companies'!$A$4:$A$63&lt;&gt;"")*(COUNTIFS('Holdings'!$A$4:$A$2503,B1171,'Holdings'!$J$4:$J$2503,'Companies'!$A$4:$A$63,'Holdings'!$L$4:$L$2503,"Yes",'Holdings'!$C$4:$C$2503,"&gt;0")&gt;0),'Companies'!$A$4:$A$63,"")))</f>
        <v/>
      </c>
      <c r="G1171" s="30">
        <f>IF(A1171="","",IF(COUNTIF('People'!$A$4:$A$1003,A1171)=0,"Email not on People",IF(COUNTIF('Holders'!$A$4:$A$1003,B1171)=0,"Unknown holder ID",IF(COUNTIFS($A$4:$A$1503,A1171,$B$4:$B$1503,B1171)&gt;1,"Duplicate link",IF(C1171="","Missing access","OK")))))</f>
        <v/>
      </c>
    </row>
    <row r="1172">
      <c r="A1172" s="26" t="n"/>
      <c r="B1172" s="26" t="n"/>
      <c r="C1172" s="26" t="n"/>
      <c r="D1172" s="26" t="n"/>
      <c r="E1172" s="30">
        <f>IF(B1172="","",IFERROR(INDEX('Holders'!$B$4:$B$1003,MATCH(B1172,'Holders'!$A$4:$A$1003,0)),""))</f>
        <v/>
      </c>
      <c r="F1172" s="30">
        <f t="array" ref="F1172">IF(B1172="","",_xlfn.TEXTJOIN(", ",TRUE,IF(('Companies'!$A$4:$A$63&lt;&gt;"")*(COUNTIFS('Holdings'!$A$4:$A$2503,B1172,'Holdings'!$J$4:$J$2503,'Companies'!$A$4:$A$63,'Holdings'!$L$4:$L$2503,"Yes",'Holdings'!$C$4:$C$2503,"&gt;0")&gt;0),'Companies'!$A$4:$A$63,"")))</f>
        <v/>
      </c>
      <c r="G1172" s="30">
        <f>IF(A1172="","",IF(COUNTIF('People'!$A$4:$A$1003,A1172)=0,"Email not on People",IF(COUNTIF('Holders'!$A$4:$A$1003,B1172)=0,"Unknown holder ID",IF(COUNTIFS($A$4:$A$1503,A1172,$B$4:$B$1503,B1172)&gt;1,"Duplicate link",IF(C1172="","Missing access","OK")))))</f>
        <v/>
      </c>
    </row>
    <row r="1173">
      <c r="A1173" s="26" t="n"/>
      <c r="B1173" s="26" t="n"/>
      <c r="C1173" s="26" t="n"/>
      <c r="D1173" s="26" t="n"/>
      <c r="E1173" s="30">
        <f>IF(B1173="","",IFERROR(INDEX('Holders'!$B$4:$B$1003,MATCH(B1173,'Holders'!$A$4:$A$1003,0)),""))</f>
        <v/>
      </c>
      <c r="F1173" s="30">
        <f t="array" ref="F1173">IF(B1173="","",_xlfn.TEXTJOIN(", ",TRUE,IF(('Companies'!$A$4:$A$63&lt;&gt;"")*(COUNTIFS('Holdings'!$A$4:$A$2503,B1173,'Holdings'!$J$4:$J$2503,'Companies'!$A$4:$A$63,'Holdings'!$L$4:$L$2503,"Yes",'Holdings'!$C$4:$C$2503,"&gt;0")&gt;0),'Companies'!$A$4:$A$63,"")))</f>
        <v/>
      </c>
      <c r="G1173" s="30">
        <f>IF(A1173="","",IF(COUNTIF('People'!$A$4:$A$1003,A1173)=0,"Email not on People",IF(COUNTIF('Holders'!$A$4:$A$1003,B1173)=0,"Unknown holder ID",IF(COUNTIFS($A$4:$A$1503,A1173,$B$4:$B$1503,B1173)&gt;1,"Duplicate link",IF(C1173="","Missing access","OK")))))</f>
        <v/>
      </c>
    </row>
    <row r="1174">
      <c r="A1174" s="26" t="n"/>
      <c r="B1174" s="26" t="n"/>
      <c r="C1174" s="26" t="n"/>
      <c r="D1174" s="26" t="n"/>
      <c r="E1174" s="30">
        <f>IF(B1174="","",IFERROR(INDEX('Holders'!$B$4:$B$1003,MATCH(B1174,'Holders'!$A$4:$A$1003,0)),""))</f>
        <v/>
      </c>
      <c r="F1174" s="30">
        <f t="array" ref="F1174">IF(B1174="","",_xlfn.TEXTJOIN(", ",TRUE,IF(('Companies'!$A$4:$A$63&lt;&gt;"")*(COUNTIFS('Holdings'!$A$4:$A$2503,B1174,'Holdings'!$J$4:$J$2503,'Companies'!$A$4:$A$63,'Holdings'!$L$4:$L$2503,"Yes",'Holdings'!$C$4:$C$2503,"&gt;0")&gt;0),'Companies'!$A$4:$A$63,"")))</f>
        <v/>
      </c>
      <c r="G1174" s="30">
        <f>IF(A1174="","",IF(COUNTIF('People'!$A$4:$A$1003,A1174)=0,"Email not on People",IF(COUNTIF('Holders'!$A$4:$A$1003,B1174)=0,"Unknown holder ID",IF(COUNTIFS($A$4:$A$1503,A1174,$B$4:$B$1503,B1174)&gt;1,"Duplicate link",IF(C1174="","Missing access","OK")))))</f>
        <v/>
      </c>
    </row>
    <row r="1175">
      <c r="A1175" s="26" t="n"/>
      <c r="B1175" s="26" t="n"/>
      <c r="C1175" s="26" t="n"/>
      <c r="D1175" s="26" t="n"/>
      <c r="E1175" s="30">
        <f>IF(B1175="","",IFERROR(INDEX('Holders'!$B$4:$B$1003,MATCH(B1175,'Holders'!$A$4:$A$1003,0)),""))</f>
        <v/>
      </c>
      <c r="F1175" s="30">
        <f t="array" ref="F1175">IF(B1175="","",_xlfn.TEXTJOIN(", ",TRUE,IF(('Companies'!$A$4:$A$63&lt;&gt;"")*(COUNTIFS('Holdings'!$A$4:$A$2503,B1175,'Holdings'!$J$4:$J$2503,'Companies'!$A$4:$A$63,'Holdings'!$L$4:$L$2503,"Yes",'Holdings'!$C$4:$C$2503,"&gt;0")&gt;0),'Companies'!$A$4:$A$63,"")))</f>
        <v/>
      </c>
      <c r="G1175" s="30">
        <f>IF(A1175="","",IF(COUNTIF('People'!$A$4:$A$1003,A1175)=0,"Email not on People",IF(COUNTIF('Holders'!$A$4:$A$1003,B1175)=0,"Unknown holder ID",IF(COUNTIFS($A$4:$A$1503,A1175,$B$4:$B$1503,B1175)&gt;1,"Duplicate link",IF(C1175="","Missing access","OK")))))</f>
        <v/>
      </c>
    </row>
    <row r="1176">
      <c r="A1176" s="26" t="n"/>
      <c r="B1176" s="26" t="n"/>
      <c r="C1176" s="26" t="n"/>
      <c r="D1176" s="26" t="n"/>
      <c r="E1176" s="30">
        <f>IF(B1176="","",IFERROR(INDEX('Holders'!$B$4:$B$1003,MATCH(B1176,'Holders'!$A$4:$A$1003,0)),""))</f>
        <v/>
      </c>
      <c r="F1176" s="30">
        <f t="array" ref="F1176">IF(B1176="","",_xlfn.TEXTJOIN(", ",TRUE,IF(('Companies'!$A$4:$A$63&lt;&gt;"")*(COUNTIFS('Holdings'!$A$4:$A$2503,B1176,'Holdings'!$J$4:$J$2503,'Companies'!$A$4:$A$63,'Holdings'!$L$4:$L$2503,"Yes",'Holdings'!$C$4:$C$2503,"&gt;0")&gt;0),'Companies'!$A$4:$A$63,"")))</f>
        <v/>
      </c>
      <c r="G1176" s="30">
        <f>IF(A1176="","",IF(COUNTIF('People'!$A$4:$A$1003,A1176)=0,"Email not on People",IF(COUNTIF('Holders'!$A$4:$A$1003,B1176)=0,"Unknown holder ID",IF(COUNTIFS($A$4:$A$1503,A1176,$B$4:$B$1503,B1176)&gt;1,"Duplicate link",IF(C1176="","Missing access","OK")))))</f>
        <v/>
      </c>
    </row>
    <row r="1177">
      <c r="A1177" s="26" t="n"/>
      <c r="B1177" s="26" t="n"/>
      <c r="C1177" s="26" t="n"/>
      <c r="D1177" s="26" t="n"/>
      <c r="E1177" s="30">
        <f>IF(B1177="","",IFERROR(INDEX('Holders'!$B$4:$B$1003,MATCH(B1177,'Holders'!$A$4:$A$1003,0)),""))</f>
        <v/>
      </c>
      <c r="F1177" s="30">
        <f t="array" ref="F1177">IF(B1177="","",_xlfn.TEXTJOIN(", ",TRUE,IF(('Companies'!$A$4:$A$63&lt;&gt;"")*(COUNTIFS('Holdings'!$A$4:$A$2503,B1177,'Holdings'!$J$4:$J$2503,'Companies'!$A$4:$A$63,'Holdings'!$L$4:$L$2503,"Yes",'Holdings'!$C$4:$C$2503,"&gt;0")&gt;0),'Companies'!$A$4:$A$63,"")))</f>
        <v/>
      </c>
      <c r="G1177" s="30">
        <f>IF(A1177="","",IF(COUNTIF('People'!$A$4:$A$1003,A1177)=0,"Email not on People",IF(COUNTIF('Holders'!$A$4:$A$1003,B1177)=0,"Unknown holder ID",IF(COUNTIFS($A$4:$A$1503,A1177,$B$4:$B$1503,B1177)&gt;1,"Duplicate link",IF(C1177="","Missing access","OK")))))</f>
        <v/>
      </c>
    </row>
    <row r="1178">
      <c r="A1178" s="26" t="n"/>
      <c r="B1178" s="26" t="n"/>
      <c r="C1178" s="26" t="n"/>
      <c r="D1178" s="26" t="n"/>
      <c r="E1178" s="30">
        <f>IF(B1178="","",IFERROR(INDEX('Holders'!$B$4:$B$1003,MATCH(B1178,'Holders'!$A$4:$A$1003,0)),""))</f>
        <v/>
      </c>
      <c r="F1178" s="30">
        <f t="array" ref="F1178">IF(B1178="","",_xlfn.TEXTJOIN(", ",TRUE,IF(('Companies'!$A$4:$A$63&lt;&gt;"")*(COUNTIFS('Holdings'!$A$4:$A$2503,B1178,'Holdings'!$J$4:$J$2503,'Companies'!$A$4:$A$63,'Holdings'!$L$4:$L$2503,"Yes",'Holdings'!$C$4:$C$2503,"&gt;0")&gt;0),'Companies'!$A$4:$A$63,"")))</f>
        <v/>
      </c>
      <c r="G1178" s="30">
        <f>IF(A1178="","",IF(COUNTIF('People'!$A$4:$A$1003,A1178)=0,"Email not on People",IF(COUNTIF('Holders'!$A$4:$A$1003,B1178)=0,"Unknown holder ID",IF(COUNTIFS($A$4:$A$1503,A1178,$B$4:$B$1503,B1178)&gt;1,"Duplicate link",IF(C1178="","Missing access","OK")))))</f>
        <v/>
      </c>
    </row>
    <row r="1179">
      <c r="A1179" s="26" t="n"/>
      <c r="B1179" s="26" t="n"/>
      <c r="C1179" s="26" t="n"/>
      <c r="D1179" s="26" t="n"/>
      <c r="E1179" s="30">
        <f>IF(B1179="","",IFERROR(INDEX('Holders'!$B$4:$B$1003,MATCH(B1179,'Holders'!$A$4:$A$1003,0)),""))</f>
        <v/>
      </c>
      <c r="F1179" s="30">
        <f t="array" ref="F1179">IF(B1179="","",_xlfn.TEXTJOIN(", ",TRUE,IF(('Companies'!$A$4:$A$63&lt;&gt;"")*(COUNTIFS('Holdings'!$A$4:$A$2503,B1179,'Holdings'!$J$4:$J$2503,'Companies'!$A$4:$A$63,'Holdings'!$L$4:$L$2503,"Yes",'Holdings'!$C$4:$C$2503,"&gt;0")&gt;0),'Companies'!$A$4:$A$63,"")))</f>
        <v/>
      </c>
      <c r="G1179" s="30">
        <f>IF(A1179="","",IF(COUNTIF('People'!$A$4:$A$1003,A1179)=0,"Email not on People",IF(COUNTIF('Holders'!$A$4:$A$1003,B1179)=0,"Unknown holder ID",IF(COUNTIFS($A$4:$A$1503,A1179,$B$4:$B$1503,B1179)&gt;1,"Duplicate link",IF(C1179="","Missing access","OK")))))</f>
        <v/>
      </c>
    </row>
    <row r="1180">
      <c r="A1180" s="26" t="n"/>
      <c r="B1180" s="26" t="n"/>
      <c r="C1180" s="26" t="n"/>
      <c r="D1180" s="26" t="n"/>
      <c r="E1180" s="30">
        <f>IF(B1180="","",IFERROR(INDEX('Holders'!$B$4:$B$1003,MATCH(B1180,'Holders'!$A$4:$A$1003,0)),""))</f>
        <v/>
      </c>
      <c r="F1180" s="30">
        <f t="array" ref="F1180">IF(B1180="","",_xlfn.TEXTJOIN(", ",TRUE,IF(('Companies'!$A$4:$A$63&lt;&gt;"")*(COUNTIFS('Holdings'!$A$4:$A$2503,B1180,'Holdings'!$J$4:$J$2503,'Companies'!$A$4:$A$63,'Holdings'!$L$4:$L$2503,"Yes",'Holdings'!$C$4:$C$2503,"&gt;0")&gt;0),'Companies'!$A$4:$A$63,"")))</f>
        <v/>
      </c>
      <c r="G1180" s="30">
        <f>IF(A1180="","",IF(COUNTIF('People'!$A$4:$A$1003,A1180)=0,"Email not on People",IF(COUNTIF('Holders'!$A$4:$A$1003,B1180)=0,"Unknown holder ID",IF(COUNTIFS($A$4:$A$1503,A1180,$B$4:$B$1503,B1180)&gt;1,"Duplicate link",IF(C1180="","Missing access","OK")))))</f>
        <v/>
      </c>
    </row>
    <row r="1181">
      <c r="A1181" s="26" t="n"/>
      <c r="B1181" s="26" t="n"/>
      <c r="C1181" s="26" t="n"/>
      <c r="D1181" s="26" t="n"/>
      <c r="E1181" s="30">
        <f>IF(B1181="","",IFERROR(INDEX('Holders'!$B$4:$B$1003,MATCH(B1181,'Holders'!$A$4:$A$1003,0)),""))</f>
        <v/>
      </c>
      <c r="F1181" s="30">
        <f t="array" ref="F1181">IF(B1181="","",_xlfn.TEXTJOIN(", ",TRUE,IF(('Companies'!$A$4:$A$63&lt;&gt;"")*(COUNTIFS('Holdings'!$A$4:$A$2503,B1181,'Holdings'!$J$4:$J$2503,'Companies'!$A$4:$A$63,'Holdings'!$L$4:$L$2503,"Yes",'Holdings'!$C$4:$C$2503,"&gt;0")&gt;0),'Companies'!$A$4:$A$63,"")))</f>
        <v/>
      </c>
      <c r="G1181" s="30">
        <f>IF(A1181="","",IF(COUNTIF('People'!$A$4:$A$1003,A1181)=0,"Email not on People",IF(COUNTIF('Holders'!$A$4:$A$1003,B1181)=0,"Unknown holder ID",IF(COUNTIFS($A$4:$A$1503,A1181,$B$4:$B$1503,B1181)&gt;1,"Duplicate link",IF(C1181="","Missing access","OK")))))</f>
        <v/>
      </c>
    </row>
    <row r="1182">
      <c r="A1182" s="26" t="n"/>
      <c r="B1182" s="26" t="n"/>
      <c r="C1182" s="26" t="n"/>
      <c r="D1182" s="26" t="n"/>
      <c r="E1182" s="30">
        <f>IF(B1182="","",IFERROR(INDEX('Holders'!$B$4:$B$1003,MATCH(B1182,'Holders'!$A$4:$A$1003,0)),""))</f>
        <v/>
      </c>
      <c r="F1182" s="30">
        <f t="array" ref="F1182">IF(B1182="","",_xlfn.TEXTJOIN(", ",TRUE,IF(('Companies'!$A$4:$A$63&lt;&gt;"")*(COUNTIFS('Holdings'!$A$4:$A$2503,B1182,'Holdings'!$J$4:$J$2503,'Companies'!$A$4:$A$63,'Holdings'!$L$4:$L$2503,"Yes",'Holdings'!$C$4:$C$2503,"&gt;0")&gt;0),'Companies'!$A$4:$A$63,"")))</f>
        <v/>
      </c>
      <c r="G1182" s="30">
        <f>IF(A1182="","",IF(COUNTIF('People'!$A$4:$A$1003,A1182)=0,"Email not on People",IF(COUNTIF('Holders'!$A$4:$A$1003,B1182)=0,"Unknown holder ID",IF(COUNTIFS($A$4:$A$1503,A1182,$B$4:$B$1503,B1182)&gt;1,"Duplicate link",IF(C1182="","Missing access","OK")))))</f>
        <v/>
      </c>
    </row>
    <row r="1183">
      <c r="A1183" s="26" t="n"/>
      <c r="B1183" s="26" t="n"/>
      <c r="C1183" s="26" t="n"/>
      <c r="D1183" s="26" t="n"/>
      <c r="E1183" s="30">
        <f>IF(B1183="","",IFERROR(INDEX('Holders'!$B$4:$B$1003,MATCH(B1183,'Holders'!$A$4:$A$1003,0)),""))</f>
        <v/>
      </c>
      <c r="F1183" s="30">
        <f t="array" ref="F1183">IF(B1183="","",_xlfn.TEXTJOIN(", ",TRUE,IF(('Companies'!$A$4:$A$63&lt;&gt;"")*(COUNTIFS('Holdings'!$A$4:$A$2503,B1183,'Holdings'!$J$4:$J$2503,'Companies'!$A$4:$A$63,'Holdings'!$L$4:$L$2503,"Yes",'Holdings'!$C$4:$C$2503,"&gt;0")&gt;0),'Companies'!$A$4:$A$63,"")))</f>
        <v/>
      </c>
      <c r="G1183" s="30">
        <f>IF(A1183="","",IF(COUNTIF('People'!$A$4:$A$1003,A1183)=0,"Email not on People",IF(COUNTIF('Holders'!$A$4:$A$1003,B1183)=0,"Unknown holder ID",IF(COUNTIFS($A$4:$A$1503,A1183,$B$4:$B$1503,B1183)&gt;1,"Duplicate link",IF(C1183="","Missing access","OK")))))</f>
        <v/>
      </c>
    </row>
    <row r="1184">
      <c r="A1184" s="26" t="n"/>
      <c r="B1184" s="26" t="n"/>
      <c r="C1184" s="26" t="n"/>
      <c r="D1184" s="26" t="n"/>
      <c r="E1184" s="30">
        <f>IF(B1184="","",IFERROR(INDEX('Holders'!$B$4:$B$1003,MATCH(B1184,'Holders'!$A$4:$A$1003,0)),""))</f>
        <v/>
      </c>
      <c r="F1184" s="30">
        <f t="array" ref="F1184">IF(B1184="","",_xlfn.TEXTJOIN(", ",TRUE,IF(('Companies'!$A$4:$A$63&lt;&gt;"")*(COUNTIFS('Holdings'!$A$4:$A$2503,B1184,'Holdings'!$J$4:$J$2503,'Companies'!$A$4:$A$63,'Holdings'!$L$4:$L$2503,"Yes",'Holdings'!$C$4:$C$2503,"&gt;0")&gt;0),'Companies'!$A$4:$A$63,"")))</f>
        <v/>
      </c>
      <c r="G1184" s="30">
        <f>IF(A1184="","",IF(COUNTIF('People'!$A$4:$A$1003,A1184)=0,"Email not on People",IF(COUNTIF('Holders'!$A$4:$A$1003,B1184)=0,"Unknown holder ID",IF(COUNTIFS($A$4:$A$1503,A1184,$B$4:$B$1503,B1184)&gt;1,"Duplicate link",IF(C1184="","Missing access","OK")))))</f>
        <v/>
      </c>
    </row>
    <row r="1185">
      <c r="A1185" s="26" t="n"/>
      <c r="B1185" s="26" t="n"/>
      <c r="C1185" s="26" t="n"/>
      <c r="D1185" s="26" t="n"/>
      <c r="E1185" s="30">
        <f>IF(B1185="","",IFERROR(INDEX('Holders'!$B$4:$B$1003,MATCH(B1185,'Holders'!$A$4:$A$1003,0)),""))</f>
        <v/>
      </c>
      <c r="F1185" s="30">
        <f t="array" ref="F1185">IF(B1185="","",_xlfn.TEXTJOIN(", ",TRUE,IF(('Companies'!$A$4:$A$63&lt;&gt;"")*(COUNTIFS('Holdings'!$A$4:$A$2503,B1185,'Holdings'!$J$4:$J$2503,'Companies'!$A$4:$A$63,'Holdings'!$L$4:$L$2503,"Yes",'Holdings'!$C$4:$C$2503,"&gt;0")&gt;0),'Companies'!$A$4:$A$63,"")))</f>
        <v/>
      </c>
      <c r="G1185" s="30">
        <f>IF(A1185="","",IF(COUNTIF('People'!$A$4:$A$1003,A1185)=0,"Email not on People",IF(COUNTIF('Holders'!$A$4:$A$1003,B1185)=0,"Unknown holder ID",IF(COUNTIFS($A$4:$A$1503,A1185,$B$4:$B$1503,B1185)&gt;1,"Duplicate link",IF(C1185="","Missing access","OK")))))</f>
        <v/>
      </c>
    </row>
    <row r="1186">
      <c r="A1186" s="26" t="n"/>
      <c r="B1186" s="26" t="n"/>
      <c r="C1186" s="26" t="n"/>
      <c r="D1186" s="26" t="n"/>
      <c r="E1186" s="30">
        <f>IF(B1186="","",IFERROR(INDEX('Holders'!$B$4:$B$1003,MATCH(B1186,'Holders'!$A$4:$A$1003,0)),""))</f>
        <v/>
      </c>
      <c r="F1186" s="30">
        <f t="array" ref="F1186">IF(B1186="","",_xlfn.TEXTJOIN(", ",TRUE,IF(('Companies'!$A$4:$A$63&lt;&gt;"")*(COUNTIFS('Holdings'!$A$4:$A$2503,B1186,'Holdings'!$J$4:$J$2503,'Companies'!$A$4:$A$63,'Holdings'!$L$4:$L$2503,"Yes",'Holdings'!$C$4:$C$2503,"&gt;0")&gt;0),'Companies'!$A$4:$A$63,"")))</f>
        <v/>
      </c>
      <c r="G1186" s="30">
        <f>IF(A1186="","",IF(COUNTIF('People'!$A$4:$A$1003,A1186)=0,"Email not on People",IF(COUNTIF('Holders'!$A$4:$A$1003,B1186)=0,"Unknown holder ID",IF(COUNTIFS($A$4:$A$1503,A1186,$B$4:$B$1503,B1186)&gt;1,"Duplicate link",IF(C1186="","Missing access","OK")))))</f>
        <v/>
      </c>
    </row>
    <row r="1187">
      <c r="A1187" s="26" t="n"/>
      <c r="B1187" s="26" t="n"/>
      <c r="C1187" s="26" t="n"/>
      <c r="D1187" s="26" t="n"/>
      <c r="E1187" s="30">
        <f>IF(B1187="","",IFERROR(INDEX('Holders'!$B$4:$B$1003,MATCH(B1187,'Holders'!$A$4:$A$1003,0)),""))</f>
        <v/>
      </c>
      <c r="F1187" s="30">
        <f t="array" ref="F1187">IF(B1187="","",_xlfn.TEXTJOIN(", ",TRUE,IF(('Companies'!$A$4:$A$63&lt;&gt;"")*(COUNTIFS('Holdings'!$A$4:$A$2503,B1187,'Holdings'!$J$4:$J$2503,'Companies'!$A$4:$A$63,'Holdings'!$L$4:$L$2503,"Yes",'Holdings'!$C$4:$C$2503,"&gt;0")&gt;0),'Companies'!$A$4:$A$63,"")))</f>
        <v/>
      </c>
      <c r="G1187" s="30">
        <f>IF(A1187="","",IF(COUNTIF('People'!$A$4:$A$1003,A1187)=0,"Email not on People",IF(COUNTIF('Holders'!$A$4:$A$1003,B1187)=0,"Unknown holder ID",IF(COUNTIFS($A$4:$A$1503,A1187,$B$4:$B$1503,B1187)&gt;1,"Duplicate link",IF(C1187="","Missing access","OK")))))</f>
        <v/>
      </c>
    </row>
    <row r="1188">
      <c r="A1188" s="26" t="n"/>
      <c r="B1188" s="26" t="n"/>
      <c r="C1188" s="26" t="n"/>
      <c r="D1188" s="26" t="n"/>
      <c r="E1188" s="30">
        <f>IF(B1188="","",IFERROR(INDEX('Holders'!$B$4:$B$1003,MATCH(B1188,'Holders'!$A$4:$A$1003,0)),""))</f>
        <v/>
      </c>
      <c r="F1188" s="30">
        <f t="array" ref="F1188">IF(B1188="","",_xlfn.TEXTJOIN(", ",TRUE,IF(('Companies'!$A$4:$A$63&lt;&gt;"")*(COUNTIFS('Holdings'!$A$4:$A$2503,B1188,'Holdings'!$J$4:$J$2503,'Companies'!$A$4:$A$63,'Holdings'!$L$4:$L$2503,"Yes",'Holdings'!$C$4:$C$2503,"&gt;0")&gt;0),'Companies'!$A$4:$A$63,"")))</f>
        <v/>
      </c>
      <c r="G1188" s="30">
        <f>IF(A1188="","",IF(COUNTIF('People'!$A$4:$A$1003,A1188)=0,"Email not on People",IF(COUNTIF('Holders'!$A$4:$A$1003,B1188)=0,"Unknown holder ID",IF(COUNTIFS($A$4:$A$1503,A1188,$B$4:$B$1503,B1188)&gt;1,"Duplicate link",IF(C1188="","Missing access","OK")))))</f>
        <v/>
      </c>
    </row>
    <row r="1189">
      <c r="A1189" s="26" t="n"/>
      <c r="B1189" s="26" t="n"/>
      <c r="C1189" s="26" t="n"/>
      <c r="D1189" s="26" t="n"/>
      <c r="E1189" s="30">
        <f>IF(B1189="","",IFERROR(INDEX('Holders'!$B$4:$B$1003,MATCH(B1189,'Holders'!$A$4:$A$1003,0)),""))</f>
        <v/>
      </c>
      <c r="F1189" s="30">
        <f t="array" ref="F1189">IF(B1189="","",_xlfn.TEXTJOIN(", ",TRUE,IF(('Companies'!$A$4:$A$63&lt;&gt;"")*(COUNTIFS('Holdings'!$A$4:$A$2503,B1189,'Holdings'!$J$4:$J$2503,'Companies'!$A$4:$A$63,'Holdings'!$L$4:$L$2503,"Yes",'Holdings'!$C$4:$C$2503,"&gt;0")&gt;0),'Companies'!$A$4:$A$63,"")))</f>
        <v/>
      </c>
      <c r="G1189" s="30">
        <f>IF(A1189="","",IF(COUNTIF('People'!$A$4:$A$1003,A1189)=0,"Email not on People",IF(COUNTIF('Holders'!$A$4:$A$1003,B1189)=0,"Unknown holder ID",IF(COUNTIFS($A$4:$A$1503,A1189,$B$4:$B$1503,B1189)&gt;1,"Duplicate link",IF(C1189="","Missing access","OK")))))</f>
        <v/>
      </c>
    </row>
    <row r="1190">
      <c r="A1190" s="26" t="n"/>
      <c r="B1190" s="26" t="n"/>
      <c r="C1190" s="26" t="n"/>
      <c r="D1190" s="26" t="n"/>
      <c r="E1190" s="30">
        <f>IF(B1190="","",IFERROR(INDEX('Holders'!$B$4:$B$1003,MATCH(B1190,'Holders'!$A$4:$A$1003,0)),""))</f>
        <v/>
      </c>
      <c r="F1190" s="30">
        <f t="array" ref="F1190">IF(B1190="","",_xlfn.TEXTJOIN(", ",TRUE,IF(('Companies'!$A$4:$A$63&lt;&gt;"")*(COUNTIFS('Holdings'!$A$4:$A$2503,B1190,'Holdings'!$J$4:$J$2503,'Companies'!$A$4:$A$63,'Holdings'!$L$4:$L$2503,"Yes",'Holdings'!$C$4:$C$2503,"&gt;0")&gt;0),'Companies'!$A$4:$A$63,"")))</f>
        <v/>
      </c>
      <c r="G1190" s="30">
        <f>IF(A1190="","",IF(COUNTIF('People'!$A$4:$A$1003,A1190)=0,"Email not on People",IF(COUNTIF('Holders'!$A$4:$A$1003,B1190)=0,"Unknown holder ID",IF(COUNTIFS($A$4:$A$1503,A1190,$B$4:$B$1503,B1190)&gt;1,"Duplicate link",IF(C1190="","Missing access","OK")))))</f>
        <v/>
      </c>
    </row>
    <row r="1191">
      <c r="A1191" s="26" t="n"/>
      <c r="B1191" s="26" t="n"/>
      <c r="C1191" s="26" t="n"/>
      <c r="D1191" s="26" t="n"/>
      <c r="E1191" s="30">
        <f>IF(B1191="","",IFERROR(INDEX('Holders'!$B$4:$B$1003,MATCH(B1191,'Holders'!$A$4:$A$1003,0)),""))</f>
        <v/>
      </c>
      <c r="F1191" s="30">
        <f t="array" ref="F1191">IF(B1191="","",_xlfn.TEXTJOIN(", ",TRUE,IF(('Companies'!$A$4:$A$63&lt;&gt;"")*(COUNTIFS('Holdings'!$A$4:$A$2503,B1191,'Holdings'!$J$4:$J$2503,'Companies'!$A$4:$A$63,'Holdings'!$L$4:$L$2503,"Yes",'Holdings'!$C$4:$C$2503,"&gt;0")&gt;0),'Companies'!$A$4:$A$63,"")))</f>
        <v/>
      </c>
      <c r="G1191" s="30">
        <f>IF(A1191="","",IF(COUNTIF('People'!$A$4:$A$1003,A1191)=0,"Email not on People",IF(COUNTIF('Holders'!$A$4:$A$1003,B1191)=0,"Unknown holder ID",IF(COUNTIFS($A$4:$A$1503,A1191,$B$4:$B$1503,B1191)&gt;1,"Duplicate link",IF(C1191="","Missing access","OK")))))</f>
        <v/>
      </c>
    </row>
    <row r="1192">
      <c r="A1192" s="26" t="n"/>
      <c r="B1192" s="26" t="n"/>
      <c r="C1192" s="26" t="n"/>
      <c r="D1192" s="26" t="n"/>
      <c r="E1192" s="30">
        <f>IF(B1192="","",IFERROR(INDEX('Holders'!$B$4:$B$1003,MATCH(B1192,'Holders'!$A$4:$A$1003,0)),""))</f>
        <v/>
      </c>
      <c r="F1192" s="30">
        <f t="array" ref="F1192">IF(B1192="","",_xlfn.TEXTJOIN(", ",TRUE,IF(('Companies'!$A$4:$A$63&lt;&gt;"")*(COUNTIFS('Holdings'!$A$4:$A$2503,B1192,'Holdings'!$J$4:$J$2503,'Companies'!$A$4:$A$63,'Holdings'!$L$4:$L$2503,"Yes",'Holdings'!$C$4:$C$2503,"&gt;0")&gt;0),'Companies'!$A$4:$A$63,"")))</f>
        <v/>
      </c>
      <c r="G1192" s="30">
        <f>IF(A1192="","",IF(COUNTIF('People'!$A$4:$A$1003,A1192)=0,"Email not on People",IF(COUNTIF('Holders'!$A$4:$A$1003,B1192)=0,"Unknown holder ID",IF(COUNTIFS($A$4:$A$1503,A1192,$B$4:$B$1503,B1192)&gt;1,"Duplicate link",IF(C1192="","Missing access","OK")))))</f>
        <v/>
      </c>
    </row>
    <row r="1193">
      <c r="A1193" s="26" t="n"/>
      <c r="B1193" s="26" t="n"/>
      <c r="C1193" s="26" t="n"/>
      <c r="D1193" s="26" t="n"/>
      <c r="E1193" s="30">
        <f>IF(B1193="","",IFERROR(INDEX('Holders'!$B$4:$B$1003,MATCH(B1193,'Holders'!$A$4:$A$1003,0)),""))</f>
        <v/>
      </c>
      <c r="F1193" s="30">
        <f t="array" ref="F1193">IF(B1193="","",_xlfn.TEXTJOIN(", ",TRUE,IF(('Companies'!$A$4:$A$63&lt;&gt;"")*(COUNTIFS('Holdings'!$A$4:$A$2503,B1193,'Holdings'!$J$4:$J$2503,'Companies'!$A$4:$A$63,'Holdings'!$L$4:$L$2503,"Yes",'Holdings'!$C$4:$C$2503,"&gt;0")&gt;0),'Companies'!$A$4:$A$63,"")))</f>
        <v/>
      </c>
      <c r="G1193" s="30">
        <f>IF(A1193="","",IF(COUNTIF('People'!$A$4:$A$1003,A1193)=0,"Email not on People",IF(COUNTIF('Holders'!$A$4:$A$1003,B1193)=0,"Unknown holder ID",IF(COUNTIFS($A$4:$A$1503,A1193,$B$4:$B$1503,B1193)&gt;1,"Duplicate link",IF(C1193="","Missing access","OK")))))</f>
        <v/>
      </c>
    </row>
    <row r="1194">
      <c r="A1194" s="26" t="n"/>
      <c r="B1194" s="26" t="n"/>
      <c r="C1194" s="26" t="n"/>
      <c r="D1194" s="26" t="n"/>
      <c r="E1194" s="30">
        <f>IF(B1194="","",IFERROR(INDEX('Holders'!$B$4:$B$1003,MATCH(B1194,'Holders'!$A$4:$A$1003,0)),""))</f>
        <v/>
      </c>
      <c r="F1194" s="30">
        <f t="array" ref="F1194">IF(B1194="","",_xlfn.TEXTJOIN(", ",TRUE,IF(('Companies'!$A$4:$A$63&lt;&gt;"")*(COUNTIFS('Holdings'!$A$4:$A$2503,B1194,'Holdings'!$J$4:$J$2503,'Companies'!$A$4:$A$63,'Holdings'!$L$4:$L$2503,"Yes",'Holdings'!$C$4:$C$2503,"&gt;0")&gt;0),'Companies'!$A$4:$A$63,"")))</f>
        <v/>
      </c>
      <c r="G1194" s="30">
        <f>IF(A1194="","",IF(COUNTIF('People'!$A$4:$A$1003,A1194)=0,"Email not on People",IF(COUNTIF('Holders'!$A$4:$A$1003,B1194)=0,"Unknown holder ID",IF(COUNTIFS($A$4:$A$1503,A1194,$B$4:$B$1503,B1194)&gt;1,"Duplicate link",IF(C1194="","Missing access","OK")))))</f>
        <v/>
      </c>
    </row>
    <row r="1195">
      <c r="A1195" s="26" t="n"/>
      <c r="B1195" s="26" t="n"/>
      <c r="C1195" s="26" t="n"/>
      <c r="D1195" s="26" t="n"/>
      <c r="E1195" s="30">
        <f>IF(B1195="","",IFERROR(INDEX('Holders'!$B$4:$B$1003,MATCH(B1195,'Holders'!$A$4:$A$1003,0)),""))</f>
        <v/>
      </c>
      <c r="F1195" s="30">
        <f t="array" ref="F1195">IF(B1195="","",_xlfn.TEXTJOIN(", ",TRUE,IF(('Companies'!$A$4:$A$63&lt;&gt;"")*(COUNTIFS('Holdings'!$A$4:$A$2503,B1195,'Holdings'!$J$4:$J$2503,'Companies'!$A$4:$A$63,'Holdings'!$L$4:$L$2503,"Yes",'Holdings'!$C$4:$C$2503,"&gt;0")&gt;0),'Companies'!$A$4:$A$63,"")))</f>
        <v/>
      </c>
      <c r="G1195" s="30">
        <f>IF(A1195="","",IF(COUNTIF('People'!$A$4:$A$1003,A1195)=0,"Email not on People",IF(COUNTIF('Holders'!$A$4:$A$1003,B1195)=0,"Unknown holder ID",IF(COUNTIFS($A$4:$A$1503,A1195,$B$4:$B$1503,B1195)&gt;1,"Duplicate link",IF(C1195="","Missing access","OK")))))</f>
        <v/>
      </c>
    </row>
    <row r="1196">
      <c r="A1196" s="26" t="n"/>
      <c r="B1196" s="26" t="n"/>
      <c r="C1196" s="26" t="n"/>
      <c r="D1196" s="26" t="n"/>
      <c r="E1196" s="30">
        <f>IF(B1196="","",IFERROR(INDEX('Holders'!$B$4:$B$1003,MATCH(B1196,'Holders'!$A$4:$A$1003,0)),""))</f>
        <v/>
      </c>
      <c r="F1196" s="30">
        <f t="array" ref="F1196">IF(B1196="","",_xlfn.TEXTJOIN(", ",TRUE,IF(('Companies'!$A$4:$A$63&lt;&gt;"")*(COUNTIFS('Holdings'!$A$4:$A$2503,B1196,'Holdings'!$J$4:$J$2503,'Companies'!$A$4:$A$63,'Holdings'!$L$4:$L$2503,"Yes",'Holdings'!$C$4:$C$2503,"&gt;0")&gt;0),'Companies'!$A$4:$A$63,"")))</f>
        <v/>
      </c>
      <c r="G1196" s="30">
        <f>IF(A1196="","",IF(COUNTIF('People'!$A$4:$A$1003,A1196)=0,"Email not on People",IF(COUNTIF('Holders'!$A$4:$A$1003,B1196)=0,"Unknown holder ID",IF(COUNTIFS($A$4:$A$1503,A1196,$B$4:$B$1503,B1196)&gt;1,"Duplicate link",IF(C1196="","Missing access","OK")))))</f>
        <v/>
      </c>
    </row>
    <row r="1197">
      <c r="A1197" s="26" t="n"/>
      <c r="B1197" s="26" t="n"/>
      <c r="C1197" s="26" t="n"/>
      <c r="D1197" s="26" t="n"/>
      <c r="E1197" s="30">
        <f>IF(B1197="","",IFERROR(INDEX('Holders'!$B$4:$B$1003,MATCH(B1197,'Holders'!$A$4:$A$1003,0)),""))</f>
        <v/>
      </c>
      <c r="F1197" s="30">
        <f t="array" ref="F1197">IF(B1197="","",_xlfn.TEXTJOIN(", ",TRUE,IF(('Companies'!$A$4:$A$63&lt;&gt;"")*(COUNTIFS('Holdings'!$A$4:$A$2503,B1197,'Holdings'!$J$4:$J$2503,'Companies'!$A$4:$A$63,'Holdings'!$L$4:$L$2503,"Yes",'Holdings'!$C$4:$C$2503,"&gt;0")&gt;0),'Companies'!$A$4:$A$63,"")))</f>
        <v/>
      </c>
      <c r="G1197" s="30">
        <f>IF(A1197="","",IF(COUNTIF('People'!$A$4:$A$1003,A1197)=0,"Email not on People",IF(COUNTIF('Holders'!$A$4:$A$1003,B1197)=0,"Unknown holder ID",IF(COUNTIFS($A$4:$A$1503,A1197,$B$4:$B$1503,B1197)&gt;1,"Duplicate link",IF(C1197="","Missing access","OK")))))</f>
        <v/>
      </c>
    </row>
    <row r="1198">
      <c r="A1198" s="26" t="n"/>
      <c r="B1198" s="26" t="n"/>
      <c r="C1198" s="26" t="n"/>
      <c r="D1198" s="26" t="n"/>
      <c r="E1198" s="30">
        <f>IF(B1198="","",IFERROR(INDEX('Holders'!$B$4:$B$1003,MATCH(B1198,'Holders'!$A$4:$A$1003,0)),""))</f>
        <v/>
      </c>
      <c r="F1198" s="30">
        <f t="array" ref="F1198">IF(B1198="","",_xlfn.TEXTJOIN(", ",TRUE,IF(('Companies'!$A$4:$A$63&lt;&gt;"")*(COUNTIFS('Holdings'!$A$4:$A$2503,B1198,'Holdings'!$J$4:$J$2503,'Companies'!$A$4:$A$63,'Holdings'!$L$4:$L$2503,"Yes",'Holdings'!$C$4:$C$2503,"&gt;0")&gt;0),'Companies'!$A$4:$A$63,"")))</f>
        <v/>
      </c>
      <c r="G1198" s="30">
        <f>IF(A1198="","",IF(COUNTIF('People'!$A$4:$A$1003,A1198)=0,"Email not on People",IF(COUNTIF('Holders'!$A$4:$A$1003,B1198)=0,"Unknown holder ID",IF(COUNTIFS($A$4:$A$1503,A1198,$B$4:$B$1503,B1198)&gt;1,"Duplicate link",IF(C1198="","Missing access","OK")))))</f>
        <v/>
      </c>
    </row>
    <row r="1199">
      <c r="A1199" s="26" t="n"/>
      <c r="B1199" s="26" t="n"/>
      <c r="C1199" s="26" t="n"/>
      <c r="D1199" s="26" t="n"/>
      <c r="E1199" s="30">
        <f>IF(B1199="","",IFERROR(INDEX('Holders'!$B$4:$B$1003,MATCH(B1199,'Holders'!$A$4:$A$1003,0)),""))</f>
        <v/>
      </c>
      <c r="F1199" s="30">
        <f t="array" ref="F1199">IF(B1199="","",_xlfn.TEXTJOIN(", ",TRUE,IF(('Companies'!$A$4:$A$63&lt;&gt;"")*(COUNTIFS('Holdings'!$A$4:$A$2503,B1199,'Holdings'!$J$4:$J$2503,'Companies'!$A$4:$A$63,'Holdings'!$L$4:$L$2503,"Yes",'Holdings'!$C$4:$C$2503,"&gt;0")&gt;0),'Companies'!$A$4:$A$63,"")))</f>
        <v/>
      </c>
      <c r="G1199" s="30">
        <f>IF(A1199="","",IF(COUNTIF('People'!$A$4:$A$1003,A1199)=0,"Email not on People",IF(COUNTIF('Holders'!$A$4:$A$1003,B1199)=0,"Unknown holder ID",IF(COUNTIFS($A$4:$A$1503,A1199,$B$4:$B$1503,B1199)&gt;1,"Duplicate link",IF(C1199="","Missing access","OK")))))</f>
        <v/>
      </c>
    </row>
    <row r="1200">
      <c r="A1200" s="26" t="n"/>
      <c r="B1200" s="26" t="n"/>
      <c r="C1200" s="26" t="n"/>
      <c r="D1200" s="26" t="n"/>
      <c r="E1200" s="30">
        <f>IF(B1200="","",IFERROR(INDEX('Holders'!$B$4:$B$1003,MATCH(B1200,'Holders'!$A$4:$A$1003,0)),""))</f>
        <v/>
      </c>
      <c r="F1200" s="30">
        <f t="array" ref="F1200">IF(B1200="","",_xlfn.TEXTJOIN(", ",TRUE,IF(('Companies'!$A$4:$A$63&lt;&gt;"")*(COUNTIFS('Holdings'!$A$4:$A$2503,B1200,'Holdings'!$J$4:$J$2503,'Companies'!$A$4:$A$63,'Holdings'!$L$4:$L$2503,"Yes",'Holdings'!$C$4:$C$2503,"&gt;0")&gt;0),'Companies'!$A$4:$A$63,"")))</f>
        <v/>
      </c>
      <c r="G1200" s="30">
        <f>IF(A1200="","",IF(COUNTIF('People'!$A$4:$A$1003,A1200)=0,"Email not on People",IF(COUNTIF('Holders'!$A$4:$A$1003,B1200)=0,"Unknown holder ID",IF(COUNTIFS($A$4:$A$1503,A1200,$B$4:$B$1503,B1200)&gt;1,"Duplicate link",IF(C1200="","Missing access","OK")))))</f>
        <v/>
      </c>
    </row>
    <row r="1201">
      <c r="A1201" s="26" t="n"/>
      <c r="B1201" s="26" t="n"/>
      <c r="C1201" s="26" t="n"/>
      <c r="D1201" s="26" t="n"/>
      <c r="E1201" s="30">
        <f>IF(B1201="","",IFERROR(INDEX('Holders'!$B$4:$B$1003,MATCH(B1201,'Holders'!$A$4:$A$1003,0)),""))</f>
        <v/>
      </c>
      <c r="F1201" s="30">
        <f t="array" ref="F1201">IF(B1201="","",_xlfn.TEXTJOIN(", ",TRUE,IF(('Companies'!$A$4:$A$63&lt;&gt;"")*(COUNTIFS('Holdings'!$A$4:$A$2503,B1201,'Holdings'!$J$4:$J$2503,'Companies'!$A$4:$A$63,'Holdings'!$L$4:$L$2503,"Yes",'Holdings'!$C$4:$C$2503,"&gt;0")&gt;0),'Companies'!$A$4:$A$63,"")))</f>
        <v/>
      </c>
      <c r="G1201" s="30">
        <f>IF(A1201="","",IF(COUNTIF('People'!$A$4:$A$1003,A1201)=0,"Email not on People",IF(COUNTIF('Holders'!$A$4:$A$1003,B1201)=0,"Unknown holder ID",IF(COUNTIFS($A$4:$A$1503,A1201,$B$4:$B$1503,B1201)&gt;1,"Duplicate link",IF(C1201="","Missing access","OK")))))</f>
        <v/>
      </c>
    </row>
    <row r="1202">
      <c r="A1202" s="26" t="n"/>
      <c r="B1202" s="26" t="n"/>
      <c r="C1202" s="26" t="n"/>
      <c r="D1202" s="26" t="n"/>
      <c r="E1202" s="30">
        <f>IF(B1202="","",IFERROR(INDEX('Holders'!$B$4:$B$1003,MATCH(B1202,'Holders'!$A$4:$A$1003,0)),""))</f>
        <v/>
      </c>
      <c r="F1202" s="30">
        <f t="array" ref="F1202">IF(B1202="","",_xlfn.TEXTJOIN(", ",TRUE,IF(('Companies'!$A$4:$A$63&lt;&gt;"")*(COUNTIFS('Holdings'!$A$4:$A$2503,B1202,'Holdings'!$J$4:$J$2503,'Companies'!$A$4:$A$63,'Holdings'!$L$4:$L$2503,"Yes",'Holdings'!$C$4:$C$2503,"&gt;0")&gt;0),'Companies'!$A$4:$A$63,"")))</f>
        <v/>
      </c>
      <c r="G1202" s="30">
        <f>IF(A1202="","",IF(COUNTIF('People'!$A$4:$A$1003,A1202)=0,"Email not on People",IF(COUNTIF('Holders'!$A$4:$A$1003,B1202)=0,"Unknown holder ID",IF(COUNTIFS($A$4:$A$1503,A1202,$B$4:$B$1503,B1202)&gt;1,"Duplicate link",IF(C1202="","Missing access","OK")))))</f>
        <v/>
      </c>
    </row>
    <row r="1203">
      <c r="A1203" s="26" t="n"/>
      <c r="B1203" s="26" t="n"/>
      <c r="C1203" s="26" t="n"/>
      <c r="D1203" s="26" t="n"/>
      <c r="E1203" s="30">
        <f>IF(B1203="","",IFERROR(INDEX('Holders'!$B$4:$B$1003,MATCH(B1203,'Holders'!$A$4:$A$1003,0)),""))</f>
        <v/>
      </c>
      <c r="F1203" s="30">
        <f t="array" ref="F1203">IF(B1203="","",_xlfn.TEXTJOIN(", ",TRUE,IF(('Companies'!$A$4:$A$63&lt;&gt;"")*(COUNTIFS('Holdings'!$A$4:$A$2503,B1203,'Holdings'!$J$4:$J$2503,'Companies'!$A$4:$A$63,'Holdings'!$L$4:$L$2503,"Yes",'Holdings'!$C$4:$C$2503,"&gt;0")&gt;0),'Companies'!$A$4:$A$63,"")))</f>
        <v/>
      </c>
      <c r="G1203" s="30">
        <f>IF(A1203="","",IF(COUNTIF('People'!$A$4:$A$1003,A1203)=0,"Email not on People",IF(COUNTIF('Holders'!$A$4:$A$1003,B1203)=0,"Unknown holder ID",IF(COUNTIFS($A$4:$A$1503,A1203,$B$4:$B$1503,B1203)&gt;1,"Duplicate link",IF(C1203="","Missing access","OK")))))</f>
        <v/>
      </c>
    </row>
    <row r="1204">
      <c r="A1204" s="26" t="n"/>
      <c r="B1204" s="26" t="n"/>
      <c r="C1204" s="26" t="n"/>
      <c r="D1204" s="26" t="n"/>
      <c r="E1204" s="30">
        <f>IF(B1204="","",IFERROR(INDEX('Holders'!$B$4:$B$1003,MATCH(B1204,'Holders'!$A$4:$A$1003,0)),""))</f>
        <v/>
      </c>
      <c r="F1204" s="30">
        <f t="array" ref="F1204">IF(B1204="","",_xlfn.TEXTJOIN(", ",TRUE,IF(('Companies'!$A$4:$A$63&lt;&gt;"")*(COUNTIFS('Holdings'!$A$4:$A$2503,B1204,'Holdings'!$J$4:$J$2503,'Companies'!$A$4:$A$63,'Holdings'!$L$4:$L$2503,"Yes",'Holdings'!$C$4:$C$2503,"&gt;0")&gt;0),'Companies'!$A$4:$A$63,"")))</f>
        <v/>
      </c>
      <c r="G1204" s="30">
        <f>IF(A1204="","",IF(COUNTIF('People'!$A$4:$A$1003,A1204)=0,"Email not on People",IF(COUNTIF('Holders'!$A$4:$A$1003,B1204)=0,"Unknown holder ID",IF(COUNTIFS($A$4:$A$1503,A1204,$B$4:$B$1503,B1204)&gt;1,"Duplicate link",IF(C1204="","Missing access","OK")))))</f>
        <v/>
      </c>
    </row>
    <row r="1205">
      <c r="A1205" s="26" t="n"/>
      <c r="B1205" s="26" t="n"/>
      <c r="C1205" s="26" t="n"/>
      <c r="D1205" s="26" t="n"/>
      <c r="E1205" s="30">
        <f>IF(B1205="","",IFERROR(INDEX('Holders'!$B$4:$B$1003,MATCH(B1205,'Holders'!$A$4:$A$1003,0)),""))</f>
        <v/>
      </c>
      <c r="F1205" s="30">
        <f t="array" ref="F1205">IF(B1205="","",_xlfn.TEXTJOIN(", ",TRUE,IF(('Companies'!$A$4:$A$63&lt;&gt;"")*(COUNTIFS('Holdings'!$A$4:$A$2503,B1205,'Holdings'!$J$4:$J$2503,'Companies'!$A$4:$A$63,'Holdings'!$L$4:$L$2503,"Yes",'Holdings'!$C$4:$C$2503,"&gt;0")&gt;0),'Companies'!$A$4:$A$63,"")))</f>
        <v/>
      </c>
      <c r="G1205" s="30">
        <f>IF(A1205="","",IF(COUNTIF('People'!$A$4:$A$1003,A1205)=0,"Email not on People",IF(COUNTIF('Holders'!$A$4:$A$1003,B1205)=0,"Unknown holder ID",IF(COUNTIFS($A$4:$A$1503,A1205,$B$4:$B$1503,B1205)&gt;1,"Duplicate link",IF(C1205="","Missing access","OK")))))</f>
        <v/>
      </c>
    </row>
    <row r="1206">
      <c r="A1206" s="26" t="n"/>
      <c r="B1206" s="26" t="n"/>
      <c r="C1206" s="26" t="n"/>
      <c r="D1206" s="26" t="n"/>
      <c r="E1206" s="30">
        <f>IF(B1206="","",IFERROR(INDEX('Holders'!$B$4:$B$1003,MATCH(B1206,'Holders'!$A$4:$A$1003,0)),""))</f>
        <v/>
      </c>
      <c r="F1206" s="30">
        <f t="array" ref="F1206">IF(B1206="","",_xlfn.TEXTJOIN(", ",TRUE,IF(('Companies'!$A$4:$A$63&lt;&gt;"")*(COUNTIFS('Holdings'!$A$4:$A$2503,B1206,'Holdings'!$J$4:$J$2503,'Companies'!$A$4:$A$63,'Holdings'!$L$4:$L$2503,"Yes",'Holdings'!$C$4:$C$2503,"&gt;0")&gt;0),'Companies'!$A$4:$A$63,"")))</f>
        <v/>
      </c>
      <c r="G1206" s="30">
        <f>IF(A1206="","",IF(COUNTIF('People'!$A$4:$A$1003,A1206)=0,"Email not on People",IF(COUNTIF('Holders'!$A$4:$A$1003,B1206)=0,"Unknown holder ID",IF(COUNTIFS($A$4:$A$1503,A1206,$B$4:$B$1503,B1206)&gt;1,"Duplicate link",IF(C1206="","Missing access","OK")))))</f>
        <v/>
      </c>
    </row>
    <row r="1207">
      <c r="A1207" s="26" t="n"/>
      <c r="B1207" s="26" t="n"/>
      <c r="C1207" s="26" t="n"/>
      <c r="D1207" s="26" t="n"/>
      <c r="E1207" s="30">
        <f>IF(B1207="","",IFERROR(INDEX('Holders'!$B$4:$B$1003,MATCH(B1207,'Holders'!$A$4:$A$1003,0)),""))</f>
        <v/>
      </c>
      <c r="F1207" s="30">
        <f t="array" ref="F1207">IF(B1207="","",_xlfn.TEXTJOIN(", ",TRUE,IF(('Companies'!$A$4:$A$63&lt;&gt;"")*(COUNTIFS('Holdings'!$A$4:$A$2503,B1207,'Holdings'!$J$4:$J$2503,'Companies'!$A$4:$A$63,'Holdings'!$L$4:$L$2503,"Yes",'Holdings'!$C$4:$C$2503,"&gt;0")&gt;0),'Companies'!$A$4:$A$63,"")))</f>
        <v/>
      </c>
      <c r="G1207" s="30">
        <f>IF(A1207="","",IF(COUNTIF('People'!$A$4:$A$1003,A1207)=0,"Email not on People",IF(COUNTIF('Holders'!$A$4:$A$1003,B1207)=0,"Unknown holder ID",IF(COUNTIFS($A$4:$A$1503,A1207,$B$4:$B$1503,B1207)&gt;1,"Duplicate link",IF(C1207="","Missing access","OK")))))</f>
        <v/>
      </c>
    </row>
    <row r="1208">
      <c r="A1208" s="26" t="n"/>
      <c r="B1208" s="26" t="n"/>
      <c r="C1208" s="26" t="n"/>
      <c r="D1208" s="26" t="n"/>
      <c r="E1208" s="30">
        <f>IF(B1208="","",IFERROR(INDEX('Holders'!$B$4:$B$1003,MATCH(B1208,'Holders'!$A$4:$A$1003,0)),""))</f>
        <v/>
      </c>
      <c r="F1208" s="30">
        <f t="array" ref="F1208">IF(B1208="","",_xlfn.TEXTJOIN(", ",TRUE,IF(('Companies'!$A$4:$A$63&lt;&gt;"")*(COUNTIFS('Holdings'!$A$4:$A$2503,B1208,'Holdings'!$J$4:$J$2503,'Companies'!$A$4:$A$63,'Holdings'!$L$4:$L$2503,"Yes",'Holdings'!$C$4:$C$2503,"&gt;0")&gt;0),'Companies'!$A$4:$A$63,"")))</f>
        <v/>
      </c>
      <c r="G1208" s="30">
        <f>IF(A1208="","",IF(COUNTIF('People'!$A$4:$A$1003,A1208)=0,"Email not on People",IF(COUNTIF('Holders'!$A$4:$A$1003,B1208)=0,"Unknown holder ID",IF(COUNTIFS($A$4:$A$1503,A1208,$B$4:$B$1503,B1208)&gt;1,"Duplicate link",IF(C1208="","Missing access","OK")))))</f>
        <v/>
      </c>
    </row>
    <row r="1209">
      <c r="A1209" s="26" t="n"/>
      <c r="B1209" s="26" t="n"/>
      <c r="C1209" s="26" t="n"/>
      <c r="D1209" s="26" t="n"/>
      <c r="E1209" s="30">
        <f>IF(B1209="","",IFERROR(INDEX('Holders'!$B$4:$B$1003,MATCH(B1209,'Holders'!$A$4:$A$1003,0)),""))</f>
        <v/>
      </c>
      <c r="F1209" s="30">
        <f t="array" ref="F1209">IF(B1209="","",_xlfn.TEXTJOIN(", ",TRUE,IF(('Companies'!$A$4:$A$63&lt;&gt;"")*(COUNTIFS('Holdings'!$A$4:$A$2503,B1209,'Holdings'!$J$4:$J$2503,'Companies'!$A$4:$A$63,'Holdings'!$L$4:$L$2503,"Yes",'Holdings'!$C$4:$C$2503,"&gt;0")&gt;0),'Companies'!$A$4:$A$63,"")))</f>
        <v/>
      </c>
      <c r="G1209" s="30">
        <f>IF(A1209="","",IF(COUNTIF('People'!$A$4:$A$1003,A1209)=0,"Email not on People",IF(COUNTIF('Holders'!$A$4:$A$1003,B1209)=0,"Unknown holder ID",IF(COUNTIFS($A$4:$A$1503,A1209,$B$4:$B$1503,B1209)&gt;1,"Duplicate link",IF(C1209="","Missing access","OK")))))</f>
        <v/>
      </c>
    </row>
    <row r="1210">
      <c r="A1210" s="26" t="n"/>
      <c r="B1210" s="26" t="n"/>
      <c r="C1210" s="26" t="n"/>
      <c r="D1210" s="26" t="n"/>
      <c r="E1210" s="30">
        <f>IF(B1210="","",IFERROR(INDEX('Holders'!$B$4:$B$1003,MATCH(B1210,'Holders'!$A$4:$A$1003,0)),""))</f>
        <v/>
      </c>
      <c r="F1210" s="30">
        <f t="array" ref="F1210">IF(B1210="","",_xlfn.TEXTJOIN(", ",TRUE,IF(('Companies'!$A$4:$A$63&lt;&gt;"")*(COUNTIFS('Holdings'!$A$4:$A$2503,B1210,'Holdings'!$J$4:$J$2503,'Companies'!$A$4:$A$63,'Holdings'!$L$4:$L$2503,"Yes",'Holdings'!$C$4:$C$2503,"&gt;0")&gt;0),'Companies'!$A$4:$A$63,"")))</f>
        <v/>
      </c>
      <c r="G1210" s="30">
        <f>IF(A1210="","",IF(COUNTIF('People'!$A$4:$A$1003,A1210)=0,"Email not on People",IF(COUNTIF('Holders'!$A$4:$A$1003,B1210)=0,"Unknown holder ID",IF(COUNTIFS($A$4:$A$1503,A1210,$B$4:$B$1503,B1210)&gt;1,"Duplicate link",IF(C1210="","Missing access","OK")))))</f>
        <v/>
      </c>
    </row>
    <row r="1211">
      <c r="A1211" s="26" t="n"/>
      <c r="B1211" s="26" t="n"/>
      <c r="C1211" s="26" t="n"/>
      <c r="D1211" s="26" t="n"/>
      <c r="E1211" s="30">
        <f>IF(B1211="","",IFERROR(INDEX('Holders'!$B$4:$B$1003,MATCH(B1211,'Holders'!$A$4:$A$1003,0)),""))</f>
        <v/>
      </c>
      <c r="F1211" s="30">
        <f t="array" ref="F1211">IF(B1211="","",_xlfn.TEXTJOIN(", ",TRUE,IF(('Companies'!$A$4:$A$63&lt;&gt;"")*(COUNTIFS('Holdings'!$A$4:$A$2503,B1211,'Holdings'!$J$4:$J$2503,'Companies'!$A$4:$A$63,'Holdings'!$L$4:$L$2503,"Yes",'Holdings'!$C$4:$C$2503,"&gt;0")&gt;0),'Companies'!$A$4:$A$63,"")))</f>
        <v/>
      </c>
      <c r="G1211" s="30">
        <f>IF(A1211="","",IF(COUNTIF('People'!$A$4:$A$1003,A1211)=0,"Email not on People",IF(COUNTIF('Holders'!$A$4:$A$1003,B1211)=0,"Unknown holder ID",IF(COUNTIFS($A$4:$A$1503,A1211,$B$4:$B$1503,B1211)&gt;1,"Duplicate link",IF(C1211="","Missing access","OK")))))</f>
        <v/>
      </c>
    </row>
    <row r="1212">
      <c r="A1212" s="26" t="n"/>
      <c r="B1212" s="26" t="n"/>
      <c r="C1212" s="26" t="n"/>
      <c r="D1212" s="26" t="n"/>
      <c r="E1212" s="30">
        <f>IF(B1212="","",IFERROR(INDEX('Holders'!$B$4:$B$1003,MATCH(B1212,'Holders'!$A$4:$A$1003,0)),""))</f>
        <v/>
      </c>
      <c r="F1212" s="30">
        <f t="array" ref="F1212">IF(B1212="","",_xlfn.TEXTJOIN(", ",TRUE,IF(('Companies'!$A$4:$A$63&lt;&gt;"")*(COUNTIFS('Holdings'!$A$4:$A$2503,B1212,'Holdings'!$J$4:$J$2503,'Companies'!$A$4:$A$63,'Holdings'!$L$4:$L$2503,"Yes",'Holdings'!$C$4:$C$2503,"&gt;0")&gt;0),'Companies'!$A$4:$A$63,"")))</f>
        <v/>
      </c>
      <c r="G1212" s="30">
        <f>IF(A1212="","",IF(COUNTIF('People'!$A$4:$A$1003,A1212)=0,"Email not on People",IF(COUNTIF('Holders'!$A$4:$A$1003,B1212)=0,"Unknown holder ID",IF(COUNTIFS($A$4:$A$1503,A1212,$B$4:$B$1503,B1212)&gt;1,"Duplicate link",IF(C1212="","Missing access","OK")))))</f>
        <v/>
      </c>
    </row>
    <row r="1213">
      <c r="A1213" s="26" t="n"/>
      <c r="B1213" s="26" t="n"/>
      <c r="C1213" s="26" t="n"/>
      <c r="D1213" s="26" t="n"/>
      <c r="E1213" s="30">
        <f>IF(B1213="","",IFERROR(INDEX('Holders'!$B$4:$B$1003,MATCH(B1213,'Holders'!$A$4:$A$1003,0)),""))</f>
        <v/>
      </c>
      <c r="F1213" s="30">
        <f t="array" ref="F1213">IF(B1213="","",_xlfn.TEXTJOIN(", ",TRUE,IF(('Companies'!$A$4:$A$63&lt;&gt;"")*(COUNTIFS('Holdings'!$A$4:$A$2503,B1213,'Holdings'!$J$4:$J$2503,'Companies'!$A$4:$A$63,'Holdings'!$L$4:$L$2503,"Yes",'Holdings'!$C$4:$C$2503,"&gt;0")&gt;0),'Companies'!$A$4:$A$63,"")))</f>
        <v/>
      </c>
      <c r="G1213" s="30">
        <f>IF(A1213="","",IF(COUNTIF('People'!$A$4:$A$1003,A1213)=0,"Email not on People",IF(COUNTIF('Holders'!$A$4:$A$1003,B1213)=0,"Unknown holder ID",IF(COUNTIFS($A$4:$A$1503,A1213,$B$4:$B$1503,B1213)&gt;1,"Duplicate link",IF(C1213="","Missing access","OK")))))</f>
        <v/>
      </c>
    </row>
    <row r="1214">
      <c r="A1214" s="26" t="n"/>
      <c r="B1214" s="26" t="n"/>
      <c r="C1214" s="26" t="n"/>
      <c r="D1214" s="26" t="n"/>
      <c r="E1214" s="30">
        <f>IF(B1214="","",IFERROR(INDEX('Holders'!$B$4:$B$1003,MATCH(B1214,'Holders'!$A$4:$A$1003,0)),""))</f>
        <v/>
      </c>
      <c r="F1214" s="30">
        <f t="array" ref="F1214">IF(B1214="","",_xlfn.TEXTJOIN(", ",TRUE,IF(('Companies'!$A$4:$A$63&lt;&gt;"")*(COUNTIFS('Holdings'!$A$4:$A$2503,B1214,'Holdings'!$J$4:$J$2503,'Companies'!$A$4:$A$63,'Holdings'!$L$4:$L$2503,"Yes",'Holdings'!$C$4:$C$2503,"&gt;0")&gt;0),'Companies'!$A$4:$A$63,"")))</f>
        <v/>
      </c>
      <c r="G1214" s="30">
        <f>IF(A1214="","",IF(COUNTIF('People'!$A$4:$A$1003,A1214)=0,"Email not on People",IF(COUNTIF('Holders'!$A$4:$A$1003,B1214)=0,"Unknown holder ID",IF(COUNTIFS($A$4:$A$1503,A1214,$B$4:$B$1503,B1214)&gt;1,"Duplicate link",IF(C1214="","Missing access","OK")))))</f>
        <v/>
      </c>
    </row>
    <row r="1215">
      <c r="A1215" s="26" t="n"/>
      <c r="B1215" s="26" t="n"/>
      <c r="C1215" s="26" t="n"/>
      <c r="D1215" s="26" t="n"/>
      <c r="E1215" s="30">
        <f>IF(B1215="","",IFERROR(INDEX('Holders'!$B$4:$B$1003,MATCH(B1215,'Holders'!$A$4:$A$1003,0)),""))</f>
        <v/>
      </c>
      <c r="F1215" s="30">
        <f t="array" ref="F1215">IF(B1215="","",_xlfn.TEXTJOIN(", ",TRUE,IF(('Companies'!$A$4:$A$63&lt;&gt;"")*(COUNTIFS('Holdings'!$A$4:$A$2503,B1215,'Holdings'!$J$4:$J$2503,'Companies'!$A$4:$A$63,'Holdings'!$L$4:$L$2503,"Yes",'Holdings'!$C$4:$C$2503,"&gt;0")&gt;0),'Companies'!$A$4:$A$63,"")))</f>
        <v/>
      </c>
      <c r="G1215" s="30">
        <f>IF(A1215="","",IF(COUNTIF('People'!$A$4:$A$1003,A1215)=0,"Email not on People",IF(COUNTIF('Holders'!$A$4:$A$1003,B1215)=0,"Unknown holder ID",IF(COUNTIFS($A$4:$A$1503,A1215,$B$4:$B$1503,B1215)&gt;1,"Duplicate link",IF(C1215="","Missing access","OK")))))</f>
        <v/>
      </c>
    </row>
    <row r="1216">
      <c r="A1216" s="26" t="n"/>
      <c r="B1216" s="26" t="n"/>
      <c r="C1216" s="26" t="n"/>
      <c r="D1216" s="26" t="n"/>
      <c r="E1216" s="30">
        <f>IF(B1216="","",IFERROR(INDEX('Holders'!$B$4:$B$1003,MATCH(B1216,'Holders'!$A$4:$A$1003,0)),""))</f>
        <v/>
      </c>
      <c r="F1216" s="30">
        <f t="array" ref="F1216">IF(B1216="","",_xlfn.TEXTJOIN(", ",TRUE,IF(('Companies'!$A$4:$A$63&lt;&gt;"")*(COUNTIFS('Holdings'!$A$4:$A$2503,B1216,'Holdings'!$J$4:$J$2503,'Companies'!$A$4:$A$63,'Holdings'!$L$4:$L$2503,"Yes",'Holdings'!$C$4:$C$2503,"&gt;0")&gt;0),'Companies'!$A$4:$A$63,"")))</f>
        <v/>
      </c>
      <c r="G1216" s="30">
        <f>IF(A1216="","",IF(COUNTIF('People'!$A$4:$A$1003,A1216)=0,"Email not on People",IF(COUNTIF('Holders'!$A$4:$A$1003,B1216)=0,"Unknown holder ID",IF(COUNTIFS($A$4:$A$1503,A1216,$B$4:$B$1503,B1216)&gt;1,"Duplicate link",IF(C1216="","Missing access","OK")))))</f>
        <v/>
      </c>
    </row>
    <row r="1217">
      <c r="A1217" s="26" t="n"/>
      <c r="B1217" s="26" t="n"/>
      <c r="C1217" s="26" t="n"/>
      <c r="D1217" s="26" t="n"/>
      <c r="E1217" s="30">
        <f>IF(B1217="","",IFERROR(INDEX('Holders'!$B$4:$B$1003,MATCH(B1217,'Holders'!$A$4:$A$1003,0)),""))</f>
        <v/>
      </c>
      <c r="F1217" s="30">
        <f t="array" ref="F1217">IF(B1217="","",_xlfn.TEXTJOIN(", ",TRUE,IF(('Companies'!$A$4:$A$63&lt;&gt;"")*(COUNTIFS('Holdings'!$A$4:$A$2503,B1217,'Holdings'!$J$4:$J$2503,'Companies'!$A$4:$A$63,'Holdings'!$L$4:$L$2503,"Yes",'Holdings'!$C$4:$C$2503,"&gt;0")&gt;0),'Companies'!$A$4:$A$63,"")))</f>
        <v/>
      </c>
      <c r="G1217" s="30">
        <f>IF(A1217="","",IF(COUNTIF('People'!$A$4:$A$1003,A1217)=0,"Email not on People",IF(COUNTIF('Holders'!$A$4:$A$1003,B1217)=0,"Unknown holder ID",IF(COUNTIFS($A$4:$A$1503,A1217,$B$4:$B$1503,B1217)&gt;1,"Duplicate link",IF(C1217="","Missing access","OK")))))</f>
        <v/>
      </c>
    </row>
    <row r="1218">
      <c r="A1218" s="26" t="n"/>
      <c r="B1218" s="26" t="n"/>
      <c r="C1218" s="26" t="n"/>
      <c r="D1218" s="26" t="n"/>
      <c r="E1218" s="30">
        <f>IF(B1218="","",IFERROR(INDEX('Holders'!$B$4:$B$1003,MATCH(B1218,'Holders'!$A$4:$A$1003,0)),""))</f>
        <v/>
      </c>
      <c r="F1218" s="30">
        <f t="array" ref="F1218">IF(B1218="","",_xlfn.TEXTJOIN(", ",TRUE,IF(('Companies'!$A$4:$A$63&lt;&gt;"")*(COUNTIFS('Holdings'!$A$4:$A$2503,B1218,'Holdings'!$J$4:$J$2503,'Companies'!$A$4:$A$63,'Holdings'!$L$4:$L$2503,"Yes",'Holdings'!$C$4:$C$2503,"&gt;0")&gt;0),'Companies'!$A$4:$A$63,"")))</f>
        <v/>
      </c>
      <c r="G1218" s="30">
        <f>IF(A1218="","",IF(COUNTIF('People'!$A$4:$A$1003,A1218)=0,"Email not on People",IF(COUNTIF('Holders'!$A$4:$A$1003,B1218)=0,"Unknown holder ID",IF(COUNTIFS($A$4:$A$1503,A1218,$B$4:$B$1503,B1218)&gt;1,"Duplicate link",IF(C1218="","Missing access","OK")))))</f>
        <v/>
      </c>
    </row>
    <row r="1219">
      <c r="A1219" s="26" t="n"/>
      <c r="B1219" s="26" t="n"/>
      <c r="C1219" s="26" t="n"/>
      <c r="D1219" s="26" t="n"/>
      <c r="E1219" s="30">
        <f>IF(B1219="","",IFERROR(INDEX('Holders'!$B$4:$B$1003,MATCH(B1219,'Holders'!$A$4:$A$1003,0)),""))</f>
        <v/>
      </c>
      <c r="F1219" s="30">
        <f t="array" ref="F1219">IF(B1219="","",_xlfn.TEXTJOIN(", ",TRUE,IF(('Companies'!$A$4:$A$63&lt;&gt;"")*(COUNTIFS('Holdings'!$A$4:$A$2503,B1219,'Holdings'!$J$4:$J$2503,'Companies'!$A$4:$A$63,'Holdings'!$L$4:$L$2503,"Yes",'Holdings'!$C$4:$C$2503,"&gt;0")&gt;0),'Companies'!$A$4:$A$63,"")))</f>
        <v/>
      </c>
      <c r="G1219" s="30">
        <f>IF(A1219="","",IF(COUNTIF('People'!$A$4:$A$1003,A1219)=0,"Email not on People",IF(COUNTIF('Holders'!$A$4:$A$1003,B1219)=0,"Unknown holder ID",IF(COUNTIFS($A$4:$A$1503,A1219,$B$4:$B$1503,B1219)&gt;1,"Duplicate link",IF(C1219="","Missing access","OK")))))</f>
        <v/>
      </c>
    </row>
    <row r="1220">
      <c r="A1220" s="26" t="n"/>
      <c r="B1220" s="26" t="n"/>
      <c r="C1220" s="26" t="n"/>
      <c r="D1220" s="26" t="n"/>
      <c r="E1220" s="30">
        <f>IF(B1220="","",IFERROR(INDEX('Holders'!$B$4:$B$1003,MATCH(B1220,'Holders'!$A$4:$A$1003,0)),""))</f>
        <v/>
      </c>
      <c r="F1220" s="30">
        <f t="array" ref="F1220">IF(B1220="","",_xlfn.TEXTJOIN(", ",TRUE,IF(('Companies'!$A$4:$A$63&lt;&gt;"")*(COUNTIFS('Holdings'!$A$4:$A$2503,B1220,'Holdings'!$J$4:$J$2503,'Companies'!$A$4:$A$63,'Holdings'!$L$4:$L$2503,"Yes",'Holdings'!$C$4:$C$2503,"&gt;0")&gt;0),'Companies'!$A$4:$A$63,"")))</f>
        <v/>
      </c>
      <c r="G1220" s="30">
        <f>IF(A1220="","",IF(COUNTIF('People'!$A$4:$A$1003,A1220)=0,"Email not on People",IF(COUNTIF('Holders'!$A$4:$A$1003,B1220)=0,"Unknown holder ID",IF(COUNTIFS($A$4:$A$1503,A1220,$B$4:$B$1503,B1220)&gt;1,"Duplicate link",IF(C1220="","Missing access","OK")))))</f>
        <v/>
      </c>
    </row>
    <row r="1221">
      <c r="A1221" s="26" t="n"/>
      <c r="B1221" s="26" t="n"/>
      <c r="C1221" s="26" t="n"/>
      <c r="D1221" s="26" t="n"/>
      <c r="E1221" s="30">
        <f>IF(B1221="","",IFERROR(INDEX('Holders'!$B$4:$B$1003,MATCH(B1221,'Holders'!$A$4:$A$1003,0)),""))</f>
        <v/>
      </c>
      <c r="F1221" s="30">
        <f t="array" ref="F1221">IF(B1221="","",_xlfn.TEXTJOIN(", ",TRUE,IF(('Companies'!$A$4:$A$63&lt;&gt;"")*(COUNTIFS('Holdings'!$A$4:$A$2503,B1221,'Holdings'!$J$4:$J$2503,'Companies'!$A$4:$A$63,'Holdings'!$L$4:$L$2503,"Yes",'Holdings'!$C$4:$C$2503,"&gt;0")&gt;0),'Companies'!$A$4:$A$63,"")))</f>
        <v/>
      </c>
      <c r="G1221" s="30">
        <f>IF(A1221="","",IF(COUNTIF('People'!$A$4:$A$1003,A1221)=0,"Email not on People",IF(COUNTIF('Holders'!$A$4:$A$1003,B1221)=0,"Unknown holder ID",IF(COUNTIFS($A$4:$A$1503,A1221,$B$4:$B$1503,B1221)&gt;1,"Duplicate link",IF(C1221="","Missing access","OK")))))</f>
        <v/>
      </c>
    </row>
    <row r="1222">
      <c r="A1222" s="26" t="n"/>
      <c r="B1222" s="26" t="n"/>
      <c r="C1222" s="26" t="n"/>
      <c r="D1222" s="26" t="n"/>
      <c r="E1222" s="30">
        <f>IF(B1222="","",IFERROR(INDEX('Holders'!$B$4:$B$1003,MATCH(B1222,'Holders'!$A$4:$A$1003,0)),""))</f>
        <v/>
      </c>
      <c r="F1222" s="30">
        <f t="array" ref="F1222">IF(B1222="","",_xlfn.TEXTJOIN(", ",TRUE,IF(('Companies'!$A$4:$A$63&lt;&gt;"")*(COUNTIFS('Holdings'!$A$4:$A$2503,B1222,'Holdings'!$J$4:$J$2503,'Companies'!$A$4:$A$63,'Holdings'!$L$4:$L$2503,"Yes",'Holdings'!$C$4:$C$2503,"&gt;0")&gt;0),'Companies'!$A$4:$A$63,"")))</f>
        <v/>
      </c>
      <c r="G1222" s="30">
        <f>IF(A1222="","",IF(COUNTIF('People'!$A$4:$A$1003,A1222)=0,"Email not on People",IF(COUNTIF('Holders'!$A$4:$A$1003,B1222)=0,"Unknown holder ID",IF(COUNTIFS($A$4:$A$1503,A1222,$B$4:$B$1503,B1222)&gt;1,"Duplicate link",IF(C1222="","Missing access","OK")))))</f>
        <v/>
      </c>
    </row>
    <row r="1223">
      <c r="A1223" s="26" t="n"/>
      <c r="B1223" s="26" t="n"/>
      <c r="C1223" s="26" t="n"/>
      <c r="D1223" s="26" t="n"/>
      <c r="E1223" s="30">
        <f>IF(B1223="","",IFERROR(INDEX('Holders'!$B$4:$B$1003,MATCH(B1223,'Holders'!$A$4:$A$1003,0)),""))</f>
        <v/>
      </c>
      <c r="F1223" s="30">
        <f t="array" ref="F1223">IF(B1223="","",_xlfn.TEXTJOIN(", ",TRUE,IF(('Companies'!$A$4:$A$63&lt;&gt;"")*(COUNTIFS('Holdings'!$A$4:$A$2503,B1223,'Holdings'!$J$4:$J$2503,'Companies'!$A$4:$A$63,'Holdings'!$L$4:$L$2503,"Yes",'Holdings'!$C$4:$C$2503,"&gt;0")&gt;0),'Companies'!$A$4:$A$63,"")))</f>
        <v/>
      </c>
      <c r="G1223" s="30">
        <f>IF(A1223="","",IF(COUNTIF('People'!$A$4:$A$1003,A1223)=0,"Email not on People",IF(COUNTIF('Holders'!$A$4:$A$1003,B1223)=0,"Unknown holder ID",IF(COUNTIFS($A$4:$A$1503,A1223,$B$4:$B$1503,B1223)&gt;1,"Duplicate link",IF(C1223="","Missing access","OK")))))</f>
        <v/>
      </c>
    </row>
    <row r="1224">
      <c r="A1224" s="26" t="n"/>
      <c r="B1224" s="26" t="n"/>
      <c r="C1224" s="26" t="n"/>
      <c r="D1224" s="26" t="n"/>
      <c r="E1224" s="30">
        <f>IF(B1224="","",IFERROR(INDEX('Holders'!$B$4:$B$1003,MATCH(B1224,'Holders'!$A$4:$A$1003,0)),""))</f>
        <v/>
      </c>
      <c r="F1224" s="30">
        <f t="array" ref="F1224">IF(B1224="","",_xlfn.TEXTJOIN(", ",TRUE,IF(('Companies'!$A$4:$A$63&lt;&gt;"")*(COUNTIFS('Holdings'!$A$4:$A$2503,B1224,'Holdings'!$J$4:$J$2503,'Companies'!$A$4:$A$63,'Holdings'!$L$4:$L$2503,"Yes",'Holdings'!$C$4:$C$2503,"&gt;0")&gt;0),'Companies'!$A$4:$A$63,"")))</f>
        <v/>
      </c>
      <c r="G1224" s="30">
        <f>IF(A1224="","",IF(COUNTIF('People'!$A$4:$A$1003,A1224)=0,"Email not on People",IF(COUNTIF('Holders'!$A$4:$A$1003,B1224)=0,"Unknown holder ID",IF(COUNTIFS($A$4:$A$1503,A1224,$B$4:$B$1503,B1224)&gt;1,"Duplicate link",IF(C1224="","Missing access","OK")))))</f>
        <v/>
      </c>
    </row>
    <row r="1225">
      <c r="A1225" s="26" t="n"/>
      <c r="B1225" s="26" t="n"/>
      <c r="C1225" s="26" t="n"/>
      <c r="D1225" s="26" t="n"/>
      <c r="E1225" s="30">
        <f>IF(B1225="","",IFERROR(INDEX('Holders'!$B$4:$B$1003,MATCH(B1225,'Holders'!$A$4:$A$1003,0)),""))</f>
        <v/>
      </c>
      <c r="F1225" s="30">
        <f t="array" ref="F1225">IF(B1225="","",_xlfn.TEXTJOIN(", ",TRUE,IF(('Companies'!$A$4:$A$63&lt;&gt;"")*(COUNTIFS('Holdings'!$A$4:$A$2503,B1225,'Holdings'!$J$4:$J$2503,'Companies'!$A$4:$A$63,'Holdings'!$L$4:$L$2503,"Yes",'Holdings'!$C$4:$C$2503,"&gt;0")&gt;0),'Companies'!$A$4:$A$63,"")))</f>
        <v/>
      </c>
      <c r="G1225" s="30">
        <f>IF(A1225="","",IF(COUNTIF('People'!$A$4:$A$1003,A1225)=0,"Email not on People",IF(COUNTIF('Holders'!$A$4:$A$1003,B1225)=0,"Unknown holder ID",IF(COUNTIFS($A$4:$A$1503,A1225,$B$4:$B$1503,B1225)&gt;1,"Duplicate link",IF(C1225="","Missing access","OK")))))</f>
        <v/>
      </c>
    </row>
    <row r="1226">
      <c r="A1226" s="26" t="n"/>
      <c r="B1226" s="26" t="n"/>
      <c r="C1226" s="26" t="n"/>
      <c r="D1226" s="26" t="n"/>
      <c r="E1226" s="30">
        <f>IF(B1226="","",IFERROR(INDEX('Holders'!$B$4:$B$1003,MATCH(B1226,'Holders'!$A$4:$A$1003,0)),""))</f>
        <v/>
      </c>
      <c r="F1226" s="30">
        <f t="array" ref="F1226">IF(B1226="","",_xlfn.TEXTJOIN(", ",TRUE,IF(('Companies'!$A$4:$A$63&lt;&gt;"")*(COUNTIFS('Holdings'!$A$4:$A$2503,B1226,'Holdings'!$J$4:$J$2503,'Companies'!$A$4:$A$63,'Holdings'!$L$4:$L$2503,"Yes",'Holdings'!$C$4:$C$2503,"&gt;0")&gt;0),'Companies'!$A$4:$A$63,"")))</f>
        <v/>
      </c>
      <c r="G1226" s="30">
        <f>IF(A1226="","",IF(COUNTIF('People'!$A$4:$A$1003,A1226)=0,"Email not on People",IF(COUNTIF('Holders'!$A$4:$A$1003,B1226)=0,"Unknown holder ID",IF(COUNTIFS($A$4:$A$1503,A1226,$B$4:$B$1503,B1226)&gt;1,"Duplicate link",IF(C1226="","Missing access","OK")))))</f>
        <v/>
      </c>
    </row>
    <row r="1227">
      <c r="A1227" s="26" t="n"/>
      <c r="B1227" s="26" t="n"/>
      <c r="C1227" s="26" t="n"/>
      <c r="D1227" s="26" t="n"/>
      <c r="E1227" s="30">
        <f>IF(B1227="","",IFERROR(INDEX('Holders'!$B$4:$B$1003,MATCH(B1227,'Holders'!$A$4:$A$1003,0)),""))</f>
        <v/>
      </c>
      <c r="F1227" s="30">
        <f t="array" ref="F1227">IF(B1227="","",_xlfn.TEXTJOIN(", ",TRUE,IF(('Companies'!$A$4:$A$63&lt;&gt;"")*(COUNTIFS('Holdings'!$A$4:$A$2503,B1227,'Holdings'!$J$4:$J$2503,'Companies'!$A$4:$A$63,'Holdings'!$L$4:$L$2503,"Yes",'Holdings'!$C$4:$C$2503,"&gt;0")&gt;0),'Companies'!$A$4:$A$63,"")))</f>
        <v/>
      </c>
      <c r="G1227" s="30">
        <f>IF(A1227="","",IF(COUNTIF('People'!$A$4:$A$1003,A1227)=0,"Email not on People",IF(COUNTIF('Holders'!$A$4:$A$1003,B1227)=0,"Unknown holder ID",IF(COUNTIFS($A$4:$A$1503,A1227,$B$4:$B$1503,B1227)&gt;1,"Duplicate link",IF(C1227="","Missing access","OK")))))</f>
        <v/>
      </c>
    </row>
    <row r="1228">
      <c r="A1228" s="26" t="n"/>
      <c r="B1228" s="26" t="n"/>
      <c r="C1228" s="26" t="n"/>
      <c r="D1228" s="26" t="n"/>
      <c r="E1228" s="30">
        <f>IF(B1228="","",IFERROR(INDEX('Holders'!$B$4:$B$1003,MATCH(B1228,'Holders'!$A$4:$A$1003,0)),""))</f>
        <v/>
      </c>
      <c r="F1228" s="30">
        <f t="array" ref="F1228">IF(B1228="","",_xlfn.TEXTJOIN(", ",TRUE,IF(('Companies'!$A$4:$A$63&lt;&gt;"")*(COUNTIFS('Holdings'!$A$4:$A$2503,B1228,'Holdings'!$J$4:$J$2503,'Companies'!$A$4:$A$63,'Holdings'!$L$4:$L$2503,"Yes",'Holdings'!$C$4:$C$2503,"&gt;0")&gt;0),'Companies'!$A$4:$A$63,"")))</f>
        <v/>
      </c>
      <c r="G1228" s="30">
        <f>IF(A1228="","",IF(COUNTIF('People'!$A$4:$A$1003,A1228)=0,"Email not on People",IF(COUNTIF('Holders'!$A$4:$A$1003,B1228)=0,"Unknown holder ID",IF(COUNTIFS($A$4:$A$1503,A1228,$B$4:$B$1503,B1228)&gt;1,"Duplicate link",IF(C1228="","Missing access","OK")))))</f>
        <v/>
      </c>
    </row>
    <row r="1229">
      <c r="A1229" s="26" t="n"/>
      <c r="B1229" s="26" t="n"/>
      <c r="C1229" s="26" t="n"/>
      <c r="D1229" s="26" t="n"/>
      <c r="E1229" s="30">
        <f>IF(B1229="","",IFERROR(INDEX('Holders'!$B$4:$B$1003,MATCH(B1229,'Holders'!$A$4:$A$1003,0)),""))</f>
        <v/>
      </c>
      <c r="F1229" s="30">
        <f t="array" ref="F1229">IF(B1229="","",_xlfn.TEXTJOIN(", ",TRUE,IF(('Companies'!$A$4:$A$63&lt;&gt;"")*(COUNTIFS('Holdings'!$A$4:$A$2503,B1229,'Holdings'!$J$4:$J$2503,'Companies'!$A$4:$A$63,'Holdings'!$L$4:$L$2503,"Yes",'Holdings'!$C$4:$C$2503,"&gt;0")&gt;0),'Companies'!$A$4:$A$63,"")))</f>
        <v/>
      </c>
      <c r="G1229" s="30">
        <f>IF(A1229="","",IF(COUNTIF('People'!$A$4:$A$1003,A1229)=0,"Email not on People",IF(COUNTIF('Holders'!$A$4:$A$1003,B1229)=0,"Unknown holder ID",IF(COUNTIFS($A$4:$A$1503,A1229,$B$4:$B$1503,B1229)&gt;1,"Duplicate link",IF(C1229="","Missing access","OK")))))</f>
        <v/>
      </c>
    </row>
    <row r="1230">
      <c r="A1230" s="26" t="n"/>
      <c r="B1230" s="26" t="n"/>
      <c r="C1230" s="26" t="n"/>
      <c r="D1230" s="26" t="n"/>
      <c r="E1230" s="30">
        <f>IF(B1230="","",IFERROR(INDEX('Holders'!$B$4:$B$1003,MATCH(B1230,'Holders'!$A$4:$A$1003,0)),""))</f>
        <v/>
      </c>
      <c r="F1230" s="30">
        <f t="array" ref="F1230">IF(B1230="","",_xlfn.TEXTJOIN(", ",TRUE,IF(('Companies'!$A$4:$A$63&lt;&gt;"")*(COUNTIFS('Holdings'!$A$4:$A$2503,B1230,'Holdings'!$J$4:$J$2503,'Companies'!$A$4:$A$63,'Holdings'!$L$4:$L$2503,"Yes",'Holdings'!$C$4:$C$2503,"&gt;0")&gt;0),'Companies'!$A$4:$A$63,"")))</f>
        <v/>
      </c>
      <c r="G1230" s="30">
        <f>IF(A1230="","",IF(COUNTIF('People'!$A$4:$A$1003,A1230)=0,"Email not on People",IF(COUNTIF('Holders'!$A$4:$A$1003,B1230)=0,"Unknown holder ID",IF(COUNTIFS($A$4:$A$1503,A1230,$B$4:$B$1503,B1230)&gt;1,"Duplicate link",IF(C1230="","Missing access","OK")))))</f>
        <v/>
      </c>
    </row>
    <row r="1231">
      <c r="A1231" s="26" t="n"/>
      <c r="B1231" s="26" t="n"/>
      <c r="C1231" s="26" t="n"/>
      <c r="D1231" s="26" t="n"/>
      <c r="E1231" s="30">
        <f>IF(B1231="","",IFERROR(INDEX('Holders'!$B$4:$B$1003,MATCH(B1231,'Holders'!$A$4:$A$1003,0)),""))</f>
        <v/>
      </c>
      <c r="F1231" s="30">
        <f t="array" ref="F1231">IF(B1231="","",_xlfn.TEXTJOIN(", ",TRUE,IF(('Companies'!$A$4:$A$63&lt;&gt;"")*(COUNTIFS('Holdings'!$A$4:$A$2503,B1231,'Holdings'!$J$4:$J$2503,'Companies'!$A$4:$A$63,'Holdings'!$L$4:$L$2503,"Yes",'Holdings'!$C$4:$C$2503,"&gt;0")&gt;0),'Companies'!$A$4:$A$63,"")))</f>
        <v/>
      </c>
      <c r="G1231" s="30">
        <f>IF(A1231="","",IF(COUNTIF('People'!$A$4:$A$1003,A1231)=0,"Email not on People",IF(COUNTIF('Holders'!$A$4:$A$1003,B1231)=0,"Unknown holder ID",IF(COUNTIFS($A$4:$A$1503,A1231,$B$4:$B$1503,B1231)&gt;1,"Duplicate link",IF(C1231="","Missing access","OK")))))</f>
        <v/>
      </c>
    </row>
    <row r="1232">
      <c r="A1232" s="26" t="n"/>
      <c r="B1232" s="26" t="n"/>
      <c r="C1232" s="26" t="n"/>
      <c r="D1232" s="26" t="n"/>
      <c r="E1232" s="30">
        <f>IF(B1232="","",IFERROR(INDEX('Holders'!$B$4:$B$1003,MATCH(B1232,'Holders'!$A$4:$A$1003,0)),""))</f>
        <v/>
      </c>
      <c r="F1232" s="30">
        <f t="array" ref="F1232">IF(B1232="","",_xlfn.TEXTJOIN(", ",TRUE,IF(('Companies'!$A$4:$A$63&lt;&gt;"")*(COUNTIFS('Holdings'!$A$4:$A$2503,B1232,'Holdings'!$J$4:$J$2503,'Companies'!$A$4:$A$63,'Holdings'!$L$4:$L$2503,"Yes",'Holdings'!$C$4:$C$2503,"&gt;0")&gt;0),'Companies'!$A$4:$A$63,"")))</f>
        <v/>
      </c>
      <c r="G1232" s="30">
        <f>IF(A1232="","",IF(COUNTIF('People'!$A$4:$A$1003,A1232)=0,"Email not on People",IF(COUNTIF('Holders'!$A$4:$A$1003,B1232)=0,"Unknown holder ID",IF(COUNTIFS($A$4:$A$1503,A1232,$B$4:$B$1503,B1232)&gt;1,"Duplicate link",IF(C1232="","Missing access","OK")))))</f>
        <v/>
      </c>
    </row>
    <row r="1233">
      <c r="A1233" s="26" t="n"/>
      <c r="B1233" s="26" t="n"/>
      <c r="C1233" s="26" t="n"/>
      <c r="D1233" s="26" t="n"/>
      <c r="E1233" s="30">
        <f>IF(B1233="","",IFERROR(INDEX('Holders'!$B$4:$B$1003,MATCH(B1233,'Holders'!$A$4:$A$1003,0)),""))</f>
        <v/>
      </c>
      <c r="F1233" s="30">
        <f t="array" ref="F1233">IF(B1233="","",_xlfn.TEXTJOIN(", ",TRUE,IF(('Companies'!$A$4:$A$63&lt;&gt;"")*(COUNTIFS('Holdings'!$A$4:$A$2503,B1233,'Holdings'!$J$4:$J$2503,'Companies'!$A$4:$A$63,'Holdings'!$L$4:$L$2503,"Yes",'Holdings'!$C$4:$C$2503,"&gt;0")&gt;0),'Companies'!$A$4:$A$63,"")))</f>
        <v/>
      </c>
      <c r="G1233" s="30">
        <f>IF(A1233="","",IF(COUNTIF('People'!$A$4:$A$1003,A1233)=0,"Email not on People",IF(COUNTIF('Holders'!$A$4:$A$1003,B1233)=0,"Unknown holder ID",IF(COUNTIFS($A$4:$A$1503,A1233,$B$4:$B$1503,B1233)&gt;1,"Duplicate link",IF(C1233="","Missing access","OK")))))</f>
        <v/>
      </c>
    </row>
    <row r="1234">
      <c r="A1234" s="26" t="n"/>
      <c r="B1234" s="26" t="n"/>
      <c r="C1234" s="26" t="n"/>
      <c r="D1234" s="26" t="n"/>
      <c r="E1234" s="30">
        <f>IF(B1234="","",IFERROR(INDEX('Holders'!$B$4:$B$1003,MATCH(B1234,'Holders'!$A$4:$A$1003,0)),""))</f>
        <v/>
      </c>
      <c r="F1234" s="30">
        <f t="array" ref="F1234">IF(B1234="","",_xlfn.TEXTJOIN(", ",TRUE,IF(('Companies'!$A$4:$A$63&lt;&gt;"")*(COUNTIFS('Holdings'!$A$4:$A$2503,B1234,'Holdings'!$J$4:$J$2503,'Companies'!$A$4:$A$63,'Holdings'!$L$4:$L$2503,"Yes",'Holdings'!$C$4:$C$2503,"&gt;0")&gt;0),'Companies'!$A$4:$A$63,"")))</f>
        <v/>
      </c>
      <c r="G1234" s="30">
        <f>IF(A1234="","",IF(COUNTIF('People'!$A$4:$A$1003,A1234)=0,"Email not on People",IF(COUNTIF('Holders'!$A$4:$A$1003,B1234)=0,"Unknown holder ID",IF(COUNTIFS($A$4:$A$1503,A1234,$B$4:$B$1503,B1234)&gt;1,"Duplicate link",IF(C1234="","Missing access","OK")))))</f>
        <v/>
      </c>
    </row>
    <row r="1235">
      <c r="A1235" s="26" t="n"/>
      <c r="B1235" s="26" t="n"/>
      <c r="C1235" s="26" t="n"/>
      <c r="D1235" s="26" t="n"/>
      <c r="E1235" s="30">
        <f>IF(B1235="","",IFERROR(INDEX('Holders'!$B$4:$B$1003,MATCH(B1235,'Holders'!$A$4:$A$1003,0)),""))</f>
        <v/>
      </c>
      <c r="F1235" s="30">
        <f t="array" ref="F1235">IF(B1235="","",_xlfn.TEXTJOIN(", ",TRUE,IF(('Companies'!$A$4:$A$63&lt;&gt;"")*(COUNTIFS('Holdings'!$A$4:$A$2503,B1235,'Holdings'!$J$4:$J$2503,'Companies'!$A$4:$A$63,'Holdings'!$L$4:$L$2503,"Yes",'Holdings'!$C$4:$C$2503,"&gt;0")&gt;0),'Companies'!$A$4:$A$63,"")))</f>
        <v/>
      </c>
      <c r="G1235" s="30">
        <f>IF(A1235="","",IF(COUNTIF('People'!$A$4:$A$1003,A1235)=0,"Email not on People",IF(COUNTIF('Holders'!$A$4:$A$1003,B1235)=0,"Unknown holder ID",IF(COUNTIFS($A$4:$A$1503,A1235,$B$4:$B$1503,B1235)&gt;1,"Duplicate link",IF(C1235="","Missing access","OK")))))</f>
        <v/>
      </c>
    </row>
    <row r="1236">
      <c r="A1236" s="26" t="n"/>
      <c r="B1236" s="26" t="n"/>
      <c r="C1236" s="26" t="n"/>
      <c r="D1236" s="26" t="n"/>
      <c r="E1236" s="30">
        <f>IF(B1236="","",IFERROR(INDEX('Holders'!$B$4:$B$1003,MATCH(B1236,'Holders'!$A$4:$A$1003,0)),""))</f>
        <v/>
      </c>
      <c r="F1236" s="30">
        <f t="array" ref="F1236">IF(B1236="","",_xlfn.TEXTJOIN(", ",TRUE,IF(('Companies'!$A$4:$A$63&lt;&gt;"")*(COUNTIFS('Holdings'!$A$4:$A$2503,B1236,'Holdings'!$J$4:$J$2503,'Companies'!$A$4:$A$63,'Holdings'!$L$4:$L$2503,"Yes",'Holdings'!$C$4:$C$2503,"&gt;0")&gt;0),'Companies'!$A$4:$A$63,"")))</f>
        <v/>
      </c>
      <c r="G1236" s="30">
        <f>IF(A1236="","",IF(COUNTIF('People'!$A$4:$A$1003,A1236)=0,"Email not on People",IF(COUNTIF('Holders'!$A$4:$A$1003,B1236)=0,"Unknown holder ID",IF(COUNTIFS($A$4:$A$1503,A1236,$B$4:$B$1503,B1236)&gt;1,"Duplicate link",IF(C1236="","Missing access","OK")))))</f>
        <v/>
      </c>
    </row>
    <row r="1237">
      <c r="A1237" s="26" t="n"/>
      <c r="B1237" s="26" t="n"/>
      <c r="C1237" s="26" t="n"/>
      <c r="D1237" s="26" t="n"/>
      <c r="E1237" s="30">
        <f>IF(B1237="","",IFERROR(INDEX('Holders'!$B$4:$B$1003,MATCH(B1237,'Holders'!$A$4:$A$1003,0)),""))</f>
        <v/>
      </c>
      <c r="F1237" s="30">
        <f t="array" ref="F1237">IF(B1237="","",_xlfn.TEXTJOIN(", ",TRUE,IF(('Companies'!$A$4:$A$63&lt;&gt;"")*(COUNTIFS('Holdings'!$A$4:$A$2503,B1237,'Holdings'!$J$4:$J$2503,'Companies'!$A$4:$A$63,'Holdings'!$L$4:$L$2503,"Yes",'Holdings'!$C$4:$C$2503,"&gt;0")&gt;0),'Companies'!$A$4:$A$63,"")))</f>
        <v/>
      </c>
      <c r="G1237" s="30">
        <f>IF(A1237="","",IF(COUNTIF('People'!$A$4:$A$1003,A1237)=0,"Email not on People",IF(COUNTIF('Holders'!$A$4:$A$1003,B1237)=0,"Unknown holder ID",IF(COUNTIFS($A$4:$A$1503,A1237,$B$4:$B$1503,B1237)&gt;1,"Duplicate link",IF(C1237="","Missing access","OK")))))</f>
        <v/>
      </c>
    </row>
    <row r="1238">
      <c r="A1238" s="26" t="n"/>
      <c r="B1238" s="26" t="n"/>
      <c r="C1238" s="26" t="n"/>
      <c r="D1238" s="26" t="n"/>
      <c r="E1238" s="30">
        <f>IF(B1238="","",IFERROR(INDEX('Holders'!$B$4:$B$1003,MATCH(B1238,'Holders'!$A$4:$A$1003,0)),""))</f>
        <v/>
      </c>
      <c r="F1238" s="30">
        <f t="array" ref="F1238">IF(B1238="","",_xlfn.TEXTJOIN(", ",TRUE,IF(('Companies'!$A$4:$A$63&lt;&gt;"")*(COUNTIFS('Holdings'!$A$4:$A$2503,B1238,'Holdings'!$J$4:$J$2503,'Companies'!$A$4:$A$63,'Holdings'!$L$4:$L$2503,"Yes",'Holdings'!$C$4:$C$2503,"&gt;0")&gt;0),'Companies'!$A$4:$A$63,"")))</f>
        <v/>
      </c>
      <c r="G1238" s="30">
        <f>IF(A1238="","",IF(COUNTIF('People'!$A$4:$A$1003,A1238)=0,"Email not on People",IF(COUNTIF('Holders'!$A$4:$A$1003,B1238)=0,"Unknown holder ID",IF(COUNTIFS($A$4:$A$1503,A1238,$B$4:$B$1503,B1238)&gt;1,"Duplicate link",IF(C1238="","Missing access","OK")))))</f>
        <v/>
      </c>
    </row>
    <row r="1239">
      <c r="A1239" s="26" t="n"/>
      <c r="B1239" s="26" t="n"/>
      <c r="C1239" s="26" t="n"/>
      <c r="D1239" s="26" t="n"/>
      <c r="E1239" s="30">
        <f>IF(B1239="","",IFERROR(INDEX('Holders'!$B$4:$B$1003,MATCH(B1239,'Holders'!$A$4:$A$1003,0)),""))</f>
        <v/>
      </c>
      <c r="F1239" s="30">
        <f t="array" ref="F1239">IF(B1239="","",_xlfn.TEXTJOIN(", ",TRUE,IF(('Companies'!$A$4:$A$63&lt;&gt;"")*(COUNTIFS('Holdings'!$A$4:$A$2503,B1239,'Holdings'!$J$4:$J$2503,'Companies'!$A$4:$A$63,'Holdings'!$L$4:$L$2503,"Yes",'Holdings'!$C$4:$C$2503,"&gt;0")&gt;0),'Companies'!$A$4:$A$63,"")))</f>
        <v/>
      </c>
      <c r="G1239" s="30">
        <f>IF(A1239="","",IF(COUNTIF('People'!$A$4:$A$1003,A1239)=0,"Email not on People",IF(COUNTIF('Holders'!$A$4:$A$1003,B1239)=0,"Unknown holder ID",IF(COUNTIFS($A$4:$A$1503,A1239,$B$4:$B$1503,B1239)&gt;1,"Duplicate link",IF(C1239="","Missing access","OK")))))</f>
        <v/>
      </c>
    </row>
    <row r="1240">
      <c r="A1240" s="26" t="n"/>
      <c r="B1240" s="26" t="n"/>
      <c r="C1240" s="26" t="n"/>
      <c r="D1240" s="26" t="n"/>
      <c r="E1240" s="30">
        <f>IF(B1240="","",IFERROR(INDEX('Holders'!$B$4:$B$1003,MATCH(B1240,'Holders'!$A$4:$A$1003,0)),""))</f>
        <v/>
      </c>
      <c r="F1240" s="30">
        <f t="array" ref="F1240">IF(B1240="","",_xlfn.TEXTJOIN(", ",TRUE,IF(('Companies'!$A$4:$A$63&lt;&gt;"")*(COUNTIFS('Holdings'!$A$4:$A$2503,B1240,'Holdings'!$J$4:$J$2503,'Companies'!$A$4:$A$63,'Holdings'!$L$4:$L$2503,"Yes",'Holdings'!$C$4:$C$2503,"&gt;0")&gt;0),'Companies'!$A$4:$A$63,"")))</f>
        <v/>
      </c>
      <c r="G1240" s="30">
        <f>IF(A1240="","",IF(COUNTIF('People'!$A$4:$A$1003,A1240)=0,"Email not on People",IF(COUNTIF('Holders'!$A$4:$A$1003,B1240)=0,"Unknown holder ID",IF(COUNTIFS($A$4:$A$1503,A1240,$B$4:$B$1503,B1240)&gt;1,"Duplicate link",IF(C1240="","Missing access","OK")))))</f>
        <v/>
      </c>
    </row>
    <row r="1241">
      <c r="A1241" s="26" t="n"/>
      <c r="B1241" s="26" t="n"/>
      <c r="C1241" s="26" t="n"/>
      <c r="D1241" s="26" t="n"/>
      <c r="E1241" s="30">
        <f>IF(B1241="","",IFERROR(INDEX('Holders'!$B$4:$B$1003,MATCH(B1241,'Holders'!$A$4:$A$1003,0)),""))</f>
        <v/>
      </c>
      <c r="F1241" s="30">
        <f t="array" ref="F1241">IF(B1241="","",_xlfn.TEXTJOIN(", ",TRUE,IF(('Companies'!$A$4:$A$63&lt;&gt;"")*(COUNTIFS('Holdings'!$A$4:$A$2503,B1241,'Holdings'!$J$4:$J$2503,'Companies'!$A$4:$A$63,'Holdings'!$L$4:$L$2503,"Yes",'Holdings'!$C$4:$C$2503,"&gt;0")&gt;0),'Companies'!$A$4:$A$63,"")))</f>
        <v/>
      </c>
      <c r="G1241" s="30">
        <f>IF(A1241="","",IF(COUNTIF('People'!$A$4:$A$1003,A1241)=0,"Email not on People",IF(COUNTIF('Holders'!$A$4:$A$1003,B1241)=0,"Unknown holder ID",IF(COUNTIFS($A$4:$A$1503,A1241,$B$4:$B$1503,B1241)&gt;1,"Duplicate link",IF(C1241="","Missing access","OK")))))</f>
        <v/>
      </c>
    </row>
    <row r="1242">
      <c r="A1242" s="26" t="n"/>
      <c r="B1242" s="26" t="n"/>
      <c r="C1242" s="26" t="n"/>
      <c r="D1242" s="26" t="n"/>
      <c r="E1242" s="30">
        <f>IF(B1242="","",IFERROR(INDEX('Holders'!$B$4:$B$1003,MATCH(B1242,'Holders'!$A$4:$A$1003,0)),""))</f>
        <v/>
      </c>
      <c r="F1242" s="30">
        <f t="array" ref="F1242">IF(B1242="","",_xlfn.TEXTJOIN(", ",TRUE,IF(('Companies'!$A$4:$A$63&lt;&gt;"")*(COUNTIFS('Holdings'!$A$4:$A$2503,B1242,'Holdings'!$J$4:$J$2503,'Companies'!$A$4:$A$63,'Holdings'!$L$4:$L$2503,"Yes",'Holdings'!$C$4:$C$2503,"&gt;0")&gt;0),'Companies'!$A$4:$A$63,"")))</f>
        <v/>
      </c>
      <c r="G1242" s="30">
        <f>IF(A1242="","",IF(COUNTIF('People'!$A$4:$A$1003,A1242)=0,"Email not on People",IF(COUNTIF('Holders'!$A$4:$A$1003,B1242)=0,"Unknown holder ID",IF(COUNTIFS($A$4:$A$1503,A1242,$B$4:$B$1503,B1242)&gt;1,"Duplicate link",IF(C1242="","Missing access","OK")))))</f>
        <v/>
      </c>
    </row>
    <row r="1243">
      <c r="A1243" s="26" t="n"/>
      <c r="B1243" s="26" t="n"/>
      <c r="C1243" s="26" t="n"/>
      <c r="D1243" s="26" t="n"/>
      <c r="E1243" s="30">
        <f>IF(B1243="","",IFERROR(INDEX('Holders'!$B$4:$B$1003,MATCH(B1243,'Holders'!$A$4:$A$1003,0)),""))</f>
        <v/>
      </c>
      <c r="F1243" s="30">
        <f t="array" ref="F1243">IF(B1243="","",_xlfn.TEXTJOIN(", ",TRUE,IF(('Companies'!$A$4:$A$63&lt;&gt;"")*(COUNTIFS('Holdings'!$A$4:$A$2503,B1243,'Holdings'!$J$4:$J$2503,'Companies'!$A$4:$A$63,'Holdings'!$L$4:$L$2503,"Yes",'Holdings'!$C$4:$C$2503,"&gt;0")&gt;0),'Companies'!$A$4:$A$63,"")))</f>
        <v/>
      </c>
      <c r="G1243" s="30">
        <f>IF(A1243="","",IF(COUNTIF('People'!$A$4:$A$1003,A1243)=0,"Email not on People",IF(COUNTIF('Holders'!$A$4:$A$1003,B1243)=0,"Unknown holder ID",IF(COUNTIFS($A$4:$A$1503,A1243,$B$4:$B$1503,B1243)&gt;1,"Duplicate link",IF(C1243="","Missing access","OK")))))</f>
        <v/>
      </c>
    </row>
    <row r="1244">
      <c r="A1244" s="26" t="n"/>
      <c r="B1244" s="26" t="n"/>
      <c r="C1244" s="26" t="n"/>
      <c r="D1244" s="26" t="n"/>
      <c r="E1244" s="30">
        <f>IF(B1244="","",IFERROR(INDEX('Holders'!$B$4:$B$1003,MATCH(B1244,'Holders'!$A$4:$A$1003,0)),""))</f>
        <v/>
      </c>
      <c r="F1244" s="30">
        <f t="array" ref="F1244">IF(B1244="","",_xlfn.TEXTJOIN(", ",TRUE,IF(('Companies'!$A$4:$A$63&lt;&gt;"")*(COUNTIFS('Holdings'!$A$4:$A$2503,B1244,'Holdings'!$J$4:$J$2503,'Companies'!$A$4:$A$63,'Holdings'!$L$4:$L$2503,"Yes",'Holdings'!$C$4:$C$2503,"&gt;0")&gt;0),'Companies'!$A$4:$A$63,"")))</f>
        <v/>
      </c>
      <c r="G1244" s="30">
        <f>IF(A1244="","",IF(COUNTIF('People'!$A$4:$A$1003,A1244)=0,"Email not on People",IF(COUNTIF('Holders'!$A$4:$A$1003,B1244)=0,"Unknown holder ID",IF(COUNTIFS($A$4:$A$1503,A1244,$B$4:$B$1503,B1244)&gt;1,"Duplicate link",IF(C1244="","Missing access","OK")))))</f>
        <v/>
      </c>
    </row>
    <row r="1245">
      <c r="A1245" s="26" t="n"/>
      <c r="B1245" s="26" t="n"/>
      <c r="C1245" s="26" t="n"/>
      <c r="D1245" s="26" t="n"/>
      <c r="E1245" s="30">
        <f>IF(B1245="","",IFERROR(INDEX('Holders'!$B$4:$B$1003,MATCH(B1245,'Holders'!$A$4:$A$1003,0)),""))</f>
        <v/>
      </c>
      <c r="F1245" s="30">
        <f t="array" ref="F1245">IF(B1245="","",_xlfn.TEXTJOIN(", ",TRUE,IF(('Companies'!$A$4:$A$63&lt;&gt;"")*(COUNTIFS('Holdings'!$A$4:$A$2503,B1245,'Holdings'!$J$4:$J$2503,'Companies'!$A$4:$A$63,'Holdings'!$L$4:$L$2503,"Yes",'Holdings'!$C$4:$C$2503,"&gt;0")&gt;0),'Companies'!$A$4:$A$63,"")))</f>
        <v/>
      </c>
      <c r="G1245" s="30">
        <f>IF(A1245="","",IF(COUNTIF('People'!$A$4:$A$1003,A1245)=0,"Email not on People",IF(COUNTIF('Holders'!$A$4:$A$1003,B1245)=0,"Unknown holder ID",IF(COUNTIFS($A$4:$A$1503,A1245,$B$4:$B$1503,B1245)&gt;1,"Duplicate link",IF(C1245="","Missing access","OK")))))</f>
        <v/>
      </c>
    </row>
    <row r="1246">
      <c r="A1246" s="26" t="n"/>
      <c r="B1246" s="26" t="n"/>
      <c r="C1246" s="26" t="n"/>
      <c r="D1246" s="26" t="n"/>
      <c r="E1246" s="30">
        <f>IF(B1246="","",IFERROR(INDEX('Holders'!$B$4:$B$1003,MATCH(B1246,'Holders'!$A$4:$A$1003,0)),""))</f>
        <v/>
      </c>
      <c r="F1246" s="30">
        <f t="array" ref="F1246">IF(B1246="","",_xlfn.TEXTJOIN(", ",TRUE,IF(('Companies'!$A$4:$A$63&lt;&gt;"")*(COUNTIFS('Holdings'!$A$4:$A$2503,B1246,'Holdings'!$J$4:$J$2503,'Companies'!$A$4:$A$63,'Holdings'!$L$4:$L$2503,"Yes",'Holdings'!$C$4:$C$2503,"&gt;0")&gt;0),'Companies'!$A$4:$A$63,"")))</f>
        <v/>
      </c>
      <c r="G1246" s="30">
        <f>IF(A1246="","",IF(COUNTIF('People'!$A$4:$A$1003,A1246)=0,"Email not on People",IF(COUNTIF('Holders'!$A$4:$A$1003,B1246)=0,"Unknown holder ID",IF(COUNTIFS($A$4:$A$1503,A1246,$B$4:$B$1503,B1246)&gt;1,"Duplicate link",IF(C1246="","Missing access","OK")))))</f>
        <v/>
      </c>
    </row>
    <row r="1247">
      <c r="A1247" s="26" t="n"/>
      <c r="B1247" s="26" t="n"/>
      <c r="C1247" s="26" t="n"/>
      <c r="D1247" s="26" t="n"/>
      <c r="E1247" s="30">
        <f>IF(B1247="","",IFERROR(INDEX('Holders'!$B$4:$B$1003,MATCH(B1247,'Holders'!$A$4:$A$1003,0)),""))</f>
        <v/>
      </c>
      <c r="F1247" s="30">
        <f t="array" ref="F1247">IF(B1247="","",_xlfn.TEXTJOIN(", ",TRUE,IF(('Companies'!$A$4:$A$63&lt;&gt;"")*(COUNTIFS('Holdings'!$A$4:$A$2503,B1247,'Holdings'!$J$4:$J$2503,'Companies'!$A$4:$A$63,'Holdings'!$L$4:$L$2503,"Yes",'Holdings'!$C$4:$C$2503,"&gt;0")&gt;0),'Companies'!$A$4:$A$63,"")))</f>
        <v/>
      </c>
      <c r="G1247" s="30">
        <f>IF(A1247="","",IF(COUNTIF('People'!$A$4:$A$1003,A1247)=0,"Email not on People",IF(COUNTIF('Holders'!$A$4:$A$1003,B1247)=0,"Unknown holder ID",IF(COUNTIFS($A$4:$A$1503,A1247,$B$4:$B$1503,B1247)&gt;1,"Duplicate link",IF(C1247="","Missing access","OK")))))</f>
        <v/>
      </c>
    </row>
    <row r="1248">
      <c r="A1248" s="26" t="n"/>
      <c r="B1248" s="26" t="n"/>
      <c r="C1248" s="26" t="n"/>
      <c r="D1248" s="26" t="n"/>
      <c r="E1248" s="30">
        <f>IF(B1248="","",IFERROR(INDEX('Holders'!$B$4:$B$1003,MATCH(B1248,'Holders'!$A$4:$A$1003,0)),""))</f>
        <v/>
      </c>
      <c r="F1248" s="30">
        <f t="array" ref="F1248">IF(B1248="","",_xlfn.TEXTJOIN(", ",TRUE,IF(('Companies'!$A$4:$A$63&lt;&gt;"")*(COUNTIFS('Holdings'!$A$4:$A$2503,B1248,'Holdings'!$J$4:$J$2503,'Companies'!$A$4:$A$63,'Holdings'!$L$4:$L$2503,"Yes",'Holdings'!$C$4:$C$2503,"&gt;0")&gt;0),'Companies'!$A$4:$A$63,"")))</f>
        <v/>
      </c>
      <c r="G1248" s="30">
        <f>IF(A1248="","",IF(COUNTIF('People'!$A$4:$A$1003,A1248)=0,"Email not on People",IF(COUNTIF('Holders'!$A$4:$A$1003,B1248)=0,"Unknown holder ID",IF(COUNTIFS($A$4:$A$1503,A1248,$B$4:$B$1503,B1248)&gt;1,"Duplicate link",IF(C1248="","Missing access","OK")))))</f>
        <v/>
      </c>
    </row>
    <row r="1249">
      <c r="A1249" s="26" t="n"/>
      <c r="B1249" s="26" t="n"/>
      <c r="C1249" s="26" t="n"/>
      <c r="D1249" s="26" t="n"/>
      <c r="E1249" s="30">
        <f>IF(B1249="","",IFERROR(INDEX('Holders'!$B$4:$B$1003,MATCH(B1249,'Holders'!$A$4:$A$1003,0)),""))</f>
        <v/>
      </c>
      <c r="F1249" s="30">
        <f t="array" ref="F1249">IF(B1249="","",_xlfn.TEXTJOIN(", ",TRUE,IF(('Companies'!$A$4:$A$63&lt;&gt;"")*(COUNTIFS('Holdings'!$A$4:$A$2503,B1249,'Holdings'!$J$4:$J$2503,'Companies'!$A$4:$A$63,'Holdings'!$L$4:$L$2503,"Yes",'Holdings'!$C$4:$C$2503,"&gt;0")&gt;0),'Companies'!$A$4:$A$63,"")))</f>
        <v/>
      </c>
      <c r="G1249" s="30">
        <f>IF(A1249="","",IF(COUNTIF('People'!$A$4:$A$1003,A1249)=0,"Email not on People",IF(COUNTIF('Holders'!$A$4:$A$1003,B1249)=0,"Unknown holder ID",IF(COUNTIFS($A$4:$A$1503,A1249,$B$4:$B$1503,B1249)&gt;1,"Duplicate link",IF(C1249="","Missing access","OK")))))</f>
        <v/>
      </c>
    </row>
    <row r="1250">
      <c r="A1250" s="26" t="n"/>
      <c r="B1250" s="26" t="n"/>
      <c r="C1250" s="26" t="n"/>
      <c r="D1250" s="26" t="n"/>
      <c r="E1250" s="30">
        <f>IF(B1250="","",IFERROR(INDEX('Holders'!$B$4:$B$1003,MATCH(B1250,'Holders'!$A$4:$A$1003,0)),""))</f>
        <v/>
      </c>
      <c r="F1250" s="30">
        <f t="array" ref="F1250">IF(B1250="","",_xlfn.TEXTJOIN(", ",TRUE,IF(('Companies'!$A$4:$A$63&lt;&gt;"")*(COUNTIFS('Holdings'!$A$4:$A$2503,B1250,'Holdings'!$J$4:$J$2503,'Companies'!$A$4:$A$63,'Holdings'!$L$4:$L$2503,"Yes",'Holdings'!$C$4:$C$2503,"&gt;0")&gt;0),'Companies'!$A$4:$A$63,"")))</f>
        <v/>
      </c>
      <c r="G1250" s="30">
        <f>IF(A1250="","",IF(COUNTIF('People'!$A$4:$A$1003,A1250)=0,"Email not on People",IF(COUNTIF('Holders'!$A$4:$A$1003,B1250)=0,"Unknown holder ID",IF(COUNTIFS($A$4:$A$1503,A1250,$B$4:$B$1503,B1250)&gt;1,"Duplicate link",IF(C1250="","Missing access","OK")))))</f>
        <v/>
      </c>
    </row>
    <row r="1251">
      <c r="A1251" s="26" t="n"/>
      <c r="B1251" s="26" t="n"/>
      <c r="C1251" s="26" t="n"/>
      <c r="D1251" s="26" t="n"/>
      <c r="E1251" s="30">
        <f>IF(B1251="","",IFERROR(INDEX('Holders'!$B$4:$B$1003,MATCH(B1251,'Holders'!$A$4:$A$1003,0)),""))</f>
        <v/>
      </c>
      <c r="F1251" s="30">
        <f t="array" ref="F1251">IF(B1251="","",_xlfn.TEXTJOIN(", ",TRUE,IF(('Companies'!$A$4:$A$63&lt;&gt;"")*(COUNTIFS('Holdings'!$A$4:$A$2503,B1251,'Holdings'!$J$4:$J$2503,'Companies'!$A$4:$A$63,'Holdings'!$L$4:$L$2503,"Yes",'Holdings'!$C$4:$C$2503,"&gt;0")&gt;0),'Companies'!$A$4:$A$63,"")))</f>
        <v/>
      </c>
      <c r="G1251" s="30">
        <f>IF(A1251="","",IF(COUNTIF('People'!$A$4:$A$1003,A1251)=0,"Email not on People",IF(COUNTIF('Holders'!$A$4:$A$1003,B1251)=0,"Unknown holder ID",IF(COUNTIFS($A$4:$A$1503,A1251,$B$4:$B$1503,B1251)&gt;1,"Duplicate link",IF(C1251="","Missing access","OK")))))</f>
        <v/>
      </c>
    </row>
    <row r="1252">
      <c r="A1252" s="26" t="n"/>
      <c r="B1252" s="26" t="n"/>
      <c r="C1252" s="26" t="n"/>
      <c r="D1252" s="26" t="n"/>
      <c r="E1252" s="30">
        <f>IF(B1252="","",IFERROR(INDEX('Holders'!$B$4:$B$1003,MATCH(B1252,'Holders'!$A$4:$A$1003,0)),""))</f>
        <v/>
      </c>
      <c r="F1252" s="30">
        <f t="array" ref="F1252">IF(B1252="","",_xlfn.TEXTJOIN(", ",TRUE,IF(('Companies'!$A$4:$A$63&lt;&gt;"")*(COUNTIFS('Holdings'!$A$4:$A$2503,B1252,'Holdings'!$J$4:$J$2503,'Companies'!$A$4:$A$63,'Holdings'!$L$4:$L$2503,"Yes",'Holdings'!$C$4:$C$2503,"&gt;0")&gt;0),'Companies'!$A$4:$A$63,"")))</f>
        <v/>
      </c>
      <c r="G1252" s="30">
        <f>IF(A1252="","",IF(COUNTIF('People'!$A$4:$A$1003,A1252)=0,"Email not on People",IF(COUNTIF('Holders'!$A$4:$A$1003,B1252)=0,"Unknown holder ID",IF(COUNTIFS($A$4:$A$1503,A1252,$B$4:$B$1503,B1252)&gt;1,"Duplicate link",IF(C1252="","Missing access","OK")))))</f>
        <v/>
      </c>
    </row>
    <row r="1253">
      <c r="A1253" s="26" t="n"/>
      <c r="B1253" s="26" t="n"/>
      <c r="C1253" s="26" t="n"/>
      <c r="D1253" s="26" t="n"/>
      <c r="E1253" s="30">
        <f>IF(B1253="","",IFERROR(INDEX('Holders'!$B$4:$B$1003,MATCH(B1253,'Holders'!$A$4:$A$1003,0)),""))</f>
        <v/>
      </c>
      <c r="F1253" s="30">
        <f t="array" ref="F1253">IF(B1253="","",_xlfn.TEXTJOIN(", ",TRUE,IF(('Companies'!$A$4:$A$63&lt;&gt;"")*(COUNTIFS('Holdings'!$A$4:$A$2503,B1253,'Holdings'!$J$4:$J$2503,'Companies'!$A$4:$A$63,'Holdings'!$L$4:$L$2503,"Yes",'Holdings'!$C$4:$C$2503,"&gt;0")&gt;0),'Companies'!$A$4:$A$63,"")))</f>
        <v/>
      </c>
      <c r="G1253" s="30">
        <f>IF(A1253="","",IF(COUNTIF('People'!$A$4:$A$1003,A1253)=0,"Email not on People",IF(COUNTIF('Holders'!$A$4:$A$1003,B1253)=0,"Unknown holder ID",IF(COUNTIFS($A$4:$A$1503,A1253,$B$4:$B$1503,B1253)&gt;1,"Duplicate link",IF(C1253="","Missing access","OK")))))</f>
        <v/>
      </c>
    </row>
    <row r="1254">
      <c r="A1254" s="26" t="n"/>
      <c r="B1254" s="26" t="n"/>
      <c r="C1254" s="26" t="n"/>
      <c r="D1254" s="26" t="n"/>
      <c r="E1254" s="30">
        <f>IF(B1254="","",IFERROR(INDEX('Holders'!$B$4:$B$1003,MATCH(B1254,'Holders'!$A$4:$A$1003,0)),""))</f>
        <v/>
      </c>
      <c r="F1254" s="30">
        <f t="array" ref="F1254">IF(B1254="","",_xlfn.TEXTJOIN(", ",TRUE,IF(('Companies'!$A$4:$A$63&lt;&gt;"")*(COUNTIFS('Holdings'!$A$4:$A$2503,B1254,'Holdings'!$J$4:$J$2503,'Companies'!$A$4:$A$63,'Holdings'!$L$4:$L$2503,"Yes",'Holdings'!$C$4:$C$2503,"&gt;0")&gt;0),'Companies'!$A$4:$A$63,"")))</f>
        <v/>
      </c>
      <c r="G1254" s="30">
        <f>IF(A1254="","",IF(COUNTIF('People'!$A$4:$A$1003,A1254)=0,"Email not on People",IF(COUNTIF('Holders'!$A$4:$A$1003,B1254)=0,"Unknown holder ID",IF(COUNTIFS($A$4:$A$1503,A1254,$B$4:$B$1503,B1254)&gt;1,"Duplicate link",IF(C1254="","Missing access","OK")))))</f>
        <v/>
      </c>
    </row>
    <row r="1255">
      <c r="A1255" s="26" t="n"/>
      <c r="B1255" s="26" t="n"/>
      <c r="C1255" s="26" t="n"/>
      <c r="D1255" s="26" t="n"/>
      <c r="E1255" s="30">
        <f>IF(B1255="","",IFERROR(INDEX('Holders'!$B$4:$B$1003,MATCH(B1255,'Holders'!$A$4:$A$1003,0)),""))</f>
        <v/>
      </c>
      <c r="F1255" s="30">
        <f t="array" ref="F1255">IF(B1255="","",_xlfn.TEXTJOIN(", ",TRUE,IF(('Companies'!$A$4:$A$63&lt;&gt;"")*(COUNTIFS('Holdings'!$A$4:$A$2503,B1255,'Holdings'!$J$4:$J$2503,'Companies'!$A$4:$A$63,'Holdings'!$L$4:$L$2503,"Yes",'Holdings'!$C$4:$C$2503,"&gt;0")&gt;0),'Companies'!$A$4:$A$63,"")))</f>
        <v/>
      </c>
      <c r="G1255" s="30">
        <f>IF(A1255="","",IF(COUNTIF('People'!$A$4:$A$1003,A1255)=0,"Email not on People",IF(COUNTIF('Holders'!$A$4:$A$1003,B1255)=0,"Unknown holder ID",IF(COUNTIFS($A$4:$A$1503,A1255,$B$4:$B$1503,B1255)&gt;1,"Duplicate link",IF(C1255="","Missing access","OK")))))</f>
        <v/>
      </c>
    </row>
    <row r="1256">
      <c r="A1256" s="26" t="n"/>
      <c r="B1256" s="26" t="n"/>
      <c r="C1256" s="26" t="n"/>
      <c r="D1256" s="26" t="n"/>
      <c r="E1256" s="30">
        <f>IF(B1256="","",IFERROR(INDEX('Holders'!$B$4:$B$1003,MATCH(B1256,'Holders'!$A$4:$A$1003,0)),""))</f>
        <v/>
      </c>
      <c r="F1256" s="30">
        <f t="array" ref="F1256">IF(B1256="","",_xlfn.TEXTJOIN(", ",TRUE,IF(('Companies'!$A$4:$A$63&lt;&gt;"")*(COUNTIFS('Holdings'!$A$4:$A$2503,B1256,'Holdings'!$J$4:$J$2503,'Companies'!$A$4:$A$63,'Holdings'!$L$4:$L$2503,"Yes",'Holdings'!$C$4:$C$2503,"&gt;0")&gt;0),'Companies'!$A$4:$A$63,"")))</f>
        <v/>
      </c>
      <c r="G1256" s="30">
        <f>IF(A1256="","",IF(COUNTIF('People'!$A$4:$A$1003,A1256)=0,"Email not on People",IF(COUNTIF('Holders'!$A$4:$A$1003,B1256)=0,"Unknown holder ID",IF(COUNTIFS($A$4:$A$1503,A1256,$B$4:$B$1503,B1256)&gt;1,"Duplicate link",IF(C1256="","Missing access","OK")))))</f>
        <v/>
      </c>
    </row>
    <row r="1257">
      <c r="A1257" s="26" t="n"/>
      <c r="B1257" s="26" t="n"/>
      <c r="C1257" s="26" t="n"/>
      <c r="D1257" s="26" t="n"/>
      <c r="E1257" s="30">
        <f>IF(B1257="","",IFERROR(INDEX('Holders'!$B$4:$B$1003,MATCH(B1257,'Holders'!$A$4:$A$1003,0)),""))</f>
        <v/>
      </c>
      <c r="F1257" s="30">
        <f t="array" ref="F1257">IF(B1257="","",_xlfn.TEXTJOIN(", ",TRUE,IF(('Companies'!$A$4:$A$63&lt;&gt;"")*(COUNTIFS('Holdings'!$A$4:$A$2503,B1257,'Holdings'!$J$4:$J$2503,'Companies'!$A$4:$A$63,'Holdings'!$L$4:$L$2503,"Yes",'Holdings'!$C$4:$C$2503,"&gt;0")&gt;0),'Companies'!$A$4:$A$63,"")))</f>
        <v/>
      </c>
      <c r="G1257" s="30">
        <f>IF(A1257="","",IF(COUNTIF('People'!$A$4:$A$1003,A1257)=0,"Email not on People",IF(COUNTIF('Holders'!$A$4:$A$1003,B1257)=0,"Unknown holder ID",IF(COUNTIFS($A$4:$A$1503,A1257,$B$4:$B$1503,B1257)&gt;1,"Duplicate link",IF(C1257="","Missing access","OK")))))</f>
        <v/>
      </c>
    </row>
    <row r="1258">
      <c r="A1258" s="26" t="n"/>
      <c r="B1258" s="26" t="n"/>
      <c r="C1258" s="26" t="n"/>
      <c r="D1258" s="26" t="n"/>
      <c r="E1258" s="30">
        <f>IF(B1258="","",IFERROR(INDEX('Holders'!$B$4:$B$1003,MATCH(B1258,'Holders'!$A$4:$A$1003,0)),""))</f>
        <v/>
      </c>
      <c r="F1258" s="30">
        <f t="array" ref="F1258">IF(B1258="","",_xlfn.TEXTJOIN(", ",TRUE,IF(('Companies'!$A$4:$A$63&lt;&gt;"")*(COUNTIFS('Holdings'!$A$4:$A$2503,B1258,'Holdings'!$J$4:$J$2503,'Companies'!$A$4:$A$63,'Holdings'!$L$4:$L$2503,"Yes",'Holdings'!$C$4:$C$2503,"&gt;0")&gt;0),'Companies'!$A$4:$A$63,"")))</f>
        <v/>
      </c>
      <c r="G1258" s="30">
        <f>IF(A1258="","",IF(COUNTIF('People'!$A$4:$A$1003,A1258)=0,"Email not on People",IF(COUNTIF('Holders'!$A$4:$A$1003,B1258)=0,"Unknown holder ID",IF(COUNTIFS($A$4:$A$1503,A1258,$B$4:$B$1503,B1258)&gt;1,"Duplicate link",IF(C1258="","Missing access","OK")))))</f>
        <v/>
      </c>
    </row>
    <row r="1259">
      <c r="A1259" s="26" t="n"/>
      <c r="B1259" s="26" t="n"/>
      <c r="C1259" s="26" t="n"/>
      <c r="D1259" s="26" t="n"/>
      <c r="E1259" s="30">
        <f>IF(B1259="","",IFERROR(INDEX('Holders'!$B$4:$B$1003,MATCH(B1259,'Holders'!$A$4:$A$1003,0)),""))</f>
        <v/>
      </c>
      <c r="F1259" s="30">
        <f t="array" ref="F1259">IF(B1259="","",_xlfn.TEXTJOIN(", ",TRUE,IF(('Companies'!$A$4:$A$63&lt;&gt;"")*(COUNTIFS('Holdings'!$A$4:$A$2503,B1259,'Holdings'!$J$4:$J$2503,'Companies'!$A$4:$A$63,'Holdings'!$L$4:$L$2503,"Yes",'Holdings'!$C$4:$C$2503,"&gt;0")&gt;0),'Companies'!$A$4:$A$63,"")))</f>
        <v/>
      </c>
      <c r="G1259" s="30">
        <f>IF(A1259="","",IF(COUNTIF('People'!$A$4:$A$1003,A1259)=0,"Email not on People",IF(COUNTIF('Holders'!$A$4:$A$1003,B1259)=0,"Unknown holder ID",IF(COUNTIFS($A$4:$A$1503,A1259,$B$4:$B$1503,B1259)&gt;1,"Duplicate link",IF(C1259="","Missing access","OK")))))</f>
        <v/>
      </c>
    </row>
    <row r="1260">
      <c r="A1260" s="26" t="n"/>
      <c r="B1260" s="26" t="n"/>
      <c r="C1260" s="26" t="n"/>
      <c r="D1260" s="26" t="n"/>
      <c r="E1260" s="30">
        <f>IF(B1260="","",IFERROR(INDEX('Holders'!$B$4:$B$1003,MATCH(B1260,'Holders'!$A$4:$A$1003,0)),""))</f>
        <v/>
      </c>
      <c r="F1260" s="30">
        <f t="array" ref="F1260">IF(B1260="","",_xlfn.TEXTJOIN(", ",TRUE,IF(('Companies'!$A$4:$A$63&lt;&gt;"")*(COUNTIFS('Holdings'!$A$4:$A$2503,B1260,'Holdings'!$J$4:$J$2503,'Companies'!$A$4:$A$63,'Holdings'!$L$4:$L$2503,"Yes",'Holdings'!$C$4:$C$2503,"&gt;0")&gt;0),'Companies'!$A$4:$A$63,"")))</f>
        <v/>
      </c>
      <c r="G1260" s="30">
        <f>IF(A1260="","",IF(COUNTIF('People'!$A$4:$A$1003,A1260)=0,"Email not on People",IF(COUNTIF('Holders'!$A$4:$A$1003,B1260)=0,"Unknown holder ID",IF(COUNTIFS($A$4:$A$1503,A1260,$B$4:$B$1503,B1260)&gt;1,"Duplicate link",IF(C1260="","Missing access","OK")))))</f>
        <v/>
      </c>
    </row>
    <row r="1261">
      <c r="A1261" s="26" t="n"/>
      <c r="B1261" s="26" t="n"/>
      <c r="C1261" s="26" t="n"/>
      <c r="D1261" s="26" t="n"/>
      <c r="E1261" s="30">
        <f>IF(B1261="","",IFERROR(INDEX('Holders'!$B$4:$B$1003,MATCH(B1261,'Holders'!$A$4:$A$1003,0)),""))</f>
        <v/>
      </c>
      <c r="F1261" s="30">
        <f t="array" ref="F1261">IF(B1261="","",_xlfn.TEXTJOIN(", ",TRUE,IF(('Companies'!$A$4:$A$63&lt;&gt;"")*(COUNTIFS('Holdings'!$A$4:$A$2503,B1261,'Holdings'!$J$4:$J$2503,'Companies'!$A$4:$A$63,'Holdings'!$L$4:$L$2503,"Yes",'Holdings'!$C$4:$C$2503,"&gt;0")&gt;0),'Companies'!$A$4:$A$63,"")))</f>
        <v/>
      </c>
      <c r="G1261" s="30">
        <f>IF(A1261="","",IF(COUNTIF('People'!$A$4:$A$1003,A1261)=0,"Email not on People",IF(COUNTIF('Holders'!$A$4:$A$1003,B1261)=0,"Unknown holder ID",IF(COUNTIFS($A$4:$A$1503,A1261,$B$4:$B$1503,B1261)&gt;1,"Duplicate link",IF(C1261="","Missing access","OK")))))</f>
        <v/>
      </c>
    </row>
    <row r="1262">
      <c r="A1262" s="26" t="n"/>
      <c r="B1262" s="26" t="n"/>
      <c r="C1262" s="26" t="n"/>
      <c r="D1262" s="26" t="n"/>
      <c r="E1262" s="30">
        <f>IF(B1262="","",IFERROR(INDEX('Holders'!$B$4:$B$1003,MATCH(B1262,'Holders'!$A$4:$A$1003,0)),""))</f>
        <v/>
      </c>
      <c r="F1262" s="30">
        <f t="array" ref="F1262">IF(B1262="","",_xlfn.TEXTJOIN(", ",TRUE,IF(('Companies'!$A$4:$A$63&lt;&gt;"")*(COUNTIFS('Holdings'!$A$4:$A$2503,B1262,'Holdings'!$J$4:$J$2503,'Companies'!$A$4:$A$63,'Holdings'!$L$4:$L$2503,"Yes",'Holdings'!$C$4:$C$2503,"&gt;0")&gt;0),'Companies'!$A$4:$A$63,"")))</f>
        <v/>
      </c>
      <c r="G1262" s="30">
        <f>IF(A1262="","",IF(COUNTIF('People'!$A$4:$A$1003,A1262)=0,"Email not on People",IF(COUNTIF('Holders'!$A$4:$A$1003,B1262)=0,"Unknown holder ID",IF(COUNTIFS($A$4:$A$1503,A1262,$B$4:$B$1503,B1262)&gt;1,"Duplicate link",IF(C1262="","Missing access","OK")))))</f>
        <v/>
      </c>
    </row>
    <row r="1263">
      <c r="A1263" s="26" t="n"/>
      <c r="B1263" s="26" t="n"/>
      <c r="C1263" s="26" t="n"/>
      <c r="D1263" s="26" t="n"/>
      <c r="E1263" s="30">
        <f>IF(B1263="","",IFERROR(INDEX('Holders'!$B$4:$B$1003,MATCH(B1263,'Holders'!$A$4:$A$1003,0)),""))</f>
        <v/>
      </c>
      <c r="F1263" s="30">
        <f t="array" ref="F1263">IF(B1263="","",_xlfn.TEXTJOIN(", ",TRUE,IF(('Companies'!$A$4:$A$63&lt;&gt;"")*(COUNTIFS('Holdings'!$A$4:$A$2503,B1263,'Holdings'!$J$4:$J$2503,'Companies'!$A$4:$A$63,'Holdings'!$L$4:$L$2503,"Yes",'Holdings'!$C$4:$C$2503,"&gt;0")&gt;0),'Companies'!$A$4:$A$63,"")))</f>
        <v/>
      </c>
      <c r="G1263" s="30">
        <f>IF(A1263="","",IF(COUNTIF('People'!$A$4:$A$1003,A1263)=0,"Email not on People",IF(COUNTIF('Holders'!$A$4:$A$1003,B1263)=0,"Unknown holder ID",IF(COUNTIFS($A$4:$A$1503,A1263,$B$4:$B$1503,B1263)&gt;1,"Duplicate link",IF(C1263="","Missing access","OK")))))</f>
        <v/>
      </c>
    </row>
    <row r="1264">
      <c r="A1264" s="26" t="n"/>
      <c r="B1264" s="26" t="n"/>
      <c r="C1264" s="26" t="n"/>
      <c r="D1264" s="26" t="n"/>
      <c r="E1264" s="30">
        <f>IF(B1264="","",IFERROR(INDEX('Holders'!$B$4:$B$1003,MATCH(B1264,'Holders'!$A$4:$A$1003,0)),""))</f>
        <v/>
      </c>
      <c r="F1264" s="30">
        <f t="array" ref="F1264">IF(B1264="","",_xlfn.TEXTJOIN(", ",TRUE,IF(('Companies'!$A$4:$A$63&lt;&gt;"")*(COUNTIFS('Holdings'!$A$4:$A$2503,B1264,'Holdings'!$J$4:$J$2503,'Companies'!$A$4:$A$63,'Holdings'!$L$4:$L$2503,"Yes",'Holdings'!$C$4:$C$2503,"&gt;0")&gt;0),'Companies'!$A$4:$A$63,"")))</f>
        <v/>
      </c>
      <c r="G1264" s="30">
        <f>IF(A1264="","",IF(COUNTIF('People'!$A$4:$A$1003,A1264)=0,"Email not on People",IF(COUNTIF('Holders'!$A$4:$A$1003,B1264)=0,"Unknown holder ID",IF(COUNTIFS($A$4:$A$1503,A1264,$B$4:$B$1503,B1264)&gt;1,"Duplicate link",IF(C1264="","Missing access","OK")))))</f>
        <v/>
      </c>
    </row>
    <row r="1265">
      <c r="A1265" s="26" t="n"/>
      <c r="B1265" s="26" t="n"/>
      <c r="C1265" s="26" t="n"/>
      <c r="D1265" s="26" t="n"/>
      <c r="E1265" s="30">
        <f>IF(B1265="","",IFERROR(INDEX('Holders'!$B$4:$B$1003,MATCH(B1265,'Holders'!$A$4:$A$1003,0)),""))</f>
        <v/>
      </c>
      <c r="F1265" s="30">
        <f t="array" ref="F1265">IF(B1265="","",_xlfn.TEXTJOIN(", ",TRUE,IF(('Companies'!$A$4:$A$63&lt;&gt;"")*(COUNTIFS('Holdings'!$A$4:$A$2503,B1265,'Holdings'!$J$4:$J$2503,'Companies'!$A$4:$A$63,'Holdings'!$L$4:$L$2503,"Yes",'Holdings'!$C$4:$C$2503,"&gt;0")&gt;0),'Companies'!$A$4:$A$63,"")))</f>
        <v/>
      </c>
      <c r="G1265" s="30">
        <f>IF(A1265="","",IF(COUNTIF('People'!$A$4:$A$1003,A1265)=0,"Email not on People",IF(COUNTIF('Holders'!$A$4:$A$1003,B1265)=0,"Unknown holder ID",IF(COUNTIFS($A$4:$A$1503,A1265,$B$4:$B$1503,B1265)&gt;1,"Duplicate link",IF(C1265="","Missing access","OK")))))</f>
        <v/>
      </c>
    </row>
    <row r="1266">
      <c r="A1266" s="26" t="n"/>
      <c r="B1266" s="26" t="n"/>
      <c r="C1266" s="26" t="n"/>
      <c r="D1266" s="26" t="n"/>
      <c r="E1266" s="30">
        <f>IF(B1266="","",IFERROR(INDEX('Holders'!$B$4:$B$1003,MATCH(B1266,'Holders'!$A$4:$A$1003,0)),""))</f>
        <v/>
      </c>
      <c r="F1266" s="30">
        <f t="array" ref="F1266">IF(B1266="","",_xlfn.TEXTJOIN(", ",TRUE,IF(('Companies'!$A$4:$A$63&lt;&gt;"")*(COUNTIFS('Holdings'!$A$4:$A$2503,B1266,'Holdings'!$J$4:$J$2503,'Companies'!$A$4:$A$63,'Holdings'!$L$4:$L$2503,"Yes",'Holdings'!$C$4:$C$2503,"&gt;0")&gt;0),'Companies'!$A$4:$A$63,"")))</f>
        <v/>
      </c>
      <c r="G1266" s="30">
        <f>IF(A1266="","",IF(COUNTIF('People'!$A$4:$A$1003,A1266)=0,"Email not on People",IF(COUNTIF('Holders'!$A$4:$A$1003,B1266)=0,"Unknown holder ID",IF(COUNTIFS($A$4:$A$1503,A1266,$B$4:$B$1503,B1266)&gt;1,"Duplicate link",IF(C1266="","Missing access","OK")))))</f>
        <v/>
      </c>
    </row>
    <row r="1267">
      <c r="A1267" s="26" t="n"/>
      <c r="B1267" s="26" t="n"/>
      <c r="C1267" s="26" t="n"/>
      <c r="D1267" s="26" t="n"/>
      <c r="E1267" s="30">
        <f>IF(B1267="","",IFERROR(INDEX('Holders'!$B$4:$B$1003,MATCH(B1267,'Holders'!$A$4:$A$1003,0)),""))</f>
        <v/>
      </c>
      <c r="F1267" s="30">
        <f t="array" ref="F1267">IF(B1267="","",_xlfn.TEXTJOIN(", ",TRUE,IF(('Companies'!$A$4:$A$63&lt;&gt;"")*(COUNTIFS('Holdings'!$A$4:$A$2503,B1267,'Holdings'!$J$4:$J$2503,'Companies'!$A$4:$A$63,'Holdings'!$L$4:$L$2503,"Yes",'Holdings'!$C$4:$C$2503,"&gt;0")&gt;0),'Companies'!$A$4:$A$63,"")))</f>
        <v/>
      </c>
      <c r="G1267" s="30">
        <f>IF(A1267="","",IF(COUNTIF('People'!$A$4:$A$1003,A1267)=0,"Email not on People",IF(COUNTIF('Holders'!$A$4:$A$1003,B1267)=0,"Unknown holder ID",IF(COUNTIFS($A$4:$A$1503,A1267,$B$4:$B$1503,B1267)&gt;1,"Duplicate link",IF(C1267="","Missing access","OK")))))</f>
        <v/>
      </c>
    </row>
    <row r="1268">
      <c r="A1268" s="26" t="n"/>
      <c r="B1268" s="26" t="n"/>
      <c r="C1268" s="26" t="n"/>
      <c r="D1268" s="26" t="n"/>
      <c r="E1268" s="30">
        <f>IF(B1268="","",IFERROR(INDEX('Holders'!$B$4:$B$1003,MATCH(B1268,'Holders'!$A$4:$A$1003,0)),""))</f>
        <v/>
      </c>
      <c r="F1268" s="30">
        <f t="array" ref="F1268">IF(B1268="","",_xlfn.TEXTJOIN(", ",TRUE,IF(('Companies'!$A$4:$A$63&lt;&gt;"")*(COUNTIFS('Holdings'!$A$4:$A$2503,B1268,'Holdings'!$J$4:$J$2503,'Companies'!$A$4:$A$63,'Holdings'!$L$4:$L$2503,"Yes",'Holdings'!$C$4:$C$2503,"&gt;0")&gt;0),'Companies'!$A$4:$A$63,"")))</f>
        <v/>
      </c>
      <c r="G1268" s="30">
        <f>IF(A1268="","",IF(COUNTIF('People'!$A$4:$A$1003,A1268)=0,"Email not on People",IF(COUNTIF('Holders'!$A$4:$A$1003,B1268)=0,"Unknown holder ID",IF(COUNTIFS($A$4:$A$1503,A1268,$B$4:$B$1503,B1268)&gt;1,"Duplicate link",IF(C1268="","Missing access","OK")))))</f>
        <v/>
      </c>
    </row>
    <row r="1269">
      <c r="A1269" s="26" t="n"/>
      <c r="B1269" s="26" t="n"/>
      <c r="C1269" s="26" t="n"/>
      <c r="D1269" s="26" t="n"/>
      <c r="E1269" s="30">
        <f>IF(B1269="","",IFERROR(INDEX('Holders'!$B$4:$B$1003,MATCH(B1269,'Holders'!$A$4:$A$1003,0)),""))</f>
        <v/>
      </c>
      <c r="F1269" s="30">
        <f t="array" ref="F1269">IF(B1269="","",_xlfn.TEXTJOIN(", ",TRUE,IF(('Companies'!$A$4:$A$63&lt;&gt;"")*(COUNTIFS('Holdings'!$A$4:$A$2503,B1269,'Holdings'!$J$4:$J$2503,'Companies'!$A$4:$A$63,'Holdings'!$L$4:$L$2503,"Yes",'Holdings'!$C$4:$C$2503,"&gt;0")&gt;0),'Companies'!$A$4:$A$63,"")))</f>
        <v/>
      </c>
      <c r="G1269" s="30">
        <f>IF(A1269="","",IF(COUNTIF('People'!$A$4:$A$1003,A1269)=0,"Email not on People",IF(COUNTIF('Holders'!$A$4:$A$1003,B1269)=0,"Unknown holder ID",IF(COUNTIFS($A$4:$A$1503,A1269,$B$4:$B$1503,B1269)&gt;1,"Duplicate link",IF(C1269="","Missing access","OK")))))</f>
        <v/>
      </c>
    </row>
    <row r="1270">
      <c r="A1270" s="26" t="n"/>
      <c r="B1270" s="26" t="n"/>
      <c r="C1270" s="26" t="n"/>
      <c r="D1270" s="26" t="n"/>
      <c r="E1270" s="30">
        <f>IF(B1270="","",IFERROR(INDEX('Holders'!$B$4:$B$1003,MATCH(B1270,'Holders'!$A$4:$A$1003,0)),""))</f>
        <v/>
      </c>
      <c r="F1270" s="30">
        <f t="array" ref="F1270">IF(B1270="","",_xlfn.TEXTJOIN(", ",TRUE,IF(('Companies'!$A$4:$A$63&lt;&gt;"")*(COUNTIFS('Holdings'!$A$4:$A$2503,B1270,'Holdings'!$J$4:$J$2503,'Companies'!$A$4:$A$63,'Holdings'!$L$4:$L$2503,"Yes",'Holdings'!$C$4:$C$2503,"&gt;0")&gt;0),'Companies'!$A$4:$A$63,"")))</f>
        <v/>
      </c>
      <c r="G1270" s="30">
        <f>IF(A1270="","",IF(COUNTIF('People'!$A$4:$A$1003,A1270)=0,"Email not on People",IF(COUNTIF('Holders'!$A$4:$A$1003,B1270)=0,"Unknown holder ID",IF(COUNTIFS($A$4:$A$1503,A1270,$B$4:$B$1503,B1270)&gt;1,"Duplicate link",IF(C1270="","Missing access","OK")))))</f>
        <v/>
      </c>
    </row>
    <row r="1271">
      <c r="A1271" s="26" t="n"/>
      <c r="B1271" s="26" t="n"/>
      <c r="C1271" s="26" t="n"/>
      <c r="D1271" s="26" t="n"/>
      <c r="E1271" s="30">
        <f>IF(B1271="","",IFERROR(INDEX('Holders'!$B$4:$B$1003,MATCH(B1271,'Holders'!$A$4:$A$1003,0)),""))</f>
        <v/>
      </c>
      <c r="F1271" s="30">
        <f t="array" ref="F1271">IF(B1271="","",_xlfn.TEXTJOIN(", ",TRUE,IF(('Companies'!$A$4:$A$63&lt;&gt;"")*(COUNTIFS('Holdings'!$A$4:$A$2503,B1271,'Holdings'!$J$4:$J$2503,'Companies'!$A$4:$A$63,'Holdings'!$L$4:$L$2503,"Yes",'Holdings'!$C$4:$C$2503,"&gt;0")&gt;0),'Companies'!$A$4:$A$63,"")))</f>
        <v/>
      </c>
      <c r="G1271" s="30">
        <f>IF(A1271="","",IF(COUNTIF('People'!$A$4:$A$1003,A1271)=0,"Email not on People",IF(COUNTIF('Holders'!$A$4:$A$1003,B1271)=0,"Unknown holder ID",IF(COUNTIFS($A$4:$A$1503,A1271,$B$4:$B$1503,B1271)&gt;1,"Duplicate link",IF(C1271="","Missing access","OK")))))</f>
        <v/>
      </c>
    </row>
    <row r="1272">
      <c r="A1272" s="26" t="n"/>
      <c r="B1272" s="26" t="n"/>
      <c r="C1272" s="26" t="n"/>
      <c r="D1272" s="26" t="n"/>
      <c r="E1272" s="30">
        <f>IF(B1272="","",IFERROR(INDEX('Holders'!$B$4:$B$1003,MATCH(B1272,'Holders'!$A$4:$A$1003,0)),""))</f>
        <v/>
      </c>
      <c r="F1272" s="30">
        <f t="array" ref="F1272">IF(B1272="","",_xlfn.TEXTJOIN(", ",TRUE,IF(('Companies'!$A$4:$A$63&lt;&gt;"")*(COUNTIFS('Holdings'!$A$4:$A$2503,B1272,'Holdings'!$J$4:$J$2503,'Companies'!$A$4:$A$63,'Holdings'!$L$4:$L$2503,"Yes",'Holdings'!$C$4:$C$2503,"&gt;0")&gt;0),'Companies'!$A$4:$A$63,"")))</f>
        <v/>
      </c>
      <c r="G1272" s="30">
        <f>IF(A1272="","",IF(COUNTIF('People'!$A$4:$A$1003,A1272)=0,"Email not on People",IF(COUNTIF('Holders'!$A$4:$A$1003,B1272)=0,"Unknown holder ID",IF(COUNTIFS($A$4:$A$1503,A1272,$B$4:$B$1503,B1272)&gt;1,"Duplicate link",IF(C1272="","Missing access","OK")))))</f>
        <v/>
      </c>
    </row>
    <row r="1273">
      <c r="A1273" s="26" t="n"/>
      <c r="B1273" s="26" t="n"/>
      <c r="C1273" s="26" t="n"/>
      <c r="D1273" s="26" t="n"/>
      <c r="E1273" s="30">
        <f>IF(B1273="","",IFERROR(INDEX('Holders'!$B$4:$B$1003,MATCH(B1273,'Holders'!$A$4:$A$1003,0)),""))</f>
        <v/>
      </c>
      <c r="F1273" s="30">
        <f t="array" ref="F1273">IF(B1273="","",_xlfn.TEXTJOIN(", ",TRUE,IF(('Companies'!$A$4:$A$63&lt;&gt;"")*(COUNTIFS('Holdings'!$A$4:$A$2503,B1273,'Holdings'!$J$4:$J$2503,'Companies'!$A$4:$A$63,'Holdings'!$L$4:$L$2503,"Yes",'Holdings'!$C$4:$C$2503,"&gt;0")&gt;0),'Companies'!$A$4:$A$63,"")))</f>
        <v/>
      </c>
      <c r="G1273" s="30">
        <f>IF(A1273="","",IF(COUNTIF('People'!$A$4:$A$1003,A1273)=0,"Email not on People",IF(COUNTIF('Holders'!$A$4:$A$1003,B1273)=0,"Unknown holder ID",IF(COUNTIFS($A$4:$A$1503,A1273,$B$4:$B$1503,B1273)&gt;1,"Duplicate link",IF(C1273="","Missing access","OK")))))</f>
        <v/>
      </c>
    </row>
    <row r="1274">
      <c r="A1274" s="26" t="n"/>
      <c r="B1274" s="26" t="n"/>
      <c r="C1274" s="26" t="n"/>
      <c r="D1274" s="26" t="n"/>
      <c r="E1274" s="30">
        <f>IF(B1274="","",IFERROR(INDEX('Holders'!$B$4:$B$1003,MATCH(B1274,'Holders'!$A$4:$A$1003,0)),""))</f>
        <v/>
      </c>
      <c r="F1274" s="30">
        <f t="array" ref="F1274">IF(B1274="","",_xlfn.TEXTJOIN(", ",TRUE,IF(('Companies'!$A$4:$A$63&lt;&gt;"")*(COUNTIFS('Holdings'!$A$4:$A$2503,B1274,'Holdings'!$J$4:$J$2503,'Companies'!$A$4:$A$63,'Holdings'!$L$4:$L$2503,"Yes",'Holdings'!$C$4:$C$2503,"&gt;0")&gt;0),'Companies'!$A$4:$A$63,"")))</f>
        <v/>
      </c>
      <c r="G1274" s="30">
        <f>IF(A1274="","",IF(COUNTIF('People'!$A$4:$A$1003,A1274)=0,"Email not on People",IF(COUNTIF('Holders'!$A$4:$A$1003,B1274)=0,"Unknown holder ID",IF(COUNTIFS($A$4:$A$1503,A1274,$B$4:$B$1503,B1274)&gt;1,"Duplicate link",IF(C1274="","Missing access","OK")))))</f>
        <v/>
      </c>
    </row>
    <row r="1275">
      <c r="A1275" s="26" t="n"/>
      <c r="B1275" s="26" t="n"/>
      <c r="C1275" s="26" t="n"/>
      <c r="D1275" s="26" t="n"/>
      <c r="E1275" s="30">
        <f>IF(B1275="","",IFERROR(INDEX('Holders'!$B$4:$B$1003,MATCH(B1275,'Holders'!$A$4:$A$1003,0)),""))</f>
        <v/>
      </c>
      <c r="F1275" s="30">
        <f t="array" ref="F1275">IF(B1275="","",_xlfn.TEXTJOIN(", ",TRUE,IF(('Companies'!$A$4:$A$63&lt;&gt;"")*(COUNTIFS('Holdings'!$A$4:$A$2503,B1275,'Holdings'!$J$4:$J$2503,'Companies'!$A$4:$A$63,'Holdings'!$L$4:$L$2503,"Yes",'Holdings'!$C$4:$C$2503,"&gt;0")&gt;0),'Companies'!$A$4:$A$63,"")))</f>
        <v/>
      </c>
      <c r="G1275" s="30">
        <f>IF(A1275="","",IF(COUNTIF('People'!$A$4:$A$1003,A1275)=0,"Email not on People",IF(COUNTIF('Holders'!$A$4:$A$1003,B1275)=0,"Unknown holder ID",IF(COUNTIFS($A$4:$A$1503,A1275,$B$4:$B$1503,B1275)&gt;1,"Duplicate link",IF(C1275="","Missing access","OK")))))</f>
        <v/>
      </c>
    </row>
    <row r="1276">
      <c r="A1276" s="26" t="n"/>
      <c r="B1276" s="26" t="n"/>
      <c r="C1276" s="26" t="n"/>
      <c r="D1276" s="26" t="n"/>
      <c r="E1276" s="30">
        <f>IF(B1276="","",IFERROR(INDEX('Holders'!$B$4:$B$1003,MATCH(B1276,'Holders'!$A$4:$A$1003,0)),""))</f>
        <v/>
      </c>
      <c r="F1276" s="30">
        <f t="array" ref="F1276">IF(B1276="","",_xlfn.TEXTJOIN(", ",TRUE,IF(('Companies'!$A$4:$A$63&lt;&gt;"")*(COUNTIFS('Holdings'!$A$4:$A$2503,B1276,'Holdings'!$J$4:$J$2503,'Companies'!$A$4:$A$63,'Holdings'!$L$4:$L$2503,"Yes",'Holdings'!$C$4:$C$2503,"&gt;0")&gt;0),'Companies'!$A$4:$A$63,"")))</f>
        <v/>
      </c>
      <c r="G1276" s="30">
        <f>IF(A1276="","",IF(COUNTIF('People'!$A$4:$A$1003,A1276)=0,"Email not on People",IF(COUNTIF('Holders'!$A$4:$A$1003,B1276)=0,"Unknown holder ID",IF(COUNTIFS($A$4:$A$1503,A1276,$B$4:$B$1503,B1276)&gt;1,"Duplicate link",IF(C1276="","Missing access","OK")))))</f>
        <v/>
      </c>
    </row>
    <row r="1277">
      <c r="A1277" s="26" t="n"/>
      <c r="B1277" s="26" t="n"/>
      <c r="C1277" s="26" t="n"/>
      <c r="D1277" s="26" t="n"/>
      <c r="E1277" s="30">
        <f>IF(B1277="","",IFERROR(INDEX('Holders'!$B$4:$B$1003,MATCH(B1277,'Holders'!$A$4:$A$1003,0)),""))</f>
        <v/>
      </c>
      <c r="F1277" s="30">
        <f t="array" ref="F1277">IF(B1277="","",_xlfn.TEXTJOIN(", ",TRUE,IF(('Companies'!$A$4:$A$63&lt;&gt;"")*(COUNTIFS('Holdings'!$A$4:$A$2503,B1277,'Holdings'!$J$4:$J$2503,'Companies'!$A$4:$A$63,'Holdings'!$L$4:$L$2503,"Yes",'Holdings'!$C$4:$C$2503,"&gt;0")&gt;0),'Companies'!$A$4:$A$63,"")))</f>
        <v/>
      </c>
      <c r="G1277" s="30">
        <f>IF(A1277="","",IF(COUNTIF('People'!$A$4:$A$1003,A1277)=0,"Email not on People",IF(COUNTIF('Holders'!$A$4:$A$1003,B1277)=0,"Unknown holder ID",IF(COUNTIFS($A$4:$A$1503,A1277,$B$4:$B$1503,B1277)&gt;1,"Duplicate link",IF(C1277="","Missing access","OK")))))</f>
        <v/>
      </c>
    </row>
    <row r="1278">
      <c r="A1278" s="26" t="n"/>
      <c r="B1278" s="26" t="n"/>
      <c r="C1278" s="26" t="n"/>
      <c r="D1278" s="26" t="n"/>
      <c r="E1278" s="30">
        <f>IF(B1278="","",IFERROR(INDEX('Holders'!$B$4:$B$1003,MATCH(B1278,'Holders'!$A$4:$A$1003,0)),""))</f>
        <v/>
      </c>
      <c r="F1278" s="30">
        <f t="array" ref="F1278">IF(B1278="","",_xlfn.TEXTJOIN(", ",TRUE,IF(('Companies'!$A$4:$A$63&lt;&gt;"")*(COUNTIFS('Holdings'!$A$4:$A$2503,B1278,'Holdings'!$J$4:$J$2503,'Companies'!$A$4:$A$63,'Holdings'!$L$4:$L$2503,"Yes",'Holdings'!$C$4:$C$2503,"&gt;0")&gt;0),'Companies'!$A$4:$A$63,"")))</f>
        <v/>
      </c>
      <c r="G1278" s="30">
        <f>IF(A1278="","",IF(COUNTIF('People'!$A$4:$A$1003,A1278)=0,"Email not on People",IF(COUNTIF('Holders'!$A$4:$A$1003,B1278)=0,"Unknown holder ID",IF(COUNTIFS($A$4:$A$1503,A1278,$B$4:$B$1503,B1278)&gt;1,"Duplicate link",IF(C1278="","Missing access","OK")))))</f>
        <v/>
      </c>
    </row>
    <row r="1279">
      <c r="A1279" s="26" t="n"/>
      <c r="B1279" s="26" t="n"/>
      <c r="C1279" s="26" t="n"/>
      <c r="D1279" s="26" t="n"/>
      <c r="E1279" s="30">
        <f>IF(B1279="","",IFERROR(INDEX('Holders'!$B$4:$B$1003,MATCH(B1279,'Holders'!$A$4:$A$1003,0)),""))</f>
        <v/>
      </c>
      <c r="F1279" s="30">
        <f t="array" ref="F1279">IF(B1279="","",_xlfn.TEXTJOIN(", ",TRUE,IF(('Companies'!$A$4:$A$63&lt;&gt;"")*(COUNTIFS('Holdings'!$A$4:$A$2503,B1279,'Holdings'!$J$4:$J$2503,'Companies'!$A$4:$A$63,'Holdings'!$L$4:$L$2503,"Yes",'Holdings'!$C$4:$C$2503,"&gt;0")&gt;0),'Companies'!$A$4:$A$63,"")))</f>
        <v/>
      </c>
      <c r="G1279" s="30">
        <f>IF(A1279="","",IF(COUNTIF('People'!$A$4:$A$1003,A1279)=0,"Email not on People",IF(COUNTIF('Holders'!$A$4:$A$1003,B1279)=0,"Unknown holder ID",IF(COUNTIFS($A$4:$A$1503,A1279,$B$4:$B$1503,B1279)&gt;1,"Duplicate link",IF(C1279="","Missing access","OK")))))</f>
        <v/>
      </c>
    </row>
    <row r="1280">
      <c r="A1280" s="26" t="n"/>
      <c r="B1280" s="26" t="n"/>
      <c r="C1280" s="26" t="n"/>
      <c r="D1280" s="26" t="n"/>
      <c r="E1280" s="30">
        <f>IF(B1280="","",IFERROR(INDEX('Holders'!$B$4:$B$1003,MATCH(B1280,'Holders'!$A$4:$A$1003,0)),""))</f>
        <v/>
      </c>
      <c r="F1280" s="30">
        <f t="array" ref="F1280">IF(B1280="","",_xlfn.TEXTJOIN(", ",TRUE,IF(('Companies'!$A$4:$A$63&lt;&gt;"")*(COUNTIFS('Holdings'!$A$4:$A$2503,B1280,'Holdings'!$J$4:$J$2503,'Companies'!$A$4:$A$63,'Holdings'!$L$4:$L$2503,"Yes",'Holdings'!$C$4:$C$2503,"&gt;0")&gt;0),'Companies'!$A$4:$A$63,"")))</f>
        <v/>
      </c>
      <c r="G1280" s="30">
        <f>IF(A1280="","",IF(COUNTIF('People'!$A$4:$A$1003,A1280)=0,"Email not on People",IF(COUNTIF('Holders'!$A$4:$A$1003,B1280)=0,"Unknown holder ID",IF(COUNTIFS($A$4:$A$1503,A1280,$B$4:$B$1503,B1280)&gt;1,"Duplicate link",IF(C1280="","Missing access","OK")))))</f>
        <v/>
      </c>
    </row>
    <row r="1281">
      <c r="A1281" s="26" t="n"/>
      <c r="B1281" s="26" t="n"/>
      <c r="C1281" s="26" t="n"/>
      <c r="D1281" s="26" t="n"/>
      <c r="E1281" s="30">
        <f>IF(B1281="","",IFERROR(INDEX('Holders'!$B$4:$B$1003,MATCH(B1281,'Holders'!$A$4:$A$1003,0)),""))</f>
        <v/>
      </c>
      <c r="F1281" s="30">
        <f t="array" ref="F1281">IF(B1281="","",_xlfn.TEXTJOIN(", ",TRUE,IF(('Companies'!$A$4:$A$63&lt;&gt;"")*(COUNTIFS('Holdings'!$A$4:$A$2503,B1281,'Holdings'!$J$4:$J$2503,'Companies'!$A$4:$A$63,'Holdings'!$L$4:$L$2503,"Yes",'Holdings'!$C$4:$C$2503,"&gt;0")&gt;0),'Companies'!$A$4:$A$63,"")))</f>
        <v/>
      </c>
      <c r="G1281" s="30">
        <f>IF(A1281="","",IF(COUNTIF('People'!$A$4:$A$1003,A1281)=0,"Email not on People",IF(COUNTIF('Holders'!$A$4:$A$1003,B1281)=0,"Unknown holder ID",IF(COUNTIFS($A$4:$A$1503,A1281,$B$4:$B$1503,B1281)&gt;1,"Duplicate link",IF(C1281="","Missing access","OK")))))</f>
        <v/>
      </c>
    </row>
    <row r="1282">
      <c r="A1282" s="26" t="n"/>
      <c r="B1282" s="26" t="n"/>
      <c r="C1282" s="26" t="n"/>
      <c r="D1282" s="26" t="n"/>
      <c r="E1282" s="30">
        <f>IF(B1282="","",IFERROR(INDEX('Holders'!$B$4:$B$1003,MATCH(B1282,'Holders'!$A$4:$A$1003,0)),""))</f>
        <v/>
      </c>
      <c r="F1282" s="30">
        <f t="array" ref="F1282">IF(B1282="","",_xlfn.TEXTJOIN(", ",TRUE,IF(('Companies'!$A$4:$A$63&lt;&gt;"")*(COUNTIFS('Holdings'!$A$4:$A$2503,B1282,'Holdings'!$J$4:$J$2503,'Companies'!$A$4:$A$63,'Holdings'!$L$4:$L$2503,"Yes",'Holdings'!$C$4:$C$2503,"&gt;0")&gt;0),'Companies'!$A$4:$A$63,"")))</f>
        <v/>
      </c>
      <c r="G1282" s="30">
        <f>IF(A1282="","",IF(COUNTIF('People'!$A$4:$A$1003,A1282)=0,"Email not on People",IF(COUNTIF('Holders'!$A$4:$A$1003,B1282)=0,"Unknown holder ID",IF(COUNTIFS($A$4:$A$1503,A1282,$B$4:$B$1503,B1282)&gt;1,"Duplicate link",IF(C1282="","Missing access","OK")))))</f>
        <v/>
      </c>
    </row>
    <row r="1283">
      <c r="A1283" s="26" t="n"/>
      <c r="B1283" s="26" t="n"/>
      <c r="C1283" s="26" t="n"/>
      <c r="D1283" s="26" t="n"/>
      <c r="E1283" s="30">
        <f>IF(B1283="","",IFERROR(INDEX('Holders'!$B$4:$B$1003,MATCH(B1283,'Holders'!$A$4:$A$1003,0)),""))</f>
        <v/>
      </c>
      <c r="F1283" s="30">
        <f t="array" ref="F1283">IF(B1283="","",_xlfn.TEXTJOIN(", ",TRUE,IF(('Companies'!$A$4:$A$63&lt;&gt;"")*(COUNTIFS('Holdings'!$A$4:$A$2503,B1283,'Holdings'!$J$4:$J$2503,'Companies'!$A$4:$A$63,'Holdings'!$L$4:$L$2503,"Yes",'Holdings'!$C$4:$C$2503,"&gt;0")&gt;0),'Companies'!$A$4:$A$63,"")))</f>
        <v/>
      </c>
      <c r="G1283" s="30">
        <f>IF(A1283="","",IF(COUNTIF('People'!$A$4:$A$1003,A1283)=0,"Email not on People",IF(COUNTIF('Holders'!$A$4:$A$1003,B1283)=0,"Unknown holder ID",IF(COUNTIFS($A$4:$A$1503,A1283,$B$4:$B$1503,B1283)&gt;1,"Duplicate link",IF(C1283="","Missing access","OK")))))</f>
        <v/>
      </c>
    </row>
    <row r="1284">
      <c r="A1284" s="26" t="n"/>
      <c r="B1284" s="26" t="n"/>
      <c r="C1284" s="26" t="n"/>
      <c r="D1284" s="26" t="n"/>
      <c r="E1284" s="30">
        <f>IF(B1284="","",IFERROR(INDEX('Holders'!$B$4:$B$1003,MATCH(B1284,'Holders'!$A$4:$A$1003,0)),""))</f>
        <v/>
      </c>
      <c r="F1284" s="30">
        <f t="array" ref="F1284">IF(B1284="","",_xlfn.TEXTJOIN(", ",TRUE,IF(('Companies'!$A$4:$A$63&lt;&gt;"")*(COUNTIFS('Holdings'!$A$4:$A$2503,B1284,'Holdings'!$J$4:$J$2503,'Companies'!$A$4:$A$63,'Holdings'!$L$4:$L$2503,"Yes",'Holdings'!$C$4:$C$2503,"&gt;0")&gt;0),'Companies'!$A$4:$A$63,"")))</f>
        <v/>
      </c>
      <c r="G1284" s="30">
        <f>IF(A1284="","",IF(COUNTIF('People'!$A$4:$A$1003,A1284)=0,"Email not on People",IF(COUNTIF('Holders'!$A$4:$A$1003,B1284)=0,"Unknown holder ID",IF(COUNTIFS($A$4:$A$1503,A1284,$B$4:$B$1503,B1284)&gt;1,"Duplicate link",IF(C1284="","Missing access","OK")))))</f>
        <v/>
      </c>
    </row>
    <row r="1285">
      <c r="A1285" s="26" t="n"/>
      <c r="B1285" s="26" t="n"/>
      <c r="C1285" s="26" t="n"/>
      <c r="D1285" s="26" t="n"/>
      <c r="E1285" s="30">
        <f>IF(B1285="","",IFERROR(INDEX('Holders'!$B$4:$B$1003,MATCH(B1285,'Holders'!$A$4:$A$1003,0)),""))</f>
        <v/>
      </c>
      <c r="F1285" s="30">
        <f t="array" ref="F1285">IF(B1285="","",_xlfn.TEXTJOIN(", ",TRUE,IF(('Companies'!$A$4:$A$63&lt;&gt;"")*(COUNTIFS('Holdings'!$A$4:$A$2503,B1285,'Holdings'!$J$4:$J$2503,'Companies'!$A$4:$A$63,'Holdings'!$L$4:$L$2503,"Yes",'Holdings'!$C$4:$C$2503,"&gt;0")&gt;0),'Companies'!$A$4:$A$63,"")))</f>
        <v/>
      </c>
      <c r="G1285" s="30">
        <f>IF(A1285="","",IF(COUNTIF('People'!$A$4:$A$1003,A1285)=0,"Email not on People",IF(COUNTIF('Holders'!$A$4:$A$1003,B1285)=0,"Unknown holder ID",IF(COUNTIFS($A$4:$A$1503,A1285,$B$4:$B$1503,B1285)&gt;1,"Duplicate link",IF(C1285="","Missing access","OK")))))</f>
        <v/>
      </c>
    </row>
    <row r="1286">
      <c r="A1286" s="26" t="n"/>
      <c r="B1286" s="26" t="n"/>
      <c r="C1286" s="26" t="n"/>
      <c r="D1286" s="26" t="n"/>
      <c r="E1286" s="30">
        <f>IF(B1286="","",IFERROR(INDEX('Holders'!$B$4:$B$1003,MATCH(B1286,'Holders'!$A$4:$A$1003,0)),""))</f>
        <v/>
      </c>
      <c r="F1286" s="30">
        <f t="array" ref="F1286">IF(B1286="","",_xlfn.TEXTJOIN(", ",TRUE,IF(('Companies'!$A$4:$A$63&lt;&gt;"")*(COUNTIFS('Holdings'!$A$4:$A$2503,B1286,'Holdings'!$J$4:$J$2503,'Companies'!$A$4:$A$63,'Holdings'!$L$4:$L$2503,"Yes",'Holdings'!$C$4:$C$2503,"&gt;0")&gt;0),'Companies'!$A$4:$A$63,"")))</f>
        <v/>
      </c>
      <c r="G1286" s="30">
        <f>IF(A1286="","",IF(COUNTIF('People'!$A$4:$A$1003,A1286)=0,"Email not on People",IF(COUNTIF('Holders'!$A$4:$A$1003,B1286)=0,"Unknown holder ID",IF(COUNTIFS($A$4:$A$1503,A1286,$B$4:$B$1503,B1286)&gt;1,"Duplicate link",IF(C1286="","Missing access","OK")))))</f>
        <v/>
      </c>
    </row>
    <row r="1287">
      <c r="A1287" s="26" t="n"/>
      <c r="B1287" s="26" t="n"/>
      <c r="C1287" s="26" t="n"/>
      <c r="D1287" s="26" t="n"/>
      <c r="E1287" s="30">
        <f>IF(B1287="","",IFERROR(INDEX('Holders'!$B$4:$B$1003,MATCH(B1287,'Holders'!$A$4:$A$1003,0)),""))</f>
        <v/>
      </c>
      <c r="F1287" s="30">
        <f t="array" ref="F1287">IF(B1287="","",_xlfn.TEXTJOIN(", ",TRUE,IF(('Companies'!$A$4:$A$63&lt;&gt;"")*(COUNTIFS('Holdings'!$A$4:$A$2503,B1287,'Holdings'!$J$4:$J$2503,'Companies'!$A$4:$A$63,'Holdings'!$L$4:$L$2503,"Yes",'Holdings'!$C$4:$C$2503,"&gt;0")&gt;0),'Companies'!$A$4:$A$63,"")))</f>
        <v/>
      </c>
      <c r="G1287" s="30">
        <f>IF(A1287="","",IF(COUNTIF('People'!$A$4:$A$1003,A1287)=0,"Email not on People",IF(COUNTIF('Holders'!$A$4:$A$1003,B1287)=0,"Unknown holder ID",IF(COUNTIFS($A$4:$A$1503,A1287,$B$4:$B$1503,B1287)&gt;1,"Duplicate link",IF(C1287="","Missing access","OK")))))</f>
        <v/>
      </c>
    </row>
    <row r="1288">
      <c r="A1288" s="26" t="n"/>
      <c r="B1288" s="26" t="n"/>
      <c r="C1288" s="26" t="n"/>
      <c r="D1288" s="26" t="n"/>
      <c r="E1288" s="30">
        <f>IF(B1288="","",IFERROR(INDEX('Holders'!$B$4:$B$1003,MATCH(B1288,'Holders'!$A$4:$A$1003,0)),""))</f>
        <v/>
      </c>
      <c r="F1288" s="30">
        <f t="array" ref="F1288">IF(B1288="","",_xlfn.TEXTJOIN(", ",TRUE,IF(('Companies'!$A$4:$A$63&lt;&gt;"")*(COUNTIFS('Holdings'!$A$4:$A$2503,B1288,'Holdings'!$J$4:$J$2503,'Companies'!$A$4:$A$63,'Holdings'!$L$4:$L$2503,"Yes",'Holdings'!$C$4:$C$2503,"&gt;0")&gt;0),'Companies'!$A$4:$A$63,"")))</f>
        <v/>
      </c>
      <c r="G1288" s="30">
        <f>IF(A1288="","",IF(COUNTIF('People'!$A$4:$A$1003,A1288)=0,"Email not on People",IF(COUNTIF('Holders'!$A$4:$A$1003,B1288)=0,"Unknown holder ID",IF(COUNTIFS($A$4:$A$1503,A1288,$B$4:$B$1503,B1288)&gt;1,"Duplicate link",IF(C1288="","Missing access","OK")))))</f>
        <v/>
      </c>
    </row>
    <row r="1289">
      <c r="A1289" s="26" t="n"/>
      <c r="B1289" s="26" t="n"/>
      <c r="C1289" s="26" t="n"/>
      <c r="D1289" s="26" t="n"/>
      <c r="E1289" s="30">
        <f>IF(B1289="","",IFERROR(INDEX('Holders'!$B$4:$B$1003,MATCH(B1289,'Holders'!$A$4:$A$1003,0)),""))</f>
        <v/>
      </c>
      <c r="F1289" s="30">
        <f t="array" ref="F1289">IF(B1289="","",_xlfn.TEXTJOIN(", ",TRUE,IF(('Companies'!$A$4:$A$63&lt;&gt;"")*(COUNTIFS('Holdings'!$A$4:$A$2503,B1289,'Holdings'!$J$4:$J$2503,'Companies'!$A$4:$A$63,'Holdings'!$L$4:$L$2503,"Yes",'Holdings'!$C$4:$C$2503,"&gt;0")&gt;0),'Companies'!$A$4:$A$63,"")))</f>
        <v/>
      </c>
      <c r="G1289" s="30">
        <f>IF(A1289="","",IF(COUNTIF('People'!$A$4:$A$1003,A1289)=0,"Email not on People",IF(COUNTIF('Holders'!$A$4:$A$1003,B1289)=0,"Unknown holder ID",IF(COUNTIFS($A$4:$A$1503,A1289,$B$4:$B$1503,B1289)&gt;1,"Duplicate link",IF(C1289="","Missing access","OK")))))</f>
        <v/>
      </c>
    </row>
    <row r="1290">
      <c r="A1290" s="26" t="n"/>
      <c r="B1290" s="26" t="n"/>
      <c r="C1290" s="26" t="n"/>
      <c r="D1290" s="26" t="n"/>
      <c r="E1290" s="30">
        <f>IF(B1290="","",IFERROR(INDEX('Holders'!$B$4:$B$1003,MATCH(B1290,'Holders'!$A$4:$A$1003,0)),""))</f>
        <v/>
      </c>
      <c r="F1290" s="30">
        <f t="array" ref="F1290">IF(B1290="","",_xlfn.TEXTJOIN(", ",TRUE,IF(('Companies'!$A$4:$A$63&lt;&gt;"")*(COUNTIFS('Holdings'!$A$4:$A$2503,B1290,'Holdings'!$J$4:$J$2503,'Companies'!$A$4:$A$63,'Holdings'!$L$4:$L$2503,"Yes",'Holdings'!$C$4:$C$2503,"&gt;0")&gt;0),'Companies'!$A$4:$A$63,"")))</f>
        <v/>
      </c>
      <c r="G1290" s="30">
        <f>IF(A1290="","",IF(COUNTIF('People'!$A$4:$A$1003,A1290)=0,"Email not on People",IF(COUNTIF('Holders'!$A$4:$A$1003,B1290)=0,"Unknown holder ID",IF(COUNTIFS($A$4:$A$1503,A1290,$B$4:$B$1503,B1290)&gt;1,"Duplicate link",IF(C1290="","Missing access","OK")))))</f>
        <v/>
      </c>
    </row>
    <row r="1291">
      <c r="A1291" s="26" t="n"/>
      <c r="B1291" s="26" t="n"/>
      <c r="C1291" s="26" t="n"/>
      <c r="D1291" s="26" t="n"/>
      <c r="E1291" s="30">
        <f>IF(B1291="","",IFERROR(INDEX('Holders'!$B$4:$B$1003,MATCH(B1291,'Holders'!$A$4:$A$1003,0)),""))</f>
        <v/>
      </c>
      <c r="F1291" s="30">
        <f t="array" ref="F1291">IF(B1291="","",_xlfn.TEXTJOIN(", ",TRUE,IF(('Companies'!$A$4:$A$63&lt;&gt;"")*(COUNTIFS('Holdings'!$A$4:$A$2503,B1291,'Holdings'!$J$4:$J$2503,'Companies'!$A$4:$A$63,'Holdings'!$L$4:$L$2503,"Yes",'Holdings'!$C$4:$C$2503,"&gt;0")&gt;0),'Companies'!$A$4:$A$63,"")))</f>
        <v/>
      </c>
      <c r="G1291" s="30">
        <f>IF(A1291="","",IF(COUNTIF('People'!$A$4:$A$1003,A1291)=0,"Email not on People",IF(COUNTIF('Holders'!$A$4:$A$1003,B1291)=0,"Unknown holder ID",IF(COUNTIFS($A$4:$A$1503,A1291,$B$4:$B$1503,B1291)&gt;1,"Duplicate link",IF(C1291="","Missing access","OK")))))</f>
        <v/>
      </c>
    </row>
    <row r="1292">
      <c r="A1292" s="26" t="n"/>
      <c r="B1292" s="26" t="n"/>
      <c r="C1292" s="26" t="n"/>
      <c r="D1292" s="26" t="n"/>
      <c r="E1292" s="30">
        <f>IF(B1292="","",IFERROR(INDEX('Holders'!$B$4:$B$1003,MATCH(B1292,'Holders'!$A$4:$A$1003,0)),""))</f>
        <v/>
      </c>
      <c r="F1292" s="30">
        <f t="array" ref="F1292">IF(B1292="","",_xlfn.TEXTJOIN(", ",TRUE,IF(('Companies'!$A$4:$A$63&lt;&gt;"")*(COUNTIFS('Holdings'!$A$4:$A$2503,B1292,'Holdings'!$J$4:$J$2503,'Companies'!$A$4:$A$63,'Holdings'!$L$4:$L$2503,"Yes",'Holdings'!$C$4:$C$2503,"&gt;0")&gt;0),'Companies'!$A$4:$A$63,"")))</f>
        <v/>
      </c>
      <c r="G1292" s="30">
        <f>IF(A1292="","",IF(COUNTIF('People'!$A$4:$A$1003,A1292)=0,"Email not on People",IF(COUNTIF('Holders'!$A$4:$A$1003,B1292)=0,"Unknown holder ID",IF(COUNTIFS($A$4:$A$1503,A1292,$B$4:$B$1503,B1292)&gt;1,"Duplicate link",IF(C1292="","Missing access","OK")))))</f>
        <v/>
      </c>
    </row>
    <row r="1293">
      <c r="A1293" s="26" t="n"/>
      <c r="B1293" s="26" t="n"/>
      <c r="C1293" s="26" t="n"/>
      <c r="D1293" s="26" t="n"/>
      <c r="E1293" s="30">
        <f>IF(B1293="","",IFERROR(INDEX('Holders'!$B$4:$B$1003,MATCH(B1293,'Holders'!$A$4:$A$1003,0)),""))</f>
        <v/>
      </c>
      <c r="F1293" s="30">
        <f t="array" ref="F1293">IF(B1293="","",_xlfn.TEXTJOIN(", ",TRUE,IF(('Companies'!$A$4:$A$63&lt;&gt;"")*(COUNTIFS('Holdings'!$A$4:$A$2503,B1293,'Holdings'!$J$4:$J$2503,'Companies'!$A$4:$A$63,'Holdings'!$L$4:$L$2503,"Yes",'Holdings'!$C$4:$C$2503,"&gt;0")&gt;0),'Companies'!$A$4:$A$63,"")))</f>
        <v/>
      </c>
      <c r="G1293" s="30">
        <f>IF(A1293="","",IF(COUNTIF('People'!$A$4:$A$1003,A1293)=0,"Email not on People",IF(COUNTIF('Holders'!$A$4:$A$1003,B1293)=0,"Unknown holder ID",IF(COUNTIFS($A$4:$A$1503,A1293,$B$4:$B$1503,B1293)&gt;1,"Duplicate link",IF(C1293="","Missing access","OK")))))</f>
        <v/>
      </c>
    </row>
    <row r="1294">
      <c r="A1294" s="26" t="n"/>
      <c r="B1294" s="26" t="n"/>
      <c r="C1294" s="26" t="n"/>
      <c r="D1294" s="26" t="n"/>
      <c r="E1294" s="30">
        <f>IF(B1294="","",IFERROR(INDEX('Holders'!$B$4:$B$1003,MATCH(B1294,'Holders'!$A$4:$A$1003,0)),""))</f>
        <v/>
      </c>
      <c r="F1294" s="30">
        <f t="array" ref="F1294">IF(B1294="","",_xlfn.TEXTJOIN(", ",TRUE,IF(('Companies'!$A$4:$A$63&lt;&gt;"")*(COUNTIFS('Holdings'!$A$4:$A$2503,B1294,'Holdings'!$J$4:$J$2503,'Companies'!$A$4:$A$63,'Holdings'!$L$4:$L$2503,"Yes",'Holdings'!$C$4:$C$2503,"&gt;0")&gt;0),'Companies'!$A$4:$A$63,"")))</f>
        <v/>
      </c>
      <c r="G1294" s="30">
        <f>IF(A1294="","",IF(COUNTIF('People'!$A$4:$A$1003,A1294)=0,"Email not on People",IF(COUNTIF('Holders'!$A$4:$A$1003,B1294)=0,"Unknown holder ID",IF(COUNTIFS($A$4:$A$1503,A1294,$B$4:$B$1503,B1294)&gt;1,"Duplicate link",IF(C1294="","Missing access","OK")))))</f>
        <v/>
      </c>
    </row>
    <row r="1295">
      <c r="A1295" s="26" t="n"/>
      <c r="B1295" s="26" t="n"/>
      <c r="C1295" s="26" t="n"/>
      <c r="D1295" s="26" t="n"/>
      <c r="E1295" s="30">
        <f>IF(B1295="","",IFERROR(INDEX('Holders'!$B$4:$B$1003,MATCH(B1295,'Holders'!$A$4:$A$1003,0)),""))</f>
        <v/>
      </c>
      <c r="F1295" s="30">
        <f t="array" ref="F1295">IF(B1295="","",_xlfn.TEXTJOIN(", ",TRUE,IF(('Companies'!$A$4:$A$63&lt;&gt;"")*(COUNTIFS('Holdings'!$A$4:$A$2503,B1295,'Holdings'!$J$4:$J$2503,'Companies'!$A$4:$A$63,'Holdings'!$L$4:$L$2503,"Yes",'Holdings'!$C$4:$C$2503,"&gt;0")&gt;0),'Companies'!$A$4:$A$63,"")))</f>
        <v/>
      </c>
      <c r="G1295" s="30">
        <f>IF(A1295="","",IF(COUNTIF('People'!$A$4:$A$1003,A1295)=0,"Email not on People",IF(COUNTIF('Holders'!$A$4:$A$1003,B1295)=0,"Unknown holder ID",IF(COUNTIFS($A$4:$A$1503,A1295,$B$4:$B$1503,B1295)&gt;1,"Duplicate link",IF(C1295="","Missing access","OK")))))</f>
        <v/>
      </c>
    </row>
    <row r="1296">
      <c r="A1296" s="26" t="n"/>
      <c r="B1296" s="26" t="n"/>
      <c r="C1296" s="26" t="n"/>
      <c r="D1296" s="26" t="n"/>
      <c r="E1296" s="30">
        <f>IF(B1296="","",IFERROR(INDEX('Holders'!$B$4:$B$1003,MATCH(B1296,'Holders'!$A$4:$A$1003,0)),""))</f>
        <v/>
      </c>
      <c r="F1296" s="30">
        <f t="array" ref="F1296">IF(B1296="","",_xlfn.TEXTJOIN(", ",TRUE,IF(('Companies'!$A$4:$A$63&lt;&gt;"")*(COUNTIFS('Holdings'!$A$4:$A$2503,B1296,'Holdings'!$J$4:$J$2503,'Companies'!$A$4:$A$63,'Holdings'!$L$4:$L$2503,"Yes",'Holdings'!$C$4:$C$2503,"&gt;0")&gt;0),'Companies'!$A$4:$A$63,"")))</f>
        <v/>
      </c>
      <c r="G1296" s="30">
        <f>IF(A1296="","",IF(COUNTIF('People'!$A$4:$A$1003,A1296)=0,"Email not on People",IF(COUNTIF('Holders'!$A$4:$A$1003,B1296)=0,"Unknown holder ID",IF(COUNTIFS($A$4:$A$1503,A1296,$B$4:$B$1503,B1296)&gt;1,"Duplicate link",IF(C1296="","Missing access","OK")))))</f>
        <v/>
      </c>
    </row>
    <row r="1297">
      <c r="A1297" s="26" t="n"/>
      <c r="B1297" s="26" t="n"/>
      <c r="C1297" s="26" t="n"/>
      <c r="D1297" s="26" t="n"/>
      <c r="E1297" s="30">
        <f>IF(B1297="","",IFERROR(INDEX('Holders'!$B$4:$B$1003,MATCH(B1297,'Holders'!$A$4:$A$1003,0)),""))</f>
        <v/>
      </c>
      <c r="F1297" s="30">
        <f t="array" ref="F1297">IF(B1297="","",_xlfn.TEXTJOIN(", ",TRUE,IF(('Companies'!$A$4:$A$63&lt;&gt;"")*(COUNTIFS('Holdings'!$A$4:$A$2503,B1297,'Holdings'!$J$4:$J$2503,'Companies'!$A$4:$A$63,'Holdings'!$L$4:$L$2503,"Yes",'Holdings'!$C$4:$C$2503,"&gt;0")&gt;0),'Companies'!$A$4:$A$63,"")))</f>
        <v/>
      </c>
      <c r="G1297" s="30">
        <f>IF(A1297="","",IF(COUNTIF('People'!$A$4:$A$1003,A1297)=0,"Email not on People",IF(COUNTIF('Holders'!$A$4:$A$1003,B1297)=0,"Unknown holder ID",IF(COUNTIFS($A$4:$A$1503,A1297,$B$4:$B$1503,B1297)&gt;1,"Duplicate link",IF(C1297="","Missing access","OK")))))</f>
        <v/>
      </c>
    </row>
    <row r="1298">
      <c r="A1298" s="26" t="n"/>
      <c r="B1298" s="26" t="n"/>
      <c r="C1298" s="26" t="n"/>
      <c r="D1298" s="26" t="n"/>
      <c r="E1298" s="30">
        <f>IF(B1298="","",IFERROR(INDEX('Holders'!$B$4:$B$1003,MATCH(B1298,'Holders'!$A$4:$A$1003,0)),""))</f>
        <v/>
      </c>
      <c r="F1298" s="30">
        <f t="array" ref="F1298">IF(B1298="","",_xlfn.TEXTJOIN(", ",TRUE,IF(('Companies'!$A$4:$A$63&lt;&gt;"")*(COUNTIFS('Holdings'!$A$4:$A$2503,B1298,'Holdings'!$J$4:$J$2503,'Companies'!$A$4:$A$63,'Holdings'!$L$4:$L$2503,"Yes",'Holdings'!$C$4:$C$2503,"&gt;0")&gt;0),'Companies'!$A$4:$A$63,"")))</f>
        <v/>
      </c>
      <c r="G1298" s="30">
        <f>IF(A1298="","",IF(COUNTIF('People'!$A$4:$A$1003,A1298)=0,"Email not on People",IF(COUNTIF('Holders'!$A$4:$A$1003,B1298)=0,"Unknown holder ID",IF(COUNTIFS($A$4:$A$1503,A1298,$B$4:$B$1503,B1298)&gt;1,"Duplicate link",IF(C1298="","Missing access","OK")))))</f>
        <v/>
      </c>
    </row>
    <row r="1299">
      <c r="A1299" s="26" t="n"/>
      <c r="B1299" s="26" t="n"/>
      <c r="C1299" s="26" t="n"/>
      <c r="D1299" s="26" t="n"/>
      <c r="E1299" s="30">
        <f>IF(B1299="","",IFERROR(INDEX('Holders'!$B$4:$B$1003,MATCH(B1299,'Holders'!$A$4:$A$1003,0)),""))</f>
        <v/>
      </c>
      <c r="F1299" s="30">
        <f t="array" ref="F1299">IF(B1299="","",_xlfn.TEXTJOIN(", ",TRUE,IF(('Companies'!$A$4:$A$63&lt;&gt;"")*(COUNTIFS('Holdings'!$A$4:$A$2503,B1299,'Holdings'!$J$4:$J$2503,'Companies'!$A$4:$A$63,'Holdings'!$L$4:$L$2503,"Yes",'Holdings'!$C$4:$C$2503,"&gt;0")&gt;0),'Companies'!$A$4:$A$63,"")))</f>
        <v/>
      </c>
      <c r="G1299" s="30">
        <f>IF(A1299="","",IF(COUNTIF('People'!$A$4:$A$1003,A1299)=0,"Email not on People",IF(COUNTIF('Holders'!$A$4:$A$1003,B1299)=0,"Unknown holder ID",IF(COUNTIFS($A$4:$A$1503,A1299,$B$4:$B$1503,B1299)&gt;1,"Duplicate link",IF(C1299="","Missing access","OK")))))</f>
        <v/>
      </c>
    </row>
    <row r="1300">
      <c r="A1300" s="26" t="n"/>
      <c r="B1300" s="26" t="n"/>
      <c r="C1300" s="26" t="n"/>
      <c r="D1300" s="26" t="n"/>
      <c r="E1300" s="30">
        <f>IF(B1300="","",IFERROR(INDEX('Holders'!$B$4:$B$1003,MATCH(B1300,'Holders'!$A$4:$A$1003,0)),""))</f>
        <v/>
      </c>
      <c r="F1300" s="30">
        <f t="array" ref="F1300">IF(B1300="","",_xlfn.TEXTJOIN(", ",TRUE,IF(('Companies'!$A$4:$A$63&lt;&gt;"")*(COUNTIFS('Holdings'!$A$4:$A$2503,B1300,'Holdings'!$J$4:$J$2503,'Companies'!$A$4:$A$63,'Holdings'!$L$4:$L$2503,"Yes",'Holdings'!$C$4:$C$2503,"&gt;0")&gt;0),'Companies'!$A$4:$A$63,"")))</f>
        <v/>
      </c>
      <c r="G1300" s="30">
        <f>IF(A1300="","",IF(COUNTIF('People'!$A$4:$A$1003,A1300)=0,"Email not on People",IF(COUNTIF('Holders'!$A$4:$A$1003,B1300)=0,"Unknown holder ID",IF(COUNTIFS($A$4:$A$1503,A1300,$B$4:$B$1503,B1300)&gt;1,"Duplicate link",IF(C1300="","Missing access","OK")))))</f>
        <v/>
      </c>
    </row>
    <row r="1301">
      <c r="A1301" s="26" t="n"/>
      <c r="B1301" s="26" t="n"/>
      <c r="C1301" s="26" t="n"/>
      <c r="D1301" s="26" t="n"/>
      <c r="E1301" s="30">
        <f>IF(B1301="","",IFERROR(INDEX('Holders'!$B$4:$B$1003,MATCH(B1301,'Holders'!$A$4:$A$1003,0)),""))</f>
        <v/>
      </c>
      <c r="F1301" s="30">
        <f t="array" ref="F1301">IF(B1301="","",_xlfn.TEXTJOIN(", ",TRUE,IF(('Companies'!$A$4:$A$63&lt;&gt;"")*(COUNTIFS('Holdings'!$A$4:$A$2503,B1301,'Holdings'!$J$4:$J$2503,'Companies'!$A$4:$A$63,'Holdings'!$L$4:$L$2503,"Yes",'Holdings'!$C$4:$C$2503,"&gt;0")&gt;0),'Companies'!$A$4:$A$63,"")))</f>
        <v/>
      </c>
      <c r="G1301" s="30">
        <f>IF(A1301="","",IF(COUNTIF('People'!$A$4:$A$1003,A1301)=0,"Email not on People",IF(COUNTIF('Holders'!$A$4:$A$1003,B1301)=0,"Unknown holder ID",IF(COUNTIFS($A$4:$A$1503,A1301,$B$4:$B$1503,B1301)&gt;1,"Duplicate link",IF(C1301="","Missing access","OK")))))</f>
        <v/>
      </c>
    </row>
    <row r="1302">
      <c r="A1302" s="26" t="n"/>
      <c r="B1302" s="26" t="n"/>
      <c r="C1302" s="26" t="n"/>
      <c r="D1302" s="26" t="n"/>
      <c r="E1302" s="30">
        <f>IF(B1302="","",IFERROR(INDEX('Holders'!$B$4:$B$1003,MATCH(B1302,'Holders'!$A$4:$A$1003,0)),""))</f>
        <v/>
      </c>
      <c r="F1302" s="30">
        <f t="array" ref="F1302">IF(B1302="","",_xlfn.TEXTJOIN(", ",TRUE,IF(('Companies'!$A$4:$A$63&lt;&gt;"")*(COUNTIFS('Holdings'!$A$4:$A$2503,B1302,'Holdings'!$J$4:$J$2503,'Companies'!$A$4:$A$63,'Holdings'!$L$4:$L$2503,"Yes",'Holdings'!$C$4:$C$2503,"&gt;0")&gt;0),'Companies'!$A$4:$A$63,"")))</f>
        <v/>
      </c>
      <c r="G1302" s="30">
        <f>IF(A1302="","",IF(COUNTIF('People'!$A$4:$A$1003,A1302)=0,"Email not on People",IF(COUNTIF('Holders'!$A$4:$A$1003,B1302)=0,"Unknown holder ID",IF(COUNTIFS($A$4:$A$1503,A1302,$B$4:$B$1503,B1302)&gt;1,"Duplicate link",IF(C1302="","Missing access","OK")))))</f>
        <v/>
      </c>
    </row>
    <row r="1303">
      <c r="A1303" s="26" t="n"/>
      <c r="B1303" s="26" t="n"/>
      <c r="C1303" s="26" t="n"/>
      <c r="D1303" s="26" t="n"/>
      <c r="E1303" s="30">
        <f>IF(B1303="","",IFERROR(INDEX('Holders'!$B$4:$B$1003,MATCH(B1303,'Holders'!$A$4:$A$1003,0)),""))</f>
        <v/>
      </c>
      <c r="F1303" s="30">
        <f t="array" ref="F1303">IF(B1303="","",_xlfn.TEXTJOIN(", ",TRUE,IF(('Companies'!$A$4:$A$63&lt;&gt;"")*(COUNTIFS('Holdings'!$A$4:$A$2503,B1303,'Holdings'!$J$4:$J$2503,'Companies'!$A$4:$A$63,'Holdings'!$L$4:$L$2503,"Yes",'Holdings'!$C$4:$C$2503,"&gt;0")&gt;0),'Companies'!$A$4:$A$63,"")))</f>
        <v/>
      </c>
      <c r="G1303" s="30">
        <f>IF(A1303="","",IF(COUNTIF('People'!$A$4:$A$1003,A1303)=0,"Email not on People",IF(COUNTIF('Holders'!$A$4:$A$1003,B1303)=0,"Unknown holder ID",IF(COUNTIFS($A$4:$A$1503,A1303,$B$4:$B$1503,B1303)&gt;1,"Duplicate link",IF(C1303="","Missing access","OK")))))</f>
        <v/>
      </c>
    </row>
    <row r="1304">
      <c r="A1304" s="26" t="n"/>
      <c r="B1304" s="26" t="n"/>
      <c r="C1304" s="26" t="n"/>
      <c r="D1304" s="26" t="n"/>
      <c r="E1304" s="30">
        <f>IF(B1304="","",IFERROR(INDEX('Holders'!$B$4:$B$1003,MATCH(B1304,'Holders'!$A$4:$A$1003,0)),""))</f>
        <v/>
      </c>
      <c r="F1304" s="30">
        <f t="array" ref="F1304">IF(B1304="","",_xlfn.TEXTJOIN(", ",TRUE,IF(('Companies'!$A$4:$A$63&lt;&gt;"")*(COUNTIFS('Holdings'!$A$4:$A$2503,B1304,'Holdings'!$J$4:$J$2503,'Companies'!$A$4:$A$63,'Holdings'!$L$4:$L$2503,"Yes",'Holdings'!$C$4:$C$2503,"&gt;0")&gt;0),'Companies'!$A$4:$A$63,"")))</f>
        <v/>
      </c>
      <c r="G1304" s="30">
        <f>IF(A1304="","",IF(COUNTIF('People'!$A$4:$A$1003,A1304)=0,"Email not on People",IF(COUNTIF('Holders'!$A$4:$A$1003,B1304)=0,"Unknown holder ID",IF(COUNTIFS($A$4:$A$1503,A1304,$B$4:$B$1503,B1304)&gt;1,"Duplicate link",IF(C1304="","Missing access","OK")))))</f>
        <v/>
      </c>
    </row>
    <row r="1305">
      <c r="A1305" s="26" t="n"/>
      <c r="B1305" s="26" t="n"/>
      <c r="C1305" s="26" t="n"/>
      <c r="D1305" s="26" t="n"/>
      <c r="E1305" s="30">
        <f>IF(B1305="","",IFERROR(INDEX('Holders'!$B$4:$B$1003,MATCH(B1305,'Holders'!$A$4:$A$1003,0)),""))</f>
        <v/>
      </c>
      <c r="F1305" s="30">
        <f t="array" ref="F1305">IF(B1305="","",_xlfn.TEXTJOIN(", ",TRUE,IF(('Companies'!$A$4:$A$63&lt;&gt;"")*(COUNTIFS('Holdings'!$A$4:$A$2503,B1305,'Holdings'!$J$4:$J$2503,'Companies'!$A$4:$A$63,'Holdings'!$L$4:$L$2503,"Yes",'Holdings'!$C$4:$C$2503,"&gt;0")&gt;0),'Companies'!$A$4:$A$63,"")))</f>
        <v/>
      </c>
      <c r="G1305" s="30">
        <f>IF(A1305="","",IF(COUNTIF('People'!$A$4:$A$1003,A1305)=0,"Email not on People",IF(COUNTIF('Holders'!$A$4:$A$1003,B1305)=0,"Unknown holder ID",IF(COUNTIFS($A$4:$A$1503,A1305,$B$4:$B$1503,B1305)&gt;1,"Duplicate link",IF(C1305="","Missing access","OK")))))</f>
        <v/>
      </c>
    </row>
    <row r="1306">
      <c r="A1306" s="26" t="n"/>
      <c r="B1306" s="26" t="n"/>
      <c r="C1306" s="26" t="n"/>
      <c r="D1306" s="26" t="n"/>
      <c r="E1306" s="30">
        <f>IF(B1306="","",IFERROR(INDEX('Holders'!$B$4:$B$1003,MATCH(B1306,'Holders'!$A$4:$A$1003,0)),""))</f>
        <v/>
      </c>
      <c r="F1306" s="30">
        <f t="array" ref="F1306">IF(B1306="","",_xlfn.TEXTJOIN(", ",TRUE,IF(('Companies'!$A$4:$A$63&lt;&gt;"")*(COUNTIFS('Holdings'!$A$4:$A$2503,B1306,'Holdings'!$J$4:$J$2503,'Companies'!$A$4:$A$63,'Holdings'!$L$4:$L$2503,"Yes",'Holdings'!$C$4:$C$2503,"&gt;0")&gt;0),'Companies'!$A$4:$A$63,"")))</f>
        <v/>
      </c>
      <c r="G1306" s="30">
        <f>IF(A1306="","",IF(COUNTIF('People'!$A$4:$A$1003,A1306)=0,"Email not on People",IF(COUNTIF('Holders'!$A$4:$A$1003,B1306)=0,"Unknown holder ID",IF(COUNTIFS($A$4:$A$1503,A1306,$B$4:$B$1503,B1306)&gt;1,"Duplicate link",IF(C1306="","Missing access","OK")))))</f>
        <v/>
      </c>
    </row>
    <row r="1307">
      <c r="A1307" s="26" t="n"/>
      <c r="B1307" s="26" t="n"/>
      <c r="C1307" s="26" t="n"/>
      <c r="D1307" s="26" t="n"/>
      <c r="E1307" s="30">
        <f>IF(B1307="","",IFERROR(INDEX('Holders'!$B$4:$B$1003,MATCH(B1307,'Holders'!$A$4:$A$1003,0)),""))</f>
        <v/>
      </c>
      <c r="F1307" s="30">
        <f t="array" ref="F1307">IF(B1307="","",_xlfn.TEXTJOIN(", ",TRUE,IF(('Companies'!$A$4:$A$63&lt;&gt;"")*(COUNTIFS('Holdings'!$A$4:$A$2503,B1307,'Holdings'!$J$4:$J$2503,'Companies'!$A$4:$A$63,'Holdings'!$L$4:$L$2503,"Yes",'Holdings'!$C$4:$C$2503,"&gt;0")&gt;0),'Companies'!$A$4:$A$63,"")))</f>
        <v/>
      </c>
      <c r="G1307" s="30">
        <f>IF(A1307="","",IF(COUNTIF('People'!$A$4:$A$1003,A1307)=0,"Email not on People",IF(COUNTIF('Holders'!$A$4:$A$1003,B1307)=0,"Unknown holder ID",IF(COUNTIFS($A$4:$A$1503,A1307,$B$4:$B$1503,B1307)&gt;1,"Duplicate link",IF(C1307="","Missing access","OK")))))</f>
        <v/>
      </c>
    </row>
    <row r="1308">
      <c r="A1308" s="26" t="n"/>
      <c r="B1308" s="26" t="n"/>
      <c r="C1308" s="26" t="n"/>
      <c r="D1308" s="26" t="n"/>
      <c r="E1308" s="30">
        <f>IF(B1308="","",IFERROR(INDEX('Holders'!$B$4:$B$1003,MATCH(B1308,'Holders'!$A$4:$A$1003,0)),""))</f>
        <v/>
      </c>
      <c r="F1308" s="30">
        <f t="array" ref="F1308">IF(B1308="","",_xlfn.TEXTJOIN(", ",TRUE,IF(('Companies'!$A$4:$A$63&lt;&gt;"")*(COUNTIFS('Holdings'!$A$4:$A$2503,B1308,'Holdings'!$J$4:$J$2503,'Companies'!$A$4:$A$63,'Holdings'!$L$4:$L$2503,"Yes",'Holdings'!$C$4:$C$2503,"&gt;0")&gt;0),'Companies'!$A$4:$A$63,"")))</f>
        <v/>
      </c>
      <c r="G1308" s="30">
        <f>IF(A1308="","",IF(COUNTIF('People'!$A$4:$A$1003,A1308)=0,"Email not on People",IF(COUNTIF('Holders'!$A$4:$A$1003,B1308)=0,"Unknown holder ID",IF(COUNTIFS($A$4:$A$1503,A1308,$B$4:$B$1503,B1308)&gt;1,"Duplicate link",IF(C1308="","Missing access","OK")))))</f>
        <v/>
      </c>
    </row>
    <row r="1309">
      <c r="A1309" s="26" t="n"/>
      <c r="B1309" s="26" t="n"/>
      <c r="C1309" s="26" t="n"/>
      <c r="D1309" s="26" t="n"/>
      <c r="E1309" s="30">
        <f>IF(B1309="","",IFERROR(INDEX('Holders'!$B$4:$B$1003,MATCH(B1309,'Holders'!$A$4:$A$1003,0)),""))</f>
        <v/>
      </c>
      <c r="F1309" s="30">
        <f t="array" ref="F1309">IF(B1309="","",_xlfn.TEXTJOIN(", ",TRUE,IF(('Companies'!$A$4:$A$63&lt;&gt;"")*(COUNTIFS('Holdings'!$A$4:$A$2503,B1309,'Holdings'!$J$4:$J$2503,'Companies'!$A$4:$A$63,'Holdings'!$L$4:$L$2503,"Yes",'Holdings'!$C$4:$C$2503,"&gt;0")&gt;0),'Companies'!$A$4:$A$63,"")))</f>
        <v/>
      </c>
      <c r="G1309" s="30">
        <f>IF(A1309="","",IF(COUNTIF('People'!$A$4:$A$1003,A1309)=0,"Email not on People",IF(COUNTIF('Holders'!$A$4:$A$1003,B1309)=0,"Unknown holder ID",IF(COUNTIFS($A$4:$A$1503,A1309,$B$4:$B$1503,B1309)&gt;1,"Duplicate link",IF(C1309="","Missing access","OK")))))</f>
        <v/>
      </c>
    </row>
    <row r="1310">
      <c r="A1310" s="26" t="n"/>
      <c r="B1310" s="26" t="n"/>
      <c r="C1310" s="26" t="n"/>
      <c r="D1310" s="26" t="n"/>
      <c r="E1310" s="30">
        <f>IF(B1310="","",IFERROR(INDEX('Holders'!$B$4:$B$1003,MATCH(B1310,'Holders'!$A$4:$A$1003,0)),""))</f>
        <v/>
      </c>
      <c r="F1310" s="30">
        <f t="array" ref="F1310">IF(B1310="","",_xlfn.TEXTJOIN(", ",TRUE,IF(('Companies'!$A$4:$A$63&lt;&gt;"")*(COUNTIFS('Holdings'!$A$4:$A$2503,B1310,'Holdings'!$J$4:$J$2503,'Companies'!$A$4:$A$63,'Holdings'!$L$4:$L$2503,"Yes",'Holdings'!$C$4:$C$2503,"&gt;0")&gt;0),'Companies'!$A$4:$A$63,"")))</f>
        <v/>
      </c>
      <c r="G1310" s="30">
        <f>IF(A1310="","",IF(COUNTIF('People'!$A$4:$A$1003,A1310)=0,"Email not on People",IF(COUNTIF('Holders'!$A$4:$A$1003,B1310)=0,"Unknown holder ID",IF(COUNTIFS($A$4:$A$1503,A1310,$B$4:$B$1503,B1310)&gt;1,"Duplicate link",IF(C1310="","Missing access","OK")))))</f>
        <v/>
      </c>
    </row>
    <row r="1311">
      <c r="A1311" s="26" t="n"/>
      <c r="B1311" s="26" t="n"/>
      <c r="C1311" s="26" t="n"/>
      <c r="D1311" s="26" t="n"/>
      <c r="E1311" s="30">
        <f>IF(B1311="","",IFERROR(INDEX('Holders'!$B$4:$B$1003,MATCH(B1311,'Holders'!$A$4:$A$1003,0)),""))</f>
        <v/>
      </c>
      <c r="F1311" s="30">
        <f t="array" ref="F1311">IF(B1311="","",_xlfn.TEXTJOIN(", ",TRUE,IF(('Companies'!$A$4:$A$63&lt;&gt;"")*(COUNTIFS('Holdings'!$A$4:$A$2503,B1311,'Holdings'!$J$4:$J$2503,'Companies'!$A$4:$A$63,'Holdings'!$L$4:$L$2503,"Yes",'Holdings'!$C$4:$C$2503,"&gt;0")&gt;0),'Companies'!$A$4:$A$63,"")))</f>
        <v/>
      </c>
      <c r="G1311" s="30">
        <f>IF(A1311="","",IF(COUNTIF('People'!$A$4:$A$1003,A1311)=0,"Email not on People",IF(COUNTIF('Holders'!$A$4:$A$1003,B1311)=0,"Unknown holder ID",IF(COUNTIFS($A$4:$A$1503,A1311,$B$4:$B$1503,B1311)&gt;1,"Duplicate link",IF(C1311="","Missing access","OK")))))</f>
        <v/>
      </c>
    </row>
    <row r="1312">
      <c r="A1312" s="26" t="n"/>
      <c r="B1312" s="26" t="n"/>
      <c r="C1312" s="26" t="n"/>
      <c r="D1312" s="26" t="n"/>
      <c r="E1312" s="30">
        <f>IF(B1312="","",IFERROR(INDEX('Holders'!$B$4:$B$1003,MATCH(B1312,'Holders'!$A$4:$A$1003,0)),""))</f>
        <v/>
      </c>
      <c r="F1312" s="30">
        <f t="array" ref="F1312">IF(B1312="","",_xlfn.TEXTJOIN(", ",TRUE,IF(('Companies'!$A$4:$A$63&lt;&gt;"")*(COUNTIFS('Holdings'!$A$4:$A$2503,B1312,'Holdings'!$J$4:$J$2503,'Companies'!$A$4:$A$63,'Holdings'!$L$4:$L$2503,"Yes",'Holdings'!$C$4:$C$2503,"&gt;0")&gt;0),'Companies'!$A$4:$A$63,"")))</f>
        <v/>
      </c>
      <c r="G1312" s="30">
        <f>IF(A1312="","",IF(COUNTIF('People'!$A$4:$A$1003,A1312)=0,"Email not on People",IF(COUNTIF('Holders'!$A$4:$A$1003,B1312)=0,"Unknown holder ID",IF(COUNTIFS($A$4:$A$1503,A1312,$B$4:$B$1503,B1312)&gt;1,"Duplicate link",IF(C1312="","Missing access","OK")))))</f>
        <v/>
      </c>
    </row>
    <row r="1313">
      <c r="A1313" s="26" t="n"/>
      <c r="B1313" s="26" t="n"/>
      <c r="C1313" s="26" t="n"/>
      <c r="D1313" s="26" t="n"/>
      <c r="E1313" s="30">
        <f>IF(B1313="","",IFERROR(INDEX('Holders'!$B$4:$B$1003,MATCH(B1313,'Holders'!$A$4:$A$1003,0)),""))</f>
        <v/>
      </c>
      <c r="F1313" s="30">
        <f t="array" ref="F1313">IF(B1313="","",_xlfn.TEXTJOIN(", ",TRUE,IF(('Companies'!$A$4:$A$63&lt;&gt;"")*(COUNTIFS('Holdings'!$A$4:$A$2503,B1313,'Holdings'!$J$4:$J$2503,'Companies'!$A$4:$A$63,'Holdings'!$L$4:$L$2503,"Yes",'Holdings'!$C$4:$C$2503,"&gt;0")&gt;0),'Companies'!$A$4:$A$63,"")))</f>
        <v/>
      </c>
      <c r="G1313" s="30">
        <f>IF(A1313="","",IF(COUNTIF('People'!$A$4:$A$1003,A1313)=0,"Email not on People",IF(COUNTIF('Holders'!$A$4:$A$1003,B1313)=0,"Unknown holder ID",IF(COUNTIFS($A$4:$A$1503,A1313,$B$4:$B$1503,B1313)&gt;1,"Duplicate link",IF(C1313="","Missing access","OK")))))</f>
        <v/>
      </c>
    </row>
    <row r="1314">
      <c r="A1314" s="26" t="n"/>
      <c r="B1314" s="26" t="n"/>
      <c r="C1314" s="26" t="n"/>
      <c r="D1314" s="26" t="n"/>
      <c r="E1314" s="30">
        <f>IF(B1314="","",IFERROR(INDEX('Holders'!$B$4:$B$1003,MATCH(B1314,'Holders'!$A$4:$A$1003,0)),""))</f>
        <v/>
      </c>
      <c r="F1314" s="30">
        <f t="array" ref="F1314">IF(B1314="","",_xlfn.TEXTJOIN(", ",TRUE,IF(('Companies'!$A$4:$A$63&lt;&gt;"")*(COUNTIFS('Holdings'!$A$4:$A$2503,B1314,'Holdings'!$J$4:$J$2503,'Companies'!$A$4:$A$63,'Holdings'!$L$4:$L$2503,"Yes",'Holdings'!$C$4:$C$2503,"&gt;0")&gt;0),'Companies'!$A$4:$A$63,"")))</f>
        <v/>
      </c>
      <c r="G1314" s="30">
        <f>IF(A1314="","",IF(COUNTIF('People'!$A$4:$A$1003,A1314)=0,"Email not on People",IF(COUNTIF('Holders'!$A$4:$A$1003,B1314)=0,"Unknown holder ID",IF(COUNTIFS($A$4:$A$1503,A1314,$B$4:$B$1503,B1314)&gt;1,"Duplicate link",IF(C1314="","Missing access","OK")))))</f>
        <v/>
      </c>
    </row>
    <row r="1315">
      <c r="A1315" s="26" t="n"/>
      <c r="B1315" s="26" t="n"/>
      <c r="C1315" s="26" t="n"/>
      <c r="D1315" s="26" t="n"/>
      <c r="E1315" s="30">
        <f>IF(B1315="","",IFERROR(INDEX('Holders'!$B$4:$B$1003,MATCH(B1315,'Holders'!$A$4:$A$1003,0)),""))</f>
        <v/>
      </c>
      <c r="F1315" s="30">
        <f t="array" ref="F1315">IF(B1315="","",_xlfn.TEXTJOIN(", ",TRUE,IF(('Companies'!$A$4:$A$63&lt;&gt;"")*(COUNTIFS('Holdings'!$A$4:$A$2503,B1315,'Holdings'!$J$4:$J$2503,'Companies'!$A$4:$A$63,'Holdings'!$L$4:$L$2503,"Yes",'Holdings'!$C$4:$C$2503,"&gt;0")&gt;0),'Companies'!$A$4:$A$63,"")))</f>
        <v/>
      </c>
      <c r="G1315" s="30">
        <f>IF(A1315="","",IF(COUNTIF('People'!$A$4:$A$1003,A1315)=0,"Email not on People",IF(COUNTIF('Holders'!$A$4:$A$1003,B1315)=0,"Unknown holder ID",IF(COUNTIFS($A$4:$A$1503,A1315,$B$4:$B$1503,B1315)&gt;1,"Duplicate link",IF(C1315="","Missing access","OK")))))</f>
        <v/>
      </c>
    </row>
    <row r="1316">
      <c r="A1316" s="26" t="n"/>
      <c r="B1316" s="26" t="n"/>
      <c r="C1316" s="26" t="n"/>
      <c r="D1316" s="26" t="n"/>
      <c r="E1316" s="30">
        <f>IF(B1316="","",IFERROR(INDEX('Holders'!$B$4:$B$1003,MATCH(B1316,'Holders'!$A$4:$A$1003,0)),""))</f>
        <v/>
      </c>
      <c r="F1316" s="30">
        <f t="array" ref="F1316">IF(B1316="","",_xlfn.TEXTJOIN(", ",TRUE,IF(('Companies'!$A$4:$A$63&lt;&gt;"")*(COUNTIFS('Holdings'!$A$4:$A$2503,B1316,'Holdings'!$J$4:$J$2503,'Companies'!$A$4:$A$63,'Holdings'!$L$4:$L$2503,"Yes",'Holdings'!$C$4:$C$2503,"&gt;0")&gt;0),'Companies'!$A$4:$A$63,"")))</f>
        <v/>
      </c>
      <c r="G1316" s="30">
        <f>IF(A1316="","",IF(COUNTIF('People'!$A$4:$A$1003,A1316)=0,"Email not on People",IF(COUNTIF('Holders'!$A$4:$A$1003,B1316)=0,"Unknown holder ID",IF(COUNTIFS($A$4:$A$1503,A1316,$B$4:$B$1503,B1316)&gt;1,"Duplicate link",IF(C1316="","Missing access","OK")))))</f>
        <v/>
      </c>
    </row>
    <row r="1317">
      <c r="A1317" s="26" t="n"/>
      <c r="B1317" s="26" t="n"/>
      <c r="C1317" s="26" t="n"/>
      <c r="D1317" s="26" t="n"/>
      <c r="E1317" s="30">
        <f>IF(B1317="","",IFERROR(INDEX('Holders'!$B$4:$B$1003,MATCH(B1317,'Holders'!$A$4:$A$1003,0)),""))</f>
        <v/>
      </c>
      <c r="F1317" s="30">
        <f t="array" ref="F1317">IF(B1317="","",_xlfn.TEXTJOIN(", ",TRUE,IF(('Companies'!$A$4:$A$63&lt;&gt;"")*(COUNTIFS('Holdings'!$A$4:$A$2503,B1317,'Holdings'!$J$4:$J$2503,'Companies'!$A$4:$A$63,'Holdings'!$L$4:$L$2503,"Yes",'Holdings'!$C$4:$C$2503,"&gt;0")&gt;0),'Companies'!$A$4:$A$63,"")))</f>
        <v/>
      </c>
      <c r="G1317" s="30">
        <f>IF(A1317="","",IF(COUNTIF('People'!$A$4:$A$1003,A1317)=0,"Email not on People",IF(COUNTIF('Holders'!$A$4:$A$1003,B1317)=0,"Unknown holder ID",IF(COUNTIFS($A$4:$A$1503,A1317,$B$4:$B$1503,B1317)&gt;1,"Duplicate link",IF(C1317="","Missing access","OK")))))</f>
        <v/>
      </c>
    </row>
    <row r="1318">
      <c r="A1318" s="26" t="n"/>
      <c r="B1318" s="26" t="n"/>
      <c r="C1318" s="26" t="n"/>
      <c r="D1318" s="26" t="n"/>
      <c r="E1318" s="30">
        <f>IF(B1318="","",IFERROR(INDEX('Holders'!$B$4:$B$1003,MATCH(B1318,'Holders'!$A$4:$A$1003,0)),""))</f>
        <v/>
      </c>
      <c r="F1318" s="30">
        <f t="array" ref="F1318">IF(B1318="","",_xlfn.TEXTJOIN(", ",TRUE,IF(('Companies'!$A$4:$A$63&lt;&gt;"")*(COUNTIFS('Holdings'!$A$4:$A$2503,B1318,'Holdings'!$J$4:$J$2503,'Companies'!$A$4:$A$63,'Holdings'!$L$4:$L$2503,"Yes",'Holdings'!$C$4:$C$2503,"&gt;0")&gt;0),'Companies'!$A$4:$A$63,"")))</f>
        <v/>
      </c>
      <c r="G1318" s="30">
        <f>IF(A1318="","",IF(COUNTIF('People'!$A$4:$A$1003,A1318)=0,"Email not on People",IF(COUNTIF('Holders'!$A$4:$A$1003,B1318)=0,"Unknown holder ID",IF(COUNTIFS($A$4:$A$1503,A1318,$B$4:$B$1503,B1318)&gt;1,"Duplicate link",IF(C1318="","Missing access","OK")))))</f>
        <v/>
      </c>
    </row>
    <row r="1319">
      <c r="A1319" s="26" t="n"/>
      <c r="B1319" s="26" t="n"/>
      <c r="C1319" s="26" t="n"/>
      <c r="D1319" s="26" t="n"/>
      <c r="E1319" s="30">
        <f>IF(B1319="","",IFERROR(INDEX('Holders'!$B$4:$B$1003,MATCH(B1319,'Holders'!$A$4:$A$1003,0)),""))</f>
        <v/>
      </c>
      <c r="F1319" s="30">
        <f t="array" ref="F1319">IF(B1319="","",_xlfn.TEXTJOIN(", ",TRUE,IF(('Companies'!$A$4:$A$63&lt;&gt;"")*(COUNTIFS('Holdings'!$A$4:$A$2503,B1319,'Holdings'!$J$4:$J$2503,'Companies'!$A$4:$A$63,'Holdings'!$L$4:$L$2503,"Yes",'Holdings'!$C$4:$C$2503,"&gt;0")&gt;0),'Companies'!$A$4:$A$63,"")))</f>
        <v/>
      </c>
      <c r="G1319" s="30">
        <f>IF(A1319="","",IF(COUNTIF('People'!$A$4:$A$1003,A1319)=0,"Email not on People",IF(COUNTIF('Holders'!$A$4:$A$1003,B1319)=0,"Unknown holder ID",IF(COUNTIFS($A$4:$A$1503,A1319,$B$4:$B$1503,B1319)&gt;1,"Duplicate link",IF(C1319="","Missing access","OK")))))</f>
        <v/>
      </c>
    </row>
    <row r="1320">
      <c r="A1320" s="26" t="n"/>
      <c r="B1320" s="26" t="n"/>
      <c r="C1320" s="26" t="n"/>
      <c r="D1320" s="26" t="n"/>
      <c r="E1320" s="30">
        <f>IF(B1320="","",IFERROR(INDEX('Holders'!$B$4:$B$1003,MATCH(B1320,'Holders'!$A$4:$A$1003,0)),""))</f>
        <v/>
      </c>
      <c r="F1320" s="30">
        <f t="array" ref="F1320">IF(B1320="","",_xlfn.TEXTJOIN(", ",TRUE,IF(('Companies'!$A$4:$A$63&lt;&gt;"")*(COUNTIFS('Holdings'!$A$4:$A$2503,B1320,'Holdings'!$J$4:$J$2503,'Companies'!$A$4:$A$63,'Holdings'!$L$4:$L$2503,"Yes",'Holdings'!$C$4:$C$2503,"&gt;0")&gt;0),'Companies'!$A$4:$A$63,"")))</f>
        <v/>
      </c>
      <c r="G1320" s="30">
        <f>IF(A1320="","",IF(COUNTIF('People'!$A$4:$A$1003,A1320)=0,"Email not on People",IF(COUNTIF('Holders'!$A$4:$A$1003,B1320)=0,"Unknown holder ID",IF(COUNTIFS($A$4:$A$1503,A1320,$B$4:$B$1503,B1320)&gt;1,"Duplicate link",IF(C1320="","Missing access","OK")))))</f>
        <v/>
      </c>
    </row>
    <row r="1321">
      <c r="A1321" s="26" t="n"/>
      <c r="B1321" s="26" t="n"/>
      <c r="C1321" s="26" t="n"/>
      <c r="D1321" s="26" t="n"/>
      <c r="E1321" s="30">
        <f>IF(B1321="","",IFERROR(INDEX('Holders'!$B$4:$B$1003,MATCH(B1321,'Holders'!$A$4:$A$1003,0)),""))</f>
        <v/>
      </c>
      <c r="F1321" s="30">
        <f t="array" ref="F1321">IF(B1321="","",_xlfn.TEXTJOIN(", ",TRUE,IF(('Companies'!$A$4:$A$63&lt;&gt;"")*(COUNTIFS('Holdings'!$A$4:$A$2503,B1321,'Holdings'!$J$4:$J$2503,'Companies'!$A$4:$A$63,'Holdings'!$L$4:$L$2503,"Yes",'Holdings'!$C$4:$C$2503,"&gt;0")&gt;0),'Companies'!$A$4:$A$63,"")))</f>
        <v/>
      </c>
      <c r="G1321" s="30">
        <f>IF(A1321="","",IF(COUNTIF('People'!$A$4:$A$1003,A1321)=0,"Email not on People",IF(COUNTIF('Holders'!$A$4:$A$1003,B1321)=0,"Unknown holder ID",IF(COUNTIFS($A$4:$A$1503,A1321,$B$4:$B$1503,B1321)&gt;1,"Duplicate link",IF(C1321="","Missing access","OK")))))</f>
        <v/>
      </c>
    </row>
    <row r="1322">
      <c r="A1322" s="26" t="n"/>
      <c r="B1322" s="26" t="n"/>
      <c r="C1322" s="26" t="n"/>
      <c r="D1322" s="26" t="n"/>
      <c r="E1322" s="30">
        <f>IF(B1322="","",IFERROR(INDEX('Holders'!$B$4:$B$1003,MATCH(B1322,'Holders'!$A$4:$A$1003,0)),""))</f>
        <v/>
      </c>
      <c r="F1322" s="30">
        <f t="array" ref="F1322">IF(B1322="","",_xlfn.TEXTJOIN(", ",TRUE,IF(('Companies'!$A$4:$A$63&lt;&gt;"")*(COUNTIFS('Holdings'!$A$4:$A$2503,B1322,'Holdings'!$J$4:$J$2503,'Companies'!$A$4:$A$63,'Holdings'!$L$4:$L$2503,"Yes",'Holdings'!$C$4:$C$2503,"&gt;0")&gt;0),'Companies'!$A$4:$A$63,"")))</f>
        <v/>
      </c>
      <c r="G1322" s="30">
        <f>IF(A1322="","",IF(COUNTIF('People'!$A$4:$A$1003,A1322)=0,"Email not on People",IF(COUNTIF('Holders'!$A$4:$A$1003,B1322)=0,"Unknown holder ID",IF(COUNTIFS($A$4:$A$1503,A1322,$B$4:$B$1503,B1322)&gt;1,"Duplicate link",IF(C1322="","Missing access","OK")))))</f>
        <v/>
      </c>
    </row>
    <row r="1323">
      <c r="A1323" s="26" t="n"/>
      <c r="B1323" s="26" t="n"/>
      <c r="C1323" s="26" t="n"/>
      <c r="D1323" s="26" t="n"/>
      <c r="E1323" s="30">
        <f>IF(B1323="","",IFERROR(INDEX('Holders'!$B$4:$B$1003,MATCH(B1323,'Holders'!$A$4:$A$1003,0)),""))</f>
        <v/>
      </c>
      <c r="F1323" s="30">
        <f t="array" ref="F1323">IF(B1323="","",_xlfn.TEXTJOIN(", ",TRUE,IF(('Companies'!$A$4:$A$63&lt;&gt;"")*(COUNTIFS('Holdings'!$A$4:$A$2503,B1323,'Holdings'!$J$4:$J$2503,'Companies'!$A$4:$A$63,'Holdings'!$L$4:$L$2503,"Yes",'Holdings'!$C$4:$C$2503,"&gt;0")&gt;0),'Companies'!$A$4:$A$63,"")))</f>
        <v/>
      </c>
      <c r="G1323" s="30">
        <f>IF(A1323="","",IF(COUNTIF('People'!$A$4:$A$1003,A1323)=0,"Email not on People",IF(COUNTIF('Holders'!$A$4:$A$1003,B1323)=0,"Unknown holder ID",IF(COUNTIFS($A$4:$A$1503,A1323,$B$4:$B$1503,B1323)&gt;1,"Duplicate link",IF(C1323="","Missing access","OK")))))</f>
        <v/>
      </c>
    </row>
    <row r="1324">
      <c r="A1324" s="26" t="n"/>
      <c r="B1324" s="26" t="n"/>
      <c r="C1324" s="26" t="n"/>
      <c r="D1324" s="26" t="n"/>
      <c r="E1324" s="30">
        <f>IF(B1324="","",IFERROR(INDEX('Holders'!$B$4:$B$1003,MATCH(B1324,'Holders'!$A$4:$A$1003,0)),""))</f>
        <v/>
      </c>
      <c r="F1324" s="30">
        <f t="array" ref="F1324">IF(B1324="","",_xlfn.TEXTJOIN(", ",TRUE,IF(('Companies'!$A$4:$A$63&lt;&gt;"")*(COUNTIFS('Holdings'!$A$4:$A$2503,B1324,'Holdings'!$J$4:$J$2503,'Companies'!$A$4:$A$63,'Holdings'!$L$4:$L$2503,"Yes",'Holdings'!$C$4:$C$2503,"&gt;0")&gt;0),'Companies'!$A$4:$A$63,"")))</f>
        <v/>
      </c>
      <c r="G1324" s="30">
        <f>IF(A1324="","",IF(COUNTIF('People'!$A$4:$A$1003,A1324)=0,"Email not on People",IF(COUNTIF('Holders'!$A$4:$A$1003,B1324)=0,"Unknown holder ID",IF(COUNTIFS($A$4:$A$1503,A1324,$B$4:$B$1503,B1324)&gt;1,"Duplicate link",IF(C1324="","Missing access","OK")))))</f>
        <v/>
      </c>
    </row>
    <row r="1325">
      <c r="A1325" s="26" t="n"/>
      <c r="B1325" s="26" t="n"/>
      <c r="C1325" s="26" t="n"/>
      <c r="D1325" s="26" t="n"/>
      <c r="E1325" s="30">
        <f>IF(B1325="","",IFERROR(INDEX('Holders'!$B$4:$B$1003,MATCH(B1325,'Holders'!$A$4:$A$1003,0)),""))</f>
        <v/>
      </c>
      <c r="F1325" s="30">
        <f t="array" ref="F1325">IF(B1325="","",_xlfn.TEXTJOIN(", ",TRUE,IF(('Companies'!$A$4:$A$63&lt;&gt;"")*(COUNTIFS('Holdings'!$A$4:$A$2503,B1325,'Holdings'!$J$4:$J$2503,'Companies'!$A$4:$A$63,'Holdings'!$L$4:$L$2503,"Yes",'Holdings'!$C$4:$C$2503,"&gt;0")&gt;0),'Companies'!$A$4:$A$63,"")))</f>
        <v/>
      </c>
      <c r="G1325" s="30">
        <f>IF(A1325="","",IF(COUNTIF('People'!$A$4:$A$1003,A1325)=0,"Email not on People",IF(COUNTIF('Holders'!$A$4:$A$1003,B1325)=0,"Unknown holder ID",IF(COUNTIFS($A$4:$A$1503,A1325,$B$4:$B$1503,B1325)&gt;1,"Duplicate link",IF(C1325="","Missing access","OK")))))</f>
        <v/>
      </c>
    </row>
    <row r="1326">
      <c r="A1326" s="26" t="n"/>
      <c r="B1326" s="26" t="n"/>
      <c r="C1326" s="26" t="n"/>
      <c r="D1326" s="26" t="n"/>
      <c r="E1326" s="30">
        <f>IF(B1326="","",IFERROR(INDEX('Holders'!$B$4:$B$1003,MATCH(B1326,'Holders'!$A$4:$A$1003,0)),""))</f>
        <v/>
      </c>
      <c r="F1326" s="30">
        <f t="array" ref="F1326">IF(B1326="","",_xlfn.TEXTJOIN(", ",TRUE,IF(('Companies'!$A$4:$A$63&lt;&gt;"")*(COUNTIFS('Holdings'!$A$4:$A$2503,B1326,'Holdings'!$J$4:$J$2503,'Companies'!$A$4:$A$63,'Holdings'!$L$4:$L$2503,"Yes",'Holdings'!$C$4:$C$2503,"&gt;0")&gt;0),'Companies'!$A$4:$A$63,"")))</f>
        <v/>
      </c>
      <c r="G1326" s="30">
        <f>IF(A1326="","",IF(COUNTIF('People'!$A$4:$A$1003,A1326)=0,"Email not on People",IF(COUNTIF('Holders'!$A$4:$A$1003,B1326)=0,"Unknown holder ID",IF(COUNTIFS($A$4:$A$1503,A1326,$B$4:$B$1503,B1326)&gt;1,"Duplicate link",IF(C1326="","Missing access","OK")))))</f>
        <v/>
      </c>
    </row>
    <row r="1327">
      <c r="A1327" s="26" t="n"/>
      <c r="B1327" s="26" t="n"/>
      <c r="C1327" s="26" t="n"/>
      <c r="D1327" s="26" t="n"/>
      <c r="E1327" s="30">
        <f>IF(B1327="","",IFERROR(INDEX('Holders'!$B$4:$B$1003,MATCH(B1327,'Holders'!$A$4:$A$1003,0)),""))</f>
        <v/>
      </c>
      <c r="F1327" s="30">
        <f t="array" ref="F1327">IF(B1327="","",_xlfn.TEXTJOIN(", ",TRUE,IF(('Companies'!$A$4:$A$63&lt;&gt;"")*(COUNTIFS('Holdings'!$A$4:$A$2503,B1327,'Holdings'!$J$4:$J$2503,'Companies'!$A$4:$A$63,'Holdings'!$L$4:$L$2503,"Yes",'Holdings'!$C$4:$C$2503,"&gt;0")&gt;0),'Companies'!$A$4:$A$63,"")))</f>
        <v/>
      </c>
      <c r="G1327" s="30">
        <f>IF(A1327="","",IF(COUNTIF('People'!$A$4:$A$1003,A1327)=0,"Email not on People",IF(COUNTIF('Holders'!$A$4:$A$1003,B1327)=0,"Unknown holder ID",IF(COUNTIFS($A$4:$A$1503,A1327,$B$4:$B$1503,B1327)&gt;1,"Duplicate link",IF(C1327="","Missing access","OK")))))</f>
        <v/>
      </c>
    </row>
    <row r="1328">
      <c r="A1328" s="26" t="n"/>
      <c r="B1328" s="26" t="n"/>
      <c r="C1328" s="26" t="n"/>
      <c r="D1328" s="26" t="n"/>
      <c r="E1328" s="30">
        <f>IF(B1328="","",IFERROR(INDEX('Holders'!$B$4:$B$1003,MATCH(B1328,'Holders'!$A$4:$A$1003,0)),""))</f>
        <v/>
      </c>
      <c r="F1328" s="30">
        <f t="array" ref="F1328">IF(B1328="","",_xlfn.TEXTJOIN(", ",TRUE,IF(('Companies'!$A$4:$A$63&lt;&gt;"")*(COUNTIFS('Holdings'!$A$4:$A$2503,B1328,'Holdings'!$J$4:$J$2503,'Companies'!$A$4:$A$63,'Holdings'!$L$4:$L$2503,"Yes",'Holdings'!$C$4:$C$2503,"&gt;0")&gt;0),'Companies'!$A$4:$A$63,"")))</f>
        <v/>
      </c>
      <c r="G1328" s="30">
        <f>IF(A1328="","",IF(COUNTIF('People'!$A$4:$A$1003,A1328)=0,"Email not on People",IF(COUNTIF('Holders'!$A$4:$A$1003,B1328)=0,"Unknown holder ID",IF(COUNTIFS($A$4:$A$1503,A1328,$B$4:$B$1503,B1328)&gt;1,"Duplicate link",IF(C1328="","Missing access","OK")))))</f>
        <v/>
      </c>
    </row>
    <row r="1329">
      <c r="A1329" s="26" t="n"/>
      <c r="B1329" s="26" t="n"/>
      <c r="C1329" s="26" t="n"/>
      <c r="D1329" s="26" t="n"/>
      <c r="E1329" s="30">
        <f>IF(B1329="","",IFERROR(INDEX('Holders'!$B$4:$B$1003,MATCH(B1329,'Holders'!$A$4:$A$1003,0)),""))</f>
        <v/>
      </c>
      <c r="F1329" s="30">
        <f t="array" ref="F1329">IF(B1329="","",_xlfn.TEXTJOIN(", ",TRUE,IF(('Companies'!$A$4:$A$63&lt;&gt;"")*(COUNTIFS('Holdings'!$A$4:$A$2503,B1329,'Holdings'!$J$4:$J$2503,'Companies'!$A$4:$A$63,'Holdings'!$L$4:$L$2503,"Yes",'Holdings'!$C$4:$C$2503,"&gt;0")&gt;0),'Companies'!$A$4:$A$63,"")))</f>
        <v/>
      </c>
      <c r="G1329" s="30">
        <f>IF(A1329="","",IF(COUNTIF('People'!$A$4:$A$1003,A1329)=0,"Email not on People",IF(COUNTIF('Holders'!$A$4:$A$1003,B1329)=0,"Unknown holder ID",IF(COUNTIFS($A$4:$A$1503,A1329,$B$4:$B$1503,B1329)&gt;1,"Duplicate link",IF(C1329="","Missing access","OK")))))</f>
        <v/>
      </c>
    </row>
    <row r="1330">
      <c r="A1330" s="26" t="n"/>
      <c r="B1330" s="26" t="n"/>
      <c r="C1330" s="26" t="n"/>
      <c r="D1330" s="26" t="n"/>
      <c r="E1330" s="30">
        <f>IF(B1330="","",IFERROR(INDEX('Holders'!$B$4:$B$1003,MATCH(B1330,'Holders'!$A$4:$A$1003,0)),""))</f>
        <v/>
      </c>
      <c r="F1330" s="30">
        <f t="array" ref="F1330">IF(B1330="","",_xlfn.TEXTJOIN(", ",TRUE,IF(('Companies'!$A$4:$A$63&lt;&gt;"")*(COUNTIFS('Holdings'!$A$4:$A$2503,B1330,'Holdings'!$J$4:$J$2503,'Companies'!$A$4:$A$63,'Holdings'!$L$4:$L$2503,"Yes",'Holdings'!$C$4:$C$2503,"&gt;0")&gt;0),'Companies'!$A$4:$A$63,"")))</f>
        <v/>
      </c>
      <c r="G1330" s="30">
        <f>IF(A1330="","",IF(COUNTIF('People'!$A$4:$A$1003,A1330)=0,"Email not on People",IF(COUNTIF('Holders'!$A$4:$A$1003,B1330)=0,"Unknown holder ID",IF(COUNTIFS($A$4:$A$1503,A1330,$B$4:$B$1503,B1330)&gt;1,"Duplicate link",IF(C1330="","Missing access","OK")))))</f>
        <v/>
      </c>
    </row>
    <row r="1331">
      <c r="A1331" s="26" t="n"/>
      <c r="B1331" s="26" t="n"/>
      <c r="C1331" s="26" t="n"/>
      <c r="D1331" s="26" t="n"/>
      <c r="E1331" s="30">
        <f>IF(B1331="","",IFERROR(INDEX('Holders'!$B$4:$B$1003,MATCH(B1331,'Holders'!$A$4:$A$1003,0)),""))</f>
        <v/>
      </c>
      <c r="F1331" s="30">
        <f t="array" ref="F1331">IF(B1331="","",_xlfn.TEXTJOIN(", ",TRUE,IF(('Companies'!$A$4:$A$63&lt;&gt;"")*(COUNTIFS('Holdings'!$A$4:$A$2503,B1331,'Holdings'!$J$4:$J$2503,'Companies'!$A$4:$A$63,'Holdings'!$L$4:$L$2503,"Yes",'Holdings'!$C$4:$C$2503,"&gt;0")&gt;0),'Companies'!$A$4:$A$63,"")))</f>
        <v/>
      </c>
      <c r="G1331" s="30">
        <f>IF(A1331="","",IF(COUNTIF('People'!$A$4:$A$1003,A1331)=0,"Email not on People",IF(COUNTIF('Holders'!$A$4:$A$1003,B1331)=0,"Unknown holder ID",IF(COUNTIFS($A$4:$A$1503,A1331,$B$4:$B$1503,B1331)&gt;1,"Duplicate link",IF(C1331="","Missing access","OK")))))</f>
        <v/>
      </c>
    </row>
    <row r="1332">
      <c r="A1332" s="26" t="n"/>
      <c r="B1332" s="26" t="n"/>
      <c r="C1332" s="26" t="n"/>
      <c r="D1332" s="26" t="n"/>
      <c r="E1332" s="30">
        <f>IF(B1332="","",IFERROR(INDEX('Holders'!$B$4:$B$1003,MATCH(B1332,'Holders'!$A$4:$A$1003,0)),""))</f>
        <v/>
      </c>
      <c r="F1332" s="30">
        <f t="array" ref="F1332">IF(B1332="","",_xlfn.TEXTJOIN(", ",TRUE,IF(('Companies'!$A$4:$A$63&lt;&gt;"")*(COUNTIFS('Holdings'!$A$4:$A$2503,B1332,'Holdings'!$J$4:$J$2503,'Companies'!$A$4:$A$63,'Holdings'!$L$4:$L$2503,"Yes",'Holdings'!$C$4:$C$2503,"&gt;0")&gt;0),'Companies'!$A$4:$A$63,"")))</f>
        <v/>
      </c>
      <c r="G1332" s="30">
        <f>IF(A1332="","",IF(COUNTIF('People'!$A$4:$A$1003,A1332)=0,"Email not on People",IF(COUNTIF('Holders'!$A$4:$A$1003,B1332)=0,"Unknown holder ID",IF(COUNTIFS($A$4:$A$1503,A1332,$B$4:$B$1503,B1332)&gt;1,"Duplicate link",IF(C1332="","Missing access","OK")))))</f>
        <v/>
      </c>
    </row>
    <row r="1333">
      <c r="A1333" s="26" t="n"/>
      <c r="B1333" s="26" t="n"/>
      <c r="C1333" s="26" t="n"/>
      <c r="D1333" s="26" t="n"/>
      <c r="E1333" s="30">
        <f>IF(B1333="","",IFERROR(INDEX('Holders'!$B$4:$B$1003,MATCH(B1333,'Holders'!$A$4:$A$1003,0)),""))</f>
        <v/>
      </c>
      <c r="F1333" s="30">
        <f t="array" ref="F1333">IF(B1333="","",_xlfn.TEXTJOIN(", ",TRUE,IF(('Companies'!$A$4:$A$63&lt;&gt;"")*(COUNTIFS('Holdings'!$A$4:$A$2503,B1333,'Holdings'!$J$4:$J$2503,'Companies'!$A$4:$A$63,'Holdings'!$L$4:$L$2503,"Yes",'Holdings'!$C$4:$C$2503,"&gt;0")&gt;0),'Companies'!$A$4:$A$63,"")))</f>
        <v/>
      </c>
      <c r="G1333" s="30">
        <f>IF(A1333="","",IF(COUNTIF('People'!$A$4:$A$1003,A1333)=0,"Email not on People",IF(COUNTIF('Holders'!$A$4:$A$1003,B1333)=0,"Unknown holder ID",IF(COUNTIFS($A$4:$A$1503,A1333,$B$4:$B$1503,B1333)&gt;1,"Duplicate link",IF(C1333="","Missing access","OK")))))</f>
        <v/>
      </c>
    </row>
    <row r="1334">
      <c r="A1334" s="26" t="n"/>
      <c r="B1334" s="26" t="n"/>
      <c r="C1334" s="26" t="n"/>
      <c r="D1334" s="26" t="n"/>
      <c r="E1334" s="30">
        <f>IF(B1334="","",IFERROR(INDEX('Holders'!$B$4:$B$1003,MATCH(B1334,'Holders'!$A$4:$A$1003,0)),""))</f>
        <v/>
      </c>
      <c r="F1334" s="30">
        <f t="array" ref="F1334">IF(B1334="","",_xlfn.TEXTJOIN(", ",TRUE,IF(('Companies'!$A$4:$A$63&lt;&gt;"")*(COUNTIFS('Holdings'!$A$4:$A$2503,B1334,'Holdings'!$J$4:$J$2503,'Companies'!$A$4:$A$63,'Holdings'!$L$4:$L$2503,"Yes",'Holdings'!$C$4:$C$2503,"&gt;0")&gt;0),'Companies'!$A$4:$A$63,"")))</f>
        <v/>
      </c>
      <c r="G1334" s="30">
        <f>IF(A1334="","",IF(COUNTIF('People'!$A$4:$A$1003,A1334)=0,"Email not on People",IF(COUNTIF('Holders'!$A$4:$A$1003,B1334)=0,"Unknown holder ID",IF(COUNTIFS($A$4:$A$1503,A1334,$B$4:$B$1503,B1334)&gt;1,"Duplicate link",IF(C1334="","Missing access","OK")))))</f>
        <v/>
      </c>
    </row>
    <row r="1335">
      <c r="A1335" s="26" t="n"/>
      <c r="B1335" s="26" t="n"/>
      <c r="C1335" s="26" t="n"/>
      <c r="D1335" s="26" t="n"/>
      <c r="E1335" s="30">
        <f>IF(B1335="","",IFERROR(INDEX('Holders'!$B$4:$B$1003,MATCH(B1335,'Holders'!$A$4:$A$1003,0)),""))</f>
        <v/>
      </c>
      <c r="F1335" s="30">
        <f t="array" ref="F1335">IF(B1335="","",_xlfn.TEXTJOIN(", ",TRUE,IF(('Companies'!$A$4:$A$63&lt;&gt;"")*(COUNTIFS('Holdings'!$A$4:$A$2503,B1335,'Holdings'!$J$4:$J$2503,'Companies'!$A$4:$A$63,'Holdings'!$L$4:$L$2503,"Yes",'Holdings'!$C$4:$C$2503,"&gt;0")&gt;0),'Companies'!$A$4:$A$63,"")))</f>
        <v/>
      </c>
      <c r="G1335" s="30">
        <f>IF(A1335="","",IF(COUNTIF('People'!$A$4:$A$1003,A1335)=0,"Email not on People",IF(COUNTIF('Holders'!$A$4:$A$1003,B1335)=0,"Unknown holder ID",IF(COUNTIFS($A$4:$A$1503,A1335,$B$4:$B$1503,B1335)&gt;1,"Duplicate link",IF(C1335="","Missing access","OK")))))</f>
        <v/>
      </c>
    </row>
    <row r="1336">
      <c r="A1336" s="26" t="n"/>
      <c r="B1336" s="26" t="n"/>
      <c r="C1336" s="26" t="n"/>
      <c r="D1336" s="26" t="n"/>
      <c r="E1336" s="30">
        <f>IF(B1336="","",IFERROR(INDEX('Holders'!$B$4:$B$1003,MATCH(B1336,'Holders'!$A$4:$A$1003,0)),""))</f>
        <v/>
      </c>
      <c r="F1336" s="30">
        <f t="array" ref="F1336">IF(B1336="","",_xlfn.TEXTJOIN(", ",TRUE,IF(('Companies'!$A$4:$A$63&lt;&gt;"")*(COUNTIFS('Holdings'!$A$4:$A$2503,B1336,'Holdings'!$J$4:$J$2503,'Companies'!$A$4:$A$63,'Holdings'!$L$4:$L$2503,"Yes",'Holdings'!$C$4:$C$2503,"&gt;0")&gt;0),'Companies'!$A$4:$A$63,"")))</f>
        <v/>
      </c>
      <c r="G1336" s="30">
        <f>IF(A1336="","",IF(COUNTIF('People'!$A$4:$A$1003,A1336)=0,"Email not on People",IF(COUNTIF('Holders'!$A$4:$A$1003,B1336)=0,"Unknown holder ID",IF(COUNTIFS($A$4:$A$1503,A1336,$B$4:$B$1503,B1336)&gt;1,"Duplicate link",IF(C1336="","Missing access","OK")))))</f>
        <v/>
      </c>
    </row>
    <row r="1337">
      <c r="A1337" s="26" t="n"/>
      <c r="B1337" s="26" t="n"/>
      <c r="C1337" s="26" t="n"/>
      <c r="D1337" s="26" t="n"/>
      <c r="E1337" s="30">
        <f>IF(B1337="","",IFERROR(INDEX('Holders'!$B$4:$B$1003,MATCH(B1337,'Holders'!$A$4:$A$1003,0)),""))</f>
        <v/>
      </c>
      <c r="F1337" s="30">
        <f t="array" ref="F1337">IF(B1337="","",_xlfn.TEXTJOIN(", ",TRUE,IF(('Companies'!$A$4:$A$63&lt;&gt;"")*(COUNTIFS('Holdings'!$A$4:$A$2503,B1337,'Holdings'!$J$4:$J$2503,'Companies'!$A$4:$A$63,'Holdings'!$L$4:$L$2503,"Yes",'Holdings'!$C$4:$C$2503,"&gt;0")&gt;0),'Companies'!$A$4:$A$63,"")))</f>
        <v/>
      </c>
      <c r="G1337" s="30">
        <f>IF(A1337="","",IF(COUNTIF('People'!$A$4:$A$1003,A1337)=0,"Email not on People",IF(COUNTIF('Holders'!$A$4:$A$1003,B1337)=0,"Unknown holder ID",IF(COUNTIFS($A$4:$A$1503,A1337,$B$4:$B$1503,B1337)&gt;1,"Duplicate link",IF(C1337="","Missing access","OK")))))</f>
        <v/>
      </c>
    </row>
    <row r="1338">
      <c r="A1338" s="26" t="n"/>
      <c r="B1338" s="26" t="n"/>
      <c r="C1338" s="26" t="n"/>
      <c r="D1338" s="26" t="n"/>
      <c r="E1338" s="30">
        <f>IF(B1338="","",IFERROR(INDEX('Holders'!$B$4:$B$1003,MATCH(B1338,'Holders'!$A$4:$A$1003,0)),""))</f>
        <v/>
      </c>
      <c r="F1338" s="30">
        <f t="array" ref="F1338">IF(B1338="","",_xlfn.TEXTJOIN(", ",TRUE,IF(('Companies'!$A$4:$A$63&lt;&gt;"")*(COUNTIFS('Holdings'!$A$4:$A$2503,B1338,'Holdings'!$J$4:$J$2503,'Companies'!$A$4:$A$63,'Holdings'!$L$4:$L$2503,"Yes",'Holdings'!$C$4:$C$2503,"&gt;0")&gt;0),'Companies'!$A$4:$A$63,"")))</f>
        <v/>
      </c>
      <c r="G1338" s="30">
        <f>IF(A1338="","",IF(COUNTIF('People'!$A$4:$A$1003,A1338)=0,"Email not on People",IF(COUNTIF('Holders'!$A$4:$A$1003,B1338)=0,"Unknown holder ID",IF(COUNTIFS($A$4:$A$1503,A1338,$B$4:$B$1503,B1338)&gt;1,"Duplicate link",IF(C1338="","Missing access","OK")))))</f>
        <v/>
      </c>
    </row>
    <row r="1339">
      <c r="A1339" s="26" t="n"/>
      <c r="B1339" s="26" t="n"/>
      <c r="C1339" s="26" t="n"/>
      <c r="D1339" s="26" t="n"/>
      <c r="E1339" s="30">
        <f>IF(B1339="","",IFERROR(INDEX('Holders'!$B$4:$B$1003,MATCH(B1339,'Holders'!$A$4:$A$1003,0)),""))</f>
        <v/>
      </c>
      <c r="F1339" s="30">
        <f t="array" ref="F1339">IF(B1339="","",_xlfn.TEXTJOIN(", ",TRUE,IF(('Companies'!$A$4:$A$63&lt;&gt;"")*(COUNTIFS('Holdings'!$A$4:$A$2503,B1339,'Holdings'!$J$4:$J$2503,'Companies'!$A$4:$A$63,'Holdings'!$L$4:$L$2503,"Yes",'Holdings'!$C$4:$C$2503,"&gt;0")&gt;0),'Companies'!$A$4:$A$63,"")))</f>
        <v/>
      </c>
      <c r="G1339" s="30">
        <f>IF(A1339="","",IF(COUNTIF('People'!$A$4:$A$1003,A1339)=0,"Email not on People",IF(COUNTIF('Holders'!$A$4:$A$1003,B1339)=0,"Unknown holder ID",IF(COUNTIFS($A$4:$A$1503,A1339,$B$4:$B$1503,B1339)&gt;1,"Duplicate link",IF(C1339="","Missing access","OK")))))</f>
        <v/>
      </c>
    </row>
    <row r="1340">
      <c r="A1340" s="26" t="n"/>
      <c r="B1340" s="26" t="n"/>
      <c r="C1340" s="26" t="n"/>
      <c r="D1340" s="26" t="n"/>
      <c r="E1340" s="30">
        <f>IF(B1340="","",IFERROR(INDEX('Holders'!$B$4:$B$1003,MATCH(B1340,'Holders'!$A$4:$A$1003,0)),""))</f>
        <v/>
      </c>
      <c r="F1340" s="30">
        <f t="array" ref="F1340">IF(B1340="","",_xlfn.TEXTJOIN(", ",TRUE,IF(('Companies'!$A$4:$A$63&lt;&gt;"")*(COUNTIFS('Holdings'!$A$4:$A$2503,B1340,'Holdings'!$J$4:$J$2503,'Companies'!$A$4:$A$63,'Holdings'!$L$4:$L$2503,"Yes",'Holdings'!$C$4:$C$2503,"&gt;0")&gt;0),'Companies'!$A$4:$A$63,"")))</f>
        <v/>
      </c>
      <c r="G1340" s="30">
        <f>IF(A1340="","",IF(COUNTIF('People'!$A$4:$A$1003,A1340)=0,"Email not on People",IF(COUNTIF('Holders'!$A$4:$A$1003,B1340)=0,"Unknown holder ID",IF(COUNTIFS($A$4:$A$1503,A1340,$B$4:$B$1503,B1340)&gt;1,"Duplicate link",IF(C1340="","Missing access","OK")))))</f>
        <v/>
      </c>
    </row>
    <row r="1341">
      <c r="A1341" s="26" t="n"/>
      <c r="B1341" s="26" t="n"/>
      <c r="C1341" s="26" t="n"/>
      <c r="D1341" s="26" t="n"/>
      <c r="E1341" s="30">
        <f>IF(B1341="","",IFERROR(INDEX('Holders'!$B$4:$B$1003,MATCH(B1341,'Holders'!$A$4:$A$1003,0)),""))</f>
        <v/>
      </c>
      <c r="F1341" s="30">
        <f t="array" ref="F1341">IF(B1341="","",_xlfn.TEXTJOIN(", ",TRUE,IF(('Companies'!$A$4:$A$63&lt;&gt;"")*(COUNTIFS('Holdings'!$A$4:$A$2503,B1341,'Holdings'!$J$4:$J$2503,'Companies'!$A$4:$A$63,'Holdings'!$L$4:$L$2503,"Yes",'Holdings'!$C$4:$C$2503,"&gt;0")&gt;0),'Companies'!$A$4:$A$63,"")))</f>
        <v/>
      </c>
      <c r="G1341" s="30">
        <f>IF(A1341="","",IF(COUNTIF('People'!$A$4:$A$1003,A1341)=0,"Email not on People",IF(COUNTIF('Holders'!$A$4:$A$1003,B1341)=0,"Unknown holder ID",IF(COUNTIFS($A$4:$A$1503,A1341,$B$4:$B$1503,B1341)&gt;1,"Duplicate link",IF(C1341="","Missing access","OK")))))</f>
        <v/>
      </c>
    </row>
    <row r="1342">
      <c r="A1342" s="26" t="n"/>
      <c r="B1342" s="26" t="n"/>
      <c r="C1342" s="26" t="n"/>
      <c r="D1342" s="26" t="n"/>
      <c r="E1342" s="30">
        <f>IF(B1342="","",IFERROR(INDEX('Holders'!$B$4:$B$1003,MATCH(B1342,'Holders'!$A$4:$A$1003,0)),""))</f>
        <v/>
      </c>
      <c r="F1342" s="30">
        <f t="array" ref="F1342">IF(B1342="","",_xlfn.TEXTJOIN(", ",TRUE,IF(('Companies'!$A$4:$A$63&lt;&gt;"")*(COUNTIFS('Holdings'!$A$4:$A$2503,B1342,'Holdings'!$J$4:$J$2503,'Companies'!$A$4:$A$63,'Holdings'!$L$4:$L$2503,"Yes",'Holdings'!$C$4:$C$2503,"&gt;0")&gt;0),'Companies'!$A$4:$A$63,"")))</f>
        <v/>
      </c>
      <c r="G1342" s="30">
        <f>IF(A1342="","",IF(COUNTIF('People'!$A$4:$A$1003,A1342)=0,"Email not on People",IF(COUNTIF('Holders'!$A$4:$A$1003,B1342)=0,"Unknown holder ID",IF(COUNTIFS($A$4:$A$1503,A1342,$B$4:$B$1503,B1342)&gt;1,"Duplicate link",IF(C1342="","Missing access","OK")))))</f>
        <v/>
      </c>
    </row>
    <row r="1343">
      <c r="A1343" s="26" t="n"/>
      <c r="B1343" s="26" t="n"/>
      <c r="C1343" s="26" t="n"/>
      <c r="D1343" s="26" t="n"/>
      <c r="E1343" s="30">
        <f>IF(B1343="","",IFERROR(INDEX('Holders'!$B$4:$B$1003,MATCH(B1343,'Holders'!$A$4:$A$1003,0)),""))</f>
        <v/>
      </c>
      <c r="F1343" s="30">
        <f t="array" ref="F1343">IF(B1343="","",_xlfn.TEXTJOIN(", ",TRUE,IF(('Companies'!$A$4:$A$63&lt;&gt;"")*(COUNTIFS('Holdings'!$A$4:$A$2503,B1343,'Holdings'!$J$4:$J$2503,'Companies'!$A$4:$A$63,'Holdings'!$L$4:$L$2503,"Yes",'Holdings'!$C$4:$C$2503,"&gt;0")&gt;0),'Companies'!$A$4:$A$63,"")))</f>
        <v/>
      </c>
      <c r="G1343" s="30">
        <f>IF(A1343="","",IF(COUNTIF('People'!$A$4:$A$1003,A1343)=0,"Email not on People",IF(COUNTIF('Holders'!$A$4:$A$1003,B1343)=0,"Unknown holder ID",IF(COUNTIFS($A$4:$A$1503,A1343,$B$4:$B$1503,B1343)&gt;1,"Duplicate link",IF(C1343="","Missing access","OK")))))</f>
        <v/>
      </c>
    </row>
    <row r="1344">
      <c r="A1344" s="26" t="n"/>
      <c r="B1344" s="26" t="n"/>
      <c r="C1344" s="26" t="n"/>
      <c r="D1344" s="26" t="n"/>
      <c r="E1344" s="30">
        <f>IF(B1344="","",IFERROR(INDEX('Holders'!$B$4:$B$1003,MATCH(B1344,'Holders'!$A$4:$A$1003,0)),""))</f>
        <v/>
      </c>
      <c r="F1344" s="30">
        <f t="array" ref="F1344">IF(B1344="","",_xlfn.TEXTJOIN(", ",TRUE,IF(('Companies'!$A$4:$A$63&lt;&gt;"")*(COUNTIFS('Holdings'!$A$4:$A$2503,B1344,'Holdings'!$J$4:$J$2503,'Companies'!$A$4:$A$63,'Holdings'!$L$4:$L$2503,"Yes",'Holdings'!$C$4:$C$2503,"&gt;0")&gt;0),'Companies'!$A$4:$A$63,"")))</f>
        <v/>
      </c>
      <c r="G1344" s="30">
        <f>IF(A1344="","",IF(COUNTIF('People'!$A$4:$A$1003,A1344)=0,"Email not on People",IF(COUNTIF('Holders'!$A$4:$A$1003,B1344)=0,"Unknown holder ID",IF(COUNTIFS($A$4:$A$1503,A1344,$B$4:$B$1503,B1344)&gt;1,"Duplicate link",IF(C1344="","Missing access","OK")))))</f>
        <v/>
      </c>
    </row>
    <row r="1345">
      <c r="A1345" s="26" t="n"/>
      <c r="B1345" s="26" t="n"/>
      <c r="C1345" s="26" t="n"/>
      <c r="D1345" s="26" t="n"/>
      <c r="E1345" s="30">
        <f>IF(B1345="","",IFERROR(INDEX('Holders'!$B$4:$B$1003,MATCH(B1345,'Holders'!$A$4:$A$1003,0)),""))</f>
        <v/>
      </c>
      <c r="F1345" s="30">
        <f t="array" ref="F1345">IF(B1345="","",_xlfn.TEXTJOIN(", ",TRUE,IF(('Companies'!$A$4:$A$63&lt;&gt;"")*(COUNTIFS('Holdings'!$A$4:$A$2503,B1345,'Holdings'!$J$4:$J$2503,'Companies'!$A$4:$A$63,'Holdings'!$L$4:$L$2503,"Yes",'Holdings'!$C$4:$C$2503,"&gt;0")&gt;0),'Companies'!$A$4:$A$63,"")))</f>
        <v/>
      </c>
      <c r="G1345" s="30">
        <f>IF(A1345="","",IF(COUNTIF('People'!$A$4:$A$1003,A1345)=0,"Email not on People",IF(COUNTIF('Holders'!$A$4:$A$1003,B1345)=0,"Unknown holder ID",IF(COUNTIFS($A$4:$A$1503,A1345,$B$4:$B$1503,B1345)&gt;1,"Duplicate link",IF(C1345="","Missing access","OK")))))</f>
        <v/>
      </c>
    </row>
    <row r="1346">
      <c r="A1346" s="26" t="n"/>
      <c r="B1346" s="26" t="n"/>
      <c r="C1346" s="26" t="n"/>
      <c r="D1346" s="26" t="n"/>
      <c r="E1346" s="30">
        <f>IF(B1346="","",IFERROR(INDEX('Holders'!$B$4:$B$1003,MATCH(B1346,'Holders'!$A$4:$A$1003,0)),""))</f>
        <v/>
      </c>
      <c r="F1346" s="30">
        <f t="array" ref="F1346">IF(B1346="","",_xlfn.TEXTJOIN(", ",TRUE,IF(('Companies'!$A$4:$A$63&lt;&gt;"")*(COUNTIFS('Holdings'!$A$4:$A$2503,B1346,'Holdings'!$J$4:$J$2503,'Companies'!$A$4:$A$63,'Holdings'!$L$4:$L$2503,"Yes",'Holdings'!$C$4:$C$2503,"&gt;0")&gt;0),'Companies'!$A$4:$A$63,"")))</f>
        <v/>
      </c>
      <c r="G1346" s="30">
        <f>IF(A1346="","",IF(COUNTIF('People'!$A$4:$A$1003,A1346)=0,"Email not on People",IF(COUNTIF('Holders'!$A$4:$A$1003,B1346)=0,"Unknown holder ID",IF(COUNTIFS($A$4:$A$1503,A1346,$B$4:$B$1503,B1346)&gt;1,"Duplicate link",IF(C1346="","Missing access","OK")))))</f>
        <v/>
      </c>
    </row>
    <row r="1347">
      <c r="A1347" s="26" t="n"/>
      <c r="B1347" s="26" t="n"/>
      <c r="C1347" s="26" t="n"/>
      <c r="D1347" s="26" t="n"/>
      <c r="E1347" s="30">
        <f>IF(B1347="","",IFERROR(INDEX('Holders'!$B$4:$B$1003,MATCH(B1347,'Holders'!$A$4:$A$1003,0)),""))</f>
        <v/>
      </c>
      <c r="F1347" s="30">
        <f t="array" ref="F1347">IF(B1347="","",_xlfn.TEXTJOIN(", ",TRUE,IF(('Companies'!$A$4:$A$63&lt;&gt;"")*(COUNTIFS('Holdings'!$A$4:$A$2503,B1347,'Holdings'!$J$4:$J$2503,'Companies'!$A$4:$A$63,'Holdings'!$L$4:$L$2503,"Yes",'Holdings'!$C$4:$C$2503,"&gt;0")&gt;0),'Companies'!$A$4:$A$63,"")))</f>
        <v/>
      </c>
      <c r="G1347" s="30">
        <f>IF(A1347="","",IF(COUNTIF('People'!$A$4:$A$1003,A1347)=0,"Email not on People",IF(COUNTIF('Holders'!$A$4:$A$1003,B1347)=0,"Unknown holder ID",IF(COUNTIFS($A$4:$A$1503,A1347,$B$4:$B$1503,B1347)&gt;1,"Duplicate link",IF(C1347="","Missing access","OK")))))</f>
        <v/>
      </c>
    </row>
    <row r="1348">
      <c r="A1348" s="26" t="n"/>
      <c r="B1348" s="26" t="n"/>
      <c r="C1348" s="26" t="n"/>
      <c r="D1348" s="26" t="n"/>
      <c r="E1348" s="30">
        <f>IF(B1348="","",IFERROR(INDEX('Holders'!$B$4:$B$1003,MATCH(B1348,'Holders'!$A$4:$A$1003,0)),""))</f>
        <v/>
      </c>
      <c r="F1348" s="30">
        <f t="array" ref="F1348">IF(B1348="","",_xlfn.TEXTJOIN(", ",TRUE,IF(('Companies'!$A$4:$A$63&lt;&gt;"")*(COUNTIFS('Holdings'!$A$4:$A$2503,B1348,'Holdings'!$J$4:$J$2503,'Companies'!$A$4:$A$63,'Holdings'!$L$4:$L$2503,"Yes",'Holdings'!$C$4:$C$2503,"&gt;0")&gt;0),'Companies'!$A$4:$A$63,"")))</f>
        <v/>
      </c>
      <c r="G1348" s="30">
        <f>IF(A1348="","",IF(COUNTIF('People'!$A$4:$A$1003,A1348)=0,"Email not on People",IF(COUNTIF('Holders'!$A$4:$A$1003,B1348)=0,"Unknown holder ID",IF(COUNTIFS($A$4:$A$1503,A1348,$B$4:$B$1503,B1348)&gt;1,"Duplicate link",IF(C1348="","Missing access","OK")))))</f>
        <v/>
      </c>
    </row>
    <row r="1349">
      <c r="A1349" s="26" t="n"/>
      <c r="B1349" s="26" t="n"/>
      <c r="C1349" s="26" t="n"/>
      <c r="D1349" s="26" t="n"/>
      <c r="E1349" s="30">
        <f>IF(B1349="","",IFERROR(INDEX('Holders'!$B$4:$B$1003,MATCH(B1349,'Holders'!$A$4:$A$1003,0)),""))</f>
        <v/>
      </c>
      <c r="F1349" s="30">
        <f t="array" ref="F1349">IF(B1349="","",_xlfn.TEXTJOIN(", ",TRUE,IF(('Companies'!$A$4:$A$63&lt;&gt;"")*(COUNTIFS('Holdings'!$A$4:$A$2503,B1349,'Holdings'!$J$4:$J$2503,'Companies'!$A$4:$A$63,'Holdings'!$L$4:$L$2503,"Yes",'Holdings'!$C$4:$C$2503,"&gt;0")&gt;0),'Companies'!$A$4:$A$63,"")))</f>
        <v/>
      </c>
      <c r="G1349" s="30">
        <f>IF(A1349="","",IF(COUNTIF('People'!$A$4:$A$1003,A1349)=0,"Email not on People",IF(COUNTIF('Holders'!$A$4:$A$1003,B1349)=0,"Unknown holder ID",IF(COUNTIFS($A$4:$A$1503,A1349,$B$4:$B$1503,B1349)&gt;1,"Duplicate link",IF(C1349="","Missing access","OK")))))</f>
        <v/>
      </c>
    </row>
    <row r="1350">
      <c r="A1350" s="26" t="n"/>
      <c r="B1350" s="26" t="n"/>
      <c r="C1350" s="26" t="n"/>
      <c r="D1350" s="26" t="n"/>
      <c r="E1350" s="30">
        <f>IF(B1350="","",IFERROR(INDEX('Holders'!$B$4:$B$1003,MATCH(B1350,'Holders'!$A$4:$A$1003,0)),""))</f>
        <v/>
      </c>
      <c r="F1350" s="30">
        <f t="array" ref="F1350">IF(B1350="","",_xlfn.TEXTJOIN(", ",TRUE,IF(('Companies'!$A$4:$A$63&lt;&gt;"")*(COUNTIFS('Holdings'!$A$4:$A$2503,B1350,'Holdings'!$J$4:$J$2503,'Companies'!$A$4:$A$63,'Holdings'!$L$4:$L$2503,"Yes",'Holdings'!$C$4:$C$2503,"&gt;0")&gt;0),'Companies'!$A$4:$A$63,"")))</f>
        <v/>
      </c>
      <c r="G1350" s="30">
        <f>IF(A1350="","",IF(COUNTIF('People'!$A$4:$A$1003,A1350)=0,"Email not on People",IF(COUNTIF('Holders'!$A$4:$A$1003,B1350)=0,"Unknown holder ID",IF(COUNTIFS($A$4:$A$1503,A1350,$B$4:$B$1503,B1350)&gt;1,"Duplicate link",IF(C1350="","Missing access","OK")))))</f>
        <v/>
      </c>
    </row>
    <row r="1351">
      <c r="A1351" s="26" t="n"/>
      <c r="B1351" s="26" t="n"/>
      <c r="C1351" s="26" t="n"/>
      <c r="D1351" s="26" t="n"/>
      <c r="E1351" s="30">
        <f>IF(B1351="","",IFERROR(INDEX('Holders'!$B$4:$B$1003,MATCH(B1351,'Holders'!$A$4:$A$1003,0)),""))</f>
        <v/>
      </c>
      <c r="F1351" s="30">
        <f t="array" ref="F1351">IF(B1351="","",_xlfn.TEXTJOIN(", ",TRUE,IF(('Companies'!$A$4:$A$63&lt;&gt;"")*(COUNTIFS('Holdings'!$A$4:$A$2503,B1351,'Holdings'!$J$4:$J$2503,'Companies'!$A$4:$A$63,'Holdings'!$L$4:$L$2503,"Yes",'Holdings'!$C$4:$C$2503,"&gt;0")&gt;0),'Companies'!$A$4:$A$63,"")))</f>
        <v/>
      </c>
      <c r="G1351" s="30">
        <f>IF(A1351="","",IF(COUNTIF('People'!$A$4:$A$1003,A1351)=0,"Email not on People",IF(COUNTIF('Holders'!$A$4:$A$1003,B1351)=0,"Unknown holder ID",IF(COUNTIFS($A$4:$A$1503,A1351,$B$4:$B$1503,B1351)&gt;1,"Duplicate link",IF(C1351="","Missing access","OK")))))</f>
        <v/>
      </c>
    </row>
    <row r="1352">
      <c r="A1352" s="26" t="n"/>
      <c r="B1352" s="26" t="n"/>
      <c r="C1352" s="26" t="n"/>
      <c r="D1352" s="26" t="n"/>
      <c r="E1352" s="30">
        <f>IF(B1352="","",IFERROR(INDEX('Holders'!$B$4:$B$1003,MATCH(B1352,'Holders'!$A$4:$A$1003,0)),""))</f>
        <v/>
      </c>
      <c r="F1352" s="30">
        <f t="array" ref="F1352">IF(B1352="","",_xlfn.TEXTJOIN(", ",TRUE,IF(('Companies'!$A$4:$A$63&lt;&gt;"")*(COUNTIFS('Holdings'!$A$4:$A$2503,B1352,'Holdings'!$J$4:$J$2503,'Companies'!$A$4:$A$63,'Holdings'!$L$4:$L$2503,"Yes",'Holdings'!$C$4:$C$2503,"&gt;0")&gt;0),'Companies'!$A$4:$A$63,"")))</f>
        <v/>
      </c>
      <c r="G1352" s="30">
        <f>IF(A1352="","",IF(COUNTIF('People'!$A$4:$A$1003,A1352)=0,"Email not on People",IF(COUNTIF('Holders'!$A$4:$A$1003,B1352)=0,"Unknown holder ID",IF(COUNTIFS($A$4:$A$1503,A1352,$B$4:$B$1503,B1352)&gt;1,"Duplicate link",IF(C1352="","Missing access","OK")))))</f>
        <v/>
      </c>
    </row>
    <row r="1353">
      <c r="A1353" s="26" t="n"/>
      <c r="B1353" s="26" t="n"/>
      <c r="C1353" s="26" t="n"/>
      <c r="D1353" s="26" t="n"/>
      <c r="E1353" s="30">
        <f>IF(B1353="","",IFERROR(INDEX('Holders'!$B$4:$B$1003,MATCH(B1353,'Holders'!$A$4:$A$1003,0)),""))</f>
        <v/>
      </c>
      <c r="F1353" s="30">
        <f t="array" ref="F1353">IF(B1353="","",_xlfn.TEXTJOIN(", ",TRUE,IF(('Companies'!$A$4:$A$63&lt;&gt;"")*(COUNTIFS('Holdings'!$A$4:$A$2503,B1353,'Holdings'!$J$4:$J$2503,'Companies'!$A$4:$A$63,'Holdings'!$L$4:$L$2503,"Yes",'Holdings'!$C$4:$C$2503,"&gt;0")&gt;0),'Companies'!$A$4:$A$63,"")))</f>
        <v/>
      </c>
      <c r="G1353" s="30">
        <f>IF(A1353="","",IF(COUNTIF('People'!$A$4:$A$1003,A1353)=0,"Email not on People",IF(COUNTIF('Holders'!$A$4:$A$1003,B1353)=0,"Unknown holder ID",IF(COUNTIFS($A$4:$A$1503,A1353,$B$4:$B$1503,B1353)&gt;1,"Duplicate link",IF(C1353="","Missing access","OK")))))</f>
        <v/>
      </c>
    </row>
    <row r="1354">
      <c r="A1354" s="26" t="n"/>
      <c r="B1354" s="26" t="n"/>
      <c r="C1354" s="26" t="n"/>
      <c r="D1354" s="26" t="n"/>
      <c r="E1354" s="30">
        <f>IF(B1354="","",IFERROR(INDEX('Holders'!$B$4:$B$1003,MATCH(B1354,'Holders'!$A$4:$A$1003,0)),""))</f>
        <v/>
      </c>
      <c r="F1354" s="30">
        <f t="array" ref="F1354">IF(B1354="","",_xlfn.TEXTJOIN(", ",TRUE,IF(('Companies'!$A$4:$A$63&lt;&gt;"")*(COUNTIFS('Holdings'!$A$4:$A$2503,B1354,'Holdings'!$J$4:$J$2503,'Companies'!$A$4:$A$63,'Holdings'!$L$4:$L$2503,"Yes",'Holdings'!$C$4:$C$2503,"&gt;0")&gt;0),'Companies'!$A$4:$A$63,"")))</f>
        <v/>
      </c>
      <c r="G1354" s="30">
        <f>IF(A1354="","",IF(COUNTIF('People'!$A$4:$A$1003,A1354)=0,"Email not on People",IF(COUNTIF('Holders'!$A$4:$A$1003,B1354)=0,"Unknown holder ID",IF(COUNTIFS($A$4:$A$1503,A1354,$B$4:$B$1503,B1354)&gt;1,"Duplicate link",IF(C1354="","Missing access","OK")))))</f>
        <v/>
      </c>
    </row>
    <row r="1355">
      <c r="A1355" s="26" t="n"/>
      <c r="B1355" s="26" t="n"/>
      <c r="C1355" s="26" t="n"/>
      <c r="D1355" s="26" t="n"/>
      <c r="E1355" s="30">
        <f>IF(B1355="","",IFERROR(INDEX('Holders'!$B$4:$B$1003,MATCH(B1355,'Holders'!$A$4:$A$1003,0)),""))</f>
        <v/>
      </c>
      <c r="F1355" s="30">
        <f t="array" ref="F1355">IF(B1355="","",_xlfn.TEXTJOIN(", ",TRUE,IF(('Companies'!$A$4:$A$63&lt;&gt;"")*(COUNTIFS('Holdings'!$A$4:$A$2503,B1355,'Holdings'!$J$4:$J$2503,'Companies'!$A$4:$A$63,'Holdings'!$L$4:$L$2503,"Yes",'Holdings'!$C$4:$C$2503,"&gt;0")&gt;0),'Companies'!$A$4:$A$63,"")))</f>
        <v/>
      </c>
      <c r="G1355" s="30">
        <f>IF(A1355="","",IF(COUNTIF('People'!$A$4:$A$1003,A1355)=0,"Email not on People",IF(COUNTIF('Holders'!$A$4:$A$1003,B1355)=0,"Unknown holder ID",IF(COUNTIFS($A$4:$A$1503,A1355,$B$4:$B$1503,B1355)&gt;1,"Duplicate link",IF(C1355="","Missing access","OK")))))</f>
        <v/>
      </c>
    </row>
    <row r="1356">
      <c r="A1356" s="26" t="n"/>
      <c r="B1356" s="26" t="n"/>
      <c r="C1356" s="26" t="n"/>
      <c r="D1356" s="26" t="n"/>
      <c r="E1356" s="30">
        <f>IF(B1356="","",IFERROR(INDEX('Holders'!$B$4:$B$1003,MATCH(B1356,'Holders'!$A$4:$A$1003,0)),""))</f>
        <v/>
      </c>
      <c r="F1356" s="30">
        <f t="array" ref="F1356">IF(B1356="","",_xlfn.TEXTJOIN(", ",TRUE,IF(('Companies'!$A$4:$A$63&lt;&gt;"")*(COUNTIFS('Holdings'!$A$4:$A$2503,B1356,'Holdings'!$J$4:$J$2503,'Companies'!$A$4:$A$63,'Holdings'!$L$4:$L$2503,"Yes",'Holdings'!$C$4:$C$2503,"&gt;0")&gt;0),'Companies'!$A$4:$A$63,"")))</f>
        <v/>
      </c>
      <c r="G1356" s="30">
        <f>IF(A1356="","",IF(COUNTIF('People'!$A$4:$A$1003,A1356)=0,"Email not on People",IF(COUNTIF('Holders'!$A$4:$A$1003,B1356)=0,"Unknown holder ID",IF(COUNTIFS($A$4:$A$1503,A1356,$B$4:$B$1503,B1356)&gt;1,"Duplicate link",IF(C1356="","Missing access","OK")))))</f>
        <v/>
      </c>
    </row>
    <row r="1357">
      <c r="A1357" s="26" t="n"/>
      <c r="B1357" s="26" t="n"/>
      <c r="C1357" s="26" t="n"/>
      <c r="D1357" s="26" t="n"/>
      <c r="E1357" s="30">
        <f>IF(B1357="","",IFERROR(INDEX('Holders'!$B$4:$B$1003,MATCH(B1357,'Holders'!$A$4:$A$1003,0)),""))</f>
        <v/>
      </c>
      <c r="F1357" s="30">
        <f t="array" ref="F1357">IF(B1357="","",_xlfn.TEXTJOIN(", ",TRUE,IF(('Companies'!$A$4:$A$63&lt;&gt;"")*(COUNTIFS('Holdings'!$A$4:$A$2503,B1357,'Holdings'!$J$4:$J$2503,'Companies'!$A$4:$A$63,'Holdings'!$L$4:$L$2503,"Yes",'Holdings'!$C$4:$C$2503,"&gt;0")&gt;0),'Companies'!$A$4:$A$63,"")))</f>
        <v/>
      </c>
      <c r="G1357" s="30">
        <f>IF(A1357="","",IF(COUNTIF('People'!$A$4:$A$1003,A1357)=0,"Email not on People",IF(COUNTIF('Holders'!$A$4:$A$1003,B1357)=0,"Unknown holder ID",IF(COUNTIFS($A$4:$A$1503,A1357,$B$4:$B$1503,B1357)&gt;1,"Duplicate link",IF(C1357="","Missing access","OK")))))</f>
        <v/>
      </c>
    </row>
    <row r="1358">
      <c r="A1358" s="26" t="n"/>
      <c r="B1358" s="26" t="n"/>
      <c r="C1358" s="26" t="n"/>
      <c r="D1358" s="26" t="n"/>
      <c r="E1358" s="30">
        <f>IF(B1358="","",IFERROR(INDEX('Holders'!$B$4:$B$1003,MATCH(B1358,'Holders'!$A$4:$A$1003,0)),""))</f>
        <v/>
      </c>
      <c r="F1358" s="30">
        <f t="array" ref="F1358">IF(B1358="","",_xlfn.TEXTJOIN(", ",TRUE,IF(('Companies'!$A$4:$A$63&lt;&gt;"")*(COUNTIFS('Holdings'!$A$4:$A$2503,B1358,'Holdings'!$J$4:$J$2503,'Companies'!$A$4:$A$63,'Holdings'!$L$4:$L$2503,"Yes",'Holdings'!$C$4:$C$2503,"&gt;0")&gt;0),'Companies'!$A$4:$A$63,"")))</f>
        <v/>
      </c>
      <c r="G1358" s="30">
        <f>IF(A1358="","",IF(COUNTIF('People'!$A$4:$A$1003,A1358)=0,"Email not on People",IF(COUNTIF('Holders'!$A$4:$A$1003,B1358)=0,"Unknown holder ID",IF(COUNTIFS($A$4:$A$1503,A1358,$B$4:$B$1503,B1358)&gt;1,"Duplicate link",IF(C1358="","Missing access","OK")))))</f>
        <v/>
      </c>
    </row>
    <row r="1359">
      <c r="A1359" s="26" t="n"/>
      <c r="B1359" s="26" t="n"/>
      <c r="C1359" s="26" t="n"/>
      <c r="D1359" s="26" t="n"/>
      <c r="E1359" s="30">
        <f>IF(B1359="","",IFERROR(INDEX('Holders'!$B$4:$B$1003,MATCH(B1359,'Holders'!$A$4:$A$1003,0)),""))</f>
        <v/>
      </c>
      <c r="F1359" s="30">
        <f t="array" ref="F1359">IF(B1359="","",_xlfn.TEXTJOIN(", ",TRUE,IF(('Companies'!$A$4:$A$63&lt;&gt;"")*(COUNTIFS('Holdings'!$A$4:$A$2503,B1359,'Holdings'!$J$4:$J$2503,'Companies'!$A$4:$A$63,'Holdings'!$L$4:$L$2503,"Yes",'Holdings'!$C$4:$C$2503,"&gt;0")&gt;0),'Companies'!$A$4:$A$63,"")))</f>
        <v/>
      </c>
      <c r="G1359" s="30">
        <f>IF(A1359="","",IF(COUNTIF('People'!$A$4:$A$1003,A1359)=0,"Email not on People",IF(COUNTIF('Holders'!$A$4:$A$1003,B1359)=0,"Unknown holder ID",IF(COUNTIFS($A$4:$A$1503,A1359,$B$4:$B$1503,B1359)&gt;1,"Duplicate link",IF(C1359="","Missing access","OK")))))</f>
        <v/>
      </c>
    </row>
    <row r="1360">
      <c r="A1360" s="26" t="n"/>
      <c r="B1360" s="26" t="n"/>
      <c r="C1360" s="26" t="n"/>
      <c r="D1360" s="26" t="n"/>
      <c r="E1360" s="30">
        <f>IF(B1360="","",IFERROR(INDEX('Holders'!$B$4:$B$1003,MATCH(B1360,'Holders'!$A$4:$A$1003,0)),""))</f>
        <v/>
      </c>
      <c r="F1360" s="30">
        <f t="array" ref="F1360">IF(B1360="","",_xlfn.TEXTJOIN(", ",TRUE,IF(('Companies'!$A$4:$A$63&lt;&gt;"")*(COUNTIFS('Holdings'!$A$4:$A$2503,B1360,'Holdings'!$J$4:$J$2503,'Companies'!$A$4:$A$63,'Holdings'!$L$4:$L$2503,"Yes",'Holdings'!$C$4:$C$2503,"&gt;0")&gt;0),'Companies'!$A$4:$A$63,"")))</f>
        <v/>
      </c>
      <c r="G1360" s="30">
        <f>IF(A1360="","",IF(COUNTIF('People'!$A$4:$A$1003,A1360)=0,"Email not on People",IF(COUNTIF('Holders'!$A$4:$A$1003,B1360)=0,"Unknown holder ID",IF(COUNTIFS($A$4:$A$1503,A1360,$B$4:$B$1503,B1360)&gt;1,"Duplicate link",IF(C1360="","Missing access","OK")))))</f>
        <v/>
      </c>
    </row>
    <row r="1361">
      <c r="A1361" s="26" t="n"/>
      <c r="B1361" s="26" t="n"/>
      <c r="C1361" s="26" t="n"/>
      <c r="D1361" s="26" t="n"/>
      <c r="E1361" s="30">
        <f>IF(B1361="","",IFERROR(INDEX('Holders'!$B$4:$B$1003,MATCH(B1361,'Holders'!$A$4:$A$1003,0)),""))</f>
        <v/>
      </c>
      <c r="F1361" s="30">
        <f t="array" ref="F1361">IF(B1361="","",_xlfn.TEXTJOIN(", ",TRUE,IF(('Companies'!$A$4:$A$63&lt;&gt;"")*(COUNTIFS('Holdings'!$A$4:$A$2503,B1361,'Holdings'!$J$4:$J$2503,'Companies'!$A$4:$A$63,'Holdings'!$L$4:$L$2503,"Yes",'Holdings'!$C$4:$C$2503,"&gt;0")&gt;0),'Companies'!$A$4:$A$63,"")))</f>
        <v/>
      </c>
      <c r="G1361" s="30">
        <f>IF(A1361="","",IF(COUNTIF('People'!$A$4:$A$1003,A1361)=0,"Email not on People",IF(COUNTIF('Holders'!$A$4:$A$1003,B1361)=0,"Unknown holder ID",IF(COUNTIFS($A$4:$A$1503,A1361,$B$4:$B$1503,B1361)&gt;1,"Duplicate link",IF(C1361="","Missing access","OK")))))</f>
        <v/>
      </c>
    </row>
    <row r="1362">
      <c r="A1362" s="26" t="n"/>
      <c r="B1362" s="26" t="n"/>
      <c r="C1362" s="26" t="n"/>
      <c r="D1362" s="26" t="n"/>
      <c r="E1362" s="30">
        <f>IF(B1362="","",IFERROR(INDEX('Holders'!$B$4:$B$1003,MATCH(B1362,'Holders'!$A$4:$A$1003,0)),""))</f>
        <v/>
      </c>
      <c r="F1362" s="30">
        <f t="array" ref="F1362">IF(B1362="","",_xlfn.TEXTJOIN(", ",TRUE,IF(('Companies'!$A$4:$A$63&lt;&gt;"")*(COUNTIFS('Holdings'!$A$4:$A$2503,B1362,'Holdings'!$J$4:$J$2503,'Companies'!$A$4:$A$63,'Holdings'!$L$4:$L$2503,"Yes",'Holdings'!$C$4:$C$2503,"&gt;0")&gt;0),'Companies'!$A$4:$A$63,"")))</f>
        <v/>
      </c>
      <c r="G1362" s="30">
        <f>IF(A1362="","",IF(COUNTIF('People'!$A$4:$A$1003,A1362)=0,"Email not on People",IF(COUNTIF('Holders'!$A$4:$A$1003,B1362)=0,"Unknown holder ID",IF(COUNTIFS($A$4:$A$1503,A1362,$B$4:$B$1503,B1362)&gt;1,"Duplicate link",IF(C1362="","Missing access","OK")))))</f>
        <v/>
      </c>
    </row>
    <row r="1363">
      <c r="A1363" s="26" t="n"/>
      <c r="B1363" s="26" t="n"/>
      <c r="C1363" s="26" t="n"/>
      <c r="D1363" s="26" t="n"/>
      <c r="E1363" s="30">
        <f>IF(B1363="","",IFERROR(INDEX('Holders'!$B$4:$B$1003,MATCH(B1363,'Holders'!$A$4:$A$1003,0)),""))</f>
        <v/>
      </c>
      <c r="F1363" s="30">
        <f t="array" ref="F1363">IF(B1363="","",_xlfn.TEXTJOIN(", ",TRUE,IF(('Companies'!$A$4:$A$63&lt;&gt;"")*(COUNTIFS('Holdings'!$A$4:$A$2503,B1363,'Holdings'!$J$4:$J$2503,'Companies'!$A$4:$A$63,'Holdings'!$L$4:$L$2503,"Yes",'Holdings'!$C$4:$C$2503,"&gt;0")&gt;0),'Companies'!$A$4:$A$63,"")))</f>
        <v/>
      </c>
      <c r="G1363" s="30">
        <f>IF(A1363="","",IF(COUNTIF('People'!$A$4:$A$1003,A1363)=0,"Email not on People",IF(COUNTIF('Holders'!$A$4:$A$1003,B1363)=0,"Unknown holder ID",IF(COUNTIFS($A$4:$A$1503,A1363,$B$4:$B$1503,B1363)&gt;1,"Duplicate link",IF(C1363="","Missing access","OK")))))</f>
        <v/>
      </c>
    </row>
    <row r="1364">
      <c r="A1364" s="26" t="n"/>
      <c r="B1364" s="26" t="n"/>
      <c r="C1364" s="26" t="n"/>
      <c r="D1364" s="26" t="n"/>
      <c r="E1364" s="30">
        <f>IF(B1364="","",IFERROR(INDEX('Holders'!$B$4:$B$1003,MATCH(B1364,'Holders'!$A$4:$A$1003,0)),""))</f>
        <v/>
      </c>
      <c r="F1364" s="30">
        <f t="array" ref="F1364">IF(B1364="","",_xlfn.TEXTJOIN(", ",TRUE,IF(('Companies'!$A$4:$A$63&lt;&gt;"")*(COUNTIFS('Holdings'!$A$4:$A$2503,B1364,'Holdings'!$J$4:$J$2503,'Companies'!$A$4:$A$63,'Holdings'!$L$4:$L$2503,"Yes",'Holdings'!$C$4:$C$2503,"&gt;0")&gt;0),'Companies'!$A$4:$A$63,"")))</f>
        <v/>
      </c>
      <c r="G1364" s="30">
        <f>IF(A1364="","",IF(COUNTIF('People'!$A$4:$A$1003,A1364)=0,"Email not on People",IF(COUNTIF('Holders'!$A$4:$A$1003,B1364)=0,"Unknown holder ID",IF(COUNTIFS($A$4:$A$1503,A1364,$B$4:$B$1503,B1364)&gt;1,"Duplicate link",IF(C1364="","Missing access","OK")))))</f>
        <v/>
      </c>
    </row>
    <row r="1365">
      <c r="A1365" s="26" t="n"/>
      <c r="B1365" s="26" t="n"/>
      <c r="C1365" s="26" t="n"/>
      <c r="D1365" s="26" t="n"/>
      <c r="E1365" s="30">
        <f>IF(B1365="","",IFERROR(INDEX('Holders'!$B$4:$B$1003,MATCH(B1365,'Holders'!$A$4:$A$1003,0)),""))</f>
        <v/>
      </c>
      <c r="F1365" s="30">
        <f t="array" ref="F1365">IF(B1365="","",_xlfn.TEXTJOIN(", ",TRUE,IF(('Companies'!$A$4:$A$63&lt;&gt;"")*(COUNTIFS('Holdings'!$A$4:$A$2503,B1365,'Holdings'!$J$4:$J$2503,'Companies'!$A$4:$A$63,'Holdings'!$L$4:$L$2503,"Yes",'Holdings'!$C$4:$C$2503,"&gt;0")&gt;0),'Companies'!$A$4:$A$63,"")))</f>
        <v/>
      </c>
      <c r="G1365" s="30">
        <f>IF(A1365="","",IF(COUNTIF('People'!$A$4:$A$1003,A1365)=0,"Email not on People",IF(COUNTIF('Holders'!$A$4:$A$1003,B1365)=0,"Unknown holder ID",IF(COUNTIFS($A$4:$A$1503,A1365,$B$4:$B$1503,B1365)&gt;1,"Duplicate link",IF(C1365="","Missing access","OK")))))</f>
        <v/>
      </c>
    </row>
    <row r="1366">
      <c r="A1366" s="26" t="n"/>
      <c r="B1366" s="26" t="n"/>
      <c r="C1366" s="26" t="n"/>
      <c r="D1366" s="26" t="n"/>
      <c r="E1366" s="30">
        <f>IF(B1366="","",IFERROR(INDEX('Holders'!$B$4:$B$1003,MATCH(B1366,'Holders'!$A$4:$A$1003,0)),""))</f>
        <v/>
      </c>
      <c r="F1366" s="30">
        <f t="array" ref="F1366">IF(B1366="","",_xlfn.TEXTJOIN(", ",TRUE,IF(('Companies'!$A$4:$A$63&lt;&gt;"")*(COUNTIFS('Holdings'!$A$4:$A$2503,B1366,'Holdings'!$J$4:$J$2503,'Companies'!$A$4:$A$63,'Holdings'!$L$4:$L$2503,"Yes",'Holdings'!$C$4:$C$2503,"&gt;0")&gt;0),'Companies'!$A$4:$A$63,"")))</f>
        <v/>
      </c>
      <c r="G1366" s="30">
        <f>IF(A1366="","",IF(COUNTIF('People'!$A$4:$A$1003,A1366)=0,"Email not on People",IF(COUNTIF('Holders'!$A$4:$A$1003,B1366)=0,"Unknown holder ID",IF(COUNTIFS($A$4:$A$1503,A1366,$B$4:$B$1503,B1366)&gt;1,"Duplicate link",IF(C1366="","Missing access","OK")))))</f>
        <v/>
      </c>
    </row>
    <row r="1367">
      <c r="A1367" s="26" t="n"/>
      <c r="B1367" s="26" t="n"/>
      <c r="C1367" s="26" t="n"/>
      <c r="D1367" s="26" t="n"/>
      <c r="E1367" s="30">
        <f>IF(B1367="","",IFERROR(INDEX('Holders'!$B$4:$B$1003,MATCH(B1367,'Holders'!$A$4:$A$1003,0)),""))</f>
        <v/>
      </c>
      <c r="F1367" s="30">
        <f t="array" ref="F1367">IF(B1367="","",_xlfn.TEXTJOIN(", ",TRUE,IF(('Companies'!$A$4:$A$63&lt;&gt;"")*(COUNTIFS('Holdings'!$A$4:$A$2503,B1367,'Holdings'!$J$4:$J$2503,'Companies'!$A$4:$A$63,'Holdings'!$L$4:$L$2503,"Yes",'Holdings'!$C$4:$C$2503,"&gt;0")&gt;0),'Companies'!$A$4:$A$63,"")))</f>
        <v/>
      </c>
      <c r="G1367" s="30">
        <f>IF(A1367="","",IF(COUNTIF('People'!$A$4:$A$1003,A1367)=0,"Email not on People",IF(COUNTIF('Holders'!$A$4:$A$1003,B1367)=0,"Unknown holder ID",IF(COUNTIFS($A$4:$A$1503,A1367,$B$4:$B$1503,B1367)&gt;1,"Duplicate link",IF(C1367="","Missing access","OK")))))</f>
        <v/>
      </c>
    </row>
    <row r="1368">
      <c r="A1368" s="26" t="n"/>
      <c r="B1368" s="26" t="n"/>
      <c r="C1368" s="26" t="n"/>
      <c r="D1368" s="26" t="n"/>
      <c r="E1368" s="30">
        <f>IF(B1368="","",IFERROR(INDEX('Holders'!$B$4:$B$1003,MATCH(B1368,'Holders'!$A$4:$A$1003,0)),""))</f>
        <v/>
      </c>
      <c r="F1368" s="30">
        <f t="array" ref="F1368">IF(B1368="","",_xlfn.TEXTJOIN(", ",TRUE,IF(('Companies'!$A$4:$A$63&lt;&gt;"")*(COUNTIFS('Holdings'!$A$4:$A$2503,B1368,'Holdings'!$J$4:$J$2503,'Companies'!$A$4:$A$63,'Holdings'!$L$4:$L$2503,"Yes",'Holdings'!$C$4:$C$2503,"&gt;0")&gt;0),'Companies'!$A$4:$A$63,"")))</f>
        <v/>
      </c>
      <c r="G1368" s="30">
        <f>IF(A1368="","",IF(COUNTIF('People'!$A$4:$A$1003,A1368)=0,"Email not on People",IF(COUNTIF('Holders'!$A$4:$A$1003,B1368)=0,"Unknown holder ID",IF(COUNTIFS($A$4:$A$1503,A1368,$B$4:$B$1503,B1368)&gt;1,"Duplicate link",IF(C1368="","Missing access","OK")))))</f>
        <v/>
      </c>
    </row>
    <row r="1369">
      <c r="A1369" s="26" t="n"/>
      <c r="B1369" s="26" t="n"/>
      <c r="C1369" s="26" t="n"/>
      <c r="D1369" s="26" t="n"/>
      <c r="E1369" s="30">
        <f>IF(B1369="","",IFERROR(INDEX('Holders'!$B$4:$B$1003,MATCH(B1369,'Holders'!$A$4:$A$1003,0)),""))</f>
        <v/>
      </c>
      <c r="F1369" s="30">
        <f t="array" ref="F1369">IF(B1369="","",_xlfn.TEXTJOIN(", ",TRUE,IF(('Companies'!$A$4:$A$63&lt;&gt;"")*(COUNTIFS('Holdings'!$A$4:$A$2503,B1369,'Holdings'!$J$4:$J$2503,'Companies'!$A$4:$A$63,'Holdings'!$L$4:$L$2503,"Yes",'Holdings'!$C$4:$C$2503,"&gt;0")&gt;0),'Companies'!$A$4:$A$63,"")))</f>
        <v/>
      </c>
      <c r="G1369" s="30">
        <f>IF(A1369="","",IF(COUNTIF('People'!$A$4:$A$1003,A1369)=0,"Email not on People",IF(COUNTIF('Holders'!$A$4:$A$1003,B1369)=0,"Unknown holder ID",IF(COUNTIFS($A$4:$A$1503,A1369,$B$4:$B$1503,B1369)&gt;1,"Duplicate link",IF(C1369="","Missing access","OK")))))</f>
        <v/>
      </c>
    </row>
    <row r="1370">
      <c r="A1370" s="26" t="n"/>
      <c r="B1370" s="26" t="n"/>
      <c r="C1370" s="26" t="n"/>
      <c r="D1370" s="26" t="n"/>
      <c r="E1370" s="30">
        <f>IF(B1370="","",IFERROR(INDEX('Holders'!$B$4:$B$1003,MATCH(B1370,'Holders'!$A$4:$A$1003,0)),""))</f>
        <v/>
      </c>
      <c r="F1370" s="30">
        <f t="array" ref="F1370">IF(B1370="","",_xlfn.TEXTJOIN(", ",TRUE,IF(('Companies'!$A$4:$A$63&lt;&gt;"")*(COUNTIFS('Holdings'!$A$4:$A$2503,B1370,'Holdings'!$J$4:$J$2503,'Companies'!$A$4:$A$63,'Holdings'!$L$4:$L$2503,"Yes",'Holdings'!$C$4:$C$2503,"&gt;0")&gt;0),'Companies'!$A$4:$A$63,"")))</f>
        <v/>
      </c>
      <c r="G1370" s="30">
        <f>IF(A1370="","",IF(COUNTIF('People'!$A$4:$A$1003,A1370)=0,"Email not on People",IF(COUNTIF('Holders'!$A$4:$A$1003,B1370)=0,"Unknown holder ID",IF(COUNTIFS($A$4:$A$1503,A1370,$B$4:$B$1503,B1370)&gt;1,"Duplicate link",IF(C1370="","Missing access","OK")))))</f>
        <v/>
      </c>
    </row>
    <row r="1371">
      <c r="A1371" s="26" t="n"/>
      <c r="B1371" s="26" t="n"/>
      <c r="C1371" s="26" t="n"/>
      <c r="D1371" s="26" t="n"/>
      <c r="E1371" s="30">
        <f>IF(B1371="","",IFERROR(INDEX('Holders'!$B$4:$B$1003,MATCH(B1371,'Holders'!$A$4:$A$1003,0)),""))</f>
        <v/>
      </c>
      <c r="F1371" s="30">
        <f t="array" ref="F1371">IF(B1371="","",_xlfn.TEXTJOIN(", ",TRUE,IF(('Companies'!$A$4:$A$63&lt;&gt;"")*(COUNTIFS('Holdings'!$A$4:$A$2503,B1371,'Holdings'!$J$4:$J$2503,'Companies'!$A$4:$A$63,'Holdings'!$L$4:$L$2503,"Yes",'Holdings'!$C$4:$C$2503,"&gt;0")&gt;0),'Companies'!$A$4:$A$63,"")))</f>
        <v/>
      </c>
      <c r="G1371" s="30">
        <f>IF(A1371="","",IF(COUNTIF('People'!$A$4:$A$1003,A1371)=0,"Email not on People",IF(COUNTIF('Holders'!$A$4:$A$1003,B1371)=0,"Unknown holder ID",IF(COUNTIFS($A$4:$A$1503,A1371,$B$4:$B$1503,B1371)&gt;1,"Duplicate link",IF(C1371="","Missing access","OK")))))</f>
        <v/>
      </c>
    </row>
    <row r="1372">
      <c r="A1372" s="26" t="n"/>
      <c r="B1372" s="26" t="n"/>
      <c r="C1372" s="26" t="n"/>
      <c r="D1372" s="26" t="n"/>
      <c r="E1372" s="30">
        <f>IF(B1372="","",IFERROR(INDEX('Holders'!$B$4:$B$1003,MATCH(B1372,'Holders'!$A$4:$A$1003,0)),""))</f>
        <v/>
      </c>
      <c r="F1372" s="30">
        <f t="array" ref="F1372">IF(B1372="","",_xlfn.TEXTJOIN(", ",TRUE,IF(('Companies'!$A$4:$A$63&lt;&gt;"")*(COUNTIFS('Holdings'!$A$4:$A$2503,B1372,'Holdings'!$J$4:$J$2503,'Companies'!$A$4:$A$63,'Holdings'!$L$4:$L$2503,"Yes",'Holdings'!$C$4:$C$2503,"&gt;0")&gt;0),'Companies'!$A$4:$A$63,"")))</f>
        <v/>
      </c>
      <c r="G1372" s="30">
        <f>IF(A1372="","",IF(COUNTIF('People'!$A$4:$A$1003,A1372)=0,"Email not on People",IF(COUNTIF('Holders'!$A$4:$A$1003,B1372)=0,"Unknown holder ID",IF(COUNTIFS($A$4:$A$1503,A1372,$B$4:$B$1503,B1372)&gt;1,"Duplicate link",IF(C1372="","Missing access","OK")))))</f>
        <v/>
      </c>
    </row>
    <row r="1373">
      <c r="A1373" s="26" t="n"/>
      <c r="B1373" s="26" t="n"/>
      <c r="C1373" s="26" t="n"/>
      <c r="D1373" s="26" t="n"/>
      <c r="E1373" s="30">
        <f>IF(B1373="","",IFERROR(INDEX('Holders'!$B$4:$B$1003,MATCH(B1373,'Holders'!$A$4:$A$1003,0)),""))</f>
        <v/>
      </c>
      <c r="F1373" s="30">
        <f t="array" ref="F1373">IF(B1373="","",_xlfn.TEXTJOIN(", ",TRUE,IF(('Companies'!$A$4:$A$63&lt;&gt;"")*(COUNTIFS('Holdings'!$A$4:$A$2503,B1373,'Holdings'!$J$4:$J$2503,'Companies'!$A$4:$A$63,'Holdings'!$L$4:$L$2503,"Yes",'Holdings'!$C$4:$C$2503,"&gt;0")&gt;0),'Companies'!$A$4:$A$63,"")))</f>
        <v/>
      </c>
      <c r="G1373" s="30">
        <f>IF(A1373="","",IF(COUNTIF('People'!$A$4:$A$1003,A1373)=0,"Email not on People",IF(COUNTIF('Holders'!$A$4:$A$1003,B1373)=0,"Unknown holder ID",IF(COUNTIFS($A$4:$A$1503,A1373,$B$4:$B$1503,B1373)&gt;1,"Duplicate link",IF(C1373="","Missing access","OK")))))</f>
        <v/>
      </c>
    </row>
    <row r="1374">
      <c r="A1374" s="26" t="n"/>
      <c r="B1374" s="26" t="n"/>
      <c r="C1374" s="26" t="n"/>
      <c r="D1374" s="26" t="n"/>
      <c r="E1374" s="30">
        <f>IF(B1374="","",IFERROR(INDEX('Holders'!$B$4:$B$1003,MATCH(B1374,'Holders'!$A$4:$A$1003,0)),""))</f>
        <v/>
      </c>
      <c r="F1374" s="30">
        <f t="array" ref="F1374">IF(B1374="","",_xlfn.TEXTJOIN(", ",TRUE,IF(('Companies'!$A$4:$A$63&lt;&gt;"")*(COUNTIFS('Holdings'!$A$4:$A$2503,B1374,'Holdings'!$J$4:$J$2503,'Companies'!$A$4:$A$63,'Holdings'!$L$4:$L$2503,"Yes",'Holdings'!$C$4:$C$2503,"&gt;0")&gt;0),'Companies'!$A$4:$A$63,"")))</f>
        <v/>
      </c>
      <c r="G1374" s="30">
        <f>IF(A1374="","",IF(COUNTIF('People'!$A$4:$A$1003,A1374)=0,"Email not on People",IF(COUNTIF('Holders'!$A$4:$A$1003,B1374)=0,"Unknown holder ID",IF(COUNTIFS($A$4:$A$1503,A1374,$B$4:$B$1503,B1374)&gt;1,"Duplicate link",IF(C1374="","Missing access","OK")))))</f>
        <v/>
      </c>
    </row>
    <row r="1375">
      <c r="A1375" s="26" t="n"/>
      <c r="B1375" s="26" t="n"/>
      <c r="C1375" s="26" t="n"/>
      <c r="D1375" s="26" t="n"/>
      <c r="E1375" s="30">
        <f>IF(B1375="","",IFERROR(INDEX('Holders'!$B$4:$B$1003,MATCH(B1375,'Holders'!$A$4:$A$1003,0)),""))</f>
        <v/>
      </c>
      <c r="F1375" s="30">
        <f t="array" ref="F1375">IF(B1375="","",_xlfn.TEXTJOIN(", ",TRUE,IF(('Companies'!$A$4:$A$63&lt;&gt;"")*(COUNTIFS('Holdings'!$A$4:$A$2503,B1375,'Holdings'!$J$4:$J$2503,'Companies'!$A$4:$A$63,'Holdings'!$L$4:$L$2503,"Yes",'Holdings'!$C$4:$C$2503,"&gt;0")&gt;0),'Companies'!$A$4:$A$63,"")))</f>
        <v/>
      </c>
      <c r="G1375" s="30">
        <f>IF(A1375="","",IF(COUNTIF('People'!$A$4:$A$1003,A1375)=0,"Email not on People",IF(COUNTIF('Holders'!$A$4:$A$1003,B1375)=0,"Unknown holder ID",IF(COUNTIFS($A$4:$A$1503,A1375,$B$4:$B$1503,B1375)&gt;1,"Duplicate link",IF(C1375="","Missing access","OK")))))</f>
        <v/>
      </c>
    </row>
    <row r="1376">
      <c r="A1376" s="26" t="n"/>
      <c r="B1376" s="26" t="n"/>
      <c r="C1376" s="26" t="n"/>
      <c r="D1376" s="26" t="n"/>
      <c r="E1376" s="30">
        <f>IF(B1376="","",IFERROR(INDEX('Holders'!$B$4:$B$1003,MATCH(B1376,'Holders'!$A$4:$A$1003,0)),""))</f>
        <v/>
      </c>
      <c r="F1376" s="30">
        <f t="array" ref="F1376">IF(B1376="","",_xlfn.TEXTJOIN(", ",TRUE,IF(('Companies'!$A$4:$A$63&lt;&gt;"")*(COUNTIFS('Holdings'!$A$4:$A$2503,B1376,'Holdings'!$J$4:$J$2503,'Companies'!$A$4:$A$63,'Holdings'!$L$4:$L$2503,"Yes",'Holdings'!$C$4:$C$2503,"&gt;0")&gt;0),'Companies'!$A$4:$A$63,"")))</f>
        <v/>
      </c>
      <c r="G1376" s="30">
        <f>IF(A1376="","",IF(COUNTIF('People'!$A$4:$A$1003,A1376)=0,"Email not on People",IF(COUNTIF('Holders'!$A$4:$A$1003,B1376)=0,"Unknown holder ID",IF(COUNTIFS($A$4:$A$1503,A1376,$B$4:$B$1503,B1376)&gt;1,"Duplicate link",IF(C1376="","Missing access","OK")))))</f>
        <v/>
      </c>
    </row>
    <row r="1377">
      <c r="A1377" s="26" t="n"/>
      <c r="B1377" s="26" t="n"/>
      <c r="C1377" s="26" t="n"/>
      <c r="D1377" s="26" t="n"/>
      <c r="E1377" s="30">
        <f>IF(B1377="","",IFERROR(INDEX('Holders'!$B$4:$B$1003,MATCH(B1377,'Holders'!$A$4:$A$1003,0)),""))</f>
        <v/>
      </c>
      <c r="F1377" s="30">
        <f t="array" ref="F1377">IF(B1377="","",_xlfn.TEXTJOIN(", ",TRUE,IF(('Companies'!$A$4:$A$63&lt;&gt;"")*(COUNTIFS('Holdings'!$A$4:$A$2503,B1377,'Holdings'!$J$4:$J$2503,'Companies'!$A$4:$A$63,'Holdings'!$L$4:$L$2503,"Yes",'Holdings'!$C$4:$C$2503,"&gt;0")&gt;0),'Companies'!$A$4:$A$63,"")))</f>
        <v/>
      </c>
      <c r="G1377" s="30">
        <f>IF(A1377="","",IF(COUNTIF('People'!$A$4:$A$1003,A1377)=0,"Email not on People",IF(COUNTIF('Holders'!$A$4:$A$1003,B1377)=0,"Unknown holder ID",IF(COUNTIFS($A$4:$A$1503,A1377,$B$4:$B$1503,B1377)&gt;1,"Duplicate link",IF(C1377="","Missing access","OK")))))</f>
        <v/>
      </c>
    </row>
    <row r="1378">
      <c r="A1378" s="26" t="n"/>
      <c r="B1378" s="26" t="n"/>
      <c r="C1378" s="26" t="n"/>
      <c r="D1378" s="26" t="n"/>
      <c r="E1378" s="30">
        <f>IF(B1378="","",IFERROR(INDEX('Holders'!$B$4:$B$1003,MATCH(B1378,'Holders'!$A$4:$A$1003,0)),""))</f>
        <v/>
      </c>
      <c r="F1378" s="30">
        <f t="array" ref="F1378">IF(B1378="","",_xlfn.TEXTJOIN(", ",TRUE,IF(('Companies'!$A$4:$A$63&lt;&gt;"")*(COUNTIFS('Holdings'!$A$4:$A$2503,B1378,'Holdings'!$J$4:$J$2503,'Companies'!$A$4:$A$63,'Holdings'!$L$4:$L$2503,"Yes",'Holdings'!$C$4:$C$2503,"&gt;0")&gt;0),'Companies'!$A$4:$A$63,"")))</f>
        <v/>
      </c>
      <c r="G1378" s="30">
        <f>IF(A1378="","",IF(COUNTIF('People'!$A$4:$A$1003,A1378)=0,"Email not on People",IF(COUNTIF('Holders'!$A$4:$A$1003,B1378)=0,"Unknown holder ID",IF(COUNTIFS($A$4:$A$1503,A1378,$B$4:$B$1503,B1378)&gt;1,"Duplicate link",IF(C1378="","Missing access","OK")))))</f>
        <v/>
      </c>
    </row>
    <row r="1379">
      <c r="A1379" s="26" t="n"/>
      <c r="B1379" s="26" t="n"/>
      <c r="C1379" s="26" t="n"/>
      <c r="D1379" s="26" t="n"/>
      <c r="E1379" s="30">
        <f>IF(B1379="","",IFERROR(INDEX('Holders'!$B$4:$B$1003,MATCH(B1379,'Holders'!$A$4:$A$1003,0)),""))</f>
        <v/>
      </c>
      <c r="F1379" s="30">
        <f t="array" ref="F1379">IF(B1379="","",_xlfn.TEXTJOIN(", ",TRUE,IF(('Companies'!$A$4:$A$63&lt;&gt;"")*(COUNTIFS('Holdings'!$A$4:$A$2503,B1379,'Holdings'!$J$4:$J$2503,'Companies'!$A$4:$A$63,'Holdings'!$L$4:$L$2503,"Yes",'Holdings'!$C$4:$C$2503,"&gt;0")&gt;0),'Companies'!$A$4:$A$63,"")))</f>
        <v/>
      </c>
      <c r="G1379" s="30">
        <f>IF(A1379="","",IF(COUNTIF('People'!$A$4:$A$1003,A1379)=0,"Email not on People",IF(COUNTIF('Holders'!$A$4:$A$1003,B1379)=0,"Unknown holder ID",IF(COUNTIFS($A$4:$A$1503,A1379,$B$4:$B$1503,B1379)&gt;1,"Duplicate link",IF(C1379="","Missing access","OK")))))</f>
        <v/>
      </c>
    </row>
    <row r="1380">
      <c r="A1380" s="26" t="n"/>
      <c r="B1380" s="26" t="n"/>
      <c r="C1380" s="26" t="n"/>
      <c r="D1380" s="26" t="n"/>
      <c r="E1380" s="30">
        <f>IF(B1380="","",IFERROR(INDEX('Holders'!$B$4:$B$1003,MATCH(B1380,'Holders'!$A$4:$A$1003,0)),""))</f>
        <v/>
      </c>
      <c r="F1380" s="30">
        <f t="array" ref="F1380">IF(B1380="","",_xlfn.TEXTJOIN(", ",TRUE,IF(('Companies'!$A$4:$A$63&lt;&gt;"")*(COUNTIFS('Holdings'!$A$4:$A$2503,B1380,'Holdings'!$J$4:$J$2503,'Companies'!$A$4:$A$63,'Holdings'!$L$4:$L$2503,"Yes",'Holdings'!$C$4:$C$2503,"&gt;0")&gt;0),'Companies'!$A$4:$A$63,"")))</f>
        <v/>
      </c>
      <c r="G1380" s="30">
        <f>IF(A1380="","",IF(COUNTIF('People'!$A$4:$A$1003,A1380)=0,"Email not on People",IF(COUNTIF('Holders'!$A$4:$A$1003,B1380)=0,"Unknown holder ID",IF(COUNTIFS($A$4:$A$1503,A1380,$B$4:$B$1503,B1380)&gt;1,"Duplicate link",IF(C1380="","Missing access","OK")))))</f>
        <v/>
      </c>
    </row>
    <row r="1381">
      <c r="A1381" s="26" t="n"/>
      <c r="B1381" s="26" t="n"/>
      <c r="C1381" s="26" t="n"/>
      <c r="D1381" s="26" t="n"/>
      <c r="E1381" s="30">
        <f>IF(B1381="","",IFERROR(INDEX('Holders'!$B$4:$B$1003,MATCH(B1381,'Holders'!$A$4:$A$1003,0)),""))</f>
        <v/>
      </c>
      <c r="F1381" s="30">
        <f t="array" ref="F1381">IF(B1381="","",_xlfn.TEXTJOIN(", ",TRUE,IF(('Companies'!$A$4:$A$63&lt;&gt;"")*(COUNTIFS('Holdings'!$A$4:$A$2503,B1381,'Holdings'!$J$4:$J$2503,'Companies'!$A$4:$A$63,'Holdings'!$L$4:$L$2503,"Yes",'Holdings'!$C$4:$C$2503,"&gt;0")&gt;0),'Companies'!$A$4:$A$63,"")))</f>
        <v/>
      </c>
      <c r="G1381" s="30">
        <f>IF(A1381="","",IF(COUNTIF('People'!$A$4:$A$1003,A1381)=0,"Email not on People",IF(COUNTIF('Holders'!$A$4:$A$1003,B1381)=0,"Unknown holder ID",IF(COUNTIFS($A$4:$A$1503,A1381,$B$4:$B$1503,B1381)&gt;1,"Duplicate link",IF(C1381="","Missing access","OK")))))</f>
        <v/>
      </c>
    </row>
    <row r="1382">
      <c r="A1382" s="26" t="n"/>
      <c r="B1382" s="26" t="n"/>
      <c r="C1382" s="26" t="n"/>
      <c r="D1382" s="26" t="n"/>
      <c r="E1382" s="30">
        <f>IF(B1382="","",IFERROR(INDEX('Holders'!$B$4:$B$1003,MATCH(B1382,'Holders'!$A$4:$A$1003,0)),""))</f>
        <v/>
      </c>
      <c r="F1382" s="30">
        <f t="array" ref="F1382">IF(B1382="","",_xlfn.TEXTJOIN(", ",TRUE,IF(('Companies'!$A$4:$A$63&lt;&gt;"")*(COUNTIFS('Holdings'!$A$4:$A$2503,B1382,'Holdings'!$J$4:$J$2503,'Companies'!$A$4:$A$63,'Holdings'!$L$4:$L$2503,"Yes",'Holdings'!$C$4:$C$2503,"&gt;0")&gt;0),'Companies'!$A$4:$A$63,"")))</f>
        <v/>
      </c>
      <c r="G1382" s="30">
        <f>IF(A1382="","",IF(COUNTIF('People'!$A$4:$A$1003,A1382)=0,"Email not on People",IF(COUNTIF('Holders'!$A$4:$A$1003,B1382)=0,"Unknown holder ID",IF(COUNTIFS($A$4:$A$1503,A1382,$B$4:$B$1503,B1382)&gt;1,"Duplicate link",IF(C1382="","Missing access","OK")))))</f>
        <v/>
      </c>
    </row>
    <row r="1383">
      <c r="A1383" s="26" t="n"/>
      <c r="B1383" s="26" t="n"/>
      <c r="C1383" s="26" t="n"/>
      <c r="D1383" s="26" t="n"/>
      <c r="E1383" s="30">
        <f>IF(B1383="","",IFERROR(INDEX('Holders'!$B$4:$B$1003,MATCH(B1383,'Holders'!$A$4:$A$1003,0)),""))</f>
        <v/>
      </c>
      <c r="F1383" s="30">
        <f t="array" ref="F1383">IF(B1383="","",_xlfn.TEXTJOIN(", ",TRUE,IF(('Companies'!$A$4:$A$63&lt;&gt;"")*(COUNTIFS('Holdings'!$A$4:$A$2503,B1383,'Holdings'!$J$4:$J$2503,'Companies'!$A$4:$A$63,'Holdings'!$L$4:$L$2503,"Yes",'Holdings'!$C$4:$C$2503,"&gt;0")&gt;0),'Companies'!$A$4:$A$63,"")))</f>
        <v/>
      </c>
      <c r="G1383" s="30">
        <f>IF(A1383="","",IF(COUNTIF('People'!$A$4:$A$1003,A1383)=0,"Email not on People",IF(COUNTIF('Holders'!$A$4:$A$1003,B1383)=0,"Unknown holder ID",IF(COUNTIFS($A$4:$A$1503,A1383,$B$4:$B$1503,B1383)&gt;1,"Duplicate link",IF(C1383="","Missing access","OK")))))</f>
        <v/>
      </c>
    </row>
    <row r="1384">
      <c r="A1384" s="26" t="n"/>
      <c r="B1384" s="26" t="n"/>
      <c r="C1384" s="26" t="n"/>
      <c r="D1384" s="26" t="n"/>
      <c r="E1384" s="30">
        <f>IF(B1384="","",IFERROR(INDEX('Holders'!$B$4:$B$1003,MATCH(B1384,'Holders'!$A$4:$A$1003,0)),""))</f>
        <v/>
      </c>
      <c r="F1384" s="30">
        <f t="array" ref="F1384">IF(B1384="","",_xlfn.TEXTJOIN(", ",TRUE,IF(('Companies'!$A$4:$A$63&lt;&gt;"")*(COUNTIFS('Holdings'!$A$4:$A$2503,B1384,'Holdings'!$J$4:$J$2503,'Companies'!$A$4:$A$63,'Holdings'!$L$4:$L$2503,"Yes",'Holdings'!$C$4:$C$2503,"&gt;0")&gt;0),'Companies'!$A$4:$A$63,"")))</f>
        <v/>
      </c>
      <c r="G1384" s="30">
        <f>IF(A1384="","",IF(COUNTIF('People'!$A$4:$A$1003,A1384)=0,"Email not on People",IF(COUNTIF('Holders'!$A$4:$A$1003,B1384)=0,"Unknown holder ID",IF(COUNTIFS($A$4:$A$1503,A1384,$B$4:$B$1503,B1384)&gt;1,"Duplicate link",IF(C1384="","Missing access","OK")))))</f>
        <v/>
      </c>
    </row>
    <row r="1385">
      <c r="A1385" s="26" t="n"/>
      <c r="B1385" s="26" t="n"/>
      <c r="C1385" s="26" t="n"/>
      <c r="D1385" s="26" t="n"/>
      <c r="E1385" s="30">
        <f>IF(B1385="","",IFERROR(INDEX('Holders'!$B$4:$B$1003,MATCH(B1385,'Holders'!$A$4:$A$1003,0)),""))</f>
        <v/>
      </c>
      <c r="F1385" s="30">
        <f t="array" ref="F1385">IF(B1385="","",_xlfn.TEXTJOIN(", ",TRUE,IF(('Companies'!$A$4:$A$63&lt;&gt;"")*(COUNTIFS('Holdings'!$A$4:$A$2503,B1385,'Holdings'!$J$4:$J$2503,'Companies'!$A$4:$A$63,'Holdings'!$L$4:$L$2503,"Yes",'Holdings'!$C$4:$C$2503,"&gt;0")&gt;0),'Companies'!$A$4:$A$63,"")))</f>
        <v/>
      </c>
      <c r="G1385" s="30">
        <f>IF(A1385="","",IF(COUNTIF('People'!$A$4:$A$1003,A1385)=0,"Email not on People",IF(COUNTIF('Holders'!$A$4:$A$1003,B1385)=0,"Unknown holder ID",IF(COUNTIFS($A$4:$A$1503,A1385,$B$4:$B$1503,B1385)&gt;1,"Duplicate link",IF(C1385="","Missing access","OK")))))</f>
        <v/>
      </c>
    </row>
    <row r="1386">
      <c r="A1386" s="26" t="n"/>
      <c r="B1386" s="26" t="n"/>
      <c r="C1386" s="26" t="n"/>
      <c r="D1386" s="26" t="n"/>
      <c r="E1386" s="30">
        <f>IF(B1386="","",IFERROR(INDEX('Holders'!$B$4:$B$1003,MATCH(B1386,'Holders'!$A$4:$A$1003,0)),""))</f>
        <v/>
      </c>
      <c r="F1386" s="30">
        <f t="array" ref="F1386">IF(B1386="","",_xlfn.TEXTJOIN(", ",TRUE,IF(('Companies'!$A$4:$A$63&lt;&gt;"")*(COUNTIFS('Holdings'!$A$4:$A$2503,B1386,'Holdings'!$J$4:$J$2503,'Companies'!$A$4:$A$63,'Holdings'!$L$4:$L$2503,"Yes",'Holdings'!$C$4:$C$2503,"&gt;0")&gt;0),'Companies'!$A$4:$A$63,"")))</f>
        <v/>
      </c>
      <c r="G1386" s="30">
        <f>IF(A1386="","",IF(COUNTIF('People'!$A$4:$A$1003,A1386)=0,"Email not on People",IF(COUNTIF('Holders'!$A$4:$A$1003,B1386)=0,"Unknown holder ID",IF(COUNTIFS($A$4:$A$1503,A1386,$B$4:$B$1503,B1386)&gt;1,"Duplicate link",IF(C1386="","Missing access","OK")))))</f>
        <v/>
      </c>
    </row>
    <row r="1387">
      <c r="A1387" s="26" t="n"/>
      <c r="B1387" s="26" t="n"/>
      <c r="C1387" s="26" t="n"/>
      <c r="D1387" s="26" t="n"/>
      <c r="E1387" s="30">
        <f>IF(B1387="","",IFERROR(INDEX('Holders'!$B$4:$B$1003,MATCH(B1387,'Holders'!$A$4:$A$1003,0)),""))</f>
        <v/>
      </c>
      <c r="F1387" s="30">
        <f t="array" ref="F1387">IF(B1387="","",_xlfn.TEXTJOIN(", ",TRUE,IF(('Companies'!$A$4:$A$63&lt;&gt;"")*(COUNTIFS('Holdings'!$A$4:$A$2503,B1387,'Holdings'!$J$4:$J$2503,'Companies'!$A$4:$A$63,'Holdings'!$L$4:$L$2503,"Yes",'Holdings'!$C$4:$C$2503,"&gt;0")&gt;0),'Companies'!$A$4:$A$63,"")))</f>
        <v/>
      </c>
      <c r="G1387" s="30">
        <f>IF(A1387="","",IF(COUNTIF('People'!$A$4:$A$1003,A1387)=0,"Email not on People",IF(COUNTIF('Holders'!$A$4:$A$1003,B1387)=0,"Unknown holder ID",IF(COUNTIFS($A$4:$A$1503,A1387,$B$4:$B$1503,B1387)&gt;1,"Duplicate link",IF(C1387="","Missing access","OK")))))</f>
        <v/>
      </c>
    </row>
    <row r="1388">
      <c r="A1388" s="26" t="n"/>
      <c r="B1388" s="26" t="n"/>
      <c r="C1388" s="26" t="n"/>
      <c r="D1388" s="26" t="n"/>
      <c r="E1388" s="30">
        <f>IF(B1388="","",IFERROR(INDEX('Holders'!$B$4:$B$1003,MATCH(B1388,'Holders'!$A$4:$A$1003,0)),""))</f>
        <v/>
      </c>
      <c r="F1388" s="30">
        <f t="array" ref="F1388">IF(B1388="","",_xlfn.TEXTJOIN(", ",TRUE,IF(('Companies'!$A$4:$A$63&lt;&gt;"")*(COUNTIFS('Holdings'!$A$4:$A$2503,B1388,'Holdings'!$J$4:$J$2503,'Companies'!$A$4:$A$63,'Holdings'!$L$4:$L$2503,"Yes",'Holdings'!$C$4:$C$2503,"&gt;0")&gt;0),'Companies'!$A$4:$A$63,"")))</f>
        <v/>
      </c>
      <c r="G1388" s="30">
        <f>IF(A1388="","",IF(COUNTIF('People'!$A$4:$A$1003,A1388)=0,"Email not on People",IF(COUNTIF('Holders'!$A$4:$A$1003,B1388)=0,"Unknown holder ID",IF(COUNTIFS($A$4:$A$1503,A1388,$B$4:$B$1503,B1388)&gt;1,"Duplicate link",IF(C1388="","Missing access","OK")))))</f>
        <v/>
      </c>
    </row>
    <row r="1389">
      <c r="A1389" s="26" t="n"/>
      <c r="B1389" s="26" t="n"/>
      <c r="C1389" s="26" t="n"/>
      <c r="D1389" s="26" t="n"/>
      <c r="E1389" s="30">
        <f>IF(B1389="","",IFERROR(INDEX('Holders'!$B$4:$B$1003,MATCH(B1389,'Holders'!$A$4:$A$1003,0)),""))</f>
        <v/>
      </c>
      <c r="F1389" s="30">
        <f t="array" ref="F1389">IF(B1389="","",_xlfn.TEXTJOIN(", ",TRUE,IF(('Companies'!$A$4:$A$63&lt;&gt;"")*(COUNTIFS('Holdings'!$A$4:$A$2503,B1389,'Holdings'!$J$4:$J$2503,'Companies'!$A$4:$A$63,'Holdings'!$L$4:$L$2503,"Yes",'Holdings'!$C$4:$C$2503,"&gt;0")&gt;0),'Companies'!$A$4:$A$63,"")))</f>
        <v/>
      </c>
      <c r="G1389" s="30">
        <f>IF(A1389="","",IF(COUNTIF('People'!$A$4:$A$1003,A1389)=0,"Email not on People",IF(COUNTIF('Holders'!$A$4:$A$1003,B1389)=0,"Unknown holder ID",IF(COUNTIFS($A$4:$A$1503,A1389,$B$4:$B$1503,B1389)&gt;1,"Duplicate link",IF(C1389="","Missing access","OK")))))</f>
        <v/>
      </c>
    </row>
    <row r="1390">
      <c r="A1390" s="26" t="n"/>
      <c r="B1390" s="26" t="n"/>
      <c r="C1390" s="26" t="n"/>
      <c r="D1390" s="26" t="n"/>
      <c r="E1390" s="30">
        <f>IF(B1390="","",IFERROR(INDEX('Holders'!$B$4:$B$1003,MATCH(B1390,'Holders'!$A$4:$A$1003,0)),""))</f>
        <v/>
      </c>
      <c r="F1390" s="30">
        <f t="array" ref="F1390">IF(B1390="","",_xlfn.TEXTJOIN(", ",TRUE,IF(('Companies'!$A$4:$A$63&lt;&gt;"")*(COUNTIFS('Holdings'!$A$4:$A$2503,B1390,'Holdings'!$J$4:$J$2503,'Companies'!$A$4:$A$63,'Holdings'!$L$4:$L$2503,"Yes",'Holdings'!$C$4:$C$2503,"&gt;0")&gt;0),'Companies'!$A$4:$A$63,"")))</f>
        <v/>
      </c>
      <c r="G1390" s="30">
        <f>IF(A1390="","",IF(COUNTIF('People'!$A$4:$A$1003,A1390)=0,"Email not on People",IF(COUNTIF('Holders'!$A$4:$A$1003,B1390)=0,"Unknown holder ID",IF(COUNTIFS($A$4:$A$1503,A1390,$B$4:$B$1503,B1390)&gt;1,"Duplicate link",IF(C1390="","Missing access","OK")))))</f>
        <v/>
      </c>
    </row>
    <row r="1391">
      <c r="A1391" s="26" t="n"/>
      <c r="B1391" s="26" t="n"/>
      <c r="C1391" s="26" t="n"/>
      <c r="D1391" s="26" t="n"/>
      <c r="E1391" s="30">
        <f>IF(B1391="","",IFERROR(INDEX('Holders'!$B$4:$B$1003,MATCH(B1391,'Holders'!$A$4:$A$1003,0)),""))</f>
        <v/>
      </c>
      <c r="F1391" s="30">
        <f t="array" ref="F1391">IF(B1391="","",_xlfn.TEXTJOIN(", ",TRUE,IF(('Companies'!$A$4:$A$63&lt;&gt;"")*(COUNTIFS('Holdings'!$A$4:$A$2503,B1391,'Holdings'!$J$4:$J$2503,'Companies'!$A$4:$A$63,'Holdings'!$L$4:$L$2503,"Yes",'Holdings'!$C$4:$C$2503,"&gt;0")&gt;0),'Companies'!$A$4:$A$63,"")))</f>
        <v/>
      </c>
      <c r="G1391" s="30">
        <f>IF(A1391="","",IF(COUNTIF('People'!$A$4:$A$1003,A1391)=0,"Email not on People",IF(COUNTIF('Holders'!$A$4:$A$1003,B1391)=0,"Unknown holder ID",IF(COUNTIFS($A$4:$A$1503,A1391,$B$4:$B$1503,B1391)&gt;1,"Duplicate link",IF(C1391="","Missing access","OK")))))</f>
        <v/>
      </c>
    </row>
    <row r="1392">
      <c r="A1392" s="26" t="n"/>
      <c r="B1392" s="26" t="n"/>
      <c r="C1392" s="26" t="n"/>
      <c r="D1392" s="26" t="n"/>
      <c r="E1392" s="30">
        <f>IF(B1392="","",IFERROR(INDEX('Holders'!$B$4:$B$1003,MATCH(B1392,'Holders'!$A$4:$A$1003,0)),""))</f>
        <v/>
      </c>
      <c r="F1392" s="30">
        <f t="array" ref="F1392">IF(B1392="","",_xlfn.TEXTJOIN(", ",TRUE,IF(('Companies'!$A$4:$A$63&lt;&gt;"")*(COUNTIFS('Holdings'!$A$4:$A$2503,B1392,'Holdings'!$J$4:$J$2503,'Companies'!$A$4:$A$63,'Holdings'!$L$4:$L$2503,"Yes",'Holdings'!$C$4:$C$2503,"&gt;0")&gt;0),'Companies'!$A$4:$A$63,"")))</f>
        <v/>
      </c>
      <c r="G1392" s="30">
        <f>IF(A1392="","",IF(COUNTIF('People'!$A$4:$A$1003,A1392)=0,"Email not on People",IF(COUNTIF('Holders'!$A$4:$A$1003,B1392)=0,"Unknown holder ID",IF(COUNTIFS($A$4:$A$1503,A1392,$B$4:$B$1503,B1392)&gt;1,"Duplicate link",IF(C1392="","Missing access","OK")))))</f>
        <v/>
      </c>
    </row>
    <row r="1393">
      <c r="A1393" s="26" t="n"/>
      <c r="B1393" s="26" t="n"/>
      <c r="C1393" s="26" t="n"/>
      <c r="D1393" s="26" t="n"/>
      <c r="E1393" s="30">
        <f>IF(B1393="","",IFERROR(INDEX('Holders'!$B$4:$B$1003,MATCH(B1393,'Holders'!$A$4:$A$1003,0)),""))</f>
        <v/>
      </c>
      <c r="F1393" s="30">
        <f t="array" ref="F1393">IF(B1393="","",_xlfn.TEXTJOIN(", ",TRUE,IF(('Companies'!$A$4:$A$63&lt;&gt;"")*(COUNTIFS('Holdings'!$A$4:$A$2503,B1393,'Holdings'!$J$4:$J$2503,'Companies'!$A$4:$A$63,'Holdings'!$L$4:$L$2503,"Yes",'Holdings'!$C$4:$C$2503,"&gt;0")&gt;0),'Companies'!$A$4:$A$63,"")))</f>
        <v/>
      </c>
      <c r="G1393" s="30">
        <f>IF(A1393="","",IF(COUNTIF('People'!$A$4:$A$1003,A1393)=0,"Email not on People",IF(COUNTIF('Holders'!$A$4:$A$1003,B1393)=0,"Unknown holder ID",IF(COUNTIFS($A$4:$A$1503,A1393,$B$4:$B$1503,B1393)&gt;1,"Duplicate link",IF(C1393="","Missing access","OK")))))</f>
        <v/>
      </c>
    </row>
    <row r="1394">
      <c r="A1394" s="26" t="n"/>
      <c r="B1394" s="26" t="n"/>
      <c r="C1394" s="26" t="n"/>
      <c r="D1394" s="26" t="n"/>
      <c r="E1394" s="30">
        <f>IF(B1394="","",IFERROR(INDEX('Holders'!$B$4:$B$1003,MATCH(B1394,'Holders'!$A$4:$A$1003,0)),""))</f>
        <v/>
      </c>
      <c r="F1394" s="30">
        <f t="array" ref="F1394">IF(B1394="","",_xlfn.TEXTJOIN(", ",TRUE,IF(('Companies'!$A$4:$A$63&lt;&gt;"")*(COUNTIFS('Holdings'!$A$4:$A$2503,B1394,'Holdings'!$J$4:$J$2503,'Companies'!$A$4:$A$63,'Holdings'!$L$4:$L$2503,"Yes",'Holdings'!$C$4:$C$2503,"&gt;0")&gt;0),'Companies'!$A$4:$A$63,"")))</f>
        <v/>
      </c>
      <c r="G1394" s="30">
        <f>IF(A1394="","",IF(COUNTIF('People'!$A$4:$A$1003,A1394)=0,"Email not on People",IF(COUNTIF('Holders'!$A$4:$A$1003,B1394)=0,"Unknown holder ID",IF(COUNTIFS($A$4:$A$1503,A1394,$B$4:$B$1503,B1394)&gt;1,"Duplicate link",IF(C1394="","Missing access","OK")))))</f>
        <v/>
      </c>
    </row>
    <row r="1395">
      <c r="A1395" s="26" t="n"/>
      <c r="B1395" s="26" t="n"/>
      <c r="C1395" s="26" t="n"/>
      <c r="D1395" s="26" t="n"/>
      <c r="E1395" s="30">
        <f>IF(B1395="","",IFERROR(INDEX('Holders'!$B$4:$B$1003,MATCH(B1395,'Holders'!$A$4:$A$1003,0)),""))</f>
        <v/>
      </c>
      <c r="F1395" s="30">
        <f t="array" ref="F1395">IF(B1395="","",_xlfn.TEXTJOIN(", ",TRUE,IF(('Companies'!$A$4:$A$63&lt;&gt;"")*(COUNTIFS('Holdings'!$A$4:$A$2503,B1395,'Holdings'!$J$4:$J$2503,'Companies'!$A$4:$A$63,'Holdings'!$L$4:$L$2503,"Yes",'Holdings'!$C$4:$C$2503,"&gt;0")&gt;0),'Companies'!$A$4:$A$63,"")))</f>
        <v/>
      </c>
      <c r="G1395" s="30">
        <f>IF(A1395="","",IF(COUNTIF('People'!$A$4:$A$1003,A1395)=0,"Email not on People",IF(COUNTIF('Holders'!$A$4:$A$1003,B1395)=0,"Unknown holder ID",IF(COUNTIFS($A$4:$A$1503,A1395,$B$4:$B$1503,B1395)&gt;1,"Duplicate link",IF(C1395="","Missing access","OK")))))</f>
        <v/>
      </c>
    </row>
    <row r="1396">
      <c r="A1396" s="26" t="n"/>
      <c r="B1396" s="26" t="n"/>
      <c r="C1396" s="26" t="n"/>
      <c r="D1396" s="26" t="n"/>
      <c r="E1396" s="30">
        <f>IF(B1396="","",IFERROR(INDEX('Holders'!$B$4:$B$1003,MATCH(B1396,'Holders'!$A$4:$A$1003,0)),""))</f>
        <v/>
      </c>
      <c r="F1396" s="30">
        <f t="array" ref="F1396">IF(B1396="","",_xlfn.TEXTJOIN(", ",TRUE,IF(('Companies'!$A$4:$A$63&lt;&gt;"")*(COUNTIFS('Holdings'!$A$4:$A$2503,B1396,'Holdings'!$J$4:$J$2503,'Companies'!$A$4:$A$63,'Holdings'!$L$4:$L$2503,"Yes",'Holdings'!$C$4:$C$2503,"&gt;0")&gt;0),'Companies'!$A$4:$A$63,"")))</f>
        <v/>
      </c>
      <c r="G1396" s="30">
        <f>IF(A1396="","",IF(COUNTIF('People'!$A$4:$A$1003,A1396)=0,"Email not on People",IF(COUNTIF('Holders'!$A$4:$A$1003,B1396)=0,"Unknown holder ID",IF(COUNTIFS($A$4:$A$1503,A1396,$B$4:$B$1503,B1396)&gt;1,"Duplicate link",IF(C1396="","Missing access","OK")))))</f>
        <v/>
      </c>
    </row>
    <row r="1397">
      <c r="A1397" s="26" t="n"/>
      <c r="B1397" s="26" t="n"/>
      <c r="C1397" s="26" t="n"/>
      <c r="D1397" s="26" t="n"/>
      <c r="E1397" s="30">
        <f>IF(B1397="","",IFERROR(INDEX('Holders'!$B$4:$B$1003,MATCH(B1397,'Holders'!$A$4:$A$1003,0)),""))</f>
        <v/>
      </c>
      <c r="F1397" s="30">
        <f t="array" ref="F1397">IF(B1397="","",_xlfn.TEXTJOIN(", ",TRUE,IF(('Companies'!$A$4:$A$63&lt;&gt;"")*(COUNTIFS('Holdings'!$A$4:$A$2503,B1397,'Holdings'!$J$4:$J$2503,'Companies'!$A$4:$A$63,'Holdings'!$L$4:$L$2503,"Yes",'Holdings'!$C$4:$C$2503,"&gt;0")&gt;0),'Companies'!$A$4:$A$63,"")))</f>
        <v/>
      </c>
      <c r="G1397" s="30">
        <f>IF(A1397="","",IF(COUNTIF('People'!$A$4:$A$1003,A1397)=0,"Email not on People",IF(COUNTIF('Holders'!$A$4:$A$1003,B1397)=0,"Unknown holder ID",IF(COUNTIFS($A$4:$A$1503,A1397,$B$4:$B$1503,B1397)&gt;1,"Duplicate link",IF(C1397="","Missing access","OK")))))</f>
        <v/>
      </c>
    </row>
    <row r="1398">
      <c r="A1398" s="26" t="n"/>
      <c r="B1398" s="26" t="n"/>
      <c r="C1398" s="26" t="n"/>
      <c r="D1398" s="26" t="n"/>
      <c r="E1398" s="30">
        <f>IF(B1398="","",IFERROR(INDEX('Holders'!$B$4:$B$1003,MATCH(B1398,'Holders'!$A$4:$A$1003,0)),""))</f>
        <v/>
      </c>
      <c r="F1398" s="30">
        <f t="array" ref="F1398">IF(B1398="","",_xlfn.TEXTJOIN(", ",TRUE,IF(('Companies'!$A$4:$A$63&lt;&gt;"")*(COUNTIFS('Holdings'!$A$4:$A$2503,B1398,'Holdings'!$J$4:$J$2503,'Companies'!$A$4:$A$63,'Holdings'!$L$4:$L$2503,"Yes",'Holdings'!$C$4:$C$2503,"&gt;0")&gt;0),'Companies'!$A$4:$A$63,"")))</f>
        <v/>
      </c>
      <c r="G1398" s="30">
        <f>IF(A1398="","",IF(COUNTIF('People'!$A$4:$A$1003,A1398)=0,"Email not on People",IF(COUNTIF('Holders'!$A$4:$A$1003,B1398)=0,"Unknown holder ID",IF(COUNTIFS($A$4:$A$1503,A1398,$B$4:$B$1503,B1398)&gt;1,"Duplicate link",IF(C1398="","Missing access","OK")))))</f>
        <v/>
      </c>
    </row>
    <row r="1399">
      <c r="A1399" s="26" t="n"/>
      <c r="B1399" s="26" t="n"/>
      <c r="C1399" s="26" t="n"/>
      <c r="D1399" s="26" t="n"/>
      <c r="E1399" s="30">
        <f>IF(B1399="","",IFERROR(INDEX('Holders'!$B$4:$B$1003,MATCH(B1399,'Holders'!$A$4:$A$1003,0)),""))</f>
        <v/>
      </c>
      <c r="F1399" s="30">
        <f t="array" ref="F1399">IF(B1399="","",_xlfn.TEXTJOIN(", ",TRUE,IF(('Companies'!$A$4:$A$63&lt;&gt;"")*(COUNTIFS('Holdings'!$A$4:$A$2503,B1399,'Holdings'!$J$4:$J$2503,'Companies'!$A$4:$A$63,'Holdings'!$L$4:$L$2503,"Yes",'Holdings'!$C$4:$C$2503,"&gt;0")&gt;0),'Companies'!$A$4:$A$63,"")))</f>
        <v/>
      </c>
      <c r="G1399" s="30">
        <f>IF(A1399="","",IF(COUNTIF('People'!$A$4:$A$1003,A1399)=0,"Email not on People",IF(COUNTIF('Holders'!$A$4:$A$1003,B1399)=0,"Unknown holder ID",IF(COUNTIFS($A$4:$A$1503,A1399,$B$4:$B$1503,B1399)&gt;1,"Duplicate link",IF(C1399="","Missing access","OK")))))</f>
        <v/>
      </c>
    </row>
    <row r="1400">
      <c r="A1400" s="26" t="n"/>
      <c r="B1400" s="26" t="n"/>
      <c r="C1400" s="26" t="n"/>
      <c r="D1400" s="26" t="n"/>
      <c r="E1400" s="30">
        <f>IF(B1400="","",IFERROR(INDEX('Holders'!$B$4:$B$1003,MATCH(B1400,'Holders'!$A$4:$A$1003,0)),""))</f>
        <v/>
      </c>
      <c r="F1400" s="30">
        <f t="array" ref="F1400">IF(B1400="","",_xlfn.TEXTJOIN(", ",TRUE,IF(('Companies'!$A$4:$A$63&lt;&gt;"")*(COUNTIFS('Holdings'!$A$4:$A$2503,B1400,'Holdings'!$J$4:$J$2503,'Companies'!$A$4:$A$63,'Holdings'!$L$4:$L$2503,"Yes",'Holdings'!$C$4:$C$2503,"&gt;0")&gt;0),'Companies'!$A$4:$A$63,"")))</f>
        <v/>
      </c>
      <c r="G1400" s="30">
        <f>IF(A1400="","",IF(COUNTIF('People'!$A$4:$A$1003,A1400)=0,"Email not on People",IF(COUNTIF('Holders'!$A$4:$A$1003,B1400)=0,"Unknown holder ID",IF(COUNTIFS($A$4:$A$1503,A1400,$B$4:$B$1503,B1400)&gt;1,"Duplicate link",IF(C1400="","Missing access","OK")))))</f>
        <v/>
      </c>
    </row>
    <row r="1401">
      <c r="A1401" s="26" t="n"/>
      <c r="B1401" s="26" t="n"/>
      <c r="C1401" s="26" t="n"/>
      <c r="D1401" s="26" t="n"/>
      <c r="E1401" s="30">
        <f>IF(B1401="","",IFERROR(INDEX('Holders'!$B$4:$B$1003,MATCH(B1401,'Holders'!$A$4:$A$1003,0)),""))</f>
        <v/>
      </c>
      <c r="F1401" s="30">
        <f t="array" ref="F1401">IF(B1401="","",_xlfn.TEXTJOIN(", ",TRUE,IF(('Companies'!$A$4:$A$63&lt;&gt;"")*(COUNTIFS('Holdings'!$A$4:$A$2503,B1401,'Holdings'!$J$4:$J$2503,'Companies'!$A$4:$A$63,'Holdings'!$L$4:$L$2503,"Yes",'Holdings'!$C$4:$C$2503,"&gt;0")&gt;0),'Companies'!$A$4:$A$63,"")))</f>
        <v/>
      </c>
      <c r="G1401" s="30">
        <f>IF(A1401="","",IF(COUNTIF('People'!$A$4:$A$1003,A1401)=0,"Email not on People",IF(COUNTIF('Holders'!$A$4:$A$1003,B1401)=0,"Unknown holder ID",IF(COUNTIFS($A$4:$A$1503,A1401,$B$4:$B$1503,B1401)&gt;1,"Duplicate link",IF(C1401="","Missing access","OK")))))</f>
        <v/>
      </c>
    </row>
    <row r="1402">
      <c r="A1402" s="26" t="n"/>
      <c r="B1402" s="26" t="n"/>
      <c r="C1402" s="26" t="n"/>
      <c r="D1402" s="26" t="n"/>
      <c r="E1402" s="30">
        <f>IF(B1402="","",IFERROR(INDEX('Holders'!$B$4:$B$1003,MATCH(B1402,'Holders'!$A$4:$A$1003,0)),""))</f>
        <v/>
      </c>
      <c r="F1402" s="30">
        <f t="array" ref="F1402">IF(B1402="","",_xlfn.TEXTJOIN(", ",TRUE,IF(('Companies'!$A$4:$A$63&lt;&gt;"")*(COUNTIFS('Holdings'!$A$4:$A$2503,B1402,'Holdings'!$J$4:$J$2503,'Companies'!$A$4:$A$63,'Holdings'!$L$4:$L$2503,"Yes",'Holdings'!$C$4:$C$2503,"&gt;0")&gt;0),'Companies'!$A$4:$A$63,"")))</f>
        <v/>
      </c>
      <c r="G1402" s="30">
        <f>IF(A1402="","",IF(COUNTIF('People'!$A$4:$A$1003,A1402)=0,"Email not on People",IF(COUNTIF('Holders'!$A$4:$A$1003,B1402)=0,"Unknown holder ID",IF(COUNTIFS($A$4:$A$1503,A1402,$B$4:$B$1503,B1402)&gt;1,"Duplicate link",IF(C1402="","Missing access","OK")))))</f>
        <v/>
      </c>
    </row>
    <row r="1403">
      <c r="A1403" s="26" t="n"/>
      <c r="B1403" s="26" t="n"/>
      <c r="C1403" s="26" t="n"/>
      <c r="D1403" s="26" t="n"/>
      <c r="E1403" s="30">
        <f>IF(B1403="","",IFERROR(INDEX('Holders'!$B$4:$B$1003,MATCH(B1403,'Holders'!$A$4:$A$1003,0)),""))</f>
        <v/>
      </c>
      <c r="F1403" s="30">
        <f t="array" ref="F1403">IF(B1403="","",_xlfn.TEXTJOIN(", ",TRUE,IF(('Companies'!$A$4:$A$63&lt;&gt;"")*(COUNTIFS('Holdings'!$A$4:$A$2503,B1403,'Holdings'!$J$4:$J$2503,'Companies'!$A$4:$A$63,'Holdings'!$L$4:$L$2503,"Yes",'Holdings'!$C$4:$C$2503,"&gt;0")&gt;0),'Companies'!$A$4:$A$63,"")))</f>
        <v/>
      </c>
      <c r="G1403" s="30">
        <f>IF(A1403="","",IF(COUNTIF('People'!$A$4:$A$1003,A1403)=0,"Email not on People",IF(COUNTIF('Holders'!$A$4:$A$1003,B1403)=0,"Unknown holder ID",IF(COUNTIFS($A$4:$A$1503,A1403,$B$4:$B$1503,B1403)&gt;1,"Duplicate link",IF(C1403="","Missing access","OK")))))</f>
        <v/>
      </c>
    </row>
    <row r="1404">
      <c r="A1404" s="26" t="n"/>
      <c r="B1404" s="26" t="n"/>
      <c r="C1404" s="26" t="n"/>
      <c r="D1404" s="26" t="n"/>
      <c r="E1404" s="30">
        <f>IF(B1404="","",IFERROR(INDEX('Holders'!$B$4:$B$1003,MATCH(B1404,'Holders'!$A$4:$A$1003,0)),""))</f>
        <v/>
      </c>
      <c r="F1404" s="30">
        <f t="array" ref="F1404">IF(B1404="","",_xlfn.TEXTJOIN(", ",TRUE,IF(('Companies'!$A$4:$A$63&lt;&gt;"")*(COUNTIFS('Holdings'!$A$4:$A$2503,B1404,'Holdings'!$J$4:$J$2503,'Companies'!$A$4:$A$63,'Holdings'!$L$4:$L$2503,"Yes",'Holdings'!$C$4:$C$2503,"&gt;0")&gt;0),'Companies'!$A$4:$A$63,"")))</f>
        <v/>
      </c>
      <c r="G1404" s="30">
        <f>IF(A1404="","",IF(COUNTIF('People'!$A$4:$A$1003,A1404)=0,"Email not on People",IF(COUNTIF('Holders'!$A$4:$A$1003,B1404)=0,"Unknown holder ID",IF(COUNTIFS($A$4:$A$1503,A1404,$B$4:$B$1503,B1404)&gt;1,"Duplicate link",IF(C1404="","Missing access","OK")))))</f>
        <v/>
      </c>
    </row>
    <row r="1405">
      <c r="A1405" s="26" t="n"/>
      <c r="B1405" s="26" t="n"/>
      <c r="C1405" s="26" t="n"/>
      <c r="D1405" s="26" t="n"/>
      <c r="E1405" s="30">
        <f>IF(B1405="","",IFERROR(INDEX('Holders'!$B$4:$B$1003,MATCH(B1405,'Holders'!$A$4:$A$1003,0)),""))</f>
        <v/>
      </c>
      <c r="F1405" s="30">
        <f t="array" ref="F1405">IF(B1405="","",_xlfn.TEXTJOIN(", ",TRUE,IF(('Companies'!$A$4:$A$63&lt;&gt;"")*(COUNTIFS('Holdings'!$A$4:$A$2503,B1405,'Holdings'!$J$4:$J$2503,'Companies'!$A$4:$A$63,'Holdings'!$L$4:$L$2503,"Yes",'Holdings'!$C$4:$C$2503,"&gt;0")&gt;0),'Companies'!$A$4:$A$63,"")))</f>
        <v/>
      </c>
      <c r="G1405" s="30">
        <f>IF(A1405="","",IF(COUNTIF('People'!$A$4:$A$1003,A1405)=0,"Email not on People",IF(COUNTIF('Holders'!$A$4:$A$1003,B1405)=0,"Unknown holder ID",IF(COUNTIFS($A$4:$A$1503,A1405,$B$4:$B$1503,B1405)&gt;1,"Duplicate link",IF(C1405="","Missing access","OK")))))</f>
        <v/>
      </c>
    </row>
    <row r="1406">
      <c r="A1406" s="26" t="n"/>
      <c r="B1406" s="26" t="n"/>
      <c r="C1406" s="26" t="n"/>
      <c r="D1406" s="26" t="n"/>
      <c r="E1406" s="30">
        <f>IF(B1406="","",IFERROR(INDEX('Holders'!$B$4:$B$1003,MATCH(B1406,'Holders'!$A$4:$A$1003,0)),""))</f>
        <v/>
      </c>
      <c r="F1406" s="30">
        <f t="array" ref="F1406">IF(B1406="","",_xlfn.TEXTJOIN(", ",TRUE,IF(('Companies'!$A$4:$A$63&lt;&gt;"")*(COUNTIFS('Holdings'!$A$4:$A$2503,B1406,'Holdings'!$J$4:$J$2503,'Companies'!$A$4:$A$63,'Holdings'!$L$4:$L$2503,"Yes",'Holdings'!$C$4:$C$2503,"&gt;0")&gt;0),'Companies'!$A$4:$A$63,"")))</f>
        <v/>
      </c>
      <c r="G1406" s="30">
        <f>IF(A1406="","",IF(COUNTIF('People'!$A$4:$A$1003,A1406)=0,"Email not on People",IF(COUNTIF('Holders'!$A$4:$A$1003,B1406)=0,"Unknown holder ID",IF(COUNTIFS($A$4:$A$1503,A1406,$B$4:$B$1503,B1406)&gt;1,"Duplicate link",IF(C1406="","Missing access","OK")))))</f>
        <v/>
      </c>
    </row>
    <row r="1407">
      <c r="A1407" s="26" t="n"/>
      <c r="B1407" s="26" t="n"/>
      <c r="C1407" s="26" t="n"/>
      <c r="D1407" s="26" t="n"/>
      <c r="E1407" s="30">
        <f>IF(B1407="","",IFERROR(INDEX('Holders'!$B$4:$B$1003,MATCH(B1407,'Holders'!$A$4:$A$1003,0)),""))</f>
        <v/>
      </c>
      <c r="F1407" s="30">
        <f t="array" ref="F1407">IF(B1407="","",_xlfn.TEXTJOIN(", ",TRUE,IF(('Companies'!$A$4:$A$63&lt;&gt;"")*(COUNTIFS('Holdings'!$A$4:$A$2503,B1407,'Holdings'!$J$4:$J$2503,'Companies'!$A$4:$A$63,'Holdings'!$L$4:$L$2503,"Yes",'Holdings'!$C$4:$C$2503,"&gt;0")&gt;0),'Companies'!$A$4:$A$63,"")))</f>
        <v/>
      </c>
      <c r="G1407" s="30">
        <f>IF(A1407="","",IF(COUNTIF('People'!$A$4:$A$1003,A1407)=0,"Email not on People",IF(COUNTIF('Holders'!$A$4:$A$1003,B1407)=0,"Unknown holder ID",IF(COUNTIFS($A$4:$A$1503,A1407,$B$4:$B$1503,B1407)&gt;1,"Duplicate link",IF(C1407="","Missing access","OK")))))</f>
        <v/>
      </c>
    </row>
    <row r="1408">
      <c r="A1408" s="26" t="n"/>
      <c r="B1408" s="26" t="n"/>
      <c r="C1408" s="26" t="n"/>
      <c r="D1408" s="26" t="n"/>
      <c r="E1408" s="30">
        <f>IF(B1408="","",IFERROR(INDEX('Holders'!$B$4:$B$1003,MATCH(B1408,'Holders'!$A$4:$A$1003,0)),""))</f>
        <v/>
      </c>
      <c r="F1408" s="30">
        <f t="array" ref="F1408">IF(B1408="","",_xlfn.TEXTJOIN(", ",TRUE,IF(('Companies'!$A$4:$A$63&lt;&gt;"")*(COUNTIFS('Holdings'!$A$4:$A$2503,B1408,'Holdings'!$J$4:$J$2503,'Companies'!$A$4:$A$63,'Holdings'!$L$4:$L$2503,"Yes",'Holdings'!$C$4:$C$2503,"&gt;0")&gt;0),'Companies'!$A$4:$A$63,"")))</f>
        <v/>
      </c>
      <c r="G1408" s="30">
        <f>IF(A1408="","",IF(COUNTIF('People'!$A$4:$A$1003,A1408)=0,"Email not on People",IF(COUNTIF('Holders'!$A$4:$A$1003,B1408)=0,"Unknown holder ID",IF(COUNTIFS($A$4:$A$1503,A1408,$B$4:$B$1503,B1408)&gt;1,"Duplicate link",IF(C1408="","Missing access","OK")))))</f>
        <v/>
      </c>
    </row>
    <row r="1409">
      <c r="A1409" s="26" t="n"/>
      <c r="B1409" s="26" t="n"/>
      <c r="C1409" s="26" t="n"/>
      <c r="D1409" s="26" t="n"/>
      <c r="E1409" s="30">
        <f>IF(B1409="","",IFERROR(INDEX('Holders'!$B$4:$B$1003,MATCH(B1409,'Holders'!$A$4:$A$1003,0)),""))</f>
        <v/>
      </c>
      <c r="F1409" s="30">
        <f t="array" ref="F1409">IF(B1409="","",_xlfn.TEXTJOIN(", ",TRUE,IF(('Companies'!$A$4:$A$63&lt;&gt;"")*(COUNTIFS('Holdings'!$A$4:$A$2503,B1409,'Holdings'!$J$4:$J$2503,'Companies'!$A$4:$A$63,'Holdings'!$L$4:$L$2503,"Yes",'Holdings'!$C$4:$C$2503,"&gt;0")&gt;0),'Companies'!$A$4:$A$63,"")))</f>
        <v/>
      </c>
      <c r="G1409" s="30">
        <f>IF(A1409="","",IF(COUNTIF('People'!$A$4:$A$1003,A1409)=0,"Email not on People",IF(COUNTIF('Holders'!$A$4:$A$1003,B1409)=0,"Unknown holder ID",IF(COUNTIFS($A$4:$A$1503,A1409,$B$4:$B$1503,B1409)&gt;1,"Duplicate link",IF(C1409="","Missing access","OK")))))</f>
        <v/>
      </c>
    </row>
    <row r="1410">
      <c r="A1410" s="26" t="n"/>
      <c r="B1410" s="26" t="n"/>
      <c r="C1410" s="26" t="n"/>
      <c r="D1410" s="26" t="n"/>
      <c r="E1410" s="30">
        <f>IF(B1410="","",IFERROR(INDEX('Holders'!$B$4:$B$1003,MATCH(B1410,'Holders'!$A$4:$A$1003,0)),""))</f>
        <v/>
      </c>
      <c r="F1410" s="30">
        <f t="array" ref="F1410">IF(B1410="","",_xlfn.TEXTJOIN(", ",TRUE,IF(('Companies'!$A$4:$A$63&lt;&gt;"")*(COUNTIFS('Holdings'!$A$4:$A$2503,B1410,'Holdings'!$J$4:$J$2503,'Companies'!$A$4:$A$63,'Holdings'!$L$4:$L$2503,"Yes",'Holdings'!$C$4:$C$2503,"&gt;0")&gt;0),'Companies'!$A$4:$A$63,"")))</f>
        <v/>
      </c>
      <c r="G1410" s="30">
        <f>IF(A1410="","",IF(COUNTIF('People'!$A$4:$A$1003,A1410)=0,"Email not on People",IF(COUNTIF('Holders'!$A$4:$A$1003,B1410)=0,"Unknown holder ID",IF(COUNTIFS($A$4:$A$1503,A1410,$B$4:$B$1503,B1410)&gt;1,"Duplicate link",IF(C1410="","Missing access","OK")))))</f>
        <v/>
      </c>
    </row>
    <row r="1411">
      <c r="A1411" s="26" t="n"/>
      <c r="B1411" s="26" t="n"/>
      <c r="C1411" s="26" t="n"/>
      <c r="D1411" s="26" t="n"/>
      <c r="E1411" s="30">
        <f>IF(B1411="","",IFERROR(INDEX('Holders'!$B$4:$B$1003,MATCH(B1411,'Holders'!$A$4:$A$1003,0)),""))</f>
        <v/>
      </c>
      <c r="F1411" s="30">
        <f t="array" ref="F1411">IF(B1411="","",_xlfn.TEXTJOIN(", ",TRUE,IF(('Companies'!$A$4:$A$63&lt;&gt;"")*(COUNTIFS('Holdings'!$A$4:$A$2503,B1411,'Holdings'!$J$4:$J$2503,'Companies'!$A$4:$A$63,'Holdings'!$L$4:$L$2503,"Yes",'Holdings'!$C$4:$C$2503,"&gt;0")&gt;0),'Companies'!$A$4:$A$63,"")))</f>
        <v/>
      </c>
      <c r="G1411" s="30">
        <f>IF(A1411="","",IF(COUNTIF('People'!$A$4:$A$1003,A1411)=0,"Email not on People",IF(COUNTIF('Holders'!$A$4:$A$1003,B1411)=0,"Unknown holder ID",IF(COUNTIFS($A$4:$A$1503,A1411,$B$4:$B$1503,B1411)&gt;1,"Duplicate link",IF(C1411="","Missing access","OK")))))</f>
        <v/>
      </c>
    </row>
    <row r="1412">
      <c r="A1412" s="26" t="n"/>
      <c r="B1412" s="26" t="n"/>
      <c r="C1412" s="26" t="n"/>
      <c r="D1412" s="26" t="n"/>
      <c r="E1412" s="30">
        <f>IF(B1412="","",IFERROR(INDEX('Holders'!$B$4:$B$1003,MATCH(B1412,'Holders'!$A$4:$A$1003,0)),""))</f>
        <v/>
      </c>
      <c r="F1412" s="30">
        <f t="array" ref="F1412">IF(B1412="","",_xlfn.TEXTJOIN(", ",TRUE,IF(('Companies'!$A$4:$A$63&lt;&gt;"")*(COUNTIFS('Holdings'!$A$4:$A$2503,B1412,'Holdings'!$J$4:$J$2503,'Companies'!$A$4:$A$63,'Holdings'!$L$4:$L$2503,"Yes",'Holdings'!$C$4:$C$2503,"&gt;0")&gt;0),'Companies'!$A$4:$A$63,"")))</f>
        <v/>
      </c>
      <c r="G1412" s="30">
        <f>IF(A1412="","",IF(COUNTIF('People'!$A$4:$A$1003,A1412)=0,"Email not on People",IF(COUNTIF('Holders'!$A$4:$A$1003,B1412)=0,"Unknown holder ID",IF(COUNTIFS($A$4:$A$1503,A1412,$B$4:$B$1503,B1412)&gt;1,"Duplicate link",IF(C1412="","Missing access","OK")))))</f>
        <v/>
      </c>
    </row>
    <row r="1413">
      <c r="A1413" s="26" t="n"/>
      <c r="B1413" s="26" t="n"/>
      <c r="C1413" s="26" t="n"/>
      <c r="D1413" s="26" t="n"/>
      <c r="E1413" s="30">
        <f>IF(B1413="","",IFERROR(INDEX('Holders'!$B$4:$B$1003,MATCH(B1413,'Holders'!$A$4:$A$1003,0)),""))</f>
        <v/>
      </c>
      <c r="F1413" s="30">
        <f t="array" ref="F1413">IF(B1413="","",_xlfn.TEXTJOIN(", ",TRUE,IF(('Companies'!$A$4:$A$63&lt;&gt;"")*(COUNTIFS('Holdings'!$A$4:$A$2503,B1413,'Holdings'!$J$4:$J$2503,'Companies'!$A$4:$A$63,'Holdings'!$L$4:$L$2503,"Yes",'Holdings'!$C$4:$C$2503,"&gt;0")&gt;0),'Companies'!$A$4:$A$63,"")))</f>
        <v/>
      </c>
      <c r="G1413" s="30">
        <f>IF(A1413="","",IF(COUNTIF('People'!$A$4:$A$1003,A1413)=0,"Email not on People",IF(COUNTIF('Holders'!$A$4:$A$1003,B1413)=0,"Unknown holder ID",IF(COUNTIFS($A$4:$A$1503,A1413,$B$4:$B$1503,B1413)&gt;1,"Duplicate link",IF(C1413="","Missing access","OK")))))</f>
        <v/>
      </c>
    </row>
    <row r="1414">
      <c r="A1414" s="26" t="n"/>
      <c r="B1414" s="26" t="n"/>
      <c r="C1414" s="26" t="n"/>
      <c r="D1414" s="26" t="n"/>
      <c r="E1414" s="30">
        <f>IF(B1414="","",IFERROR(INDEX('Holders'!$B$4:$B$1003,MATCH(B1414,'Holders'!$A$4:$A$1003,0)),""))</f>
        <v/>
      </c>
      <c r="F1414" s="30">
        <f t="array" ref="F1414">IF(B1414="","",_xlfn.TEXTJOIN(", ",TRUE,IF(('Companies'!$A$4:$A$63&lt;&gt;"")*(COUNTIFS('Holdings'!$A$4:$A$2503,B1414,'Holdings'!$J$4:$J$2503,'Companies'!$A$4:$A$63,'Holdings'!$L$4:$L$2503,"Yes",'Holdings'!$C$4:$C$2503,"&gt;0")&gt;0),'Companies'!$A$4:$A$63,"")))</f>
        <v/>
      </c>
      <c r="G1414" s="30">
        <f>IF(A1414="","",IF(COUNTIF('People'!$A$4:$A$1003,A1414)=0,"Email not on People",IF(COUNTIF('Holders'!$A$4:$A$1003,B1414)=0,"Unknown holder ID",IF(COUNTIFS($A$4:$A$1503,A1414,$B$4:$B$1503,B1414)&gt;1,"Duplicate link",IF(C1414="","Missing access","OK")))))</f>
        <v/>
      </c>
    </row>
    <row r="1415">
      <c r="A1415" s="26" t="n"/>
      <c r="B1415" s="26" t="n"/>
      <c r="C1415" s="26" t="n"/>
      <c r="D1415" s="26" t="n"/>
      <c r="E1415" s="30">
        <f>IF(B1415="","",IFERROR(INDEX('Holders'!$B$4:$B$1003,MATCH(B1415,'Holders'!$A$4:$A$1003,0)),""))</f>
        <v/>
      </c>
      <c r="F1415" s="30">
        <f t="array" ref="F1415">IF(B1415="","",_xlfn.TEXTJOIN(", ",TRUE,IF(('Companies'!$A$4:$A$63&lt;&gt;"")*(COUNTIFS('Holdings'!$A$4:$A$2503,B1415,'Holdings'!$J$4:$J$2503,'Companies'!$A$4:$A$63,'Holdings'!$L$4:$L$2503,"Yes",'Holdings'!$C$4:$C$2503,"&gt;0")&gt;0),'Companies'!$A$4:$A$63,"")))</f>
        <v/>
      </c>
      <c r="G1415" s="30">
        <f>IF(A1415="","",IF(COUNTIF('People'!$A$4:$A$1003,A1415)=0,"Email not on People",IF(COUNTIF('Holders'!$A$4:$A$1003,B1415)=0,"Unknown holder ID",IF(COUNTIFS($A$4:$A$1503,A1415,$B$4:$B$1503,B1415)&gt;1,"Duplicate link",IF(C1415="","Missing access","OK")))))</f>
        <v/>
      </c>
    </row>
    <row r="1416">
      <c r="A1416" s="26" t="n"/>
      <c r="B1416" s="26" t="n"/>
      <c r="C1416" s="26" t="n"/>
      <c r="D1416" s="26" t="n"/>
      <c r="E1416" s="30">
        <f>IF(B1416="","",IFERROR(INDEX('Holders'!$B$4:$B$1003,MATCH(B1416,'Holders'!$A$4:$A$1003,0)),""))</f>
        <v/>
      </c>
      <c r="F1416" s="30">
        <f t="array" ref="F1416">IF(B1416="","",_xlfn.TEXTJOIN(", ",TRUE,IF(('Companies'!$A$4:$A$63&lt;&gt;"")*(COUNTIFS('Holdings'!$A$4:$A$2503,B1416,'Holdings'!$J$4:$J$2503,'Companies'!$A$4:$A$63,'Holdings'!$L$4:$L$2503,"Yes",'Holdings'!$C$4:$C$2503,"&gt;0")&gt;0),'Companies'!$A$4:$A$63,"")))</f>
        <v/>
      </c>
      <c r="G1416" s="30">
        <f>IF(A1416="","",IF(COUNTIF('People'!$A$4:$A$1003,A1416)=0,"Email not on People",IF(COUNTIF('Holders'!$A$4:$A$1003,B1416)=0,"Unknown holder ID",IF(COUNTIFS($A$4:$A$1503,A1416,$B$4:$B$1503,B1416)&gt;1,"Duplicate link",IF(C1416="","Missing access","OK")))))</f>
        <v/>
      </c>
    </row>
    <row r="1417">
      <c r="A1417" s="26" t="n"/>
      <c r="B1417" s="26" t="n"/>
      <c r="C1417" s="26" t="n"/>
      <c r="D1417" s="26" t="n"/>
      <c r="E1417" s="30">
        <f>IF(B1417="","",IFERROR(INDEX('Holders'!$B$4:$B$1003,MATCH(B1417,'Holders'!$A$4:$A$1003,0)),""))</f>
        <v/>
      </c>
      <c r="F1417" s="30">
        <f t="array" ref="F1417">IF(B1417="","",_xlfn.TEXTJOIN(", ",TRUE,IF(('Companies'!$A$4:$A$63&lt;&gt;"")*(COUNTIFS('Holdings'!$A$4:$A$2503,B1417,'Holdings'!$J$4:$J$2503,'Companies'!$A$4:$A$63,'Holdings'!$L$4:$L$2503,"Yes",'Holdings'!$C$4:$C$2503,"&gt;0")&gt;0),'Companies'!$A$4:$A$63,"")))</f>
        <v/>
      </c>
      <c r="G1417" s="30">
        <f>IF(A1417="","",IF(COUNTIF('People'!$A$4:$A$1003,A1417)=0,"Email not on People",IF(COUNTIF('Holders'!$A$4:$A$1003,B1417)=0,"Unknown holder ID",IF(COUNTIFS($A$4:$A$1503,A1417,$B$4:$B$1503,B1417)&gt;1,"Duplicate link",IF(C1417="","Missing access","OK")))))</f>
        <v/>
      </c>
    </row>
    <row r="1418">
      <c r="A1418" s="26" t="n"/>
      <c r="B1418" s="26" t="n"/>
      <c r="C1418" s="26" t="n"/>
      <c r="D1418" s="26" t="n"/>
      <c r="E1418" s="30">
        <f>IF(B1418="","",IFERROR(INDEX('Holders'!$B$4:$B$1003,MATCH(B1418,'Holders'!$A$4:$A$1003,0)),""))</f>
        <v/>
      </c>
      <c r="F1418" s="30">
        <f t="array" ref="F1418">IF(B1418="","",_xlfn.TEXTJOIN(", ",TRUE,IF(('Companies'!$A$4:$A$63&lt;&gt;"")*(COUNTIFS('Holdings'!$A$4:$A$2503,B1418,'Holdings'!$J$4:$J$2503,'Companies'!$A$4:$A$63,'Holdings'!$L$4:$L$2503,"Yes",'Holdings'!$C$4:$C$2503,"&gt;0")&gt;0),'Companies'!$A$4:$A$63,"")))</f>
        <v/>
      </c>
      <c r="G1418" s="30">
        <f>IF(A1418="","",IF(COUNTIF('People'!$A$4:$A$1003,A1418)=0,"Email not on People",IF(COUNTIF('Holders'!$A$4:$A$1003,B1418)=0,"Unknown holder ID",IF(COUNTIFS($A$4:$A$1503,A1418,$B$4:$B$1503,B1418)&gt;1,"Duplicate link",IF(C1418="","Missing access","OK")))))</f>
        <v/>
      </c>
    </row>
    <row r="1419">
      <c r="A1419" s="26" t="n"/>
      <c r="B1419" s="26" t="n"/>
      <c r="C1419" s="26" t="n"/>
      <c r="D1419" s="26" t="n"/>
      <c r="E1419" s="30">
        <f>IF(B1419="","",IFERROR(INDEX('Holders'!$B$4:$B$1003,MATCH(B1419,'Holders'!$A$4:$A$1003,0)),""))</f>
        <v/>
      </c>
      <c r="F1419" s="30">
        <f t="array" ref="F1419">IF(B1419="","",_xlfn.TEXTJOIN(", ",TRUE,IF(('Companies'!$A$4:$A$63&lt;&gt;"")*(COUNTIFS('Holdings'!$A$4:$A$2503,B1419,'Holdings'!$J$4:$J$2503,'Companies'!$A$4:$A$63,'Holdings'!$L$4:$L$2503,"Yes",'Holdings'!$C$4:$C$2503,"&gt;0")&gt;0),'Companies'!$A$4:$A$63,"")))</f>
        <v/>
      </c>
      <c r="G1419" s="30">
        <f>IF(A1419="","",IF(COUNTIF('People'!$A$4:$A$1003,A1419)=0,"Email not on People",IF(COUNTIF('Holders'!$A$4:$A$1003,B1419)=0,"Unknown holder ID",IF(COUNTIFS($A$4:$A$1503,A1419,$B$4:$B$1503,B1419)&gt;1,"Duplicate link",IF(C1419="","Missing access","OK")))))</f>
        <v/>
      </c>
    </row>
    <row r="1420">
      <c r="A1420" s="26" t="n"/>
      <c r="B1420" s="26" t="n"/>
      <c r="C1420" s="26" t="n"/>
      <c r="D1420" s="26" t="n"/>
      <c r="E1420" s="30">
        <f>IF(B1420="","",IFERROR(INDEX('Holders'!$B$4:$B$1003,MATCH(B1420,'Holders'!$A$4:$A$1003,0)),""))</f>
        <v/>
      </c>
      <c r="F1420" s="30">
        <f t="array" ref="F1420">IF(B1420="","",_xlfn.TEXTJOIN(", ",TRUE,IF(('Companies'!$A$4:$A$63&lt;&gt;"")*(COUNTIFS('Holdings'!$A$4:$A$2503,B1420,'Holdings'!$J$4:$J$2503,'Companies'!$A$4:$A$63,'Holdings'!$L$4:$L$2503,"Yes",'Holdings'!$C$4:$C$2503,"&gt;0")&gt;0),'Companies'!$A$4:$A$63,"")))</f>
        <v/>
      </c>
      <c r="G1420" s="30">
        <f>IF(A1420="","",IF(COUNTIF('People'!$A$4:$A$1003,A1420)=0,"Email not on People",IF(COUNTIF('Holders'!$A$4:$A$1003,B1420)=0,"Unknown holder ID",IF(COUNTIFS($A$4:$A$1503,A1420,$B$4:$B$1503,B1420)&gt;1,"Duplicate link",IF(C1420="","Missing access","OK")))))</f>
        <v/>
      </c>
    </row>
    <row r="1421">
      <c r="A1421" s="26" t="n"/>
      <c r="B1421" s="26" t="n"/>
      <c r="C1421" s="26" t="n"/>
      <c r="D1421" s="26" t="n"/>
      <c r="E1421" s="30">
        <f>IF(B1421="","",IFERROR(INDEX('Holders'!$B$4:$B$1003,MATCH(B1421,'Holders'!$A$4:$A$1003,0)),""))</f>
        <v/>
      </c>
      <c r="F1421" s="30">
        <f t="array" ref="F1421">IF(B1421="","",_xlfn.TEXTJOIN(", ",TRUE,IF(('Companies'!$A$4:$A$63&lt;&gt;"")*(COUNTIFS('Holdings'!$A$4:$A$2503,B1421,'Holdings'!$J$4:$J$2503,'Companies'!$A$4:$A$63,'Holdings'!$L$4:$L$2503,"Yes",'Holdings'!$C$4:$C$2503,"&gt;0")&gt;0),'Companies'!$A$4:$A$63,"")))</f>
        <v/>
      </c>
      <c r="G1421" s="30">
        <f>IF(A1421="","",IF(COUNTIF('People'!$A$4:$A$1003,A1421)=0,"Email not on People",IF(COUNTIF('Holders'!$A$4:$A$1003,B1421)=0,"Unknown holder ID",IF(COUNTIFS($A$4:$A$1503,A1421,$B$4:$B$1503,B1421)&gt;1,"Duplicate link",IF(C1421="","Missing access","OK")))))</f>
        <v/>
      </c>
    </row>
    <row r="1422">
      <c r="A1422" s="26" t="n"/>
      <c r="B1422" s="26" t="n"/>
      <c r="C1422" s="26" t="n"/>
      <c r="D1422" s="26" t="n"/>
      <c r="E1422" s="30">
        <f>IF(B1422="","",IFERROR(INDEX('Holders'!$B$4:$B$1003,MATCH(B1422,'Holders'!$A$4:$A$1003,0)),""))</f>
        <v/>
      </c>
      <c r="F1422" s="30">
        <f t="array" ref="F1422">IF(B1422="","",_xlfn.TEXTJOIN(", ",TRUE,IF(('Companies'!$A$4:$A$63&lt;&gt;"")*(COUNTIFS('Holdings'!$A$4:$A$2503,B1422,'Holdings'!$J$4:$J$2503,'Companies'!$A$4:$A$63,'Holdings'!$L$4:$L$2503,"Yes",'Holdings'!$C$4:$C$2503,"&gt;0")&gt;0),'Companies'!$A$4:$A$63,"")))</f>
        <v/>
      </c>
      <c r="G1422" s="30">
        <f>IF(A1422="","",IF(COUNTIF('People'!$A$4:$A$1003,A1422)=0,"Email not on People",IF(COUNTIF('Holders'!$A$4:$A$1003,B1422)=0,"Unknown holder ID",IF(COUNTIFS($A$4:$A$1503,A1422,$B$4:$B$1503,B1422)&gt;1,"Duplicate link",IF(C1422="","Missing access","OK")))))</f>
        <v/>
      </c>
    </row>
    <row r="1423">
      <c r="A1423" s="26" t="n"/>
      <c r="B1423" s="26" t="n"/>
      <c r="C1423" s="26" t="n"/>
      <c r="D1423" s="26" t="n"/>
      <c r="E1423" s="30">
        <f>IF(B1423="","",IFERROR(INDEX('Holders'!$B$4:$B$1003,MATCH(B1423,'Holders'!$A$4:$A$1003,0)),""))</f>
        <v/>
      </c>
      <c r="F1423" s="30">
        <f t="array" ref="F1423">IF(B1423="","",_xlfn.TEXTJOIN(", ",TRUE,IF(('Companies'!$A$4:$A$63&lt;&gt;"")*(COUNTIFS('Holdings'!$A$4:$A$2503,B1423,'Holdings'!$J$4:$J$2503,'Companies'!$A$4:$A$63,'Holdings'!$L$4:$L$2503,"Yes",'Holdings'!$C$4:$C$2503,"&gt;0")&gt;0),'Companies'!$A$4:$A$63,"")))</f>
        <v/>
      </c>
      <c r="G1423" s="30">
        <f>IF(A1423="","",IF(COUNTIF('People'!$A$4:$A$1003,A1423)=0,"Email not on People",IF(COUNTIF('Holders'!$A$4:$A$1003,B1423)=0,"Unknown holder ID",IF(COUNTIFS($A$4:$A$1503,A1423,$B$4:$B$1503,B1423)&gt;1,"Duplicate link",IF(C1423="","Missing access","OK")))))</f>
        <v/>
      </c>
    </row>
    <row r="1424">
      <c r="A1424" s="26" t="n"/>
      <c r="B1424" s="26" t="n"/>
      <c r="C1424" s="26" t="n"/>
      <c r="D1424" s="26" t="n"/>
      <c r="E1424" s="30">
        <f>IF(B1424="","",IFERROR(INDEX('Holders'!$B$4:$B$1003,MATCH(B1424,'Holders'!$A$4:$A$1003,0)),""))</f>
        <v/>
      </c>
      <c r="F1424" s="30">
        <f t="array" ref="F1424">IF(B1424="","",_xlfn.TEXTJOIN(", ",TRUE,IF(('Companies'!$A$4:$A$63&lt;&gt;"")*(COUNTIFS('Holdings'!$A$4:$A$2503,B1424,'Holdings'!$J$4:$J$2503,'Companies'!$A$4:$A$63,'Holdings'!$L$4:$L$2503,"Yes",'Holdings'!$C$4:$C$2503,"&gt;0")&gt;0),'Companies'!$A$4:$A$63,"")))</f>
        <v/>
      </c>
      <c r="G1424" s="30">
        <f>IF(A1424="","",IF(COUNTIF('People'!$A$4:$A$1003,A1424)=0,"Email not on People",IF(COUNTIF('Holders'!$A$4:$A$1003,B1424)=0,"Unknown holder ID",IF(COUNTIFS($A$4:$A$1503,A1424,$B$4:$B$1503,B1424)&gt;1,"Duplicate link",IF(C1424="","Missing access","OK")))))</f>
        <v/>
      </c>
    </row>
    <row r="1425">
      <c r="A1425" s="26" t="n"/>
      <c r="B1425" s="26" t="n"/>
      <c r="C1425" s="26" t="n"/>
      <c r="D1425" s="26" t="n"/>
      <c r="E1425" s="30">
        <f>IF(B1425="","",IFERROR(INDEX('Holders'!$B$4:$B$1003,MATCH(B1425,'Holders'!$A$4:$A$1003,0)),""))</f>
        <v/>
      </c>
      <c r="F1425" s="30">
        <f t="array" ref="F1425">IF(B1425="","",_xlfn.TEXTJOIN(", ",TRUE,IF(('Companies'!$A$4:$A$63&lt;&gt;"")*(COUNTIFS('Holdings'!$A$4:$A$2503,B1425,'Holdings'!$J$4:$J$2503,'Companies'!$A$4:$A$63,'Holdings'!$L$4:$L$2503,"Yes",'Holdings'!$C$4:$C$2503,"&gt;0")&gt;0),'Companies'!$A$4:$A$63,"")))</f>
        <v/>
      </c>
      <c r="G1425" s="30">
        <f>IF(A1425="","",IF(COUNTIF('People'!$A$4:$A$1003,A1425)=0,"Email not on People",IF(COUNTIF('Holders'!$A$4:$A$1003,B1425)=0,"Unknown holder ID",IF(COUNTIFS($A$4:$A$1503,A1425,$B$4:$B$1503,B1425)&gt;1,"Duplicate link",IF(C1425="","Missing access","OK")))))</f>
        <v/>
      </c>
    </row>
    <row r="1426">
      <c r="A1426" s="26" t="n"/>
      <c r="B1426" s="26" t="n"/>
      <c r="C1426" s="26" t="n"/>
      <c r="D1426" s="26" t="n"/>
      <c r="E1426" s="30">
        <f>IF(B1426="","",IFERROR(INDEX('Holders'!$B$4:$B$1003,MATCH(B1426,'Holders'!$A$4:$A$1003,0)),""))</f>
        <v/>
      </c>
      <c r="F1426" s="30">
        <f t="array" ref="F1426">IF(B1426="","",_xlfn.TEXTJOIN(", ",TRUE,IF(('Companies'!$A$4:$A$63&lt;&gt;"")*(COUNTIFS('Holdings'!$A$4:$A$2503,B1426,'Holdings'!$J$4:$J$2503,'Companies'!$A$4:$A$63,'Holdings'!$L$4:$L$2503,"Yes",'Holdings'!$C$4:$C$2503,"&gt;0")&gt;0),'Companies'!$A$4:$A$63,"")))</f>
        <v/>
      </c>
      <c r="G1426" s="30">
        <f>IF(A1426="","",IF(COUNTIF('People'!$A$4:$A$1003,A1426)=0,"Email not on People",IF(COUNTIF('Holders'!$A$4:$A$1003,B1426)=0,"Unknown holder ID",IF(COUNTIFS($A$4:$A$1503,A1426,$B$4:$B$1503,B1426)&gt;1,"Duplicate link",IF(C1426="","Missing access","OK")))))</f>
        <v/>
      </c>
    </row>
    <row r="1427">
      <c r="A1427" s="26" t="n"/>
      <c r="B1427" s="26" t="n"/>
      <c r="C1427" s="26" t="n"/>
      <c r="D1427" s="26" t="n"/>
      <c r="E1427" s="30">
        <f>IF(B1427="","",IFERROR(INDEX('Holders'!$B$4:$B$1003,MATCH(B1427,'Holders'!$A$4:$A$1003,0)),""))</f>
        <v/>
      </c>
      <c r="F1427" s="30">
        <f t="array" ref="F1427">IF(B1427="","",_xlfn.TEXTJOIN(", ",TRUE,IF(('Companies'!$A$4:$A$63&lt;&gt;"")*(COUNTIFS('Holdings'!$A$4:$A$2503,B1427,'Holdings'!$J$4:$J$2503,'Companies'!$A$4:$A$63,'Holdings'!$L$4:$L$2503,"Yes",'Holdings'!$C$4:$C$2503,"&gt;0")&gt;0),'Companies'!$A$4:$A$63,"")))</f>
        <v/>
      </c>
      <c r="G1427" s="30">
        <f>IF(A1427="","",IF(COUNTIF('People'!$A$4:$A$1003,A1427)=0,"Email not on People",IF(COUNTIF('Holders'!$A$4:$A$1003,B1427)=0,"Unknown holder ID",IF(COUNTIFS($A$4:$A$1503,A1427,$B$4:$B$1503,B1427)&gt;1,"Duplicate link",IF(C1427="","Missing access","OK")))))</f>
        <v/>
      </c>
    </row>
    <row r="1428">
      <c r="A1428" s="26" t="n"/>
      <c r="B1428" s="26" t="n"/>
      <c r="C1428" s="26" t="n"/>
      <c r="D1428" s="26" t="n"/>
      <c r="E1428" s="30">
        <f>IF(B1428="","",IFERROR(INDEX('Holders'!$B$4:$B$1003,MATCH(B1428,'Holders'!$A$4:$A$1003,0)),""))</f>
        <v/>
      </c>
      <c r="F1428" s="30">
        <f t="array" ref="F1428">IF(B1428="","",_xlfn.TEXTJOIN(", ",TRUE,IF(('Companies'!$A$4:$A$63&lt;&gt;"")*(COUNTIFS('Holdings'!$A$4:$A$2503,B1428,'Holdings'!$J$4:$J$2503,'Companies'!$A$4:$A$63,'Holdings'!$L$4:$L$2503,"Yes",'Holdings'!$C$4:$C$2503,"&gt;0")&gt;0),'Companies'!$A$4:$A$63,"")))</f>
        <v/>
      </c>
      <c r="G1428" s="30">
        <f>IF(A1428="","",IF(COUNTIF('People'!$A$4:$A$1003,A1428)=0,"Email not on People",IF(COUNTIF('Holders'!$A$4:$A$1003,B1428)=0,"Unknown holder ID",IF(COUNTIFS($A$4:$A$1503,A1428,$B$4:$B$1503,B1428)&gt;1,"Duplicate link",IF(C1428="","Missing access","OK")))))</f>
        <v/>
      </c>
    </row>
    <row r="1429">
      <c r="A1429" s="26" t="n"/>
      <c r="B1429" s="26" t="n"/>
      <c r="C1429" s="26" t="n"/>
      <c r="D1429" s="26" t="n"/>
      <c r="E1429" s="30">
        <f>IF(B1429="","",IFERROR(INDEX('Holders'!$B$4:$B$1003,MATCH(B1429,'Holders'!$A$4:$A$1003,0)),""))</f>
        <v/>
      </c>
      <c r="F1429" s="30">
        <f t="array" ref="F1429">IF(B1429="","",_xlfn.TEXTJOIN(", ",TRUE,IF(('Companies'!$A$4:$A$63&lt;&gt;"")*(COUNTIFS('Holdings'!$A$4:$A$2503,B1429,'Holdings'!$J$4:$J$2503,'Companies'!$A$4:$A$63,'Holdings'!$L$4:$L$2503,"Yes",'Holdings'!$C$4:$C$2503,"&gt;0")&gt;0),'Companies'!$A$4:$A$63,"")))</f>
        <v/>
      </c>
      <c r="G1429" s="30">
        <f>IF(A1429="","",IF(COUNTIF('People'!$A$4:$A$1003,A1429)=0,"Email not on People",IF(COUNTIF('Holders'!$A$4:$A$1003,B1429)=0,"Unknown holder ID",IF(COUNTIFS($A$4:$A$1503,A1429,$B$4:$B$1503,B1429)&gt;1,"Duplicate link",IF(C1429="","Missing access","OK")))))</f>
        <v/>
      </c>
    </row>
    <row r="1430">
      <c r="A1430" s="26" t="n"/>
      <c r="B1430" s="26" t="n"/>
      <c r="C1430" s="26" t="n"/>
      <c r="D1430" s="26" t="n"/>
      <c r="E1430" s="30">
        <f>IF(B1430="","",IFERROR(INDEX('Holders'!$B$4:$B$1003,MATCH(B1430,'Holders'!$A$4:$A$1003,0)),""))</f>
        <v/>
      </c>
      <c r="F1430" s="30">
        <f t="array" ref="F1430">IF(B1430="","",_xlfn.TEXTJOIN(", ",TRUE,IF(('Companies'!$A$4:$A$63&lt;&gt;"")*(COUNTIFS('Holdings'!$A$4:$A$2503,B1430,'Holdings'!$J$4:$J$2503,'Companies'!$A$4:$A$63,'Holdings'!$L$4:$L$2503,"Yes",'Holdings'!$C$4:$C$2503,"&gt;0")&gt;0),'Companies'!$A$4:$A$63,"")))</f>
        <v/>
      </c>
      <c r="G1430" s="30">
        <f>IF(A1430="","",IF(COUNTIF('People'!$A$4:$A$1003,A1430)=0,"Email not on People",IF(COUNTIF('Holders'!$A$4:$A$1003,B1430)=0,"Unknown holder ID",IF(COUNTIFS($A$4:$A$1503,A1430,$B$4:$B$1503,B1430)&gt;1,"Duplicate link",IF(C1430="","Missing access","OK")))))</f>
        <v/>
      </c>
    </row>
    <row r="1431">
      <c r="A1431" s="26" t="n"/>
      <c r="B1431" s="26" t="n"/>
      <c r="C1431" s="26" t="n"/>
      <c r="D1431" s="26" t="n"/>
      <c r="E1431" s="30">
        <f>IF(B1431="","",IFERROR(INDEX('Holders'!$B$4:$B$1003,MATCH(B1431,'Holders'!$A$4:$A$1003,0)),""))</f>
        <v/>
      </c>
      <c r="F1431" s="30">
        <f t="array" ref="F1431">IF(B1431="","",_xlfn.TEXTJOIN(", ",TRUE,IF(('Companies'!$A$4:$A$63&lt;&gt;"")*(COUNTIFS('Holdings'!$A$4:$A$2503,B1431,'Holdings'!$J$4:$J$2503,'Companies'!$A$4:$A$63,'Holdings'!$L$4:$L$2503,"Yes",'Holdings'!$C$4:$C$2503,"&gt;0")&gt;0),'Companies'!$A$4:$A$63,"")))</f>
        <v/>
      </c>
      <c r="G1431" s="30">
        <f>IF(A1431="","",IF(COUNTIF('People'!$A$4:$A$1003,A1431)=0,"Email not on People",IF(COUNTIF('Holders'!$A$4:$A$1003,B1431)=0,"Unknown holder ID",IF(COUNTIFS($A$4:$A$1503,A1431,$B$4:$B$1503,B1431)&gt;1,"Duplicate link",IF(C1431="","Missing access","OK")))))</f>
        <v/>
      </c>
    </row>
    <row r="1432">
      <c r="A1432" s="26" t="n"/>
      <c r="B1432" s="26" t="n"/>
      <c r="C1432" s="26" t="n"/>
      <c r="D1432" s="26" t="n"/>
      <c r="E1432" s="30">
        <f>IF(B1432="","",IFERROR(INDEX('Holders'!$B$4:$B$1003,MATCH(B1432,'Holders'!$A$4:$A$1003,0)),""))</f>
        <v/>
      </c>
      <c r="F1432" s="30">
        <f t="array" ref="F1432">IF(B1432="","",_xlfn.TEXTJOIN(", ",TRUE,IF(('Companies'!$A$4:$A$63&lt;&gt;"")*(COUNTIFS('Holdings'!$A$4:$A$2503,B1432,'Holdings'!$J$4:$J$2503,'Companies'!$A$4:$A$63,'Holdings'!$L$4:$L$2503,"Yes",'Holdings'!$C$4:$C$2503,"&gt;0")&gt;0),'Companies'!$A$4:$A$63,"")))</f>
        <v/>
      </c>
      <c r="G1432" s="30">
        <f>IF(A1432="","",IF(COUNTIF('People'!$A$4:$A$1003,A1432)=0,"Email not on People",IF(COUNTIF('Holders'!$A$4:$A$1003,B1432)=0,"Unknown holder ID",IF(COUNTIFS($A$4:$A$1503,A1432,$B$4:$B$1503,B1432)&gt;1,"Duplicate link",IF(C1432="","Missing access","OK")))))</f>
        <v/>
      </c>
    </row>
    <row r="1433">
      <c r="A1433" s="26" t="n"/>
      <c r="B1433" s="26" t="n"/>
      <c r="C1433" s="26" t="n"/>
      <c r="D1433" s="26" t="n"/>
      <c r="E1433" s="30">
        <f>IF(B1433="","",IFERROR(INDEX('Holders'!$B$4:$B$1003,MATCH(B1433,'Holders'!$A$4:$A$1003,0)),""))</f>
        <v/>
      </c>
      <c r="F1433" s="30">
        <f t="array" ref="F1433">IF(B1433="","",_xlfn.TEXTJOIN(", ",TRUE,IF(('Companies'!$A$4:$A$63&lt;&gt;"")*(COUNTIFS('Holdings'!$A$4:$A$2503,B1433,'Holdings'!$J$4:$J$2503,'Companies'!$A$4:$A$63,'Holdings'!$L$4:$L$2503,"Yes",'Holdings'!$C$4:$C$2503,"&gt;0")&gt;0),'Companies'!$A$4:$A$63,"")))</f>
        <v/>
      </c>
      <c r="G1433" s="30">
        <f>IF(A1433="","",IF(COUNTIF('People'!$A$4:$A$1003,A1433)=0,"Email not on People",IF(COUNTIF('Holders'!$A$4:$A$1003,B1433)=0,"Unknown holder ID",IF(COUNTIFS($A$4:$A$1503,A1433,$B$4:$B$1503,B1433)&gt;1,"Duplicate link",IF(C1433="","Missing access","OK")))))</f>
        <v/>
      </c>
    </row>
    <row r="1434">
      <c r="A1434" s="26" t="n"/>
      <c r="B1434" s="26" t="n"/>
      <c r="C1434" s="26" t="n"/>
      <c r="D1434" s="26" t="n"/>
      <c r="E1434" s="30">
        <f>IF(B1434="","",IFERROR(INDEX('Holders'!$B$4:$B$1003,MATCH(B1434,'Holders'!$A$4:$A$1003,0)),""))</f>
        <v/>
      </c>
      <c r="F1434" s="30">
        <f t="array" ref="F1434">IF(B1434="","",_xlfn.TEXTJOIN(", ",TRUE,IF(('Companies'!$A$4:$A$63&lt;&gt;"")*(COUNTIFS('Holdings'!$A$4:$A$2503,B1434,'Holdings'!$J$4:$J$2503,'Companies'!$A$4:$A$63,'Holdings'!$L$4:$L$2503,"Yes",'Holdings'!$C$4:$C$2503,"&gt;0")&gt;0),'Companies'!$A$4:$A$63,"")))</f>
        <v/>
      </c>
      <c r="G1434" s="30">
        <f>IF(A1434="","",IF(COUNTIF('People'!$A$4:$A$1003,A1434)=0,"Email not on People",IF(COUNTIF('Holders'!$A$4:$A$1003,B1434)=0,"Unknown holder ID",IF(COUNTIFS($A$4:$A$1503,A1434,$B$4:$B$1503,B1434)&gt;1,"Duplicate link",IF(C1434="","Missing access","OK")))))</f>
        <v/>
      </c>
    </row>
    <row r="1435">
      <c r="A1435" s="26" t="n"/>
      <c r="B1435" s="26" t="n"/>
      <c r="C1435" s="26" t="n"/>
      <c r="D1435" s="26" t="n"/>
      <c r="E1435" s="30">
        <f>IF(B1435="","",IFERROR(INDEX('Holders'!$B$4:$B$1003,MATCH(B1435,'Holders'!$A$4:$A$1003,0)),""))</f>
        <v/>
      </c>
      <c r="F1435" s="30">
        <f t="array" ref="F1435">IF(B1435="","",_xlfn.TEXTJOIN(", ",TRUE,IF(('Companies'!$A$4:$A$63&lt;&gt;"")*(COUNTIFS('Holdings'!$A$4:$A$2503,B1435,'Holdings'!$J$4:$J$2503,'Companies'!$A$4:$A$63,'Holdings'!$L$4:$L$2503,"Yes",'Holdings'!$C$4:$C$2503,"&gt;0")&gt;0),'Companies'!$A$4:$A$63,"")))</f>
        <v/>
      </c>
      <c r="G1435" s="30">
        <f>IF(A1435="","",IF(COUNTIF('People'!$A$4:$A$1003,A1435)=0,"Email not on People",IF(COUNTIF('Holders'!$A$4:$A$1003,B1435)=0,"Unknown holder ID",IF(COUNTIFS($A$4:$A$1503,A1435,$B$4:$B$1503,B1435)&gt;1,"Duplicate link",IF(C1435="","Missing access","OK")))))</f>
        <v/>
      </c>
    </row>
    <row r="1436">
      <c r="A1436" s="26" t="n"/>
      <c r="B1436" s="26" t="n"/>
      <c r="C1436" s="26" t="n"/>
      <c r="D1436" s="26" t="n"/>
      <c r="E1436" s="30">
        <f>IF(B1436="","",IFERROR(INDEX('Holders'!$B$4:$B$1003,MATCH(B1436,'Holders'!$A$4:$A$1003,0)),""))</f>
        <v/>
      </c>
      <c r="F1436" s="30">
        <f t="array" ref="F1436">IF(B1436="","",_xlfn.TEXTJOIN(", ",TRUE,IF(('Companies'!$A$4:$A$63&lt;&gt;"")*(COUNTIFS('Holdings'!$A$4:$A$2503,B1436,'Holdings'!$J$4:$J$2503,'Companies'!$A$4:$A$63,'Holdings'!$L$4:$L$2503,"Yes",'Holdings'!$C$4:$C$2503,"&gt;0")&gt;0),'Companies'!$A$4:$A$63,"")))</f>
        <v/>
      </c>
      <c r="G1436" s="30">
        <f>IF(A1436="","",IF(COUNTIF('People'!$A$4:$A$1003,A1436)=0,"Email not on People",IF(COUNTIF('Holders'!$A$4:$A$1003,B1436)=0,"Unknown holder ID",IF(COUNTIFS($A$4:$A$1503,A1436,$B$4:$B$1503,B1436)&gt;1,"Duplicate link",IF(C1436="","Missing access","OK")))))</f>
        <v/>
      </c>
    </row>
    <row r="1437">
      <c r="A1437" s="26" t="n"/>
      <c r="B1437" s="26" t="n"/>
      <c r="C1437" s="26" t="n"/>
      <c r="D1437" s="26" t="n"/>
      <c r="E1437" s="30">
        <f>IF(B1437="","",IFERROR(INDEX('Holders'!$B$4:$B$1003,MATCH(B1437,'Holders'!$A$4:$A$1003,0)),""))</f>
        <v/>
      </c>
      <c r="F1437" s="30">
        <f t="array" ref="F1437">IF(B1437="","",_xlfn.TEXTJOIN(", ",TRUE,IF(('Companies'!$A$4:$A$63&lt;&gt;"")*(COUNTIFS('Holdings'!$A$4:$A$2503,B1437,'Holdings'!$J$4:$J$2503,'Companies'!$A$4:$A$63,'Holdings'!$L$4:$L$2503,"Yes",'Holdings'!$C$4:$C$2503,"&gt;0")&gt;0),'Companies'!$A$4:$A$63,"")))</f>
        <v/>
      </c>
      <c r="G1437" s="30">
        <f>IF(A1437="","",IF(COUNTIF('People'!$A$4:$A$1003,A1437)=0,"Email not on People",IF(COUNTIF('Holders'!$A$4:$A$1003,B1437)=0,"Unknown holder ID",IF(COUNTIFS($A$4:$A$1503,A1437,$B$4:$B$1503,B1437)&gt;1,"Duplicate link",IF(C1437="","Missing access","OK")))))</f>
        <v/>
      </c>
    </row>
    <row r="1438">
      <c r="A1438" s="26" t="n"/>
      <c r="B1438" s="26" t="n"/>
      <c r="C1438" s="26" t="n"/>
      <c r="D1438" s="26" t="n"/>
      <c r="E1438" s="30">
        <f>IF(B1438="","",IFERROR(INDEX('Holders'!$B$4:$B$1003,MATCH(B1438,'Holders'!$A$4:$A$1003,0)),""))</f>
        <v/>
      </c>
      <c r="F1438" s="30">
        <f t="array" ref="F1438">IF(B1438="","",_xlfn.TEXTJOIN(", ",TRUE,IF(('Companies'!$A$4:$A$63&lt;&gt;"")*(COUNTIFS('Holdings'!$A$4:$A$2503,B1438,'Holdings'!$J$4:$J$2503,'Companies'!$A$4:$A$63,'Holdings'!$L$4:$L$2503,"Yes",'Holdings'!$C$4:$C$2503,"&gt;0")&gt;0),'Companies'!$A$4:$A$63,"")))</f>
        <v/>
      </c>
      <c r="G1438" s="30">
        <f>IF(A1438="","",IF(COUNTIF('People'!$A$4:$A$1003,A1438)=0,"Email not on People",IF(COUNTIF('Holders'!$A$4:$A$1003,B1438)=0,"Unknown holder ID",IF(COUNTIFS($A$4:$A$1503,A1438,$B$4:$B$1503,B1438)&gt;1,"Duplicate link",IF(C1438="","Missing access","OK")))))</f>
        <v/>
      </c>
    </row>
    <row r="1439">
      <c r="A1439" s="26" t="n"/>
      <c r="B1439" s="26" t="n"/>
      <c r="C1439" s="26" t="n"/>
      <c r="D1439" s="26" t="n"/>
      <c r="E1439" s="30">
        <f>IF(B1439="","",IFERROR(INDEX('Holders'!$B$4:$B$1003,MATCH(B1439,'Holders'!$A$4:$A$1003,0)),""))</f>
        <v/>
      </c>
      <c r="F1439" s="30">
        <f t="array" ref="F1439">IF(B1439="","",_xlfn.TEXTJOIN(", ",TRUE,IF(('Companies'!$A$4:$A$63&lt;&gt;"")*(COUNTIFS('Holdings'!$A$4:$A$2503,B1439,'Holdings'!$J$4:$J$2503,'Companies'!$A$4:$A$63,'Holdings'!$L$4:$L$2503,"Yes",'Holdings'!$C$4:$C$2503,"&gt;0")&gt;0),'Companies'!$A$4:$A$63,"")))</f>
        <v/>
      </c>
      <c r="G1439" s="30">
        <f>IF(A1439="","",IF(COUNTIF('People'!$A$4:$A$1003,A1439)=0,"Email not on People",IF(COUNTIF('Holders'!$A$4:$A$1003,B1439)=0,"Unknown holder ID",IF(COUNTIFS($A$4:$A$1503,A1439,$B$4:$B$1503,B1439)&gt;1,"Duplicate link",IF(C1439="","Missing access","OK")))))</f>
        <v/>
      </c>
    </row>
    <row r="1440">
      <c r="A1440" s="26" t="n"/>
      <c r="B1440" s="26" t="n"/>
      <c r="C1440" s="26" t="n"/>
      <c r="D1440" s="26" t="n"/>
      <c r="E1440" s="30">
        <f>IF(B1440="","",IFERROR(INDEX('Holders'!$B$4:$B$1003,MATCH(B1440,'Holders'!$A$4:$A$1003,0)),""))</f>
        <v/>
      </c>
      <c r="F1440" s="30">
        <f t="array" ref="F1440">IF(B1440="","",_xlfn.TEXTJOIN(", ",TRUE,IF(('Companies'!$A$4:$A$63&lt;&gt;"")*(COUNTIFS('Holdings'!$A$4:$A$2503,B1440,'Holdings'!$J$4:$J$2503,'Companies'!$A$4:$A$63,'Holdings'!$L$4:$L$2503,"Yes",'Holdings'!$C$4:$C$2503,"&gt;0")&gt;0),'Companies'!$A$4:$A$63,"")))</f>
        <v/>
      </c>
      <c r="G1440" s="30">
        <f>IF(A1440="","",IF(COUNTIF('People'!$A$4:$A$1003,A1440)=0,"Email not on People",IF(COUNTIF('Holders'!$A$4:$A$1003,B1440)=0,"Unknown holder ID",IF(COUNTIFS($A$4:$A$1503,A1440,$B$4:$B$1503,B1440)&gt;1,"Duplicate link",IF(C1440="","Missing access","OK")))))</f>
        <v/>
      </c>
    </row>
    <row r="1441">
      <c r="A1441" s="26" t="n"/>
      <c r="B1441" s="26" t="n"/>
      <c r="C1441" s="26" t="n"/>
      <c r="D1441" s="26" t="n"/>
      <c r="E1441" s="30">
        <f>IF(B1441="","",IFERROR(INDEX('Holders'!$B$4:$B$1003,MATCH(B1441,'Holders'!$A$4:$A$1003,0)),""))</f>
        <v/>
      </c>
      <c r="F1441" s="30">
        <f t="array" ref="F1441">IF(B1441="","",_xlfn.TEXTJOIN(", ",TRUE,IF(('Companies'!$A$4:$A$63&lt;&gt;"")*(COUNTIFS('Holdings'!$A$4:$A$2503,B1441,'Holdings'!$J$4:$J$2503,'Companies'!$A$4:$A$63,'Holdings'!$L$4:$L$2503,"Yes",'Holdings'!$C$4:$C$2503,"&gt;0")&gt;0),'Companies'!$A$4:$A$63,"")))</f>
        <v/>
      </c>
      <c r="G1441" s="30">
        <f>IF(A1441="","",IF(COUNTIF('People'!$A$4:$A$1003,A1441)=0,"Email not on People",IF(COUNTIF('Holders'!$A$4:$A$1003,B1441)=0,"Unknown holder ID",IF(COUNTIFS($A$4:$A$1503,A1441,$B$4:$B$1503,B1441)&gt;1,"Duplicate link",IF(C1441="","Missing access","OK")))))</f>
        <v/>
      </c>
    </row>
    <row r="1442">
      <c r="A1442" s="26" t="n"/>
      <c r="B1442" s="26" t="n"/>
      <c r="C1442" s="26" t="n"/>
      <c r="D1442" s="26" t="n"/>
      <c r="E1442" s="30">
        <f>IF(B1442="","",IFERROR(INDEX('Holders'!$B$4:$B$1003,MATCH(B1442,'Holders'!$A$4:$A$1003,0)),""))</f>
        <v/>
      </c>
      <c r="F1442" s="30">
        <f t="array" ref="F1442">IF(B1442="","",_xlfn.TEXTJOIN(", ",TRUE,IF(('Companies'!$A$4:$A$63&lt;&gt;"")*(COUNTIFS('Holdings'!$A$4:$A$2503,B1442,'Holdings'!$J$4:$J$2503,'Companies'!$A$4:$A$63,'Holdings'!$L$4:$L$2503,"Yes",'Holdings'!$C$4:$C$2503,"&gt;0")&gt;0),'Companies'!$A$4:$A$63,"")))</f>
        <v/>
      </c>
      <c r="G1442" s="30">
        <f>IF(A1442="","",IF(COUNTIF('People'!$A$4:$A$1003,A1442)=0,"Email not on People",IF(COUNTIF('Holders'!$A$4:$A$1003,B1442)=0,"Unknown holder ID",IF(COUNTIFS($A$4:$A$1503,A1442,$B$4:$B$1503,B1442)&gt;1,"Duplicate link",IF(C1442="","Missing access","OK")))))</f>
        <v/>
      </c>
    </row>
    <row r="1443">
      <c r="A1443" s="26" t="n"/>
      <c r="B1443" s="26" t="n"/>
      <c r="C1443" s="26" t="n"/>
      <c r="D1443" s="26" t="n"/>
      <c r="E1443" s="30">
        <f>IF(B1443="","",IFERROR(INDEX('Holders'!$B$4:$B$1003,MATCH(B1443,'Holders'!$A$4:$A$1003,0)),""))</f>
        <v/>
      </c>
      <c r="F1443" s="30">
        <f t="array" ref="F1443">IF(B1443="","",_xlfn.TEXTJOIN(", ",TRUE,IF(('Companies'!$A$4:$A$63&lt;&gt;"")*(COUNTIFS('Holdings'!$A$4:$A$2503,B1443,'Holdings'!$J$4:$J$2503,'Companies'!$A$4:$A$63,'Holdings'!$L$4:$L$2503,"Yes",'Holdings'!$C$4:$C$2503,"&gt;0")&gt;0),'Companies'!$A$4:$A$63,"")))</f>
        <v/>
      </c>
      <c r="G1443" s="30">
        <f>IF(A1443="","",IF(COUNTIF('People'!$A$4:$A$1003,A1443)=0,"Email not on People",IF(COUNTIF('Holders'!$A$4:$A$1003,B1443)=0,"Unknown holder ID",IF(COUNTIFS($A$4:$A$1503,A1443,$B$4:$B$1503,B1443)&gt;1,"Duplicate link",IF(C1443="","Missing access","OK")))))</f>
        <v/>
      </c>
    </row>
    <row r="1444">
      <c r="A1444" s="26" t="n"/>
      <c r="B1444" s="26" t="n"/>
      <c r="C1444" s="26" t="n"/>
      <c r="D1444" s="26" t="n"/>
      <c r="E1444" s="30">
        <f>IF(B1444="","",IFERROR(INDEX('Holders'!$B$4:$B$1003,MATCH(B1444,'Holders'!$A$4:$A$1003,0)),""))</f>
        <v/>
      </c>
      <c r="F1444" s="30">
        <f t="array" ref="F1444">IF(B1444="","",_xlfn.TEXTJOIN(", ",TRUE,IF(('Companies'!$A$4:$A$63&lt;&gt;"")*(COUNTIFS('Holdings'!$A$4:$A$2503,B1444,'Holdings'!$J$4:$J$2503,'Companies'!$A$4:$A$63,'Holdings'!$L$4:$L$2503,"Yes",'Holdings'!$C$4:$C$2503,"&gt;0")&gt;0),'Companies'!$A$4:$A$63,"")))</f>
        <v/>
      </c>
      <c r="G1444" s="30">
        <f>IF(A1444="","",IF(COUNTIF('People'!$A$4:$A$1003,A1444)=0,"Email not on People",IF(COUNTIF('Holders'!$A$4:$A$1003,B1444)=0,"Unknown holder ID",IF(COUNTIFS($A$4:$A$1503,A1444,$B$4:$B$1503,B1444)&gt;1,"Duplicate link",IF(C1444="","Missing access","OK")))))</f>
        <v/>
      </c>
    </row>
    <row r="1445">
      <c r="A1445" s="26" t="n"/>
      <c r="B1445" s="26" t="n"/>
      <c r="C1445" s="26" t="n"/>
      <c r="D1445" s="26" t="n"/>
      <c r="E1445" s="30">
        <f>IF(B1445="","",IFERROR(INDEX('Holders'!$B$4:$B$1003,MATCH(B1445,'Holders'!$A$4:$A$1003,0)),""))</f>
        <v/>
      </c>
      <c r="F1445" s="30">
        <f t="array" ref="F1445">IF(B1445="","",_xlfn.TEXTJOIN(", ",TRUE,IF(('Companies'!$A$4:$A$63&lt;&gt;"")*(COUNTIFS('Holdings'!$A$4:$A$2503,B1445,'Holdings'!$J$4:$J$2503,'Companies'!$A$4:$A$63,'Holdings'!$L$4:$L$2503,"Yes",'Holdings'!$C$4:$C$2503,"&gt;0")&gt;0),'Companies'!$A$4:$A$63,"")))</f>
        <v/>
      </c>
      <c r="G1445" s="30">
        <f>IF(A1445="","",IF(COUNTIF('People'!$A$4:$A$1003,A1445)=0,"Email not on People",IF(COUNTIF('Holders'!$A$4:$A$1003,B1445)=0,"Unknown holder ID",IF(COUNTIFS($A$4:$A$1503,A1445,$B$4:$B$1503,B1445)&gt;1,"Duplicate link",IF(C1445="","Missing access","OK")))))</f>
        <v/>
      </c>
    </row>
    <row r="1446">
      <c r="A1446" s="26" t="n"/>
      <c r="B1446" s="26" t="n"/>
      <c r="C1446" s="26" t="n"/>
      <c r="D1446" s="26" t="n"/>
      <c r="E1446" s="30">
        <f>IF(B1446="","",IFERROR(INDEX('Holders'!$B$4:$B$1003,MATCH(B1446,'Holders'!$A$4:$A$1003,0)),""))</f>
        <v/>
      </c>
      <c r="F1446" s="30">
        <f t="array" ref="F1446">IF(B1446="","",_xlfn.TEXTJOIN(", ",TRUE,IF(('Companies'!$A$4:$A$63&lt;&gt;"")*(COUNTIFS('Holdings'!$A$4:$A$2503,B1446,'Holdings'!$J$4:$J$2503,'Companies'!$A$4:$A$63,'Holdings'!$L$4:$L$2503,"Yes",'Holdings'!$C$4:$C$2503,"&gt;0")&gt;0),'Companies'!$A$4:$A$63,"")))</f>
        <v/>
      </c>
      <c r="G1446" s="30">
        <f>IF(A1446="","",IF(COUNTIF('People'!$A$4:$A$1003,A1446)=0,"Email not on People",IF(COUNTIF('Holders'!$A$4:$A$1003,B1446)=0,"Unknown holder ID",IF(COUNTIFS($A$4:$A$1503,A1446,$B$4:$B$1503,B1446)&gt;1,"Duplicate link",IF(C1446="","Missing access","OK")))))</f>
        <v/>
      </c>
    </row>
    <row r="1447">
      <c r="A1447" s="26" t="n"/>
      <c r="B1447" s="26" t="n"/>
      <c r="C1447" s="26" t="n"/>
      <c r="D1447" s="26" t="n"/>
      <c r="E1447" s="30">
        <f>IF(B1447="","",IFERROR(INDEX('Holders'!$B$4:$B$1003,MATCH(B1447,'Holders'!$A$4:$A$1003,0)),""))</f>
        <v/>
      </c>
      <c r="F1447" s="30">
        <f t="array" ref="F1447">IF(B1447="","",_xlfn.TEXTJOIN(", ",TRUE,IF(('Companies'!$A$4:$A$63&lt;&gt;"")*(COUNTIFS('Holdings'!$A$4:$A$2503,B1447,'Holdings'!$J$4:$J$2503,'Companies'!$A$4:$A$63,'Holdings'!$L$4:$L$2503,"Yes",'Holdings'!$C$4:$C$2503,"&gt;0")&gt;0),'Companies'!$A$4:$A$63,"")))</f>
        <v/>
      </c>
      <c r="G1447" s="30">
        <f>IF(A1447="","",IF(COUNTIF('People'!$A$4:$A$1003,A1447)=0,"Email not on People",IF(COUNTIF('Holders'!$A$4:$A$1003,B1447)=0,"Unknown holder ID",IF(COUNTIFS($A$4:$A$1503,A1447,$B$4:$B$1503,B1447)&gt;1,"Duplicate link",IF(C1447="","Missing access","OK")))))</f>
        <v/>
      </c>
    </row>
    <row r="1448">
      <c r="A1448" s="26" t="n"/>
      <c r="B1448" s="26" t="n"/>
      <c r="C1448" s="26" t="n"/>
      <c r="D1448" s="26" t="n"/>
      <c r="E1448" s="30">
        <f>IF(B1448="","",IFERROR(INDEX('Holders'!$B$4:$B$1003,MATCH(B1448,'Holders'!$A$4:$A$1003,0)),""))</f>
        <v/>
      </c>
      <c r="F1448" s="30">
        <f t="array" ref="F1448">IF(B1448="","",_xlfn.TEXTJOIN(", ",TRUE,IF(('Companies'!$A$4:$A$63&lt;&gt;"")*(COUNTIFS('Holdings'!$A$4:$A$2503,B1448,'Holdings'!$J$4:$J$2503,'Companies'!$A$4:$A$63,'Holdings'!$L$4:$L$2503,"Yes",'Holdings'!$C$4:$C$2503,"&gt;0")&gt;0),'Companies'!$A$4:$A$63,"")))</f>
        <v/>
      </c>
      <c r="G1448" s="30">
        <f>IF(A1448="","",IF(COUNTIF('People'!$A$4:$A$1003,A1448)=0,"Email not on People",IF(COUNTIF('Holders'!$A$4:$A$1003,B1448)=0,"Unknown holder ID",IF(COUNTIFS($A$4:$A$1503,A1448,$B$4:$B$1503,B1448)&gt;1,"Duplicate link",IF(C1448="","Missing access","OK")))))</f>
        <v/>
      </c>
    </row>
    <row r="1449">
      <c r="A1449" s="26" t="n"/>
      <c r="B1449" s="26" t="n"/>
      <c r="C1449" s="26" t="n"/>
      <c r="D1449" s="26" t="n"/>
      <c r="E1449" s="30">
        <f>IF(B1449="","",IFERROR(INDEX('Holders'!$B$4:$B$1003,MATCH(B1449,'Holders'!$A$4:$A$1003,0)),""))</f>
        <v/>
      </c>
      <c r="F1449" s="30">
        <f t="array" ref="F1449">IF(B1449="","",_xlfn.TEXTJOIN(", ",TRUE,IF(('Companies'!$A$4:$A$63&lt;&gt;"")*(COUNTIFS('Holdings'!$A$4:$A$2503,B1449,'Holdings'!$J$4:$J$2503,'Companies'!$A$4:$A$63,'Holdings'!$L$4:$L$2503,"Yes",'Holdings'!$C$4:$C$2503,"&gt;0")&gt;0),'Companies'!$A$4:$A$63,"")))</f>
        <v/>
      </c>
      <c r="G1449" s="30">
        <f>IF(A1449="","",IF(COUNTIF('People'!$A$4:$A$1003,A1449)=0,"Email not on People",IF(COUNTIF('Holders'!$A$4:$A$1003,B1449)=0,"Unknown holder ID",IF(COUNTIFS($A$4:$A$1503,A1449,$B$4:$B$1503,B1449)&gt;1,"Duplicate link",IF(C1449="","Missing access","OK")))))</f>
        <v/>
      </c>
    </row>
    <row r="1450">
      <c r="A1450" s="26" t="n"/>
      <c r="B1450" s="26" t="n"/>
      <c r="C1450" s="26" t="n"/>
      <c r="D1450" s="26" t="n"/>
      <c r="E1450" s="30">
        <f>IF(B1450="","",IFERROR(INDEX('Holders'!$B$4:$B$1003,MATCH(B1450,'Holders'!$A$4:$A$1003,0)),""))</f>
        <v/>
      </c>
      <c r="F1450" s="30">
        <f t="array" ref="F1450">IF(B1450="","",_xlfn.TEXTJOIN(", ",TRUE,IF(('Companies'!$A$4:$A$63&lt;&gt;"")*(COUNTIFS('Holdings'!$A$4:$A$2503,B1450,'Holdings'!$J$4:$J$2503,'Companies'!$A$4:$A$63,'Holdings'!$L$4:$L$2503,"Yes",'Holdings'!$C$4:$C$2503,"&gt;0")&gt;0),'Companies'!$A$4:$A$63,"")))</f>
        <v/>
      </c>
      <c r="G1450" s="30">
        <f>IF(A1450="","",IF(COUNTIF('People'!$A$4:$A$1003,A1450)=0,"Email not on People",IF(COUNTIF('Holders'!$A$4:$A$1003,B1450)=0,"Unknown holder ID",IF(COUNTIFS($A$4:$A$1503,A1450,$B$4:$B$1503,B1450)&gt;1,"Duplicate link",IF(C1450="","Missing access","OK")))))</f>
        <v/>
      </c>
    </row>
    <row r="1451">
      <c r="A1451" s="26" t="n"/>
      <c r="B1451" s="26" t="n"/>
      <c r="C1451" s="26" t="n"/>
      <c r="D1451" s="26" t="n"/>
      <c r="E1451" s="30">
        <f>IF(B1451="","",IFERROR(INDEX('Holders'!$B$4:$B$1003,MATCH(B1451,'Holders'!$A$4:$A$1003,0)),""))</f>
        <v/>
      </c>
      <c r="F1451" s="30">
        <f t="array" ref="F1451">IF(B1451="","",_xlfn.TEXTJOIN(", ",TRUE,IF(('Companies'!$A$4:$A$63&lt;&gt;"")*(COUNTIFS('Holdings'!$A$4:$A$2503,B1451,'Holdings'!$J$4:$J$2503,'Companies'!$A$4:$A$63,'Holdings'!$L$4:$L$2503,"Yes",'Holdings'!$C$4:$C$2503,"&gt;0")&gt;0),'Companies'!$A$4:$A$63,"")))</f>
        <v/>
      </c>
      <c r="G1451" s="30">
        <f>IF(A1451="","",IF(COUNTIF('People'!$A$4:$A$1003,A1451)=0,"Email not on People",IF(COUNTIF('Holders'!$A$4:$A$1003,B1451)=0,"Unknown holder ID",IF(COUNTIFS($A$4:$A$1503,A1451,$B$4:$B$1503,B1451)&gt;1,"Duplicate link",IF(C1451="","Missing access","OK")))))</f>
        <v/>
      </c>
    </row>
    <row r="1452">
      <c r="A1452" s="26" t="n"/>
      <c r="B1452" s="26" t="n"/>
      <c r="C1452" s="26" t="n"/>
      <c r="D1452" s="26" t="n"/>
      <c r="E1452" s="30">
        <f>IF(B1452="","",IFERROR(INDEX('Holders'!$B$4:$B$1003,MATCH(B1452,'Holders'!$A$4:$A$1003,0)),""))</f>
        <v/>
      </c>
      <c r="F1452" s="30">
        <f t="array" ref="F1452">IF(B1452="","",_xlfn.TEXTJOIN(", ",TRUE,IF(('Companies'!$A$4:$A$63&lt;&gt;"")*(COUNTIFS('Holdings'!$A$4:$A$2503,B1452,'Holdings'!$J$4:$J$2503,'Companies'!$A$4:$A$63,'Holdings'!$L$4:$L$2503,"Yes",'Holdings'!$C$4:$C$2503,"&gt;0")&gt;0),'Companies'!$A$4:$A$63,"")))</f>
        <v/>
      </c>
      <c r="G1452" s="30">
        <f>IF(A1452="","",IF(COUNTIF('People'!$A$4:$A$1003,A1452)=0,"Email not on People",IF(COUNTIF('Holders'!$A$4:$A$1003,B1452)=0,"Unknown holder ID",IF(COUNTIFS($A$4:$A$1503,A1452,$B$4:$B$1503,B1452)&gt;1,"Duplicate link",IF(C1452="","Missing access","OK")))))</f>
        <v/>
      </c>
    </row>
    <row r="1453">
      <c r="A1453" s="26" t="n"/>
      <c r="B1453" s="26" t="n"/>
      <c r="C1453" s="26" t="n"/>
      <c r="D1453" s="26" t="n"/>
      <c r="E1453" s="30">
        <f>IF(B1453="","",IFERROR(INDEX('Holders'!$B$4:$B$1003,MATCH(B1453,'Holders'!$A$4:$A$1003,0)),""))</f>
        <v/>
      </c>
      <c r="F1453" s="30">
        <f t="array" ref="F1453">IF(B1453="","",_xlfn.TEXTJOIN(", ",TRUE,IF(('Companies'!$A$4:$A$63&lt;&gt;"")*(COUNTIFS('Holdings'!$A$4:$A$2503,B1453,'Holdings'!$J$4:$J$2503,'Companies'!$A$4:$A$63,'Holdings'!$L$4:$L$2503,"Yes",'Holdings'!$C$4:$C$2503,"&gt;0")&gt;0),'Companies'!$A$4:$A$63,"")))</f>
        <v/>
      </c>
      <c r="G1453" s="30">
        <f>IF(A1453="","",IF(COUNTIF('People'!$A$4:$A$1003,A1453)=0,"Email not on People",IF(COUNTIF('Holders'!$A$4:$A$1003,B1453)=0,"Unknown holder ID",IF(COUNTIFS($A$4:$A$1503,A1453,$B$4:$B$1503,B1453)&gt;1,"Duplicate link",IF(C1453="","Missing access","OK")))))</f>
        <v/>
      </c>
    </row>
    <row r="1454">
      <c r="A1454" s="26" t="n"/>
      <c r="B1454" s="26" t="n"/>
      <c r="C1454" s="26" t="n"/>
      <c r="D1454" s="26" t="n"/>
      <c r="E1454" s="30">
        <f>IF(B1454="","",IFERROR(INDEX('Holders'!$B$4:$B$1003,MATCH(B1454,'Holders'!$A$4:$A$1003,0)),""))</f>
        <v/>
      </c>
      <c r="F1454" s="30">
        <f t="array" ref="F1454">IF(B1454="","",_xlfn.TEXTJOIN(", ",TRUE,IF(('Companies'!$A$4:$A$63&lt;&gt;"")*(COUNTIFS('Holdings'!$A$4:$A$2503,B1454,'Holdings'!$J$4:$J$2503,'Companies'!$A$4:$A$63,'Holdings'!$L$4:$L$2503,"Yes",'Holdings'!$C$4:$C$2503,"&gt;0")&gt;0),'Companies'!$A$4:$A$63,"")))</f>
        <v/>
      </c>
      <c r="G1454" s="30">
        <f>IF(A1454="","",IF(COUNTIF('People'!$A$4:$A$1003,A1454)=0,"Email not on People",IF(COUNTIF('Holders'!$A$4:$A$1003,B1454)=0,"Unknown holder ID",IF(COUNTIFS($A$4:$A$1503,A1454,$B$4:$B$1503,B1454)&gt;1,"Duplicate link",IF(C1454="","Missing access","OK")))))</f>
        <v/>
      </c>
    </row>
    <row r="1455">
      <c r="A1455" s="26" t="n"/>
      <c r="B1455" s="26" t="n"/>
      <c r="C1455" s="26" t="n"/>
      <c r="D1455" s="26" t="n"/>
      <c r="E1455" s="30">
        <f>IF(B1455="","",IFERROR(INDEX('Holders'!$B$4:$B$1003,MATCH(B1455,'Holders'!$A$4:$A$1003,0)),""))</f>
        <v/>
      </c>
      <c r="F1455" s="30">
        <f t="array" ref="F1455">IF(B1455="","",_xlfn.TEXTJOIN(", ",TRUE,IF(('Companies'!$A$4:$A$63&lt;&gt;"")*(COUNTIFS('Holdings'!$A$4:$A$2503,B1455,'Holdings'!$J$4:$J$2503,'Companies'!$A$4:$A$63,'Holdings'!$L$4:$L$2503,"Yes",'Holdings'!$C$4:$C$2503,"&gt;0")&gt;0),'Companies'!$A$4:$A$63,"")))</f>
        <v/>
      </c>
      <c r="G1455" s="30">
        <f>IF(A1455="","",IF(COUNTIF('People'!$A$4:$A$1003,A1455)=0,"Email not on People",IF(COUNTIF('Holders'!$A$4:$A$1003,B1455)=0,"Unknown holder ID",IF(COUNTIFS($A$4:$A$1503,A1455,$B$4:$B$1503,B1455)&gt;1,"Duplicate link",IF(C1455="","Missing access","OK")))))</f>
        <v/>
      </c>
    </row>
    <row r="1456">
      <c r="A1456" s="26" t="n"/>
      <c r="B1456" s="26" t="n"/>
      <c r="C1456" s="26" t="n"/>
      <c r="D1456" s="26" t="n"/>
      <c r="E1456" s="30">
        <f>IF(B1456="","",IFERROR(INDEX('Holders'!$B$4:$B$1003,MATCH(B1456,'Holders'!$A$4:$A$1003,0)),""))</f>
        <v/>
      </c>
      <c r="F1456" s="30">
        <f t="array" ref="F1456">IF(B1456="","",_xlfn.TEXTJOIN(", ",TRUE,IF(('Companies'!$A$4:$A$63&lt;&gt;"")*(COUNTIFS('Holdings'!$A$4:$A$2503,B1456,'Holdings'!$J$4:$J$2503,'Companies'!$A$4:$A$63,'Holdings'!$L$4:$L$2503,"Yes",'Holdings'!$C$4:$C$2503,"&gt;0")&gt;0),'Companies'!$A$4:$A$63,"")))</f>
        <v/>
      </c>
      <c r="G1456" s="30">
        <f>IF(A1456="","",IF(COUNTIF('People'!$A$4:$A$1003,A1456)=0,"Email not on People",IF(COUNTIF('Holders'!$A$4:$A$1003,B1456)=0,"Unknown holder ID",IF(COUNTIFS($A$4:$A$1503,A1456,$B$4:$B$1503,B1456)&gt;1,"Duplicate link",IF(C1456="","Missing access","OK")))))</f>
        <v/>
      </c>
    </row>
    <row r="1457">
      <c r="A1457" s="26" t="n"/>
      <c r="B1457" s="26" t="n"/>
      <c r="C1457" s="26" t="n"/>
      <c r="D1457" s="26" t="n"/>
      <c r="E1457" s="30">
        <f>IF(B1457="","",IFERROR(INDEX('Holders'!$B$4:$B$1003,MATCH(B1457,'Holders'!$A$4:$A$1003,0)),""))</f>
        <v/>
      </c>
      <c r="F1457" s="30">
        <f t="array" ref="F1457">IF(B1457="","",_xlfn.TEXTJOIN(", ",TRUE,IF(('Companies'!$A$4:$A$63&lt;&gt;"")*(COUNTIFS('Holdings'!$A$4:$A$2503,B1457,'Holdings'!$J$4:$J$2503,'Companies'!$A$4:$A$63,'Holdings'!$L$4:$L$2503,"Yes",'Holdings'!$C$4:$C$2503,"&gt;0")&gt;0),'Companies'!$A$4:$A$63,"")))</f>
        <v/>
      </c>
      <c r="G1457" s="30">
        <f>IF(A1457="","",IF(COUNTIF('People'!$A$4:$A$1003,A1457)=0,"Email not on People",IF(COUNTIF('Holders'!$A$4:$A$1003,B1457)=0,"Unknown holder ID",IF(COUNTIFS($A$4:$A$1503,A1457,$B$4:$B$1503,B1457)&gt;1,"Duplicate link",IF(C1457="","Missing access","OK")))))</f>
        <v/>
      </c>
    </row>
    <row r="1458">
      <c r="A1458" s="26" t="n"/>
      <c r="B1458" s="26" t="n"/>
      <c r="C1458" s="26" t="n"/>
      <c r="D1458" s="26" t="n"/>
      <c r="E1458" s="30">
        <f>IF(B1458="","",IFERROR(INDEX('Holders'!$B$4:$B$1003,MATCH(B1458,'Holders'!$A$4:$A$1003,0)),""))</f>
        <v/>
      </c>
      <c r="F1458" s="30">
        <f t="array" ref="F1458">IF(B1458="","",_xlfn.TEXTJOIN(", ",TRUE,IF(('Companies'!$A$4:$A$63&lt;&gt;"")*(COUNTIFS('Holdings'!$A$4:$A$2503,B1458,'Holdings'!$J$4:$J$2503,'Companies'!$A$4:$A$63,'Holdings'!$L$4:$L$2503,"Yes",'Holdings'!$C$4:$C$2503,"&gt;0")&gt;0),'Companies'!$A$4:$A$63,"")))</f>
        <v/>
      </c>
      <c r="G1458" s="30">
        <f>IF(A1458="","",IF(COUNTIF('People'!$A$4:$A$1003,A1458)=0,"Email not on People",IF(COUNTIF('Holders'!$A$4:$A$1003,B1458)=0,"Unknown holder ID",IF(COUNTIFS($A$4:$A$1503,A1458,$B$4:$B$1503,B1458)&gt;1,"Duplicate link",IF(C1458="","Missing access","OK")))))</f>
        <v/>
      </c>
    </row>
    <row r="1459">
      <c r="A1459" s="26" t="n"/>
      <c r="B1459" s="26" t="n"/>
      <c r="C1459" s="26" t="n"/>
      <c r="D1459" s="26" t="n"/>
      <c r="E1459" s="30">
        <f>IF(B1459="","",IFERROR(INDEX('Holders'!$B$4:$B$1003,MATCH(B1459,'Holders'!$A$4:$A$1003,0)),""))</f>
        <v/>
      </c>
      <c r="F1459" s="30">
        <f t="array" ref="F1459">IF(B1459="","",_xlfn.TEXTJOIN(", ",TRUE,IF(('Companies'!$A$4:$A$63&lt;&gt;"")*(COUNTIFS('Holdings'!$A$4:$A$2503,B1459,'Holdings'!$J$4:$J$2503,'Companies'!$A$4:$A$63,'Holdings'!$L$4:$L$2503,"Yes",'Holdings'!$C$4:$C$2503,"&gt;0")&gt;0),'Companies'!$A$4:$A$63,"")))</f>
        <v/>
      </c>
      <c r="G1459" s="30">
        <f>IF(A1459="","",IF(COUNTIF('People'!$A$4:$A$1003,A1459)=0,"Email not on People",IF(COUNTIF('Holders'!$A$4:$A$1003,B1459)=0,"Unknown holder ID",IF(COUNTIFS($A$4:$A$1503,A1459,$B$4:$B$1503,B1459)&gt;1,"Duplicate link",IF(C1459="","Missing access","OK")))))</f>
        <v/>
      </c>
    </row>
    <row r="1460">
      <c r="A1460" s="26" t="n"/>
      <c r="B1460" s="26" t="n"/>
      <c r="C1460" s="26" t="n"/>
      <c r="D1460" s="26" t="n"/>
      <c r="E1460" s="30">
        <f>IF(B1460="","",IFERROR(INDEX('Holders'!$B$4:$B$1003,MATCH(B1460,'Holders'!$A$4:$A$1003,0)),""))</f>
        <v/>
      </c>
      <c r="F1460" s="30">
        <f t="array" ref="F1460">IF(B1460="","",_xlfn.TEXTJOIN(", ",TRUE,IF(('Companies'!$A$4:$A$63&lt;&gt;"")*(COUNTIFS('Holdings'!$A$4:$A$2503,B1460,'Holdings'!$J$4:$J$2503,'Companies'!$A$4:$A$63,'Holdings'!$L$4:$L$2503,"Yes",'Holdings'!$C$4:$C$2503,"&gt;0")&gt;0),'Companies'!$A$4:$A$63,"")))</f>
        <v/>
      </c>
      <c r="G1460" s="30">
        <f>IF(A1460="","",IF(COUNTIF('People'!$A$4:$A$1003,A1460)=0,"Email not on People",IF(COUNTIF('Holders'!$A$4:$A$1003,B1460)=0,"Unknown holder ID",IF(COUNTIFS($A$4:$A$1503,A1460,$B$4:$B$1503,B1460)&gt;1,"Duplicate link",IF(C1460="","Missing access","OK")))))</f>
        <v/>
      </c>
    </row>
    <row r="1461">
      <c r="A1461" s="26" t="n"/>
      <c r="B1461" s="26" t="n"/>
      <c r="C1461" s="26" t="n"/>
      <c r="D1461" s="26" t="n"/>
      <c r="E1461" s="30">
        <f>IF(B1461="","",IFERROR(INDEX('Holders'!$B$4:$B$1003,MATCH(B1461,'Holders'!$A$4:$A$1003,0)),""))</f>
        <v/>
      </c>
      <c r="F1461" s="30">
        <f t="array" ref="F1461">IF(B1461="","",_xlfn.TEXTJOIN(", ",TRUE,IF(('Companies'!$A$4:$A$63&lt;&gt;"")*(COUNTIFS('Holdings'!$A$4:$A$2503,B1461,'Holdings'!$J$4:$J$2503,'Companies'!$A$4:$A$63,'Holdings'!$L$4:$L$2503,"Yes",'Holdings'!$C$4:$C$2503,"&gt;0")&gt;0),'Companies'!$A$4:$A$63,"")))</f>
        <v/>
      </c>
      <c r="G1461" s="30">
        <f>IF(A1461="","",IF(COUNTIF('People'!$A$4:$A$1003,A1461)=0,"Email not on People",IF(COUNTIF('Holders'!$A$4:$A$1003,B1461)=0,"Unknown holder ID",IF(COUNTIFS($A$4:$A$1503,A1461,$B$4:$B$1503,B1461)&gt;1,"Duplicate link",IF(C1461="","Missing access","OK")))))</f>
        <v/>
      </c>
    </row>
    <row r="1462">
      <c r="A1462" s="26" t="n"/>
      <c r="B1462" s="26" t="n"/>
      <c r="C1462" s="26" t="n"/>
      <c r="D1462" s="26" t="n"/>
      <c r="E1462" s="30">
        <f>IF(B1462="","",IFERROR(INDEX('Holders'!$B$4:$B$1003,MATCH(B1462,'Holders'!$A$4:$A$1003,0)),""))</f>
        <v/>
      </c>
      <c r="F1462" s="30">
        <f t="array" ref="F1462">IF(B1462="","",_xlfn.TEXTJOIN(", ",TRUE,IF(('Companies'!$A$4:$A$63&lt;&gt;"")*(COUNTIFS('Holdings'!$A$4:$A$2503,B1462,'Holdings'!$J$4:$J$2503,'Companies'!$A$4:$A$63,'Holdings'!$L$4:$L$2503,"Yes",'Holdings'!$C$4:$C$2503,"&gt;0")&gt;0),'Companies'!$A$4:$A$63,"")))</f>
        <v/>
      </c>
      <c r="G1462" s="30">
        <f>IF(A1462="","",IF(COUNTIF('People'!$A$4:$A$1003,A1462)=0,"Email not on People",IF(COUNTIF('Holders'!$A$4:$A$1003,B1462)=0,"Unknown holder ID",IF(COUNTIFS($A$4:$A$1503,A1462,$B$4:$B$1503,B1462)&gt;1,"Duplicate link",IF(C1462="","Missing access","OK")))))</f>
        <v/>
      </c>
    </row>
    <row r="1463">
      <c r="A1463" s="26" t="n"/>
      <c r="B1463" s="26" t="n"/>
      <c r="C1463" s="26" t="n"/>
      <c r="D1463" s="26" t="n"/>
      <c r="E1463" s="30">
        <f>IF(B1463="","",IFERROR(INDEX('Holders'!$B$4:$B$1003,MATCH(B1463,'Holders'!$A$4:$A$1003,0)),""))</f>
        <v/>
      </c>
      <c r="F1463" s="30">
        <f t="array" ref="F1463">IF(B1463="","",_xlfn.TEXTJOIN(", ",TRUE,IF(('Companies'!$A$4:$A$63&lt;&gt;"")*(COUNTIFS('Holdings'!$A$4:$A$2503,B1463,'Holdings'!$J$4:$J$2503,'Companies'!$A$4:$A$63,'Holdings'!$L$4:$L$2503,"Yes",'Holdings'!$C$4:$C$2503,"&gt;0")&gt;0),'Companies'!$A$4:$A$63,"")))</f>
        <v/>
      </c>
      <c r="G1463" s="30">
        <f>IF(A1463="","",IF(COUNTIF('People'!$A$4:$A$1003,A1463)=0,"Email not on People",IF(COUNTIF('Holders'!$A$4:$A$1003,B1463)=0,"Unknown holder ID",IF(COUNTIFS($A$4:$A$1503,A1463,$B$4:$B$1503,B1463)&gt;1,"Duplicate link",IF(C1463="","Missing access","OK")))))</f>
        <v/>
      </c>
    </row>
    <row r="1464">
      <c r="A1464" s="26" t="n"/>
      <c r="B1464" s="26" t="n"/>
      <c r="C1464" s="26" t="n"/>
      <c r="D1464" s="26" t="n"/>
      <c r="E1464" s="30">
        <f>IF(B1464="","",IFERROR(INDEX('Holders'!$B$4:$B$1003,MATCH(B1464,'Holders'!$A$4:$A$1003,0)),""))</f>
        <v/>
      </c>
      <c r="F1464" s="30">
        <f t="array" ref="F1464">IF(B1464="","",_xlfn.TEXTJOIN(", ",TRUE,IF(('Companies'!$A$4:$A$63&lt;&gt;"")*(COUNTIFS('Holdings'!$A$4:$A$2503,B1464,'Holdings'!$J$4:$J$2503,'Companies'!$A$4:$A$63,'Holdings'!$L$4:$L$2503,"Yes",'Holdings'!$C$4:$C$2503,"&gt;0")&gt;0),'Companies'!$A$4:$A$63,"")))</f>
        <v/>
      </c>
      <c r="G1464" s="30">
        <f>IF(A1464="","",IF(COUNTIF('People'!$A$4:$A$1003,A1464)=0,"Email not on People",IF(COUNTIF('Holders'!$A$4:$A$1003,B1464)=0,"Unknown holder ID",IF(COUNTIFS($A$4:$A$1503,A1464,$B$4:$B$1503,B1464)&gt;1,"Duplicate link",IF(C1464="","Missing access","OK")))))</f>
        <v/>
      </c>
    </row>
    <row r="1465">
      <c r="A1465" s="26" t="n"/>
      <c r="B1465" s="26" t="n"/>
      <c r="C1465" s="26" t="n"/>
      <c r="D1465" s="26" t="n"/>
      <c r="E1465" s="30">
        <f>IF(B1465="","",IFERROR(INDEX('Holders'!$B$4:$B$1003,MATCH(B1465,'Holders'!$A$4:$A$1003,0)),""))</f>
        <v/>
      </c>
      <c r="F1465" s="30">
        <f t="array" ref="F1465">IF(B1465="","",_xlfn.TEXTJOIN(", ",TRUE,IF(('Companies'!$A$4:$A$63&lt;&gt;"")*(COUNTIFS('Holdings'!$A$4:$A$2503,B1465,'Holdings'!$J$4:$J$2503,'Companies'!$A$4:$A$63,'Holdings'!$L$4:$L$2503,"Yes",'Holdings'!$C$4:$C$2503,"&gt;0")&gt;0),'Companies'!$A$4:$A$63,"")))</f>
        <v/>
      </c>
      <c r="G1465" s="30">
        <f>IF(A1465="","",IF(COUNTIF('People'!$A$4:$A$1003,A1465)=0,"Email not on People",IF(COUNTIF('Holders'!$A$4:$A$1003,B1465)=0,"Unknown holder ID",IF(COUNTIFS($A$4:$A$1503,A1465,$B$4:$B$1503,B1465)&gt;1,"Duplicate link",IF(C1465="","Missing access","OK")))))</f>
        <v/>
      </c>
    </row>
    <row r="1466">
      <c r="A1466" s="26" t="n"/>
      <c r="B1466" s="26" t="n"/>
      <c r="C1466" s="26" t="n"/>
      <c r="D1466" s="26" t="n"/>
      <c r="E1466" s="30">
        <f>IF(B1466="","",IFERROR(INDEX('Holders'!$B$4:$B$1003,MATCH(B1466,'Holders'!$A$4:$A$1003,0)),""))</f>
        <v/>
      </c>
      <c r="F1466" s="30">
        <f t="array" ref="F1466">IF(B1466="","",_xlfn.TEXTJOIN(", ",TRUE,IF(('Companies'!$A$4:$A$63&lt;&gt;"")*(COUNTIFS('Holdings'!$A$4:$A$2503,B1466,'Holdings'!$J$4:$J$2503,'Companies'!$A$4:$A$63,'Holdings'!$L$4:$L$2503,"Yes",'Holdings'!$C$4:$C$2503,"&gt;0")&gt;0),'Companies'!$A$4:$A$63,"")))</f>
        <v/>
      </c>
      <c r="G1466" s="30">
        <f>IF(A1466="","",IF(COUNTIF('People'!$A$4:$A$1003,A1466)=0,"Email not on People",IF(COUNTIF('Holders'!$A$4:$A$1003,B1466)=0,"Unknown holder ID",IF(COUNTIFS($A$4:$A$1503,A1466,$B$4:$B$1503,B1466)&gt;1,"Duplicate link",IF(C1466="","Missing access","OK")))))</f>
        <v/>
      </c>
    </row>
    <row r="1467">
      <c r="A1467" s="26" t="n"/>
      <c r="B1467" s="26" t="n"/>
      <c r="C1467" s="26" t="n"/>
      <c r="D1467" s="26" t="n"/>
      <c r="E1467" s="30">
        <f>IF(B1467="","",IFERROR(INDEX('Holders'!$B$4:$B$1003,MATCH(B1467,'Holders'!$A$4:$A$1003,0)),""))</f>
        <v/>
      </c>
      <c r="F1467" s="30">
        <f t="array" ref="F1467">IF(B1467="","",_xlfn.TEXTJOIN(", ",TRUE,IF(('Companies'!$A$4:$A$63&lt;&gt;"")*(COUNTIFS('Holdings'!$A$4:$A$2503,B1467,'Holdings'!$J$4:$J$2503,'Companies'!$A$4:$A$63,'Holdings'!$L$4:$L$2503,"Yes",'Holdings'!$C$4:$C$2503,"&gt;0")&gt;0),'Companies'!$A$4:$A$63,"")))</f>
        <v/>
      </c>
      <c r="G1467" s="30">
        <f>IF(A1467="","",IF(COUNTIF('People'!$A$4:$A$1003,A1467)=0,"Email not on People",IF(COUNTIF('Holders'!$A$4:$A$1003,B1467)=0,"Unknown holder ID",IF(COUNTIFS($A$4:$A$1503,A1467,$B$4:$B$1503,B1467)&gt;1,"Duplicate link",IF(C1467="","Missing access","OK")))))</f>
        <v/>
      </c>
    </row>
    <row r="1468">
      <c r="A1468" s="26" t="n"/>
      <c r="B1468" s="26" t="n"/>
      <c r="C1468" s="26" t="n"/>
      <c r="D1468" s="26" t="n"/>
      <c r="E1468" s="30">
        <f>IF(B1468="","",IFERROR(INDEX('Holders'!$B$4:$B$1003,MATCH(B1468,'Holders'!$A$4:$A$1003,0)),""))</f>
        <v/>
      </c>
      <c r="F1468" s="30">
        <f t="array" ref="F1468">IF(B1468="","",_xlfn.TEXTJOIN(", ",TRUE,IF(('Companies'!$A$4:$A$63&lt;&gt;"")*(COUNTIFS('Holdings'!$A$4:$A$2503,B1468,'Holdings'!$J$4:$J$2503,'Companies'!$A$4:$A$63,'Holdings'!$L$4:$L$2503,"Yes",'Holdings'!$C$4:$C$2503,"&gt;0")&gt;0),'Companies'!$A$4:$A$63,"")))</f>
        <v/>
      </c>
      <c r="G1468" s="30">
        <f>IF(A1468="","",IF(COUNTIF('People'!$A$4:$A$1003,A1468)=0,"Email not on People",IF(COUNTIF('Holders'!$A$4:$A$1003,B1468)=0,"Unknown holder ID",IF(COUNTIFS($A$4:$A$1503,A1468,$B$4:$B$1503,B1468)&gt;1,"Duplicate link",IF(C1468="","Missing access","OK")))))</f>
        <v/>
      </c>
    </row>
    <row r="1469">
      <c r="A1469" s="26" t="n"/>
      <c r="B1469" s="26" t="n"/>
      <c r="C1469" s="26" t="n"/>
      <c r="D1469" s="26" t="n"/>
      <c r="E1469" s="30">
        <f>IF(B1469="","",IFERROR(INDEX('Holders'!$B$4:$B$1003,MATCH(B1469,'Holders'!$A$4:$A$1003,0)),""))</f>
        <v/>
      </c>
      <c r="F1469" s="30">
        <f t="array" ref="F1469">IF(B1469="","",_xlfn.TEXTJOIN(", ",TRUE,IF(('Companies'!$A$4:$A$63&lt;&gt;"")*(COUNTIFS('Holdings'!$A$4:$A$2503,B1469,'Holdings'!$J$4:$J$2503,'Companies'!$A$4:$A$63,'Holdings'!$L$4:$L$2503,"Yes",'Holdings'!$C$4:$C$2503,"&gt;0")&gt;0),'Companies'!$A$4:$A$63,"")))</f>
        <v/>
      </c>
      <c r="G1469" s="30">
        <f>IF(A1469="","",IF(COUNTIF('People'!$A$4:$A$1003,A1469)=0,"Email not on People",IF(COUNTIF('Holders'!$A$4:$A$1003,B1469)=0,"Unknown holder ID",IF(COUNTIFS($A$4:$A$1503,A1469,$B$4:$B$1503,B1469)&gt;1,"Duplicate link",IF(C1469="","Missing access","OK")))))</f>
        <v/>
      </c>
    </row>
    <row r="1470">
      <c r="A1470" s="26" t="n"/>
      <c r="B1470" s="26" t="n"/>
      <c r="C1470" s="26" t="n"/>
      <c r="D1470" s="26" t="n"/>
      <c r="E1470" s="30">
        <f>IF(B1470="","",IFERROR(INDEX('Holders'!$B$4:$B$1003,MATCH(B1470,'Holders'!$A$4:$A$1003,0)),""))</f>
        <v/>
      </c>
      <c r="F1470" s="30">
        <f t="array" ref="F1470">IF(B1470="","",_xlfn.TEXTJOIN(", ",TRUE,IF(('Companies'!$A$4:$A$63&lt;&gt;"")*(COUNTIFS('Holdings'!$A$4:$A$2503,B1470,'Holdings'!$J$4:$J$2503,'Companies'!$A$4:$A$63,'Holdings'!$L$4:$L$2503,"Yes",'Holdings'!$C$4:$C$2503,"&gt;0")&gt;0),'Companies'!$A$4:$A$63,"")))</f>
        <v/>
      </c>
      <c r="G1470" s="30">
        <f>IF(A1470="","",IF(COUNTIF('People'!$A$4:$A$1003,A1470)=0,"Email not on People",IF(COUNTIF('Holders'!$A$4:$A$1003,B1470)=0,"Unknown holder ID",IF(COUNTIFS($A$4:$A$1503,A1470,$B$4:$B$1503,B1470)&gt;1,"Duplicate link",IF(C1470="","Missing access","OK")))))</f>
        <v/>
      </c>
    </row>
    <row r="1471">
      <c r="A1471" s="26" t="n"/>
      <c r="B1471" s="26" t="n"/>
      <c r="C1471" s="26" t="n"/>
      <c r="D1471" s="26" t="n"/>
      <c r="E1471" s="30">
        <f>IF(B1471="","",IFERROR(INDEX('Holders'!$B$4:$B$1003,MATCH(B1471,'Holders'!$A$4:$A$1003,0)),""))</f>
        <v/>
      </c>
      <c r="F1471" s="30">
        <f t="array" ref="F1471">IF(B1471="","",_xlfn.TEXTJOIN(", ",TRUE,IF(('Companies'!$A$4:$A$63&lt;&gt;"")*(COUNTIFS('Holdings'!$A$4:$A$2503,B1471,'Holdings'!$J$4:$J$2503,'Companies'!$A$4:$A$63,'Holdings'!$L$4:$L$2503,"Yes",'Holdings'!$C$4:$C$2503,"&gt;0")&gt;0),'Companies'!$A$4:$A$63,"")))</f>
        <v/>
      </c>
      <c r="G1471" s="30">
        <f>IF(A1471="","",IF(COUNTIF('People'!$A$4:$A$1003,A1471)=0,"Email not on People",IF(COUNTIF('Holders'!$A$4:$A$1003,B1471)=0,"Unknown holder ID",IF(COUNTIFS($A$4:$A$1503,A1471,$B$4:$B$1503,B1471)&gt;1,"Duplicate link",IF(C1471="","Missing access","OK")))))</f>
        <v/>
      </c>
    </row>
    <row r="1472">
      <c r="A1472" s="26" t="n"/>
      <c r="B1472" s="26" t="n"/>
      <c r="C1472" s="26" t="n"/>
      <c r="D1472" s="26" t="n"/>
      <c r="E1472" s="30">
        <f>IF(B1472="","",IFERROR(INDEX('Holders'!$B$4:$B$1003,MATCH(B1472,'Holders'!$A$4:$A$1003,0)),""))</f>
        <v/>
      </c>
      <c r="F1472" s="30">
        <f t="array" ref="F1472">IF(B1472="","",_xlfn.TEXTJOIN(", ",TRUE,IF(('Companies'!$A$4:$A$63&lt;&gt;"")*(COUNTIFS('Holdings'!$A$4:$A$2503,B1472,'Holdings'!$J$4:$J$2503,'Companies'!$A$4:$A$63,'Holdings'!$L$4:$L$2503,"Yes",'Holdings'!$C$4:$C$2503,"&gt;0")&gt;0),'Companies'!$A$4:$A$63,"")))</f>
        <v/>
      </c>
      <c r="G1472" s="30">
        <f>IF(A1472="","",IF(COUNTIF('People'!$A$4:$A$1003,A1472)=0,"Email not on People",IF(COUNTIF('Holders'!$A$4:$A$1003,B1472)=0,"Unknown holder ID",IF(COUNTIFS($A$4:$A$1503,A1472,$B$4:$B$1503,B1472)&gt;1,"Duplicate link",IF(C1472="","Missing access","OK")))))</f>
        <v/>
      </c>
    </row>
    <row r="1473">
      <c r="A1473" s="26" t="n"/>
      <c r="B1473" s="26" t="n"/>
      <c r="C1473" s="26" t="n"/>
      <c r="D1473" s="26" t="n"/>
      <c r="E1473" s="30">
        <f>IF(B1473="","",IFERROR(INDEX('Holders'!$B$4:$B$1003,MATCH(B1473,'Holders'!$A$4:$A$1003,0)),""))</f>
        <v/>
      </c>
      <c r="F1473" s="30">
        <f t="array" ref="F1473">IF(B1473="","",_xlfn.TEXTJOIN(", ",TRUE,IF(('Companies'!$A$4:$A$63&lt;&gt;"")*(COUNTIFS('Holdings'!$A$4:$A$2503,B1473,'Holdings'!$J$4:$J$2503,'Companies'!$A$4:$A$63,'Holdings'!$L$4:$L$2503,"Yes",'Holdings'!$C$4:$C$2503,"&gt;0")&gt;0),'Companies'!$A$4:$A$63,"")))</f>
        <v/>
      </c>
      <c r="G1473" s="30">
        <f>IF(A1473="","",IF(COUNTIF('People'!$A$4:$A$1003,A1473)=0,"Email not on People",IF(COUNTIF('Holders'!$A$4:$A$1003,B1473)=0,"Unknown holder ID",IF(COUNTIFS($A$4:$A$1503,A1473,$B$4:$B$1503,B1473)&gt;1,"Duplicate link",IF(C1473="","Missing access","OK")))))</f>
        <v/>
      </c>
    </row>
    <row r="1474">
      <c r="A1474" s="26" t="n"/>
      <c r="B1474" s="26" t="n"/>
      <c r="C1474" s="26" t="n"/>
      <c r="D1474" s="26" t="n"/>
      <c r="E1474" s="30">
        <f>IF(B1474="","",IFERROR(INDEX('Holders'!$B$4:$B$1003,MATCH(B1474,'Holders'!$A$4:$A$1003,0)),""))</f>
        <v/>
      </c>
      <c r="F1474" s="30">
        <f t="array" ref="F1474">IF(B1474="","",_xlfn.TEXTJOIN(", ",TRUE,IF(('Companies'!$A$4:$A$63&lt;&gt;"")*(COUNTIFS('Holdings'!$A$4:$A$2503,B1474,'Holdings'!$J$4:$J$2503,'Companies'!$A$4:$A$63,'Holdings'!$L$4:$L$2503,"Yes",'Holdings'!$C$4:$C$2503,"&gt;0")&gt;0),'Companies'!$A$4:$A$63,"")))</f>
        <v/>
      </c>
      <c r="G1474" s="30">
        <f>IF(A1474="","",IF(COUNTIF('People'!$A$4:$A$1003,A1474)=0,"Email not on People",IF(COUNTIF('Holders'!$A$4:$A$1003,B1474)=0,"Unknown holder ID",IF(COUNTIFS($A$4:$A$1503,A1474,$B$4:$B$1503,B1474)&gt;1,"Duplicate link",IF(C1474="","Missing access","OK")))))</f>
        <v/>
      </c>
    </row>
    <row r="1475">
      <c r="A1475" s="26" t="n"/>
      <c r="B1475" s="26" t="n"/>
      <c r="C1475" s="26" t="n"/>
      <c r="D1475" s="26" t="n"/>
      <c r="E1475" s="30">
        <f>IF(B1475="","",IFERROR(INDEX('Holders'!$B$4:$B$1003,MATCH(B1475,'Holders'!$A$4:$A$1003,0)),""))</f>
        <v/>
      </c>
      <c r="F1475" s="30">
        <f t="array" ref="F1475">IF(B1475="","",_xlfn.TEXTJOIN(", ",TRUE,IF(('Companies'!$A$4:$A$63&lt;&gt;"")*(COUNTIFS('Holdings'!$A$4:$A$2503,B1475,'Holdings'!$J$4:$J$2503,'Companies'!$A$4:$A$63,'Holdings'!$L$4:$L$2503,"Yes",'Holdings'!$C$4:$C$2503,"&gt;0")&gt;0),'Companies'!$A$4:$A$63,"")))</f>
        <v/>
      </c>
      <c r="G1475" s="30">
        <f>IF(A1475="","",IF(COUNTIF('People'!$A$4:$A$1003,A1475)=0,"Email not on People",IF(COUNTIF('Holders'!$A$4:$A$1003,B1475)=0,"Unknown holder ID",IF(COUNTIFS($A$4:$A$1503,A1475,$B$4:$B$1503,B1475)&gt;1,"Duplicate link",IF(C1475="","Missing access","OK")))))</f>
        <v/>
      </c>
    </row>
    <row r="1476">
      <c r="A1476" s="26" t="n"/>
      <c r="B1476" s="26" t="n"/>
      <c r="C1476" s="26" t="n"/>
      <c r="D1476" s="26" t="n"/>
      <c r="E1476" s="30">
        <f>IF(B1476="","",IFERROR(INDEX('Holders'!$B$4:$B$1003,MATCH(B1476,'Holders'!$A$4:$A$1003,0)),""))</f>
        <v/>
      </c>
      <c r="F1476" s="30">
        <f t="array" ref="F1476">IF(B1476="","",_xlfn.TEXTJOIN(", ",TRUE,IF(('Companies'!$A$4:$A$63&lt;&gt;"")*(COUNTIFS('Holdings'!$A$4:$A$2503,B1476,'Holdings'!$J$4:$J$2503,'Companies'!$A$4:$A$63,'Holdings'!$L$4:$L$2503,"Yes",'Holdings'!$C$4:$C$2503,"&gt;0")&gt;0),'Companies'!$A$4:$A$63,"")))</f>
        <v/>
      </c>
      <c r="G1476" s="30">
        <f>IF(A1476="","",IF(COUNTIF('People'!$A$4:$A$1003,A1476)=0,"Email not on People",IF(COUNTIF('Holders'!$A$4:$A$1003,B1476)=0,"Unknown holder ID",IF(COUNTIFS($A$4:$A$1503,A1476,$B$4:$B$1503,B1476)&gt;1,"Duplicate link",IF(C1476="","Missing access","OK")))))</f>
        <v/>
      </c>
    </row>
    <row r="1477">
      <c r="A1477" s="26" t="n"/>
      <c r="B1477" s="26" t="n"/>
      <c r="C1477" s="26" t="n"/>
      <c r="D1477" s="26" t="n"/>
      <c r="E1477" s="30">
        <f>IF(B1477="","",IFERROR(INDEX('Holders'!$B$4:$B$1003,MATCH(B1477,'Holders'!$A$4:$A$1003,0)),""))</f>
        <v/>
      </c>
      <c r="F1477" s="30">
        <f t="array" ref="F1477">IF(B1477="","",_xlfn.TEXTJOIN(", ",TRUE,IF(('Companies'!$A$4:$A$63&lt;&gt;"")*(COUNTIFS('Holdings'!$A$4:$A$2503,B1477,'Holdings'!$J$4:$J$2503,'Companies'!$A$4:$A$63,'Holdings'!$L$4:$L$2503,"Yes",'Holdings'!$C$4:$C$2503,"&gt;0")&gt;0),'Companies'!$A$4:$A$63,"")))</f>
        <v/>
      </c>
      <c r="G1477" s="30">
        <f>IF(A1477="","",IF(COUNTIF('People'!$A$4:$A$1003,A1477)=0,"Email not on People",IF(COUNTIF('Holders'!$A$4:$A$1003,B1477)=0,"Unknown holder ID",IF(COUNTIFS($A$4:$A$1503,A1477,$B$4:$B$1503,B1477)&gt;1,"Duplicate link",IF(C1477="","Missing access","OK")))))</f>
        <v/>
      </c>
    </row>
    <row r="1478">
      <c r="A1478" s="26" t="n"/>
      <c r="B1478" s="26" t="n"/>
      <c r="C1478" s="26" t="n"/>
      <c r="D1478" s="26" t="n"/>
      <c r="E1478" s="30">
        <f>IF(B1478="","",IFERROR(INDEX('Holders'!$B$4:$B$1003,MATCH(B1478,'Holders'!$A$4:$A$1003,0)),""))</f>
        <v/>
      </c>
      <c r="F1478" s="30">
        <f t="array" ref="F1478">IF(B1478="","",_xlfn.TEXTJOIN(", ",TRUE,IF(('Companies'!$A$4:$A$63&lt;&gt;"")*(COUNTIFS('Holdings'!$A$4:$A$2503,B1478,'Holdings'!$J$4:$J$2503,'Companies'!$A$4:$A$63,'Holdings'!$L$4:$L$2503,"Yes",'Holdings'!$C$4:$C$2503,"&gt;0")&gt;0),'Companies'!$A$4:$A$63,"")))</f>
        <v/>
      </c>
      <c r="G1478" s="30">
        <f>IF(A1478="","",IF(COUNTIF('People'!$A$4:$A$1003,A1478)=0,"Email not on People",IF(COUNTIF('Holders'!$A$4:$A$1003,B1478)=0,"Unknown holder ID",IF(COUNTIFS($A$4:$A$1503,A1478,$B$4:$B$1503,B1478)&gt;1,"Duplicate link",IF(C1478="","Missing access","OK")))))</f>
        <v/>
      </c>
    </row>
    <row r="1479">
      <c r="A1479" s="26" t="n"/>
      <c r="B1479" s="26" t="n"/>
      <c r="C1479" s="26" t="n"/>
      <c r="D1479" s="26" t="n"/>
      <c r="E1479" s="30">
        <f>IF(B1479="","",IFERROR(INDEX('Holders'!$B$4:$B$1003,MATCH(B1479,'Holders'!$A$4:$A$1003,0)),""))</f>
        <v/>
      </c>
      <c r="F1479" s="30">
        <f t="array" ref="F1479">IF(B1479="","",_xlfn.TEXTJOIN(", ",TRUE,IF(('Companies'!$A$4:$A$63&lt;&gt;"")*(COUNTIFS('Holdings'!$A$4:$A$2503,B1479,'Holdings'!$J$4:$J$2503,'Companies'!$A$4:$A$63,'Holdings'!$L$4:$L$2503,"Yes",'Holdings'!$C$4:$C$2503,"&gt;0")&gt;0),'Companies'!$A$4:$A$63,"")))</f>
        <v/>
      </c>
      <c r="G1479" s="30">
        <f>IF(A1479="","",IF(COUNTIF('People'!$A$4:$A$1003,A1479)=0,"Email not on People",IF(COUNTIF('Holders'!$A$4:$A$1003,B1479)=0,"Unknown holder ID",IF(COUNTIFS($A$4:$A$1503,A1479,$B$4:$B$1503,B1479)&gt;1,"Duplicate link",IF(C1479="","Missing access","OK")))))</f>
        <v/>
      </c>
    </row>
    <row r="1480">
      <c r="A1480" s="26" t="n"/>
      <c r="B1480" s="26" t="n"/>
      <c r="C1480" s="26" t="n"/>
      <c r="D1480" s="26" t="n"/>
      <c r="E1480" s="30">
        <f>IF(B1480="","",IFERROR(INDEX('Holders'!$B$4:$B$1003,MATCH(B1480,'Holders'!$A$4:$A$1003,0)),""))</f>
        <v/>
      </c>
      <c r="F1480" s="30">
        <f t="array" ref="F1480">IF(B1480="","",_xlfn.TEXTJOIN(", ",TRUE,IF(('Companies'!$A$4:$A$63&lt;&gt;"")*(COUNTIFS('Holdings'!$A$4:$A$2503,B1480,'Holdings'!$J$4:$J$2503,'Companies'!$A$4:$A$63,'Holdings'!$L$4:$L$2503,"Yes",'Holdings'!$C$4:$C$2503,"&gt;0")&gt;0),'Companies'!$A$4:$A$63,"")))</f>
        <v/>
      </c>
      <c r="G1480" s="30">
        <f>IF(A1480="","",IF(COUNTIF('People'!$A$4:$A$1003,A1480)=0,"Email not on People",IF(COUNTIF('Holders'!$A$4:$A$1003,B1480)=0,"Unknown holder ID",IF(COUNTIFS($A$4:$A$1503,A1480,$B$4:$B$1503,B1480)&gt;1,"Duplicate link",IF(C1480="","Missing access","OK")))))</f>
        <v/>
      </c>
    </row>
    <row r="1481">
      <c r="A1481" s="26" t="n"/>
      <c r="B1481" s="26" t="n"/>
      <c r="C1481" s="26" t="n"/>
      <c r="D1481" s="26" t="n"/>
      <c r="E1481" s="30">
        <f>IF(B1481="","",IFERROR(INDEX('Holders'!$B$4:$B$1003,MATCH(B1481,'Holders'!$A$4:$A$1003,0)),""))</f>
        <v/>
      </c>
      <c r="F1481" s="30">
        <f t="array" ref="F1481">IF(B1481="","",_xlfn.TEXTJOIN(", ",TRUE,IF(('Companies'!$A$4:$A$63&lt;&gt;"")*(COUNTIFS('Holdings'!$A$4:$A$2503,B1481,'Holdings'!$J$4:$J$2503,'Companies'!$A$4:$A$63,'Holdings'!$L$4:$L$2503,"Yes",'Holdings'!$C$4:$C$2503,"&gt;0")&gt;0),'Companies'!$A$4:$A$63,"")))</f>
        <v/>
      </c>
      <c r="G1481" s="30">
        <f>IF(A1481="","",IF(COUNTIF('People'!$A$4:$A$1003,A1481)=0,"Email not on People",IF(COUNTIF('Holders'!$A$4:$A$1003,B1481)=0,"Unknown holder ID",IF(COUNTIFS($A$4:$A$1503,A1481,$B$4:$B$1503,B1481)&gt;1,"Duplicate link",IF(C1481="","Missing access","OK")))))</f>
        <v/>
      </c>
    </row>
    <row r="1482">
      <c r="A1482" s="26" t="n"/>
      <c r="B1482" s="26" t="n"/>
      <c r="C1482" s="26" t="n"/>
      <c r="D1482" s="26" t="n"/>
      <c r="E1482" s="30">
        <f>IF(B1482="","",IFERROR(INDEX('Holders'!$B$4:$B$1003,MATCH(B1482,'Holders'!$A$4:$A$1003,0)),""))</f>
        <v/>
      </c>
      <c r="F1482" s="30">
        <f t="array" ref="F1482">IF(B1482="","",_xlfn.TEXTJOIN(", ",TRUE,IF(('Companies'!$A$4:$A$63&lt;&gt;"")*(COUNTIFS('Holdings'!$A$4:$A$2503,B1482,'Holdings'!$J$4:$J$2503,'Companies'!$A$4:$A$63,'Holdings'!$L$4:$L$2503,"Yes",'Holdings'!$C$4:$C$2503,"&gt;0")&gt;0),'Companies'!$A$4:$A$63,"")))</f>
        <v/>
      </c>
      <c r="G1482" s="30">
        <f>IF(A1482="","",IF(COUNTIF('People'!$A$4:$A$1003,A1482)=0,"Email not on People",IF(COUNTIF('Holders'!$A$4:$A$1003,B1482)=0,"Unknown holder ID",IF(COUNTIFS($A$4:$A$1503,A1482,$B$4:$B$1503,B1482)&gt;1,"Duplicate link",IF(C1482="","Missing access","OK")))))</f>
        <v/>
      </c>
    </row>
    <row r="1483">
      <c r="A1483" s="26" t="n"/>
      <c r="B1483" s="26" t="n"/>
      <c r="C1483" s="26" t="n"/>
      <c r="D1483" s="26" t="n"/>
      <c r="E1483" s="30">
        <f>IF(B1483="","",IFERROR(INDEX('Holders'!$B$4:$B$1003,MATCH(B1483,'Holders'!$A$4:$A$1003,0)),""))</f>
        <v/>
      </c>
      <c r="F1483" s="30">
        <f t="array" ref="F1483">IF(B1483="","",_xlfn.TEXTJOIN(", ",TRUE,IF(('Companies'!$A$4:$A$63&lt;&gt;"")*(COUNTIFS('Holdings'!$A$4:$A$2503,B1483,'Holdings'!$J$4:$J$2503,'Companies'!$A$4:$A$63,'Holdings'!$L$4:$L$2503,"Yes",'Holdings'!$C$4:$C$2503,"&gt;0")&gt;0),'Companies'!$A$4:$A$63,"")))</f>
        <v/>
      </c>
      <c r="G1483" s="30">
        <f>IF(A1483="","",IF(COUNTIF('People'!$A$4:$A$1003,A1483)=0,"Email not on People",IF(COUNTIF('Holders'!$A$4:$A$1003,B1483)=0,"Unknown holder ID",IF(COUNTIFS($A$4:$A$1503,A1483,$B$4:$B$1503,B1483)&gt;1,"Duplicate link",IF(C1483="","Missing access","OK")))))</f>
        <v/>
      </c>
    </row>
    <row r="1484">
      <c r="A1484" s="26" t="n"/>
      <c r="B1484" s="26" t="n"/>
      <c r="C1484" s="26" t="n"/>
      <c r="D1484" s="26" t="n"/>
      <c r="E1484" s="30">
        <f>IF(B1484="","",IFERROR(INDEX('Holders'!$B$4:$B$1003,MATCH(B1484,'Holders'!$A$4:$A$1003,0)),""))</f>
        <v/>
      </c>
      <c r="F1484" s="30">
        <f t="array" ref="F1484">IF(B1484="","",_xlfn.TEXTJOIN(", ",TRUE,IF(('Companies'!$A$4:$A$63&lt;&gt;"")*(COUNTIFS('Holdings'!$A$4:$A$2503,B1484,'Holdings'!$J$4:$J$2503,'Companies'!$A$4:$A$63,'Holdings'!$L$4:$L$2503,"Yes",'Holdings'!$C$4:$C$2503,"&gt;0")&gt;0),'Companies'!$A$4:$A$63,"")))</f>
        <v/>
      </c>
      <c r="G1484" s="30">
        <f>IF(A1484="","",IF(COUNTIF('People'!$A$4:$A$1003,A1484)=0,"Email not on People",IF(COUNTIF('Holders'!$A$4:$A$1003,B1484)=0,"Unknown holder ID",IF(COUNTIFS($A$4:$A$1503,A1484,$B$4:$B$1503,B1484)&gt;1,"Duplicate link",IF(C1484="","Missing access","OK")))))</f>
        <v/>
      </c>
    </row>
    <row r="1485">
      <c r="A1485" s="26" t="n"/>
      <c r="B1485" s="26" t="n"/>
      <c r="C1485" s="26" t="n"/>
      <c r="D1485" s="26" t="n"/>
      <c r="E1485" s="30">
        <f>IF(B1485="","",IFERROR(INDEX('Holders'!$B$4:$B$1003,MATCH(B1485,'Holders'!$A$4:$A$1003,0)),""))</f>
        <v/>
      </c>
      <c r="F1485" s="30">
        <f t="array" ref="F1485">IF(B1485="","",_xlfn.TEXTJOIN(", ",TRUE,IF(('Companies'!$A$4:$A$63&lt;&gt;"")*(COUNTIFS('Holdings'!$A$4:$A$2503,B1485,'Holdings'!$J$4:$J$2503,'Companies'!$A$4:$A$63,'Holdings'!$L$4:$L$2503,"Yes",'Holdings'!$C$4:$C$2503,"&gt;0")&gt;0),'Companies'!$A$4:$A$63,"")))</f>
        <v/>
      </c>
      <c r="G1485" s="30">
        <f>IF(A1485="","",IF(COUNTIF('People'!$A$4:$A$1003,A1485)=0,"Email not on People",IF(COUNTIF('Holders'!$A$4:$A$1003,B1485)=0,"Unknown holder ID",IF(COUNTIFS($A$4:$A$1503,A1485,$B$4:$B$1503,B1485)&gt;1,"Duplicate link",IF(C1485="","Missing access","OK")))))</f>
        <v/>
      </c>
    </row>
    <row r="1486">
      <c r="A1486" s="26" t="n"/>
      <c r="B1486" s="26" t="n"/>
      <c r="C1486" s="26" t="n"/>
      <c r="D1486" s="26" t="n"/>
      <c r="E1486" s="30">
        <f>IF(B1486="","",IFERROR(INDEX('Holders'!$B$4:$B$1003,MATCH(B1486,'Holders'!$A$4:$A$1003,0)),""))</f>
        <v/>
      </c>
      <c r="F1486" s="30">
        <f t="array" ref="F1486">IF(B1486="","",_xlfn.TEXTJOIN(", ",TRUE,IF(('Companies'!$A$4:$A$63&lt;&gt;"")*(COUNTIFS('Holdings'!$A$4:$A$2503,B1486,'Holdings'!$J$4:$J$2503,'Companies'!$A$4:$A$63,'Holdings'!$L$4:$L$2503,"Yes",'Holdings'!$C$4:$C$2503,"&gt;0")&gt;0),'Companies'!$A$4:$A$63,"")))</f>
        <v/>
      </c>
      <c r="G1486" s="30">
        <f>IF(A1486="","",IF(COUNTIF('People'!$A$4:$A$1003,A1486)=0,"Email not on People",IF(COUNTIF('Holders'!$A$4:$A$1003,B1486)=0,"Unknown holder ID",IF(COUNTIFS($A$4:$A$1503,A1486,$B$4:$B$1503,B1486)&gt;1,"Duplicate link",IF(C1486="","Missing access","OK")))))</f>
        <v/>
      </c>
    </row>
    <row r="1487">
      <c r="A1487" s="26" t="n"/>
      <c r="B1487" s="26" t="n"/>
      <c r="C1487" s="26" t="n"/>
      <c r="D1487" s="26" t="n"/>
      <c r="E1487" s="30">
        <f>IF(B1487="","",IFERROR(INDEX('Holders'!$B$4:$B$1003,MATCH(B1487,'Holders'!$A$4:$A$1003,0)),""))</f>
        <v/>
      </c>
      <c r="F1487" s="30">
        <f t="array" ref="F1487">IF(B1487="","",_xlfn.TEXTJOIN(", ",TRUE,IF(('Companies'!$A$4:$A$63&lt;&gt;"")*(COUNTIFS('Holdings'!$A$4:$A$2503,B1487,'Holdings'!$J$4:$J$2503,'Companies'!$A$4:$A$63,'Holdings'!$L$4:$L$2503,"Yes",'Holdings'!$C$4:$C$2503,"&gt;0")&gt;0),'Companies'!$A$4:$A$63,"")))</f>
        <v/>
      </c>
      <c r="G1487" s="30">
        <f>IF(A1487="","",IF(COUNTIF('People'!$A$4:$A$1003,A1487)=0,"Email not on People",IF(COUNTIF('Holders'!$A$4:$A$1003,B1487)=0,"Unknown holder ID",IF(COUNTIFS($A$4:$A$1503,A1487,$B$4:$B$1503,B1487)&gt;1,"Duplicate link",IF(C1487="","Missing access","OK")))))</f>
        <v/>
      </c>
    </row>
    <row r="1488">
      <c r="A1488" s="26" t="n"/>
      <c r="B1488" s="26" t="n"/>
      <c r="C1488" s="26" t="n"/>
      <c r="D1488" s="26" t="n"/>
      <c r="E1488" s="30">
        <f>IF(B1488="","",IFERROR(INDEX('Holders'!$B$4:$B$1003,MATCH(B1488,'Holders'!$A$4:$A$1003,0)),""))</f>
        <v/>
      </c>
      <c r="F1488" s="30">
        <f t="array" ref="F1488">IF(B1488="","",_xlfn.TEXTJOIN(", ",TRUE,IF(('Companies'!$A$4:$A$63&lt;&gt;"")*(COUNTIFS('Holdings'!$A$4:$A$2503,B1488,'Holdings'!$J$4:$J$2503,'Companies'!$A$4:$A$63,'Holdings'!$L$4:$L$2503,"Yes",'Holdings'!$C$4:$C$2503,"&gt;0")&gt;0),'Companies'!$A$4:$A$63,"")))</f>
        <v/>
      </c>
      <c r="G1488" s="30">
        <f>IF(A1488="","",IF(COUNTIF('People'!$A$4:$A$1003,A1488)=0,"Email not on People",IF(COUNTIF('Holders'!$A$4:$A$1003,B1488)=0,"Unknown holder ID",IF(COUNTIFS($A$4:$A$1503,A1488,$B$4:$B$1503,B1488)&gt;1,"Duplicate link",IF(C1488="","Missing access","OK")))))</f>
        <v/>
      </c>
    </row>
    <row r="1489">
      <c r="A1489" s="26" t="n"/>
      <c r="B1489" s="26" t="n"/>
      <c r="C1489" s="26" t="n"/>
      <c r="D1489" s="26" t="n"/>
      <c r="E1489" s="30">
        <f>IF(B1489="","",IFERROR(INDEX('Holders'!$B$4:$B$1003,MATCH(B1489,'Holders'!$A$4:$A$1003,0)),""))</f>
        <v/>
      </c>
      <c r="F1489" s="30">
        <f t="array" ref="F1489">IF(B1489="","",_xlfn.TEXTJOIN(", ",TRUE,IF(('Companies'!$A$4:$A$63&lt;&gt;"")*(COUNTIFS('Holdings'!$A$4:$A$2503,B1489,'Holdings'!$J$4:$J$2503,'Companies'!$A$4:$A$63,'Holdings'!$L$4:$L$2503,"Yes",'Holdings'!$C$4:$C$2503,"&gt;0")&gt;0),'Companies'!$A$4:$A$63,"")))</f>
        <v/>
      </c>
      <c r="G1489" s="30">
        <f>IF(A1489="","",IF(COUNTIF('People'!$A$4:$A$1003,A1489)=0,"Email not on People",IF(COUNTIF('Holders'!$A$4:$A$1003,B1489)=0,"Unknown holder ID",IF(COUNTIFS($A$4:$A$1503,A1489,$B$4:$B$1503,B1489)&gt;1,"Duplicate link",IF(C1489="","Missing access","OK")))))</f>
        <v/>
      </c>
    </row>
    <row r="1490">
      <c r="A1490" s="26" t="n"/>
      <c r="B1490" s="26" t="n"/>
      <c r="C1490" s="26" t="n"/>
      <c r="D1490" s="26" t="n"/>
      <c r="E1490" s="30">
        <f>IF(B1490="","",IFERROR(INDEX('Holders'!$B$4:$B$1003,MATCH(B1490,'Holders'!$A$4:$A$1003,0)),""))</f>
        <v/>
      </c>
      <c r="F1490" s="30">
        <f t="array" ref="F1490">IF(B1490="","",_xlfn.TEXTJOIN(", ",TRUE,IF(('Companies'!$A$4:$A$63&lt;&gt;"")*(COUNTIFS('Holdings'!$A$4:$A$2503,B1490,'Holdings'!$J$4:$J$2503,'Companies'!$A$4:$A$63,'Holdings'!$L$4:$L$2503,"Yes",'Holdings'!$C$4:$C$2503,"&gt;0")&gt;0),'Companies'!$A$4:$A$63,"")))</f>
        <v/>
      </c>
      <c r="G1490" s="30">
        <f>IF(A1490="","",IF(COUNTIF('People'!$A$4:$A$1003,A1490)=0,"Email not on People",IF(COUNTIF('Holders'!$A$4:$A$1003,B1490)=0,"Unknown holder ID",IF(COUNTIFS($A$4:$A$1503,A1490,$B$4:$B$1503,B1490)&gt;1,"Duplicate link",IF(C1490="","Missing access","OK")))))</f>
        <v/>
      </c>
    </row>
    <row r="1491">
      <c r="A1491" s="26" t="n"/>
      <c r="B1491" s="26" t="n"/>
      <c r="C1491" s="26" t="n"/>
      <c r="D1491" s="26" t="n"/>
      <c r="E1491" s="30">
        <f>IF(B1491="","",IFERROR(INDEX('Holders'!$B$4:$B$1003,MATCH(B1491,'Holders'!$A$4:$A$1003,0)),""))</f>
        <v/>
      </c>
      <c r="F1491" s="30">
        <f t="array" ref="F1491">IF(B1491="","",_xlfn.TEXTJOIN(", ",TRUE,IF(('Companies'!$A$4:$A$63&lt;&gt;"")*(COUNTIFS('Holdings'!$A$4:$A$2503,B1491,'Holdings'!$J$4:$J$2503,'Companies'!$A$4:$A$63,'Holdings'!$L$4:$L$2503,"Yes",'Holdings'!$C$4:$C$2503,"&gt;0")&gt;0),'Companies'!$A$4:$A$63,"")))</f>
        <v/>
      </c>
      <c r="G1491" s="30">
        <f>IF(A1491="","",IF(COUNTIF('People'!$A$4:$A$1003,A1491)=0,"Email not on People",IF(COUNTIF('Holders'!$A$4:$A$1003,B1491)=0,"Unknown holder ID",IF(COUNTIFS($A$4:$A$1503,A1491,$B$4:$B$1503,B1491)&gt;1,"Duplicate link",IF(C1491="","Missing access","OK")))))</f>
        <v/>
      </c>
    </row>
    <row r="1492">
      <c r="A1492" s="26" t="n"/>
      <c r="B1492" s="26" t="n"/>
      <c r="C1492" s="26" t="n"/>
      <c r="D1492" s="26" t="n"/>
      <c r="E1492" s="30">
        <f>IF(B1492="","",IFERROR(INDEX('Holders'!$B$4:$B$1003,MATCH(B1492,'Holders'!$A$4:$A$1003,0)),""))</f>
        <v/>
      </c>
      <c r="F1492" s="30">
        <f t="array" ref="F1492">IF(B1492="","",_xlfn.TEXTJOIN(", ",TRUE,IF(('Companies'!$A$4:$A$63&lt;&gt;"")*(COUNTIFS('Holdings'!$A$4:$A$2503,B1492,'Holdings'!$J$4:$J$2503,'Companies'!$A$4:$A$63,'Holdings'!$L$4:$L$2503,"Yes",'Holdings'!$C$4:$C$2503,"&gt;0")&gt;0),'Companies'!$A$4:$A$63,"")))</f>
        <v/>
      </c>
      <c r="G1492" s="30">
        <f>IF(A1492="","",IF(COUNTIF('People'!$A$4:$A$1003,A1492)=0,"Email not on People",IF(COUNTIF('Holders'!$A$4:$A$1003,B1492)=0,"Unknown holder ID",IF(COUNTIFS($A$4:$A$1503,A1492,$B$4:$B$1503,B1492)&gt;1,"Duplicate link",IF(C1492="","Missing access","OK")))))</f>
        <v/>
      </c>
    </row>
    <row r="1493">
      <c r="A1493" s="26" t="n"/>
      <c r="B1493" s="26" t="n"/>
      <c r="C1493" s="26" t="n"/>
      <c r="D1493" s="26" t="n"/>
      <c r="E1493" s="30">
        <f>IF(B1493="","",IFERROR(INDEX('Holders'!$B$4:$B$1003,MATCH(B1493,'Holders'!$A$4:$A$1003,0)),""))</f>
        <v/>
      </c>
      <c r="F1493" s="30">
        <f t="array" ref="F1493">IF(B1493="","",_xlfn.TEXTJOIN(", ",TRUE,IF(('Companies'!$A$4:$A$63&lt;&gt;"")*(COUNTIFS('Holdings'!$A$4:$A$2503,B1493,'Holdings'!$J$4:$J$2503,'Companies'!$A$4:$A$63,'Holdings'!$L$4:$L$2503,"Yes",'Holdings'!$C$4:$C$2503,"&gt;0")&gt;0),'Companies'!$A$4:$A$63,"")))</f>
        <v/>
      </c>
      <c r="G1493" s="30">
        <f>IF(A1493="","",IF(COUNTIF('People'!$A$4:$A$1003,A1493)=0,"Email not on People",IF(COUNTIF('Holders'!$A$4:$A$1003,B1493)=0,"Unknown holder ID",IF(COUNTIFS($A$4:$A$1503,A1493,$B$4:$B$1503,B1493)&gt;1,"Duplicate link",IF(C1493="","Missing access","OK")))))</f>
        <v/>
      </c>
    </row>
    <row r="1494">
      <c r="A1494" s="26" t="n"/>
      <c r="B1494" s="26" t="n"/>
      <c r="C1494" s="26" t="n"/>
      <c r="D1494" s="26" t="n"/>
      <c r="E1494" s="30">
        <f>IF(B1494="","",IFERROR(INDEX('Holders'!$B$4:$B$1003,MATCH(B1494,'Holders'!$A$4:$A$1003,0)),""))</f>
        <v/>
      </c>
      <c r="F1494" s="30">
        <f t="array" ref="F1494">IF(B1494="","",_xlfn.TEXTJOIN(", ",TRUE,IF(('Companies'!$A$4:$A$63&lt;&gt;"")*(COUNTIFS('Holdings'!$A$4:$A$2503,B1494,'Holdings'!$J$4:$J$2503,'Companies'!$A$4:$A$63,'Holdings'!$L$4:$L$2503,"Yes",'Holdings'!$C$4:$C$2503,"&gt;0")&gt;0),'Companies'!$A$4:$A$63,"")))</f>
        <v/>
      </c>
      <c r="G1494" s="30">
        <f>IF(A1494="","",IF(COUNTIF('People'!$A$4:$A$1003,A1494)=0,"Email not on People",IF(COUNTIF('Holders'!$A$4:$A$1003,B1494)=0,"Unknown holder ID",IF(COUNTIFS($A$4:$A$1503,A1494,$B$4:$B$1503,B1494)&gt;1,"Duplicate link",IF(C1494="","Missing access","OK")))))</f>
        <v/>
      </c>
    </row>
    <row r="1495">
      <c r="A1495" s="26" t="n"/>
      <c r="B1495" s="26" t="n"/>
      <c r="C1495" s="26" t="n"/>
      <c r="D1495" s="26" t="n"/>
      <c r="E1495" s="30">
        <f>IF(B1495="","",IFERROR(INDEX('Holders'!$B$4:$B$1003,MATCH(B1495,'Holders'!$A$4:$A$1003,0)),""))</f>
        <v/>
      </c>
      <c r="F1495" s="30">
        <f t="array" ref="F1495">IF(B1495="","",_xlfn.TEXTJOIN(", ",TRUE,IF(('Companies'!$A$4:$A$63&lt;&gt;"")*(COUNTIFS('Holdings'!$A$4:$A$2503,B1495,'Holdings'!$J$4:$J$2503,'Companies'!$A$4:$A$63,'Holdings'!$L$4:$L$2503,"Yes",'Holdings'!$C$4:$C$2503,"&gt;0")&gt;0),'Companies'!$A$4:$A$63,"")))</f>
        <v/>
      </c>
      <c r="G1495" s="30">
        <f>IF(A1495="","",IF(COUNTIF('People'!$A$4:$A$1003,A1495)=0,"Email not on People",IF(COUNTIF('Holders'!$A$4:$A$1003,B1495)=0,"Unknown holder ID",IF(COUNTIFS($A$4:$A$1503,A1495,$B$4:$B$1503,B1495)&gt;1,"Duplicate link",IF(C1495="","Missing access","OK")))))</f>
        <v/>
      </c>
    </row>
    <row r="1496">
      <c r="A1496" s="26" t="n"/>
      <c r="B1496" s="26" t="n"/>
      <c r="C1496" s="26" t="n"/>
      <c r="D1496" s="26" t="n"/>
      <c r="E1496" s="30">
        <f>IF(B1496="","",IFERROR(INDEX('Holders'!$B$4:$B$1003,MATCH(B1496,'Holders'!$A$4:$A$1003,0)),""))</f>
        <v/>
      </c>
      <c r="F1496" s="30">
        <f t="array" ref="F1496">IF(B1496="","",_xlfn.TEXTJOIN(", ",TRUE,IF(('Companies'!$A$4:$A$63&lt;&gt;"")*(COUNTIFS('Holdings'!$A$4:$A$2503,B1496,'Holdings'!$J$4:$J$2503,'Companies'!$A$4:$A$63,'Holdings'!$L$4:$L$2503,"Yes",'Holdings'!$C$4:$C$2503,"&gt;0")&gt;0),'Companies'!$A$4:$A$63,"")))</f>
        <v/>
      </c>
      <c r="G1496" s="30">
        <f>IF(A1496="","",IF(COUNTIF('People'!$A$4:$A$1003,A1496)=0,"Email not on People",IF(COUNTIF('Holders'!$A$4:$A$1003,B1496)=0,"Unknown holder ID",IF(COUNTIFS($A$4:$A$1503,A1496,$B$4:$B$1503,B1496)&gt;1,"Duplicate link",IF(C1496="","Missing access","OK")))))</f>
        <v/>
      </c>
    </row>
    <row r="1497">
      <c r="A1497" s="26" t="n"/>
      <c r="B1497" s="26" t="n"/>
      <c r="C1497" s="26" t="n"/>
      <c r="D1497" s="26" t="n"/>
      <c r="E1497" s="30">
        <f>IF(B1497="","",IFERROR(INDEX('Holders'!$B$4:$B$1003,MATCH(B1497,'Holders'!$A$4:$A$1003,0)),""))</f>
        <v/>
      </c>
      <c r="F1497" s="30">
        <f t="array" ref="F1497">IF(B1497="","",_xlfn.TEXTJOIN(", ",TRUE,IF(('Companies'!$A$4:$A$63&lt;&gt;"")*(COUNTIFS('Holdings'!$A$4:$A$2503,B1497,'Holdings'!$J$4:$J$2503,'Companies'!$A$4:$A$63,'Holdings'!$L$4:$L$2503,"Yes",'Holdings'!$C$4:$C$2503,"&gt;0")&gt;0),'Companies'!$A$4:$A$63,"")))</f>
        <v/>
      </c>
      <c r="G1497" s="30">
        <f>IF(A1497="","",IF(COUNTIF('People'!$A$4:$A$1003,A1497)=0,"Email not on People",IF(COUNTIF('Holders'!$A$4:$A$1003,B1497)=0,"Unknown holder ID",IF(COUNTIFS($A$4:$A$1503,A1497,$B$4:$B$1503,B1497)&gt;1,"Duplicate link",IF(C1497="","Missing access","OK")))))</f>
        <v/>
      </c>
    </row>
    <row r="1498">
      <c r="A1498" s="26" t="n"/>
      <c r="B1498" s="26" t="n"/>
      <c r="C1498" s="26" t="n"/>
      <c r="D1498" s="26" t="n"/>
      <c r="E1498" s="30">
        <f>IF(B1498="","",IFERROR(INDEX('Holders'!$B$4:$B$1003,MATCH(B1498,'Holders'!$A$4:$A$1003,0)),""))</f>
        <v/>
      </c>
      <c r="F1498" s="30">
        <f t="array" ref="F1498">IF(B1498="","",_xlfn.TEXTJOIN(", ",TRUE,IF(('Companies'!$A$4:$A$63&lt;&gt;"")*(COUNTIFS('Holdings'!$A$4:$A$2503,B1498,'Holdings'!$J$4:$J$2503,'Companies'!$A$4:$A$63,'Holdings'!$L$4:$L$2503,"Yes",'Holdings'!$C$4:$C$2503,"&gt;0")&gt;0),'Companies'!$A$4:$A$63,"")))</f>
        <v/>
      </c>
      <c r="G1498" s="30">
        <f>IF(A1498="","",IF(COUNTIF('People'!$A$4:$A$1003,A1498)=0,"Email not on People",IF(COUNTIF('Holders'!$A$4:$A$1003,B1498)=0,"Unknown holder ID",IF(COUNTIFS($A$4:$A$1503,A1498,$B$4:$B$1503,B1498)&gt;1,"Duplicate link",IF(C1498="","Missing access","OK")))))</f>
        <v/>
      </c>
    </row>
    <row r="1499">
      <c r="A1499" s="26" t="n"/>
      <c r="B1499" s="26" t="n"/>
      <c r="C1499" s="26" t="n"/>
      <c r="D1499" s="26" t="n"/>
      <c r="E1499" s="30">
        <f>IF(B1499="","",IFERROR(INDEX('Holders'!$B$4:$B$1003,MATCH(B1499,'Holders'!$A$4:$A$1003,0)),""))</f>
        <v/>
      </c>
      <c r="F1499" s="30">
        <f t="array" ref="F1499">IF(B1499="","",_xlfn.TEXTJOIN(", ",TRUE,IF(('Companies'!$A$4:$A$63&lt;&gt;"")*(COUNTIFS('Holdings'!$A$4:$A$2503,B1499,'Holdings'!$J$4:$J$2503,'Companies'!$A$4:$A$63,'Holdings'!$L$4:$L$2503,"Yes",'Holdings'!$C$4:$C$2503,"&gt;0")&gt;0),'Companies'!$A$4:$A$63,"")))</f>
        <v/>
      </c>
      <c r="G1499" s="30">
        <f>IF(A1499="","",IF(COUNTIF('People'!$A$4:$A$1003,A1499)=0,"Email not on People",IF(COUNTIF('Holders'!$A$4:$A$1003,B1499)=0,"Unknown holder ID",IF(COUNTIFS($A$4:$A$1503,A1499,$B$4:$B$1503,B1499)&gt;1,"Duplicate link",IF(C1499="","Missing access","OK")))))</f>
        <v/>
      </c>
    </row>
    <row r="1500">
      <c r="A1500" s="26" t="n"/>
      <c r="B1500" s="26" t="n"/>
      <c r="C1500" s="26" t="n"/>
      <c r="D1500" s="26" t="n"/>
      <c r="E1500" s="30">
        <f>IF(B1500="","",IFERROR(INDEX('Holders'!$B$4:$B$1003,MATCH(B1500,'Holders'!$A$4:$A$1003,0)),""))</f>
        <v/>
      </c>
      <c r="F1500" s="30">
        <f t="array" ref="F1500">IF(B1500="","",_xlfn.TEXTJOIN(", ",TRUE,IF(('Companies'!$A$4:$A$63&lt;&gt;"")*(COUNTIFS('Holdings'!$A$4:$A$2503,B1500,'Holdings'!$J$4:$J$2503,'Companies'!$A$4:$A$63,'Holdings'!$L$4:$L$2503,"Yes",'Holdings'!$C$4:$C$2503,"&gt;0")&gt;0),'Companies'!$A$4:$A$63,"")))</f>
        <v/>
      </c>
      <c r="G1500" s="30">
        <f>IF(A1500="","",IF(COUNTIF('People'!$A$4:$A$1003,A1500)=0,"Email not on People",IF(COUNTIF('Holders'!$A$4:$A$1003,B1500)=0,"Unknown holder ID",IF(COUNTIFS($A$4:$A$1503,A1500,$B$4:$B$1503,B1500)&gt;1,"Duplicate link",IF(C1500="","Missing access","OK")))))</f>
        <v/>
      </c>
    </row>
    <row r="1501">
      <c r="A1501" s="26" t="n"/>
      <c r="B1501" s="26" t="n"/>
      <c r="C1501" s="26" t="n"/>
      <c r="D1501" s="26" t="n"/>
      <c r="E1501" s="30">
        <f>IF(B1501="","",IFERROR(INDEX('Holders'!$B$4:$B$1003,MATCH(B1501,'Holders'!$A$4:$A$1003,0)),""))</f>
        <v/>
      </c>
      <c r="F1501" s="30">
        <f t="array" ref="F1501">IF(B1501="","",_xlfn.TEXTJOIN(", ",TRUE,IF(('Companies'!$A$4:$A$63&lt;&gt;"")*(COUNTIFS('Holdings'!$A$4:$A$2503,B1501,'Holdings'!$J$4:$J$2503,'Companies'!$A$4:$A$63,'Holdings'!$L$4:$L$2503,"Yes",'Holdings'!$C$4:$C$2503,"&gt;0")&gt;0),'Companies'!$A$4:$A$63,"")))</f>
        <v/>
      </c>
      <c r="G1501" s="30">
        <f>IF(A1501="","",IF(COUNTIF('People'!$A$4:$A$1003,A1501)=0,"Email not on People",IF(COUNTIF('Holders'!$A$4:$A$1003,B1501)=0,"Unknown holder ID",IF(COUNTIFS($A$4:$A$1503,A1501,$B$4:$B$1503,B1501)&gt;1,"Duplicate link",IF(C1501="","Missing access","OK")))))</f>
        <v/>
      </c>
    </row>
    <row r="1502">
      <c r="A1502" s="26" t="n"/>
      <c r="B1502" s="26" t="n"/>
      <c r="C1502" s="26" t="n"/>
      <c r="D1502" s="26" t="n"/>
      <c r="E1502" s="30">
        <f>IF(B1502="","",IFERROR(INDEX('Holders'!$B$4:$B$1003,MATCH(B1502,'Holders'!$A$4:$A$1003,0)),""))</f>
        <v/>
      </c>
      <c r="F1502" s="30">
        <f t="array" ref="F1502">IF(B1502="","",_xlfn.TEXTJOIN(", ",TRUE,IF(('Companies'!$A$4:$A$63&lt;&gt;"")*(COUNTIFS('Holdings'!$A$4:$A$2503,B1502,'Holdings'!$J$4:$J$2503,'Companies'!$A$4:$A$63,'Holdings'!$L$4:$L$2503,"Yes",'Holdings'!$C$4:$C$2503,"&gt;0")&gt;0),'Companies'!$A$4:$A$63,"")))</f>
        <v/>
      </c>
      <c r="G1502" s="30">
        <f>IF(A1502="","",IF(COUNTIF('People'!$A$4:$A$1003,A1502)=0,"Email not on People",IF(COUNTIF('Holders'!$A$4:$A$1003,B1502)=0,"Unknown holder ID",IF(COUNTIFS($A$4:$A$1503,A1502,$B$4:$B$1503,B1502)&gt;1,"Duplicate link",IF(C1502="","Missing access","OK")))))</f>
        <v/>
      </c>
    </row>
    <row r="1503">
      <c r="A1503" s="26" t="n"/>
      <c r="B1503" s="26" t="n"/>
      <c r="C1503" s="26" t="n"/>
      <c r="D1503" s="26" t="n"/>
      <c r="E1503" s="30">
        <f>IF(B1503="","",IFERROR(INDEX('Holders'!$B$4:$B$1003,MATCH(B1503,'Holders'!$A$4:$A$1003,0)),""))</f>
        <v/>
      </c>
      <c r="F1503" s="30">
        <f t="array" ref="F1503">IF(B1503="","",_xlfn.TEXTJOIN(", ",TRUE,IF(('Companies'!$A$4:$A$63&lt;&gt;"")*(COUNTIFS('Holdings'!$A$4:$A$2503,B1503,'Holdings'!$J$4:$J$2503,'Companies'!$A$4:$A$63,'Holdings'!$L$4:$L$2503,"Yes",'Holdings'!$C$4:$C$2503,"&gt;0")&gt;0),'Companies'!$A$4:$A$63,"")))</f>
        <v/>
      </c>
      <c r="G1503" s="30">
        <f>IF(A1503="","",IF(COUNTIF('People'!$A$4:$A$1003,A1503)=0,"Email not on People",IF(COUNTIF('Holders'!$A$4:$A$1003,B1503)=0,"Unknown holder ID",IF(COUNTIFS($A$4:$A$1503,A1503,$B$4:$B$1503,B1503)&gt;1,"Duplicate link",IF(C1503="","Missing access","OK")))))</f>
        <v/>
      </c>
    </row>
  </sheetData>
  <autoFilter ref="A2:G1503"/>
  <conditionalFormatting sqref="G4:G1503">
    <cfRule type="expression" priority="1" dxfId="0">
      <formula>AND(G4&lt;&gt;"",G4&lt;&gt;"OK")</formula>
    </cfRule>
  </conditionalFormatting>
  <dataValidations count="1">
    <dataValidation sqref="C4:C1503" showDropDown="0" showInputMessage="0" showErrorMessage="1" allowBlank="0" errorTitle="Choose from the list" error="Pick one of: Owner, Viewer" type="list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2" customWidth="1" min="4" max="4"/>
    <col width="14" customWidth="1" min="5" max="5"/>
    <col width="18" customWidth="1" min="6" max="6"/>
    <col width="24" customWidth="1" min="7" max="7"/>
    <col width="12" customWidth="1" min="8" max="8"/>
    <col width="12" customWidth="1" min="9" max="9"/>
    <col width="10" customWidth="1" min="10" max="10"/>
    <col width="32" customWidth="1" min="11" max="11"/>
    <col width="8" customWidth="1" min="12" max="12"/>
    <col width="9" customWidth="1" min="13" max="13"/>
    <col width="24" customWidth="1" min="14" max="14"/>
  </cols>
  <sheetData>
    <row r="1">
      <c r="A1" s="9" t="inlineStr">
        <is>
          <t>Holdings</t>
        </is>
      </c>
      <c r="C1" s="10" t="inlineStr">
        <is>
          <t>Shares held, per holder, class and date. Add a new row when a holding changes; keep old rows as history. The latest date counts.</t>
        </is>
      </c>
    </row>
    <row r="2" ht="32" customHeight="1">
      <c r="A2" s="20" t="inlineStr">
        <is>
          <t>Holder ID *</t>
        </is>
      </c>
      <c r="B2" s="20" t="inlineStr">
        <is>
          <t>Class code *</t>
        </is>
      </c>
      <c r="C2" s="20" t="inlineStr">
        <is>
          <t>Shares *</t>
        </is>
      </c>
      <c r="D2" s="20" t="inlineStr">
        <is>
          <t>As at *</t>
        </is>
      </c>
      <c r="E2" s="20" t="inlineStr">
        <is>
          <t>Register ref</t>
        </is>
      </c>
      <c r="F2" s="20" t="inlineStr">
        <is>
          <t>Source</t>
        </is>
      </c>
      <c r="G2" s="20" t="inlineStr">
        <is>
          <t>Notes</t>
        </is>
      </c>
      <c r="H2" s="20" t="inlineStr">
        <is>
          <t>Exercise price</t>
        </is>
      </c>
      <c r="I2" s="20" t="inlineStr">
        <is>
          <t>Expires on</t>
        </is>
      </c>
      <c r="J2" s="21" t="inlineStr">
        <is>
          <t>Company</t>
        </is>
      </c>
      <c r="K2" s="21" t="inlineStr">
        <is>
          <t>Holder name</t>
        </is>
      </c>
      <c r="L2" s="21" t="inlineStr">
        <is>
          <t>Latest?</t>
        </is>
      </c>
      <c r="M2" s="21" t="inlineStr">
        <is>
          <t>Counts toward %</t>
        </is>
      </c>
      <c r="N2" s="21" t="inlineStr">
        <is>
          <t>Check</t>
        </is>
      </c>
    </row>
    <row r="3">
      <c r="A3" s="22" t="inlineStr">
        <is>
          <t>H-0001</t>
        </is>
      </c>
      <c r="B3" s="22" t="inlineStr">
        <is>
          <t>EZF-ORD</t>
        </is>
      </c>
      <c r="C3" s="31" t="n">
        <v>25000</v>
      </c>
      <c r="D3" s="24" t="n">
        <v>46203</v>
      </c>
      <c r="E3" s="22" t="inlineStr"/>
      <c r="F3" s="22" t="inlineStr">
        <is>
          <t>Share register</t>
        </is>
      </c>
      <c r="G3" s="22" t="inlineStr"/>
      <c r="H3" s="37" t="n"/>
      <c r="I3" s="24" t="n"/>
      <c r="O3" s="10" t="inlineStr">
        <is>
          <t>← example row, not imported</t>
        </is>
      </c>
    </row>
    <row r="4">
      <c r="A4" s="26" t="n"/>
      <c r="B4" s="26" t="n"/>
      <c r="C4" s="34" t="n"/>
      <c r="D4" s="28" t="n"/>
      <c r="E4" s="26" t="n"/>
      <c r="F4" s="26" t="n"/>
      <c r="G4" s="26" t="n"/>
      <c r="H4" s="38" t="n"/>
      <c r="I4" s="28" t="n"/>
      <c r="J4" s="30">
        <f>IF(B4="","",IFERROR(INDEX('Share classes'!$A$4:$A$203,MATCH(B4,'Share classes'!$B$4:$B$203,0)),""))</f>
        <v/>
      </c>
      <c r="K4" s="30">
        <f>IF(A4="","",IFERROR(INDEX('Holders'!$B$4:$B$1003,MATCH(A4,'Holders'!$A$4:$A$1003,0)),""))</f>
        <v/>
      </c>
      <c r="L4" s="30">
        <f>IF(OR(A4="",B4="",D4=""),"",IF(D4=_xlfn.MAXIFS($D$4:$D$2503,$A$4:$A$2503,A4,$B$4:$B$2503,B4),"Yes","No"))</f>
        <v/>
      </c>
      <c r="M4" s="30">
        <f>IF(B4="","",IFERROR(INDEX('Share classes'!$F$4:$F$203,MATCH(B4,'Share classes'!$B$4:$B$203,0)),""))</f>
        <v/>
      </c>
      <c r="N4" s="30">
        <f>IF(A4="","",IF(K4="","Unknown holder ID",IF(J4="","Unknown class code",IF(OR(C4="",D4=""),"Missing shares or date",IF(OR(C4&lt;0,C4&lt;&gt;INT(C4)),"Shares must be a whole number",IF(COUNTIFS($A$4:$A$2503,A4,$B$4:$B$2503,B4,$D$4:$D$2503,D4)&gt;1,"Duplicate row (same date)","OK"))))))</f>
        <v/>
      </c>
    </row>
    <row r="5">
      <c r="A5" s="26" t="n"/>
      <c r="B5" s="26" t="n"/>
      <c r="C5" s="34" t="n"/>
      <c r="D5" s="28" t="n"/>
      <c r="E5" s="26" t="n"/>
      <c r="F5" s="26" t="n"/>
      <c r="G5" s="26" t="n"/>
      <c r="H5" s="38" t="n"/>
      <c r="I5" s="28" t="n"/>
      <c r="J5" s="30">
        <f>IF(B5="","",IFERROR(INDEX('Share classes'!$A$4:$A$203,MATCH(B5,'Share classes'!$B$4:$B$203,0)),""))</f>
        <v/>
      </c>
      <c r="K5" s="30">
        <f>IF(A5="","",IFERROR(INDEX('Holders'!$B$4:$B$1003,MATCH(A5,'Holders'!$A$4:$A$1003,0)),""))</f>
        <v/>
      </c>
      <c r="L5" s="30">
        <f>IF(OR(A5="",B5="",D5=""),"",IF(D5=_xlfn.MAXIFS($D$4:$D$2503,$A$4:$A$2503,A5,$B$4:$B$2503,B5),"Yes","No"))</f>
        <v/>
      </c>
      <c r="M5" s="30">
        <f>IF(B5="","",IFERROR(INDEX('Share classes'!$F$4:$F$203,MATCH(B5,'Share classes'!$B$4:$B$203,0)),""))</f>
        <v/>
      </c>
      <c r="N5" s="30">
        <f>IF(A5="","",IF(K5="","Unknown holder ID",IF(J5="","Unknown class code",IF(OR(C5="",D5=""),"Missing shares or date",IF(OR(C5&lt;0,C5&lt;&gt;INT(C5)),"Shares must be a whole number",IF(COUNTIFS($A$4:$A$2503,A5,$B$4:$B$2503,B5,$D$4:$D$2503,D5)&gt;1,"Duplicate row (same date)","OK"))))))</f>
        <v/>
      </c>
    </row>
    <row r="6">
      <c r="A6" s="26" t="n"/>
      <c r="B6" s="26" t="n"/>
      <c r="C6" s="34" t="n"/>
      <c r="D6" s="28" t="n"/>
      <c r="E6" s="26" t="n"/>
      <c r="F6" s="26" t="n"/>
      <c r="G6" s="26" t="n"/>
      <c r="H6" s="38" t="n"/>
      <c r="I6" s="28" t="n"/>
      <c r="J6" s="30">
        <f>IF(B6="","",IFERROR(INDEX('Share classes'!$A$4:$A$203,MATCH(B6,'Share classes'!$B$4:$B$203,0)),""))</f>
        <v/>
      </c>
      <c r="K6" s="30">
        <f>IF(A6="","",IFERROR(INDEX('Holders'!$B$4:$B$1003,MATCH(A6,'Holders'!$A$4:$A$1003,0)),""))</f>
        <v/>
      </c>
      <c r="L6" s="30">
        <f>IF(OR(A6="",B6="",D6=""),"",IF(D6=_xlfn.MAXIFS($D$4:$D$2503,$A$4:$A$2503,A6,$B$4:$B$2503,B6),"Yes","No"))</f>
        <v/>
      </c>
      <c r="M6" s="30">
        <f>IF(B6="","",IFERROR(INDEX('Share classes'!$F$4:$F$203,MATCH(B6,'Share classes'!$B$4:$B$203,0)),""))</f>
        <v/>
      </c>
      <c r="N6" s="30">
        <f>IF(A6="","",IF(K6="","Unknown holder ID",IF(J6="","Unknown class code",IF(OR(C6="",D6=""),"Missing shares or date",IF(OR(C6&lt;0,C6&lt;&gt;INT(C6)),"Shares must be a whole number",IF(COUNTIFS($A$4:$A$2503,A6,$B$4:$B$2503,B6,$D$4:$D$2503,D6)&gt;1,"Duplicate row (same date)","OK"))))))</f>
        <v/>
      </c>
    </row>
    <row r="7">
      <c r="A7" s="26" t="n"/>
      <c r="B7" s="26" t="n"/>
      <c r="C7" s="34" t="n"/>
      <c r="D7" s="28" t="n"/>
      <c r="E7" s="26" t="n"/>
      <c r="F7" s="26" t="n"/>
      <c r="G7" s="26" t="n"/>
      <c r="H7" s="38" t="n"/>
      <c r="I7" s="28" t="n"/>
      <c r="J7" s="30">
        <f>IF(B7="","",IFERROR(INDEX('Share classes'!$A$4:$A$203,MATCH(B7,'Share classes'!$B$4:$B$203,0)),""))</f>
        <v/>
      </c>
      <c r="K7" s="30">
        <f>IF(A7="","",IFERROR(INDEX('Holders'!$B$4:$B$1003,MATCH(A7,'Holders'!$A$4:$A$1003,0)),""))</f>
        <v/>
      </c>
      <c r="L7" s="30">
        <f>IF(OR(A7="",B7="",D7=""),"",IF(D7=_xlfn.MAXIFS($D$4:$D$2503,$A$4:$A$2503,A7,$B$4:$B$2503,B7),"Yes","No"))</f>
        <v/>
      </c>
      <c r="M7" s="30">
        <f>IF(B7="","",IFERROR(INDEX('Share classes'!$F$4:$F$203,MATCH(B7,'Share classes'!$B$4:$B$203,0)),""))</f>
        <v/>
      </c>
      <c r="N7" s="30">
        <f>IF(A7="","",IF(K7="","Unknown holder ID",IF(J7="","Unknown class code",IF(OR(C7="",D7=""),"Missing shares or date",IF(OR(C7&lt;0,C7&lt;&gt;INT(C7)),"Shares must be a whole number",IF(COUNTIFS($A$4:$A$2503,A7,$B$4:$B$2503,B7,$D$4:$D$2503,D7)&gt;1,"Duplicate row (same date)","OK"))))))</f>
        <v/>
      </c>
    </row>
    <row r="8">
      <c r="A8" s="26" t="n"/>
      <c r="B8" s="26" t="n"/>
      <c r="C8" s="34" t="n"/>
      <c r="D8" s="28" t="n"/>
      <c r="E8" s="26" t="n"/>
      <c r="F8" s="26" t="n"/>
      <c r="G8" s="26" t="n"/>
      <c r="H8" s="38" t="n"/>
      <c r="I8" s="28" t="n"/>
      <c r="J8" s="30">
        <f>IF(B8="","",IFERROR(INDEX('Share classes'!$A$4:$A$203,MATCH(B8,'Share classes'!$B$4:$B$203,0)),""))</f>
        <v/>
      </c>
      <c r="K8" s="30">
        <f>IF(A8="","",IFERROR(INDEX('Holders'!$B$4:$B$1003,MATCH(A8,'Holders'!$A$4:$A$1003,0)),""))</f>
        <v/>
      </c>
      <c r="L8" s="30">
        <f>IF(OR(A8="",B8="",D8=""),"",IF(D8=_xlfn.MAXIFS($D$4:$D$2503,$A$4:$A$2503,A8,$B$4:$B$2503,B8),"Yes","No"))</f>
        <v/>
      </c>
      <c r="M8" s="30">
        <f>IF(B8="","",IFERROR(INDEX('Share classes'!$F$4:$F$203,MATCH(B8,'Share classes'!$B$4:$B$203,0)),""))</f>
        <v/>
      </c>
      <c r="N8" s="30">
        <f>IF(A8="","",IF(K8="","Unknown holder ID",IF(J8="","Unknown class code",IF(OR(C8="",D8=""),"Missing shares or date",IF(OR(C8&lt;0,C8&lt;&gt;INT(C8)),"Shares must be a whole number",IF(COUNTIFS($A$4:$A$2503,A8,$B$4:$B$2503,B8,$D$4:$D$2503,D8)&gt;1,"Duplicate row (same date)","OK"))))))</f>
        <v/>
      </c>
    </row>
    <row r="9">
      <c r="A9" s="26" t="n"/>
      <c r="B9" s="26" t="n"/>
      <c r="C9" s="34" t="n"/>
      <c r="D9" s="28" t="n"/>
      <c r="E9" s="26" t="n"/>
      <c r="F9" s="26" t="n"/>
      <c r="G9" s="26" t="n"/>
      <c r="H9" s="38" t="n"/>
      <c r="I9" s="28" t="n"/>
      <c r="J9" s="30">
        <f>IF(B9="","",IFERROR(INDEX('Share classes'!$A$4:$A$203,MATCH(B9,'Share classes'!$B$4:$B$203,0)),""))</f>
        <v/>
      </c>
      <c r="K9" s="30">
        <f>IF(A9="","",IFERROR(INDEX('Holders'!$B$4:$B$1003,MATCH(A9,'Holders'!$A$4:$A$1003,0)),""))</f>
        <v/>
      </c>
      <c r="L9" s="30">
        <f>IF(OR(A9="",B9="",D9=""),"",IF(D9=_xlfn.MAXIFS($D$4:$D$2503,$A$4:$A$2503,A9,$B$4:$B$2503,B9),"Yes","No"))</f>
        <v/>
      </c>
      <c r="M9" s="30">
        <f>IF(B9="","",IFERROR(INDEX('Share classes'!$F$4:$F$203,MATCH(B9,'Share classes'!$B$4:$B$203,0)),""))</f>
        <v/>
      </c>
      <c r="N9" s="30">
        <f>IF(A9="","",IF(K9="","Unknown holder ID",IF(J9="","Unknown class code",IF(OR(C9="",D9=""),"Missing shares or date",IF(OR(C9&lt;0,C9&lt;&gt;INT(C9)),"Shares must be a whole number",IF(COUNTIFS($A$4:$A$2503,A9,$B$4:$B$2503,B9,$D$4:$D$2503,D9)&gt;1,"Duplicate row (same date)","OK"))))))</f>
        <v/>
      </c>
    </row>
    <row r="10">
      <c r="A10" s="26" t="n"/>
      <c r="B10" s="26" t="n"/>
      <c r="C10" s="34" t="n"/>
      <c r="D10" s="28" t="n"/>
      <c r="E10" s="26" t="n"/>
      <c r="F10" s="26" t="n"/>
      <c r="G10" s="26" t="n"/>
      <c r="H10" s="38" t="n"/>
      <c r="I10" s="28" t="n"/>
      <c r="J10" s="30">
        <f>IF(B10="","",IFERROR(INDEX('Share classes'!$A$4:$A$203,MATCH(B10,'Share classes'!$B$4:$B$203,0)),""))</f>
        <v/>
      </c>
      <c r="K10" s="30">
        <f>IF(A10="","",IFERROR(INDEX('Holders'!$B$4:$B$1003,MATCH(A10,'Holders'!$A$4:$A$1003,0)),""))</f>
        <v/>
      </c>
      <c r="L10" s="30">
        <f>IF(OR(A10="",B10="",D10=""),"",IF(D10=_xlfn.MAXIFS($D$4:$D$2503,$A$4:$A$2503,A10,$B$4:$B$2503,B10),"Yes","No"))</f>
        <v/>
      </c>
      <c r="M10" s="30">
        <f>IF(B10="","",IFERROR(INDEX('Share classes'!$F$4:$F$203,MATCH(B10,'Share classes'!$B$4:$B$203,0)),""))</f>
        <v/>
      </c>
      <c r="N10" s="30">
        <f>IF(A10="","",IF(K10="","Unknown holder ID",IF(J10="","Unknown class code",IF(OR(C10="",D10=""),"Missing shares or date",IF(OR(C10&lt;0,C10&lt;&gt;INT(C10)),"Shares must be a whole number",IF(COUNTIFS($A$4:$A$2503,A10,$B$4:$B$2503,B10,$D$4:$D$2503,D10)&gt;1,"Duplicate row (same date)","OK"))))))</f>
        <v/>
      </c>
    </row>
    <row r="11">
      <c r="A11" s="26" t="n"/>
      <c r="B11" s="26" t="n"/>
      <c r="C11" s="34" t="n"/>
      <c r="D11" s="28" t="n"/>
      <c r="E11" s="26" t="n"/>
      <c r="F11" s="26" t="n"/>
      <c r="G11" s="26" t="n"/>
      <c r="H11" s="38" t="n"/>
      <c r="I11" s="28" t="n"/>
      <c r="J11" s="30">
        <f>IF(B11="","",IFERROR(INDEX('Share classes'!$A$4:$A$203,MATCH(B11,'Share classes'!$B$4:$B$203,0)),""))</f>
        <v/>
      </c>
      <c r="K11" s="30">
        <f>IF(A11="","",IFERROR(INDEX('Holders'!$B$4:$B$1003,MATCH(A11,'Holders'!$A$4:$A$1003,0)),""))</f>
        <v/>
      </c>
      <c r="L11" s="30">
        <f>IF(OR(A11="",B11="",D11=""),"",IF(D11=_xlfn.MAXIFS($D$4:$D$2503,$A$4:$A$2503,A11,$B$4:$B$2503,B11),"Yes","No"))</f>
        <v/>
      </c>
      <c r="M11" s="30">
        <f>IF(B11="","",IFERROR(INDEX('Share classes'!$F$4:$F$203,MATCH(B11,'Share classes'!$B$4:$B$203,0)),""))</f>
        <v/>
      </c>
      <c r="N11" s="30">
        <f>IF(A11="","",IF(K11="","Unknown holder ID",IF(J11="","Unknown class code",IF(OR(C11="",D11=""),"Missing shares or date",IF(OR(C11&lt;0,C11&lt;&gt;INT(C11)),"Shares must be a whole number",IF(COUNTIFS($A$4:$A$2503,A11,$B$4:$B$2503,B11,$D$4:$D$2503,D11)&gt;1,"Duplicate row (same date)","OK"))))))</f>
        <v/>
      </c>
    </row>
    <row r="12">
      <c r="A12" s="26" t="n"/>
      <c r="B12" s="26" t="n"/>
      <c r="C12" s="34" t="n"/>
      <c r="D12" s="28" t="n"/>
      <c r="E12" s="26" t="n"/>
      <c r="F12" s="26" t="n"/>
      <c r="G12" s="26" t="n"/>
      <c r="H12" s="38" t="n"/>
      <c r="I12" s="28" t="n"/>
      <c r="J12" s="30">
        <f>IF(B12="","",IFERROR(INDEX('Share classes'!$A$4:$A$203,MATCH(B12,'Share classes'!$B$4:$B$203,0)),""))</f>
        <v/>
      </c>
      <c r="K12" s="30">
        <f>IF(A12="","",IFERROR(INDEX('Holders'!$B$4:$B$1003,MATCH(A12,'Holders'!$A$4:$A$1003,0)),""))</f>
        <v/>
      </c>
      <c r="L12" s="30">
        <f>IF(OR(A12="",B12="",D12=""),"",IF(D12=_xlfn.MAXIFS($D$4:$D$2503,$A$4:$A$2503,A12,$B$4:$B$2503,B12),"Yes","No"))</f>
        <v/>
      </c>
      <c r="M12" s="30">
        <f>IF(B12="","",IFERROR(INDEX('Share classes'!$F$4:$F$203,MATCH(B12,'Share classes'!$B$4:$B$203,0)),""))</f>
        <v/>
      </c>
      <c r="N12" s="30">
        <f>IF(A12="","",IF(K12="","Unknown holder ID",IF(J12="","Unknown class code",IF(OR(C12="",D12=""),"Missing shares or date",IF(OR(C12&lt;0,C12&lt;&gt;INT(C12)),"Shares must be a whole number",IF(COUNTIFS($A$4:$A$2503,A12,$B$4:$B$2503,B12,$D$4:$D$2503,D12)&gt;1,"Duplicate row (same date)","OK"))))))</f>
        <v/>
      </c>
    </row>
    <row r="13">
      <c r="A13" s="26" t="n"/>
      <c r="B13" s="26" t="n"/>
      <c r="C13" s="34" t="n"/>
      <c r="D13" s="28" t="n"/>
      <c r="E13" s="26" t="n"/>
      <c r="F13" s="26" t="n"/>
      <c r="G13" s="26" t="n"/>
      <c r="H13" s="38" t="n"/>
      <c r="I13" s="28" t="n"/>
      <c r="J13" s="30">
        <f>IF(B13="","",IFERROR(INDEX('Share classes'!$A$4:$A$203,MATCH(B13,'Share classes'!$B$4:$B$203,0)),""))</f>
        <v/>
      </c>
      <c r="K13" s="30">
        <f>IF(A13="","",IFERROR(INDEX('Holders'!$B$4:$B$1003,MATCH(A13,'Holders'!$A$4:$A$1003,0)),""))</f>
        <v/>
      </c>
      <c r="L13" s="30">
        <f>IF(OR(A13="",B13="",D13=""),"",IF(D13=_xlfn.MAXIFS($D$4:$D$2503,$A$4:$A$2503,A13,$B$4:$B$2503,B13),"Yes","No"))</f>
        <v/>
      </c>
      <c r="M13" s="30">
        <f>IF(B13="","",IFERROR(INDEX('Share classes'!$F$4:$F$203,MATCH(B13,'Share classes'!$B$4:$B$203,0)),""))</f>
        <v/>
      </c>
      <c r="N13" s="30">
        <f>IF(A13="","",IF(K13="","Unknown holder ID",IF(J13="","Unknown class code",IF(OR(C13="",D13=""),"Missing shares or date",IF(OR(C13&lt;0,C13&lt;&gt;INT(C13)),"Shares must be a whole number",IF(COUNTIFS($A$4:$A$2503,A13,$B$4:$B$2503,B13,$D$4:$D$2503,D13)&gt;1,"Duplicate row (same date)","OK"))))))</f>
        <v/>
      </c>
    </row>
    <row r="14">
      <c r="A14" s="26" t="n"/>
      <c r="B14" s="26" t="n"/>
      <c r="C14" s="34" t="n"/>
      <c r="D14" s="28" t="n"/>
      <c r="E14" s="26" t="n"/>
      <c r="F14" s="26" t="n"/>
      <c r="G14" s="26" t="n"/>
      <c r="H14" s="38" t="n"/>
      <c r="I14" s="28" t="n"/>
      <c r="J14" s="30">
        <f>IF(B14="","",IFERROR(INDEX('Share classes'!$A$4:$A$203,MATCH(B14,'Share classes'!$B$4:$B$203,0)),""))</f>
        <v/>
      </c>
      <c r="K14" s="30">
        <f>IF(A14="","",IFERROR(INDEX('Holders'!$B$4:$B$1003,MATCH(A14,'Holders'!$A$4:$A$1003,0)),""))</f>
        <v/>
      </c>
      <c r="L14" s="30">
        <f>IF(OR(A14="",B14="",D14=""),"",IF(D14=_xlfn.MAXIFS($D$4:$D$2503,$A$4:$A$2503,A14,$B$4:$B$2503,B14),"Yes","No"))</f>
        <v/>
      </c>
      <c r="M14" s="30">
        <f>IF(B14="","",IFERROR(INDEX('Share classes'!$F$4:$F$203,MATCH(B14,'Share classes'!$B$4:$B$203,0)),""))</f>
        <v/>
      </c>
      <c r="N14" s="30">
        <f>IF(A14="","",IF(K14="","Unknown holder ID",IF(J14="","Unknown class code",IF(OR(C14="",D14=""),"Missing shares or date",IF(OR(C14&lt;0,C14&lt;&gt;INT(C14)),"Shares must be a whole number",IF(COUNTIFS($A$4:$A$2503,A14,$B$4:$B$2503,B14,$D$4:$D$2503,D14)&gt;1,"Duplicate row (same date)","OK"))))))</f>
        <v/>
      </c>
    </row>
    <row r="15">
      <c r="A15" s="26" t="n"/>
      <c r="B15" s="26" t="n"/>
      <c r="C15" s="34" t="n"/>
      <c r="D15" s="28" t="n"/>
      <c r="E15" s="26" t="n"/>
      <c r="F15" s="26" t="n"/>
      <c r="G15" s="26" t="n"/>
      <c r="H15" s="38" t="n"/>
      <c r="I15" s="28" t="n"/>
      <c r="J15" s="30">
        <f>IF(B15="","",IFERROR(INDEX('Share classes'!$A$4:$A$203,MATCH(B15,'Share classes'!$B$4:$B$203,0)),""))</f>
        <v/>
      </c>
      <c r="K15" s="30">
        <f>IF(A15="","",IFERROR(INDEX('Holders'!$B$4:$B$1003,MATCH(A15,'Holders'!$A$4:$A$1003,0)),""))</f>
        <v/>
      </c>
      <c r="L15" s="30">
        <f>IF(OR(A15="",B15="",D15=""),"",IF(D15=_xlfn.MAXIFS($D$4:$D$2503,$A$4:$A$2503,A15,$B$4:$B$2503,B15),"Yes","No"))</f>
        <v/>
      </c>
      <c r="M15" s="30">
        <f>IF(B15="","",IFERROR(INDEX('Share classes'!$F$4:$F$203,MATCH(B15,'Share classes'!$B$4:$B$203,0)),""))</f>
        <v/>
      </c>
      <c r="N15" s="30">
        <f>IF(A15="","",IF(K15="","Unknown holder ID",IF(J15="","Unknown class code",IF(OR(C15="",D15=""),"Missing shares or date",IF(OR(C15&lt;0,C15&lt;&gt;INT(C15)),"Shares must be a whole number",IF(COUNTIFS($A$4:$A$2503,A15,$B$4:$B$2503,B15,$D$4:$D$2503,D15)&gt;1,"Duplicate row (same date)","OK"))))))</f>
        <v/>
      </c>
    </row>
    <row r="16">
      <c r="A16" s="26" t="n"/>
      <c r="B16" s="26" t="n"/>
      <c r="C16" s="34" t="n"/>
      <c r="D16" s="28" t="n"/>
      <c r="E16" s="26" t="n"/>
      <c r="F16" s="26" t="n"/>
      <c r="G16" s="26" t="n"/>
      <c r="H16" s="38" t="n"/>
      <c r="I16" s="28" t="n"/>
      <c r="J16" s="30">
        <f>IF(B16="","",IFERROR(INDEX('Share classes'!$A$4:$A$203,MATCH(B16,'Share classes'!$B$4:$B$203,0)),""))</f>
        <v/>
      </c>
      <c r="K16" s="30">
        <f>IF(A16="","",IFERROR(INDEX('Holders'!$B$4:$B$1003,MATCH(A16,'Holders'!$A$4:$A$1003,0)),""))</f>
        <v/>
      </c>
      <c r="L16" s="30">
        <f>IF(OR(A16="",B16="",D16=""),"",IF(D16=_xlfn.MAXIFS($D$4:$D$2503,$A$4:$A$2503,A16,$B$4:$B$2503,B16),"Yes","No"))</f>
        <v/>
      </c>
      <c r="M16" s="30">
        <f>IF(B16="","",IFERROR(INDEX('Share classes'!$F$4:$F$203,MATCH(B16,'Share classes'!$B$4:$B$203,0)),""))</f>
        <v/>
      </c>
      <c r="N16" s="30">
        <f>IF(A16="","",IF(K16="","Unknown holder ID",IF(J16="","Unknown class code",IF(OR(C16="",D16=""),"Missing shares or date",IF(OR(C16&lt;0,C16&lt;&gt;INT(C16)),"Shares must be a whole number",IF(COUNTIFS($A$4:$A$2503,A16,$B$4:$B$2503,B16,$D$4:$D$2503,D16)&gt;1,"Duplicate row (same date)","OK"))))))</f>
        <v/>
      </c>
    </row>
    <row r="17">
      <c r="A17" s="26" t="n"/>
      <c r="B17" s="26" t="n"/>
      <c r="C17" s="34" t="n"/>
      <c r="D17" s="28" t="n"/>
      <c r="E17" s="26" t="n"/>
      <c r="F17" s="26" t="n"/>
      <c r="G17" s="26" t="n"/>
      <c r="H17" s="38" t="n"/>
      <c r="I17" s="28" t="n"/>
      <c r="J17" s="30">
        <f>IF(B17="","",IFERROR(INDEX('Share classes'!$A$4:$A$203,MATCH(B17,'Share classes'!$B$4:$B$203,0)),""))</f>
        <v/>
      </c>
      <c r="K17" s="30">
        <f>IF(A17="","",IFERROR(INDEX('Holders'!$B$4:$B$1003,MATCH(A17,'Holders'!$A$4:$A$1003,0)),""))</f>
        <v/>
      </c>
      <c r="L17" s="30">
        <f>IF(OR(A17="",B17="",D17=""),"",IF(D17=_xlfn.MAXIFS($D$4:$D$2503,$A$4:$A$2503,A17,$B$4:$B$2503,B17),"Yes","No"))</f>
        <v/>
      </c>
      <c r="M17" s="30">
        <f>IF(B17="","",IFERROR(INDEX('Share classes'!$F$4:$F$203,MATCH(B17,'Share classes'!$B$4:$B$203,0)),""))</f>
        <v/>
      </c>
      <c r="N17" s="30">
        <f>IF(A17="","",IF(K17="","Unknown holder ID",IF(J17="","Unknown class code",IF(OR(C17="",D17=""),"Missing shares or date",IF(OR(C17&lt;0,C17&lt;&gt;INT(C17)),"Shares must be a whole number",IF(COUNTIFS($A$4:$A$2503,A17,$B$4:$B$2503,B17,$D$4:$D$2503,D17)&gt;1,"Duplicate row (same date)","OK"))))))</f>
        <v/>
      </c>
    </row>
    <row r="18">
      <c r="A18" s="26" t="n"/>
      <c r="B18" s="26" t="n"/>
      <c r="C18" s="34" t="n"/>
      <c r="D18" s="28" t="n"/>
      <c r="E18" s="26" t="n"/>
      <c r="F18" s="26" t="n"/>
      <c r="G18" s="26" t="n"/>
      <c r="H18" s="38" t="n"/>
      <c r="I18" s="28" t="n"/>
      <c r="J18" s="30">
        <f>IF(B18="","",IFERROR(INDEX('Share classes'!$A$4:$A$203,MATCH(B18,'Share classes'!$B$4:$B$203,0)),""))</f>
        <v/>
      </c>
      <c r="K18" s="30">
        <f>IF(A18="","",IFERROR(INDEX('Holders'!$B$4:$B$1003,MATCH(A18,'Holders'!$A$4:$A$1003,0)),""))</f>
        <v/>
      </c>
      <c r="L18" s="30">
        <f>IF(OR(A18="",B18="",D18=""),"",IF(D18=_xlfn.MAXIFS($D$4:$D$2503,$A$4:$A$2503,A18,$B$4:$B$2503,B18),"Yes","No"))</f>
        <v/>
      </c>
      <c r="M18" s="30">
        <f>IF(B18="","",IFERROR(INDEX('Share classes'!$F$4:$F$203,MATCH(B18,'Share classes'!$B$4:$B$203,0)),""))</f>
        <v/>
      </c>
      <c r="N18" s="30">
        <f>IF(A18="","",IF(K18="","Unknown holder ID",IF(J18="","Unknown class code",IF(OR(C18="",D18=""),"Missing shares or date",IF(OR(C18&lt;0,C18&lt;&gt;INT(C18)),"Shares must be a whole number",IF(COUNTIFS($A$4:$A$2503,A18,$B$4:$B$2503,B18,$D$4:$D$2503,D18)&gt;1,"Duplicate row (same date)","OK"))))))</f>
        <v/>
      </c>
    </row>
    <row r="19">
      <c r="A19" s="26" t="n"/>
      <c r="B19" s="26" t="n"/>
      <c r="C19" s="34" t="n"/>
      <c r="D19" s="28" t="n"/>
      <c r="E19" s="26" t="n"/>
      <c r="F19" s="26" t="n"/>
      <c r="G19" s="26" t="n"/>
      <c r="H19" s="38" t="n"/>
      <c r="I19" s="28" t="n"/>
      <c r="J19" s="30">
        <f>IF(B19="","",IFERROR(INDEX('Share classes'!$A$4:$A$203,MATCH(B19,'Share classes'!$B$4:$B$203,0)),""))</f>
        <v/>
      </c>
      <c r="K19" s="30">
        <f>IF(A19="","",IFERROR(INDEX('Holders'!$B$4:$B$1003,MATCH(A19,'Holders'!$A$4:$A$1003,0)),""))</f>
        <v/>
      </c>
      <c r="L19" s="30">
        <f>IF(OR(A19="",B19="",D19=""),"",IF(D19=_xlfn.MAXIFS($D$4:$D$2503,$A$4:$A$2503,A19,$B$4:$B$2503,B19),"Yes","No"))</f>
        <v/>
      </c>
      <c r="M19" s="30">
        <f>IF(B19="","",IFERROR(INDEX('Share classes'!$F$4:$F$203,MATCH(B19,'Share classes'!$B$4:$B$203,0)),""))</f>
        <v/>
      </c>
      <c r="N19" s="30">
        <f>IF(A19="","",IF(K19="","Unknown holder ID",IF(J19="","Unknown class code",IF(OR(C19="",D19=""),"Missing shares or date",IF(OR(C19&lt;0,C19&lt;&gt;INT(C19)),"Shares must be a whole number",IF(COUNTIFS($A$4:$A$2503,A19,$B$4:$B$2503,B19,$D$4:$D$2503,D19)&gt;1,"Duplicate row (same date)","OK"))))))</f>
        <v/>
      </c>
    </row>
    <row r="20">
      <c r="A20" s="26" t="n"/>
      <c r="B20" s="26" t="n"/>
      <c r="C20" s="34" t="n"/>
      <c r="D20" s="28" t="n"/>
      <c r="E20" s="26" t="n"/>
      <c r="F20" s="26" t="n"/>
      <c r="G20" s="26" t="n"/>
      <c r="H20" s="38" t="n"/>
      <c r="I20" s="28" t="n"/>
      <c r="J20" s="30">
        <f>IF(B20="","",IFERROR(INDEX('Share classes'!$A$4:$A$203,MATCH(B20,'Share classes'!$B$4:$B$203,0)),""))</f>
        <v/>
      </c>
      <c r="K20" s="30">
        <f>IF(A20="","",IFERROR(INDEX('Holders'!$B$4:$B$1003,MATCH(A20,'Holders'!$A$4:$A$1003,0)),""))</f>
        <v/>
      </c>
      <c r="L20" s="30">
        <f>IF(OR(A20="",B20="",D20=""),"",IF(D20=_xlfn.MAXIFS($D$4:$D$2503,$A$4:$A$2503,A20,$B$4:$B$2503,B20),"Yes","No"))</f>
        <v/>
      </c>
      <c r="M20" s="30">
        <f>IF(B20="","",IFERROR(INDEX('Share classes'!$F$4:$F$203,MATCH(B20,'Share classes'!$B$4:$B$203,0)),""))</f>
        <v/>
      </c>
      <c r="N20" s="30">
        <f>IF(A20="","",IF(K20="","Unknown holder ID",IF(J20="","Unknown class code",IF(OR(C20="",D20=""),"Missing shares or date",IF(OR(C20&lt;0,C20&lt;&gt;INT(C20)),"Shares must be a whole number",IF(COUNTIFS($A$4:$A$2503,A20,$B$4:$B$2503,B20,$D$4:$D$2503,D20)&gt;1,"Duplicate row (same date)","OK"))))))</f>
        <v/>
      </c>
    </row>
    <row r="21">
      <c r="A21" s="26" t="n"/>
      <c r="B21" s="26" t="n"/>
      <c r="C21" s="34" t="n"/>
      <c r="D21" s="28" t="n"/>
      <c r="E21" s="26" t="n"/>
      <c r="F21" s="26" t="n"/>
      <c r="G21" s="26" t="n"/>
      <c r="H21" s="38" t="n"/>
      <c r="I21" s="28" t="n"/>
      <c r="J21" s="30">
        <f>IF(B21="","",IFERROR(INDEX('Share classes'!$A$4:$A$203,MATCH(B21,'Share classes'!$B$4:$B$203,0)),""))</f>
        <v/>
      </c>
      <c r="K21" s="30">
        <f>IF(A21="","",IFERROR(INDEX('Holders'!$B$4:$B$1003,MATCH(A21,'Holders'!$A$4:$A$1003,0)),""))</f>
        <v/>
      </c>
      <c r="L21" s="30">
        <f>IF(OR(A21="",B21="",D21=""),"",IF(D21=_xlfn.MAXIFS($D$4:$D$2503,$A$4:$A$2503,A21,$B$4:$B$2503,B21),"Yes","No"))</f>
        <v/>
      </c>
      <c r="M21" s="30">
        <f>IF(B21="","",IFERROR(INDEX('Share classes'!$F$4:$F$203,MATCH(B21,'Share classes'!$B$4:$B$203,0)),""))</f>
        <v/>
      </c>
      <c r="N21" s="30">
        <f>IF(A21="","",IF(K21="","Unknown holder ID",IF(J21="","Unknown class code",IF(OR(C21="",D21=""),"Missing shares or date",IF(OR(C21&lt;0,C21&lt;&gt;INT(C21)),"Shares must be a whole number",IF(COUNTIFS($A$4:$A$2503,A21,$B$4:$B$2503,B21,$D$4:$D$2503,D21)&gt;1,"Duplicate row (same date)","OK"))))))</f>
        <v/>
      </c>
    </row>
    <row r="22">
      <c r="A22" s="26" t="n"/>
      <c r="B22" s="26" t="n"/>
      <c r="C22" s="34" t="n"/>
      <c r="D22" s="28" t="n"/>
      <c r="E22" s="26" t="n"/>
      <c r="F22" s="26" t="n"/>
      <c r="G22" s="26" t="n"/>
      <c r="H22" s="38" t="n"/>
      <c r="I22" s="28" t="n"/>
      <c r="J22" s="30">
        <f>IF(B22="","",IFERROR(INDEX('Share classes'!$A$4:$A$203,MATCH(B22,'Share classes'!$B$4:$B$203,0)),""))</f>
        <v/>
      </c>
      <c r="K22" s="30">
        <f>IF(A22="","",IFERROR(INDEX('Holders'!$B$4:$B$1003,MATCH(A22,'Holders'!$A$4:$A$1003,0)),""))</f>
        <v/>
      </c>
      <c r="L22" s="30">
        <f>IF(OR(A22="",B22="",D22=""),"",IF(D22=_xlfn.MAXIFS($D$4:$D$2503,$A$4:$A$2503,A22,$B$4:$B$2503,B22),"Yes","No"))</f>
        <v/>
      </c>
      <c r="M22" s="30">
        <f>IF(B22="","",IFERROR(INDEX('Share classes'!$F$4:$F$203,MATCH(B22,'Share classes'!$B$4:$B$203,0)),""))</f>
        <v/>
      </c>
      <c r="N22" s="30">
        <f>IF(A22="","",IF(K22="","Unknown holder ID",IF(J22="","Unknown class code",IF(OR(C22="",D22=""),"Missing shares or date",IF(OR(C22&lt;0,C22&lt;&gt;INT(C22)),"Shares must be a whole number",IF(COUNTIFS($A$4:$A$2503,A22,$B$4:$B$2503,B22,$D$4:$D$2503,D22)&gt;1,"Duplicate row (same date)","OK"))))))</f>
        <v/>
      </c>
    </row>
    <row r="23">
      <c r="A23" s="26" t="n"/>
      <c r="B23" s="26" t="n"/>
      <c r="C23" s="34" t="n"/>
      <c r="D23" s="28" t="n"/>
      <c r="E23" s="26" t="n"/>
      <c r="F23" s="26" t="n"/>
      <c r="G23" s="26" t="n"/>
      <c r="H23" s="38" t="n"/>
      <c r="I23" s="28" t="n"/>
      <c r="J23" s="30">
        <f>IF(B23="","",IFERROR(INDEX('Share classes'!$A$4:$A$203,MATCH(B23,'Share classes'!$B$4:$B$203,0)),""))</f>
        <v/>
      </c>
      <c r="K23" s="30">
        <f>IF(A23="","",IFERROR(INDEX('Holders'!$B$4:$B$1003,MATCH(A23,'Holders'!$A$4:$A$1003,0)),""))</f>
        <v/>
      </c>
      <c r="L23" s="30">
        <f>IF(OR(A23="",B23="",D23=""),"",IF(D23=_xlfn.MAXIFS($D$4:$D$2503,$A$4:$A$2503,A23,$B$4:$B$2503,B23),"Yes","No"))</f>
        <v/>
      </c>
      <c r="M23" s="30">
        <f>IF(B23="","",IFERROR(INDEX('Share classes'!$F$4:$F$203,MATCH(B23,'Share classes'!$B$4:$B$203,0)),""))</f>
        <v/>
      </c>
      <c r="N23" s="30">
        <f>IF(A23="","",IF(K23="","Unknown holder ID",IF(J23="","Unknown class code",IF(OR(C23="",D23=""),"Missing shares or date",IF(OR(C23&lt;0,C23&lt;&gt;INT(C23)),"Shares must be a whole number",IF(COUNTIFS($A$4:$A$2503,A23,$B$4:$B$2503,B23,$D$4:$D$2503,D23)&gt;1,"Duplicate row (same date)","OK"))))))</f>
        <v/>
      </c>
    </row>
    <row r="24">
      <c r="A24" s="26" t="n"/>
      <c r="B24" s="26" t="n"/>
      <c r="C24" s="34" t="n"/>
      <c r="D24" s="28" t="n"/>
      <c r="E24" s="26" t="n"/>
      <c r="F24" s="26" t="n"/>
      <c r="G24" s="26" t="n"/>
      <c r="H24" s="38" t="n"/>
      <c r="I24" s="28" t="n"/>
      <c r="J24" s="30">
        <f>IF(B24="","",IFERROR(INDEX('Share classes'!$A$4:$A$203,MATCH(B24,'Share classes'!$B$4:$B$203,0)),""))</f>
        <v/>
      </c>
      <c r="K24" s="30">
        <f>IF(A24="","",IFERROR(INDEX('Holders'!$B$4:$B$1003,MATCH(A24,'Holders'!$A$4:$A$1003,0)),""))</f>
        <v/>
      </c>
      <c r="L24" s="30">
        <f>IF(OR(A24="",B24="",D24=""),"",IF(D24=_xlfn.MAXIFS($D$4:$D$2503,$A$4:$A$2503,A24,$B$4:$B$2503,B24),"Yes","No"))</f>
        <v/>
      </c>
      <c r="M24" s="30">
        <f>IF(B24="","",IFERROR(INDEX('Share classes'!$F$4:$F$203,MATCH(B24,'Share classes'!$B$4:$B$203,0)),""))</f>
        <v/>
      </c>
      <c r="N24" s="30">
        <f>IF(A24="","",IF(K24="","Unknown holder ID",IF(J24="","Unknown class code",IF(OR(C24="",D24=""),"Missing shares or date",IF(OR(C24&lt;0,C24&lt;&gt;INT(C24)),"Shares must be a whole number",IF(COUNTIFS($A$4:$A$2503,A24,$B$4:$B$2503,B24,$D$4:$D$2503,D24)&gt;1,"Duplicate row (same date)","OK"))))))</f>
        <v/>
      </c>
    </row>
    <row r="25">
      <c r="A25" s="26" t="n"/>
      <c r="B25" s="26" t="n"/>
      <c r="C25" s="34" t="n"/>
      <c r="D25" s="28" t="n"/>
      <c r="E25" s="26" t="n"/>
      <c r="F25" s="26" t="n"/>
      <c r="G25" s="26" t="n"/>
      <c r="H25" s="38" t="n"/>
      <c r="I25" s="28" t="n"/>
      <c r="J25" s="30">
        <f>IF(B25="","",IFERROR(INDEX('Share classes'!$A$4:$A$203,MATCH(B25,'Share classes'!$B$4:$B$203,0)),""))</f>
        <v/>
      </c>
      <c r="K25" s="30">
        <f>IF(A25="","",IFERROR(INDEX('Holders'!$B$4:$B$1003,MATCH(A25,'Holders'!$A$4:$A$1003,0)),""))</f>
        <v/>
      </c>
      <c r="L25" s="30">
        <f>IF(OR(A25="",B25="",D25=""),"",IF(D25=_xlfn.MAXIFS($D$4:$D$2503,$A$4:$A$2503,A25,$B$4:$B$2503,B25),"Yes","No"))</f>
        <v/>
      </c>
      <c r="M25" s="30">
        <f>IF(B25="","",IFERROR(INDEX('Share classes'!$F$4:$F$203,MATCH(B25,'Share classes'!$B$4:$B$203,0)),""))</f>
        <v/>
      </c>
      <c r="N25" s="30">
        <f>IF(A25="","",IF(K25="","Unknown holder ID",IF(J25="","Unknown class code",IF(OR(C25="",D25=""),"Missing shares or date",IF(OR(C25&lt;0,C25&lt;&gt;INT(C25)),"Shares must be a whole number",IF(COUNTIFS($A$4:$A$2503,A25,$B$4:$B$2503,B25,$D$4:$D$2503,D25)&gt;1,"Duplicate row (same date)","OK"))))))</f>
        <v/>
      </c>
    </row>
    <row r="26">
      <c r="A26" s="26" t="n"/>
      <c r="B26" s="26" t="n"/>
      <c r="C26" s="34" t="n"/>
      <c r="D26" s="28" t="n"/>
      <c r="E26" s="26" t="n"/>
      <c r="F26" s="26" t="n"/>
      <c r="G26" s="26" t="n"/>
      <c r="H26" s="38" t="n"/>
      <c r="I26" s="28" t="n"/>
      <c r="J26" s="30">
        <f>IF(B26="","",IFERROR(INDEX('Share classes'!$A$4:$A$203,MATCH(B26,'Share classes'!$B$4:$B$203,0)),""))</f>
        <v/>
      </c>
      <c r="K26" s="30">
        <f>IF(A26="","",IFERROR(INDEX('Holders'!$B$4:$B$1003,MATCH(A26,'Holders'!$A$4:$A$1003,0)),""))</f>
        <v/>
      </c>
      <c r="L26" s="30">
        <f>IF(OR(A26="",B26="",D26=""),"",IF(D26=_xlfn.MAXIFS($D$4:$D$2503,$A$4:$A$2503,A26,$B$4:$B$2503,B26),"Yes","No"))</f>
        <v/>
      </c>
      <c r="M26" s="30">
        <f>IF(B26="","",IFERROR(INDEX('Share classes'!$F$4:$F$203,MATCH(B26,'Share classes'!$B$4:$B$203,0)),""))</f>
        <v/>
      </c>
      <c r="N26" s="30">
        <f>IF(A26="","",IF(K26="","Unknown holder ID",IF(J26="","Unknown class code",IF(OR(C26="",D26=""),"Missing shares or date",IF(OR(C26&lt;0,C26&lt;&gt;INT(C26)),"Shares must be a whole number",IF(COUNTIFS($A$4:$A$2503,A26,$B$4:$B$2503,B26,$D$4:$D$2503,D26)&gt;1,"Duplicate row (same date)","OK"))))))</f>
        <v/>
      </c>
    </row>
    <row r="27">
      <c r="A27" s="26" t="n"/>
      <c r="B27" s="26" t="n"/>
      <c r="C27" s="34" t="n"/>
      <c r="D27" s="28" t="n"/>
      <c r="E27" s="26" t="n"/>
      <c r="F27" s="26" t="n"/>
      <c r="G27" s="26" t="n"/>
      <c r="H27" s="38" t="n"/>
      <c r="I27" s="28" t="n"/>
      <c r="J27" s="30">
        <f>IF(B27="","",IFERROR(INDEX('Share classes'!$A$4:$A$203,MATCH(B27,'Share classes'!$B$4:$B$203,0)),""))</f>
        <v/>
      </c>
      <c r="K27" s="30">
        <f>IF(A27="","",IFERROR(INDEX('Holders'!$B$4:$B$1003,MATCH(A27,'Holders'!$A$4:$A$1003,0)),""))</f>
        <v/>
      </c>
      <c r="L27" s="30">
        <f>IF(OR(A27="",B27="",D27=""),"",IF(D27=_xlfn.MAXIFS($D$4:$D$2503,$A$4:$A$2503,A27,$B$4:$B$2503,B27),"Yes","No"))</f>
        <v/>
      </c>
      <c r="M27" s="30">
        <f>IF(B27="","",IFERROR(INDEX('Share classes'!$F$4:$F$203,MATCH(B27,'Share classes'!$B$4:$B$203,0)),""))</f>
        <v/>
      </c>
      <c r="N27" s="30">
        <f>IF(A27="","",IF(K27="","Unknown holder ID",IF(J27="","Unknown class code",IF(OR(C27="",D27=""),"Missing shares or date",IF(OR(C27&lt;0,C27&lt;&gt;INT(C27)),"Shares must be a whole number",IF(COUNTIFS($A$4:$A$2503,A27,$B$4:$B$2503,B27,$D$4:$D$2503,D27)&gt;1,"Duplicate row (same date)","OK"))))))</f>
        <v/>
      </c>
    </row>
    <row r="28">
      <c r="A28" s="26" t="n"/>
      <c r="B28" s="26" t="n"/>
      <c r="C28" s="34" t="n"/>
      <c r="D28" s="28" t="n"/>
      <c r="E28" s="26" t="n"/>
      <c r="F28" s="26" t="n"/>
      <c r="G28" s="26" t="n"/>
      <c r="H28" s="38" t="n"/>
      <c r="I28" s="28" t="n"/>
      <c r="J28" s="30">
        <f>IF(B28="","",IFERROR(INDEX('Share classes'!$A$4:$A$203,MATCH(B28,'Share classes'!$B$4:$B$203,0)),""))</f>
        <v/>
      </c>
      <c r="K28" s="30">
        <f>IF(A28="","",IFERROR(INDEX('Holders'!$B$4:$B$1003,MATCH(A28,'Holders'!$A$4:$A$1003,0)),""))</f>
        <v/>
      </c>
      <c r="L28" s="30">
        <f>IF(OR(A28="",B28="",D28=""),"",IF(D28=_xlfn.MAXIFS($D$4:$D$2503,$A$4:$A$2503,A28,$B$4:$B$2503,B28),"Yes","No"))</f>
        <v/>
      </c>
      <c r="M28" s="30">
        <f>IF(B28="","",IFERROR(INDEX('Share classes'!$F$4:$F$203,MATCH(B28,'Share classes'!$B$4:$B$203,0)),""))</f>
        <v/>
      </c>
      <c r="N28" s="30">
        <f>IF(A28="","",IF(K28="","Unknown holder ID",IF(J28="","Unknown class code",IF(OR(C28="",D28=""),"Missing shares or date",IF(OR(C28&lt;0,C28&lt;&gt;INT(C28)),"Shares must be a whole number",IF(COUNTIFS($A$4:$A$2503,A28,$B$4:$B$2503,B28,$D$4:$D$2503,D28)&gt;1,"Duplicate row (same date)","OK"))))))</f>
        <v/>
      </c>
    </row>
    <row r="29">
      <c r="A29" s="26" t="n"/>
      <c r="B29" s="26" t="n"/>
      <c r="C29" s="34" t="n"/>
      <c r="D29" s="28" t="n"/>
      <c r="E29" s="26" t="n"/>
      <c r="F29" s="26" t="n"/>
      <c r="G29" s="26" t="n"/>
      <c r="H29" s="38" t="n"/>
      <c r="I29" s="28" t="n"/>
      <c r="J29" s="30">
        <f>IF(B29="","",IFERROR(INDEX('Share classes'!$A$4:$A$203,MATCH(B29,'Share classes'!$B$4:$B$203,0)),""))</f>
        <v/>
      </c>
      <c r="K29" s="30">
        <f>IF(A29="","",IFERROR(INDEX('Holders'!$B$4:$B$1003,MATCH(A29,'Holders'!$A$4:$A$1003,0)),""))</f>
        <v/>
      </c>
      <c r="L29" s="30">
        <f>IF(OR(A29="",B29="",D29=""),"",IF(D29=_xlfn.MAXIFS($D$4:$D$2503,$A$4:$A$2503,A29,$B$4:$B$2503,B29),"Yes","No"))</f>
        <v/>
      </c>
      <c r="M29" s="30">
        <f>IF(B29="","",IFERROR(INDEX('Share classes'!$F$4:$F$203,MATCH(B29,'Share classes'!$B$4:$B$203,0)),""))</f>
        <v/>
      </c>
      <c r="N29" s="30">
        <f>IF(A29="","",IF(K29="","Unknown holder ID",IF(J29="","Unknown class code",IF(OR(C29="",D29=""),"Missing shares or date",IF(OR(C29&lt;0,C29&lt;&gt;INT(C29)),"Shares must be a whole number",IF(COUNTIFS($A$4:$A$2503,A29,$B$4:$B$2503,B29,$D$4:$D$2503,D29)&gt;1,"Duplicate row (same date)","OK"))))))</f>
        <v/>
      </c>
    </row>
    <row r="30">
      <c r="A30" s="26" t="n"/>
      <c r="B30" s="26" t="n"/>
      <c r="C30" s="34" t="n"/>
      <c r="D30" s="28" t="n"/>
      <c r="E30" s="26" t="n"/>
      <c r="F30" s="26" t="n"/>
      <c r="G30" s="26" t="n"/>
      <c r="H30" s="38" t="n"/>
      <c r="I30" s="28" t="n"/>
      <c r="J30" s="30">
        <f>IF(B30="","",IFERROR(INDEX('Share classes'!$A$4:$A$203,MATCH(B30,'Share classes'!$B$4:$B$203,0)),""))</f>
        <v/>
      </c>
      <c r="K30" s="30">
        <f>IF(A30="","",IFERROR(INDEX('Holders'!$B$4:$B$1003,MATCH(A30,'Holders'!$A$4:$A$1003,0)),""))</f>
        <v/>
      </c>
      <c r="L30" s="30">
        <f>IF(OR(A30="",B30="",D30=""),"",IF(D30=_xlfn.MAXIFS($D$4:$D$2503,$A$4:$A$2503,A30,$B$4:$B$2503,B30),"Yes","No"))</f>
        <v/>
      </c>
      <c r="M30" s="30">
        <f>IF(B30="","",IFERROR(INDEX('Share classes'!$F$4:$F$203,MATCH(B30,'Share classes'!$B$4:$B$203,0)),""))</f>
        <v/>
      </c>
      <c r="N30" s="30">
        <f>IF(A30="","",IF(K30="","Unknown holder ID",IF(J30="","Unknown class code",IF(OR(C30="",D30=""),"Missing shares or date",IF(OR(C30&lt;0,C30&lt;&gt;INT(C30)),"Shares must be a whole number",IF(COUNTIFS($A$4:$A$2503,A30,$B$4:$B$2503,B30,$D$4:$D$2503,D30)&gt;1,"Duplicate row (same date)","OK"))))))</f>
        <v/>
      </c>
    </row>
    <row r="31">
      <c r="A31" s="26" t="n"/>
      <c r="B31" s="26" t="n"/>
      <c r="C31" s="34" t="n"/>
      <c r="D31" s="28" t="n"/>
      <c r="E31" s="26" t="n"/>
      <c r="F31" s="26" t="n"/>
      <c r="G31" s="26" t="n"/>
      <c r="H31" s="38" t="n"/>
      <c r="I31" s="28" t="n"/>
      <c r="J31" s="30">
        <f>IF(B31="","",IFERROR(INDEX('Share classes'!$A$4:$A$203,MATCH(B31,'Share classes'!$B$4:$B$203,0)),""))</f>
        <v/>
      </c>
      <c r="K31" s="30">
        <f>IF(A31="","",IFERROR(INDEX('Holders'!$B$4:$B$1003,MATCH(A31,'Holders'!$A$4:$A$1003,0)),""))</f>
        <v/>
      </c>
      <c r="L31" s="30">
        <f>IF(OR(A31="",B31="",D31=""),"",IF(D31=_xlfn.MAXIFS($D$4:$D$2503,$A$4:$A$2503,A31,$B$4:$B$2503,B31),"Yes","No"))</f>
        <v/>
      </c>
      <c r="M31" s="30">
        <f>IF(B31="","",IFERROR(INDEX('Share classes'!$F$4:$F$203,MATCH(B31,'Share classes'!$B$4:$B$203,0)),""))</f>
        <v/>
      </c>
      <c r="N31" s="30">
        <f>IF(A31="","",IF(K31="","Unknown holder ID",IF(J31="","Unknown class code",IF(OR(C31="",D31=""),"Missing shares or date",IF(OR(C31&lt;0,C31&lt;&gt;INT(C31)),"Shares must be a whole number",IF(COUNTIFS($A$4:$A$2503,A31,$B$4:$B$2503,B31,$D$4:$D$2503,D31)&gt;1,"Duplicate row (same date)","OK"))))))</f>
        <v/>
      </c>
    </row>
    <row r="32">
      <c r="A32" s="26" t="n"/>
      <c r="B32" s="26" t="n"/>
      <c r="C32" s="34" t="n"/>
      <c r="D32" s="28" t="n"/>
      <c r="E32" s="26" t="n"/>
      <c r="F32" s="26" t="n"/>
      <c r="G32" s="26" t="n"/>
      <c r="H32" s="38" t="n"/>
      <c r="I32" s="28" t="n"/>
      <c r="J32" s="30">
        <f>IF(B32="","",IFERROR(INDEX('Share classes'!$A$4:$A$203,MATCH(B32,'Share classes'!$B$4:$B$203,0)),""))</f>
        <v/>
      </c>
      <c r="K32" s="30">
        <f>IF(A32="","",IFERROR(INDEX('Holders'!$B$4:$B$1003,MATCH(A32,'Holders'!$A$4:$A$1003,0)),""))</f>
        <v/>
      </c>
      <c r="L32" s="30">
        <f>IF(OR(A32="",B32="",D32=""),"",IF(D32=_xlfn.MAXIFS($D$4:$D$2503,$A$4:$A$2503,A32,$B$4:$B$2503,B32),"Yes","No"))</f>
        <v/>
      </c>
      <c r="M32" s="30">
        <f>IF(B32="","",IFERROR(INDEX('Share classes'!$F$4:$F$203,MATCH(B32,'Share classes'!$B$4:$B$203,0)),""))</f>
        <v/>
      </c>
      <c r="N32" s="30">
        <f>IF(A32="","",IF(K32="","Unknown holder ID",IF(J32="","Unknown class code",IF(OR(C32="",D32=""),"Missing shares or date",IF(OR(C32&lt;0,C32&lt;&gt;INT(C32)),"Shares must be a whole number",IF(COUNTIFS($A$4:$A$2503,A32,$B$4:$B$2503,B32,$D$4:$D$2503,D32)&gt;1,"Duplicate row (same date)","OK"))))))</f>
        <v/>
      </c>
    </row>
    <row r="33">
      <c r="A33" s="26" t="n"/>
      <c r="B33" s="26" t="n"/>
      <c r="C33" s="34" t="n"/>
      <c r="D33" s="28" t="n"/>
      <c r="E33" s="26" t="n"/>
      <c r="F33" s="26" t="n"/>
      <c r="G33" s="26" t="n"/>
      <c r="H33" s="38" t="n"/>
      <c r="I33" s="28" t="n"/>
      <c r="J33" s="30">
        <f>IF(B33="","",IFERROR(INDEX('Share classes'!$A$4:$A$203,MATCH(B33,'Share classes'!$B$4:$B$203,0)),""))</f>
        <v/>
      </c>
      <c r="K33" s="30">
        <f>IF(A33="","",IFERROR(INDEX('Holders'!$B$4:$B$1003,MATCH(A33,'Holders'!$A$4:$A$1003,0)),""))</f>
        <v/>
      </c>
      <c r="L33" s="30">
        <f>IF(OR(A33="",B33="",D33=""),"",IF(D33=_xlfn.MAXIFS($D$4:$D$2503,$A$4:$A$2503,A33,$B$4:$B$2503,B33),"Yes","No"))</f>
        <v/>
      </c>
      <c r="M33" s="30">
        <f>IF(B33="","",IFERROR(INDEX('Share classes'!$F$4:$F$203,MATCH(B33,'Share classes'!$B$4:$B$203,0)),""))</f>
        <v/>
      </c>
      <c r="N33" s="30">
        <f>IF(A33="","",IF(K33="","Unknown holder ID",IF(J33="","Unknown class code",IF(OR(C33="",D33=""),"Missing shares or date",IF(OR(C33&lt;0,C33&lt;&gt;INT(C33)),"Shares must be a whole number",IF(COUNTIFS($A$4:$A$2503,A33,$B$4:$B$2503,B33,$D$4:$D$2503,D33)&gt;1,"Duplicate row (same date)","OK"))))))</f>
        <v/>
      </c>
    </row>
    <row r="34">
      <c r="A34" s="26" t="n"/>
      <c r="B34" s="26" t="n"/>
      <c r="C34" s="34" t="n"/>
      <c r="D34" s="28" t="n"/>
      <c r="E34" s="26" t="n"/>
      <c r="F34" s="26" t="n"/>
      <c r="G34" s="26" t="n"/>
      <c r="H34" s="38" t="n"/>
      <c r="I34" s="28" t="n"/>
      <c r="J34" s="30">
        <f>IF(B34="","",IFERROR(INDEX('Share classes'!$A$4:$A$203,MATCH(B34,'Share classes'!$B$4:$B$203,0)),""))</f>
        <v/>
      </c>
      <c r="K34" s="30">
        <f>IF(A34="","",IFERROR(INDEX('Holders'!$B$4:$B$1003,MATCH(A34,'Holders'!$A$4:$A$1003,0)),""))</f>
        <v/>
      </c>
      <c r="L34" s="30">
        <f>IF(OR(A34="",B34="",D34=""),"",IF(D34=_xlfn.MAXIFS($D$4:$D$2503,$A$4:$A$2503,A34,$B$4:$B$2503,B34),"Yes","No"))</f>
        <v/>
      </c>
      <c r="M34" s="30">
        <f>IF(B34="","",IFERROR(INDEX('Share classes'!$F$4:$F$203,MATCH(B34,'Share classes'!$B$4:$B$203,0)),""))</f>
        <v/>
      </c>
      <c r="N34" s="30">
        <f>IF(A34="","",IF(K34="","Unknown holder ID",IF(J34="","Unknown class code",IF(OR(C34="",D34=""),"Missing shares or date",IF(OR(C34&lt;0,C34&lt;&gt;INT(C34)),"Shares must be a whole number",IF(COUNTIFS($A$4:$A$2503,A34,$B$4:$B$2503,B34,$D$4:$D$2503,D34)&gt;1,"Duplicate row (same date)","OK"))))))</f>
        <v/>
      </c>
    </row>
    <row r="35">
      <c r="A35" s="26" t="n"/>
      <c r="B35" s="26" t="n"/>
      <c r="C35" s="34" t="n"/>
      <c r="D35" s="28" t="n"/>
      <c r="E35" s="26" t="n"/>
      <c r="F35" s="26" t="n"/>
      <c r="G35" s="26" t="n"/>
      <c r="H35" s="38" t="n"/>
      <c r="I35" s="28" t="n"/>
      <c r="J35" s="30">
        <f>IF(B35="","",IFERROR(INDEX('Share classes'!$A$4:$A$203,MATCH(B35,'Share classes'!$B$4:$B$203,0)),""))</f>
        <v/>
      </c>
      <c r="K35" s="30">
        <f>IF(A35="","",IFERROR(INDEX('Holders'!$B$4:$B$1003,MATCH(A35,'Holders'!$A$4:$A$1003,0)),""))</f>
        <v/>
      </c>
      <c r="L35" s="30">
        <f>IF(OR(A35="",B35="",D35=""),"",IF(D35=_xlfn.MAXIFS($D$4:$D$2503,$A$4:$A$2503,A35,$B$4:$B$2503,B35),"Yes","No"))</f>
        <v/>
      </c>
      <c r="M35" s="30">
        <f>IF(B35="","",IFERROR(INDEX('Share classes'!$F$4:$F$203,MATCH(B35,'Share classes'!$B$4:$B$203,0)),""))</f>
        <v/>
      </c>
      <c r="N35" s="30">
        <f>IF(A35="","",IF(K35="","Unknown holder ID",IF(J35="","Unknown class code",IF(OR(C35="",D35=""),"Missing shares or date",IF(OR(C35&lt;0,C35&lt;&gt;INT(C35)),"Shares must be a whole number",IF(COUNTIFS($A$4:$A$2503,A35,$B$4:$B$2503,B35,$D$4:$D$2503,D35)&gt;1,"Duplicate row (same date)","OK"))))))</f>
        <v/>
      </c>
    </row>
    <row r="36">
      <c r="A36" s="26" t="n"/>
      <c r="B36" s="26" t="n"/>
      <c r="C36" s="34" t="n"/>
      <c r="D36" s="28" t="n"/>
      <c r="E36" s="26" t="n"/>
      <c r="F36" s="26" t="n"/>
      <c r="G36" s="26" t="n"/>
      <c r="H36" s="38" t="n"/>
      <c r="I36" s="28" t="n"/>
      <c r="J36" s="30">
        <f>IF(B36="","",IFERROR(INDEX('Share classes'!$A$4:$A$203,MATCH(B36,'Share classes'!$B$4:$B$203,0)),""))</f>
        <v/>
      </c>
      <c r="K36" s="30">
        <f>IF(A36="","",IFERROR(INDEX('Holders'!$B$4:$B$1003,MATCH(A36,'Holders'!$A$4:$A$1003,0)),""))</f>
        <v/>
      </c>
      <c r="L36" s="30">
        <f>IF(OR(A36="",B36="",D36=""),"",IF(D36=_xlfn.MAXIFS($D$4:$D$2503,$A$4:$A$2503,A36,$B$4:$B$2503,B36),"Yes","No"))</f>
        <v/>
      </c>
      <c r="M36" s="30">
        <f>IF(B36="","",IFERROR(INDEX('Share classes'!$F$4:$F$203,MATCH(B36,'Share classes'!$B$4:$B$203,0)),""))</f>
        <v/>
      </c>
      <c r="N36" s="30">
        <f>IF(A36="","",IF(K36="","Unknown holder ID",IF(J36="","Unknown class code",IF(OR(C36="",D36=""),"Missing shares or date",IF(OR(C36&lt;0,C36&lt;&gt;INT(C36)),"Shares must be a whole number",IF(COUNTIFS($A$4:$A$2503,A36,$B$4:$B$2503,B36,$D$4:$D$2503,D36)&gt;1,"Duplicate row (same date)","OK"))))))</f>
        <v/>
      </c>
    </row>
    <row r="37">
      <c r="A37" s="26" t="n"/>
      <c r="B37" s="26" t="n"/>
      <c r="C37" s="34" t="n"/>
      <c r="D37" s="28" t="n"/>
      <c r="E37" s="26" t="n"/>
      <c r="F37" s="26" t="n"/>
      <c r="G37" s="26" t="n"/>
      <c r="H37" s="38" t="n"/>
      <c r="I37" s="28" t="n"/>
      <c r="J37" s="30">
        <f>IF(B37="","",IFERROR(INDEX('Share classes'!$A$4:$A$203,MATCH(B37,'Share classes'!$B$4:$B$203,0)),""))</f>
        <v/>
      </c>
      <c r="K37" s="30">
        <f>IF(A37="","",IFERROR(INDEX('Holders'!$B$4:$B$1003,MATCH(A37,'Holders'!$A$4:$A$1003,0)),""))</f>
        <v/>
      </c>
      <c r="L37" s="30">
        <f>IF(OR(A37="",B37="",D37=""),"",IF(D37=_xlfn.MAXIFS($D$4:$D$2503,$A$4:$A$2503,A37,$B$4:$B$2503,B37),"Yes","No"))</f>
        <v/>
      </c>
      <c r="M37" s="30">
        <f>IF(B37="","",IFERROR(INDEX('Share classes'!$F$4:$F$203,MATCH(B37,'Share classes'!$B$4:$B$203,0)),""))</f>
        <v/>
      </c>
      <c r="N37" s="30">
        <f>IF(A37="","",IF(K37="","Unknown holder ID",IF(J37="","Unknown class code",IF(OR(C37="",D37=""),"Missing shares or date",IF(OR(C37&lt;0,C37&lt;&gt;INT(C37)),"Shares must be a whole number",IF(COUNTIFS($A$4:$A$2503,A37,$B$4:$B$2503,B37,$D$4:$D$2503,D37)&gt;1,"Duplicate row (same date)","OK"))))))</f>
        <v/>
      </c>
    </row>
    <row r="38">
      <c r="A38" s="26" t="n"/>
      <c r="B38" s="26" t="n"/>
      <c r="C38" s="34" t="n"/>
      <c r="D38" s="28" t="n"/>
      <c r="E38" s="26" t="n"/>
      <c r="F38" s="26" t="n"/>
      <c r="G38" s="26" t="n"/>
      <c r="H38" s="38" t="n"/>
      <c r="I38" s="28" t="n"/>
      <c r="J38" s="30">
        <f>IF(B38="","",IFERROR(INDEX('Share classes'!$A$4:$A$203,MATCH(B38,'Share classes'!$B$4:$B$203,0)),""))</f>
        <v/>
      </c>
      <c r="K38" s="30">
        <f>IF(A38="","",IFERROR(INDEX('Holders'!$B$4:$B$1003,MATCH(A38,'Holders'!$A$4:$A$1003,0)),""))</f>
        <v/>
      </c>
      <c r="L38" s="30">
        <f>IF(OR(A38="",B38="",D38=""),"",IF(D38=_xlfn.MAXIFS($D$4:$D$2503,$A$4:$A$2503,A38,$B$4:$B$2503,B38),"Yes","No"))</f>
        <v/>
      </c>
      <c r="M38" s="30">
        <f>IF(B38="","",IFERROR(INDEX('Share classes'!$F$4:$F$203,MATCH(B38,'Share classes'!$B$4:$B$203,0)),""))</f>
        <v/>
      </c>
      <c r="N38" s="30">
        <f>IF(A38="","",IF(K38="","Unknown holder ID",IF(J38="","Unknown class code",IF(OR(C38="",D38=""),"Missing shares or date",IF(OR(C38&lt;0,C38&lt;&gt;INT(C38)),"Shares must be a whole number",IF(COUNTIFS($A$4:$A$2503,A38,$B$4:$B$2503,B38,$D$4:$D$2503,D38)&gt;1,"Duplicate row (same date)","OK"))))))</f>
        <v/>
      </c>
    </row>
    <row r="39">
      <c r="A39" s="26" t="n"/>
      <c r="B39" s="26" t="n"/>
      <c r="C39" s="34" t="n"/>
      <c r="D39" s="28" t="n"/>
      <c r="E39" s="26" t="n"/>
      <c r="F39" s="26" t="n"/>
      <c r="G39" s="26" t="n"/>
      <c r="H39" s="38" t="n"/>
      <c r="I39" s="28" t="n"/>
      <c r="J39" s="30">
        <f>IF(B39="","",IFERROR(INDEX('Share classes'!$A$4:$A$203,MATCH(B39,'Share classes'!$B$4:$B$203,0)),""))</f>
        <v/>
      </c>
      <c r="K39" s="30">
        <f>IF(A39="","",IFERROR(INDEX('Holders'!$B$4:$B$1003,MATCH(A39,'Holders'!$A$4:$A$1003,0)),""))</f>
        <v/>
      </c>
      <c r="L39" s="30">
        <f>IF(OR(A39="",B39="",D39=""),"",IF(D39=_xlfn.MAXIFS($D$4:$D$2503,$A$4:$A$2503,A39,$B$4:$B$2503,B39),"Yes","No"))</f>
        <v/>
      </c>
      <c r="M39" s="30">
        <f>IF(B39="","",IFERROR(INDEX('Share classes'!$F$4:$F$203,MATCH(B39,'Share classes'!$B$4:$B$203,0)),""))</f>
        <v/>
      </c>
      <c r="N39" s="30">
        <f>IF(A39="","",IF(K39="","Unknown holder ID",IF(J39="","Unknown class code",IF(OR(C39="",D39=""),"Missing shares or date",IF(OR(C39&lt;0,C39&lt;&gt;INT(C39)),"Shares must be a whole number",IF(COUNTIFS($A$4:$A$2503,A39,$B$4:$B$2503,B39,$D$4:$D$2503,D39)&gt;1,"Duplicate row (same date)","OK"))))))</f>
        <v/>
      </c>
    </row>
    <row r="40">
      <c r="A40" s="26" t="n"/>
      <c r="B40" s="26" t="n"/>
      <c r="C40" s="34" t="n"/>
      <c r="D40" s="28" t="n"/>
      <c r="E40" s="26" t="n"/>
      <c r="F40" s="26" t="n"/>
      <c r="G40" s="26" t="n"/>
      <c r="H40" s="38" t="n"/>
      <c r="I40" s="28" t="n"/>
      <c r="J40" s="30">
        <f>IF(B40="","",IFERROR(INDEX('Share classes'!$A$4:$A$203,MATCH(B40,'Share classes'!$B$4:$B$203,0)),""))</f>
        <v/>
      </c>
      <c r="K40" s="30">
        <f>IF(A40="","",IFERROR(INDEX('Holders'!$B$4:$B$1003,MATCH(A40,'Holders'!$A$4:$A$1003,0)),""))</f>
        <v/>
      </c>
      <c r="L40" s="30">
        <f>IF(OR(A40="",B40="",D40=""),"",IF(D40=_xlfn.MAXIFS($D$4:$D$2503,$A$4:$A$2503,A40,$B$4:$B$2503,B40),"Yes","No"))</f>
        <v/>
      </c>
      <c r="M40" s="30">
        <f>IF(B40="","",IFERROR(INDEX('Share classes'!$F$4:$F$203,MATCH(B40,'Share classes'!$B$4:$B$203,0)),""))</f>
        <v/>
      </c>
      <c r="N40" s="30">
        <f>IF(A40="","",IF(K40="","Unknown holder ID",IF(J40="","Unknown class code",IF(OR(C40="",D40=""),"Missing shares or date",IF(OR(C40&lt;0,C40&lt;&gt;INT(C40)),"Shares must be a whole number",IF(COUNTIFS($A$4:$A$2503,A40,$B$4:$B$2503,B40,$D$4:$D$2503,D40)&gt;1,"Duplicate row (same date)","OK"))))))</f>
        <v/>
      </c>
    </row>
    <row r="41">
      <c r="A41" s="26" t="n"/>
      <c r="B41" s="26" t="n"/>
      <c r="C41" s="34" t="n"/>
      <c r="D41" s="28" t="n"/>
      <c r="E41" s="26" t="n"/>
      <c r="F41" s="26" t="n"/>
      <c r="G41" s="26" t="n"/>
      <c r="H41" s="38" t="n"/>
      <c r="I41" s="28" t="n"/>
      <c r="J41" s="30">
        <f>IF(B41="","",IFERROR(INDEX('Share classes'!$A$4:$A$203,MATCH(B41,'Share classes'!$B$4:$B$203,0)),""))</f>
        <v/>
      </c>
      <c r="K41" s="30">
        <f>IF(A41="","",IFERROR(INDEX('Holders'!$B$4:$B$1003,MATCH(A41,'Holders'!$A$4:$A$1003,0)),""))</f>
        <v/>
      </c>
      <c r="L41" s="30">
        <f>IF(OR(A41="",B41="",D41=""),"",IF(D41=_xlfn.MAXIFS($D$4:$D$2503,$A$4:$A$2503,A41,$B$4:$B$2503,B41),"Yes","No"))</f>
        <v/>
      </c>
      <c r="M41" s="30">
        <f>IF(B41="","",IFERROR(INDEX('Share classes'!$F$4:$F$203,MATCH(B41,'Share classes'!$B$4:$B$203,0)),""))</f>
        <v/>
      </c>
      <c r="N41" s="30">
        <f>IF(A41="","",IF(K41="","Unknown holder ID",IF(J41="","Unknown class code",IF(OR(C41="",D41=""),"Missing shares or date",IF(OR(C41&lt;0,C41&lt;&gt;INT(C41)),"Shares must be a whole number",IF(COUNTIFS($A$4:$A$2503,A41,$B$4:$B$2503,B41,$D$4:$D$2503,D41)&gt;1,"Duplicate row (same date)","OK"))))))</f>
        <v/>
      </c>
    </row>
    <row r="42">
      <c r="A42" s="26" t="n"/>
      <c r="B42" s="26" t="n"/>
      <c r="C42" s="34" t="n"/>
      <c r="D42" s="28" t="n"/>
      <c r="E42" s="26" t="n"/>
      <c r="F42" s="26" t="n"/>
      <c r="G42" s="26" t="n"/>
      <c r="H42" s="38" t="n"/>
      <c r="I42" s="28" t="n"/>
      <c r="J42" s="30">
        <f>IF(B42="","",IFERROR(INDEX('Share classes'!$A$4:$A$203,MATCH(B42,'Share classes'!$B$4:$B$203,0)),""))</f>
        <v/>
      </c>
      <c r="K42" s="30">
        <f>IF(A42="","",IFERROR(INDEX('Holders'!$B$4:$B$1003,MATCH(A42,'Holders'!$A$4:$A$1003,0)),""))</f>
        <v/>
      </c>
      <c r="L42" s="30">
        <f>IF(OR(A42="",B42="",D42=""),"",IF(D42=_xlfn.MAXIFS($D$4:$D$2503,$A$4:$A$2503,A42,$B$4:$B$2503,B42),"Yes","No"))</f>
        <v/>
      </c>
      <c r="M42" s="30">
        <f>IF(B42="","",IFERROR(INDEX('Share classes'!$F$4:$F$203,MATCH(B42,'Share classes'!$B$4:$B$203,0)),""))</f>
        <v/>
      </c>
      <c r="N42" s="30">
        <f>IF(A42="","",IF(K42="","Unknown holder ID",IF(J42="","Unknown class code",IF(OR(C42="",D42=""),"Missing shares or date",IF(OR(C42&lt;0,C42&lt;&gt;INT(C42)),"Shares must be a whole number",IF(COUNTIFS($A$4:$A$2503,A42,$B$4:$B$2503,B42,$D$4:$D$2503,D42)&gt;1,"Duplicate row (same date)","OK"))))))</f>
        <v/>
      </c>
    </row>
    <row r="43">
      <c r="A43" s="26" t="n"/>
      <c r="B43" s="26" t="n"/>
      <c r="C43" s="34" t="n"/>
      <c r="D43" s="28" t="n"/>
      <c r="E43" s="26" t="n"/>
      <c r="F43" s="26" t="n"/>
      <c r="G43" s="26" t="n"/>
      <c r="H43" s="38" t="n"/>
      <c r="I43" s="28" t="n"/>
      <c r="J43" s="30">
        <f>IF(B43="","",IFERROR(INDEX('Share classes'!$A$4:$A$203,MATCH(B43,'Share classes'!$B$4:$B$203,0)),""))</f>
        <v/>
      </c>
      <c r="K43" s="30">
        <f>IF(A43="","",IFERROR(INDEX('Holders'!$B$4:$B$1003,MATCH(A43,'Holders'!$A$4:$A$1003,0)),""))</f>
        <v/>
      </c>
      <c r="L43" s="30">
        <f>IF(OR(A43="",B43="",D43=""),"",IF(D43=_xlfn.MAXIFS($D$4:$D$2503,$A$4:$A$2503,A43,$B$4:$B$2503,B43),"Yes","No"))</f>
        <v/>
      </c>
      <c r="M43" s="30">
        <f>IF(B43="","",IFERROR(INDEX('Share classes'!$F$4:$F$203,MATCH(B43,'Share classes'!$B$4:$B$203,0)),""))</f>
        <v/>
      </c>
      <c r="N43" s="30">
        <f>IF(A43="","",IF(K43="","Unknown holder ID",IF(J43="","Unknown class code",IF(OR(C43="",D43=""),"Missing shares or date",IF(OR(C43&lt;0,C43&lt;&gt;INT(C43)),"Shares must be a whole number",IF(COUNTIFS($A$4:$A$2503,A43,$B$4:$B$2503,B43,$D$4:$D$2503,D43)&gt;1,"Duplicate row (same date)","OK"))))))</f>
        <v/>
      </c>
    </row>
    <row r="44">
      <c r="A44" s="26" t="n"/>
      <c r="B44" s="26" t="n"/>
      <c r="C44" s="34" t="n"/>
      <c r="D44" s="28" t="n"/>
      <c r="E44" s="26" t="n"/>
      <c r="F44" s="26" t="n"/>
      <c r="G44" s="26" t="n"/>
      <c r="H44" s="38" t="n"/>
      <c r="I44" s="28" t="n"/>
      <c r="J44" s="30">
        <f>IF(B44="","",IFERROR(INDEX('Share classes'!$A$4:$A$203,MATCH(B44,'Share classes'!$B$4:$B$203,0)),""))</f>
        <v/>
      </c>
      <c r="K44" s="30">
        <f>IF(A44="","",IFERROR(INDEX('Holders'!$B$4:$B$1003,MATCH(A44,'Holders'!$A$4:$A$1003,0)),""))</f>
        <v/>
      </c>
      <c r="L44" s="30">
        <f>IF(OR(A44="",B44="",D44=""),"",IF(D44=_xlfn.MAXIFS($D$4:$D$2503,$A$4:$A$2503,A44,$B$4:$B$2503,B44),"Yes","No"))</f>
        <v/>
      </c>
      <c r="M44" s="30">
        <f>IF(B44="","",IFERROR(INDEX('Share classes'!$F$4:$F$203,MATCH(B44,'Share classes'!$B$4:$B$203,0)),""))</f>
        <v/>
      </c>
      <c r="N44" s="30">
        <f>IF(A44="","",IF(K44="","Unknown holder ID",IF(J44="","Unknown class code",IF(OR(C44="",D44=""),"Missing shares or date",IF(OR(C44&lt;0,C44&lt;&gt;INT(C44)),"Shares must be a whole number",IF(COUNTIFS($A$4:$A$2503,A44,$B$4:$B$2503,B44,$D$4:$D$2503,D44)&gt;1,"Duplicate row (same date)","OK"))))))</f>
        <v/>
      </c>
    </row>
    <row r="45">
      <c r="A45" s="26" t="n"/>
      <c r="B45" s="26" t="n"/>
      <c r="C45" s="34" t="n"/>
      <c r="D45" s="28" t="n"/>
      <c r="E45" s="26" t="n"/>
      <c r="F45" s="26" t="n"/>
      <c r="G45" s="26" t="n"/>
      <c r="H45" s="38" t="n"/>
      <c r="I45" s="28" t="n"/>
      <c r="J45" s="30">
        <f>IF(B45="","",IFERROR(INDEX('Share classes'!$A$4:$A$203,MATCH(B45,'Share classes'!$B$4:$B$203,0)),""))</f>
        <v/>
      </c>
      <c r="K45" s="30">
        <f>IF(A45="","",IFERROR(INDEX('Holders'!$B$4:$B$1003,MATCH(A45,'Holders'!$A$4:$A$1003,0)),""))</f>
        <v/>
      </c>
      <c r="L45" s="30">
        <f>IF(OR(A45="",B45="",D45=""),"",IF(D45=_xlfn.MAXIFS($D$4:$D$2503,$A$4:$A$2503,A45,$B$4:$B$2503,B45),"Yes","No"))</f>
        <v/>
      </c>
      <c r="M45" s="30">
        <f>IF(B45="","",IFERROR(INDEX('Share classes'!$F$4:$F$203,MATCH(B45,'Share classes'!$B$4:$B$203,0)),""))</f>
        <v/>
      </c>
      <c r="N45" s="30">
        <f>IF(A45="","",IF(K45="","Unknown holder ID",IF(J45="","Unknown class code",IF(OR(C45="",D45=""),"Missing shares or date",IF(OR(C45&lt;0,C45&lt;&gt;INT(C45)),"Shares must be a whole number",IF(COUNTIFS($A$4:$A$2503,A45,$B$4:$B$2503,B45,$D$4:$D$2503,D45)&gt;1,"Duplicate row (same date)","OK"))))))</f>
        <v/>
      </c>
    </row>
    <row r="46">
      <c r="A46" s="26" t="n"/>
      <c r="B46" s="26" t="n"/>
      <c r="C46" s="34" t="n"/>
      <c r="D46" s="28" t="n"/>
      <c r="E46" s="26" t="n"/>
      <c r="F46" s="26" t="n"/>
      <c r="G46" s="26" t="n"/>
      <c r="H46" s="38" t="n"/>
      <c r="I46" s="28" t="n"/>
      <c r="J46" s="30">
        <f>IF(B46="","",IFERROR(INDEX('Share classes'!$A$4:$A$203,MATCH(B46,'Share classes'!$B$4:$B$203,0)),""))</f>
        <v/>
      </c>
      <c r="K46" s="30">
        <f>IF(A46="","",IFERROR(INDEX('Holders'!$B$4:$B$1003,MATCH(A46,'Holders'!$A$4:$A$1003,0)),""))</f>
        <v/>
      </c>
      <c r="L46" s="30">
        <f>IF(OR(A46="",B46="",D46=""),"",IF(D46=_xlfn.MAXIFS($D$4:$D$2503,$A$4:$A$2503,A46,$B$4:$B$2503,B46),"Yes","No"))</f>
        <v/>
      </c>
      <c r="M46" s="30">
        <f>IF(B46="","",IFERROR(INDEX('Share classes'!$F$4:$F$203,MATCH(B46,'Share classes'!$B$4:$B$203,0)),""))</f>
        <v/>
      </c>
      <c r="N46" s="30">
        <f>IF(A46="","",IF(K46="","Unknown holder ID",IF(J46="","Unknown class code",IF(OR(C46="",D46=""),"Missing shares or date",IF(OR(C46&lt;0,C46&lt;&gt;INT(C46)),"Shares must be a whole number",IF(COUNTIFS($A$4:$A$2503,A46,$B$4:$B$2503,B46,$D$4:$D$2503,D46)&gt;1,"Duplicate row (same date)","OK"))))))</f>
        <v/>
      </c>
    </row>
    <row r="47">
      <c r="A47" s="26" t="n"/>
      <c r="B47" s="26" t="n"/>
      <c r="C47" s="34" t="n"/>
      <c r="D47" s="28" t="n"/>
      <c r="E47" s="26" t="n"/>
      <c r="F47" s="26" t="n"/>
      <c r="G47" s="26" t="n"/>
      <c r="H47" s="38" t="n"/>
      <c r="I47" s="28" t="n"/>
      <c r="J47" s="30">
        <f>IF(B47="","",IFERROR(INDEX('Share classes'!$A$4:$A$203,MATCH(B47,'Share classes'!$B$4:$B$203,0)),""))</f>
        <v/>
      </c>
      <c r="K47" s="30">
        <f>IF(A47="","",IFERROR(INDEX('Holders'!$B$4:$B$1003,MATCH(A47,'Holders'!$A$4:$A$1003,0)),""))</f>
        <v/>
      </c>
      <c r="L47" s="30">
        <f>IF(OR(A47="",B47="",D47=""),"",IF(D47=_xlfn.MAXIFS($D$4:$D$2503,$A$4:$A$2503,A47,$B$4:$B$2503,B47),"Yes","No"))</f>
        <v/>
      </c>
      <c r="M47" s="30">
        <f>IF(B47="","",IFERROR(INDEX('Share classes'!$F$4:$F$203,MATCH(B47,'Share classes'!$B$4:$B$203,0)),""))</f>
        <v/>
      </c>
      <c r="N47" s="30">
        <f>IF(A47="","",IF(K47="","Unknown holder ID",IF(J47="","Unknown class code",IF(OR(C47="",D47=""),"Missing shares or date",IF(OR(C47&lt;0,C47&lt;&gt;INT(C47)),"Shares must be a whole number",IF(COUNTIFS($A$4:$A$2503,A47,$B$4:$B$2503,B47,$D$4:$D$2503,D47)&gt;1,"Duplicate row (same date)","OK"))))))</f>
        <v/>
      </c>
    </row>
    <row r="48">
      <c r="A48" s="26" t="n"/>
      <c r="B48" s="26" t="n"/>
      <c r="C48" s="34" t="n"/>
      <c r="D48" s="28" t="n"/>
      <c r="E48" s="26" t="n"/>
      <c r="F48" s="26" t="n"/>
      <c r="G48" s="26" t="n"/>
      <c r="H48" s="38" t="n"/>
      <c r="I48" s="28" t="n"/>
      <c r="J48" s="30">
        <f>IF(B48="","",IFERROR(INDEX('Share classes'!$A$4:$A$203,MATCH(B48,'Share classes'!$B$4:$B$203,0)),""))</f>
        <v/>
      </c>
      <c r="K48" s="30">
        <f>IF(A48="","",IFERROR(INDEX('Holders'!$B$4:$B$1003,MATCH(A48,'Holders'!$A$4:$A$1003,0)),""))</f>
        <v/>
      </c>
      <c r="L48" s="30">
        <f>IF(OR(A48="",B48="",D48=""),"",IF(D48=_xlfn.MAXIFS($D$4:$D$2503,$A$4:$A$2503,A48,$B$4:$B$2503,B48),"Yes","No"))</f>
        <v/>
      </c>
      <c r="M48" s="30">
        <f>IF(B48="","",IFERROR(INDEX('Share classes'!$F$4:$F$203,MATCH(B48,'Share classes'!$B$4:$B$203,0)),""))</f>
        <v/>
      </c>
      <c r="N48" s="30">
        <f>IF(A48="","",IF(K48="","Unknown holder ID",IF(J48="","Unknown class code",IF(OR(C48="",D48=""),"Missing shares or date",IF(OR(C48&lt;0,C48&lt;&gt;INT(C48)),"Shares must be a whole number",IF(COUNTIFS($A$4:$A$2503,A48,$B$4:$B$2503,B48,$D$4:$D$2503,D48)&gt;1,"Duplicate row (same date)","OK"))))))</f>
        <v/>
      </c>
    </row>
    <row r="49">
      <c r="A49" s="26" t="n"/>
      <c r="B49" s="26" t="n"/>
      <c r="C49" s="34" t="n"/>
      <c r="D49" s="28" t="n"/>
      <c r="E49" s="26" t="n"/>
      <c r="F49" s="26" t="n"/>
      <c r="G49" s="26" t="n"/>
      <c r="H49" s="38" t="n"/>
      <c r="I49" s="28" t="n"/>
      <c r="J49" s="30">
        <f>IF(B49="","",IFERROR(INDEX('Share classes'!$A$4:$A$203,MATCH(B49,'Share classes'!$B$4:$B$203,0)),""))</f>
        <v/>
      </c>
      <c r="K49" s="30">
        <f>IF(A49="","",IFERROR(INDEX('Holders'!$B$4:$B$1003,MATCH(A49,'Holders'!$A$4:$A$1003,0)),""))</f>
        <v/>
      </c>
      <c r="L49" s="30">
        <f>IF(OR(A49="",B49="",D49=""),"",IF(D49=_xlfn.MAXIFS($D$4:$D$2503,$A$4:$A$2503,A49,$B$4:$B$2503,B49),"Yes","No"))</f>
        <v/>
      </c>
      <c r="M49" s="30">
        <f>IF(B49="","",IFERROR(INDEX('Share classes'!$F$4:$F$203,MATCH(B49,'Share classes'!$B$4:$B$203,0)),""))</f>
        <v/>
      </c>
      <c r="N49" s="30">
        <f>IF(A49="","",IF(K49="","Unknown holder ID",IF(J49="","Unknown class code",IF(OR(C49="",D49=""),"Missing shares or date",IF(OR(C49&lt;0,C49&lt;&gt;INT(C49)),"Shares must be a whole number",IF(COUNTIFS($A$4:$A$2503,A49,$B$4:$B$2503,B49,$D$4:$D$2503,D49)&gt;1,"Duplicate row (same date)","OK"))))))</f>
        <v/>
      </c>
    </row>
    <row r="50">
      <c r="A50" s="26" t="n"/>
      <c r="B50" s="26" t="n"/>
      <c r="C50" s="34" t="n"/>
      <c r="D50" s="28" t="n"/>
      <c r="E50" s="26" t="n"/>
      <c r="F50" s="26" t="n"/>
      <c r="G50" s="26" t="n"/>
      <c r="H50" s="38" t="n"/>
      <c r="I50" s="28" t="n"/>
      <c r="J50" s="30">
        <f>IF(B50="","",IFERROR(INDEX('Share classes'!$A$4:$A$203,MATCH(B50,'Share classes'!$B$4:$B$203,0)),""))</f>
        <v/>
      </c>
      <c r="K50" s="30">
        <f>IF(A50="","",IFERROR(INDEX('Holders'!$B$4:$B$1003,MATCH(A50,'Holders'!$A$4:$A$1003,0)),""))</f>
        <v/>
      </c>
      <c r="L50" s="30">
        <f>IF(OR(A50="",B50="",D50=""),"",IF(D50=_xlfn.MAXIFS($D$4:$D$2503,$A$4:$A$2503,A50,$B$4:$B$2503,B50),"Yes","No"))</f>
        <v/>
      </c>
      <c r="M50" s="30">
        <f>IF(B50="","",IFERROR(INDEX('Share classes'!$F$4:$F$203,MATCH(B50,'Share classes'!$B$4:$B$203,0)),""))</f>
        <v/>
      </c>
      <c r="N50" s="30">
        <f>IF(A50="","",IF(K50="","Unknown holder ID",IF(J50="","Unknown class code",IF(OR(C50="",D50=""),"Missing shares or date",IF(OR(C50&lt;0,C50&lt;&gt;INT(C50)),"Shares must be a whole number",IF(COUNTIFS($A$4:$A$2503,A50,$B$4:$B$2503,B50,$D$4:$D$2503,D50)&gt;1,"Duplicate row (same date)","OK"))))))</f>
        <v/>
      </c>
    </row>
    <row r="51">
      <c r="A51" s="26" t="n"/>
      <c r="B51" s="26" t="n"/>
      <c r="C51" s="34" t="n"/>
      <c r="D51" s="28" t="n"/>
      <c r="E51" s="26" t="n"/>
      <c r="F51" s="26" t="n"/>
      <c r="G51" s="26" t="n"/>
      <c r="H51" s="38" t="n"/>
      <c r="I51" s="28" t="n"/>
      <c r="J51" s="30">
        <f>IF(B51="","",IFERROR(INDEX('Share classes'!$A$4:$A$203,MATCH(B51,'Share classes'!$B$4:$B$203,0)),""))</f>
        <v/>
      </c>
      <c r="K51" s="30">
        <f>IF(A51="","",IFERROR(INDEX('Holders'!$B$4:$B$1003,MATCH(A51,'Holders'!$A$4:$A$1003,0)),""))</f>
        <v/>
      </c>
      <c r="L51" s="30">
        <f>IF(OR(A51="",B51="",D51=""),"",IF(D51=_xlfn.MAXIFS($D$4:$D$2503,$A$4:$A$2503,A51,$B$4:$B$2503,B51),"Yes","No"))</f>
        <v/>
      </c>
      <c r="M51" s="30">
        <f>IF(B51="","",IFERROR(INDEX('Share classes'!$F$4:$F$203,MATCH(B51,'Share classes'!$B$4:$B$203,0)),""))</f>
        <v/>
      </c>
      <c r="N51" s="30">
        <f>IF(A51="","",IF(K51="","Unknown holder ID",IF(J51="","Unknown class code",IF(OR(C51="",D51=""),"Missing shares or date",IF(OR(C51&lt;0,C51&lt;&gt;INT(C51)),"Shares must be a whole number",IF(COUNTIFS($A$4:$A$2503,A51,$B$4:$B$2503,B51,$D$4:$D$2503,D51)&gt;1,"Duplicate row (same date)","OK"))))))</f>
        <v/>
      </c>
    </row>
    <row r="52">
      <c r="A52" s="26" t="n"/>
      <c r="B52" s="26" t="n"/>
      <c r="C52" s="34" t="n"/>
      <c r="D52" s="28" t="n"/>
      <c r="E52" s="26" t="n"/>
      <c r="F52" s="26" t="n"/>
      <c r="G52" s="26" t="n"/>
      <c r="H52" s="38" t="n"/>
      <c r="I52" s="28" t="n"/>
      <c r="J52" s="30">
        <f>IF(B52="","",IFERROR(INDEX('Share classes'!$A$4:$A$203,MATCH(B52,'Share classes'!$B$4:$B$203,0)),""))</f>
        <v/>
      </c>
      <c r="K52" s="30">
        <f>IF(A52="","",IFERROR(INDEX('Holders'!$B$4:$B$1003,MATCH(A52,'Holders'!$A$4:$A$1003,0)),""))</f>
        <v/>
      </c>
      <c r="L52" s="30">
        <f>IF(OR(A52="",B52="",D52=""),"",IF(D52=_xlfn.MAXIFS($D$4:$D$2503,$A$4:$A$2503,A52,$B$4:$B$2503,B52),"Yes","No"))</f>
        <v/>
      </c>
      <c r="M52" s="30">
        <f>IF(B52="","",IFERROR(INDEX('Share classes'!$F$4:$F$203,MATCH(B52,'Share classes'!$B$4:$B$203,0)),""))</f>
        <v/>
      </c>
      <c r="N52" s="30">
        <f>IF(A52="","",IF(K52="","Unknown holder ID",IF(J52="","Unknown class code",IF(OR(C52="",D52=""),"Missing shares or date",IF(OR(C52&lt;0,C52&lt;&gt;INT(C52)),"Shares must be a whole number",IF(COUNTIFS($A$4:$A$2503,A52,$B$4:$B$2503,B52,$D$4:$D$2503,D52)&gt;1,"Duplicate row (same date)","OK"))))))</f>
        <v/>
      </c>
    </row>
    <row r="53">
      <c r="A53" s="26" t="n"/>
      <c r="B53" s="26" t="n"/>
      <c r="C53" s="34" t="n"/>
      <c r="D53" s="28" t="n"/>
      <c r="E53" s="26" t="n"/>
      <c r="F53" s="26" t="n"/>
      <c r="G53" s="26" t="n"/>
      <c r="H53" s="38" t="n"/>
      <c r="I53" s="28" t="n"/>
      <c r="J53" s="30">
        <f>IF(B53="","",IFERROR(INDEX('Share classes'!$A$4:$A$203,MATCH(B53,'Share classes'!$B$4:$B$203,0)),""))</f>
        <v/>
      </c>
      <c r="K53" s="30">
        <f>IF(A53="","",IFERROR(INDEX('Holders'!$B$4:$B$1003,MATCH(A53,'Holders'!$A$4:$A$1003,0)),""))</f>
        <v/>
      </c>
      <c r="L53" s="30">
        <f>IF(OR(A53="",B53="",D53=""),"",IF(D53=_xlfn.MAXIFS($D$4:$D$2503,$A$4:$A$2503,A53,$B$4:$B$2503,B53),"Yes","No"))</f>
        <v/>
      </c>
      <c r="M53" s="30">
        <f>IF(B53="","",IFERROR(INDEX('Share classes'!$F$4:$F$203,MATCH(B53,'Share classes'!$B$4:$B$203,0)),""))</f>
        <v/>
      </c>
      <c r="N53" s="30">
        <f>IF(A53="","",IF(K53="","Unknown holder ID",IF(J53="","Unknown class code",IF(OR(C53="",D53=""),"Missing shares or date",IF(OR(C53&lt;0,C53&lt;&gt;INT(C53)),"Shares must be a whole number",IF(COUNTIFS($A$4:$A$2503,A53,$B$4:$B$2503,B53,$D$4:$D$2503,D53)&gt;1,"Duplicate row (same date)","OK"))))))</f>
        <v/>
      </c>
    </row>
    <row r="54">
      <c r="A54" s="26" t="n"/>
      <c r="B54" s="26" t="n"/>
      <c r="C54" s="34" t="n"/>
      <c r="D54" s="28" t="n"/>
      <c r="E54" s="26" t="n"/>
      <c r="F54" s="26" t="n"/>
      <c r="G54" s="26" t="n"/>
      <c r="H54" s="38" t="n"/>
      <c r="I54" s="28" t="n"/>
      <c r="J54" s="30">
        <f>IF(B54="","",IFERROR(INDEX('Share classes'!$A$4:$A$203,MATCH(B54,'Share classes'!$B$4:$B$203,0)),""))</f>
        <v/>
      </c>
      <c r="K54" s="30">
        <f>IF(A54="","",IFERROR(INDEX('Holders'!$B$4:$B$1003,MATCH(A54,'Holders'!$A$4:$A$1003,0)),""))</f>
        <v/>
      </c>
      <c r="L54" s="30">
        <f>IF(OR(A54="",B54="",D54=""),"",IF(D54=_xlfn.MAXIFS($D$4:$D$2503,$A$4:$A$2503,A54,$B$4:$B$2503,B54),"Yes","No"))</f>
        <v/>
      </c>
      <c r="M54" s="30">
        <f>IF(B54="","",IFERROR(INDEX('Share classes'!$F$4:$F$203,MATCH(B54,'Share classes'!$B$4:$B$203,0)),""))</f>
        <v/>
      </c>
      <c r="N54" s="30">
        <f>IF(A54="","",IF(K54="","Unknown holder ID",IF(J54="","Unknown class code",IF(OR(C54="",D54=""),"Missing shares or date",IF(OR(C54&lt;0,C54&lt;&gt;INT(C54)),"Shares must be a whole number",IF(COUNTIFS($A$4:$A$2503,A54,$B$4:$B$2503,B54,$D$4:$D$2503,D54)&gt;1,"Duplicate row (same date)","OK"))))))</f>
        <v/>
      </c>
    </row>
    <row r="55">
      <c r="A55" s="26" t="n"/>
      <c r="B55" s="26" t="n"/>
      <c r="C55" s="34" t="n"/>
      <c r="D55" s="28" t="n"/>
      <c r="E55" s="26" t="n"/>
      <c r="F55" s="26" t="n"/>
      <c r="G55" s="26" t="n"/>
      <c r="H55" s="38" t="n"/>
      <c r="I55" s="28" t="n"/>
      <c r="J55" s="30">
        <f>IF(B55="","",IFERROR(INDEX('Share classes'!$A$4:$A$203,MATCH(B55,'Share classes'!$B$4:$B$203,0)),""))</f>
        <v/>
      </c>
      <c r="K55" s="30">
        <f>IF(A55="","",IFERROR(INDEX('Holders'!$B$4:$B$1003,MATCH(A55,'Holders'!$A$4:$A$1003,0)),""))</f>
        <v/>
      </c>
      <c r="L55" s="30">
        <f>IF(OR(A55="",B55="",D55=""),"",IF(D55=_xlfn.MAXIFS($D$4:$D$2503,$A$4:$A$2503,A55,$B$4:$B$2503,B55),"Yes","No"))</f>
        <v/>
      </c>
      <c r="M55" s="30">
        <f>IF(B55="","",IFERROR(INDEX('Share classes'!$F$4:$F$203,MATCH(B55,'Share classes'!$B$4:$B$203,0)),""))</f>
        <v/>
      </c>
      <c r="N55" s="30">
        <f>IF(A55="","",IF(K55="","Unknown holder ID",IF(J55="","Unknown class code",IF(OR(C55="",D55=""),"Missing shares or date",IF(OR(C55&lt;0,C55&lt;&gt;INT(C55)),"Shares must be a whole number",IF(COUNTIFS($A$4:$A$2503,A55,$B$4:$B$2503,B55,$D$4:$D$2503,D55)&gt;1,"Duplicate row (same date)","OK"))))))</f>
        <v/>
      </c>
    </row>
    <row r="56">
      <c r="A56" s="26" t="n"/>
      <c r="B56" s="26" t="n"/>
      <c r="C56" s="34" t="n"/>
      <c r="D56" s="28" t="n"/>
      <c r="E56" s="26" t="n"/>
      <c r="F56" s="26" t="n"/>
      <c r="G56" s="26" t="n"/>
      <c r="H56" s="38" t="n"/>
      <c r="I56" s="28" t="n"/>
      <c r="J56" s="30">
        <f>IF(B56="","",IFERROR(INDEX('Share classes'!$A$4:$A$203,MATCH(B56,'Share classes'!$B$4:$B$203,0)),""))</f>
        <v/>
      </c>
      <c r="K56" s="30">
        <f>IF(A56="","",IFERROR(INDEX('Holders'!$B$4:$B$1003,MATCH(A56,'Holders'!$A$4:$A$1003,0)),""))</f>
        <v/>
      </c>
      <c r="L56" s="30">
        <f>IF(OR(A56="",B56="",D56=""),"",IF(D56=_xlfn.MAXIFS($D$4:$D$2503,$A$4:$A$2503,A56,$B$4:$B$2503,B56),"Yes","No"))</f>
        <v/>
      </c>
      <c r="M56" s="30">
        <f>IF(B56="","",IFERROR(INDEX('Share classes'!$F$4:$F$203,MATCH(B56,'Share classes'!$B$4:$B$203,0)),""))</f>
        <v/>
      </c>
      <c r="N56" s="30">
        <f>IF(A56="","",IF(K56="","Unknown holder ID",IF(J56="","Unknown class code",IF(OR(C56="",D56=""),"Missing shares or date",IF(OR(C56&lt;0,C56&lt;&gt;INT(C56)),"Shares must be a whole number",IF(COUNTIFS($A$4:$A$2503,A56,$B$4:$B$2503,B56,$D$4:$D$2503,D56)&gt;1,"Duplicate row (same date)","OK"))))))</f>
        <v/>
      </c>
    </row>
    <row r="57">
      <c r="A57" s="26" t="n"/>
      <c r="B57" s="26" t="n"/>
      <c r="C57" s="34" t="n"/>
      <c r="D57" s="28" t="n"/>
      <c r="E57" s="26" t="n"/>
      <c r="F57" s="26" t="n"/>
      <c r="G57" s="26" t="n"/>
      <c r="H57" s="38" t="n"/>
      <c r="I57" s="28" t="n"/>
      <c r="J57" s="30">
        <f>IF(B57="","",IFERROR(INDEX('Share classes'!$A$4:$A$203,MATCH(B57,'Share classes'!$B$4:$B$203,0)),""))</f>
        <v/>
      </c>
      <c r="K57" s="30">
        <f>IF(A57="","",IFERROR(INDEX('Holders'!$B$4:$B$1003,MATCH(A57,'Holders'!$A$4:$A$1003,0)),""))</f>
        <v/>
      </c>
      <c r="L57" s="30">
        <f>IF(OR(A57="",B57="",D57=""),"",IF(D57=_xlfn.MAXIFS($D$4:$D$2503,$A$4:$A$2503,A57,$B$4:$B$2503,B57),"Yes","No"))</f>
        <v/>
      </c>
      <c r="M57" s="30">
        <f>IF(B57="","",IFERROR(INDEX('Share classes'!$F$4:$F$203,MATCH(B57,'Share classes'!$B$4:$B$203,0)),""))</f>
        <v/>
      </c>
      <c r="N57" s="30">
        <f>IF(A57="","",IF(K57="","Unknown holder ID",IF(J57="","Unknown class code",IF(OR(C57="",D57=""),"Missing shares or date",IF(OR(C57&lt;0,C57&lt;&gt;INT(C57)),"Shares must be a whole number",IF(COUNTIFS($A$4:$A$2503,A57,$B$4:$B$2503,B57,$D$4:$D$2503,D57)&gt;1,"Duplicate row (same date)","OK"))))))</f>
        <v/>
      </c>
    </row>
    <row r="58">
      <c r="A58" s="26" t="n"/>
      <c r="B58" s="26" t="n"/>
      <c r="C58" s="34" t="n"/>
      <c r="D58" s="28" t="n"/>
      <c r="E58" s="26" t="n"/>
      <c r="F58" s="26" t="n"/>
      <c r="G58" s="26" t="n"/>
      <c r="H58" s="38" t="n"/>
      <c r="I58" s="28" t="n"/>
      <c r="J58" s="30">
        <f>IF(B58="","",IFERROR(INDEX('Share classes'!$A$4:$A$203,MATCH(B58,'Share classes'!$B$4:$B$203,0)),""))</f>
        <v/>
      </c>
      <c r="K58" s="30">
        <f>IF(A58="","",IFERROR(INDEX('Holders'!$B$4:$B$1003,MATCH(A58,'Holders'!$A$4:$A$1003,0)),""))</f>
        <v/>
      </c>
      <c r="L58" s="30">
        <f>IF(OR(A58="",B58="",D58=""),"",IF(D58=_xlfn.MAXIFS($D$4:$D$2503,$A$4:$A$2503,A58,$B$4:$B$2503,B58),"Yes","No"))</f>
        <v/>
      </c>
      <c r="M58" s="30">
        <f>IF(B58="","",IFERROR(INDEX('Share classes'!$F$4:$F$203,MATCH(B58,'Share classes'!$B$4:$B$203,0)),""))</f>
        <v/>
      </c>
      <c r="N58" s="30">
        <f>IF(A58="","",IF(K58="","Unknown holder ID",IF(J58="","Unknown class code",IF(OR(C58="",D58=""),"Missing shares or date",IF(OR(C58&lt;0,C58&lt;&gt;INT(C58)),"Shares must be a whole number",IF(COUNTIFS($A$4:$A$2503,A58,$B$4:$B$2503,B58,$D$4:$D$2503,D58)&gt;1,"Duplicate row (same date)","OK"))))))</f>
        <v/>
      </c>
    </row>
    <row r="59">
      <c r="A59" s="26" t="n"/>
      <c r="B59" s="26" t="n"/>
      <c r="C59" s="34" t="n"/>
      <c r="D59" s="28" t="n"/>
      <c r="E59" s="26" t="n"/>
      <c r="F59" s="26" t="n"/>
      <c r="G59" s="26" t="n"/>
      <c r="H59" s="38" t="n"/>
      <c r="I59" s="28" t="n"/>
      <c r="J59" s="30">
        <f>IF(B59="","",IFERROR(INDEX('Share classes'!$A$4:$A$203,MATCH(B59,'Share classes'!$B$4:$B$203,0)),""))</f>
        <v/>
      </c>
      <c r="K59" s="30">
        <f>IF(A59="","",IFERROR(INDEX('Holders'!$B$4:$B$1003,MATCH(A59,'Holders'!$A$4:$A$1003,0)),""))</f>
        <v/>
      </c>
      <c r="L59" s="30">
        <f>IF(OR(A59="",B59="",D59=""),"",IF(D59=_xlfn.MAXIFS($D$4:$D$2503,$A$4:$A$2503,A59,$B$4:$B$2503,B59),"Yes","No"))</f>
        <v/>
      </c>
      <c r="M59" s="30">
        <f>IF(B59="","",IFERROR(INDEX('Share classes'!$F$4:$F$203,MATCH(B59,'Share classes'!$B$4:$B$203,0)),""))</f>
        <v/>
      </c>
      <c r="N59" s="30">
        <f>IF(A59="","",IF(K59="","Unknown holder ID",IF(J59="","Unknown class code",IF(OR(C59="",D59=""),"Missing shares or date",IF(OR(C59&lt;0,C59&lt;&gt;INT(C59)),"Shares must be a whole number",IF(COUNTIFS($A$4:$A$2503,A59,$B$4:$B$2503,B59,$D$4:$D$2503,D59)&gt;1,"Duplicate row (same date)","OK"))))))</f>
        <v/>
      </c>
    </row>
    <row r="60">
      <c r="A60" s="26" t="n"/>
      <c r="B60" s="26" t="n"/>
      <c r="C60" s="34" t="n"/>
      <c r="D60" s="28" t="n"/>
      <c r="E60" s="26" t="n"/>
      <c r="F60" s="26" t="n"/>
      <c r="G60" s="26" t="n"/>
      <c r="H60" s="38" t="n"/>
      <c r="I60" s="28" t="n"/>
      <c r="J60" s="30">
        <f>IF(B60="","",IFERROR(INDEX('Share classes'!$A$4:$A$203,MATCH(B60,'Share classes'!$B$4:$B$203,0)),""))</f>
        <v/>
      </c>
      <c r="K60" s="30">
        <f>IF(A60="","",IFERROR(INDEX('Holders'!$B$4:$B$1003,MATCH(A60,'Holders'!$A$4:$A$1003,0)),""))</f>
        <v/>
      </c>
      <c r="L60" s="30">
        <f>IF(OR(A60="",B60="",D60=""),"",IF(D60=_xlfn.MAXIFS($D$4:$D$2503,$A$4:$A$2503,A60,$B$4:$B$2503,B60),"Yes","No"))</f>
        <v/>
      </c>
      <c r="M60" s="30">
        <f>IF(B60="","",IFERROR(INDEX('Share classes'!$F$4:$F$203,MATCH(B60,'Share classes'!$B$4:$B$203,0)),""))</f>
        <v/>
      </c>
      <c r="N60" s="30">
        <f>IF(A60="","",IF(K60="","Unknown holder ID",IF(J60="","Unknown class code",IF(OR(C60="",D60=""),"Missing shares or date",IF(OR(C60&lt;0,C60&lt;&gt;INT(C60)),"Shares must be a whole number",IF(COUNTIFS($A$4:$A$2503,A60,$B$4:$B$2503,B60,$D$4:$D$2503,D60)&gt;1,"Duplicate row (same date)","OK"))))))</f>
        <v/>
      </c>
    </row>
    <row r="61">
      <c r="A61" s="26" t="n"/>
      <c r="B61" s="26" t="n"/>
      <c r="C61" s="34" t="n"/>
      <c r="D61" s="28" t="n"/>
      <c r="E61" s="26" t="n"/>
      <c r="F61" s="26" t="n"/>
      <c r="G61" s="26" t="n"/>
      <c r="H61" s="38" t="n"/>
      <c r="I61" s="28" t="n"/>
      <c r="J61" s="30">
        <f>IF(B61="","",IFERROR(INDEX('Share classes'!$A$4:$A$203,MATCH(B61,'Share classes'!$B$4:$B$203,0)),""))</f>
        <v/>
      </c>
      <c r="K61" s="30">
        <f>IF(A61="","",IFERROR(INDEX('Holders'!$B$4:$B$1003,MATCH(A61,'Holders'!$A$4:$A$1003,0)),""))</f>
        <v/>
      </c>
      <c r="L61" s="30">
        <f>IF(OR(A61="",B61="",D61=""),"",IF(D61=_xlfn.MAXIFS($D$4:$D$2503,$A$4:$A$2503,A61,$B$4:$B$2503,B61),"Yes","No"))</f>
        <v/>
      </c>
      <c r="M61" s="30">
        <f>IF(B61="","",IFERROR(INDEX('Share classes'!$F$4:$F$203,MATCH(B61,'Share classes'!$B$4:$B$203,0)),""))</f>
        <v/>
      </c>
      <c r="N61" s="30">
        <f>IF(A61="","",IF(K61="","Unknown holder ID",IF(J61="","Unknown class code",IF(OR(C61="",D61=""),"Missing shares or date",IF(OR(C61&lt;0,C61&lt;&gt;INT(C61)),"Shares must be a whole number",IF(COUNTIFS($A$4:$A$2503,A61,$B$4:$B$2503,B61,$D$4:$D$2503,D61)&gt;1,"Duplicate row (same date)","OK"))))))</f>
        <v/>
      </c>
    </row>
    <row r="62">
      <c r="A62" s="26" t="n"/>
      <c r="B62" s="26" t="n"/>
      <c r="C62" s="34" t="n"/>
      <c r="D62" s="28" t="n"/>
      <c r="E62" s="26" t="n"/>
      <c r="F62" s="26" t="n"/>
      <c r="G62" s="26" t="n"/>
      <c r="H62" s="38" t="n"/>
      <c r="I62" s="28" t="n"/>
      <c r="J62" s="30">
        <f>IF(B62="","",IFERROR(INDEX('Share classes'!$A$4:$A$203,MATCH(B62,'Share classes'!$B$4:$B$203,0)),""))</f>
        <v/>
      </c>
      <c r="K62" s="30">
        <f>IF(A62="","",IFERROR(INDEX('Holders'!$B$4:$B$1003,MATCH(A62,'Holders'!$A$4:$A$1003,0)),""))</f>
        <v/>
      </c>
      <c r="L62" s="30">
        <f>IF(OR(A62="",B62="",D62=""),"",IF(D62=_xlfn.MAXIFS($D$4:$D$2503,$A$4:$A$2503,A62,$B$4:$B$2503,B62),"Yes","No"))</f>
        <v/>
      </c>
      <c r="M62" s="30">
        <f>IF(B62="","",IFERROR(INDEX('Share classes'!$F$4:$F$203,MATCH(B62,'Share classes'!$B$4:$B$203,0)),""))</f>
        <v/>
      </c>
      <c r="N62" s="30">
        <f>IF(A62="","",IF(K62="","Unknown holder ID",IF(J62="","Unknown class code",IF(OR(C62="",D62=""),"Missing shares or date",IF(OR(C62&lt;0,C62&lt;&gt;INT(C62)),"Shares must be a whole number",IF(COUNTIFS($A$4:$A$2503,A62,$B$4:$B$2503,B62,$D$4:$D$2503,D62)&gt;1,"Duplicate row (same date)","OK"))))))</f>
        <v/>
      </c>
    </row>
    <row r="63">
      <c r="A63" s="26" t="n"/>
      <c r="B63" s="26" t="n"/>
      <c r="C63" s="34" t="n"/>
      <c r="D63" s="28" t="n"/>
      <c r="E63" s="26" t="n"/>
      <c r="F63" s="26" t="n"/>
      <c r="G63" s="26" t="n"/>
      <c r="H63" s="38" t="n"/>
      <c r="I63" s="28" t="n"/>
      <c r="J63" s="30">
        <f>IF(B63="","",IFERROR(INDEX('Share classes'!$A$4:$A$203,MATCH(B63,'Share classes'!$B$4:$B$203,0)),""))</f>
        <v/>
      </c>
      <c r="K63" s="30">
        <f>IF(A63="","",IFERROR(INDEX('Holders'!$B$4:$B$1003,MATCH(A63,'Holders'!$A$4:$A$1003,0)),""))</f>
        <v/>
      </c>
      <c r="L63" s="30">
        <f>IF(OR(A63="",B63="",D63=""),"",IF(D63=_xlfn.MAXIFS($D$4:$D$2503,$A$4:$A$2503,A63,$B$4:$B$2503,B63),"Yes","No"))</f>
        <v/>
      </c>
      <c r="M63" s="30">
        <f>IF(B63="","",IFERROR(INDEX('Share classes'!$F$4:$F$203,MATCH(B63,'Share classes'!$B$4:$B$203,0)),""))</f>
        <v/>
      </c>
      <c r="N63" s="30">
        <f>IF(A63="","",IF(K63="","Unknown holder ID",IF(J63="","Unknown class code",IF(OR(C63="",D63=""),"Missing shares or date",IF(OR(C63&lt;0,C63&lt;&gt;INT(C63)),"Shares must be a whole number",IF(COUNTIFS($A$4:$A$2503,A63,$B$4:$B$2503,B63,$D$4:$D$2503,D63)&gt;1,"Duplicate row (same date)","OK"))))))</f>
        <v/>
      </c>
    </row>
    <row r="64">
      <c r="A64" s="26" t="n"/>
      <c r="B64" s="26" t="n"/>
      <c r="C64" s="34" t="n"/>
      <c r="D64" s="28" t="n"/>
      <c r="E64" s="26" t="n"/>
      <c r="F64" s="26" t="n"/>
      <c r="G64" s="26" t="n"/>
      <c r="H64" s="38" t="n"/>
      <c r="I64" s="28" t="n"/>
      <c r="J64" s="30">
        <f>IF(B64="","",IFERROR(INDEX('Share classes'!$A$4:$A$203,MATCH(B64,'Share classes'!$B$4:$B$203,0)),""))</f>
        <v/>
      </c>
      <c r="K64" s="30">
        <f>IF(A64="","",IFERROR(INDEX('Holders'!$B$4:$B$1003,MATCH(A64,'Holders'!$A$4:$A$1003,0)),""))</f>
        <v/>
      </c>
      <c r="L64" s="30">
        <f>IF(OR(A64="",B64="",D64=""),"",IF(D64=_xlfn.MAXIFS($D$4:$D$2503,$A$4:$A$2503,A64,$B$4:$B$2503,B64),"Yes","No"))</f>
        <v/>
      </c>
      <c r="M64" s="30">
        <f>IF(B64="","",IFERROR(INDEX('Share classes'!$F$4:$F$203,MATCH(B64,'Share classes'!$B$4:$B$203,0)),""))</f>
        <v/>
      </c>
      <c r="N64" s="30">
        <f>IF(A64="","",IF(K64="","Unknown holder ID",IF(J64="","Unknown class code",IF(OR(C64="",D64=""),"Missing shares or date",IF(OR(C64&lt;0,C64&lt;&gt;INT(C64)),"Shares must be a whole number",IF(COUNTIFS($A$4:$A$2503,A64,$B$4:$B$2503,B64,$D$4:$D$2503,D64)&gt;1,"Duplicate row (same date)","OK"))))))</f>
        <v/>
      </c>
    </row>
    <row r="65">
      <c r="A65" s="26" t="n"/>
      <c r="B65" s="26" t="n"/>
      <c r="C65" s="34" t="n"/>
      <c r="D65" s="28" t="n"/>
      <c r="E65" s="26" t="n"/>
      <c r="F65" s="26" t="n"/>
      <c r="G65" s="26" t="n"/>
      <c r="H65" s="38" t="n"/>
      <c r="I65" s="28" t="n"/>
      <c r="J65" s="30">
        <f>IF(B65="","",IFERROR(INDEX('Share classes'!$A$4:$A$203,MATCH(B65,'Share classes'!$B$4:$B$203,0)),""))</f>
        <v/>
      </c>
      <c r="K65" s="30">
        <f>IF(A65="","",IFERROR(INDEX('Holders'!$B$4:$B$1003,MATCH(A65,'Holders'!$A$4:$A$1003,0)),""))</f>
        <v/>
      </c>
      <c r="L65" s="30">
        <f>IF(OR(A65="",B65="",D65=""),"",IF(D65=_xlfn.MAXIFS($D$4:$D$2503,$A$4:$A$2503,A65,$B$4:$B$2503,B65),"Yes","No"))</f>
        <v/>
      </c>
      <c r="M65" s="30">
        <f>IF(B65="","",IFERROR(INDEX('Share classes'!$F$4:$F$203,MATCH(B65,'Share classes'!$B$4:$B$203,0)),""))</f>
        <v/>
      </c>
      <c r="N65" s="30">
        <f>IF(A65="","",IF(K65="","Unknown holder ID",IF(J65="","Unknown class code",IF(OR(C65="",D65=""),"Missing shares or date",IF(OR(C65&lt;0,C65&lt;&gt;INT(C65)),"Shares must be a whole number",IF(COUNTIFS($A$4:$A$2503,A65,$B$4:$B$2503,B65,$D$4:$D$2503,D65)&gt;1,"Duplicate row (same date)","OK"))))))</f>
        <v/>
      </c>
    </row>
    <row r="66">
      <c r="A66" s="26" t="n"/>
      <c r="B66" s="26" t="n"/>
      <c r="C66" s="34" t="n"/>
      <c r="D66" s="28" t="n"/>
      <c r="E66" s="26" t="n"/>
      <c r="F66" s="26" t="n"/>
      <c r="G66" s="26" t="n"/>
      <c r="H66" s="38" t="n"/>
      <c r="I66" s="28" t="n"/>
      <c r="J66" s="30">
        <f>IF(B66="","",IFERROR(INDEX('Share classes'!$A$4:$A$203,MATCH(B66,'Share classes'!$B$4:$B$203,0)),""))</f>
        <v/>
      </c>
      <c r="K66" s="30">
        <f>IF(A66="","",IFERROR(INDEX('Holders'!$B$4:$B$1003,MATCH(A66,'Holders'!$A$4:$A$1003,0)),""))</f>
        <v/>
      </c>
      <c r="L66" s="30">
        <f>IF(OR(A66="",B66="",D66=""),"",IF(D66=_xlfn.MAXIFS($D$4:$D$2503,$A$4:$A$2503,A66,$B$4:$B$2503,B66),"Yes","No"))</f>
        <v/>
      </c>
      <c r="M66" s="30">
        <f>IF(B66="","",IFERROR(INDEX('Share classes'!$F$4:$F$203,MATCH(B66,'Share classes'!$B$4:$B$203,0)),""))</f>
        <v/>
      </c>
      <c r="N66" s="30">
        <f>IF(A66="","",IF(K66="","Unknown holder ID",IF(J66="","Unknown class code",IF(OR(C66="",D66=""),"Missing shares or date",IF(OR(C66&lt;0,C66&lt;&gt;INT(C66)),"Shares must be a whole number",IF(COUNTIFS($A$4:$A$2503,A66,$B$4:$B$2503,B66,$D$4:$D$2503,D66)&gt;1,"Duplicate row (same date)","OK"))))))</f>
        <v/>
      </c>
    </row>
    <row r="67">
      <c r="A67" s="26" t="n"/>
      <c r="B67" s="26" t="n"/>
      <c r="C67" s="34" t="n"/>
      <c r="D67" s="28" t="n"/>
      <c r="E67" s="26" t="n"/>
      <c r="F67" s="26" t="n"/>
      <c r="G67" s="26" t="n"/>
      <c r="H67" s="38" t="n"/>
      <c r="I67" s="28" t="n"/>
      <c r="J67" s="30">
        <f>IF(B67="","",IFERROR(INDEX('Share classes'!$A$4:$A$203,MATCH(B67,'Share classes'!$B$4:$B$203,0)),""))</f>
        <v/>
      </c>
      <c r="K67" s="30">
        <f>IF(A67="","",IFERROR(INDEX('Holders'!$B$4:$B$1003,MATCH(A67,'Holders'!$A$4:$A$1003,0)),""))</f>
        <v/>
      </c>
      <c r="L67" s="30">
        <f>IF(OR(A67="",B67="",D67=""),"",IF(D67=_xlfn.MAXIFS($D$4:$D$2503,$A$4:$A$2503,A67,$B$4:$B$2503,B67),"Yes","No"))</f>
        <v/>
      </c>
      <c r="M67" s="30">
        <f>IF(B67="","",IFERROR(INDEX('Share classes'!$F$4:$F$203,MATCH(B67,'Share classes'!$B$4:$B$203,0)),""))</f>
        <v/>
      </c>
      <c r="N67" s="30">
        <f>IF(A67="","",IF(K67="","Unknown holder ID",IF(J67="","Unknown class code",IF(OR(C67="",D67=""),"Missing shares or date",IF(OR(C67&lt;0,C67&lt;&gt;INT(C67)),"Shares must be a whole number",IF(COUNTIFS($A$4:$A$2503,A67,$B$4:$B$2503,B67,$D$4:$D$2503,D67)&gt;1,"Duplicate row (same date)","OK"))))))</f>
        <v/>
      </c>
    </row>
    <row r="68">
      <c r="A68" s="26" t="n"/>
      <c r="B68" s="26" t="n"/>
      <c r="C68" s="34" t="n"/>
      <c r="D68" s="28" t="n"/>
      <c r="E68" s="26" t="n"/>
      <c r="F68" s="26" t="n"/>
      <c r="G68" s="26" t="n"/>
      <c r="H68" s="38" t="n"/>
      <c r="I68" s="28" t="n"/>
      <c r="J68" s="30">
        <f>IF(B68="","",IFERROR(INDEX('Share classes'!$A$4:$A$203,MATCH(B68,'Share classes'!$B$4:$B$203,0)),""))</f>
        <v/>
      </c>
      <c r="K68" s="30">
        <f>IF(A68="","",IFERROR(INDEX('Holders'!$B$4:$B$1003,MATCH(A68,'Holders'!$A$4:$A$1003,0)),""))</f>
        <v/>
      </c>
      <c r="L68" s="30">
        <f>IF(OR(A68="",B68="",D68=""),"",IF(D68=_xlfn.MAXIFS($D$4:$D$2503,$A$4:$A$2503,A68,$B$4:$B$2503,B68),"Yes","No"))</f>
        <v/>
      </c>
      <c r="M68" s="30">
        <f>IF(B68="","",IFERROR(INDEX('Share classes'!$F$4:$F$203,MATCH(B68,'Share classes'!$B$4:$B$203,0)),""))</f>
        <v/>
      </c>
      <c r="N68" s="30">
        <f>IF(A68="","",IF(K68="","Unknown holder ID",IF(J68="","Unknown class code",IF(OR(C68="",D68=""),"Missing shares or date",IF(OR(C68&lt;0,C68&lt;&gt;INT(C68)),"Shares must be a whole number",IF(COUNTIFS($A$4:$A$2503,A68,$B$4:$B$2503,B68,$D$4:$D$2503,D68)&gt;1,"Duplicate row (same date)","OK"))))))</f>
        <v/>
      </c>
    </row>
    <row r="69">
      <c r="A69" s="26" t="n"/>
      <c r="B69" s="26" t="n"/>
      <c r="C69" s="34" t="n"/>
      <c r="D69" s="28" t="n"/>
      <c r="E69" s="26" t="n"/>
      <c r="F69" s="26" t="n"/>
      <c r="G69" s="26" t="n"/>
      <c r="H69" s="38" t="n"/>
      <c r="I69" s="28" t="n"/>
      <c r="J69" s="30">
        <f>IF(B69="","",IFERROR(INDEX('Share classes'!$A$4:$A$203,MATCH(B69,'Share classes'!$B$4:$B$203,0)),""))</f>
        <v/>
      </c>
      <c r="K69" s="30">
        <f>IF(A69="","",IFERROR(INDEX('Holders'!$B$4:$B$1003,MATCH(A69,'Holders'!$A$4:$A$1003,0)),""))</f>
        <v/>
      </c>
      <c r="L69" s="30">
        <f>IF(OR(A69="",B69="",D69=""),"",IF(D69=_xlfn.MAXIFS($D$4:$D$2503,$A$4:$A$2503,A69,$B$4:$B$2503,B69),"Yes","No"))</f>
        <v/>
      </c>
      <c r="M69" s="30">
        <f>IF(B69="","",IFERROR(INDEX('Share classes'!$F$4:$F$203,MATCH(B69,'Share classes'!$B$4:$B$203,0)),""))</f>
        <v/>
      </c>
      <c r="N69" s="30">
        <f>IF(A69="","",IF(K69="","Unknown holder ID",IF(J69="","Unknown class code",IF(OR(C69="",D69=""),"Missing shares or date",IF(OR(C69&lt;0,C69&lt;&gt;INT(C69)),"Shares must be a whole number",IF(COUNTIFS($A$4:$A$2503,A69,$B$4:$B$2503,B69,$D$4:$D$2503,D69)&gt;1,"Duplicate row (same date)","OK"))))))</f>
        <v/>
      </c>
    </row>
    <row r="70">
      <c r="A70" s="26" t="n"/>
      <c r="B70" s="26" t="n"/>
      <c r="C70" s="34" t="n"/>
      <c r="D70" s="28" t="n"/>
      <c r="E70" s="26" t="n"/>
      <c r="F70" s="26" t="n"/>
      <c r="G70" s="26" t="n"/>
      <c r="H70" s="38" t="n"/>
      <c r="I70" s="28" t="n"/>
      <c r="J70" s="30">
        <f>IF(B70="","",IFERROR(INDEX('Share classes'!$A$4:$A$203,MATCH(B70,'Share classes'!$B$4:$B$203,0)),""))</f>
        <v/>
      </c>
      <c r="K70" s="30">
        <f>IF(A70="","",IFERROR(INDEX('Holders'!$B$4:$B$1003,MATCH(A70,'Holders'!$A$4:$A$1003,0)),""))</f>
        <v/>
      </c>
      <c r="L70" s="30">
        <f>IF(OR(A70="",B70="",D70=""),"",IF(D70=_xlfn.MAXIFS($D$4:$D$2503,$A$4:$A$2503,A70,$B$4:$B$2503,B70),"Yes","No"))</f>
        <v/>
      </c>
      <c r="M70" s="30">
        <f>IF(B70="","",IFERROR(INDEX('Share classes'!$F$4:$F$203,MATCH(B70,'Share classes'!$B$4:$B$203,0)),""))</f>
        <v/>
      </c>
      <c r="N70" s="30">
        <f>IF(A70="","",IF(K70="","Unknown holder ID",IF(J70="","Unknown class code",IF(OR(C70="",D70=""),"Missing shares or date",IF(OR(C70&lt;0,C70&lt;&gt;INT(C70)),"Shares must be a whole number",IF(COUNTIFS($A$4:$A$2503,A70,$B$4:$B$2503,B70,$D$4:$D$2503,D70)&gt;1,"Duplicate row (same date)","OK"))))))</f>
        <v/>
      </c>
    </row>
    <row r="71">
      <c r="A71" s="26" t="n"/>
      <c r="B71" s="26" t="n"/>
      <c r="C71" s="34" t="n"/>
      <c r="D71" s="28" t="n"/>
      <c r="E71" s="26" t="n"/>
      <c r="F71" s="26" t="n"/>
      <c r="G71" s="26" t="n"/>
      <c r="H71" s="38" t="n"/>
      <c r="I71" s="28" t="n"/>
      <c r="J71" s="30">
        <f>IF(B71="","",IFERROR(INDEX('Share classes'!$A$4:$A$203,MATCH(B71,'Share classes'!$B$4:$B$203,0)),""))</f>
        <v/>
      </c>
      <c r="K71" s="30">
        <f>IF(A71="","",IFERROR(INDEX('Holders'!$B$4:$B$1003,MATCH(A71,'Holders'!$A$4:$A$1003,0)),""))</f>
        <v/>
      </c>
      <c r="L71" s="30">
        <f>IF(OR(A71="",B71="",D71=""),"",IF(D71=_xlfn.MAXIFS($D$4:$D$2503,$A$4:$A$2503,A71,$B$4:$B$2503,B71),"Yes","No"))</f>
        <v/>
      </c>
      <c r="M71" s="30">
        <f>IF(B71="","",IFERROR(INDEX('Share classes'!$F$4:$F$203,MATCH(B71,'Share classes'!$B$4:$B$203,0)),""))</f>
        <v/>
      </c>
      <c r="N71" s="30">
        <f>IF(A71="","",IF(K71="","Unknown holder ID",IF(J71="","Unknown class code",IF(OR(C71="",D71=""),"Missing shares or date",IF(OR(C71&lt;0,C71&lt;&gt;INT(C71)),"Shares must be a whole number",IF(COUNTIFS($A$4:$A$2503,A71,$B$4:$B$2503,B71,$D$4:$D$2503,D71)&gt;1,"Duplicate row (same date)","OK"))))))</f>
        <v/>
      </c>
    </row>
    <row r="72">
      <c r="A72" s="26" t="n"/>
      <c r="B72" s="26" t="n"/>
      <c r="C72" s="34" t="n"/>
      <c r="D72" s="28" t="n"/>
      <c r="E72" s="26" t="n"/>
      <c r="F72" s="26" t="n"/>
      <c r="G72" s="26" t="n"/>
      <c r="H72" s="38" t="n"/>
      <c r="I72" s="28" t="n"/>
      <c r="J72" s="30">
        <f>IF(B72="","",IFERROR(INDEX('Share classes'!$A$4:$A$203,MATCH(B72,'Share classes'!$B$4:$B$203,0)),""))</f>
        <v/>
      </c>
      <c r="K72" s="30">
        <f>IF(A72="","",IFERROR(INDEX('Holders'!$B$4:$B$1003,MATCH(A72,'Holders'!$A$4:$A$1003,0)),""))</f>
        <v/>
      </c>
      <c r="L72" s="30">
        <f>IF(OR(A72="",B72="",D72=""),"",IF(D72=_xlfn.MAXIFS($D$4:$D$2503,$A$4:$A$2503,A72,$B$4:$B$2503,B72),"Yes","No"))</f>
        <v/>
      </c>
      <c r="M72" s="30">
        <f>IF(B72="","",IFERROR(INDEX('Share classes'!$F$4:$F$203,MATCH(B72,'Share classes'!$B$4:$B$203,0)),""))</f>
        <v/>
      </c>
      <c r="N72" s="30">
        <f>IF(A72="","",IF(K72="","Unknown holder ID",IF(J72="","Unknown class code",IF(OR(C72="",D72=""),"Missing shares or date",IF(OR(C72&lt;0,C72&lt;&gt;INT(C72)),"Shares must be a whole number",IF(COUNTIFS($A$4:$A$2503,A72,$B$4:$B$2503,B72,$D$4:$D$2503,D72)&gt;1,"Duplicate row (same date)","OK"))))))</f>
        <v/>
      </c>
    </row>
    <row r="73">
      <c r="A73" s="26" t="n"/>
      <c r="B73" s="26" t="n"/>
      <c r="C73" s="34" t="n"/>
      <c r="D73" s="28" t="n"/>
      <c r="E73" s="26" t="n"/>
      <c r="F73" s="26" t="n"/>
      <c r="G73" s="26" t="n"/>
      <c r="H73" s="38" t="n"/>
      <c r="I73" s="28" t="n"/>
      <c r="J73" s="30">
        <f>IF(B73="","",IFERROR(INDEX('Share classes'!$A$4:$A$203,MATCH(B73,'Share classes'!$B$4:$B$203,0)),""))</f>
        <v/>
      </c>
      <c r="K73" s="30">
        <f>IF(A73="","",IFERROR(INDEX('Holders'!$B$4:$B$1003,MATCH(A73,'Holders'!$A$4:$A$1003,0)),""))</f>
        <v/>
      </c>
      <c r="L73" s="30">
        <f>IF(OR(A73="",B73="",D73=""),"",IF(D73=_xlfn.MAXIFS($D$4:$D$2503,$A$4:$A$2503,A73,$B$4:$B$2503,B73),"Yes","No"))</f>
        <v/>
      </c>
      <c r="M73" s="30">
        <f>IF(B73="","",IFERROR(INDEX('Share classes'!$F$4:$F$203,MATCH(B73,'Share classes'!$B$4:$B$203,0)),""))</f>
        <v/>
      </c>
      <c r="N73" s="30">
        <f>IF(A73="","",IF(K73="","Unknown holder ID",IF(J73="","Unknown class code",IF(OR(C73="",D73=""),"Missing shares or date",IF(OR(C73&lt;0,C73&lt;&gt;INT(C73)),"Shares must be a whole number",IF(COUNTIFS($A$4:$A$2503,A73,$B$4:$B$2503,B73,$D$4:$D$2503,D73)&gt;1,"Duplicate row (same date)","OK"))))))</f>
        <v/>
      </c>
    </row>
    <row r="74">
      <c r="A74" s="26" t="n"/>
      <c r="B74" s="26" t="n"/>
      <c r="C74" s="34" t="n"/>
      <c r="D74" s="28" t="n"/>
      <c r="E74" s="26" t="n"/>
      <c r="F74" s="26" t="n"/>
      <c r="G74" s="26" t="n"/>
      <c r="H74" s="38" t="n"/>
      <c r="I74" s="28" t="n"/>
      <c r="J74" s="30">
        <f>IF(B74="","",IFERROR(INDEX('Share classes'!$A$4:$A$203,MATCH(B74,'Share classes'!$B$4:$B$203,0)),""))</f>
        <v/>
      </c>
      <c r="K74" s="30">
        <f>IF(A74="","",IFERROR(INDEX('Holders'!$B$4:$B$1003,MATCH(A74,'Holders'!$A$4:$A$1003,0)),""))</f>
        <v/>
      </c>
      <c r="L74" s="30">
        <f>IF(OR(A74="",B74="",D74=""),"",IF(D74=_xlfn.MAXIFS($D$4:$D$2503,$A$4:$A$2503,A74,$B$4:$B$2503,B74),"Yes","No"))</f>
        <v/>
      </c>
      <c r="M74" s="30">
        <f>IF(B74="","",IFERROR(INDEX('Share classes'!$F$4:$F$203,MATCH(B74,'Share classes'!$B$4:$B$203,0)),""))</f>
        <v/>
      </c>
      <c r="N74" s="30">
        <f>IF(A74="","",IF(K74="","Unknown holder ID",IF(J74="","Unknown class code",IF(OR(C74="",D74=""),"Missing shares or date",IF(OR(C74&lt;0,C74&lt;&gt;INT(C74)),"Shares must be a whole number",IF(COUNTIFS($A$4:$A$2503,A74,$B$4:$B$2503,B74,$D$4:$D$2503,D74)&gt;1,"Duplicate row (same date)","OK"))))))</f>
        <v/>
      </c>
    </row>
    <row r="75">
      <c r="A75" s="26" t="n"/>
      <c r="B75" s="26" t="n"/>
      <c r="C75" s="34" t="n"/>
      <c r="D75" s="28" t="n"/>
      <c r="E75" s="26" t="n"/>
      <c r="F75" s="26" t="n"/>
      <c r="G75" s="26" t="n"/>
      <c r="H75" s="38" t="n"/>
      <c r="I75" s="28" t="n"/>
      <c r="J75" s="30">
        <f>IF(B75="","",IFERROR(INDEX('Share classes'!$A$4:$A$203,MATCH(B75,'Share classes'!$B$4:$B$203,0)),""))</f>
        <v/>
      </c>
      <c r="K75" s="30">
        <f>IF(A75="","",IFERROR(INDEX('Holders'!$B$4:$B$1003,MATCH(A75,'Holders'!$A$4:$A$1003,0)),""))</f>
        <v/>
      </c>
      <c r="L75" s="30">
        <f>IF(OR(A75="",B75="",D75=""),"",IF(D75=_xlfn.MAXIFS($D$4:$D$2503,$A$4:$A$2503,A75,$B$4:$B$2503,B75),"Yes","No"))</f>
        <v/>
      </c>
      <c r="M75" s="30">
        <f>IF(B75="","",IFERROR(INDEX('Share classes'!$F$4:$F$203,MATCH(B75,'Share classes'!$B$4:$B$203,0)),""))</f>
        <v/>
      </c>
      <c r="N75" s="30">
        <f>IF(A75="","",IF(K75="","Unknown holder ID",IF(J75="","Unknown class code",IF(OR(C75="",D75=""),"Missing shares or date",IF(OR(C75&lt;0,C75&lt;&gt;INT(C75)),"Shares must be a whole number",IF(COUNTIFS($A$4:$A$2503,A75,$B$4:$B$2503,B75,$D$4:$D$2503,D75)&gt;1,"Duplicate row (same date)","OK"))))))</f>
        <v/>
      </c>
    </row>
    <row r="76">
      <c r="A76" s="26" t="n"/>
      <c r="B76" s="26" t="n"/>
      <c r="C76" s="34" t="n"/>
      <c r="D76" s="28" t="n"/>
      <c r="E76" s="26" t="n"/>
      <c r="F76" s="26" t="n"/>
      <c r="G76" s="26" t="n"/>
      <c r="H76" s="38" t="n"/>
      <c r="I76" s="28" t="n"/>
      <c r="J76" s="30">
        <f>IF(B76="","",IFERROR(INDEX('Share classes'!$A$4:$A$203,MATCH(B76,'Share classes'!$B$4:$B$203,0)),""))</f>
        <v/>
      </c>
      <c r="K76" s="30">
        <f>IF(A76="","",IFERROR(INDEX('Holders'!$B$4:$B$1003,MATCH(A76,'Holders'!$A$4:$A$1003,0)),""))</f>
        <v/>
      </c>
      <c r="L76" s="30">
        <f>IF(OR(A76="",B76="",D76=""),"",IF(D76=_xlfn.MAXIFS($D$4:$D$2503,$A$4:$A$2503,A76,$B$4:$B$2503,B76),"Yes","No"))</f>
        <v/>
      </c>
      <c r="M76" s="30">
        <f>IF(B76="","",IFERROR(INDEX('Share classes'!$F$4:$F$203,MATCH(B76,'Share classes'!$B$4:$B$203,0)),""))</f>
        <v/>
      </c>
      <c r="N76" s="30">
        <f>IF(A76="","",IF(K76="","Unknown holder ID",IF(J76="","Unknown class code",IF(OR(C76="",D76=""),"Missing shares or date",IF(OR(C76&lt;0,C76&lt;&gt;INT(C76)),"Shares must be a whole number",IF(COUNTIFS($A$4:$A$2503,A76,$B$4:$B$2503,B76,$D$4:$D$2503,D76)&gt;1,"Duplicate row (same date)","OK"))))))</f>
        <v/>
      </c>
    </row>
    <row r="77">
      <c r="A77" s="26" t="n"/>
      <c r="B77" s="26" t="n"/>
      <c r="C77" s="34" t="n"/>
      <c r="D77" s="28" t="n"/>
      <c r="E77" s="26" t="n"/>
      <c r="F77" s="26" t="n"/>
      <c r="G77" s="26" t="n"/>
      <c r="H77" s="38" t="n"/>
      <c r="I77" s="28" t="n"/>
      <c r="J77" s="30">
        <f>IF(B77="","",IFERROR(INDEX('Share classes'!$A$4:$A$203,MATCH(B77,'Share classes'!$B$4:$B$203,0)),""))</f>
        <v/>
      </c>
      <c r="K77" s="30">
        <f>IF(A77="","",IFERROR(INDEX('Holders'!$B$4:$B$1003,MATCH(A77,'Holders'!$A$4:$A$1003,0)),""))</f>
        <v/>
      </c>
      <c r="L77" s="30">
        <f>IF(OR(A77="",B77="",D77=""),"",IF(D77=_xlfn.MAXIFS($D$4:$D$2503,$A$4:$A$2503,A77,$B$4:$B$2503,B77),"Yes","No"))</f>
        <v/>
      </c>
      <c r="M77" s="30">
        <f>IF(B77="","",IFERROR(INDEX('Share classes'!$F$4:$F$203,MATCH(B77,'Share classes'!$B$4:$B$203,0)),""))</f>
        <v/>
      </c>
      <c r="N77" s="30">
        <f>IF(A77="","",IF(K77="","Unknown holder ID",IF(J77="","Unknown class code",IF(OR(C77="",D77=""),"Missing shares or date",IF(OR(C77&lt;0,C77&lt;&gt;INT(C77)),"Shares must be a whole number",IF(COUNTIFS($A$4:$A$2503,A77,$B$4:$B$2503,B77,$D$4:$D$2503,D77)&gt;1,"Duplicate row (same date)","OK"))))))</f>
        <v/>
      </c>
    </row>
    <row r="78">
      <c r="A78" s="26" t="n"/>
      <c r="B78" s="26" t="n"/>
      <c r="C78" s="34" t="n"/>
      <c r="D78" s="28" t="n"/>
      <c r="E78" s="26" t="n"/>
      <c r="F78" s="26" t="n"/>
      <c r="G78" s="26" t="n"/>
      <c r="H78" s="38" t="n"/>
      <c r="I78" s="28" t="n"/>
      <c r="J78" s="30">
        <f>IF(B78="","",IFERROR(INDEX('Share classes'!$A$4:$A$203,MATCH(B78,'Share classes'!$B$4:$B$203,0)),""))</f>
        <v/>
      </c>
      <c r="K78" s="30">
        <f>IF(A78="","",IFERROR(INDEX('Holders'!$B$4:$B$1003,MATCH(A78,'Holders'!$A$4:$A$1003,0)),""))</f>
        <v/>
      </c>
      <c r="L78" s="30">
        <f>IF(OR(A78="",B78="",D78=""),"",IF(D78=_xlfn.MAXIFS($D$4:$D$2503,$A$4:$A$2503,A78,$B$4:$B$2503,B78),"Yes","No"))</f>
        <v/>
      </c>
      <c r="M78" s="30">
        <f>IF(B78="","",IFERROR(INDEX('Share classes'!$F$4:$F$203,MATCH(B78,'Share classes'!$B$4:$B$203,0)),""))</f>
        <v/>
      </c>
      <c r="N78" s="30">
        <f>IF(A78="","",IF(K78="","Unknown holder ID",IF(J78="","Unknown class code",IF(OR(C78="",D78=""),"Missing shares or date",IF(OR(C78&lt;0,C78&lt;&gt;INT(C78)),"Shares must be a whole number",IF(COUNTIFS($A$4:$A$2503,A78,$B$4:$B$2503,B78,$D$4:$D$2503,D78)&gt;1,"Duplicate row (same date)","OK"))))))</f>
        <v/>
      </c>
    </row>
    <row r="79">
      <c r="A79" s="26" t="n"/>
      <c r="B79" s="26" t="n"/>
      <c r="C79" s="34" t="n"/>
      <c r="D79" s="28" t="n"/>
      <c r="E79" s="26" t="n"/>
      <c r="F79" s="26" t="n"/>
      <c r="G79" s="26" t="n"/>
      <c r="H79" s="38" t="n"/>
      <c r="I79" s="28" t="n"/>
      <c r="J79" s="30">
        <f>IF(B79="","",IFERROR(INDEX('Share classes'!$A$4:$A$203,MATCH(B79,'Share classes'!$B$4:$B$203,0)),""))</f>
        <v/>
      </c>
      <c r="K79" s="30">
        <f>IF(A79="","",IFERROR(INDEX('Holders'!$B$4:$B$1003,MATCH(A79,'Holders'!$A$4:$A$1003,0)),""))</f>
        <v/>
      </c>
      <c r="L79" s="30">
        <f>IF(OR(A79="",B79="",D79=""),"",IF(D79=_xlfn.MAXIFS($D$4:$D$2503,$A$4:$A$2503,A79,$B$4:$B$2503,B79),"Yes","No"))</f>
        <v/>
      </c>
      <c r="M79" s="30">
        <f>IF(B79="","",IFERROR(INDEX('Share classes'!$F$4:$F$203,MATCH(B79,'Share classes'!$B$4:$B$203,0)),""))</f>
        <v/>
      </c>
      <c r="N79" s="30">
        <f>IF(A79="","",IF(K79="","Unknown holder ID",IF(J79="","Unknown class code",IF(OR(C79="",D79=""),"Missing shares or date",IF(OR(C79&lt;0,C79&lt;&gt;INT(C79)),"Shares must be a whole number",IF(COUNTIFS($A$4:$A$2503,A79,$B$4:$B$2503,B79,$D$4:$D$2503,D79)&gt;1,"Duplicate row (same date)","OK"))))))</f>
        <v/>
      </c>
    </row>
    <row r="80">
      <c r="A80" s="26" t="n"/>
      <c r="B80" s="26" t="n"/>
      <c r="C80" s="34" t="n"/>
      <c r="D80" s="28" t="n"/>
      <c r="E80" s="26" t="n"/>
      <c r="F80" s="26" t="n"/>
      <c r="G80" s="26" t="n"/>
      <c r="H80" s="38" t="n"/>
      <c r="I80" s="28" t="n"/>
      <c r="J80" s="30">
        <f>IF(B80="","",IFERROR(INDEX('Share classes'!$A$4:$A$203,MATCH(B80,'Share classes'!$B$4:$B$203,0)),""))</f>
        <v/>
      </c>
      <c r="K80" s="30">
        <f>IF(A80="","",IFERROR(INDEX('Holders'!$B$4:$B$1003,MATCH(A80,'Holders'!$A$4:$A$1003,0)),""))</f>
        <v/>
      </c>
      <c r="L80" s="30">
        <f>IF(OR(A80="",B80="",D80=""),"",IF(D80=_xlfn.MAXIFS($D$4:$D$2503,$A$4:$A$2503,A80,$B$4:$B$2503,B80),"Yes","No"))</f>
        <v/>
      </c>
      <c r="M80" s="30">
        <f>IF(B80="","",IFERROR(INDEX('Share classes'!$F$4:$F$203,MATCH(B80,'Share classes'!$B$4:$B$203,0)),""))</f>
        <v/>
      </c>
      <c r="N80" s="30">
        <f>IF(A80="","",IF(K80="","Unknown holder ID",IF(J80="","Unknown class code",IF(OR(C80="",D80=""),"Missing shares or date",IF(OR(C80&lt;0,C80&lt;&gt;INT(C80)),"Shares must be a whole number",IF(COUNTIFS($A$4:$A$2503,A80,$B$4:$B$2503,B80,$D$4:$D$2503,D80)&gt;1,"Duplicate row (same date)","OK"))))))</f>
        <v/>
      </c>
    </row>
    <row r="81">
      <c r="A81" s="26" t="n"/>
      <c r="B81" s="26" t="n"/>
      <c r="C81" s="34" t="n"/>
      <c r="D81" s="28" t="n"/>
      <c r="E81" s="26" t="n"/>
      <c r="F81" s="26" t="n"/>
      <c r="G81" s="26" t="n"/>
      <c r="H81" s="38" t="n"/>
      <c r="I81" s="28" t="n"/>
      <c r="J81" s="30">
        <f>IF(B81="","",IFERROR(INDEX('Share classes'!$A$4:$A$203,MATCH(B81,'Share classes'!$B$4:$B$203,0)),""))</f>
        <v/>
      </c>
      <c r="K81" s="30">
        <f>IF(A81="","",IFERROR(INDEX('Holders'!$B$4:$B$1003,MATCH(A81,'Holders'!$A$4:$A$1003,0)),""))</f>
        <v/>
      </c>
      <c r="L81" s="30">
        <f>IF(OR(A81="",B81="",D81=""),"",IF(D81=_xlfn.MAXIFS($D$4:$D$2503,$A$4:$A$2503,A81,$B$4:$B$2503,B81),"Yes","No"))</f>
        <v/>
      </c>
      <c r="M81" s="30">
        <f>IF(B81="","",IFERROR(INDEX('Share classes'!$F$4:$F$203,MATCH(B81,'Share classes'!$B$4:$B$203,0)),""))</f>
        <v/>
      </c>
      <c r="N81" s="30">
        <f>IF(A81="","",IF(K81="","Unknown holder ID",IF(J81="","Unknown class code",IF(OR(C81="",D81=""),"Missing shares or date",IF(OR(C81&lt;0,C81&lt;&gt;INT(C81)),"Shares must be a whole number",IF(COUNTIFS($A$4:$A$2503,A81,$B$4:$B$2503,B81,$D$4:$D$2503,D81)&gt;1,"Duplicate row (same date)","OK"))))))</f>
        <v/>
      </c>
    </row>
    <row r="82">
      <c r="A82" s="26" t="n"/>
      <c r="B82" s="26" t="n"/>
      <c r="C82" s="34" t="n"/>
      <c r="D82" s="28" t="n"/>
      <c r="E82" s="26" t="n"/>
      <c r="F82" s="26" t="n"/>
      <c r="G82" s="26" t="n"/>
      <c r="H82" s="38" t="n"/>
      <c r="I82" s="28" t="n"/>
      <c r="J82" s="30">
        <f>IF(B82="","",IFERROR(INDEX('Share classes'!$A$4:$A$203,MATCH(B82,'Share classes'!$B$4:$B$203,0)),""))</f>
        <v/>
      </c>
      <c r="K82" s="30">
        <f>IF(A82="","",IFERROR(INDEX('Holders'!$B$4:$B$1003,MATCH(A82,'Holders'!$A$4:$A$1003,0)),""))</f>
        <v/>
      </c>
      <c r="L82" s="30">
        <f>IF(OR(A82="",B82="",D82=""),"",IF(D82=_xlfn.MAXIFS($D$4:$D$2503,$A$4:$A$2503,A82,$B$4:$B$2503,B82),"Yes","No"))</f>
        <v/>
      </c>
      <c r="M82" s="30">
        <f>IF(B82="","",IFERROR(INDEX('Share classes'!$F$4:$F$203,MATCH(B82,'Share classes'!$B$4:$B$203,0)),""))</f>
        <v/>
      </c>
      <c r="N82" s="30">
        <f>IF(A82="","",IF(K82="","Unknown holder ID",IF(J82="","Unknown class code",IF(OR(C82="",D82=""),"Missing shares or date",IF(OR(C82&lt;0,C82&lt;&gt;INT(C82)),"Shares must be a whole number",IF(COUNTIFS($A$4:$A$2503,A82,$B$4:$B$2503,B82,$D$4:$D$2503,D82)&gt;1,"Duplicate row (same date)","OK"))))))</f>
        <v/>
      </c>
    </row>
    <row r="83">
      <c r="A83" s="26" t="n"/>
      <c r="B83" s="26" t="n"/>
      <c r="C83" s="34" t="n"/>
      <c r="D83" s="28" t="n"/>
      <c r="E83" s="26" t="n"/>
      <c r="F83" s="26" t="n"/>
      <c r="G83" s="26" t="n"/>
      <c r="H83" s="38" t="n"/>
      <c r="I83" s="28" t="n"/>
      <c r="J83" s="30">
        <f>IF(B83="","",IFERROR(INDEX('Share classes'!$A$4:$A$203,MATCH(B83,'Share classes'!$B$4:$B$203,0)),""))</f>
        <v/>
      </c>
      <c r="K83" s="30">
        <f>IF(A83="","",IFERROR(INDEX('Holders'!$B$4:$B$1003,MATCH(A83,'Holders'!$A$4:$A$1003,0)),""))</f>
        <v/>
      </c>
      <c r="L83" s="30">
        <f>IF(OR(A83="",B83="",D83=""),"",IF(D83=_xlfn.MAXIFS($D$4:$D$2503,$A$4:$A$2503,A83,$B$4:$B$2503,B83),"Yes","No"))</f>
        <v/>
      </c>
      <c r="M83" s="30">
        <f>IF(B83="","",IFERROR(INDEX('Share classes'!$F$4:$F$203,MATCH(B83,'Share classes'!$B$4:$B$203,0)),""))</f>
        <v/>
      </c>
      <c r="N83" s="30">
        <f>IF(A83="","",IF(K83="","Unknown holder ID",IF(J83="","Unknown class code",IF(OR(C83="",D83=""),"Missing shares or date",IF(OR(C83&lt;0,C83&lt;&gt;INT(C83)),"Shares must be a whole number",IF(COUNTIFS($A$4:$A$2503,A83,$B$4:$B$2503,B83,$D$4:$D$2503,D83)&gt;1,"Duplicate row (same date)","OK"))))))</f>
        <v/>
      </c>
    </row>
    <row r="84">
      <c r="A84" s="26" t="n"/>
      <c r="B84" s="26" t="n"/>
      <c r="C84" s="34" t="n"/>
      <c r="D84" s="28" t="n"/>
      <c r="E84" s="26" t="n"/>
      <c r="F84" s="26" t="n"/>
      <c r="G84" s="26" t="n"/>
      <c r="H84" s="38" t="n"/>
      <c r="I84" s="28" t="n"/>
      <c r="J84" s="30">
        <f>IF(B84="","",IFERROR(INDEX('Share classes'!$A$4:$A$203,MATCH(B84,'Share classes'!$B$4:$B$203,0)),""))</f>
        <v/>
      </c>
      <c r="K84" s="30">
        <f>IF(A84="","",IFERROR(INDEX('Holders'!$B$4:$B$1003,MATCH(A84,'Holders'!$A$4:$A$1003,0)),""))</f>
        <v/>
      </c>
      <c r="L84" s="30">
        <f>IF(OR(A84="",B84="",D84=""),"",IF(D84=_xlfn.MAXIFS($D$4:$D$2503,$A$4:$A$2503,A84,$B$4:$B$2503,B84),"Yes","No"))</f>
        <v/>
      </c>
      <c r="M84" s="30">
        <f>IF(B84="","",IFERROR(INDEX('Share classes'!$F$4:$F$203,MATCH(B84,'Share classes'!$B$4:$B$203,0)),""))</f>
        <v/>
      </c>
      <c r="N84" s="30">
        <f>IF(A84="","",IF(K84="","Unknown holder ID",IF(J84="","Unknown class code",IF(OR(C84="",D84=""),"Missing shares or date",IF(OR(C84&lt;0,C84&lt;&gt;INT(C84)),"Shares must be a whole number",IF(COUNTIFS($A$4:$A$2503,A84,$B$4:$B$2503,B84,$D$4:$D$2503,D84)&gt;1,"Duplicate row (same date)","OK"))))))</f>
        <v/>
      </c>
    </row>
    <row r="85">
      <c r="A85" s="26" t="n"/>
      <c r="B85" s="26" t="n"/>
      <c r="C85" s="34" t="n"/>
      <c r="D85" s="28" t="n"/>
      <c r="E85" s="26" t="n"/>
      <c r="F85" s="26" t="n"/>
      <c r="G85" s="26" t="n"/>
      <c r="H85" s="38" t="n"/>
      <c r="I85" s="28" t="n"/>
      <c r="J85" s="30">
        <f>IF(B85="","",IFERROR(INDEX('Share classes'!$A$4:$A$203,MATCH(B85,'Share classes'!$B$4:$B$203,0)),""))</f>
        <v/>
      </c>
      <c r="K85" s="30">
        <f>IF(A85="","",IFERROR(INDEX('Holders'!$B$4:$B$1003,MATCH(A85,'Holders'!$A$4:$A$1003,0)),""))</f>
        <v/>
      </c>
      <c r="L85" s="30">
        <f>IF(OR(A85="",B85="",D85=""),"",IF(D85=_xlfn.MAXIFS($D$4:$D$2503,$A$4:$A$2503,A85,$B$4:$B$2503,B85),"Yes","No"))</f>
        <v/>
      </c>
      <c r="M85" s="30">
        <f>IF(B85="","",IFERROR(INDEX('Share classes'!$F$4:$F$203,MATCH(B85,'Share classes'!$B$4:$B$203,0)),""))</f>
        <v/>
      </c>
      <c r="N85" s="30">
        <f>IF(A85="","",IF(K85="","Unknown holder ID",IF(J85="","Unknown class code",IF(OR(C85="",D85=""),"Missing shares or date",IF(OR(C85&lt;0,C85&lt;&gt;INT(C85)),"Shares must be a whole number",IF(COUNTIFS($A$4:$A$2503,A85,$B$4:$B$2503,B85,$D$4:$D$2503,D85)&gt;1,"Duplicate row (same date)","OK"))))))</f>
        <v/>
      </c>
    </row>
    <row r="86">
      <c r="A86" s="26" t="n"/>
      <c r="B86" s="26" t="n"/>
      <c r="C86" s="34" t="n"/>
      <c r="D86" s="28" t="n"/>
      <c r="E86" s="26" t="n"/>
      <c r="F86" s="26" t="n"/>
      <c r="G86" s="26" t="n"/>
      <c r="H86" s="38" t="n"/>
      <c r="I86" s="28" t="n"/>
      <c r="J86" s="30">
        <f>IF(B86="","",IFERROR(INDEX('Share classes'!$A$4:$A$203,MATCH(B86,'Share classes'!$B$4:$B$203,0)),""))</f>
        <v/>
      </c>
      <c r="K86" s="30">
        <f>IF(A86="","",IFERROR(INDEX('Holders'!$B$4:$B$1003,MATCH(A86,'Holders'!$A$4:$A$1003,0)),""))</f>
        <v/>
      </c>
      <c r="L86" s="30">
        <f>IF(OR(A86="",B86="",D86=""),"",IF(D86=_xlfn.MAXIFS($D$4:$D$2503,$A$4:$A$2503,A86,$B$4:$B$2503,B86),"Yes","No"))</f>
        <v/>
      </c>
      <c r="M86" s="30">
        <f>IF(B86="","",IFERROR(INDEX('Share classes'!$F$4:$F$203,MATCH(B86,'Share classes'!$B$4:$B$203,0)),""))</f>
        <v/>
      </c>
      <c r="N86" s="30">
        <f>IF(A86="","",IF(K86="","Unknown holder ID",IF(J86="","Unknown class code",IF(OR(C86="",D86=""),"Missing shares or date",IF(OR(C86&lt;0,C86&lt;&gt;INT(C86)),"Shares must be a whole number",IF(COUNTIFS($A$4:$A$2503,A86,$B$4:$B$2503,B86,$D$4:$D$2503,D86)&gt;1,"Duplicate row (same date)","OK"))))))</f>
        <v/>
      </c>
    </row>
    <row r="87">
      <c r="A87" s="26" t="n"/>
      <c r="B87" s="26" t="n"/>
      <c r="C87" s="34" t="n"/>
      <c r="D87" s="28" t="n"/>
      <c r="E87" s="26" t="n"/>
      <c r="F87" s="26" t="n"/>
      <c r="G87" s="26" t="n"/>
      <c r="H87" s="38" t="n"/>
      <c r="I87" s="28" t="n"/>
      <c r="J87" s="30">
        <f>IF(B87="","",IFERROR(INDEX('Share classes'!$A$4:$A$203,MATCH(B87,'Share classes'!$B$4:$B$203,0)),""))</f>
        <v/>
      </c>
      <c r="K87" s="30">
        <f>IF(A87="","",IFERROR(INDEX('Holders'!$B$4:$B$1003,MATCH(A87,'Holders'!$A$4:$A$1003,0)),""))</f>
        <v/>
      </c>
      <c r="L87" s="30">
        <f>IF(OR(A87="",B87="",D87=""),"",IF(D87=_xlfn.MAXIFS($D$4:$D$2503,$A$4:$A$2503,A87,$B$4:$B$2503,B87),"Yes","No"))</f>
        <v/>
      </c>
      <c r="M87" s="30">
        <f>IF(B87="","",IFERROR(INDEX('Share classes'!$F$4:$F$203,MATCH(B87,'Share classes'!$B$4:$B$203,0)),""))</f>
        <v/>
      </c>
      <c r="N87" s="30">
        <f>IF(A87="","",IF(K87="","Unknown holder ID",IF(J87="","Unknown class code",IF(OR(C87="",D87=""),"Missing shares or date",IF(OR(C87&lt;0,C87&lt;&gt;INT(C87)),"Shares must be a whole number",IF(COUNTIFS($A$4:$A$2503,A87,$B$4:$B$2503,B87,$D$4:$D$2503,D87)&gt;1,"Duplicate row (same date)","OK"))))))</f>
        <v/>
      </c>
    </row>
    <row r="88">
      <c r="A88" s="26" t="n"/>
      <c r="B88" s="26" t="n"/>
      <c r="C88" s="34" t="n"/>
      <c r="D88" s="28" t="n"/>
      <c r="E88" s="26" t="n"/>
      <c r="F88" s="26" t="n"/>
      <c r="G88" s="26" t="n"/>
      <c r="H88" s="38" t="n"/>
      <c r="I88" s="28" t="n"/>
      <c r="J88" s="30">
        <f>IF(B88="","",IFERROR(INDEX('Share classes'!$A$4:$A$203,MATCH(B88,'Share classes'!$B$4:$B$203,0)),""))</f>
        <v/>
      </c>
      <c r="K88" s="30">
        <f>IF(A88="","",IFERROR(INDEX('Holders'!$B$4:$B$1003,MATCH(A88,'Holders'!$A$4:$A$1003,0)),""))</f>
        <v/>
      </c>
      <c r="L88" s="30">
        <f>IF(OR(A88="",B88="",D88=""),"",IF(D88=_xlfn.MAXIFS($D$4:$D$2503,$A$4:$A$2503,A88,$B$4:$B$2503,B88),"Yes","No"))</f>
        <v/>
      </c>
      <c r="M88" s="30">
        <f>IF(B88="","",IFERROR(INDEX('Share classes'!$F$4:$F$203,MATCH(B88,'Share classes'!$B$4:$B$203,0)),""))</f>
        <v/>
      </c>
      <c r="N88" s="30">
        <f>IF(A88="","",IF(K88="","Unknown holder ID",IF(J88="","Unknown class code",IF(OR(C88="",D88=""),"Missing shares or date",IF(OR(C88&lt;0,C88&lt;&gt;INT(C88)),"Shares must be a whole number",IF(COUNTIFS($A$4:$A$2503,A88,$B$4:$B$2503,B88,$D$4:$D$2503,D88)&gt;1,"Duplicate row (same date)","OK"))))))</f>
        <v/>
      </c>
    </row>
    <row r="89">
      <c r="A89" s="26" t="n"/>
      <c r="B89" s="26" t="n"/>
      <c r="C89" s="34" t="n"/>
      <c r="D89" s="28" t="n"/>
      <c r="E89" s="26" t="n"/>
      <c r="F89" s="26" t="n"/>
      <c r="G89" s="26" t="n"/>
      <c r="H89" s="38" t="n"/>
      <c r="I89" s="28" t="n"/>
      <c r="J89" s="30">
        <f>IF(B89="","",IFERROR(INDEX('Share classes'!$A$4:$A$203,MATCH(B89,'Share classes'!$B$4:$B$203,0)),""))</f>
        <v/>
      </c>
      <c r="K89" s="30">
        <f>IF(A89="","",IFERROR(INDEX('Holders'!$B$4:$B$1003,MATCH(A89,'Holders'!$A$4:$A$1003,0)),""))</f>
        <v/>
      </c>
      <c r="L89" s="30">
        <f>IF(OR(A89="",B89="",D89=""),"",IF(D89=_xlfn.MAXIFS($D$4:$D$2503,$A$4:$A$2503,A89,$B$4:$B$2503,B89),"Yes","No"))</f>
        <v/>
      </c>
      <c r="M89" s="30">
        <f>IF(B89="","",IFERROR(INDEX('Share classes'!$F$4:$F$203,MATCH(B89,'Share classes'!$B$4:$B$203,0)),""))</f>
        <v/>
      </c>
      <c r="N89" s="30">
        <f>IF(A89="","",IF(K89="","Unknown holder ID",IF(J89="","Unknown class code",IF(OR(C89="",D89=""),"Missing shares or date",IF(OR(C89&lt;0,C89&lt;&gt;INT(C89)),"Shares must be a whole number",IF(COUNTIFS($A$4:$A$2503,A89,$B$4:$B$2503,B89,$D$4:$D$2503,D89)&gt;1,"Duplicate row (same date)","OK"))))))</f>
        <v/>
      </c>
    </row>
    <row r="90">
      <c r="A90" s="26" t="n"/>
      <c r="B90" s="26" t="n"/>
      <c r="C90" s="34" t="n"/>
      <c r="D90" s="28" t="n"/>
      <c r="E90" s="26" t="n"/>
      <c r="F90" s="26" t="n"/>
      <c r="G90" s="26" t="n"/>
      <c r="H90" s="38" t="n"/>
      <c r="I90" s="28" t="n"/>
      <c r="J90" s="30">
        <f>IF(B90="","",IFERROR(INDEX('Share classes'!$A$4:$A$203,MATCH(B90,'Share classes'!$B$4:$B$203,0)),""))</f>
        <v/>
      </c>
      <c r="K90" s="30">
        <f>IF(A90="","",IFERROR(INDEX('Holders'!$B$4:$B$1003,MATCH(A90,'Holders'!$A$4:$A$1003,0)),""))</f>
        <v/>
      </c>
      <c r="L90" s="30">
        <f>IF(OR(A90="",B90="",D90=""),"",IF(D90=_xlfn.MAXIFS($D$4:$D$2503,$A$4:$A$2503,A90,$B$4:$B$2503,B90),"Yes","No"))</f>
        <v/>
      </c>
      <c r="M90" s="30">
        <f>IF(B90="","",IFERROR(INDEX('Share classes'!$F$4:$F$203,MATCH(B90,'Share classes'!$B$4:$B$203,0)),""))</f>
        <v/>
      </c>
      <c r="N90" s="30">
        <f>IF(A90="","",IF(K90="","Unknown holder ID",IF(J90="","Unknown class code",IF(OR(C90="",D90=""),"Missing shares or date",IF(OR(C90&lt;0,C90&lt;&gt;INT(C90)),"Shares must be a whole number",IF(COUNTIFS($A$4:$A$2503,A90,$B$4:$B$2503,B90,$D$4:$D$2503,D90)&gt;1,"Duplicate row (same date)","OK"))))))</f>
        <v/>
      </c>
    </row>
    <row r="91">
      <c r="A91" s="26" t="n"/>
      <c r="B91" s="26" t="n"/>
      <c r="C91" s="34" t="n"/>
      <c r="D91" s="28" t="n"/>
      <c r="E91" s="26" t="n"/>
      <c r="F91" s="26" t="n"/>
      <c r="G91" s="26" t="n"/>
      <c r="H91" s="38" t="n"/>
      <c r="I91" s="28" t="n"/>
      <c r="J91" s="30">
        <f>IF(B91="","",IFERROR(INDEX('Share classes'!$A$4:$A$203,MATCH(B91,'Share classes'!$B$4:$B$203,0)),""))</f>
        <v/>
      </c>
      <c r="K91" s="30">
        <f>IF(A91="","",IFERROR(INDEX('Holders'!$B$4:$B$1003,MATCH(A91,'Holders'!$A$4:$A$1003,0)),""))</f>
        <v/>
      </c>
      <c r="L91" s="30">
        <f>IF(OR(A91="",B91="",D91=""),"",IF(D91=_xlfn.MAXIFS($D$4:$D$2503,$A$4:$A$2503,A91,$B$4:$B$2503,B91),"Yes","No"))</f>
        <v/>
      </c>
      <c r="M91" s="30">
        <f>IF(B91="","",IFERROR(INDEX('Share classes'!$F$4:$F$203,MATCH(B91,'Share classes'!$B$4:$B$203,0)),""))</f>
        <v/>
      </c>
      <c r="N91" s="30">
        <f>IF(A91="","",IF(K91="","Unknown holder ID",IF(J91="","Unknown class code",IF(OR(C91="",D91=""),"Missing shares or date",IF(OR(C91&lt;0,C91&lt;&gt;INT(C91)),"Shares must be a whole number",IF(COUNTIFS($A$4:$A$2503,A91,$B$4:$B$2503,B91,$D$4:$D$2503,D91)&gt;1,"Duplicate row (same date)","OK"))))))</f>
        <v/>
      </c>
    </row>
    <row r="92">
      <c r="A92" s="26" t="n"/>
      <c r="B92" s="26" t="n"/>
      <c r="C92" s="34" t="n"/>
      <c r="D92" s="28" t="n"/>
      <c r="E92" s="26" t="n"/>
      <c r="F92" s="26" t="n"/>
      <c r="G92" s="26" t="n"/>
      <c r="H92" s="38" t="n"/>
      <c r="I92" s="28" t="n"/>
      <c r="J92" s="30">
        <f>IF(B92="","",IFERROR(INDEX('Share classes'!$A$4:$A$203,MATCH(B92,'Share classes'!$B$4:$B$203,0)),""))</f>
        <v/>
      </c>
      <c r="K92" s="30">
        <f>IF(A92="","",IFERROR(INDEX('Holders'!$B$4:$B$1003,MATCH(A92,'Holders'!$A$4:$A$1003,0)),""))</f>
        <v/>
      </c>
      <c r="L92" s="30">
        <f>IF(OR(A92="",B92="",D92=""),"",IF(D92=_xlfn.MAXIFS($D$4:$D$2503,$A$4:$A$2503,A92,$B$4:$B$2503,B92),"Yes","No"))</f>
        <v/>
      </c>
      <c r="M92" s="30">
        <f>IF(B92="","",IFERROR(INDEX('Share classes'!$F$4:$F$203,MATCH(B92,'Share classes'!$B$4:$B$203,0)),""))</f>
        <v/>
      </c>
      <c r="N92" s="30">
        <f>IF(A92="","",IF(K92="","Unknown holder ID",IF(J92="","Unknown class code",IF(OR(C92="",D92=""),"Missing shares or date",IF(OR(C92&lt;0,C92&lt;&gt;INT(C92)),"Shares must be a whole number",IF(COUNTIFS($A$4:$A$2503,A92,$B$4:$B$2503,B92,$D$4:$D$2503,D92)&gt;1,"Duplicate row (same date)","OK"))))))</f>
        <v/>
      </c>
    </row>
    <row r="93">
      <c r="A93" s="26" t="n"/>
      <c r="B93" s="26" t="n"/>
      <c r="C93" s="34" t="n"/>
      <c r="D93" s="28" t="n"/>
      <c r="E93" s="26" t="n"/>
      <c r="F93" s="26" t="n"/>
      <c r="G93" s="26" t="n"/>
      <c r="H93" s="38" t="n"/>
      <c r="I93" s="28" t="n"/>
      <c r="J93" s="30">
        <f>IF(B93="","",IFERROR(INDEX('Share classes'!$A$4:$A$203,MATCH(B93,'Share classes'!$B$4:$B$203,0)),""))</f>
        <v/>
      </c>
      <c r="K93" s="30">
        <f>IF(A93="","",IFERROR(INDEX('Holders'!$B$4:$B$1003,MATCH(A93,'Holders'!$A$4:$A$1003,0)),""))</f>
        <v/>
      </c>
      <c r="L93" s="30">
        <f>IF(OR(A93="",B93="",D93=""),"",IF(D93=_xlfn.MAXIFS($D$4:$D$2503,$A$4:$A$2503,A93,$B$4:$B$2503,B93),"Yes","No"))</f>
        <v/>
      </c>
      <c r="M93" s="30">
        <f>IF(B93="","",IFERROR(INDEX('Share classes'!$F$4:$F$203,MATCH(B93,'Share classes'!$B$4:$B$203,0)),""))</f>
        <v/>
      </c>
      <c r="N93" s="30">
        <f>IF(A93="","",IF(K93="","Unknown holder ID",IF(J93="","Unknown class code",IF(OR(C93="",D93=""),"Missing shares or date",IF(OR(C93&lt;0,C93&lt;&gt;INT(C93)),"Shares must be a whole number",IF(COUNTIFS($A$4:$A$2503,A93,$B$4:$B$2503,B93,$D$4:$D$2503,D93)&gt;1,"Duplicate row (same date)","OK"))))))</f>
        <v/>
      </c>
    </row>
    <row r="94">
      <c r="A94" s="26" t="n"/>
      <c r="B94" s="26" t="n"/>
      <c r="C94" s="34" t="n"/>
      <c r="D94" s="28" t="n"/>
      <c r="E94" s="26" t="n"/>
      <c r="F94" s="26" t="n"/>
      <c r="G94" s="26" t="n"/>
      <c r="H94" s="38" t="n"/>
      <c r="I94" s="28" t="n"/>
      <c r="J94" s="30">
        <f>IF(B94="","",IFERROR(INDEX('Share classes'!$A$4:$A$203,MATCH(B94,'Share classes'!$B$4:$B$203,0)),""))</f>
        <v/>
      </c>
      <c r="K94" s="30">
        <f>IF(A94="","",IFERROR(INDEX('Holders'!$B$4:$B$1003,MATCH(A94,'Holders'!$A$4:$A$1003,0)),""))</f>
        <v/>
      </c>
      <c r="L94" s="30">
        <f>IF(OR(A94="",B94="",D94=""),"",IF(D94=_xlfn.MAXIFS($D$4:$D$2503,$A$4:$A$2503,A94,$B$4:$B$2503,B94),"Yes","No"))</f>
        <v/>
      </c>
      <c r="M94" s="30">
        <f>IF(B94="","",IFERROR(INDEX('Share classes'!$F$4:$F$203,MATCH(B94,'Share classes'!$B$4:$B$203,0)),""))</f>
        <v/>
      </c>
      <c r="N94" s="30">
        <f>IF(A94="","",IF(K94="","Unknown holder ID",IF(J94="","Unknown class code",IF(OR(C94="",D94=""),"Missing shares or date",IF(OR(C94&lt;0,C94&lt;&gt;INT(C94)),"Shares must be a whole number",IF(COUNTIFS($A$4:$A$2503,A94,$B$4:$B$2503,B94,$D$4:$D$2503,D94)&gt;1,"Duplicate row (same date)","OK"))))))</f>
        <v/>
      </c>
    </row>
    <row r="95">
      <c r="A95" s="26" t="n"/>
      <c r="B95" s="26" t="n"/>
      <c r="C95" s="34" t="n"/>
      <c r="D95" s="28" t="n"/>
      <c r="E95" s="26" t="n"/>
      <c r="F95" s="26" t="n"/>
      <c r="G95" s="26" t="n"/>
      <c r="H95" s="38" t="n"/>
      <c r="I95" s="28" t="n"/>
      <c r="J95" s="30">
        <f>IF(B95="","",IFERROR(INDEX('Share classes'!$A$4:$A$203,MATCH(B95,'Share classes'!$B$4:$B$203,0)),""))</f>
        <v/>
      </c>
      <c r="K95" s="30">
        <f>IF(A95="","",IFERROR(INDEX('Holders'!$B$4:$B$1003,MATCH(A95,'Holders'!$A$4:$A$1003,0)),""))</f>
        <v/>
      </c>
      <c r="L95" s="30">
        <f>IF(OR(A95="",B95="",D95=""),"",IF(D95=_xlfn.MAXIFS($D$4:$D$2503,$A$4:$A$2503,A95,$B$4:$B$2503,B95),"Yes","No"))</f>
        <v/>
      </c>
      <c r="M95" s="30">
        <f>IF(B95="","",IFERROR(INDEX('Share classes'!$F$4:$F$203,MATCH(B95,'Share classes'!$B$4:$B$203,0)),""))</f>
        <v/>
      </c>
      <c r="N95" s="30">
        <f>IF(A95="","",IF(K95="","Unknown holder ID",IF(J95="","Unknown class code",IF(OR(C95="",D95=""),"Missing shares or date",IF(OR(C95&lt;0,C95&lt;&gt;INT(C95)),"Shares must be a whole number",IF(COUNTIFS($A$4:$A$2503,A95,$B$4:$B$2503,B95,$D$4:$D$2503,D95)&gt;1,"Duplicate row (same date)","OK"))))))</f>
        <v/>
      </c>
    </row>
    <row r="96">
      <c r="A96" s="26" t="n"/>
      <c r="B96" s="26" t="n"/>
      <c r="C96" s="34" t="n"/>
      <c r="D96" s="28" t="n"/>
      <c r="E96" s="26" t="n"/>
      <c r="F96" s="26" t="n"/>
      <c r="G96" s="26" t="n"/>
      <c r="H96" s="38" t="n"/>
      <c r="I96" s="28" t="n"/>
      <c r="J96" s="30">
        <f>IF(B96="","",IFERROR(INDEX('Share classes'!$A$4:$A$203,MATCH(B96,'Share classes'!$B$4:$B$203,0)),""))</f>
        <v/>
      </c>
      <c r="K96" s="30">
        <f>IF(A96="","",IFERROR(INDEX('Holders'!$B$4:$B$1003,MATCH(A96,'Holders'!$A$4:$A$1003,0)),""))</f>
        <v/>
      </c>
      <c r="L96" s="30">
        <f>IF(OR(A96="",B96="",D96=""),"",IF(D96=_xlfn.MAXIFS($D$4:$D$2503,$A$4:$A$2503,A96,$B$4:$B$2503,B96),"Yes","No"))</f>
        <v/>
      </c>
      <c r="M96" s="30">
        <f>IF(B96="","",IFERROR(INDEX('Share classes'!$F$4:$F$203,MATCH(B96,'Share classes'!$B$4:$B$203,0)),""))</f>
        <v/>
      </c>
      <c r="N96" s="30">
        <f>IF(A96="","",IF(K96="","Unknown holder ID",IF(J96="","Unknown class code",IF(OR(C96="",D96=""),"Missing shares or date",IF(OR(C96&lt;0,C96&lt;&gt;INT(C96)),"Shares must be a whole number",IF(COUNTIFS($A$4:$A$2503,A96,$B$4:$B$2503,B96,$D$4:$D$2503,D96)&gt;1,"Duplicate row (same date)","OK"))))))</f>
        <v/>
      </c>
    </row>
    <row r="97">
      <c r="A97" s="26" t="n"/>
      <c r="B97" s="26" t="n"/>
      <c r="C97" s="34" t="n"/>
      <c r="D97" s="28" t="n"/>
      <c r="E97" s="26" t="n"/>
      <c r="F97" s="26" t="n"/>
      <c r="G97" s="26" t="n"/>
      <c r="H97" s="38" t="n"/>
      <c r="I97" s="28" t="n"/>
      <c r="J97" s="30">
        <f>IF(B97="","",IFERROR(INDEX('Share classes'!$A$4:$A$203,MATCH(B97,'Share classes'!$B$4:$B$203,0)),""))</f>
        <v/>
      </c>
      <c r="K97" s="30">
        <f>IF(A97="","",IFERROR(INDEX('Holders'!$B$4:$B$1003,MATCH(A97,'Holders'!$A$4:$A$1003,0)),""))</f>
        <v/>
      </c>
      <c r="L97" s="30">
        <f>IF(OR(A97="",B97="",D97=""),"",IF(D97=_xlfn.MAXIFS($D$4:$D$2503,$A$4:$A$2503,A97,$B$4:$B$2503,B97),"Yes","No"))</f>
        <v/>
      </c>
      <c r="M97" s="30">
        <f>IF(B97="","",IFERROR(INDEX('Share classes'!$F$4:$F$203,MATCH(B97,'Share classes'!$B$4:$B$203,0)),""))</f>
        <v/>
      </c>
      <c r="N97" s="30">
        <f>IF(A97="","",IF(K97="","Unknown holder ID",IF(J97="","Unknown class code",IF(OR(C97="",D97=""),"Missing shares or date",IF(OR(C97&lt;0,C97&lt;&gt;INT(C97)),"Shares must be a whole number",IF(COUNTIFS($A$4:$A$2503,A97,$B$4:$B$2503,B97,$D$4:$D$2503,D97)&gt;1,"Duplicate row (same date)","OK"))))))</f>
        <v/>
      </c>
    </row>
    <row r="98">
      <c r="A98" s="26" t="n"/>
      <c r="B98" s="26" t="n"/>
      <c r="C98" s="34" t="n"/>
      <c r="D98" s="28" t="n"/>
      <c r="E98" s="26" t="n"/>
      <c r="F98" s="26" t="n"/>
      <c r="G98" s="26" t="n"/>
      <c r="H98" s="38" t="n"/>
      <c r="I98" s="28" t="n"/>
      <c r="J98" s="30">
        <f>IF(B98="","",IFERROR(INDEX('Share classes'!$A$4:$A$203,MATCH(B98,'Share classes'!$B$4:$B$203,0)),""))</f>
        <v/>
      </c>
      <c r="K98" s="30">
        <f>IF(A98="","",IFERROR(INDEX('Holders'!$B$4:$B$1003,MATCH(A98,'Holders'!$A$4:$A$1003,0)),""))</f>
        <v/>
      </c>
      <c r="L98" s="30">
        <f>IF(OR(A98="",B98="",D98=""),"",IF(D98=_xlfn.MAXIFS($D$4:$D$2503,$A$4:$A$2503,A98,$B$4:$B$2503,B98),"Yes","No"))</f>
        <v/>
      </c>
      <c r="M98" s="30">
        <f>IF(B98="","",IFERROR(INDEX('Share classes'!$F$4:$F$203,MATCH(B98,'Share classes'!$B$4:$B$203,0)),""))</f>
        <v/>
      </c>
      <c r="N98" s="30">
        <f>IF(A98="","",IF(K98="","Unknown holder ID",IF(J98="","Unknown class code",IF(OR(C98="",D98=""),"Missing shares or date",IF(OR(C98&lt;0,C98&lt;&gt;INT(C98)),"Shares must be a whole number",IF(COUNTIFS($A$4:$A$2503,A98,$B$4:$B$2503,B98,$D$4:$D$2503,D98)&gt;1,"Duplicate row (same date)","OK"))))))</f>
        <v/>
      </c>
    </row>
    <row r="99">
      <c r="A99" s="26" t="n"/>
      <c r="B99" s="26" t="n"/>
      <c r="C99" s="34" t="n"/>
      <c r="D99" s="28" t="n"/>
      <c r="E99" s="26" t="n"/>
      <c r="F99" s="26" t="n"/>
      <c r="G99" s="26" t="n"/>
      <c r="H99" s="38" t="n"/>
      <c r="I99" s="28" t="n"/>
      <c r="J99" s="30">
        <f>IF(B99="","",IFERROR(INDEX('Share classes'!$A$4:$A$203,MATCH(B99,'Share classes'!$B$4:$B$203,0)),""))</f>
        <v/>
      </c>
      <c r="K99" s="30">
        <f>IF(A99="","",IFERROR(INDEX('Holders'!$B$4:$B$1003,MATCH(A99,'Holders'!$A$4:$A$1003,0)),""))</f>
        <v/>
      </c>
      <c r="L99" s="30">
        <f>IF(OR(A99="",B99="",D99=""),"",IF(D99=_xlfn.MAXIFS($D$4:$D$2503,$A$4:$A$2503,A99,$B$4:$B$2503,B99),"Yes","No"))</f>
        <v/>
      </c>
      <c r="M99" s="30">
        <f>IF(B99="","",IFERROR(INDEX('Share classes'!$F$4:$F$203,MATCH(B99,'Share classes'!$B$4:$B$203,0)),""))</f>
        <v/>
      </c>
      <c r="N99" s="30">
        <f>IF(A99="","",IF(K99="","Unknown holder ID",IF(J99="","Unknown class code",IF(OR(C99="",D99=""),"Missing shares or date",IF(OR(C99&lt;0,C99&lt;&gt;INT(C99)),"Shares must be a whole number",IF(COUNTIFS($A$4:$A$2503,A99,$B$4:$B$2503,B99,$D$4:$D$2503,D99)&gt;1,"Duplicate row (same date)","OK"))))))</f>
        <v/>
      </c>
    </row>
    <row r="100">
      <c r="A100" s="26" t="n"/>
      <c r="B100" s="26" t="n"/>
      <c r="C100" s="34" t="n"/>
      <c r="D100" s="28" t="n"/>
      <c r="E100" s="26" t="n"/>
      <c r="F100" s="26" t="n"/>
      <c r="G100" s="26" t="n"/>
      <c r="H100" s="38" t="n"/>
      <c r="I100" s="28" t="n"/>
      <c r="J100" s="30">
        <f>IF(B100="","",IFERROR(INDEX('Share classes'!$A$4:$A$203,MATCH(B100,'Share classes'!$B$4:$B$203,0)),""))</f>
        <v/>
      </c>
      <c r="K100" s="30">
        <f>IF(A100="","",IFERROR(INDEX('Holders'!$B$4:$B$1003,MATCH(A100,'Holders'!$A$4:$A$1003,0)),""))</f>
        <v/>
      </c>
      <c r="L100" s="30">
        <f>IF(OR(A100="",B100="",D100=""),"",IF(D100=_xlfn.MAXIFS($D$4:$D$2503,$A$4:$A$2503,A100,$B$4:$B$2503,B100),"Yes","No"))</f>
        <v/>
      </c>
      <c r="M100" s="30">
        <f>IF(B100="","",IFERROR(INDEX('Share classes'!$F$4:$F$203,MATCH(B100,'Share classes'!$B$4:$B$203,0)),""))</f>
        <v/>
      </c>
      <c r="N100" s="30">
        <f>IF(A100="","",IF(K100="","Unknown holder ID",IF(J100="","Unknown class code",IF(OR(C100="",D100=""),"Missing shares or date",IF(OR(C100&lt;0,C100&lt;&gt;INT(C100)),"Shares must be a whole number",IF(COUNTIFS($A$4:$A$2503,A100,$B$4:$B$2503,B100,$D$4:$D$2503,D100)&gt;1,"Duplicate row (same date)","OK"))))))</f>
        <v/>
      </c>
    </row>
    <row r="101">
      <c r="A101" s="26" t="n"/>
      <c r="B101" s="26" t="n"/>
      <c r="C101" s="34" t="n"/>
      <c r="D101" s="28" t="n"/>
      <c r="E101" s="26" t="n"/>
      <c r="F101" s="26" t="n"/>
      <c r="G101" s="26" t="n"/>
      <c r="H101" s="38" t="n"/>
      <c r="I101" s="28" t="n"/>
      <c r="J101" s="30">
        <f>IF(B101="","",IFERROR(INDEX('Share classes'!$A$4:$A$203,MATCH(B101,'Share classes'!$B$4:$B$203,0)),""))</f>
        <v/>
      </c>
      <c r="K101" s="30">
        <f>IF(A101="","",IFERROR(INDEX('Holders'!$B$4:$B$1003,MATCH(A101,'Holders'!$A$4:$A$1003,0)),""))</f>
        <v/>
      </c>
      <c r="L101" s="30">
        <f>IF(OR(A101="",B101="",D101=""),"",IF(D101=_xlfn.MAXIFS($D$4:$D$2503,$A$4:$A$2503,A101,$B$4:$B$2503,B101),"Yes","No"))</f>
        <v/>
      </c>
      <c r="M101" s="30">
        <f>IF(B101="","",IFERROR(INDEX('Share classes'!$F$4:$F$203,MATCH(B101,'Share classes'!$B$4:$B$203,0)),""))</f>
        <v/>
      </c>
      <c r="N101" s="30">
        <f>IF(A101="","",IF(K101="","Unknown holder ID",IF(J101="","Unknown class code",IF(OR(C101="",D101=""),"Missing shares or date",IF(OR(C101&lt;0,C101&lt;&gt;INT(C101)),"Shares must be a whole number",IF(COUNTIFS($A$4:$A$2503,A101,$B$4:$B$2503,B101,$D$4:$D$2503,D101)&gt;1,"Duplicate row (same date)","OK"))))))</f>
        <v/>
      </c>
    </row>
    <row r="102">
      <c r="A102" s="26" t="n"/>
      <c r="B102" s="26" t="n"/>
      <c r="C102" s="34" t="n"/>
      <c r="D102" s="28" t="n"/>
      <c r="E102" s="26" t="n"/>
      <c r="F102" s="26" t="n"/>
      <c r="G102" s="26" t="n"/>
      <c r="H102" s="38" t="n"/>
      <c r="I102" s="28" t="n"/>
      <c r="J102" s="30">
        <f>IF(B102="","",IFERROR(INDEX('Share classes'!$A$4:$A$203,MATCH(B102,'Share classes'!$B$4:$B$203,0)),""))</f>
        <v/>
      </c>
      <c r="K102" s="30">
        <f>IF(A102="","",IFERROR(INDEX('Holders'!$B$4:$B$1003,MATCH(A102,'Holders'!$A$4:$A$1003,0)),""))</f>
        <v/>
      </c>
      <c r="L102" s="30">
        <f>IF(OR(A102="",B102="",D102=""),"",IF(D102=_xlfn.MAXIFS($D$4:$D$2503,$A$4:$A$2503,A102,$B$4:$B$2503,B102),"Yes","No"))</f>
        <v/>
      </c>
      <c r="M102" s="30">
        <f>IF(B102="","",IFERROR(INDEX('Share classes'!$F$4:$F$203,MATCH(B102,'Share classes'!$B$4:$B$203,0)),""))</f>
        <v/>
      </c>
      <c r="N102" s="30">
        <f>IF(A102="","",IF(K102="","Unknown holder ID",IF(J102="","Unknown class code",IF(OR(C102="",D102=""),"Missing shares or date",IF(OR(C102&lt;0,C102&lt;&gt;INT(C102)),"Shares must be a whole number",IF(COUNTIFS($A$4:$A$2503,A102,$B$4:$B$2503,B102,$D$4:$D$2503,D102)&gt;1,"Duplicate row (same date)","OK"))))))</f>
        <v/>
      </c>
    </row>
    <row r="103">
      <c r="A103" s="26" t="n"/>
      <c r="B103" s="26" t="n"/>
      <c r="C103" s="34" t="n"/>
      <c r="D103" s="28" t="n"/>
      <c r="E103" s="26" t="n"/>
      <c r="F103" s="26" t="n"/>
      <c r="G103" s="26" t="n"/>
      <c r="H103" s="38" t="n"/>
      <c r="I103" s="28" t="n"/>
      <c r="J103" s="30">
        <f>IF(B103="","",IFERROR(INDEX('Share classes'!$A$4:$A$203,MATCH(B103,'Share classes'!$B$4:$B$203,0)),""))</f>
        <v/>
      </c>
      <c r="K103" s="30">
        <f>IF(A103="","",IFERROR(INDEX('Holders'!$B$4:$B$1003,MATCH(A103,'Holders'!$A$4:$A$1003,0)),""))</f>
        <v/>
      </c>
      <c r="L103" s="30">
        <f>IF(OR(A103="",B103="",D103=""),"",IF(D103=_xlfn.MAXIFS($D$4:$D$2503,$A$4:$A$2503,A103,$B$4:$B$2503,B103),"Yes","No"))</f>
        <v/>
      </c>
      <c r="M103" s="30">
        <f>IF(B103="","",IFERROR(INDEX('Share classes'!$F$4:$F$203,MATCH(B103,'Share classes'!$B$4:$B$203,0)),""))</f>
        <v/>
      </c>
      <c r="N103" s="30">
        <f>IF(A103="","",IF(K103="","Unknown holder ID",IF(J103="","Unknown class code",IF(OR(C103="",D103=""),"Missing shares or date",IF(OR(C103&lt;0,C103&lt;&gt;INT(C103)),"Shares must be a whole number",IF(COUNTIFS($A$4:$A$2503,A103,$B$4:$B$2503,B103,$D$4:$D$2503,D103)&gt;1,"Duplicate row (same date)","OK"))))))</f>
        <v/>
      </c>
    </row>
    <row r="104">
      <c r="A104" s="26" t="n"/>
      <c r="B104" s="26" t="n"/>
      <c r="C104" s="34" t="n"/>
      <c r="D104" s="28" t="n"/>
      <c r="E104" s="26" t="n"/>
      <c r="F104" s="26" t="n"/>
      <c r="G104" s="26" t="n"/>
      <c r="H104" s="38" t="n"/>
      <c r="I104" s="28" t="n"/>
      <c r="J104" s="30">
        <f>IF(B104="","",IFERROR(INDEX('Share classes'!$A$4:$A$203,MATCH(B104,'Share classes'!$B$4:$B$203,0)),""))</f>
        <v/>
      </c>
      <c r="K104" s="30">
        <f>IF(A104="","",IFERROR(INDEX('Holders'!$B$4:$B$1003,MATCH(A104,'Holders'!$A$4:$A$1003,0)),""))</f>
        <v/>
      </c>
      <c r="L104" s="30">
        <f>IF(OR(A104="",B104="",D104=""),"",IF(D104=_xlfn.MAXIFS($D$4:$D$2503,$A$4:$A$2503,A104,$B$4:$B$2503,B104),"Yes","No"))</f>
        <v/>
      </c>
      <c r="M104" s="30">
        <f>IF(B104="","",IFERROR(INDEX('Share classes'!$F$4:$F$203,MATCH(B104,'Share classes'!$B$4:$B$203,0)),""))</f>
        <v/>
      </c>
      <c r="N104" s="30">
        <f>IF(A104="","",IF(K104="","Unknown holder ID",IF(J104="","Unknown class code",IF(OR(C104="",D104=""),"Missing shares or date",IF(OR(C104&lt;0,C104&lt;&gt;INT(C104)),"Shares must be a whole number",IF(COUNTIFS($A$4:$A$2503,A104,$B$4:$B$2503,B104,$D$4:$D$2503,D104)&gt;1,"Duplicate row (same date)","OK"))))))</f>
        <v/>
      </c>
    </row>
    <row r="105">
      <c r="A105" s="26" t="n"/>
      <c r="B105" s="26" t="n"/>
      <c r="C105" s="34" t="n"/>
      <c r="D105" s="28" t="n"/>
      <c r="E105" s="26" t="n"/>
      <c r="F105" s="26" t="n"/>
      <c r="G105" s="26" t="n"/>
      <c r="H105" s="38" t="n"/>
      <c r="I105" s="28" t="n"/>
      <c r="J105" s="30">
        <f>IF(B105="","",IFERROR(INDEX('Share classes'!$A$4:$A$203,MATCH(B105,'Share classes'!$B$4:$B$203,0)),""))</f>
        <v/>
      </c>
      <c r="K105" s="30">
        <f>IF(A105="","",IFERROR(INDEX('Holders'!$B$4:$B$1003,MATCH(A105,'Holders'!$A$4:$A$1003,0)),""))</f>
        <v/>
      </c>
      <c r="L105" s="30">
        <f>IF(OR(A105="",B105="",D105=""),"",IF(D105=_xlfn.MAXIFS($D$4:$D$2503,$A$4:$A$2503,A105,$B$4:$B$2503,B105),"Yes","No"))</f>
        <v/>
      </c>
      <c r="M105" s="30">
        <f>IF(B105="","",IFERROR(INDEX('Share classes'!$F$4:$F$203,MATCH(B105,'Share classes'!$B$4:$B$203,0)),""))</f>
        <v/>
      </c>
      <c r="N105" s="30">
        <f>IF(A105="","",IF(K105="","Unknown holder ID",IF(J105="","Unknown class code",IF(OR(C105="",D105=""),"Missing shares or date",IF(OR(C105&lt;0,C105&lt;&gt;INT(C105)),"Shares must be a whole number",IF(COUNTIFS($A$4:$A$2503,A105,$B$4:$B$2503,B105,$D$4:$D$2503,D105)&gt;1,"Duplicate row (same date)","OK"))))))</f>
        <v/>
      </c>
    </row>
    <row r="106">
      <c r="A106" s="26" t="n"/>
      <c r="B106" s="26" t="n"/>
      <c r="C106" s="34" t="n"/>
      <c r="D106" s="28" t="n"/>
      <c r="E106" s="26" t="n"/>
      <c r="F106" s="26" t="n"/>
      <c r="G106" s="26" t="n"/>
      <c r="H106" s="38" t="n"/>
      <c r="I106" s="28" t="n"/>
      <c r="J106" s="30">
        <f>IF(B106="","",IFERROR(INDEX('Share classes'!$A$4:$A$203,MATCH(B106,'Share classes'!$B$4:$B$203,0)),""))</f>
        <v/>
      </c>
      <c r="K106" s="30">
        <f>IF(A106="","",IFERROR(INDEX('Holders'!$B$4:$B$1003,MATCH(A106,'Holders'!$A$4:$A$1003,0)),""))</f>
        <v/>
      </c>
      <c r="L106" s="30">
        <f>IF(OR(A106="",B106="",D106=""),"",IF(D106=_xlfn.MAXIFS($D$4:$D$2503,$A$4:$A$2503,A106,$B$4:$B$2503,B106),"Yes","No"))</f>
        <v/>
      </c>
      <c r="M106" s="30">
        <f>IF(B106="","",IFERROR(INDEX('Share classes'!$F$4:$F$203,MATCH(B106,'Share classes'!$B$4:$B$203,0)),""))</f>
        <v/>
      </c>
      <c r="N106" s="30">
        <f>IF(A106="","",IF(K106="","Unknown holder ID",IF(J106="","Unknown class code",IF(OR(C106="",D106=""),"Missing shares or date",IF(OR(C106&lt;0,C106&lt;&gt;INT(C106)),"Shares must be a whole number",IF(COUNTIFS($A$4:$A$2503,A106,$B$4:$B$2503,B106,$D$4:$D$2503,D106)&gt;1,"Duplicate row (same date)","OK"))))))</f>
        <v/>
      </c>
    </row>
    <row r="107">
      <c r="A107" s="26" t="n"/>
      <c r="B107" s="26" t="n"/>
      <c r="C107" s="34" t="n"/>
      <c r="D107" s="28" t="n"/>
      <c r="E107" s="26" t="n"/>
      <c r="F107" s="26" t="n"/>
      <c r="G107" s="26" t="n"/>
      <c r="H107" s="38" t="n"/>
      <c r="I107" s="28" t="n"/>
      <c r="J107" s="30">
        <f>IF(B107="","",IFERROR(INDEX('Share classes'!$A$4:$A$203,MATCH(B107,'Share classes'!$B$4:$B$203,0)),""))</f>
        <v/>
      </c>
      <c r="K107" s="30">
        <f>IF(A107="","",IFERROR(INDEX('Holders'!$B$4:$B$1003,MATCH(A107,'Holders'!$A$4:$A$1003,0)),""))</f>
        <v/>
      </c>
      <c r="L107" s="30">
        <f>IF(OR(A107="",B107="",D107=""),"",IF(D107=_xlfn.MAXIFS($D$4:$D$2503,$A$4:$A$2503,A107,$B$4:$B$2503,B107),"Yes","No"))</f>
        <v/>
      </c>
      <c r="M107" s="30">
        <f>IF(B107="","",IFERROR(INDEX('Share classes'!$F$4:$F$203,MATCH(B107,'Share classes'!$B$4:$B$203,0)),""))</f>
        <v/>
      </c>
      <c r="N107" s="30">
        <f>IF(A107="","",IF(K107="","Unknown holder ID",IF(J107="","Unknown class code",IF(OR(C107="",D107=""),"Missing shares or date",IF(OR(C107&lt;0,C107&lt;&gt;INT(C107)),"Shares must be a whole number",IF(COUNTIFS($A$4:$A$2503,A107,$B$4:$B$2503,B107,$D$4:$D$2503,D107)&gt;1,"Duplicate row (same date)","OK"))))))</f>
        <v/>
      </c>
    </row>
    <row r="108">
      <c r="A108" s="26" t="n"/>
      <c r="B108" s="26" t="n"/>
      <c r="C108" s="34" t="n"/>
      <c r="D108" s="28" t="n"/>
      <c r="E108" s="26" t="n"/>
      <c r="F108" s="26" t="n"/>
      <c r="G108" s="26" t="n"/>
      <c r="H108" s="38" t="n"/>
      <c r="I108" s="28" t="n"/>
      <c r="J108" s="30">
        <f>IF(B108="","",IFERROR(INDEX('Share classes'!$A$4:$A$203,MATCH(B108,'Share classes'!$B$4:$B$203,0)),""))</f>
        <v/>
      </c>
      <c r="K108" s="30">
        <f>IF(A108="","",IFERROR(INDEX('Holders'!$B$4:$B$1003,MATCH(A108,'Holders'!$A$4:$A$1003,0)),""))</f>
        <v/>
      </c>
      <c r="L108" s="30">
        <f>IF(OR(A108="",B108="",D108=""),"",IF(D108=_xlfn.MAXIFS($D$4:$D$2503,$A$4:$A$2503,A108,$B$4:$B$2503,B108),"Yes","No"))</f>
        <v/>
      </c>
      <c r="M108" s="30">
        <f>IF(B108="","",IFERROR(INDEX('Share classes'!$F$4:$F$203,MATCH(B108,'Share classes'!$B$4:$B$203,0)),""))</f>
        <v/>
      </c>
      <c r="N108" s="30">
        <f>IF(A108="","",IF(K108="","Unknown holder ID",IF(J108="","Unknown class code",IF(OR(C108="",D108=""),"Missing shares or date",IF(OR(C108&lt;0,C108&lt;&gt;INT(C108)),"Shares must be a whole number",IF(COUNTIFS($A$4:$A$2503,A108,$B$4:$B$2503,B108,$D$4:$D$2503,D108)&gt;1,"Duplicate row (same date)","OK"))))))</f>
        <v/>
      </c>
    </row>
    <row r="109">
      <c r="A109" s="26" t="n"/>
      <c r="B109" s="26" t="n"/>
      <c r="C109" s="34" t="n"/>
      <c r="D109" s="28" t="n"/>
      <c r="E109" s="26" t="n"/>
      <c r="F109" s="26" t="n"/>
      <c r="G109" s="26" t="n"/>
      <c r="H109" s="38" t="n"/>
      <c r="I109" s="28" t="n"/>
      <c r="J109" s="30">
        <f>IF(B109="","",IFERROR(INDEX('Share classes'!$A$4:$A$203,MATCH(B109,'Share classes'!$B$4:$B$203,0)),""))</f>
        <v/>
      </c>
      <c r="K109" s="30">
        <f>IF(A109="","",IFERROR(INDEX('Holders'!$B$4:$B$1003,MATCH(A109,'Holders'!$A$4:$A$1003,0)),""))</f>
        <v/>
      </c>
      <c r="L109" s="30">
        <f>IF(OR(A109="",B109="",D109=""),"",IF(D109=_xlfn.MAXIFS($D$4:$D$2503,$A$4:$A$2503,A109,$B$4:$B$2503,B109),"Yes","No"))</f>
        <v/>
      </c>
      <c r="M109" s="30">
        <f>IF(B109="","",IFERROR(INDEX('Share classes'!$F$4:$F$203,MATCH(B109,'Share classes'!$B$4:$B$203,0)),""))</f>
        <v/>
      </c>
      <c r="N109" s="30">
        <f>IF(A109="","",IF(K109="","Unknown holder ID",IF(J109="","Unknown class code",IF(OR(C109="",D109=""),"Missing shares or date",IF(OR(C109&lt;0,C109&lt;&gt;INT(C109)),"Shares must be a whole number",IF(COUNTIFS($A$4:$A$2503,A109,$B$4:$B$2503,B109,$D$4:$D$2503,D109)&gt;1,"Duplicate row (same date)","OK"))))))</f>
        <v/>
      </c>
    </row>
    <row r="110">
      <c r="A110" s="26" t="n"/>
      <c r="B110" s="26" t="n"/>
      <c r="C110" s="34" t="n"/>
      <c r="D110" s="28" t="n"/>
      <c r="E110" s="26" t="n"/>
      <c r="F110" s="26" t="n"/>
      <c r="G110" s="26" t="n"/>
      <c r="H110" s="38" t="n"/>
      <c r="I110" s="28" t="n"/>
      <c r="J110" s="30">
        <f>IF(B110="","",IFERROR(INDEX('Share classes'!$A$4:$A$203,MATCH(B110,'Share classes'!$B$4:$B$203,0)),""))</f>
        <v/>
      </c>
      <c r="K110" s="30">
        <f>IF(A110="","",IFERROR(INDEX('Holders'!$B$4:$B$1003,MATCH(A110,'Holders'!$A$4:$A$1003,0)),""))</f>
        <v/>
      </c>
      <c r="L110" s="30">
        <f>IF(OR(A110="",B110="",D110=""),"",IF(D110=_xlfn.MAXIFS($D$4:$D$2503,$A$4:$A$2503,A110,$B$4:$B$2503,B110),"Yes","No"))</f>
        <v/>
      </c>
      <c r="M110" s="30">
        <f>IF(B110="","",IFERROR(INDEX('Share classes'!$F$4:$F$203,MATCH(B110,'Share classes'!$B$4:$B$203,0)),""))</f>
        <v/>
      </c>
      <c r="N110" s="30">
        <f>IF(A110="","",IF(K110="","Unknown holder ID",IF(J110="","Unknown class code",IF(OR(C110="",D110=""),"Missing shares or date",IF(OR(C110&lt;0,C110&lt;&gt;INT(C110)),"Shares must be a whole number",IF(COUNTIFS($A$4:$A$2503,A110,$B$4:$B$2503,B110,$D$4:$D$2503,D110)&gt;1,"Duplicate row (same date)","OK"))))))</f>
        <v/>
      </c>
    </row>
    <row r="111">
      <c r="A111" s="26" t="n"/>
      <c r="B111" s="26" t="n"/>
      <c r="C111" s="34" t="n"/>
      <c r="D111" s="28" t="n"/>
      <c r="E111" s="26" t="n"/>
      <c r="F111" s="26" t="n"/>
      <c r="G111" s="26" t="n"/>
      <c r="H111" s="38" t="n"/>
      <c r="I111" s="28" t="n"/>
      <c r="J111" s="30">
        <f>IF(B111="","",IFERROR(INDEX('Share classes'!$A$4:$A$203,MATCH(B111,'Share classes'!$B$4:$B$203,0)),""))</f>
        <v/>
      </c>
      <c r="K111" s="30">
        <f>IF(A111="","",IFERROR(INDEX('Holders'!$B$4:$B$1003,MATCH(A111,'Holders'!$A$4:$A$1003,0)),""))</f>
        <v/>
      </c>
      <c r="L111" s="30">
        <f>IF(OR(A111="",B111="",D111=""),"",IF(D111=_xlfn.MAXIFS($D$4:$D$2503,$A$4:$A$2503,A111,$B$4:$B$2503,B111),"Yes","No"))</f>
        <v/>
      </c>
      <c r="M111" s="30">
        <f>IF(B111="","",IFERROR(INDEX('Share classes'!$F$4:$F$203,MATCH(B111,'Share classes'!$B$4:$B$203,0)),""))</f>
        <v/>
      </c>
      <c r="N111" s="30">
        <f>IF(A111="","",IF(K111="","Unknown holder ID",IF(J111="","Unknown class code",IF(OR(C111="",D111=""),"Missing shares or date",IF(OR(C111&lt;0,C111&lt;&gt;INT(C111)),"Shares must be a whole number",IF(COUNTIFS($A$4:$A$2503,A111,$B$4:$B$2503,B111,$D$4:$D$2503,D111)&gt;1,"Duplicate row (same date)","OK"))))))</f>
        <v/>
      </c>
    </row>
    <row r="112">
      <c r="A112" s="26" t="n"/>
      <c r="B112" s="26" t="n"/>
      <c r="C112" s="34" t="n"/>
      <c r="D112" s="28" t="n"/>
      <c r="E112" s="26" t="n"/>
      <c r="F112" s="26" t="n"/>
      <c r="G112" s="26" t="n"/>
      <c r="H112" s="38" t="n"/>
      <c r="I112" s="28" t="n"/>
      <c r="J112" s="30">
        <f>IF(B112="","",IFERROR(INDEX('Share classes'!$A$4:$A$203,MATCH(B112,'Share classes'!$B$4:$B$203,0)),""))</f>
        <v/>
      </c>
      <c r="K112" s="30">
        <f>IF(A112="","",IFERROR(INDEX('Holders'!$B$4:$B$1003,MATCH(A112,'Holders'!$A$4:$A$1003,0)),""))</f>
        <v/>
      </c>
      <c r="L112" s="30">
        <f>IF(OR(A112="",B112="",D112=""),"",IF(D112=_xlfn.MAXIFS($D$4:$D$2503,$A$4:$A$2503,A112,$B$4:$B$2503,B112),"Yes","No"))</f>
        <v/>
      </c>
      <c r="M112" s="30">
        <f>IF(B112="","",IFERROR(INDEX('Share classes'!$F$4:$F$203,MATCH(B112,'Share classes'!$B$4:$B$203,0)),""))</f>
        <v/>
      </c>
      <c r="N112" s="30">
        <f>IF(A112="","",IF(K112="","Unknown holder ID",IF(J112="","Unknown class code",IF(OR(C112="",D112=""),"Missing shares or date",IF(OR(C112&lt;0,C112&lt;&gt;INT(C112)),"Shares must be a whole number",IF(COUNTIFS($A$4:$A$2503,A112,$B$4:$B$2503,B112,$D$4:$D$2503,D112)&gt;1,"Duplicate row (same date)","OK"))))))</f>
        <v/>
      </c>
    </row>
    <row r="113">
      <c r="A113" s="26" t="n"/>
      <c r="B113" s="26" t="n"/>
      <c r="C113" s="34" t="n"/>
      <c r="D113" s="28" t="n"/>
      <c r="E113" s="26" t="n"/>
      <c r="F113" s="26" t="n"/>
      <c r="G113" s="26" t="n"/>
      <c r="H113" s="38" t="n"/>
      <c r="I113" s="28" t="n"/>
      <c r="J113" s="30">
        <f>IF(B113="","",IFERROR(INDEX('Share classes'!$A$4:$A$203,MATCH(B113,'Share classes'!$B$4:$B$203,0)),""))</f>
        <v/>
      </c>
      <c r="K113" s="30">
        <f>IF(A113="","",IFERROR(INDEX('Holders'!$B$4:$B$1003,MATCH(A113,'Holders'!$A$4:$A$1003,0)),""))</f>
        <v/>
      </c>
      <c r="L113" s="30">
        <f>IF(OR(A113="",B113="",D113=""),"",IF(D113=_xlfn.MAXIFS($D$4:$D$2503,$A$4:$A$2503,A113,$B$4:$B$2503,B113),"Yes","No"))</f>
        <v/>
      </c>
      <c r="M113" s="30">
        <f>IF(B113="","",IFERROR(INDEX('Share classes'!$F$4:$F$203,MATCH(B113,'Share classes'!$B$4:$B$203,0)),""))</f>
        <v/>
      </c>
      <c r="N113" s="30">
        <f>IF(A113="","",IF(K113="","Unknown holder ID",IF(J113="","Unknown class code",IF(OR(C113="",D113=""),"Missing shares or date",IF(OR(C113&lt;0,C113&lt;&gt;INT(C113)),"Shares must be a whole number",IF(COUNTIFS($A$4:$A$2503,A113,$B$4:$B$2503,B113,$D$4:$D$2503,D113)&gt;1,"Duplicate row (same date)","OK"))))))</f>
        <v/>
      </c>
    </row>
    <row r="114">
      <c r="A114" s="26" t="n"/>
      <c r="B114" s="26" t="n"/>
      <c r="C114" s="34" t="n"/>
      <c r="D114" s="28" t="n"/>
      <c r="E114" s="26" t="n"/>
      <c r="F114" s="26" t="n"/>
      <c r="G114" s="26" t="n"/>
      <c r="H114" s="38" t="n"/>
      <c r="I114" s="28" t="n"/>
      <c r="J114" s="30">
        <f>IF(B114="","",IFERROR(INDEX('Share classes'!$A$4:$A$203,MATCH(B114,'Share classes'!$B$4:$B$203,0)),""))</f>
        <v/>
      </c>
      <c r="K114" s="30">
        <f>IF(A114="","",IFERROR(INDEX('Holders'!$B$4:$B$1003,MATCH(A114,'Holders'!$A$4:$A$1003,0)),""))</f>
        <v/>
      </c>
      <c r="L114" s="30">
        <f>IF(OR(A114="",B114="",D114=""),"",IF(D114=_xlfn.MAXIFS($D$4:$D$2503,$A$4:$A$2503,A114,$B$4:$B$2503,B114),"Yes","No"))</f>
        <v/>
      </c>
      <c r="M114" s="30">
        <f>IF(B114="","",IFERROR(INDEX('Share classes'!$F$4:$F$203,MATCH(B114,'Share classes'!$B$4:$B$203,0)),""))</f>
        <v/>
      </c>
      <c r="N114" s="30">
        <f>IF(A114="","",IF(K114="","Unknown holder ID",IF(J114="","Unknown class code",IF(OR(C114="",D114=""),"Missing shares or date",IF(OR(C114&lt;0,C114&lt;&gt;INT(C114)),"Shares must be a whole number",IF(COUNTIFS($A$4:$A$2503,A114,$B$4:$B$2503,B114,$D$4:$D$2503,D114)&gt;1,"Duplicate row (same date)","OK"))))))</f>
        <v/>
      </c>
    </row>
    <row r="115">
      <c r="A115" s="26" t="n"/>
      <c r="B115" s="26" t="n"/>
      <c r="C115" s="34" t="n"/>
      <c r="D115" s="28" t="n"/>
      <c r="E115" s="26" t="n"/>
      <c r="F115" s="26" t="n"/>
      <c r="G115" s="26" t="n"/>
      <c r="H115" s="38" t="n"/>
      <c r="I115" s="28" t="n"/>
      <c r="J115" s="30">
        <f>IF(B115="","",IFERROR(INDEX('Share classes'!$A$4:$A$203,MATCH(B115,'Share classes'!$B$4:$B$203,0)),""))</f>
        <v/>
      </c>
      <c r="K115" s="30">
        <f>IF(A115="","",IFERROR(INDEX('Holders'!$B$4:$B$1003,MATCH(A115,'Holders'!$A$4:$A$1003,0)),""))</f>
        <v/>
      </c>
      <c r="L115" s="30">
        <f>IF(OR(A115="",B115="",D115=""),"",IF(D115=_xlfn.MAXIFS($D$4:$D$2503,$A$4:$A$2503,A115,$B$4:$B$2503,B115),"Yes","No"))</f>
        <v/>
      </c>
      <c r="M115" s="30">
        <f>IF(B115="","",IFERROR(INDEX('Share classes'!$F$4:$F$203,MATCH(B115,'Share classes'!$B$4:$B$203,0)),""))</f>
        <v/>
      </c>
      <c r="N115" s="30">
        <f>IF(A115="","",IF(K115="","Unknown holder ID",IF(J115="","Unknown class code",IF(OR(C115="",D115=""),"Missing shares or date",IF(OR(C115&lt;0,C115&lt;&gt;INT(C115)),"Shares must be a whole number",IF(COUNTIFS($A$4:$A$2503,A115,$B$4:$B$2503,B115,$D$4:$D$2503,D115)&gt;1,"Duplicate row (same date)","OK"))))))</f>
        <v/>
      </c>
    </row>
    <row r="116">
      <c r="A116" s="26" t="n"/>
      <c r="B116" s="26" t="n"/>
      <c r="C116" s="34" t="n"/>
      <c r="D116" s="28" t="n"/>
      <c r="E116" s="26" t="n"/>
      <c r="F116" s="26" t="n"/>
      <c r="G116" s="26" t="n"/>
      <c r="H116" s="38" t="n"/>
      <c r="I116" s="28" t="n"/>
      <c r="J116" s="30">
        <f>IF(B116="","",IFERROR(INDEX('Share classes'!$A$4:$A$203,MATCH(B116,'Share classes'!$B$4:$B$203,0)),""))</f>
        <v/>
      </c>
      <c r="K116" s="30">
        <f>IF(A116="","",IFERROR(INDEX('Holders'!$B$4:$B$1003,MATCH(A116,'Holders'!$A$4:$A$1003,0)),""))</f>
        <v/>
      </c>
      <c r="L116" s="30">
        <f>IF(OR(A116="",B116="",D116=""),"",IF(D116=_xlfn.MAXIFS($D$4:$D$2503,$A$4:$A$2503,A116,$B$4:$B$2503,B116),"Yes","No"))</f>
        <v/>
      </c>
      <c r="M116" s="30">
        <f>IF(B116="","",IFERROR(INDEX('Share classes'!$F$4:$F$203,MATCH(B116,'Share classes'!$B$4:$B$203,0)),""))</f>
        <v/>
      </c>
      <c r="N116" s="30">
        <f>IF(A116="","",IF(K116="","Unknown holder ID",IF(J116="","Unknown class code",IF(OR(C116="",D116=""),"Missing shares or date",IF(OR(C116&lt;0,C116&lt;&gt;INT(C116)),"Shares must be a whole number",IF(COUNTIFS($A$4:$A$2503,A116,$B$4:$B$2503,B116,$D$4:$D$2503,D116)&gt;1,"Duplicate row (same date)","OK"))))))</f>
        <v/>
      </c>
    </row>
    <row r="117">
      <c r="A117" s="26" t="n"/>
      <c r="B117" s="26" t="n"/>
      <c r="C117" s="34" t="n"/>
      <c r="D117" s="28" t="n"/>
      <c r="E117" s="26" t="n"/>
      <c r="F117" s="26" t="n"/>
      <c r="G117" s="26" t="n"/>
      <c r="H117" s="38" t="n"/>
      <c r="I117" s="28" t="n"/>
      <c r="J117" s="30">
        <f>IF(B117="","",IFERROR(INDEX('Share classes'!$A$4:$A$203,MATCH(B117,'Share classes'!$B$4:$B$203,0)),""))</f>
        <v/>
      </c>
      <c r="K117" s="30">
        <f>IF(A117="","",IFERROR(INDEX('Holders'!$B$4:$B$1003,MATCH(A117,'Holders'!$A$4:$A$1003,0)),""))</f>
        <v/>
      </c>
      <c r="L117" s="30">
        <f>IF(OR(A117="",B117="",D117=""),"",IF(D117=_xlfn.MAXIFS($D$4:$D$2503,$A$4:$A$2503,A117,$B$4:$B$2503,B117),"Yes","No"))</f>
        <v/>
      </c>
      <c r="M117" s="30">
        <f>IF(B117="","",IFERROR(INDEX('Share classes'!$F$4:$F$203,MATCH(B117,'Share classes'!$B$4:$B$203,0)),""))</f>
        <v/>
      </c>
      <c r="N117" s="30">
        <f>IF(A117="","",IF(K117="","Unknown holder ID",IF(J117="","Unknown class code",IF(OR(C117="",D117=""),"Missing shares or date",IF(OR(C117&lt;0,C117&lt;&gt;INT(C117)),"Shares must be a whole number",IF(COUNTIFS($A$4:$A$2503,A117,$B$4:$B$2503,B117,$D$4:$D$2503,D117)&gt;1,"Duplicate row (same date)","OK"))))))</f>
        <v/>
      </c>
    </row>
    <row r="118">
      <c r="A118" s="26" t="n"/>
      <c r="B118" s="26" t="n"/>
      <c r="C118" s="34" t="n"/>
      <c r="D118" s="28" t="n"/>
      <c r="E118" s="26" t="n"/>
      <c r="F118" s="26" t="n"/>
      <c r="G118" s="26" t="n"/>
      <c r="H118" s="38" t="n"/>
      <c r="I118" s="28" t="n"/>
      <c r="J118" s="30">
        <f>IF(B118="","",IFERROR(INDEX('Share classes'!$A$4:$A$203,MATCH(B118,'Share classes'!$B$4:$B$203,0)),""))</f>
        <v/>
      </c>
      <c r="K118" s="30">
        <f>IF(A118="","",IFERROR(INDEX('Holders'!$B$4:$B$1003,MATCH(A118,'Holders'!$A$4:$A$1003,0)),""))</f>
        <v/>
      </c>
      <c r="L118" s="30">
        <f>IF(OR(A118="",B118="",D118=""),"",IF(D118=_xlfn.MAXIFS($D$4:$D$2503,$A$4:$A$2503,A118,$B$4:$B$2503,B118),"Yes","No"))</f>
        <v/>
      </c>
      <c r="M118" s="30">
        <f>IF(B118="","",IFERROR(INDEX('Share classes'!$F$4:$F$203,MATCH(B118,'Share classes'!$B$4:$B$203,0)),""))</f>
        <v/>
      </c>
      <c r="N118" s="30">
        <f>IF(A118="","",IF(K118="","Unknown holder ID",IF(J118="","Unknown class code",IF(OR(C118="",D118=""),"Missing shares or date",IF(OR(C118&lt;0,C118&lt;&gt;INT(C118)),"Shares must be a whole number",IF(COUNTIFS($A$4:$A$2503,A118,$B$4:$B$2503,B118,$D$4:$D$2503,D118)&gt;1,"Duplicate row (same date)","OK"))))))</f>
        <v/>
      </c>
    </row>
    <row r="119">
      <c r="A119" s="26" t="n"/>
      <c r="B119" s="26" t="n"/>
      <c r="C119" s="34" t="n"/>
      <c r="D119" s="28" t="n"/>
      <c r="E119" s="26" t="n"/>
      <c r="F119" s="26" t="n"/>
      <c r="G119" s="26" t="n"/>
      <c r="H119" s="38" t="n"/>
      <c r="I119" s="28" t="n"/>
      <c r="J119" s="30">
        <f>IF(B119="","",IFERROR(INDEX('Share classes'!$A$4:$A$203,MATCH(B119,'Share classes'!$B$4:$B$203,0)),""))</f>
        <v/>
      </c>
      <c r="K119" s="30">
        <f>IF(A119="","",IFERROR(INDEX('Holders'!$B$4:$B$1003,MATCH(A119,'Holders'!$A$4:$A$1003,0)),""))</f>
        <v/>
      </c>
      <c r="L119" s="30">
        <f>IF(OR(A119="",B119="",D119=""),"",IF(D119=_xlfn.MAXIFS($D$4:$D$2503,$A$4:$A$2503,A119,$B$4:$B$2503,B119),"Yes","No"))</f>
        <v/>
      </c>
      <c r="M119" s="30">
        <f>IF(B119="","",IFERROR(INDEX('Share classes'!$F$4:$F$203,MATCH(B119,'Share classes'!$B$4:$B$203,0)),""))</f>
        <v/>
      </c>
      <c r="N119" s="30">
        <f>IF(A119="","",IF(K119="","Unknown holder ID",IF(J119="","Unknown class code",IF(OR(C119="",D119=""),"Missing shares or date",IF(OR(C119&lt;0,C119&lt;&gt;INT(C119)),"Shares must be a whole number",IF(COUNTIFS($A$4:$A$2503,A119,$B$4:$B$2503,B119,$D$4:$D$2503,D119)&gt;1,"Duplicate row (same date)","OK"))))))</f>
        <v/>
      </c>
    </row>
    <row r="120">
      <c r="A120" s="26" t="n"/>
      <c r="B120" s="26" t="n"/>
      <c r="C120" s="34" t="n"/>
      <c r="D120" s="28" t="n"/>
      <c r="E120" s="26" t="n"/>
      <c r="F120" s="26" t="n"/>
      <c r="G120" s="26" t="n"/>
      <c r="H120" s="38" t="n"/>
      <c r="I120" s="28" t="n"/>
      <c r="J120" s="30">
        <f>IF(B120="","",IFERROR(INDEX('Share classes'!$A$4:$A$203,MATCH(B120,'Share classes'!$B$4:$B$203,0)),""))</f>
        <v/>
      </c>
      <c r="K120" s="30">
        <f>IF(A120="","",IFERROR(INDEX('Holders'!$B$4:$B$1003,MATCH(A120,'Holders'!$A$4:$A$1003,0)),""))</f>
        <v/>
      </c>
      <c r="L120" s="30">
        <f>IF(OR(A120="",B120="",D120=""),"",IF(D120=_xlfn.MAXIFS($D$4:$D$2503,$A$4:$A$2503,A120,$B$4:$B$2503,B120),"Yes","No"))</f>
        <v/>
      </c>
      <c r="M120" s="30">
        <f>IF(B120="","",IFERROR(INDEX('Share classes'!$F$4:$F$203,MATCH(B120,'Share classes'!$B$4:$B$203,0)),""))</f>
        <v/>
      </c>
      <c r="N120" s="30">
        <f>IF(A120="","",IF(K120="","Unknown holder ID",IF(J120="","Unknown class code",IF(OR(C120="",D120=""),"Missing shares or date",IF(OR(C120&lt;0,C120&lt;&gt;INT(C120)),"Shares must be a whole number",IF(COUNTIFS($A$4:$A$2503,A120,$B$4:$B$2503,B120,$D$4:$D$2503,D120)&gt;1,"Duplicate row (same date)","OK"))))))</f>
        <v/>
      </c>
    </row>
    <row r="121">
      <c r="A121" s="26" t="n"/>
      <c r="B121" s="26" t="n"/>
      <c r="C121" s="34" t="n"/>
      <c r="D121" s="28" t="n"/>
      <c r="E121" s="26" t="n"/>
      <c r="F121" s="26" t="n"/>
      <c r="G121" s="26" t="n"/>
      <c r="H121" s="38" t="n"/>
      <c r="I121" s="28" t="n"/>
      <c r="J121" s="30">
        <f>IF(B121="","",IFERROR(INDEX('Share classes'!$A$4:$A$203,MATCH(B121,'Share classes'!$B$4:$B$203,0)),""))</f>
        <v/>
      </c>
      <c r="K121" s="30">
        <f>IF(A121="","",IFERROR(INDEX('Holders'!$B$4:$B$1003,MATCH(A121,'Holders'!$A$4:$A$1003,0)),""))</f>
        <v/>
      </c>
      <c r="L121" s="30">
        <f>IF(OR(A121="",B121="",D121=""),"",IF(D121=_xlfn.MAXIFS($D$4:$D$2503,$A$4:$A$2503,A121,$B$4:$B$2503,B121),"Yes","No"))</f>
        <v/>
      </c>
      <c r="M121" s="30">
        <f>IF(B121="","",IFERROR(INDEX('Share classes'!$F$4:$F$203,MATCH(B121,'Share classes'!$B$4:$B$203,0)),""))</f>
        <v/>
      </c>
      <c r="N121" s="30">
        <f>IF(A121="","",IF(K121="","Unknown holder ID",IF(J121="","Unknown class code",IF(OR(C121="",D121=""),"Missing shares or date",IF(OR(C121&lt;0,C121&lt;&gt;INT(C121)),"Shares must be a whole number",IF(COUNTIFS($A$4:$A$2503,A121,$B$4:$B$2503,B121,$D$4:$D$2503,D121)&gt;1,"Duplicate row (same date)","OK"))))))</f>
        <v/>
      </c>
    </row>
    <row r="122">
      <c r="A122" s="26" t="n"/>
      <c r="B122" s="26" t="n"/>
      <c r="C122" s="34" t="n"/>
      <c r="D122" s="28" t="n"/>
      <c r="E122" s="26" t="n"/>
      <c r="F122" s="26" t="n"/>
      <c r="G122" s="26" t="n"/>
      <c r="H122" s="38" t="n"/>
      <c r="I122" s="28" t="n"/>
      <c r="J122" s="30">
        <f>IF(B122="","",IFERROR(INDEX('Share classes'!$A$4:$A$203,MATCH(B122,'Share classes'!$B$4:$B$203,0)),""))</f>
        <v/>
      </c>
      <c r="K122" s="30">
        <f>IF(A122="","",IFERROR(INDEX('Holders'!$B$4:$B$1003,MATCH(A122,'Holders'!$A$4:$A$1003,0)),""))</f>
        <v/>
      </c>
      <c r="L122" s="30">
        <f>IF(OR(A122="",B122="",D122=""),"",IF(D122=_xlfn.MAXIFS($D$4:$D$2503,$A$4:$A$2503,A122,$B$4:$B$2503,B122),"Yes","No"))</f>
        <v/>
      </c>
      <c r="M122" s="30">
        <f>IF(B122="","",IFERROR(INDEX('Share classes'!$F$4:$F$203,MATCH(B122,'Share classes'!$B$4:$B$203,0)),""))</f>
        <v/>
      </c>
      <c r="N122" s="30">
        <f>IF(A122="","",IF(K122="","Unknown holder ID",IF(J122="","Unknown class code",IF(OR(C122="",D122=""),"Missing shares or date",IF(OR(C122&lt;0,C122&lt;&gt;INT(C122)),"Shares must be a whole number",IF(COUNTIFS($A$4:$A$2503,A122,$B$4:$B$2503,B122,$D$4:$D$2503,D122)&gt;1,"Duplicate row (same date)","OK"))))))</f>
        <v/>
      </c>
    </row>
    <row r="123">
      <c r="A123" s="26" t="n"/>
      <c r="B123" s="26" t="n"/>
      <c r="C123" s="34" t="n"/>
      <c r="D123" s="28" t="n"/>
      <c r="E123" s="26" t="n"/>
      <c r="F123" s="26" t="n"/>
      <c r="G123" s="26" t="n"/>
      <c r="H123" s="38" t="n"/>
      <c r="I123" s="28" t="n"/>
      <c r="J123" s="30">
        <f>IF(B123="","",IFERROR(INDEX('Share classes'!$A$4:$A$203,MATCH(B123,'Share classes'!$B$4:$B$203,0)),""))</f>
        <v/>
      </c>
      <c r="K123" s="30">
        <f>IF(A123="","",IFERROR(INDEX('Holders'!$B$4:$B$1003,MATCH(A123,'Holders'!$A$4:$A$1003,0)),""))</f>
        <v/>
      </c>
      <c r="L123" s="30">
        <f>IF(OR(A123="",B123="",D123=""),"",IF(D123=_xlfn.MAXIFS($D$4:$D$2503,$A$4:$A$2503,A123,$B$4:$B$2503,B123),"Yes","No"))</f>
        <v/>
      </c>
      <c r="M123" s="30">
        <f>IF(B123="","",IFERROR(INDEX('Share classes'!$F$4:$F$203,MATCH(B123,'Share classes'!$B$4:$B$203,0)),""))</f>
        <v/>
      </c>
      <c r="N123" s="30">
        <f>IF(A123="","",IF(K123="","Unknown holder ID",IF(J123="","Unknown class code",IF(OR(C123="",D123=""),"Missing shares or date",IF(OR(C123&lt;0,C123&lt;&gt;INT(C123)),"Shares must be a whole number",IF(COUNTIFS($A$4:$A$2503,A123,$B$4:$B$2503,B123,$D$4:$D$2503,D123)&gt;1,"Duplicate row (same date)","OK"))))))</f>
        <v/>
      </c>
    </row>
    <row r="124">
      <c r="A124" s="26" t="n"/>
      <c r="B124" s="26" t="n"/>
      <c r="C124" s="34" t="n"/>
      <c r="D124" s="28" t="n"/>
      <c r="E124" s="26" t="n"/>
      <c r="F124" s="26" t="n"/>
      <c r="G124" s="26" t="n"/>
      <c r="H124" s="38" t="n"/>
      <c r="I124" s="28" t="n"/>
      <c r="J124" s="30">
        <f>IF(B124="","",IFERROR(INDEX('Share classes'!$A$4:$A$203,MATCH(B124,'Share classes'!$B$4:$B$203,0)),""))</f>
        <v/>
      </c>
      <c r="K124" s="30">
        <f>IF(A124="","",IFERROR(INDEX('Holders'!$B$4:$B$1003,MATCH(A124,'Holders'!$A$4:$A$1003,0)),""))</f>
        <v/>
      </c>
      <c r="L124" s="30">
        <f>IF(OR(A124="",B124="",D124=""),"",IF(D124=_xlfn.MAXIFS($D$4:$D$2503,$A$4:$A$2503,A124,$B$4:$B$2503,B124),"Yes","No"))</f>
        <v/>
      </c>
      <c r="M124" s="30">
        <f>IF(B124="","",IFERROR(INDEX('Share classes'!$F$4:$F$203,MATCH(B124,'Share classes'!$B$4:$B$203,0)),""))</f>
        <v/>
      </c>
      <c r="N124" s="30">
        <f>IF(A124="","",IF(K124="","Unknown holder ID",IF(J124="","Unknown class code",IF(OR(C124="",D124=""),"Missing shares or date",IF(OR(C124&lt;0,C124&lt;&gt;INT(C124)),"Shares must be a whole number",IF(COUNTIFS($A$4:$A$2503,A124,$B$4:$B$2503,B124,$D$4:$D$2503,D124)&gt;1,"Duplicate row (same date)","OK"))))))</f>
        <v/>
      </c>
    </row>
    <row r="125">
      <c r="A125" s="26" t="n"/>
      <c r="B125" s="26" t="n"/>
      <c r="C125" s="34" t="n"/>
      <c r="D125" s="28" t="n"/>
      <c r="E125" s="26" t="n"/>
      <c r="F125" s="26" t="n"/>
      <c r="G125" s="26" t="n"/>
      <c r="H125" s="38" t="n"/>
      <c r="I125" s="28" t="n"/>
      <c r="J125" s="30">
        <f>IF(B125="","",IFERROR(INDEX('Share classes'!$A$4:$A$203,MATCH(B125,'Share classes'!$B$4:$B$203,0)),""))</f>
        <v/>
      </c>
      <c r="K125" s="30">
        <f>IF(A125="","",IFERROR(INDEX('Holders'!$B$4:$B$1003,MATCH(A125,'Holders'!$A$4:$A$1003,0)),""))</f>
        <v/>
      </c>
      <c r="L125" s="30">
        <f>IF(OR(A125="",B125="",D125=""),"",IF(D125=_xlfn.MAXIFS($D$4:$D$2503,$A$4:$A$2503,A125,$B$4:$B$2503,B125),"Yes","No"))</f>
        <v/>
      </c>
      <c r="M125" s="30">
        <f>IF(B125="","",IFERROR(INDEX('Share classes'!$F$4:$F$203,MATCH(B125,'Share classes'!$B$4:$B$203,0)),""))</f>
        <v/>
      </c>
      <c r="N125" s="30">
        <f>IF(A125="","",IF(K125="","Unknown holder ID",IF(J125="","Unknown class code",IF(OR(C125="",D125=""),"Missing shares or date",IF(OR(C125&lt;0,C125&lt;&gt;INT(C125)),"Shares must be a whole number",IF(COUNTIFS($A$4:$A$2503,A125,$B$4:$B$2503,B125,$D$4:$D$2503,D125)&gt;1,"Duplicate row (same date)","OK"))))))</f>
        <v/>
      </c>
    </row>
    <row r="126">
      <c r="A126" s="26" t="n"/>
      <c r="B126" s="26" t="n"/>
      <c r="C126" s="34" t="n"/>
      <c r="D126" s="28" t="n"/>
      <c r="E126" s="26" t="n"/>
      <c r="F126" s="26" t="n"/>
      <c r="G126" s="26" t="n"/>
      <c r="H126" s="38" t="n"/>
      <c r="I126" s="28" t="n"/>
      <c r="J126" s="30">
        <f>IF(B126="","",IFERROR(INDEX('Share classes'!$A$4:$A$203,MATCH(B126,'Share classes'!$B$4:$B$203,0)),""))</f>
        <v/>
      </c>
      <c r="K126" s="30">
        <f>IF(A126="","",IFERROR(INDEX('Holders'!$B$4:$B$1003,MATCH(A126,'Holders'!$A$4:$A$1003,0)),""))</f>
        <v/>
      </c>
      <c r="L126" s="30">
        <f>IF(OR(A126="",B126="",D126=""),"",IF(D126=_xlfn.MAXIFS($D$4:$D$2503,$A$4:$A$2503,A126,$B$4:$B$2503,B126),"Yes","No"))</f>
        <v/>
      </c>
      <c r="M126" s="30">
        <f>IF(B126="","",IFERROR(INDEX('Share classes'!$F$4:$F$203,MATCH(B126,'Share classes'!$B$4:$B$203,0)),""))</f>
        <v/>
      </c>
      <c r="N126" s="30">
        <f>IF(A126="","",IF(K126="","Unknown holder ID",IF(J126="","Unknown class code",IF(OR(C126="",D126=""),"Missing shares or date",IF(OR(C126&lt;0,C126&lt;&gt;INT(C126)),"Shares must be a whole number",IF(COUNTIFS($A$4:$A$2503,A126,$B$4:$B$2503,B126,$D$4:$D$2503,D126)&gt;1,"Duplicate row (same date)","OK"))))))</f>
        <v/>
      </c>
    </row>
    <row r="127">
      <c r="A127" s="26" t="n"/>
      <c r="B127" s="26" t="n"/>
      <c r="C127" s="34" t="n"/>
      <c r="D127" s="28" t="n"/>
      <c r="E127" s="26" t="n"/>
      <c r="F127" s="26" t="n"/>
      <c r="G127" s="26" t="n"/>
      <c r="H127" s="38" t="n"/>
      <c r="I127" s="28" t="n"/>
      <c r="J127" s="30">
        <f>IF(B127="","",IFERROR(INDEX('Share classes'!$A$4:$A$203,MATCH(B127,'Share classes'!$B$4:$B$203,0)),""))</f>
        <v/>
      </c>
      <c r="K127" s="30">
        <f>IF(A127="","",IFERROR(INDEX('Holders'!$B$4:$B$1003,MATCH(A127,'Holders'!$A$4:$A$1003,0)),""))</f>
        <v/>
      </c>
      <c r="L127" s="30">
        <f>IF(OR(A127="",B127="",D127=""),"",IF(D127=_xlfn.MAXIFS($D$4:$D$2503,$A$4:$A$2503,A127,$B$4:$B$2503,B127),"Yes","No"))</f>
        <v/>
      </c>
      <c r="M127" s="30">
        <f>IF(B127="","",IFERROR(INDEX('Share classes'!$F$4:$F$203,MATCH(B127,'Share classes'!$B$4:$B$203,0)),""))</f>
        <v/>
      </c>
      <c r="N127" s="30">
        <f>IF(A127="","",IF(K127="","Unknown holder ID",IF(J127="","Unknown class code",IF(OR(C127="",D127=""),"Missing shares or date",IF(OR(C127&lt;0,C127&lt;&gt;INT(C127)),"Shares must be a whole number",IF(COUNTIFS($A$4:$A$2503,A127,$B$4:$B$2503,B127,$D$4:$D$2503,D127)&gt;1,"Duplicate row (same date)","OK"))))))</f>
        <v/>
      </c>
    </row>
    <row r="128">
      <c r="A128" s="26" t="n"/>
      <c r="B128" s="26" t="n"/>
      <c r="C128" s="34" t="n"/>
      <c r="D128" s="28" t="n"/>
      <c r="E128" s="26" t="n"/>
      <c r="F128" s="26" t="n"/>
      <c r="G128" s="26" t="n"/>
      <c r="H128" s="38" t="n"/>
      <c r="I128" s="28" t="n"/>
      <c r="J128" s="30">
        <f>IF(B128="","",IFERROR(INDEX('Share classes'!$A$4:$A$203,MATCH(B128,'Share classes'!$B$4:$B$203,0)),""))</f>
        <v/>
      </c>
      <c r="K128" s="30">
        <f>IF(A128="","",IFERROR(INDEX('Holders'!$B$4:$B$1003,MATCH(A128,'Holders'!$A$4:$A$1003,0)),""))</f>
        <v/>
      </c>
      <c r="L128" s="30">
        <f>IF(OR(A128="",B128="",D128=""),"",IF(D128=_xlfn.MAXIFS($D$4:$D$2503,$A$4:$A$2503,A128,$B$4:$B$2503,B128),"Yes","No"))</f>
        <v/>
      </c>
      <c r="M128" s="30">
        <f>IF(B128="","",IFERROR(INDEX('Share classes'!$F$4:$F$203,MATCH(B128,'Share classes'!$B$4:$B$203,0)),""))</f>
        <v/>
      </c>
      <c r="N128" s="30">
        <f>IF(A128="","",IF(K128="","Unknown holder ID",IF(J128="","Unknown class code",IF(OR(C128="",D128=""),"Missing shares or date",IF(OR(C128&lt;0,C128&lt;&gt;INT(C128)),"Shares must be a whole number",IF(COUNTIFS($A$4:$A$2503,A128,$B$4:$B$2503,B128,$D$4:$D$2503,D128)&gt;1,"Duplicate row (same date)","OK"))))))</f>
        <v/>
      </c>
    </row>
    <row r="129">
      <c r="A129" s="26" t="n"/>
      <c r="B129" s="26" t="n"/>
      <c r="C129" s="34" t="n"/>
      <c r="D129" s="28" t="n"/>
      <c r="E129" s="26" t="n"/>
      <c r="F129" s="26" t="n"/>
      <c r="G129" s="26" t="n"/>
      <c r="H129" s="38" t="n"/>
      <c r="I129" s="28" t="n"/>
      <c r="J129" s="30">
        <f>IF(B129="","",IFERROR(INDEX('Share classes'!$A$4:$A$203,MATCH(B129,'Share classes'!$B$4:$B$203,0)),""))</f>
        <v/>
      </c>
      <c r="K129" s="30">
        <f>IF(A129="","",IFERROR(INDEX('Holders'!$B$4:$B$1003,MATCH(A129,'Holders'!$A$4:$A$1003,0)),""))</f>
        <v/>
      </c>
      <c r="L129" s="30">
        <f>IF(OR(A129="",B129="",D129=""),"",IF(D129=_xlfn.MAXIFS($D$4:$D$2503,$A$4:$A$2503,A129,$B$4:$B$2503,B129),"Yes","No"))</f>
        <v/>
      </c>
      <c r="M129" s="30">
        <f>IF(B129="","",IFERROR(INDEX('Share classes'!$F$4:$F$203,MATCH(B129,'Share classes'!$B$4:$B$203,0)),""))</f>
        <v/>
      </c>
      <c r="N129" s="30">
        <f>IF(A129="","",IF(K129="","Unknown holder ID",IF(J129="","Unknown class code",IF(OR(C129="",D129=""),"Missing shares or date",IF(OR(C129&lt;0,C129&lt;&gt;INT(C129)),"Shares must be a whole number",IF(COUNTIFS($A$4:$A$2503,A129,$B$4:$B$2503,B129,$D$4:$D$2503,D129)&gt;1,"Duplicate row (same date)","OK"))))))</f>
        <v/>
      </c>
    </row>
    <row r="130">
      <c r="A130" s="26" t="n"/>
      <c r="B130" s="26" t="n"/>
      <c r="C130" s="34" t="n"/>
      <c r="D130" s="28" t="n"/>
      <c r="E130" s="26" t="n"/>
      <c r="F130" s="26" t="n"/>
      <c r="G130" s="26" t="n"/>
      <c r="H130" s="38" t="n"/>
      <c r="I130" s="28" t="n"/>
      <c r="J130" s="30">
        <f>IF(B130="","",IFERROR(INDEX('Share classes'!$A$4:$A$203,MATCH(B130,'Share classes'!$B$4:$B$203,0)),""))</f>
        <v/>
      </c>
      <c r="K130" s="30">
        <f>IF(A130="","",IFERROR(INDEX('Holders'!$B$4:$B$1003,MATCH(A130,'Holders'!$A$4:$A$1003,0)),""))</f>
        <v/>
      </c>
      <c r="L130" s="30">
        <f>IF(OR(A130="",B130="",D130=""),"",IF(D130=_xlfn.MAXIFS($D$4:$D$2503,$A$4:$A$2503,A130,$B$4:$B$2503,B130),"Yes","No"))</f>
        <v/>
      </c>
      <c r="M130" s="30">
        <f>IF(B130="","",IFERROR(INDEX('Share classes'!$F$4:$F$203,MATCH(B130,'Share classes'!$B$4:$B$203,0)),""))</f>
        <v/>
      </c>
      <c r="N130" s="30">
        <f>IF(A130="","",IF(K130="","Unknown holder ID",IF(J130="","Unknown class code",IF(OR(C130="",D130=""),"Missing shares or date",IF(OR(C130&lt;0,C130&lt;&gt;INT(C130)),"Shares must be a whole number",IF(COUNTIFS($A$4:$A$2503,A130,$B$4:$B$2503,B130,$D$4:$D$2503,D130)&gt;1,"Duplicate row (same date)","OK"))))))</f>
        <v/>
      </c>
    </row>
    <row r="131">
      <c r="A131" s="26" t="n"/>
      <c r="B131" s="26" t="n"/>
      <c r="C131" s="34" t="n"/>
      <c r="D131" s="28" t="n"/>
      <c r="E131" s="26" t="n"/>
      <c r="F131" s="26" t="n"/>
      <c r="G131" s="26" t="n"/>
      <c r="H131" s="38" t="n"/>
      <c r="I131" s="28" t="n"/>
      <c r="J131" s="30">
        <f>IF(B131="","",IFERROR(INDEX('Share classes'!$A$4:$A$203,MATCH(B131,'Share classes'!$B$4:$B$203,0)),""))</f>
        <v/>
      </c>
      <c r="K131" s="30">
        <f>IF(A131="","",IFERROR(INDEX('Holders'!$B$4:$B$1003,MATCH(A131,'Holders'!$A$4:$A$1003,0)),""))</f>
        <v/>
      </c>
      <c r="L131" s="30">
        <f>IF(OR(A131="",B131="",D131=""),"",IF(D131=_xlfn.MAXIFS($D$4:$D$2503,$A$4:$A$2503,A131,$B$4:$B$2503,B131),"Yes","No"))</f>
        <v/>
      </c>
      <c r="M131" s="30">
        <f>IF(B131="","",IFERROR(INDEX('Share classes'!$F$4:$F$203,MATCH(B131,'Share classes'!$B$4:$B$203,0)),""))</f>
        <v/>
      </c>
      <c r="N131" s="30">
        <f>IF(A131="","",IF(K131="","Unknown holder ID",IF(J131="","Unknown class code",IF(OR(C131="",D131=""),"Missing shares or date",IF(OR(C131&lt;0,C131&lt;&gt;INT(C131)),"Shares must be a whole number",IF(COUNTIFS($A$4:$A$2503,A131,$B$4:$B$2503,B131,$D$4:$D$2503,D131)&gt;1,"Duplicate row (same date)","OK"))))))</f>
        <v/>
      </c>
    </row>
    <row r="132">
      <c r="A132" s="26" t="n"/>
      <c r="B132" s="26" t="n"/>
      <c r="C132" s="34" t="n"/>
      <c r="D132" s="28" t="n"/>
      <c r="E132" s="26" t="n"/>
      <c r="F132" s="26" t="n"/>
      <c r="G132" s="26" t="n"/>
      <c r="H132" s="38" t="n"/>
      <c r="I132" s="28" t="n"/>
      <c r="J132" s="30">
        <f>IF(B132="","",IFERROR(INDEX('Share classes'!$A$4:$A$203,MATCH(B132,'Share classes'!$B$4:$B$203,0)),""))</f>
        <v/>
      </c>
      <c r="K132" s="30">
        <f>IF(A132="","",IFERROR(INDEX('Holders'!$B$4:$B$1003,MATCH(A132,'Holders'!$A$4:$A$1003,0)),""))</f>
        <v/>
      </c>
      <c r="L132" s="30">
        <f>IF(OR(A132="",B132="",D132=""),"",IF(D132=_xlfn.MAXIFS($D$4:$D$2503,$A$4:$A$2503,A132,$B$4:$B$2503,B132),"Yes","No"))</f>
        <v/>
      </c>
      <c r="M132" s="30">
        <f>IF(B132="","",IFERROR(INDEX('Share classes'!$F$4:$F$203,MATCH(B132,'Share classes'!$B$4:$B$203,0)),""))</f>
        <v/>
      </c>
      <c r="N132" s="30">
        <f>IF(A132="","",IF(K132="","Unknown holder ID",IF(J132="","Unknown class code",IF(OR(C132="",D132=""),"Missing shares or date",IF(OR(C132&lt;0,C132&lt;&gt;INT(C132)),"Shares must be a whole number",IF(COUNTIFS($A$4:$A$2503,A132,$B$4:$B$2503,B132,$D$4:$D$2503,D132)&gt;1,"Duplicate row (same date)","OK"))))))</f>
        <v/>
      </c>
    </row>
    <row r="133">
      <c r="A133" s="26" t="n"/>
      <c r="B133" s="26" t="n"/>
      <c r="C133" s="34" t="n"/>
      <c r="D133" s="28" t="n"/>
      <c r="E133" s="26" t="n"/>
      <c r="F133" s="26" t="n"/>
      <c r="G133" s="26" t="n"/>
      <c r="H133" s="38" t="n"/>
      <c r="I133" s="28" t="n"/>
      <c r="J133" s="30">
        <f>IF(B133="","",IFERROR(INDEX('Share classes'!$A$4:$A$203,MATCH(B133,'Share classes'!$B$4:$B$203,0)),""))</f>
        <v/>
      </c>
      <c r="K133" s="30">
        <f>IF(A133="","",IFERROR(INDEX('Holders'!$B$4:$B$1003,MATCH(A133,'Holders'!$A$4:$A$1003,0)),""))</f>
        <v/>
      </c>
      <c r="L133" s="30">
        <f>IF(OR(A133="",B133="",D133=""),"",IF(D133=_xlfn.MAXIFS($D$4:$D$2503,$A$4:$A$2503,A133,$B$4:$B$2503,B133),"Yes","No"))</f>
        <v/>
      </c>
      <c r="M133" s="30">
        <f>IF(B133="","",IFERROR(INDEX('Share classes'!$F$4:$F$203,MATCH(B133,'Share classes'!$B$4:$B$203,0)),""))</f>
        <v/>
      </c>
      <c r="N133" s="30">
        <f>IF(A133="","",IF(K133="","Unknown holder ID",IF(J133="","Unknown class code",IF(OR(C133="",D133=""),"Missing shares or date",IF(OR(C133&lt;0,C133&lt;&gt;INT(C133)),"Shares must be a whole number",IF(COUNTIFS($A$4:$A$2503,A133,$B$4:$B$2503,B133,$D$4:$D$2503,D133)&gt;1,"Duplicate row (same date)","OK"))))))</f>
        <v/>
      </c>
    </row>
    <row r="134">
      <c r="A134" s="26" t="n"/>
      <c r="B134" s="26" t="n"/>
      <c r="C134" s="34" t="n"/>
      <c r="D134" s="28" t="n"/>
      <c r="E134" s="26" t="n"/>
      <c r="F134" s="26" t="n"/>
      <c r="G134" s="26" t="n"/>
      <c r="H134" s="38" t="n"/>
      <c r="I134" s="28" t="n"/>
      <c r="J134" s="30">
        <f>IF(B134="","",IFERROR(INDEX('Share classes'!$A$4:$A$203,MATCH(B134,'Share classes'!$B$4:$B$203,0)),""))</f>
        <v/>
      </c>
      <c r="K134" s="30">
        <f>IF(A134="","",IFERROR(INDEX('Holders'!$B$4:$B$1003,MATCH(A134,'Holders'!$A$4:$A$1003,0)),""))</f>
        <v/>
      </c>
      <c r="L134" s="30">
        <f>IF(OR(A134="",B134="",D134=""),"",IF(D134=_xlfn.MAXIFS($D$4:$D$2503,$A$4:$A$2503,A134,$B$4:$B$2503,B134),"Yes","No"))</f>
        <v/>
      </c>
      <c r="M134" s="30">
        <f>IF(B134="","",IFERROR(INDEX('Share classes'!$F$4:$F$203,MATCH(B134,'Share classes'!$B$4:$B$203,0)),""))</f>
        <v/>
      </c>
      <c r="N134" s="30">
        <f>IF(A134="","",IF(K134="","Unknown holder ID",IF(J134="","Unknown class code",IF(OR(C134="",D134=""),"Missing shares or date",IF(OR(C134&lt;0,C134&lt;&gt;INT(C134)),"Shares must be a whole number",IF(COUNTIFS($A$4:$A$2503,A134,$B$4:$B$2503,B134,$D$4:$D$2503,D134)&gt;1,"Duplicate row (same date)","OK"))))))</f>
        <v/>
      </c>
    </row>
    <row r="135">
      <c r="A135" s="26" t="n"/>
      <c r="B135" s="26" t="n"/>
      <c r="C135" s="34" t="n"/>
      <c r="D135" s="28" t="n"/>
      <c r="E135" s="26" t="n"/>
      <c r="F135" s="26" t="n"/>
      <c r="G135" s="26" t="n"/>
      <c r="H135" s="38" t="n"/>
      <c r="I135" s="28" t="n"/>
      <c r="J135" s="30">
        <f>IF(B135="","",IFERROR(INDEX('Share classes'!$A$4:$A$203,MATCH(B135,'Share classes'!$B$4:$B$203,0)),""))</f>
        <v/>
      </c>
      <c r="K135" s="30">
        <f>IF(A135="","",IFERROR(INDEX('Holders'!$B$4:$B$1003,MATCH(A135,'Holders'!$A$4:$A$1003,0)),""))</f>
        <v/>
      </c>
      <c r="L135" s="30">
        <f>IF(OR(A135="",B135="",D135=""),"",IF(D135=_xlfn.MAXIFS($D$4:$D$2503,$A$4:$A$2503,A135,$B$4:$B$2503,B135),"Yes","No"))</f>
        <v/>
      </c>
      <c r="M135" s="30">
        <f>IF(B135="","",IFERROR(INDEX('Share classes'!$F$4:$F$203,MATCH(B135,'Share classes'!$B$4:$B$203,0)),""))</f>
        <v/>
      </c>
      <c r="N135" s="30">
        <f>IF(A135="","",IF(K135="","Unknown holder ID",IF(J135="","Unknown class code",IF(OR(C135="",D135=""),"Missing shares or date",IF(OR(C135&lt;0,C135&lt;&gt;INT(C135)),"Shares must be a whole number",IF(COUNTIFS($A$4:$A$2503,A135,$B$4:$B$2503,B135,$D$4:$D$2503,D135)&gt;1,"Duplicate row (same date)","OK"))))))</f>
        <v/>
      </c>
    </row>
    <row r="136">
      <c r="A136" s="26" t="n"/>
      <c r="B136" s="26" t="n"/>
      <c r="C136" s="34" t="n"/>
      <c r="D136" s="28" t="n"/>
      <c r="E136" s="26" t="n"/>
      <c r="F136" s="26" t="n"/>
      <c r="G136" s="26" t="n"/>
      <c r="H136" s="38" t="n"/>
      <c r="I136" s="28" t="n"/>
      <c r="J136" s="30">
        <f>IF(B136="","",IFERROR(INDEX('Share classes'!$A$4:$A$203,MATCH(B136,'Share classes'!$B$4:$B$203,0)),""))</f>
        <v/>
      </c>
      <c r="K136" s="30">
        <f>IF(A136="","",IFERROR(INDEX('Holders'!$B$4:$B$1003,MATCH(A136,'Holders'!$A$4:$A$1003,0)),""))</f>
        <v/>
      </c>
      <c r="L136" s="30">
        <f>IF(OR(A136="",B136="",D136=""),"",IF(D136=_xlfn.MAXIFS($D$4:$D$2503,$A$4:$A$2503,A136,$B$4:$B$2503,B136),"Yes","No"))</f>
        <v/>
      </c>
      <c r="M136" s="30">
        <f>IF(B136="","",IFERROR(INDEX('Share classes'!$F$4:$F$203,MATCH(B136,'Share classes'!$B$4:$B$203,0)),""))</f>
        <v/>
      </c>
      <c r="N136" s="30">
        <f>IF(A136="","",IF(K136="","Unknown holder ID",IF(J136="","Unknown class code",IF(OR(C136="",D136=""),"Missing shares or date",IF(OR(C136&lt;0,C136&lt;&gt;INT(C136)),"Shares must be a whole number",IF(COUNTIFS($A$4:$A$2503,A136,$B$4:$B$2503,B136,$D$4:$D$2503,D136)&gt;1,"Duplicate row (same date)","OK"))))))</f>
        <v/>
      </c>
    </row>
    <row r="137">
      <c r="A137" s="26" t="n"/>
      <c r="B137" s="26" t="n"/>
      <c r="C137" s="34" t="n"/>
      <c r="D137" s="28" t="n"/>
      <c r="E137" s="26" t="n"/>
      <c r="F137" s="26" t="n"/>
      <c r="G137" s="26" t="n"/>
      <c r="H137" s="38" t="n"/>
      <c r="I137" s="28" t="n"/>
      <c r="J137" s="30">
        <f>IF(B137="","",IFERROR(INDEX('Share classes'!$A$4:$A$203,MATCH(B137,'Share classes'!$B$4:$B$203,0)),""))</f>
        <v/>
      </c>
      <c r="K137" s="30">
        <f>IF(A137="","",IFERROR(INDEX('Holders'!$B$4:$B$1003,MATCH(A137,'Holders'!$A$4:$A$1003,0)),""))</f>
        <v/>
      </c>
      <c r="L137" s="30">
        <f>IF(OR(A137="",B137="",D137=""),"",IF(D137=_xlfn.MAXIFS($D$4:$D$2503,$A$4:$A$2503,A137,$B$4:$B$2503,B137),"Yes","No"))</f>
        <v/>
      </c>
      <c r="M137" s="30">
        <f>IF(B137="","",IFERROR(INDEX('Share classes'!$F$4:$F$203,MATCH(B137,'Share classes'!$B$4:$B$203,0)),""))</f>
        <v/>
      </c>
      <c r="N137" s="30">
        <f>IF(A137="","",IF(K137="","Unknown holder ID",IF(J137="","Unknown class code",IF(OR(C137="",D137=""),"Missing shares or date",IF(OR(C137&lt;0,C137&lt;&gt;INT(C137)),"Shares must be a whole number",IF(COUNTIFS($A$4:$A$2503,A137,$B$4:$B$2503,B137,$D$4:$D$2503,D137)&gt;1,"Duplicate row (same date)","OK"))))))</f>
        <v/>
      </c>
    </row>
    <row r="138">
      <c r="A138" s="26" t="n"/>
      <c r="B138" s="26" t="n"/>
      <c r="C138" s="34" t="n"/>
      <c r="D138" s="28" t="n"/>
      <c r="E138" s="26" t="n"/>
      <c r="F138" s="26" t="n"/>
      <c r="G138" s="26" t="n"/>
      <c r="H138" s="38" t="n"/>
      <c r="I138" s="28" t="n"/>
      <c r="J138" s="30">
        <f>IF(B138="","",IFERROR(INDEX('Share classes'!$A$4:$A$203,MATCH(B138,'Share classes'!$B$4:$B$203,0)),""))</f>
        <v/>
      </c>
      <c r="K138" s="30">
        <f>IF(A138="","",IFERROR(INDEX('Holders'!$B$4:$B$1003,MATCH(A138,'Holders'!$A$4:$A$1003,0)),""))</f>
        <v/>
      </c>
      <c r="L138" s="30">
        <f>IF(OR(A138="",B138="",D138=""),"",IF(D138=_xlfn.MAXIFS($D$4:$D$2503,$A$4:$A$2503,A138,$B$4:$B$2503,B138),"Yes","No"))</f>
        <v/>
      </c>
      <c r="M138" s="30">
        <f>IF(B138="","",IFERROR(INDEX('Share classes'!$F$4:$F$203,MATCH(B138,'Share classes'!$B$4:$B$203,0)),""))</f>
        <v/>
      </c>
      <c r="N138" s="30">
        <f>IF(A138="","",IF(K138="","Unknown holder ID",IF(J138="","Unknown class code",IF(OR(C138="",D138=""),"Missing shares or date",IF(OR(C138&lt;0,C138&lt;&gt;INT(C138)),"Shares must be a whole number",IF(COUNTIFS($A$4:$A$2503,A138,$B$4:$B$2503,B138,$D$4:$D$2503,D138)&gt;1,"Duplicate row (same date)","OK"))))))</f>
        <v/>
      </c>
    </row>
    <row r="139">
      <c r="A139" s="26" t="n"/>
      <c r="B139" s="26" t="n"/>
      <c r="C139" s="34" t="n"/>
      <c r="D139" s="28" t="n"/>
      <c r="E139" s="26" t="n"/>
      <c r="F139" s="26" t="n"/>
      <c r="G139" s="26" t="n"/>
      <c r="H139" s="38" t="n"/>
      <c r="I139" s="28" t="n"/>
      <c r="J139" s="30">
        <f>IF(B139="","",IFERROR(INDEX('Share classes'!$A$4:$A$203,MATCH(B139,'Share classes'!$B$4:$B$203,0)),""))</f>
        <v/>
      </c>
      <c r="K139" s="30">
        <f>IF(A139="","",IFERROR(INDEX('Holders'!$B$4:$B$1003,MATCH(A139,'Holders'!$A$4:$A$1003,0)),""))</f>
        <v/>
      </c>
      <c r="L139" s="30">
        <f>IF(OR(A139="",B139="",D139=""),"",IF(D139=_xlfn.MAXIFS($D$4:$D$2503,$A$4:$A$2503,A139,$B$4:$B$2503,B139),"Yes","No"))</f>
        <v/>
      </c>
      <c r="M139" s="30">
        <f>IF(B139="","",IFERROR(INDEX('Share classes'!$F$4:$F$203,MATCH(B139,'Share classes'!$B$4:$B$203,0)),""))</f>
        <v/>
      </c>
      <c r="N139" s="30">
        <f>IF(A139="","",IF(K139="","Unknown holder ID",IF(J139="","Unknown class code",IF(OR(C139="",D139=""),"Missing shares or date",IF(OR(C139&lt;0,C139&lt;&gt;INT(C139)),"Shares must be a whole number",IF(COUNTIFS($A$4:$A$2503,A139,$B$4:$B$2503,B139,$D$4:$D$2503,D139)&gt;1,"Duplicate row (same date)","OK"))))))</f>
        <v/>
      </c>
    </row>
    <row r="140">
      <c r="A140" s="26" t="n"/>
      <c r="B140" s="26" t="n"/>
      <c r="C140" s="34" t="n"/>
      <c r="D140" s="28" t="n"/>
      <c r="E140" s="26" t="n"/>
      <c r="F140" s="26" t="n"/>
      <c r="G140" s="26" t="n"/>
      <c r="H140" s="38" t="n"/>
      <c r="I140" s="28" t="n"/>
      <c r="J140" s="30">
        <f>IF(B140="","",IFERROR(INDEX('Share classes'!$A$4:$A$203,MATCH(B140,'Share classes'!$B$4:$B$203,0)),""))</f>
        <v/>
      </c>
      <c r="K140" s="30">
        <f>IF(A140="","",IFERROR(INDEX('Holders'!$B$4:$B$1003,MATCH(A140,'Holders'!$A$4:$A$1003,0)),""))</f>
        <v/>
      </c>
      <c r="L140" s="30">
        <f>IF(OR(A140="",B140="",D140=""),"",IF(D140=_xlfn.MAXIFS($D$4:$D$2503,$A$4:$A$2503,A140,$B$4:$B$2503,B140),"Yes","No"))</f>
        <v/>
      </c>
      <c r="M140" s="30">
        <f>IF(B140="","",IFERROR(INDEX('Share classes'!$F$4:$F$203,MATCH(B140,'Share classes'!$B$4:$B$203,0)),""))</f>
        <v/>
      </c>
      <c r="N140" s="30">
        <f>IF(A140="","",IF(K140="","Unknown holder ID",IF(J140="","Unknown class code",IF(OR(C140="",D140=""),"Missing shares or date",IF(OR(C140&lt;0,C140&lt;&gt;INT(C140)),"Shares must be a whole number",IF(COUNTIFS($A$4:$A$2503,A140,$B$4:$B$2503,B140,$D$4:$D$2503,D140)&gt;1,"Duplicate row (same date)","OK"))))))</f>
        <v/>
      </c>
    </row>
    <row r="141">
      <c r="A141" s="26" t="n"/>
      <c r="B141" s="26" t="n"/>
      <c r="C141" s="34" t="n"/>
      <c r="D141" s="28" t="n"/>
      <c r="E141" s="26" t="n"/>
      <c r="F141" s="26" t="n"/>
      <c r="G141" s="26" t="n"/>
      <c r="H141" s="38" t="n"/>
      <c r="I141" s="28" t="n"/>
      <c r="J141" s="30">
        <f>IF(B141="","",IFERROR(INDEX('Share classes'!$A$4:$A$203,MATCH(B141,'Share classes'!$B$4:$B$203,0)),""))</f>
        <v/>
      </c>
      <c r="K141" s="30">
        <f>IF(A141="","",IFERROR(INDEX('Holders'!$B$4:$B$1003,MATCH(A141,'Holders'!$A$4:$A$1003,0)),""))</f>
        <v/>
      </c>
      <c r="L141" s="30">
        <f>IF(OR(A141="",B141="",D141=""),"",IF(D141=_xlfn.MAXIFS($D$4:$D$2503,$A$4:$A$2503,A141,$B$4:$B$2503,B141),"Yes","No"))</f>
        <v/>
      </c>
      <c r="M141" s="30">
        <f>IF(B141="","",IFERROR(INDEX('Share classes'!$F$4:$F$203,MATCH(B141,'Share classes'!$B$4:$B$203,0)),""))</f>
        <v/>
      </c>
      <c r="N141" s="30">
        <f>IF(A141="","",IF(K141="","Unknown holder ID",IF(J141="","Unknown class code",IF(OR(C141="",D141=""),"Missing shares or date",IF(OR(C141&lt;0,C141&lt;&gt;INT(C141)),"Shares must be a whole number",IF(COUNTIFS($A$4:$A$2503,A141,$B$4:$B$2503,B141,$D$4:$D$2503,D141)&gt;1,"Duplicate row (same date)","OK"))))))</f>
        <v/>
      </c>
    </row>
    <row r="142">
      <c r="A142" s="26" t="n"/>
      <c r="B142" s="26" t="n"/>
      <c r="C142" s="34" t="n"/>
      <c r="D142" s="28" t="n"/>
      <c r="E142" s="26" t="n"/>
      <c r="F142" s="26" t="n"/>
      <c r="G142" s="26" t="n"/>
      <c r="H142" s="38" t="n"/>
      <c r="I142" s="28" t="n"/>
      <c r="J142" s="30">
        <f>IF(B142="","",IFERROR(INDEX('Share classes'!$A$4:$A$203,MATCH(B142,'Share classes'!$B$4:$B$203,0)),""))</f>
        <v/>
      </c>
      <c r="K142" s="30">
        <f>IF(A142="","",IFERROR(INDEX('Holders'!$B$4:$B$1003,MATCH(A142,'Holders'!$A$4:$A$1003,0)),""))</f>
        <v/>
      </c>
      <c r="L142" s="30">
        <f>IF(OR(A142="",B142="",D142=""),"",IF(D142=_xlfn.MAXIFS($D$4:$D$2503,$A$4:$A$2503,A142,$B$4:$B$2503,B142),"Yes","No"))</f>
        <v/>
      </c>
      <c r="M142" s="30">
        <f>IF(B142="","",IFERROR(INDEX('Share classes'!$F$4:$F$203,MATCH(B142,'Share classes'!$B$4:$B$203,0)),""))</f>
        <v/>
      </c>
      <c r="N142" s="30">
        <f>IF(A142="","",IF(K142="","Unknown holder ID",IF(J142="","Unknown class code",IF(OR(C142="",D142=""),"Missing shares or date",IF(OR(C142&lt;0,C142&lt;&gt;INT(C142)),"Shares must be a whole number",IF(COUNTIFS($A$4:$A$2503,A142,$B$4:$B$2503,B142,$D$4:$D$2503,D142)&gt;1,"Duplicate row (same date)","OK"))))))</f>
        <v/>
      </c>
    </row>
    <row r="143">
      <c r="A143" s="26" t="n"/>
      <c r="B143" s="26" t="n"/>
      <c r="C143" s="34" t="n"/>
      <c r="D143" s="28" t="n"/>
      <c r="E143" s="26" t="n"/>
      <c r="F143" s="26" t="n"/>
      <c r="G143" s="26" t="n"/>
      <c r="H143" s="38" t="n"/>
      <c r="I143" s="28" t="n"/>
      <c r="J143" s="30">
        <f>IF(B143="","",IFERROR(INDEX('Share classes'!$A$4:$A$203,MATCH(B143,'Share classes'!$B$4:$B$203,0)),""))</f>
        <v/>
      </c>
      <c r="K143" s="30">
        <f>IF(A143="","",IFERROR(INDEX('Holders'!$B$4:$B$1003,MATCH(A143,'Holders'!$A$4:$A$1003,0)),""))</f>
        <v/>
      </c>
      <c r="L143" s="30">
        <f>IF(OR(A143="",B143="",D143=""),"",IF(D143=_xlfn.MAXIFS($D$4:$D$2503,$A$4:$A$2503,A143,$B$4:$B$2503,B143),"Yes","No"))</f>
        <v/>
      </c>
      <c r="M143" s="30">
        <f>IF(B143="","",IFERROR(INDEX('Share classes'!$F$4:$F$203,MATCH(B143,'Share classes'!$B$4:$B$203,0)),""))</f>
        <v/>
      </c>
      <c r="N143" s="30">
        <f>IF(A143="","",IF(K143="","Unknown holder ID",IF(J143="","Unknown class code",IF(OR(C143="",D143=""),"Missing shares or date",IF(OR(C143&lt;0,C143&lt;&gt;INT(C143)),"Shares must be a whole number",IF(COUNTIFS($A$4:$A$2503,A143,$B$4:$B$2503,B143,$D$4:$D$2503,D143)&gt;1,"Duplicate row (same date)","OK"))))))</f>
        <v/>
      </c>
    </row>
    <row r="144">
      <c r="A144" s="26" t="n"/>
      <c r="B144" s="26" t="n"/>
      <c r="C144" s="34" t="n"/>
      <c r="D144" s="28" t="n"/>
      <c r="E144" s="26" t="n"/>
      <c r="F144" s="26" t="n"/>
      <c r="G144" s="26" t="n"/>
      <c r="H144" s="38" t="n"/>
      <c r="I144" s="28" t="n"/>
      <c r="J144" s="30">
        <f>IF(B144="","",IFERROR(INDEX('Share classes'!$A$4:$A$203,MATCH(B144,'Share classes'!$B$4:$B$203,0)),""))</f>
        <v/>
      </c>
      <c r="K144" s="30">
        <f>IF(A144="","",IFERROR(INDEX('Holders'!$B$4:$B$1003,MATCH(A144,'Holders'!$A$4:$A$1003,0)),""))</f>
        <v/>
      </c>
      <c r="L144" s="30">
        <f>IF(OR(A144="",B144="",D144=""),"",IF(D144=_xlfn.MAXIFS($D$4:$D$2503,$A$4:$A$2503,A144,$B$4:$B$2503,B144),"Yes","No"))</f>
        <v/>
      </c>
      <c r="M144" s="30">
        <f>IF(B144="","",IFERROR(INDEX('Share classes'!$F$4:$F$203,MATCH(B144,'Share classes'!$B$4:$B$203,0)),""))</f>
        <v/>
      </c>
      <c r="N144" s="30">
        <f>IF(A144="","",IF(K144="","Unknown holder ID",IF(J144="","Unknown class code",IF(OR(C144="",D144=""),"Missing shares or date",IF(OR(C144&lt;0,C144&lt;&gt;INT(C144)),"Shares must be a whole number",IF(COUNTIFS($A$4:$A$2503,A144,$B$4:$B$2503,B144,$D$4:$D$2503,D144)&gt;1,"Duplicate row (same date)","OK"))))))</f>
        <v/>
      </c>
    </row>
    <row r="145">
      <c r="A145" s="26" t="n"/>
      <c r="B145" s="26" t="n"/>
      <c r="C145" s="34" t="n"/>
      <c r="D145" s="28" t="n"/>
      <c r="E145" s="26" t="n"/>
      <c r="F145" s="26" t="n"/>
      <c r="G145" s="26" t="n"/>
      <c r="H145" s="38" t="n"/>
      <c r="I145" s="28" t="n"/>
      <c r="J145" s="30">
        <f>IF(B145="","",IFERROR(INDEX('Share classes'!$A$4:$A$203,MATCH(B145,'Share classes'!$B$4:$B$203,0)),""))</f>
        <v/>
      </c>
      <c r="K145" s="30">
        <f>IF(A145="","",IFERROR(INDEX('Holders'!$B$4:$B$1003,MATCH(A145,'Holders'!$A$4:$A$1003,0)),""))</f>
        <v/>
      </c>
      <c r="L145" s="30">
        <f>IF(OR(A145="",B145="",D145=""),"",IF(D145=_xlfn.MAXIFS($D$4:$D$2503,$A$4:$A$2503,A145,$B$4:$B$2503,B145),"Yes","No"))</f>
        <v/>
      </c>
      <c r="M145" s="30">
        <f>IF(B145="","",IFERROR(INDEX('Share classes'!$F$4:$F$203,MATCH(B145,'Share classes'!$B$4:$B$203,0)),""))</f>
        <v/>
      </c>
      <c r="N145" s="30">
        <f>IF(A145="","",IF(K145="","Unknown holder ID",IF(J145="","Unknown class code",IF(OR(C145="",D145=""),"Missing shares or date",IF(OR(C145&lt;0,C145&lt;&gt;INT(C145)),"Shares must be a whole number",IF(COUNTIFS($A$4:$A$2503,A145,$B$4:$B$2503,B145,$D$4:$D$2503,D145)&gt;1,"Duplicate row (same date)","OK"))))))</f>
        <v/>
      </c>
    </row>
    <row r="146">
      <c r="A146" s="26" t="n"/>
      <c r="B146" s="26" t="n"/>
      <c r="C146" s="34" t="n"/>
      <c r="D146" s="28" t="n"/>
      <c r="E146" s="26" t="n"/>
      <c r="F146" s="26" t="n"/>
      <c r="G146" s="26" t="n"/>
      <c r="H146" s="38" t="n"/>
      <c r="I146" s="28" t="n"/>
      <c r="J146" s="30">
        <f>IF(B146="","",IFERROR(INDEX('Share classes'!$A$4:$A$203,MATCH(B146,'Share classes'!$B$4:$B$203,0)),""))</f>
        <v/>
      </c>
      <c r="K146" s="30">
        <f>IF(A146="","",IFERROR(INDEX('Holders'!$B$4:$B$1003,MATCH(A146,'Holders'!$A$4:$A$1003,0)),""))</f>
        <v/>
      </c>
      <c r="L146" s="30">
        <f>IF(OR(A146="",B146="",D146=""),"",IF(D146=_xlfn.MAXIFS($D$4:$D$2503,$A$4:$A$2503,A146,$B$4:$B$2503,B146),"Yes","No"))</f>
        <v/>
      </c>
      <c r="M146" s="30">
        <f>IF(B146="","",IFERROR(INDEX('Share classes'!$F$4:$F$203,MATCH(B146,'Share classes'!$B$4:$B$203,0)),""))</f>
        <v/>
      </c>
      <c r="N146" s="30">
        <f>IF(A146="","",IF(K146="","Unknown holder ID",IF(J146="","Unknown class code",IF(OR(C146="",D146=""),"Missing shares or date",IF(OR(C146&lt;0,C146&lt;&gt;INT(C146)),"Shares must be a whole number",IF(COUNTIFS($A$4:$A$2503,A146,$B$4:$B$2503,B146,$D$4:$D$2503,D146)&gt;1,"Duplicate row (same date)","OK"))))))</f>
        <v/>
      </c>
    </row>
    <row r="147">
      <c r="A147" s="26" t="n"/>
      <c r="B147" s="26" t="n"/>
      <c r="C147" s="34" t="n"/>
      <c r="D147" s="28" t="n"/>
      <c r="E147" s="26" t="n"/>
      <c r="F147" s="26" t="n"/>
      <c r="G147" s="26" t="n"/>
      <c r="H147" s="38" t="n"/>
      <c r="I147" s="28" t="n"/>
      <c r="J147" s="30">
        <f>IF(B147="","",IFERROR(INDEX('Share classes'!$A$4:$A$203,MATCH(B147,'Share classes'!$B$4:$B$203,0)),""))</f>
        <v/>
      </c>
      <c r="K147" s="30">
        <f>IF(A147="","",IFERROR(INDEX('Holders'!$B$4:$B$1003,MATCH(A147,'Holders'!$A$4:$A$1003,0)),""))</f>
        <v/>
      </c>
      <c r="L147" s="30">
        <f>IF(OR(A147="",B147="",D147=""),"",IF(D147=_xlfn.MAXIFS($D$4:$D$2503,$A$4:$A$2503,A147,$B$4:$B$2503,B147),"Yes","No"))</f>
        <v/>
      </c>
      <c r="M147" s="30">
        <f>IF(B147="","",IFERROR(INDEX('Share classes'!$F$4:$F$203,MATCH(B147,'Share classes'!$B$4:$B$203,0)),""))</f>
        <v/>
      </c>
      <c r="N147" s="30">
        <f>IF(A147="","",IF(K147="","Unknown holder ID",IF(J147="","Unknown class code",IF(OR(C147="",D147=""),"Missing shares or date",IF(OR(C147&lt;0,C147&lt;&gt;INT(C147)),"Shares must be a whole number",IF(COUNTIFS($A$4:$A$2503,A147,$B$4:$B$2503,B147,$D$4:$D$2503,D147)&gt;1,"Duplicate row (same date)","OK"))))))</f>
        <v/>
      </c>
    </row>
    <row r="148">
      <c r="A148" s="26" t="n"/>
      <c r="B148" s="26" t="n"/>
      <c r="C148" s="34" t="n"/>
      <c r="D148" s="28" t="n"/>
      <c r="E148" s="26" t="n"/>
      <c r="F148" s="26" t="n"/>
      <c r="G148" s="26" t="n"/>
      <c r="H148" s="38" t="n"/>
      <c r="I148" s="28" t="n"/>
      <c r="J148" s="30">
        <f>IF(B148="","",IFERROR(INDEX('Share classes'!$A$4:$A$203,MATCH(B148,'Share classes'!$B$4:$B$203,0)),""))</f>
        <v/>
      </c>
      <c r="K148" s="30">
        <f>IF(A148="","",IFERROR(INDEX('Holders'!$B$4:$B$1003,MATCH(A148,'Holders'!$A$4:$A$1003,0)),""))</f>
        <v/>
      </c>
      <c r="L148" s="30">
        <f>IF(OR(A148="",B148="",D148=""),"",IF(D148=_xlfn.MAXIFS($D$4:$D$2503,$A$4:$A$2503,A148,$B$4:$B$2503,B148),"Yes","No"))</f>
        <v/>
      </c>
      <c r="M148" s="30">
        <f>IF(B148="","",IFERROR(INDEX('Share classes'!$F$4:$F$203,MATCH(B148,'Share classes'!$B$4:$B$203,0)),""))</f>
        <v/>
      </c>
      <c r="N148" s="30">
        <f>IF(A148="","",IF(K148="","Unknown holder ID",IF(J148="","Unknown class code",IF(OR(C148="",D148=""),"Missing shares or date",IF(OR(C148&lt;0,C148&lt;&gt;INT(C148)),"Shares must be a whole number",IF(COUNTIFS($A$4:$A$2503,A148,$B$4:$B$2503,B148,$D$4:$D$2503,D148)&gt;1,"Duplicate row (same date)","OK"))))))</f>
        <v/>
      </c>
    </row>
    <row r="149">
      <c r="A149" s="26" t="n"/>
      <c r="B149" s="26" t="n"/>
      <c r="C149" s="34" t="n"/>
      <c r="D149" s="28" t="n"/>
      <c r="E149" s="26" t="n"/>
      <c r="F149" s="26" t="n"/>
      <c r="G149" s="26" t="n"/>
      <c r="H149" s="38" t="n"/>
      <c r="I149" s="28" t="n"/>
      <c r="J149" s="30">
        <f>IF(B149="","",IFERROR(INDEX('Share classes'!$A$4:$A$203,MATCH(B149,'Share classes'!$B$4:$B$203,0)),""))</f>
        <v/>
      </c>
      <c r="K149" s="30">
        <f>IF(A149="","",IFERROR(INDEX('Holders'!$B$4:$B$1003,MATCH(A149,'Holders'!$A$4:$A$1003,0)),""))</f>
        <v/>
      </c>
      <c r="L149" s="30">
        <f>IF(OR(A149="",B149="",D149=""),"",IF(D149=_xlfn.MAXIFS($D$4:$D$2503,$A$4:$A$2503,A149,$B$4:$B$2503,B149),"Yes","No"))</f>
        <v/>
      </c>
      <c r="M149" s="30">
        <f>IF(B149="","",IFERROR(INDEX('Share classes'!$F$4:$F$203,MATCH(B149,'Share classes'!$B$4:$B$203,0)),""))</f>
        <v/>
      </c>
      <c r="N149" s="30">
        <f>IF(A149="","",IF(K149="","Unknown holder ID",IF(J149="","Unknown class code",IF(OR(C149="",D149=""),"Missing shares or date",IF(OR(C149&lt;0,C149&lt;&gt;INT(C149)),"Shares must be a whole number",IF(COUNTIFS($A$4:$A$2503,A149,$B$4:$B$2503,B149,$D$4:$D$2503,D149)&gt;1,"Duplicate row (same date)","OK"))))))</f>
        <v/>
      </c>
    </row>
    <row r="150">
      <c r="A150" s="26" t="n"/>
      <c r="B150" s="26" t="n"/>
      <c r="C150" s="34" t="n"/>
      <c r="D150" s="28" t="n"/>
      <c r="E150" s="26" t="n"/>
      <c r="F150" s="26" t="n"/>
      <c r="G150" s="26" t="n"/>
      <c r="H150" s="38" t="n"/>
      <c r="I150" s="28" t="n"/>
      <c r="J150" s="30">
        <f>IF(B150="","",IFERROR(INDEX('Share classes'!$A$4:$A$203,MATCH(B150,'Share classes'!$B$4:$B$203,0)),""))</f>
        <v/>
      </c>
      <c r="K150" s="30">
        <f>IF(A150="","",IFERROR(INDEX('Holders'!$B$4:$B$1003,MATCH(A150,'Holders'!$A$4:$A$1003,0)),""))</f>
        <v/>
      </c>
      <c r="L150" s="30">
        <f>IF(OR(A150="",B150="",D150=""),"",IF(D150=_xlfn.MAXIFS($D$4:$D$2503,$A$4:$A$2503,A150,$B$4:$B$2503,B150),"Yes","No"))</f>
        <v/>
      </c>
      <c r="M150" s="30">
        <f>IF(B150="","",IFERROR(INDEX('Share classes'!$F$4:$F$203,MATCH(B150,'Share classes'!$B$4:$B$203,0)),""))</f>
        <v/>
      </c>
      <c r="N150" s="30">
        <f>IF(A150="","",IF(K150="","Unknown holder ID",IF(J150="","Unknown class code",IF(OR(C150="",D150=""),"Missing shares or date",IF(OR(C150&lt;0,C150&lt;&gt;INT(C150)),"Shares must be a whole number",IF(COUNTIFS($A$4:$A$2503,A150,$B$4:$B$2503,B150,$D$4:$D$2503,D150)&gt;1,"Duplicate row (same date)","OK"))))))</f>
        <v/>
      </c>
    </row>
    <row r="151">
      <c r="A151" s="26" t="n"/>
      <c r="B151" s="26" t="n"/>
      <c r="C151" s="34" t="n"/>
      <c r="D151" s="28" t="n"/>
      <c r="E151" s="26" t="n"/>
      <c r="F151" s="26" t="n"/>
      <c r="G151" s="26" t="n"/>
      <c r="H151" s="38" t="n"/>
      <c r="I151" s="28" t="n"/>
      <c r="J151" s="30">
        <f>IF(B151="","",IFERROR(INDEX('Share classes'!$A$4:$A$203,MATCH(B151,'Share classes'!$B$4:$B$203,0)),""))</f>
        <v/>
      </c>
      <c r="K151" s="30">
        <f>IF(A151="","",IFERROR(INDEX('Holders'!$B$4:$B$1003,MATCH(A151,'Holders'!$A$4:$A$1003,0)),""))</f>
        <v/>
      </c>
      <c r="L151" s="30">
        <f>IF(OR(A151="",B151="",D151=""),"",IF(D151=_xlfn.MAXIFS($D$4:$D$2503,$A$4:$A$2503,A151,$B$4:$B$2503,B151),"Yes","No"))</f>
        <v/>
      </c>
      <c r="M151" s="30">
        <f>IF(B151="","",IFERROR(INDEX('Share classes'!$F$4:$F$203,MATCH(B151,'Share classes'!$B$4:$B$203,0)),""))</f>
        <v/>
      </c>
      <c r="N151" s="30">
        <f>IF(A151="","",IF(K151="","Unknown holder ID",IF(J151="","Unknown class code",IF(OR(C151="",D151=""),"Missing shares or date",IF(OR(C151&lt;0,C151&lt;&gt;INT(C151)),"Shares must be a whole number",IF(COUNTIFS($A$4:$A$2503,A151,$B$4:$B$2503,B151,$D$4:$D$2503,D151)&gt;1,"Duplicate row (same date)","OK"))))))</f>
        <v/>
      </c>
    </row>
    <row r="152">
      <c r="A152" s="26" t="n"/>
      <c r="B152" s="26" t="n"/>
      <c r="C152" s="34" t="n"/>
      <c r="D152" s="28" t="n"/>
      <c r="E152" s="26" t="n"/>
      <c r="F152" s="26" t="n"/>
      <c r="G152" s="26" t="n"/>
      <c r="H152" s="38" t="n"/>
      <c r="I152" s="28" t="n"/>
      <c r="J152" s="30">
        <f>IF(B152="","",IFERROR(INDEX('Share classes'!$A$4:$A$203,MATCH(B152,'Share classes'!$B$4:$B$203,0)),""))</f>
        <v/>
      </c>
      <c r="K152" s="30">
        <f>IF(A152="","",IFERROR(INDEX('Holders'!$B$4:$B$1003,MATCH(A152,'Holders'!$A$4:$A$1003,0)),""))</f>
        <v/>
      </c>
      <c r="L152" s="30">
        <f>IF(OR(A152="",B152="",D152=""),"",IF(D152=_xlfn.MAXIFS($D$4:$D$2503,$A$4:$A$2503,A152,$B$4:$B$2503,B152),"Yes","No"))</f>
        <v/>
      </c>
      <c r="M152" s="30">
        <f>IF(B152="","",IFERROR(INDEX('Share classes'!$F$4:$F$203,MATCH(B152,'Share classes'!$B$4:$B$203,0)),""))</f>
        <v/>
      </c>
      <c r="N152" s="30">
        <f>IF(A152="","",IF(K152="","Unknown holder ID",IF(J152="","Unknown class code",IF(OR(C152="",D152=""),"Missing shares or date",IF(OR(C152&lt;0,C152&lt;&gt;INT(C152)),"Shares must be a whole number",IF(COUNTIFS($A$4:$A$2503,A152,$B$4:$B$2503,B152,$D$4:$D$2503,D152)&gt;1,"Duplicate row (same date)","OK"))))))</f>
        <v/>
      </c>
    </row>
    <row r="153">
      <c r="A153" s="26" t="n"/>
      <c r="B153" s="26" t="n"/>
      <c r="C153" s="34" t="n"/>
      <c r="D153" s="28" t="n"/>
      <c r="E153" s="26" t="n"/>
      <c r="F153" s="26" t="n"/>
      <c r="G153" s="26" t="n"/>
      <c r="H153" s="38" t="n"/>
      <c r="I153" s="28" t="n"/>
      <c r="J153" s="30">
        <f>IF(B153="","",IFERROR(INDEX('Share classes'!$A$4:$A$203,MATCH(B153,'Share classes'!$B$4:$B$203,0)),""))</f>
        <v/>
      </c>
      <c r="K153" s="30">
        <f>IF(A153="","",IFERROR(INDEX('Holders'!$B$4:$B$1003,MATCH(A153,'Holders'!$A$4:$A$1003,0)),""))</f>
        <v/>
      </c>
      <c r="L153" s="30">
        <f>IF(OR(A153="",B153="",D153=""),"",IF(D153=_xlfn.MAXIFS($D$4:$D$2503,$A$4:$A$2503,A153,$B$4:$B$2503,B153),"Yes","No"))</f>
        <v/>
      </c>
      <c r="M153" s="30">
        <f>IF(B153="","",IFERROR(INDEX('Share classes'!$F$4:$F$203,MATCH(B153,'Share classes'!$B$4:$B$203,0)),""))</f>
        <v/>
      </c>
      <c r="N153" s="30">
        <f>IF(A153="","",IF(K153="","Unknown holder ID",IF(J153="","Unknown class code",IF(OR(C153="",D153=""),"Missing shares or date",IF(OR(C153&lt;0,C153&lt;&gt;INT(C153)),"Shares must be a whole number",IF(COUNTIFS($A$4:$A$2503,A153,$B$4:$B$2503,B153,$D$4:$D$2503,D153)&gt;1,"Duplicate row (same date)","OK"))))))</f>
        <v/>
      </c>
    </row>
    <row r="154">
      <c r="A154" s="26" t="n"/>
      <c r="B154" s="26" t="n"/>
      <c r="C154" s="34" t="n"/>
      <c r="D154" s="28" t="n"/>
      <c r="E154" s="26" t="n"/>
      <c r="F154" s="26" t="n"/>
      <c r="G154" s="26" t="n"/>
      <c r="H154" s="38" t="n"/>
      <c r="I154" s="28" t="n"/>
      <c r="J154" s="30">
        <f>IF(B154="","",IFERROR(INDEX('Share classes'!$A$4:$A$203,MATCH(B154,'Share classes'!$B$4:$B$203,0)),""))</f>
        <v/>
      </c>
      <c r="K154" s="30">
        <f>IF(A154="","",IFERROR(INDEX('Holders'!$B$4:$B$1003,MATCH(A154,'Holders'!$A$4:$A$1003,0)),""))</f>
        <v/>
      </c>
      <c r="L154" s="30">
        <f>IF(OR(A154="",B154="",D154=""),"",IF(D154=_xlfn.MAXIFS($D$4:$D$2503,$A$4:$A$2503,A154,$B$4:$B$2503,B154),"Yes","No"))</f>
        <v/>
      </c>
      <c r="M154" s="30">
        <f>IF(B154="","",IFERROR(INDEX('Share classes'!$F$4:$F$203,MATCH(B154,'Share classes'!$B$4:$B$203,0)),""))</f>
        <v/>
      </c>
      <c r="N154" s="30">
        <f>IF(A154="","",IF(K154="","Unknown holder ID",IF(J154="","Unknown class code",IF(OR(C154="",D154=""),"Missing shares or date",IF(OR(C154&lt;0,C154&lt;&gt;INT(C154)),"Shares must be a whole number",IF(COUNTIFS($A$4:$A$2503,A154,$B$4:$B$2503,B154,$D$4:$D$2503,D154)&gt;1,"Duplicate row (same date)","OK"))))))</f>
        <v/>
      </c>
    </row>
    <row r="155">
      <c r="A155" s="26" t="n"/>
      <c r="B155" s="26" t="n"/>
      <c r="C155" s="34" t="n"/>
      <c r="D155" s="28" t="n"/>
      <c r="E155" s="26" t="n"/>
      <c r="F155" s="26" t="n"/>
      <c r="G155" s="26" t="n"/>
      <c r="H155" s="38" t="n"/>
      <c r="I155" s="28" t="n"/>
      <c r="J155" s="30">
        <f>IF(B155="","",IFERROR(INDEX('Share classes'!$A$4:$A$203,MATCH(B155,'Share classes'!$B$4:$B$203,0)),""))</f>
        <v/>
      </c>
      <c r="K155" s="30">
        <f>IF(A155="","",IFERROR(INDEX('Holders'!$B$4:$B$1003,MATCH(A155,'Holders'!$A$4:$A$1003,0)),""))</f>
        <v/>
      </c>
      <c r="L155" s="30">
        <f>IF(OR(A155="",B155="",D155=""),"",IF(D155=_xlfn.MAXIFS($D$4:$D$2503,$A$4:$A$2503,A155,$B$4:$B$2503,B155),"Yes","No"))</f>
        <v/>
      </c>
      <c r="M155" s="30">
        <f>IF(B155="","",IFERROR(INDEX('Share classes'!$F$4:$F$203,MATCH(B155,'Share classes'!$B$4:$B$203,0)),""))</f>
        <v/>
      </c>
      <c r="N155" s="30">
        <f>IF(A155="","",IF(K155="","Unknown holder ID",IF(J155="","Unknown class code",IF(OR(C155="",D155=""),"Missing shares or date",IF(OR(C155&lt;0,C155&lt;&gt;INT(C155)),"Shares must be a whole number",IF(COUNTIFS($A$4:$A$2503,A155,$B$4:$B$2503,B155,$D$4:$D$2503,D155)&gt;1,"Duplicate row (same date)","OK"))))))</f>
        <v/>
      </c>
    </row>
    <row r="156">
      <c r="A156" s="26" t="n"/>
      <c r="B156" s="26" t="n"/>
      <c r="C156" s="34" t="n"/>
      <c r="D156" s="28" t="n"/>
      <c r="E156" s="26" t="n"/>
      <c r="F156" s="26" t="n"/>
      <c r="G156" s="26" t="n"/>
      <c r="H156" s="38" t="n"/>
      <c r="I156" s="28" t="n"/>
      <c r="J156" s="30">
        <f>IF(B156="","",IFERROR(INDEX('Share classes'!$A$4:$A$203,MATCH(B156,'Share classes'!$B$4:$B$203,0)),""))</f>
        <v/>
      </c>
      <c r="K156" s="30">
        <f>IF(A156="","",IFERROR(INDEX('Holders'!$B$4:$B$1003,MATCH(A156,'Holders'!$A$4:$A$1003,0)),""))</f>
        <v/>
      </c>
      <c r="L156" s="30">
        <f>IF(OR(A156="",B156="",D156=""),"",IF(D156=_xlfn.MAXIFS($D$4:$D$2503,$A$4:$A$2503,A156,$B$4:$B$2503,B156),"Yes","No"))</f>
        <v/>
      </c>
      <c r="M156" s="30">
        <f>IF(B156="","",IFERROR(INDEX('Share classes'!$F$4:$F$203,MATCH(B156,'Share classes'!$B$4:$B$203,0)),""))</f>
        <v/>
      </c>
      <c r="N156" s="30">
        <f>IF(A156="","",IF(K156="","Unknown holder ID",IF(J156="","Unknown class code",IF(OR(C156="",D156=""),"Missing shares or date",IF(OR(C156&lt;0,C156&lt;&gt;INT(C156)),"Shares must be a whole number",IF(COUNTIFS($A$4:$A$2503,A156,$B$4:$B$2503,B156,$D$4:$D$2503,D156)&gt;1,"Duplicate row (same date)","OK"))))))</f>
        <v/>
      </c>
    </row>
    <row r="157">
      <c r="A157" s="26" t="n"/>
      <c r="B157" s="26" t="n"/>
      <c r="C157" s="34" t="n"/>
      <c r="D157" s="28" t="n"/>
      <c r="E157" s="26" t="n"/>
      <c r="F157" s="26" t="n"/>
      <c r="G157" s="26" t="n"/>
      <c r="H157" s="38" t="n"/>
      <c r="I157" s="28" t="n"/>
      <c r="J157" s="30">
        <f>IF(B157="","",IFERROR(INDEX('Share classes'!$A$4:$A$203,MATCH(B157,'Share classes'!$B$4:$B$203,0)),""))</f>
        <v/>
      </c>
      <c r="K157" s="30">
        <f>IF(A157="","",IFERROR(INDEX('Holders'!$B$4:$B$1003,MATCH(A157,'Holders'!$A$4:$A$1003,0)),""))</f>
        <v/>
      </c>
      <c r="L157" s="30">
        <f>IF(OR(A157="",B157="",D157=""),"",IF(D157=_xlfn.MAXIFS($D$4:$D$2503,$A$4:$A$2503,A157,$B$4:$B$2503,B157),"Yes","No"))</f>
        <v/>
      </c>
      <c r="M157" s="30">
        <f>IF(B157="","",IFERROR(INDEX('Share classes'!$F$4:$F$203,MATCH(B157,'Share classes'!$B$4:$B$203,0)),""))</f>
        <v/>
      </c>
      <c r="N157" s="30">
        <f>IF(A157="","",IF(K157="","Unknown holder ID",IF(J157="","Unknown class code",IF(OR(C157="",D157=""),"Missing shares or date",IF(OR(C157&lt;0,C157&lt;&gt;INT(C157)),"Shares must be a whole number",IF(COUNTIFS($A$4:$A$2503,A157,$B$4:$B$2503,B157,$D$4:$D$2503,D157)&gt;1,"Duplicate row (same date)","OK"))))))</f>
        <v/>
      </c>
    </row>
    <row r="158">
      <c r="A158" s="26" t="n"/>
      <c r="B158" s="26" t="n"/>
      <c r="C158" s="34" t="n"/>
      <c r="D158" s="28" t="n"/>
      <c r="E158" s="26" t="n"/>
      <c r="F158" s="26" t="n"/>
      <c r="G158" s="26" t="n"/>
      <c r="H158" s="38" t="n"/>
      <c r="I158" s="28" t="n"/>
      <c r="J158" s="30">
        <f>IF(B158="","",IFERROR(INDEX('Share classes'!$A$4:$A$203,MATCH(B158,'Share classes'!$B$4:$B$203,0)),""))</f>
        <v/>
      </c>
      <c r="K158" s="30">
        <f>IF(A158="","",IFERROR(INDEX('Holders'!$B$4:$B$1003,MATCH(A158,'Holders'!$A$4:$A$1003,0)),""))</f>
        <v/>
      </c>
      <c r="L158" s="30">
        <f>IF(OR(A158="",B158="",D158=""),"",IF(D158=_xlfn.MAXIFS($D$4:$D$2503,$A$4:$A$2503,A158,$B$4:$B$2503,B158),"Yes","No"))</f>
        <v/>
      </c>
      <c r="M158" s="30">
        <f>IF(B158="","",IFERROR(INDEX('Share classes'!$F$4:$F$203,MATCH(B158,'Share classes'!$B$4:$B$203,0)),""))</f>
        <v/>
      </c>
      <c r="N158" s="30">
        <f>IF(A158="","",IF(K158="","Unknown holder ID",IF(J158="","Unknown class code",IF(OR(C158="",D158=""),"Missing shares or date",IF(OR(C158&lt;0,C158&lt;&gt;INT(C158)),"Shares must be a whole number",IF(COUNTIFS($A$4:$A$2503,A158,$B$4:$B$2503,B158,$D$4:$D$2503,D158)&gt;1,"Duplicate row (same date)","OK"))))))</f>
        <v/>
      </c>
    </row>
    <row r="159">
      <c r="A159" s="26" t="n"/>
      <c r="B159" s="26" t="n"/>
      <c r="C159" s="34" t="n"/>
      <c r="D159" s="28" t="n"/>
      <c r="E159" s="26" t="n"/>
      <c r="F159" s="26" t="n"/>
      <c r="G159" s="26" t="n"/>
      <c r="H159" s="38" t="n"/>
      <c r="I159" s="28" t="n"/>
      <c r="J159" s="30">
        <f>IF(B159="","",IFERROR(INDEX('Share classes'!$A$4:$A$203,MATCH(B159,'Share classes'!$B$4:$B$203,0)),""))</f>
        <v/>
      </c>
      <c r="K159" s="30">
        <f>IF(A159="","",IFERROR(INDEX('Holders'!$B$4:$B$1003,MATCH(A159,'Holders'!$A$4:$A$1003,0)),""))</f>
        <v/>
      </c>
      <c r="L159" s="30">
        <f>IF(OR(A159="",B159="",D159=""),"",IF(D159=_xlfn.MAXIFS($D$4:$D$2503,$A$4:$A$2503,A159,$B$4:$B$2503,B159),"Yes","No"))</f>
        <v/>
      </c>
      <c r="M159" s="30">
        <f>IF(B159="","",IFERROR(INDEX('Share classes'!$F$4:$F$203,MATCH(B159,'Share classes'!$B$4:$B$203,0)),""))</f>
        <v/>
      </c>
      <c r="N159" s="30">
        <f>IF(A159="","",IF(K159="","Unknown holder ID",IF(J159="","Unknown class code",IF(OR(C159="",D159=""),"Missing shares or date",IF(OR(C159&lt;0,C159&lt;&gt;INT(C159)),"Shares must be a whole number",IF(COUNTIFS($A$4:$A$2503,A159,$B$4:$B$2503,B159,$D$4:$D$2503,D159)&gt;1,"Duplicate row (same date)","OK"))))))</f>
        <v/>
      </c>
    </row>
    <row r="160">
      <c r="A160" s="26" t="n"/>
      <c r="B160" s="26" t="n"/>
      <c r="C160" s="34" t="n"/>
      <c r="D160" s="28" t="n"/>
      <c r="E160" s="26" t="n"/>
      <c r="F160" s="26" t="n"/>
      <c r="G160" s="26" t="n"/>
      <c r="H160" s="38" t="n"/>
      <c r="I160" s="28" t="n"/>
      <c r="J160" s="30">
        <f>IF(B160="","",IFERROR(INDEX('Share classes'!$A$4:$A$203,MATCH(B160,'Share classes'!$B$4:$B$203,0)),""))</f>
        <v/>
      </c>
      <c r="K160" s="30">
        <f>IF(A160="","",IFERROR(INDEX('Holders'!$B$4:$B$1003,MATCH(A160,'Holders'!$A$4:$A$1003,0)),""))</f>
        <v/>
      </c>
      <c r="L160" s="30">
        <f>IF(OR(A160="",B160="",D160=""),"",IF(D160=_xlfn.MAXIFS($D$4:$D$2503,$A$4:$A$2503,A160,$B$4:$B$2503,B160),"Yes","No"))</f>
        <v/>
      </c>
      <c r="M160" s="30">
        <f>IF(B160="","",IFERROR(INDEX('Share classes'!$F$4:$F$203,MATCH(B160,'Share classes'!$B$4:$B$203,0)),""))</f>
        <v/>
      </c>
      <c r="N160" s="30">
        <f>IF(A160="","",IF(K160="","Unknown holder ID",IF(J160="","Unknown class code",IF(OR(C160="",D160=""),"Missing shares or date",IF(OR(C160&lt;0,C160&lt;&gt;INT(C160)),"Shares must be a whole number",IF(COUNTIFS($A$4:$A$2503,A160,$B$4:$B$2503,B160,$D$4:$D$2503,D160)&gt;1,"Duplicate row (same date)","OK"))))))</f>
        <v/>
      </c>
    </row>
    <row r="161">
      <c r="A161" s="26" t="n"/>
      <c r="B161" s="26" t="n"/>
      <c r="C161" s="34" t="n"/>
      <c r="D161" s="28" t="n"/>
      <c r="E161" s="26" t="n"/>
      <c r="F161" s="26" t="n"/>
      <c r="G161" s="26" t="n"/>
      <c r="H161" s="38" t="n"/>
      <c r="I161" s="28" t="n"/>
      <c r="J161" s="30">
        <f>IF(B161="","",IFERROR(INDEX('Share classes'!$A$4:$A$203,MATCH(B161,'Share classes'!$B$4:$B$203,0)),""))</f>
        <v/>
      </c>
      <c r="K161" s="30">
        <f>IF(A161="","",IFERROR(INDEX('Holders'!$B$4:$B$1003,MATCH(A161,'Holders'!$A$4:$A$1003,0)),""))</f>
        <v/>
      </c>
      <c r="L161" s="30">
        <f>IF(OR(A161="",B161="",D161=""),"",IF(D161=_xlfn.MAXIFS($D$4:$D$2503,$A$4:$A$2503,A161,$B$4:$B$2503,B161),"Yes","No"))</f>
        <v/>
      </c>
      <c r="M161" s="30">
        <f>IF(B161="","",IFERROR(INDEX('Share classes'!$F$4:$F$203,MATCH(B161,'Share classes'!$B$4:$B$203,0)),""))</f>
        <v/>
      </c>
      <c r="N161" s="30">
        <f>IF(A161="","",IF(K161="","Unknown holder ID",IF(J161="","Unknown class code",IF(OR(C161="",D161=""),"Missing shares or date",IF(OR(C161&lt;0,C161&lt;&gt;INT(C161)),"Shares must be a whole number",IF(COUNTIFS($A$4:$A$2503,A161,$B$4:$B$2503,B161,$D$4:$D$2503,D161)&gt;1,"Duplicate row (same date)","OK"))))))</f>
        <v/>
      </c>
    </row>
    <row r="162">
      <c r="A162" s="26" t="n"/>
      <c r="B162" s="26" t="n"/>
      <c r="C162" s="34" t="n"/>
      <c r="D162" s="28" t="n"/>
      <c r="E162" s="26" t="n"/>
      <c r="F162" s="26" t="n"/>
      <c r="G162" s="26" t="n"/>
      <c r="H162" s="38" t="n"/>
      <c r="I162" s="28" t="n"/>
      <c r="J162" s="30">
        <f>IF(B162="","",IFERROR(INDEX('Share classes'!$A$4:$A$203,MATCH(B162,'Share classes'!$B$4:$B$203,0)),""))</f>
        <v/>
      </c>
      <c r="K162" s="30">
        <f>IF(A162="","",IFERROR(INDEX('Holders'!$B$4:$B$1003,MATCH(A162,'Holders'!$A$4:$A$1003,0)),""))</f>
        <v/>
      </c>
      <c r="L162" s="30">
        <f>IF(OR(A162="",B162="",D162=""),"",IF(D162=_xlfn.MAXIFS($D$4:$D$2503,$A$4:$A$2503,A162,$B$4:$B$2503,B162),"Yes","No"))</f>
        <v/>
      </c>
      <c r="M162" s="30">
        <f>IF(B162="","",IFERROR(INDEX('Share classes'!$F$4:$F$203,MATCH(B162,'Share classes'!$B$4:$B$203,0)),""))</f>
        <v/>
      </c>
      <c r="N162" s="30">
        <f>IF(A162="","",IF(K162="","Unknown holder ID",IF(J162="","Unknown class code",IF(OR(C162="",D162=""),"Missing shares or date",IF(OR(C162&lt;0,C162&lt;&gt;INT(C162)),"Shares must be a whole number",IF(COUNTIFS($A$4:$A$2503,A162,$B$4:$B$2503,B162,$D$4:$D$2503,D162)&gt;1,"Duplicate row (same date)","OK"))))))</f>
        <v/>
      </c>
    </row>
    <row r="163">
      <c r="A163" s="26" t="n"/>
      <c r="B163" s="26" t="n"/>
      <c r="C163" s="34" t="n"/>
      <c r="D163" s="28" t="n"/>
      <c r="E163" s="26" t="n"/>
      <c r="F163" s="26" t="n"/>
      <c r="G163" s="26" t="n"/>
      <c r="H163" s="38" t="n"/>
      <c r="I163" s="28" t="n"/>
      <c r="J163" s="30">
        <f>IF(B163="","",IFERROR(INDEX('Share classes'!$A$4:$A$203,MATCH(B163,'Share classes'!$B$4:$B$203,0)),""))</f>
        <v/>
      </c>
      <c r="K163" s="30">
        <f>IF(A163="","",IFERROR(INDEX('Holders'!$B$4:$B$1003,MATCH(A163,'Holders'!$A$4:$A$1003,0)),""))</f>
        <v/>
      </c>
      <c r="L163" s="30">
        <f>IF(OR(A163="",B163="",D163=""),"",IF(D163=_xlfn.MAXIFS($D$4:$D$2503,$A$4:$A$2503,A163,$B$4:$B$2503,B163),"Yes","No"))</f>
        <v/>
      </c>
      <c r="M163" s="30">
        <f>IF(B163="","",IFERROR(INDEX('Share classes'!$F$4:$F$203,MATCH(B163,'Share classes'!$B$4:$B$203,0)),""))</f>
        <v/>
      </c>
      <c r="N163" s="30">
        <f>IF(A163="","",IF(K163="","Unknown holder ID",IF(J163="","Unknown class code",IF(OR(C163="",D163=""),"Missing shares or date",IF(OR(C163&lt;0,C163&lt;&gt;INT(C163)),"Shares must be a whole number",IF(COUNTIFS($A$4:$A$2503,A163,$B$4:$B$2503,B163,$D$4:$D$2503,D163)&gt;1,"Duplicate row (same date)","OK"))))))</f>
        <v/>
      </c>
    </row>
    <row r="164">
      <c r="A164" s="26" t="n"/>
      <c r="B164" s="26" t="n"/>
      <c r="C164" s="34" t="n"/>
      <c r="D164" s="28" t="n"/>
      <c r="E164" s="26" t="n"/>
      <c r="F164" s="26" t="n"/>
      <c r="G164" s="26" t="n"/>
      <c r="H164" s="38" t="n"/>
      <c r="I164" s="28" t="n"/>
      <c r="J164" s="30">
        <f>IF(B164="","",IFERROR(INDEX('Share classes'!$A$4:$A$203,MATCH(B164,'Share classes'!$B$4:$B$203,0)),""))</f>
        <v/>
      </c>
      <c r="K164" s="30">
        <f>IF(A164="","",IFERROR(INDEX('Holders'!$B$4:$B$1003,MATCH(A164,'Holders'!$A$4:$A$1003,0)),""))</f>
        <v/>
      </c>
      <c r="L164" s="30">
        <f>IF(OR(A164="",B164="",D164=""),"",IF(D164=_xlfn.MAXIFS($D$4:$D$2503,$A$4:$A$2503,A164,$B$4:$B$2503,B164),"Yes","No"))</f>
        <v/>
      </c>
      <c r="M164" s="30">
        <f>IF(B164="","",IFERROR(INDEX('Share classes'!$F$4:$F$203,MATCH(B164,'Share classes'!$B$4:$B$203,0)),""))</f>
        <v/>
      </c>
      <c r="N164" s="30">
        <f>IF(A164="","",IF(K164="","Unknown holder ID",IF(J164="","Unknown class code",IF(OR(C164="",D164=""),"Missing shares or date",IF(OR(C164&lt;0,C164&lt;&gt;INT(C164)),"Shares must be a whole number",IF(COUNTIFS($A$4:$A$2503,A164,$B$4:$B$2503,B164,$D$4:$D$2503,D164)&gt;1,"Duplicate row (same date)","OK"))))))</f>
        <v/>
      </c>
    </row>
    <row r="165">
      <c r="A165" s="26" t="n"/>
      <c r="B165" s="26" t="n"/>
      <c r="C165" s="34" t="n"/>
      <c r="D165" s="28" t="n"/>
      <c r="E165" s="26" t="n"/>
      <c r="F165" s="26" t="n"/>
      <c r="G165" s="26" t="n"/>
      <c r="H165" s="38" t="n"/>
      <c r="I165" s="28" t="n"/>
      <c r="J165" s="30">
        <f>IF(B165="","",IFERROR(INDEX('Share classes'!$A$4:$A$203,MATCH(B165,'Share classes'!$B$4:$B$203,0)),""))</f>
        <v/>
      </c>
      <c r="K165" s="30">
        <f>IF(A165="","",IFERROR(INDEX('Holders'!$B$4:$B$1003,MATCH(A165,'Holders'!$A$4:$A$1003,0)),""))</f>
        <v/>
      </c>
      <c r="L165" s="30">
        <f>IF(OR(A165="",B165="",D165=""),"",IF(D165=_xlfn.MAXIFS($D$4:$D$2503,$A$4:$A$2503,A165,$B$4:$B$2503,B165),"Yes","No"))</f>
        <v/>
      </c>
      <c r="M165" s="30">
        <f>IF(B165="","",IFERROR(INDEX('Share classes'!$F$4:$F$203,MATCH(B165,'Share classes'!$B$4:$B$203,0)),""))</f>
        <v/>
      </c>
      <c r="N165" s="30">
        <f>IF(A165="","",IF(K165="","Unknown holder ID",IF(J165="","Unknown class code",IF(OR(C165="",D165=""),"Missing shares or date",IF(OR(C165&lt;0,C165&lt;&gt;INT(C165)),"Shares must be a whole number",IF(COUNTIFS($A$4:$A$2503,A165,$B$4:$B$2503,B165,$D$4:$D$2503,D165)&gt;1,"Duplicate row (same date)","OK"))))))</f>
        <v/>
      </c>
    </row>
    <row r="166">
      <c r="A166" s="26" t="n"/>
      <c r="B166" s="26" t="n"/>
      <c r="C166" s="34" t="n"/>
      <c r="D166" s="28" t="n"/>
      <c r="E166" s="26" t="n"/>
      <c r="F166" s="26" t="n"/>
      <c r="G166" s="26" t="n"/>
      <c r="H166" s="38" t="n"/>
      <c r="I166" s="28" t="n"/>
      <c r="J166" s="30">
        <f>IF(B166="","",IFERROR(INDEX('Share classes'!$A$4:$A$203,MATCH(B166,'Share classes'!$B$4:$B$203,0)),""))</f>
        <v/>
      </c>
      <c r="K166" s="30">
        <f>IF(A166="","",IFERROR(INDEX('Holders'!$B$4:$B$1003,MATCH(A166,'Holders'!$A$4:$A$1003,0)),""))</f>
        <v/>
      </c>
      <c r="L166" s="30">
        <f>IF(OR(A166="",B166="",D166=""),"",IF(D166=_xlfn.MAXIFS($D$4:$D$2503,$A$4:$A$2503,A166,$B$4:$B$2503,B166),"Yes","No"))</f>
        <v/>
      </c>
      <c r="M166" s="30">
        <f>IF(B166="","",IFERROR(INDEX('Share classes'!$F$4:$F$203,MATCH(B166,'Share classes'!$B$4:$B$203,0)),""))</f>
        <v/>
      </c>
      <c r="N166" s="30">
        <f>IF(A166="","",IF(K166="","Unknown holder ID",IF(J166="","Unknown class code",IF(OR(C166="",D166=""),"Missing shares or date",IF(OR(C166&lt;0,C166&lt;&gt;INT(C166)),"Shares must be a whole number",IF(COUNTIFS($A$4:$A$2503,A166,$B$4:$B$2503,B166,$D$4:$D$2503,D166)&gt;1,"Duplicate row (same date)","OK"))))))</f>
        <v/>
      </c>
    </row>
    <row r="167">
      <c r="A167" s="26" t="n"/>
      <c r="B167" s="26" t="n"/>
      <c r="C167" s="34" t="n"/>
      <c r="D167" s="28" t="n"/>
      <c r="E167" s="26" t="n"/>
      <c r="F167" s="26" t="n"/>
      <c r="G167" s="26" t="n"/>
      <c r="H167" s="38" t="n"/>
      <c r="I167" s="28" t="n"/>
      <c r="J167" s="30">
        <f>IF(B167="","",IFERROR(INDEX('Share classes'!$A$4:$A$203,MATCH(B167,'Share classes'!$B$4:$B$203,0)),""))</f>
        <v/>
      </c>
      <c r="K167" s="30">
        <f>IF(A167="","",IFERROR(INDEX('Holders'!$B$4:$B$1003,MATCH(A167,'Holders'!$A$4:$A$1003,0)),""))</f>
        <v/>
      </c>
      <c r="L167" s="30">
        <f>IF(OR(A167="",B167="",D167=""),"",IF(D167=_xlfn.MAXIFS($D$4:$D$2503,$A$4:$A$2503,A167,$B$4:$B$2503,B167),"Yes","No"))</f>
        <v/>
      </c>
      <c r="M167" s="30">
        <f>IF(B167="","",IFERROR(INDEX('Share classes'!$F$4:$F$203,MATCH(B167,'Share classes'!$B$4:$B$203,0)),""))</f>
        <v/>
      </c>
      <c r="N167" s="30">
        <f>IF(A167="","",IF(K167="","Unknown holder ID",IF(J167="","Unknown class code",IF(OR(C167="",D167=""),"Missing shares or date",IF(OR(C167&lt;0,C167&lt;&gt;INT(C167)),"Shares must be a whole number",IF(COUNTIFS($A$4:$A$2503,A167,$B$4:$B$2503,B167,$D$4:$D$2503,D167)&gt;1,"Duplicate row (same date)","OK"))))))</f>
        <v/>
      </c>
    </row>
    <row r="168">
      <c r="A168" s="26" t="n"/>
      <c r="B168" s="26" t="n"/>
      <c r="C168" s="34" t="n"/>
      <c r="D168" s="28" t="n"/>
      <c r="E168" s="26" t="n"/>
      <c r="F168" s="26" t="n"/>
      <c r="G168" s="26" t="n"/>
      <c r="H168" s="38" t="n"/>
      <c r="I168" s="28" t="n"/>
      <c r="J168" s="30">
        <f>IF(B168="","",IFERROR(INDEX('Share classes'!$A$4:$A$203,MATCH(B168,'Share classes'!$B$4:$B$203,0)),""))</f>
        <v/>
      </c>
      <c r="K168" s="30">
        <f>IF(A168="","",IFERROR(INDEX('Holders'!$B$4:$B$1003,MATCH(A168,'Holders'!$A$4:$A$1003,0)),""))</f>
        <v/>
      </c>
      <c r="L168" s="30">
        <f>IF(OR(A168="",B168="",D168=""),"",IF(D168=_xlfn.MAXIFS($D$4:$D$2503,$A$4:$A$2503,A168,$B$4:$B$2503,B168),"Yes","No"))</f>
        <v/>
      </c>
      <c r="M168" s="30">
        <f>IF(B168="","",IFERROR(INDEX('Share classes'!$F$4:$F$203,MATCH(B168,'Share classes'!$B$4:$B$203,0)),""))</f>
        <v/>
      </c>
      <c r="N168" s="30">
        <f>IF(A168="","",IF(K168="","Unknown holder ID",IF(J168="","Unknown class code",IF(OR(C168="",D168=""),"Missing shares or date",IF(OR(C168&lt;0,C168&lt;&gt;INT(C168)),"Shares must be a whole number",IF(COUNTIFS($A$4:$A$2503,A168,$B$4:$B$2503,B168,$D$4:$D$2503,D168)&gt;1,"Duplicate row (same date)","OK"))))))</f>
        <v/>
      </c>
    </row>
    <row r="169">
      <c r="A169" s="26" t="n"/>
      <c r="B169" s="26" t="n"/>
      <c r="C169" s="34" t="n"/>
      <c r="D169" s="28" t="n"/>
      <c r="E169" s="26" t="n"/>
      <c r="F169" s="26" t="n"/>
      <c r="G169" s="26" t="n"/>
      <c r="H169" s="38" t="n"/>
      <c r="I169" s="28" t="n"/>
      <c r="J169" s="30">
        <f>IF(B169="","",IFERROR(INDEX('Share classes'!$A$4:$A$203,MATCH(B169,'Share classes'!$B$4:$B$203,0)),""))</f>
        <v/>
      </c>
      <c r="K169" s="30">
        <f>IF(A169="","",IFERROR(INDEX('Holders'!$B$4:$B$1003,MATCH(A169,'Holders'!$A$4:$A$1003,0)),""))</f>
        <v/>
      </c>
      <c r="L169" s="30">
        <f>IF(OR(A169="",B169="",D169=""),"",IF(D169=_xlfn.MAXIFS($D$4:$D$2503,$A$4:$A$2503,A169,$B$4:$B$2503,B169),"Yes","No"))</f>
        <v/>
      </c>
      <c r="M169" s="30">
        <f>IF(B169="","",IFERROR(INDEX('Share classes'!$F$4:$F$203,MATCH(B169,'Share classes'!$B$4:$B$203,0)),""))</f>
        <v/>
      </c>
      <c r="N169" s="30">
        <f>IF(A169="","",IF(K169="","Unknown holder ID",IF(J169="","Unknown class code",IF(OR(C169="",D169=""),"Missing shares or date",IF(OR(C169&lt;0,C169&lt;&gt;INT(C169)),"Shares must be a whole number",IF(COUNTIFS($A$4:$A$2503,A169,$B$4:$B$2503,B169,$D$4:$D$2503,D169)&gt;1,"Duplicate row (same date)","OK"))))))</f>
        <v/>
      </c>
    </row>
    <row r="170">
      <c r="A170" s="26" t="n"/>
      <c r="B170" s="26" t="n"/>
      <c r="C170" s="34" t="n"/>
      <c r="D170" s="28" t="n"/>
      <c r="E170" s="26" t="n"/>
      <c r="F170" s="26" t="n"/>
      <c r="G170" s="26" t="n"/>
      <c r="H170" s="38" t="n"/>
      <c r="I170" s="28" t="n"/>
      <c r="J170" s="30">
        <f>IF(B170="","",IFERROR(INDEX('Share classes'!$A$4:$A$203,MATCH(B170,'Share classes'!$B$4:$B$203,0)),""))</f>
        <v/>
      </c>
      <c r="K170" s="30">
        <f>IF(A170="","",IFERROR(INDEX('Holders'!$B$4:$B$1003,MATCH(A170,'Holders'!$A$4:$A$1003,0)),""))</f>
        <v/>
      </c>
      <c r="L170" s="30">
        <f>IF(OR(A170="",B170="",D170=""),"",IF(D170=_xlfn.MAXIFS($D$4:$D$2503,$A$4:$A$2503,A170,$B$4:$B$2503,B170),"Yes","No"))</f>
        <v/>
      </c>
      <c r="M170" s="30">
        <f>IF(B170="","",IFERROR(INDEX('Share classes'!$F$4:$F$203,MATCH(B170,'Share classes'!$B$4:$B$203,0)),""))</f>
        <v/>
      </c>
      <c r="N170" s="30">
        <f>IF(A170="","",IF(K170="","Unknown holder ID",IF(J170="","Unknown class code",IF(OR(C170="",D170=""),"Missing shares or date",IF(OR(C170&lt;0,C170&lt;&gt;INT(C170)),"Shares must be a whole number",IF(COUNTIFS($A$4:$A$2503,A170,$B$4:$B$2503,B170,$D$4:$D$2503,D170)&gt;1,"Duplicate row (same date)","OK"))))))</f>
        <v/>
      </c>
    </row>
    <row r="171">
      <c r="A171" s="26" t="n"/>
      <c r="B171" s="26" t="n"/>
      <c r="C171" s="34" t="n"/>
      <c r="D171" s="28" t="n"/>
      <c r="E171" s="26" t="n"/>
      <c r="F171" s="26" t="n"/>
      <c r="G171" s="26" t="n"/>
      <c r="H171" s="38" t="n"/>
      <c r="I171" s="28" t="n"/>
      <c r="J171" s="30">
        <f>IF(B171="","",IFERROR(INDEX('Share classes'!$A$4:$A$203,MATCH(B171,'Share classes'!$B$4:$B$203,0)),""))</f>
        <v/>
      </c>
      <c r="K171" s="30">
        <f>IF(A171="","",IFERROR(INDEX('Holders'!$B$4:$B$1003,MATCH(A171,'Holders'!$A$4:$A$1003,0)),""))</f>
        <v/>
      </c>
      <c r="L171" s="30">
        <f>IF(OR(A171="",B171="",D171=""),"",IF(D171=_xlfn.MAXIFS($D$4:$D$2503,$A$4:$A$2503,A171,$B$4:$B$2503,B171),"Yes","No"))</f>
        <v/>
      </c>
      <c r="M171" s="30">
        <f>IF(B171="","",IFERROR(INDEX('Share classes'!$F$4:$F$203,MATCH(B171,'Share classes'!$B$4:$B$203,0)),""))</f>
        <v/>
      </c>
      <c r="N171" s="30">
        <f>IF(A171="","",IF(K171="","Unknown holder ID",IF(J171="","Unknown class code",IF(OR(C171="",D171=""),"Missing shares or date",IF(OR(C171&lt;0,C171&lt;&gt;INT(C171)),"Shares must be a whole number",IF(COUNTIFS($A$4:$A$2503,A171,$B$4:$B$2503,B171,$D$4:$D$2503,D171)&gt;1,"Duplicate row (same date)","OK"))))))</f>
        <v/>
      </c>
    </row>
    <row r="172">
      <c r="A172" s="26" t="n"/>
      <c r="B172" s="26" t="n"/>
      <c r="C172" s="34" t="n"/>
      <c r="D172" s="28" t="n"/>
      <c r="E172" s="26" t="n"/>
      <c r="F172" s="26" t="n"/>
      <c r="G172" s="26" t="n"/>
      <c r="H172" s="38" t="n"/>
      <c r="I172" s="28" t="n"/>
      <c r="J172" s="30">
        <f>IF(B172="","",IFERROR(INDEX('Share classes'!$A$4:$A$203,MATCH(B172,'Share classes'!$B$4:$B$203,0)),""))</f>
        <v/>
      </c>
      <c r="K172" s="30">
        <f>IF(A172="","",IFERROR(INDEX('Holders'!$B$4:$B$1003,MATCH(A172,'Holders'!$A$4:$A$1003,0)),""))</f>
        <v/>
      </c>
      <c r="L172" s="30">
        <f>IF(OR(A172="",B172="",D172=""),"",IF(D172=_xlfn.MAXIFS($D$4:$D$2503,$A$4:$A$2503,A172,$B$4:$B$2503,B172),"Yes","No"))</f>
        <v/>
      </c>
      <c r="M172" s="30">
        <f>IF(B172="","",IFERROR(INDEX('Share classes'!$F$4:$F$203,MATCH(B172,'Share classes'!$B$4:$B$203,0)),""))</f>
        <v/>
      </c>
      <c r="N172" s="30">
        <f>IF(A172="","",IF(K172="","Unknown holder ID",IF(J172="","Unknown class code",IF(OR(C172="",D172=""),"Missing shares or date",IF(OR(C172&lt;0,C172&lt;&gt;INT(C172)),"Shares must be a whole number",IF(COUNTIFS($A$4:$A$2503,A172,$B$4:$B$2503,B172,$D$4:$D$2503,D172)&gt;1,"Duplicate row (same date)","OK"))))))</f>
        <v/>
      </c>
    </row>
    <row r="173">
      <c r="A173" s="26" t="n"/>
      <c r="B173" s="26" t="n"/>
      <c r="C173" s="34" t="n"/>
      <c r="D173" s="28" t="n"/>
      <c r="E173" s="26" t="n"/>
      <c r="F173" s="26" t="n"/>
      <c r="G173" s="26" t="n"/>
      <c r="H173" s="38" t="n"/>
      <c r="I173" s="28" t="n"/>
      <c r="J173" s="30">
        <f>IF(B173="","",IFERROR(INDEX('Share classes'!$A$4:$A$203,MATCH(B173,'Share classes'!$B$4:$B$203,0)),""))</f>
        <v/>
      </c>
      <c r="K173" s="30">
        <f>IF(A173="","",IFERROR(INDEX('Holders'!$B$4:$B$1003,MATCH(A173,'Holders'!$A$4:$A$1003,0)),""))</f>
        <v/>
      </c>
      <c r="L173" s="30">
        <f>IF(OR(A173="",B173="",D173=""),"",IF(D173=_xlfn.MAXIFS($D$4:$D$2503,$A$4:$A$2503,A173,$B$4:$B$2503,B173),"Yes","No"))</f>
        <v/>
      </c>
      <c r="M173" s="30">
        <f>IF(B173="","",IFERROR(INDEX('Share classes'!$F$4:$F$203,MATCH(B173,'Share classes'!$B$4:$B$203,0)),""))</f>
        <v/>
      </c>
      <c r="N173" s="30">
        <f>IF(A173="","",IF(K173="","Unknown holder ID",IF(J173="","Unknown class code",IF(OR(C173="",D173=""),"Missing shares or date",IF(OR(C173&lt;0,C173&lt;&gt;INT(C173)),"Shares must be a whole number",IF(COUNTIFS($A$4:$A$2503,A173,$B$4:$B$2503,B173,$D$4:$D$2503,D173)&gt;1,"Duplicate row (same date)","OK"))))))</f>
        <v/>
      </c>
    </row>
    <row r="174">
      <c r="A174" s="26" t="n"/>
      <c r="B174" s="26" t="n"/>
      <c r="C174" s="34" t="n"/>
      <c r="D174" s="28" t="n"/>
      <c r="E174" s="26" t="n"/>
      <c r="F174" s="26" t="n"/>
      <c r="G174" s="26" t="n"/>
      <c r="H174" s="38" t="n"/>
      <c r="I174" s="28" t="n"/>
      <c r="J174" s="30">
        <f>IF(B174="","",IFERROR(INDEX('Share classes'!$A$4:$A$203,MATCH(B174,'Share classes'!$B$4:$B$203,0)),""))</f>
        <v/>
      </c>
      <c r="K174" s="30">
        <f>IF(A174="","",IFERROR(INDEX('Holders'!$B$4:$B$1003,MATCH(A174,'Holders'!$A$4:$A$1003,0)),""))</f>
        <v/>
      </c>
      <c r="L174" s="30">
        <f>IF(OR(A174="",B174="",D174=""),"",IF(D174=_xlfn.MAXIFS($D$4:$D$2503,$A$4:$A$2503,A174,$B$4:$B$2503,B174),"Yes","No"))</f>
        <v/>
      </c>
      <c r="M174" s="30">
        <f>IF(B174="","",IFERROR(INDEX('Share classes'!$F$4:$F$203,MATCH(B174,'Share classes'!$B$4:$B$203,0)),""))</f>
        <v/>
      </c>
      <c r="N174" s="30">
        <f>IF(A174="","",IF(K174="","Unknown holder ID",IF(J174="","Unknown class code",IF(OR(C174="",D174=""),"Missing shares or date",IF(OR(C174&lt;0,C174&lt;&gt;INT(C174)),"Shares must be a whole number",IF(COUNTIFS($A$4:$A$2503,A174,$B$4:$B$2503,B174,$D$4:$D$2503,D174)&gt;1,"Duplicate row (same date)","OK"))))))</f>
        <v/>
      </c>
    </row>
    <row r="175">
      <c r="A175" s="26" t="n"/>
      <c r="B175" s="26" t="n"/>
      <c r="C175" s="34" t="n"/>
      <c r="D175" s="28" t="n"/>
      <c r="E175" s="26" t="n"/>
      <c r="F175" s="26" t="n"/>
      <c r="G175" s="26" t="n"/>
      <c r="H175" s="38" t="n"/>
      <c r="I175" s="28" t="n"/>
      <c r="J175" s="30">
        <f>IF(B175="","",IFERROR(INDEX('Share classes'!$A$4:$A$203,MATCH(B175,'Share classes'!$B$4:$B$203,0)),""))</f>
        <v/>
      </c>
      <c r="K175" s="30">
        <f>IF(A175="","",IFERROR(INDEX('Holders'!$B$4:$B$1003,MATCH(A175,'Holders'!$A$4:$A$1003,0)),""))</f>
        <v/>
      </c>
      <c r="L175" s="30">
        <f>IF(OR(A175="",B175="",D175=""),"",IF(D175=_xlfn.MAXIFS($D$4:$D$2503,$A$4:$A$2503,A175,$B$4:$B$2503,B175),"Yes","No"))</f>
        <v/>
      </c>
      <c r="M175" s="30">
        <f>IF(B175="","",IFERROR(INDEX('Share classes'!$F$4:$F$203,MATCH(B175,'Share classes'!$B$4:$B$203,0)),""))</f>
        <v/>
      </c>
      <c r="N175" s="30">
        <f>IF(A175="","",IF(K175="","Unknown holder ID",IF(J175="","Unknown class code",IF(OR(C175="",D175=""),"Missing shares or date",IF(OR(C175&lt;0,C175&lt;&gt;INT(C175)),"Shares must be a whole number",IF(COUNTIFS($A$4:$A$2503,A175,$B$4:$B$2503,B175,$D$4:$D$2503,D175)&gt;1,"Duplicate row (same date)","OK"))))))</f>
        <v/>
      </c>
    </row>
    <row r="176">
      <c r="A176" s="26" t="n"/>
      <c r="B176" s="26" t="n"/>
      <c r="C176" s="34" t="n"/>
      <c r="D176" s="28" t="n"/>
      <c r="E176" s="26" t="n"/>
      <c r="F176" s="26" t="n"/>
      <c r="G176" s="26" t="n"/>
      <c r="H176" s="38" t="n"/>
      <c r="I176" s="28" t="n"/>
      <c r="J176" s="30">
        <f>IF(B176="","",IFERROR(INDEX('Share classes'!$A$4:$A$203,MATCH(B176,'Share classes'!$B$4:$B$203,0)),""))</f>
        <v/>
      </c>
      <c r="K176" s="30">
        <f>IF(A176="","",IFERROR(INDEX('Holders'!$B$4:$B$1003,MATCH(A176,'Holders'!$A$4:$A$1003,0)),""))</f>
        <v/>
      </c>
      <c r="L176" s="30">
        <f>IF(OR(A176="",B176="",D176=""),"",IF(D176=_xlfn.MAXIFS($D$4:$D$2503,$A$4:$A$2503,A176,$B$4:$B$2503,B176),"Yes","No"))</f>
        <v/>
      </c>
      <c r="M176" s="30">
        <f>IF(B176="","",IFERROR(INDEX('Share classes'!$F$4:$F$203,MATCH(B176,'Share classes'!$B$4:$B$203,0)),""))</f>
        <v/>
      </c>
      <c r="N176" s="30">
        <f>IF(A176="","",IF(K176="","Unknown holder ID",IF(J176="","Unknown class code",IF(OR(C176="",D176=""),"Missing shares or date",IF(OR(C176&lt;0,C176&lt;&gt;INT(C176)),"Shares must be a whole number",IF(COUNTIFS($A$4:$A$2503,A176,$B$4:$B$2503,B176,$D$4:$D$2503,D176)&gt;1,"Duplicate row (same date)","OK"))))))</f>
        <v/>
      </c>
    </row>
    <row r="177">
      <c r="A177" s="26" t="n"/>
      <c r="B177" s="26" t="n"/>
      <c r="C177" s="34" t="n"/>
      <c r="D177" s="28" t="n"/>
      <c r="E177" s="26" t="n"/>
      <c r="F177" s="26" t="n"/>
      <c r="G177" s="26" t="n"/>
      <c r="H177" s="38" t="n"/>
      <c r="I177" s="28" t="n"/>
      <c r="J177" s="30">
        <f>IF(B177="","",IFERROR(INDEX('Share classes'!$A$4:$A$203,MATCH(B177,'Share classes'!$B$4:$B$203,0)),""))</f>
        <v/>
      </c>
      <c r="K177" s="30">
        <f>IF(A177="","",IFERROR(INDEX('Holders'!$B$4:$B$1003,MATCH(A177,'Holders'!$A$4:$A$1003,0)),""))</f>
        <v/>
      </c>
      <c r="L177" s="30">
        <f>IF(OR(A177="",B177="",D177=""),"",IF(D177=_xlfn.MAXIFS($D$4:$D$2503,$A$4:$A$2503,A177,$B$4:$B$2503,B177),"Yes","No"))</f>
        <v/>
      </c>
      <c r="M177" s="30">
        <f>IF(B177="","",IFERROR(INDEX('Share classes'!$F$4:$F$203,MATCH(B177,'Share classes'!$B$4:$B$203,0)),""))</f>
        <v/>
      </c>
      <c r="N177" s="30">
        <f>IF(A177="","",IF(K177="","Unknown holder ID",IF(J177="","Unknown class code",IF(OR(C177="",D177=""),"Missing shares or date",IF(OR(C177&lt;0,C177&lt;&gt;INT(C177)),"Shares must be a whole number",IF(COUNTIFS($A$4:$A$2503,A177,$B$4:$B$2503,B177,$D$4:$D$2503,D177)&gt;1,"Duplicate row (same date)","OK"))))))</f>
        <v/>
      </c>
    </row>
    <row r="178">
      <c r="A178" s="26" t="n"/>
      <c r="B178" s="26" t="n"/>
      <c r="C178" s="34" t="n"/>
      <c r="D178" s="28" t="n"/>
      <c r="E178" s="26" t="n"/>
      <c r="F178" s="26" t="n"/>
      <c r="G178" s="26" t="n"/>
      <c r="H178" s="38" t="n"/>
      <c r="I178" s="28" t="n"/>
      <c r="J178" s="30">
        <f>IF(B178="","",IFERROR(INDEX('Share classes'!$A$4:$A$203,MATCH(B178,'Share classes'!$B$4:$B$203,0)),""))</f>
        <v/>
      </c>
      <c r="K178" s="30">
        <f>IF(A178="","",IFERROR(INDEX('Holders'!$B$4:$B$1003,MATCH(A178,'Holders'!$A$4:$A$1003,0)),""))</f>
        <v/>
      </c>
      <c r="L178" s="30">
        <f>IF(OR(A178="",B178="",D178=""),"",IF(D178=_xlfn.MAXIFS($D$4:$D$2503,$A$4:$A$2503,A178,$B$4:$B$2503,B178),"Yes","No"))</f>
        <v/>
      </c>
      <c r="M178" s="30">
        <f>IF(B178="","",IFERROR(INDEX('Share classes'!$F$4:$F$203,MATCH(B178,'Share classes'!$B$4:$B$203,0)),""))</f>
        <v/>
      </c>
      <c r="N178" s="30">
        <f>IF(A178="","",IF(K178="","Unknown holder ID",IF(J178="","Unknown class code",IF(OR(C178="",D178=""),"Missing shares or date",IF(OR(C178&lt;0,C178&lt;&gt;INT(C178)),"Shares must be a whole number",IF(COUNTIFS($A$4:$A$2503,A178,$B$4:$B$2503,B178,$D$4:$D$2503,D178)&gt;1,"Duplicate row (same date)","OK"))))))</f>
        <v/>
      </c>
    </row>
    <row r="179">
      <c r="A179" s="26" t="n"/>
      <c r="B179" s="26" t="n"/>
      <c r="C179" s="34" t="n"/>
      <c r="D179" s="28" t="n"/>
      <c r="E179" s="26" t="n"/>
      <c r="F179" s="26" t="n"/>
      <c r="G179" s="26" t="n"/>
      <c r="H179" s="38" t="n"/>
      <c r="I179" s="28" t="n"/>
      <c r="J179" s="30">
        <f>IF(B179="","",IFERROR(INDEX('Share classes'!$A$4:$A$203,MATCH(B179,'Share classes'!$B$4:$B$203,0)),""))</f>
        <v/>
      </c>
      <c r="K179" s="30">
        <f>IF(A179="","",IFERROR(INDEX('Holders'!$B$4:$B$1003,MATCH(A179,'Holders'!$A$4:$A$1003,0)),""))</f>
        <v/>
      </c>
      <c r="L179" s="30">
        <f>IF(OR(A179="",B179="",D179=""),"",IF(D179=_xlfn.MAXIFS($D$4:$D$2503,$A$4:$A$2503,A179,$B$4:$B$2503,B179),"Yes","No"))</f>
        <v/>
      </c>
      <c r="M179" s="30">
        <f>IF(B179="","",IFERROR(INDEX('Share classes'!$F$4:$F$203,MATCH(B179,'Share classes'!$B$4:$B$203,0)),""))</f>
        <v/>
      </c>
      <c r="N179" s="30">
        <f>IF(A179="","",IF(K179="","Unknown holder ID",IF(J179="","Unknown class code",IF(OR(C179="",D179=""),"Missing shares or date",IF(OR(C179&lt;0,C179&lt;&gt;INT(C179)),"Shares must be a whole number",IF(COUNTIFS($A$4:$A$2503,A179,$B$4:$B$2503,B179,$D$4:$D$2503,D179)&gt;1,"Duplicate row (same date)","OK"))))))</f>
        <v/>
      </c>
    </row>
    <row r="180">
      <c r="A180" s="26" t="n"/>
      <c r="B180" s="26" t="n"/>
      <c r="C180" s="34" t="n"/>
      <c r="D180" s="28" t="n"/>
      <c r="E180" s="26" t="n"/>
      <c r="F180" s="26" t="n"/>
      <c r="G180" s="26" t="n"/>
      <c r="H180" s="38" t="n"/>
      <c r="I180" s="28" t="n"/>
      <c r="J180" s="30">
        <f>IF(B180="","",IFERROR(INDEX('Share classes'!$A$4:$A$203,MATCH(B180,'Share classes'!$B$4:$B$203,0)),""))</f>
        <v/>
      </c>
      <c r="K180" s="30">
        <f>IF(A180="","",IFERROR(INDEX('Holders'!$B$4:$B$1003,MATCH(A180,'Holders'!$A$4:$A$1003,0)),""))</f>
        <v/>
      </c>
      <c r="L180" s="30">
        <f>IF(OR(A180="",B180="",D180=""),"",IF(D180=_xlfn.MAXIFS($D$4:$D$2503,$A$4:$A$2503,A180,$B$4:$B$2503,B180),"Yes","No"))</f>
        <v/>
      </c>
      <c r="M180" s="30">
        <f>IF(B180="","",IFERROR(INDEX('Share classes'!$F$4:$F$203,MATCH(B180,'Share classes'!$B$4:$B$203,0)),""))</f>
        <v/>
      </c>
      <c r="N180" s="30">
        <f>IF(A180="","",IF(K180="","Unknown holder ID",IF(J180="","Unknown class code",IF(OR(C180="",D180=""),"Missing shares or date",IF(OR(C180&lt;0,C180&lt;&gt;INT(C180)),"Shares must be a whole number",IF(COUNTIFS($A$4:$A$2503,A180,$B$4:$B$2503,B180,$D$4:$D$2503,D180)&gt;1,"Duplicate row (same date)","OK"))))))</f>
        <v/>
      </c>
    </row>
    <row r="181">
      <c r="A181" s="26" t="n"/>
      <c r="B181" s="26" t="n"/>
      <c r="C181" s="34" t="n"/>
      <c r="D181" s="28" t="n"/>
      <c r="E181" s="26" t="n"/>
      <c r="F181" s="26" t="n"/>
      <c r="G181" s="26" t="n"/>
      <c r="H181" s="38" t="n"/>
      <c r="I181" s="28" t="n"/>
      <c r="J181" s="30">
        <f>IF(B181="","",IFERROR(INDEX('Share classes'!$A$4:$A$203,MATCH(B181,'Share classes'!$B$4:$B$203,0)),""))</f>
        <v/>
      </c>
      <c r="K181" s="30">
        <f>IF(A181="","",IFERROR(INDEX('Holders'!$B$4:$B$1003,MATCH(A181,'Holders'!$A$4:$A$1003,0)),""))</f>
        <v/>
      </c>
      <c r="L181" s="30">
        <f>IF(OR(A181="",B181="",D181=""),"",IF(D181=_xlfn.MAXIFS($D$4:$D$2503,$A$4:$A$2503,A181,$B$4:$B$2503,B181),"Yes","No"))</f>
        <v/>
      </c>
      <c r="M181" s="30">
        <f>IF(B181="","",IFERROR(INDEX('Share classes'!$F$4:$F$203,MATCH(B181,'Share classes'!$B$4:$B$203,0)),""))</f>
        <v/>
      </c>
      <c r="N181" s="30">
        <f>IF(A181="","",IF(K181="","Unknown holder ID",IF(J181="","Unknown class code",IF(OR(C181="",D181=""),"Missing shares or date",IF(OR(C181&lt;0,C181&lt;&gt;INT(C181)),"Shares must be a whole number",IF(COUNTIFS($A$4:$A$2503,A181,$B$4:$B$2503,B181,$D$4:$D$2503,D181)&gt;1,"Duplicate row (same date)","OK"))))))</f>
        <v/>
      </c>
    </row>
    <row r="182">
      <c r="A182" s="26" t="n"/>
      <c r="B182" s="26" t="n"/>
      <c r="C182" s="34" t="n"/>
      <c r="D182" s="28" t="n"/>
      <c r="E182" s="26" t="n"/>
      <c r="F182" s="26" t="n"/>
      <c r="G182" s="26" t="n"/>
      <c r="H182" s="38" t="n"/>
      <c r="I182" s="28" t="n"/>
      <c r="J182" s="30">
        <f>IF(B182="","",IFERROR(INDEX('Share classes'!$A$4:$A$203,MATCH(B182,'Share classes'!$B$4:$B$203,0)),""))</f>
        <v/>
      </c>
      <c r="K182" s="30">
        <f>IF(A182="","",IFERROR(INDEX('Holders'!$B$4:$B$1003,MATCH(A182,'Holders'!$A$4:$A$1003,0)),""))</f>
        <v/>
      </c>
      <c r="L182" s="30">
        <f>IF(OR(A182="",B182="",D182=""),"",IF(D182=_xlfn.MAXIFS($D$4:$D$2503,$A$4:$A$2503,A182,$B$4:$B$2503,B182),"Yes","No"))</f>
        <v/>
      </c>
      <c r="M182" s="30">
        <f>IF(B182="","",IFERROR(INDEX('Share classes'!$F$4:$F$203,MATCH(B182,'Share classes'!$B$4:$B$203,0)),""))</f>
        <v/>
      </c>
      <c r="N182" s="30">
        <f>IF(A182="","",IF(K182="","Unknown holder ID",IF(J182="","Unknown class code",IF(OR(C182="",D182=""),"Missing shares or date",IF(OR(C182&lt;0,C182&lt;&gt;INT(C182)),"Shares must be a whole number",IF(COUNTIFS($A$4:$A$2503,A182,$B$4:$B$2503,B182,$D$4:$D$2503,D182)&gt;1,"Duplicate row (same date)","OK"))))))</f>
        <v/>
      </c>
    </row>
    <row r="183">
      <c r="A183" s="26" t="n"/>
      <c r="B183" s="26" t="n"/>
      <c r="C183" s="34" t="n"/>
      <c r="D183" s="28" t="n"/>
      <c r="E183" s="26" t="n"/>
      <c r="F183" s="26" t="n"/>
      <c r="G183" s="26" t="n"/>
      <c r="H183" s="38" t="n"/>
      <c r="I183" s="28" t="n"/>
      <c r="J183" s="30">
        <f>IF(B183="","",IFERROR(INDEX('Share classes'!$A$4:$A$203,MATCH(B183,'Share classes'!$B$4:$B$203,0)),""))</f>
        <v/>
      </c>
      <c r="K183" s="30">
        <f>IF(A183="","",IFERROR(INDEX('Holders'!$B$4:$B$1003,MATCH(A183,'Holders'!$A$4:$A$1003,0)),""))</f>
        <v/>
      </c>
      <c r="L183" s="30">
        <f>IF(OR(A183="",B183="",D183=""),"",IF(D183=_xlfn.MAXIFS($D$4:$D$2503,$A$4:$A$2503,A183,$B$4:$B$2503,B183),"Yes","No"))</f>
        <v/>
      </c>
      <c r="M183" s="30">
        <f>IF(B183="","",IFERROR(INDEX('Share classes'!$F$4:$F$203,MATCH(B183,'Share classes'!$B$4:$B$203,0)),""))</f>
        <v/>
      </c>
      <c r="N183" s="30">
        <f>IF(A183="","",IF(K183="","Unknown holder ID",IF(J183="","Unknown class code",IF(OR(C183="",D183=""),"Missing shares or date",IF(OR(C183&lt;0,C183&lt;&gt;INT(C183)),"Shares must be a whole number",IF(COUNTIFS($A$4:$A$2503,A183,$B$4:$B$2503,B183,$D$4:$D$2503,D183)&gt;1,"Duplicate row (same date)","OK"))))))</f>
        <v/>
      </c>
    </row>
    <row r="184">
      <c r="A184" s="26" t="n"/>
      <c r="B184" s="26" t="n"/>
      <c r="C184" s="34" t="n"/>
      <c r="D184" s="28" t="n"/>
      <c r="E184" s="26" t="n"/>
      <c r="F184" s="26" t="n"/>
      <c r="G184" s="26" t="n"/>
      <c r="H184" s="38" t="n"/>
      <c r="I184" s="28" t="n"/>
      <c r="J184" s="30">
        <f>IF(B184="","",IFERROR(INDEX('Share classes'!$A$4:$A$203,MATCH(B184,'Share classes'!$B$4:$B$203,0)),""))</f>
        <v/>
      </c>
      <c r="K184" s="30">
        <f>IF(A184="","",IFERROR(INDEX('Holders'!$B$4:$B$1003,MATCH(A184,'Holders'!$A$4:$A$1003,0)),""))</f>
        <v/>
      </c>
      <c r="L184" s="30">
        <f>IF(OR(A184="",B184="",D184=""),"",IF(D184=_xlfn.MAXIFS($D$4:$D$2503,$A$4:$A$2503,A184,$B$4:$B$2503,B184),"Yes","No"))</f>
        <v/>
      </c>
      <c r="M184" s="30">
        <f>IF(B184="","",IFERROR(INDEX('Share classes'!$F$4:$F$203,MATCH(B184,'Share classes'!$B$4:$B$203,0)),""))</f>
        <v/>
      </c>
      <c r="N184" s="30">
        <f>IF(A184="","",IF(K184="","Unknown holder ID",IF(J184="","Unknown class code",IF(OR(C184="",D184=""),"Missing shares or date",IF(OR(C184&lt;0,C184&lt;&gt;INT(C184)),"Shares must be a whole number",IF(COUNTIFS($A$4:$A$2503,A184,$B$4:$B$2503,B184,$D$4:$D$2503,D184)&gt;1,"Duplicate row (same date)","OK"))))))</f>
        <v/>
      </c>
    </row>
    <row r="185">
      <c r="A185" s="26" t="n"/>
      <c r="B185" s="26" t="n"/>
      <c r="C185" s="34" t="n"/>
      <c r="D185" s="28" t="n"/>
      <c r="E185" s="26" t="n"/>
      <c r="F185" s="26" t="n"/>
      <c r="G185" s="26" t="n"/>
      <c r="H185" s="38" t="n"/>
      <c r="I185" s="28" t="n"/>
      <c r="J185" s="30">
        <f>IF(B185="","",IFERROR(INDEX('Share classes'!$A$4:$A$203,MATCH(B185,'Share classes'!$B$4:$B$203,0)),""))</f>
        <v/>
      </c>
      <c r="K185" s="30">
        <f>IF(A185="","",IFERROR(INDEX('Holders'!$B$4:$B$1003,MATCH(A185,'Holders'!$A$4:$A$1003,0)),""))</f>
        <v/>
      </c>
      <c r="L185" s="30">
        <f>IF(OR(A185="",B185="",D185=""),"",IF(D185=_xlfn.MAXIFS($D$4:$D$2503,$A$4:$A$2503,A185,$B$4:$B$2503,B185),"Yes","No"))</f>
        <v/>
      </c>
      <c r="M185" s="30">
        <f>IF(B185="","",IFERROR(INDEX('Share classes'!$F$4:$F$203,MATCH(B185,'Share classes'!$B$4:$B$203,0)),""))</f>
        <v/>
      </c>
      <c r="N185" s="30">
        <f>IF(A185="","",IF(K185="","Unknown holder ID",IF(J185="","Unknown class code",IF(OR(C185="",D185=""),"Missing shares or date",IF(OR(C185&lt;0,C185&lt;&gt;INT(C185)),"Shares must be a whole number",IF(COUNTIFS($A$4:$A$2503,A185,$B$4:$B$2503,B185,$D$4:$D$2503,D185)&gt;1,"Duplicate row (same date)","OK"))))))</f>
        <v/>
      </c>
    </row>
    <row r="186">
      <c r="A186" s="26" t="n"/>
      <c r="B186" s="26" t="n"/>
      <c r="C186" s="34" t="n"/>
      <c r="D186" s="28" t="n"/>
      <c r="E186" s="26" t="n"/>
      <c r="F186" s="26" t="n"/>
      <c r="G186" s="26" t="n"/>
      <c r="H186" s="38" t="n"/>
      <c r="I186" s="28" t="n"/>
      <c r="J186" s="30">
        <f>IF(B186="","",IFERROR(INDEX('Share classes'!$A$4:$A$203,MATCH(B186,'Share classes'!$B$4:$B$203,0)),""))</f>
        <v/>
      </c>
      <c r="K186" s="30">
        <f>IF(A186="","",IFERROR(INDEX('Holders'!$B$4:$B$1003,MATCH(A186,'Holders'!$A$4:$A$1003,0)),""))</f>
        <v/>
      </c>
      <c r="L186" s="30">
        <f>IF(OR(A186="",B186="",D186=""),"",IF(D186=_xlfn.MAXIFS($D$4:$D$2503,$A$4:$A$2503,A186,$B$4:$B$2503,B186),"Yes","No"))</f>
        <v/>
      </c>
      <c r="M186" s="30">
        <f>IF(B186="","",IFERROR(INDEX('Share classes'!$F$4:$F$203,MATCH(B186,'Share classes'!$B$4:$B$203,0)),""))</f>
        <v/>
      </c>
      <c r="N186" s="30">
        <f>IF(A186="","",IF(K186="","Unknown holder ID",IF(J186="","Unknown class code",IF(OR(C186="",D186=""),"Missing shares or date",IF(OR(C186&lt;0,C186&lt;&gt;INT(C186)),"Shares must be a whole number",IF(COUNTIFS($A$4:$A$2503,A186,$B$4:$B$2503,B186,$D$4:$D$2503,D186)&gt;1,"Duplicate row (same date)","OK"))))))</f>
        <v/>
      </c>
    </row>
    <row r="187">
      <c r="A187" s="26" t="n"/>
      <c r="B187" s="26" t="n"/>
      <c r="C187" s="34" t="n"/>
      <c r="D187" s="28" t="n"/>
      <c r="E187" s="26" t="n"/>
      <c r="F187" s="26" t="n"/>
      <c r="G187" s="26" t="n"/>
      <c r="H187" s="38" t="n"/>
      <c r="I187" s="28" t="n"/>
      <c r="J187" s="30">
        <f>IF(B187="","",IFERROR(INDEX('Share classes'!$A$4:$A$203,MATCH(B187,'Share classes'!$B$4:$B$203,0)),""))</f>
        <v/>
      </c>
      <c r="K187" s="30">
        <f>IF(A187="","",IFERROR(INDEX('Holders'!$B$4:$B$1003,MATCH(A187,'Holders'!$A$4:$A$1003,0)),""))</f>
        <v/>
      </c>
      <c r="L187" s="30">
        <f>IF(OR(A187="",B187="",D187=""),"",IF(D187=_xlfn.MAXIFS($D$4:$D$2503,$A$4:$A$2503,A187,$B$4:$B$2503,B187),"Yes","No"))</f>
        <v/>
      </c>
      <c r="M187" s="30">
        <f>IF(B187="","",IFERROR(INDEX('Share classes'!$F$4:$F$203,MATCH(B187,'Share classes'!$B$4:$B$203,0)),""))</f>
        <v/>
      </c>
      <c r="N187" s="30">
        <f>IF(A187="","",IF(K187="","Unknown holder ID",IF(J187="","Unknown class code",IF(OR(C187="",D187=""),"Missing shares or date",IF(OR(C187&lt;0,C187&lt;&gt;INT(C187)),"Shares must be a whole number",IF(COUNTIFS($A$4:$A$2503,A187,$B$4:$B$2503,B187,$D$4:$D$2503,D187)&gt;1,"Duplicate row (same date)","OK"))))))</f>
        <v/>
      </c>
    </row>
    <row r="188">
      <c r="A188" s="26" t="n"/>
      <c r="B188" s="26" t="n"/>
      <c r="C188" s="34" t="n"/>
      <c r="D188" s="28" t="n"/>
      <c r="E188" s="26" t="n"/>
      <c r="F188" s="26" t="n"/>
      <c r="G188" s="26" t="n"/>
      <c r="H188" s="38" t="n"/>
      <c r="I188" s="28" t="n"/>
      <c r="J188" s="30">
        <f>IF(B188="","",IFERROR(INDEX('Share classes'!$A$4:$A$203,MATCH(B188,'Share classes'!$B$4:$B$203,0)),""))</f>
        <v/>
      </c>
      <c r="K188" s="30">
        <f>IF(A188="","",IFERROR(INDEX('Holders'!$B$4:$B$1003,MATCH(A188,'Holders'!$A$4:$A$1003,0)),""))</f>
        <v/>
      </c>
      <c r="L188" s="30">
        <f>IF(OR(A188="",B188="",D188=""),"",IF(D188=_xlfn.MAXIFS($D$4:$D$2503,$A$4:$A$2503,A188,$B$4:$B$2503,B188),"Yes","No"))</f>
        <v/>
      </c>
      <c r="M188" s="30">
        <f>IF(B188="","",IFERROR(INDEX('Share classes'!$F$4:$F$203,MATCH(B188,'Share classes'!$B$4:$B$203,0)),""))</f>
        <v/>
      </c>
      <c r="N188" s="30">
        <f>IF(A188="","",IF(K188="","Unknown holder ID",IF(J188="","Unknown class code",IF(OR(C188="",D188=""),"Missing shares or date",IF(OR(C188&lt;0,C188&lt;&gt;INT(C188)),"Shares must be a whole number",IF(COUNTIFS($A$4:$A$2503,A188,$B$4:$B$2503,B188,$D$4:$D$2503,D188)&gt;1,"Duplicate row (same date)","OK"))))))</f>
        <v/>
      </c>
    </row>
    <row r="189">
      <c r="A189" s="26" t="n"/>
      <c r="B189" s="26" t="n"/>
      <c r="C189" s="34" t="n"/>
      <c r="D189" s="28" t="n"/>
      <c r="E189" s="26" t="n"/>
      <c r="F189" s="26" t="n"/>
      <c r="G189" s="26" t="n"/>
      <c r="H189" s="38" t="n"/>
      <c r="I189" s="28" t="n"/>
      <c r="J189" s="30">
        <f>IF(B189="","",IFERROR(INDEX('Share classes'!$A$4:$A$203,MATCH(B189,'Share classes'!$B$4:$B$203,0)),""))</f>
        <v/>
      </c>
      <c r="K189" s="30">
        <f>IF(A189="","",IFERROR(INDEX('Holders'!$B$4:$B$1003,MATCH(A189,'Holders'!$A$4:$A$1003,0)),""))</f>
        <v/>
      </c>
      <c r="L189" s="30">
        <f>IF(OR(A189="",B189="",D189=""),"",IF(D189=_xlfn.MAXIFS($D$4:$D$2503,$A$4:$A$2503,A189,$B$4:$B$2503,B189),"Yes","No"))</f>
        <v/>
      </c>
      <c r="M189" s="30">
        <f>IF(B189="","",IFERROR(INDEX('Share classes'!$F$4:$F$203,MATCH(B189,'Share classes'!$B$4:$B$203,0)),""))</f>
        <v/>
      </c>
      <c r="N189" s="30">
        <f>IF(A189="","",IF(K189="","Unknown holder ID",IF(J189="","Unknown class code",IF(OR(C189="",D189=""),"Missing shares or date",IF(OR(C189&lt;0,C189&lt;&gt;INT(C189)),"Shares must be a whole number",IF(COUNTIFS($A$4:$A$2503,A189,$B$4:$B$2503,B189,$D$4:$D$2503,D189)&gt;1,"Duplicate row (same date)","OK"))))))</f>
        <v/>
      </c>
    </row>
    <row r="190">
      <c r="A190" s="26" t="n"/>
      <c r="B190" s="26" t="n"/>
      <c r="C190" s="34" t="n"/>
      <c r="D190" s="28" t="n"/>
      <c r="E190" s="26" t="n"/>
      <c r="F190" s="26" t="n"/>
      <c r="G190" s="26" t="n"/>
      <c r="H190" s="38" t="n"/>
      <c r="I190" s="28" t="n"/>
      <c r="J190" s="30">
        <f>IF(B190="","",IFERROR(INDEX('Share classes'!$A$4:$A$203,MATCH(B190,'Share classes'!$B$4:$B$203,0)),""))</f>
        <v/>
      </c>
      <c r="K190" s="30">
        <f>IF(A190="","",IFERROR(INDEX('Holders'!$B$4:$B$1003,MATCH(A190,'Holders'!$A$4:$A$1003,0)),""))</f>
        <v/>
      </c>
      <c r="L190" s="30">
        <f>IF(OR(A190="",B190="",D190=""),"",IF(D190=_xlfn.MAXIFS($D$4:$D$2503,$A$4:$A$2503,A190,$B$4:$B$2503,B190),"Yes","No"))</f>
        <v/>
      </c>
      <c r="M190" s="30">
        <f>IF(B190="","",IFERROR(INDEX('Share classes'!$F$4:$F$203,MATCH(B190,'Share classes'!$B$4:$B$203,0)),""))</f>
        <v/>
      </c>
      <c r="N190" s="30">
        <f>IF(A190="","",IF(K190="","Unknown holder ID",IF(J190="","Unknown class code",IF(OR(C190="",D190=""),"Missing shares or date",IF(OR(C190&lt;0,C190&lt;&gt;INT(C190)),"Shares must be a whole number",IF(COUNTIFS($A$4:$A$2503,A190,$B$4:$B$2503,B190,$D$4:$D$2503,D190)&gt;1,"Duplicate row (same date)","OK"))))))</f>
        <v/>
      </c>
    </row>
    <row r="191">
      <c r="A191" s="26" t="n"/>
      <c r="B191" s="26" t="n"/>
      <c r="C191" s="34" t="n"/>
      <c r="D191" s="28" t="n"/>
      <c r="E191" s="26" t="n"/>
      <c r="F191" s="26" t="n"/>
      <c r="G191" s="26" t="n"/>
      <c r="H191" s="38" t="n"/>
      <c r="I191" s="28" t="n"/>
      <c r="J191" s="30">
        <f>IF(B191="","",IFERROR(INDEX('Share classes'!$A$4:$A$203,MATCH(B191,'Share classes'!$B$4:$B$203,0)),""))</f>
        <v/>
      </c>
      <c r="K191" s="30">
        <f>IF(A191="","",IFERROR(INDEX('Holders'!$B$4:$B$1003,MATCH(A191,'Holders'!$A$4:$A$1003,0)),""))</f>
        <v/>
      </c>
      <c r="L191" s="30">
        <f>IF(OR(A191="",B191="",D191=""),"",IF(D191=_xlfn.MAXIFS($D$4:$D$2503,$A$4:$A$2503,A191,$B$4:$B$2503,B191),"Yes","No"))</f>
        <v/>
      </c>
      <c r="M191" s="30">
        <f>IF(B191="","",IFERROR(INDEX('Share classes'!$F$4:$F$203,MATCH(B191,'Share classes'!$B$4:$B$203,0)),""))</f>
        <v/>
      </c>
      <c r="N191" s="30">
        <f>IF(A191="","",IF(K191="","Unknown holder ID",IF(J191="","Unknown class code",IF(OR(C191="",D191=""),"Missing shares or date",IF(OR(C191&lt;0,C191&lt;&gt;INT(C191)),"Shares must be a whole number",IF(COUNTIFS($A$4:$A$2503,A191,$B$4:$B$2503,B191,$D$4:$D$2503,D191)&gt;1,"Duplicate row (same date)","OK"))))))</f>
        <v/>
      </c>
    </row>
    <row r="192">
      <c r="A192" s="26" t="n"/>
      <c r="B192" s="26" t="n"/>
      <c r="C192" s="34" t="n"/>
      <c r="D192" s="28" t="n"/>
      <c r="E192" s="26" t="n"/>
      <c r="F192" s="26" t="n"/>
      <c r="G192" s="26" t="n"/>
      <c r="H192" s="38" t="n"/>
      <c r="I192" s="28" t="n"/>
      <c r="J192" s="30">
        <f>IF(B192="","",IFERROR(INDEX('Share classes'!$A$4:$A$203,MATCH(B192,'Share classes'!$B$4:$B$203,0)),""))</f>
        <v/>
      </c>
      <c r="K192" s="30">
        <f>IF(A192="","",IFERROR(INDEX('Holders'!$B$4:$B$1003,MATCH(A192,'Holders'!$A$4:$A$1003,0)),""))</f>
        <v/>
      </c>
      <c r="L192" s="30">
        <f>IF(OR(A192="",B192="",D192=""),"",IF(D192=_xlfn.MAXIFS($D$4:$D$2503,$A$4:$A$2503,A192,$B$4:$B$2503,B192),"Yes","No"))</f>
        <v/>
      </c>
      <c r="M192" s="30">
        <f>IF(B192="","",IFERROR(INDEX('Share classes'!$F$4:$F$203,MATCH(B192,'Share classes'!$B$4:$B$203,0)),""))</f>
        <v/>
      </c>
      <c r="N192" s="30">
        <f>IF(A192="","",IF(K192="","Unknown holder ID",IF(J192="","Unknown class code",IF(OR(C192="",D192=""),"Missing shares or date",IF(OR(C192&lt;0,C192&lt;&gt;INT(C192)),"Shares must be a whole number",IF(COUNTIFS($A$4:$A$2503,A192,$B$4:$B$2503,B192,$D$4:$D$2503,D192)&gt;1,"Duplicate row (same date)","OK"))))))</f>
        <v/>
      </c>
    </row>
    <row r="193">
      <c r="A193" s="26" t="n"/>
      <c r="B193" s="26" t="n"/>
      <c r="C193" s="34" t="n"/>
      <c r="D193" s="28" t="n"/>
      <c r="E193" s="26" t="n"/>
      <c r="F193" s="26" t="n"/>
      <c r="G193" s="26" t="n"/>
      <c r="H193" s="38" t="n"/>
      <c r="I193" s="28" t="n"/>
      <c r="J193" s="30">
        <f>IF(B193="","",IFERROR(INDEX('Share classes'!$A$4:$A$203,MATCH(B193,'Share classes'!$B$4:$B$203,0)),""))</f>
        <v/>
      </c>
      <c r="K193" s="30">
        <f>IF(A193="","",IFERROR(INDEX('Holders'!$B$4:$B$1003,MATCH(A193,'Holders'!$A$4:$A$1003,0)),""))</f>
        <v/>
      </c>
      <c r="L193" s="30">
        <f>IF(OR(A193="",B193="",D193=""),"",IF(D193=_xlfn.MAXIFS($D$4:$D$2503,$A$4:$A$2503,A193,$B$4:$B$2503,B193),"Yes","No"))</f>
        <v/>
      </c>
      <c r="M193" s="30">
        <f>IF(B193="","",IFERROR(INDEX('Share classes'!$F$4:$F$203,MATCH(B193,'Share classes'!$B$4:$B$203,0)),""))</f>
        <v/>
      </c>
      <c r="N193" s="30">
        <f>IF(A193="","",IF(K193="","Unknown holder ID",IF(J193="","Unknown class code",IF(OR(C193="",D193=""),"Missing shares or date",IF(OR(C193&lt;0,C193&lt;&gt;INT(C193)),"Shares must be a whole number",IF(COUNTIFS($A$4:$A$2503,A193,$B$4:$B$2503,B193,$D$4:$D$2503,D193)&gt;1,"Duplicate row (same date)","OK"))))))</f>
        <v/>
      </c>
    </row>
    <row r="194">
      <c r="A194" s="26" t="n"/>
      <c r="B194" s="26" t="n"/>
      <c r="C194" s="34" t="n"/>
      <c r="D194" s="28" t="n"/>
      <c r="E194" s="26" t="n"/>
      <c r="F194" s="26" t="n"/>
      <c r="G194" s="26" t="n"/>
      <c r="H194" s="38" t="n"/>
      <c r="I194" s="28" t="n"/>
      <c r="J194" s="30">
        <f>IF(B194="","",IFERROR(INDEX('Share classes'!$A$4:$A$203,MATCH(B194,'Share classes'!$B$4:$B$203,0)),""))</f>
        <v/>
      </c>
      <c r="K194" s="30">
        <f>IF(A194="","",IFERROR(INDEX('Holders'!$B$4:$B$1003,MATCH(A194,'Holders'!$A$4:$A$1003,0)),""))</f>
        <v/>
      </c>
      <c r="L194" s="30">
        <f>IF(OR(A194="",B194="",D194=""),"",IF(D194=_xlfn.MAXIFS($D$4:$D$2503,$A$4:$A$2503,A194,$B$4:$B$2503,B194),"Yes","No"))</f>
        <v/>
      </c>
      <c r="M194" s="30">
        <f>IF(B194="","",IFERROR(INDEX('Share classes'!$F$4:$F$203,MATCH(B194,'Share classes'!$B$4:$B$203,0)),""))</f>
        <v/>
      </c>
      <c r="N194" s="30">
        <f>IF(A194="","",IF(K194="","Unknown holder ID",IF(J194="","Unknown class code",IF(OR(C194="",D194=""),"Missing shares or date",IF(OR(C194&lt;0,C194&lt;&gt;INT(C194)),"Shares must be a whole number",IF(COUNTIFS($A$4:$A$2503,A194,$B$4:$B$2503,B194,$D$4:$D$2503,D194)&gt;1,"Duplicate row (same date)","OK"))))))</f>
        <v/>
      </c>
    </row>
    <row r="195">
      <c r="A195" s="26" t="n"/>
      <c r="B195" s="26" t="n"/>
      <c r="C195" s="34" t="n"/>
      <c r="D195" s="28" t="n"/>
      <c r="E195" s="26" t="n"/>
      <c r="F195" s="26" t="n"/>
      <c r="G195" s="26" t="n"/>
      <c r="H195" s="38" t="n"/>
      <c r="I195" s="28" t="n"/>
      <c r="J195" s="30">
        <f>IF(B195="","",IFERROR(INDEX('Share classes'!$A$4:$A$203,MATCH(B195,'Share classes'!$B$4:$B$203,0)),""))</f>
        <v/>
      </c>
      <c r="K195" s="30">
        <f>IF(A195="","",IFERROR(INDEX('Holders'!$B$4:$B$1003,MATCH(A195,'Holders'!$A$4:$A$1003,0)),""))</f>
        <v/>
      </c>
      <c r="L195" s="30">
        <f>IF(OR(A195="",B195="",D195=""),"",IF(D195=_xlfn.MAXIFS($D$4:$D$2503,$A$4:$A$2503,A195,$B$4:$B$2503,B195),"Yes","No"))</f>
        <v/>
      </c>
      <c r="M195" s="30">
        <f>IF(B195="","",IFERROR(INDEX('Share classes'!$F$4:$F$203,MATCH(B195,'Share classes'!$B$4:$B$203,0)),""))</f>
        <v/>
      </c>
      <c r="N195" s="30">
        <f>IF(A195="","",IF(K195="","Unknown holder ID",IF(J195="","Unknown class code",IF(OR(C195="",D195=""),"Missing shares or date",IF(OR(C195&lt;0,C195&lt;&gt;INT(C195)),"Shares must be a whole number",IF(COUNTIFS($A$4:$A$2503,A195,$B$4:$B$2503,B195,$D$4:$D$2503,D195)&gt;1,"Duplicate row (same date)","OK"))))))</f>
        <v/>
      </c>
    </row>
    <row r="196">
      <c r="A196" s="26" t="n"/>
      <c r="B196" s="26" t="n"/>
      <c r="C196" s="34" t="n"/>
      <c r="D196" s="28" t="n"/>
      <c r="E196" s="26" t="n"/>
      <c r="F196" s="26" t="n"/>
      <c r="G196" s="26" t="n"/>
      <c r="H196" s="38" t="n"/>
      <c r="I196" s="28" t="n"/>
      <c r="J196" s="30">
        <f>IF(B196="","",IFERROR(INDEX('Share classes'!$A$4:$A$203,MATCH(B196,'Share classes'!$B$4:$B$203,0)),""))</f>
        <v/>
      </c>
      <c r="K196" s="30">
        <f>IF(A196="","",IFERROR(INDEX('Holders'!$B$4:$B$1003,MATCH(A196,'Holders'!$A$4:$A$1003,0)),""))</f>
        <v/>
      </c>
      <c r="L196" s="30">
        <f>IF(OR(A196="",B196="",D196=""),"",IF(D196=_xlfn.MAXIFS($D$4:$D$2503,$A$4:$A$2503,A196,$B$4:$B$2503,B196),"Yes","No"))</f>
        <v/>
      </c>
      <c r="M196" s="30">
        <f>IF(B196="","",IFERROR(INDEX('Share classes'!$F$4:$F$203,MATCH(B196,'Share classes'!$B$4:$B$203,0)),""))</f>
        <v/>
      </c>
      <c r="N196" s="30">
        <f>IF(A196="","",IF(K196="","Unknown holder ID",IF(J196="","Unknown class code",IF(OR(C196="",D196=""),"Missing shares or date",IF(OR(C196&lt;0,C196&lt;&gt;INT(C196)),"Shares must be a whole number",IF(COUNTIFS($A$4:$A$2503,A196,$B$4:$B$2503,B196,$D$4:$D$2503,D196)&gt;1,"Duplicate row (same date)","OK"))))))</f>
        <v/>
      </c>
    </row>
    <row r="197">
      <c r="A197" s="26" t="n"/>
      <c r="B197" s="26" t="n"/>
      <c r="C197" s="34" t="n"/>
      <c r="D197" s="28" t="n"/>
      <c r="E197" s="26" t="n"/>
      <c r="F197" s="26" t="n"/>
      <c r="G197" s="26" t="n"/>
      <c r="H197" s="38" t="n"/>
      <c r="I197" s="28" t="n"/>
      <c r="J197" s="30">
        <f>IF(B197="","",IFERROR(INDEX('Share classes'!$A$4:$A$203,MATCH(B197,'Share classes'!$B$4:$B$203,0)),""))</f>
        <v/>
      </c>
      <c r="K197" s="30">
        <f>IF(A197="","",IFERROR(INDEX('Holders'!$B$4:$B$1003,MATCH(A197,'Holders'!$A$4:$A$1003,0)),""))</f>
        <v/>
      </c>
      <c r="L197" s="30">
        <f>IF(OR(A197="",B197="",D197=""),"",IF(D197=_xlfn.MAXIFS($D$4:$D$2503,$A$4:$A$2503,A197,$B$4:$B$2503,B197),"Yes","No"))</f>
        <v/>
      </c>
      <c r="M197" s="30">
        <f>IF(B197="","",IFERROR(INDEX('Share classes'!$F$4:$F$203,MATCH(B197,'Share classes'!$B$4:$B$203,0)),""))</f>
        <v/>
      </c>
      <c r="N197" s="30">
        <f>IF(A197="","",IF(K197="","Unknown holder ID",IF(J197="","Unknown class code",IF(OR(C197="",D197=""),"Missing shares or date",IF(OR(C197&lt;0,C197&lt;&gt;INT(C197)),"Shares must be a whole number",IF(COUNTIFS($A$4:$A$2503,A197,$B$4:$B$2503,B197,$D$4:$D$2503,D197)&gt;1,"Duplicate row (same date)","OK"))))))</f>
        <v/>
      </c>
    </row>
    <row r="198">
      <c r="A198" s="26" t="n"/>
      <c r="B198" s="26" t="n"/>
      <c r="C198" s="34" t="n"/>
      <c r="D198" s="28" t="n"/>
      <c r="E198" s="26" t="n"/>
      <c r="F198" s="26" t="n"/>
      <c r="G198" s="26" t="n"/>
      <c r="H198" s="38" t="n"/>
      <c r="I198" s="28" t="n"/>
      <c r="J198" s="30">
        <f>IF(B198="","",IFERROR(INDEX('Share classes'!$A$4:$A$203,MATCH(B198,'Share classes'!$B$4:$B$203,0)),""))</f>
        <v/>
      </c>
      <c r="K198" s="30">
        <f>IF(A198="","",IFERROR(INDEX('Holders'!$B$4:$B$1003,MATCH(A198,'Holders'!$A$4:$A$1003,0)),""))</f>
        <v/>
      </c>
      <c r="L198" s="30">
        <f>IF(OR(A198="",B198="",D198=""),"",IF(D198=_xlfn.MAXIFS($D$4:$D$2503,$A$4:$A$2503,A198,$B$4:$B$2503,B198),"Yes","No"))</f>
        <v/>
      </c>
      <c r="M198" s="30">
        <f>IF(B198="","",IFERROR(INDEX('Share classes'!$F$4:$F$203,MATCH(B198,'Share classes'!$B$4:$B$203,0)),""))</f>
        <v/>
      </c>
      <c r="N198" s="30">
        <f>IF(A198="","",IF(K198="","Unknown holder ID",IF(J198="","Unknown class code",IF(OR(C198="",D198=""),"Missing shares or date",IF(OR(C198&lt;0,C198&lt;&gt;INT(C198)),"Shares must be a whole number",IF(COUNTIFS($A$4:$A$2503,A198,$B$4:$B$2503,B198,$D$4:$D$2503,D198)&gt;1,"Duplicate row (same date)","OK"))))))</f>
        <v/>
      </c>
    </row>
    <row r="199">
      <c r="A199" s="26" t="n"/>
      <c r="B199" s="26" t="n"/>
      <c r="C199" s="34" t="n"/>
      <c r="D199" s="28" t="n"/>
      <c r="E199" s="26" t="n"/>
      <c r="F199" s="26" t="n"/>
      <c r="G199" s="26" t="n"/>
      <c r="H199" s="38" t="n"/>
      <c r="I199" s="28" t="n"/>
      <c r="J199" s="30">
        <f>IF(B199="","",IFERROR(INDEX('Share classes'!$A$4:$A$203,MATCH(B199,'Share classes'!$B$4:$B$203,0)),""))</f>
        <v/>
      </c>
      <c r="K199" s="30">
        <f>IF(A199="","",IFERROR(INDEX('Holders'!$B$4:$B$1003,MATCH(A199,'Holders'!$A$4:$A$1003,0)),""))</f>
        <v/>
      </c>
      <c r="L199" s="30">
        <f>IF(OR(A199="",B199="",D199=""),"",IF(D199=_xlfn.MAXIFS($D$4:$D$2503,$A$4:$A$2503,A199,$B$4:$B$2503,B199),"Yes","No"))</f>
        <v/>
      </c>
      <c r="M199" s="30">
        <f>IF(B199="","",IFERROR(INDEX('Share classes'!$F$4:$F$203,MATCH(B199,'Share classes'!$B$4:$B$203,0)),""))</f>
        <v/>
      </c>
      <c r="N199" s="30">
        <f>IF(A199="","",IF(K199="","Unknown holder ID",IF(J199="","Unknown class code",IF(OR(C199="",D199=""),"Missing shares or date",IF(OR(C199&lt;0,C199&lt;&gt;INT(C199)),"Shares must be a whole number",IF(COUNTIFS($A$4:$A$2503,A199,$B$4:$B$2503,B199,$D$4:$D$2503,D199)&gt;1,"Duplicate row (same date)","OK"))))))</f>
        <v/>
      </c>
    </row>
    <row r="200">
      <c r="A200" s="26" t="n"/>
      <c r="B200" s="26" t="n"/>
      <c r="C200" s="34" t="n"/>
      <c r="D200" s="28" t="n"/>
      <c r="E200" s="26" t="n"/>
      <c r="F200" s="26" t="n"/>
      <c r="G200" s="26" t="n"/>
      <c r="H200" s="38" t="n"/>
      <c r="I200" s="28" t="n"/>
      <c r="J200" s="30">
        <f>IF(B200="","",IFERROR(INDEX('Share classes'!$A$4:$A$203,MATCH(B200,'Share classes'!$B$4:$B$203,0)),""))</f>
        <v/>
      </c>
      <c r="K200" s="30">
        <f>IF(A200="","",IFERROR(INDEX('Holders'!$B$4:$B$1003,MATCH(A200,'Holders'!$A$4:$A$1003,0)),""))</f>
        <v/>
      </c>
      <c r="L200" s="30">
        <f>IF(OR(A200="",B200="",D200=""),"",IF(D200=_xlfn.MAXIFS($D$4:$D$2503,$A$4:$A$2503,A200,$B$4:$B$2503,B200),"Yes","No"))</f>
        <v/>
      </c>
      <c r="M200" s="30">
        <f>IF(B200="","",IFERROR(INDEX('Share classes'!$F$4:$F$203,MATCH(B200,'Share classes'!$B$4:$B$203,0)),""))</f>
        <v/>
      </c>
      <c r="N200" s="30">
        <f>IF(A200="","",IF(K200="","Unknown holder ID",IF(J200="","Unknown class code",IF(OR(C200="",D200=""),"Missing shares or date",IF(OR(C200&lt;0,C200&lt;&gt;INT(C200)),"Shares must be a whole number",IF(COUNTIFS($A$4:$A$2503,A200,$B$4:$B$2503,B200,$D$4:$D$2503,D200)&gt;1,"Duplicate row (same date)","OK"))))))</f>
        <v/>
      </c>
    </row>
    <row r="201">
      <c r="A201" s="26" t="n"/>
      <c r="B201" s="26" t="n"/>
      <c r="C201" s="34" t="n"/>
      <c r="D201" s="28" t="n"/>
      <c r="E201" s="26" t="n"/>
      <c r="F201" s="26" t="n"/>
      <c r="G201" s="26" t="n"/>
      <c r="H201" s="38" t="n"/>
      <c r="I201" s="28" t="n"/>
      <c r="J201" s="30">
        <f>IF(B201="","",IFERROR(INDEX('Share classes'!$A$4:$A$203,MATCH(B201,'Share classes'!$B$4:$B$203,0)),""))</f>
        <v/>
      </c>
      <c r="K201" s="30">
        <f>IF(A201="","",IFERROR(INDEX('Holders'!$B$4:$B$1003,MATCH(A201,'Holders'!$A$4:$A$1003,0)),""))</f>
        <v/>
      </c>
      <c r="L201" s="30">
        <f>IF(OR(A201="",B201="",D201=""),"",IF(D201=_xlfn.MAXIFS($D$4:$D$2503,$A$4:$A$2503,A201,$B$4:$B$2503,B201),"Yes","No"))</f>
        <v/>
      </c>
      <c r="M201" s="30">
        <f>IF(B201="","",IFERROR(INDEX('Share classes'!$F$4:$F$203,MATCH(B201,'Share classes'!$B$4:$B$203,0)),""))</f>
        <v/>
      </c>
      <c r="N201" s="30">
        <f>IF(A201="","",IF(K201="","Unknown holder ID",IF(J201="","Unknown class code",IF(OR(C201="",D201=""),"Missing shares or date",IF(OR(C201&lt;0,C201&lt;&gt;INT(C201)),"Shares must be a whole number",IF(COUNTIFS($A$4:$A$2503,A201,$B$4:$B$2503,B201,$D$4:$D$2503,D201)&gt;1,"Duplicate row (same date)","OK"))))))</f>
        <v/>
      </c>
    </row>
    <row r="202">
      <c r="A202" s="26" t="n"/>
      <c r="B202" s="26" t="n"/>
      <c r="C202" s="34" t="n"/>
      <c r="D202" s="28" t="n"/>
      <c r="E202" s="26" t="n"/>
      <c r="F202" s="26" t="n"/>
      <c r="G202" s="26" t="n"/>
      <c r="H202" s="38" t="n"/>
      <c r="I202" s="28" t="n"/>
      <c r="J202" s="30">
        <f>IF(B202="","",IFERROR(INDEX('Share classes'!$A$4:$A$203,MATCH(B202,'Share classes'!$B$4:$B$203,0)),""))</f>
        <v/>
      </c>
      <c r="K202" s="30">
        <f>IF(A202="","",IFERROR(INDEX('Holders'!$B$4:$B$1003,MATCH(A202,'Holders'!$A$4:$A$1003,0)),""))</f>
        <v/>
      </c>
      <c r="L202" s="30">
        <f>IF(OR(A202="",B202="",D202=""),"",IF(D202=_xlfn.MAXIFS($D$4:$D$2503,$A$4:$A$2503,A202,$B$4:$B$2503,B202),"Yes","No"))</f>
        <v/>
      </c>
      <c r="M202" s="30">
        <f>IF(B202="","",IFERROR(INDEX('Share classes'!$F$4:$F$203,MATCH(B202,'Share classes'!$B$4:$B$203,0)),""))</f>
        <v/>
      </c>
      <c r="N202" s="30">
        <f>IF(A202="","",IF(K202="","Unknown holder ID",IF(J202="","Unknown class code",IF(OR(C202="",D202=""),"Missing shares or date",IF(OR(C202&lt;0,C202&lt;&gt;INT(C202)),"Shares must be a whole number",IF(COUNTIFS($A$4:$A$2503,A202,$B$4:$B$2503,B202,$D$4:$D$2503,D202)&gt;1,"Duplicate row (same date)","OK"))))))</f>
        <v/>
      </c>
    </row>
    <row r="203">
      <c r="A203" s="26" t="n"/>
      <c r="B203" s="26" t="n"/>
      <c r="C203" s="34" t="n"/>
      <c r="D203" s="28" t="n"/>
      <c r="E203" s="26" t="n"/>
      <c r="F203" s="26" t="n"/>
      <c r="G203" s="26" t="n"/>
      <c r="H203" s="38" t="n"/>
      <c r="I203" s="28" t="n"/>
      <c r="J203" s="30">
        <f>IF(B203="","",IFERROR(INDEX('Share classes'!$A$4:$A$203,MATCH(B203,'Share classes'!$B$4:$B$203,0)),""))</f>
        <v/>
      </c>
      <c r="K203" s="30">
        <f>IF(A203="","",IFERROR(INDEX('Holders'!$B$4:$B$1003,MATCH(A203,'Holders'!$A$4:$A$1003,0)),""))</f>
        <v/>
      </c>
      <c r="L203" s="30">
        <f>IF(OR(A203="",B203="",D203=""),"",IF(D203=_xlfn.MAXIFS($D$4:$D$2503,$A$4:$A$2503,A203,$B$4:$B$2503,B203),"Yes","No"))</f>
        <v/>
      </c>
      <c r="M203" s="30">
        <f>IF(B203="","",IFERROR(INDEX('Share classes'!$F$4:$F$203,MATCH(B203,'Share classes'!$B$4:$B$203,0)),""))</f>
        <v/>
      </c>
      <c r="N203" s="30">
        <f>IF(A203="","",IF(K203="","Unknown holder ID",IF(J203="","Unknown class code",IF(OR(C203="",D203=""),"Missing shares or date",IF(OR(C203&lt;0,C203&lt;&gt;INT(C203)),"Shares must be a whole number",IF(COUNTIFS($A$4:$A$2503,A203,$B$4:$B$2503,B203,$D$4:$D$2503,D203)&gt;1,"Duplicate row (same date)","OK"))))))</f>
        <v/>
      </c>
    </row>
    <row r="204">
      <c r="A204" s="26" t="n"/>
      <c r="B204" s="26" t="n"/>
      <c r="C204" s="34" t="n"/>
      <c r="D204" s="28" t="n"/>
      <c r="E204" s="26" t="n"/>
      <c r="F204" s="26" t="n"/>
      <c r="G204" s="26" t="n"/>
      <c r="H204" s="38" t="n"/>
      <c r="I204" s="28" t="n"/>
      <c r="J204" s="30">
        <f>IF(B204="","",IFERROR(INDEX('Share classes'!$A$4:$A$203,MATCH(B204,'Share classes'!$B$4:$B$203,0)),""))</f>
        <v/>
      </c>
      <c r="K204" s="30">
        <f>IF(A204="","",IFERROR(INDEX('Holders'!$B$4:$B$1003,MATCH(A204,'Holders'!$A$4:$A$1003,0)),""))</f>
        <v/>
      </c>
      <c r="L204" s="30">
        <f>IF(OR(A204="",B204="",D204=""),"",IF(D204=_xlfn.MAXIFS($D$4:$D$2503,$A$4:$A$2503,A204,$B$4:$B$2503,B204),"Yes","No"))</f>
        <v/>
      </c>
      <c r="M204" s="30">
        <f>IF(B204="","",IFERROR(INDEX('Share classes'!$F$4:$F$203,MATCH(B204,'Share classes'!$B$4:$B$203,0)),""))</f>
        <v/>
      </c>
      <c r="N204" s="30">
        <f>IF(A204="","",IF(K204="","Unknown holder ID",IF(J204="","Unknown class code",IF(OR(C204="",D204=""),"Missing shares or date",IF(OR(C204&lt;0,C204&lt;&gt;INT(C204)),"Shares must be a whole number",IF(COUNTIFS($A$4:$A$2503,A204,$B$4:$B$2503,B204,$D$4:$D$2503,D204)&gt;1,"Duplicate row (same date)","OK"))))))</f>
        <v/>
      </c>
    </row>
    <row r="205">
      <c r="A205" s="26" t="n"/>
      <c r="B205" s="26" t="n"/>
      <c r="C205" s="34" t="n"/>
      <c r="D205" s="28" t="n"/>
      <c r="E205" s="26" t="n"/>
      <c r="F205" s="26" t="n"/>
      <c r="G205" s="26" t="n"/>
      <c r="H205" s="38" t="n"/>
      <c r="I205" s="28" t="n"/>
      <c r="J205" s="30">
        <f>IF(B205="","",IFERROR(INDEX('Share classes'!$A$4:$A$203,MATCH(B205,'Share classes'!$B$4:$B$203,0)),""))</f>
        <v/>
      </c>
      <c r="K205" s="30">
        <f>IF(A205="","",IFERROR(INDEX('Holders'!$B$4:$B$1003,MATCH(A205,'Holders'!$A$4:$A$1003,0)),""))</f>
        <v/>
      </c>
      <c r="L205" s="30">
        <f>IF(OR(A205="",B205="",D205=""),"",IF(D205=_xlfn.MAXIFS($D$4:$D$2503,$A$4:$A$2503,A205,$B$4:$B$2503,B205),"Yes","No"))</f>
        <v/>
      </c>
      <c r="M205" s="30">
        <f>IF(B205="","",IFERROR(INDEX('Share classes'!$F$4:$F$203,MATCH(B205,'Share classes'!$B$4:$B$203,0)),""))</f>
        <v/>
      </c>
      <c r="N205" s="30">
        <f>IF(A205="","",IF(K205="","Unknown holder ID",IF(J205="","Unknown class code",IF(OR(C205="",D205=""),"Missing shares or date",IF(OR(C205&lt;0,C205&lt;&gt;INT(C205)),"Shares must be a whole number",IF(COUNTIFS($A$4:$A$2503,A205,$B$4:$B$2503,B205,$D$4:$D$2503,D205)&gt;1,"Duplicate row (same date)","OK"))))))</f>
        <v/>
      </c>
    </row>
    <row r="206">
      <c r="A206" s="26" t="n"/>
      <c r="B206" s="26" t="n"/>
      <c r="C206" s="34" t="n"/>
      <c r="D206" s="28" t="n"/>
      <c r="E206" s="26" t="n"/>
      <c r="F206" s="26" t="n"/>
      <c r="G206" s="26" t="n"/>
      <c r="H206" s="38" t="n"/>
      <c r="I206" s="28" t="n"/>
      <c r="J206" s="30">
        <f>IF(B206="","",IFERROR(INDEX('Share classes'!$A$4:$A$203,MATCH(B206,'Share classes'!$B$4:$B$203,0)),""))</f>
        <v/>
      </c>
      <c r="K206" s="30">
        <f>IF(A206="","",IFERROR(INDEX('Holders'!$B$4:$B$1003,MATCH(A206,'Holders'!$A$4:$A$1003,0)),""))</f>
        <v/>
      </c>
      <c r="L206" s="30">
        <f>IF(OR(A206="",B206="",D206=""),"",IF(D206=_xlfn.MAXIFS($D$4:$D$2503,$A$4:$A$2503,A206,$B$4:$B$2503,B206),"Yes","No"))</f>
        <v/>
      </c>
      <c r="M206" s="30">
        <f>IF(B206="","",IFERROR(INDEX('Share classes'!$F$4:$F$203,MATCH(B206,'Share classes'!$B$4:$B$203,0)),""))</f>
        <v/>
      </c>
      <c r="N206" s="30">
        <f>IF(A206="","",IF(K206="","Unknown holder ID",IF(J206="","Unknown class code",IF(OR(C206="",D206=""),"Missing shares or date",IF(OR(C206&lt;0,C206&lt;&gt;INT(C206)),"Shares must be a whole number",IF(COUNTIFS($A$4:$A$2503,A206,$B$4:$B$2503,B206,$D$4:$D$2503,D206)&gt;1,"Duplicate row (same date)","OK"))))))</f>
        <v/>
      </c>
    </row>
    <row r="207">
      <c r="A207" s="26" t="n"/>
      <c r="B207" s="26" t="n"/>
      <c r="C207" s="34" t="n"/>
      <c r="D207" s="28" t="n"/>
      <c r="E207" s="26" t="n"/>
      <c r="F207" s="26" t="n"/>
      <c r="G207" s="26" t="n"/>
      <c r="H207" s="38" t="n"/>
      <c r="I207" s="28" t="n"/>
      <c r="J207" s="30">
        <f>IF(B207="","",IFERROR(INDEX('Share classes'!$A$4:$A$203,MATCH(B207,'Share classes'!$B$4:$B$203,0)),""))</f>
        <v/>
      </c>
      <c r="K207" s="30">
        <f>IF(A207="","",IFERROR(INDEX('Holders'!$B$4:$B$1003,MATCH(A207,'Holders'!$A$4:$A$1003,0)),""))</f>
        <v/>
      </c>
      <c r="L207" s="30">
        <f>IF(OR(A207="",B207="",D207=""),"",IF(D207=_xlfn.MAXIFS($D$4:$D$2503,$A$4:$A$2503,A207,$B$4:$B$2503,B207),"Yes","No"))</f>
        <v/>
      </c>
      <c r="M207" s="30">
        <f>IF(B207="","",IFERROR(INDEX('Share classes'!$F$4:$F$203,MATCH(B207,'Share classes'!$B$4:$B$203,0)),""))</f>
        <v/>
      </c>
      <c r="N207" s="30">
        <f>IF(A207="","",IF(K207="","Unknown holder ID",IF(J207="","Unknown class code",IF(OR(C207="",D207=""),"Missing shares or date",IF(OR(C207&lt;0,C207&lt;&gt;INT(C207)),"Shares must be a whole number",IF(COUNTIFS($A$4:$A$2503,A207,$B$4:$B$2503,B207,$D$4:$D$2503,D207)&gt;1,"Duplicate row (same date)","OK"))))))</f>
        <v/>
      </c>
    </row>
    <row r="208">
      <c r="A208" s="26" t="n"/>
      <c r="B208" s="26" t="n"/>
      <c r="C208" s="34" t="n"/>
      <c r="D208" s="28" t="n"/>
      <c r="E208" s="26" t="n"/>
      <c r="F208" s="26" t="n"/>
      <c r="G208" s="26" t="n"/>
      <c r="H208" s="38" t="n"/>
      <c r="I208" s="28" t="n"/>
      <c r="J208" s="30">
        <f>IF(B208="","",IFERROR(INDEX('Share classes'!$A$4:$A$203,MATCH(B208,'Share classes'!$B$4:$B$203,0)),""))</f>
        <v/>
      </c>
      <c r="K208" s="30">
        <f>IF(A208="","",IFERROR(INDEX('Holders'!$B$4:$B$1003,MATCH(A208,'Holders'!$A$4:$A$1003,0)),""))</f>
        <v/>
      </c>
      <c r="L208" s="30">
        <f>IF(OR(A208="",B208="",D208=""),"",IF(D208=_xlfn.MAXIFS($D$4:$D$2503,$A$4:$A$2503,A208,$B$4:$B$2503,B208),"Yes","No"))</f>
        <v/>
      </c>
      <c r="M208" s="30">
        <f>IF(B208="","",IFERROR(INDEX('Share classes'!$F$4:$F$203,MATCH(B208,'Share classes'!$B$4:$B$203,0)),""))</f>
        <v/>
      </c>
      <c r="N208" s="30">
        <f>IF(A208="","",IF(K208="","Unknown holder ID",IF(J208="","Unknown class code",IF(OR(C208="",D208=""),"Missing shares or date",IF(OR(C208&lt;0,C208&lt;&gt;INT(C208)),"Shares must be a whole number",IF(COUNTIFS($A$4:$A$2503,A208,$B$4:$B$2503,B208,$D$4:$D$2503,D208)&gt;1,"Duplicate row (same date)","OK"))))))</f>
        <v/>
      </c>
    </row>
    <row r="209">
      <c r="A209" s="26" t="n"/>
      <c r="B209" s="26" t="n"/>
      <c r="C209" s="34" t="n"/>
      <c r="D209" s="28" t="n"/>
      <c r="E209" s="26" t="n"/>
      <c r="F209" s="26" t="n"/>
      <c r="G209" s="26" t="n"/>
      <c r="H209" s="38" t="n"/>
      <c r="I209" s="28" t="n"/>
      <c r="J209" s="30">
        <f>IF(B209="","",IFERROR(INDEX('Share classes'!$A$4:$A$203,MATCH(B209,'Share classes'!$B$4:$B$203,0)),""))</f>
        <v/>
      </c>
      <c r="K209" s="30">
        <f>IF(A209="","",IFERROR(INDEX('Holders'!$B$4:$B$1003,MATCH(A209,'Holders'!$A$4:$A$1003,0)),""))</f>
        <v/>
      </c>
      <c r="L209" s="30">
        <f>IF(OR(A209="",B209="",D209=""),"",IF(D209=_xlfn.MAXIFS($D$4:$D$2503,$A$4:$A$2503,A209,$B$4:$B$2503,B209),"Yes","No"))</f>
        <v/>
      </c>
      <c r="M209" s="30">
        <f>IF(B209="","",IFERROR(INDEX('Share classes'!$F$4:$F$203,MATCH(B209,'Share classes'!$B$4:$B$203,0)),""))</f>
        <v/>
      </c>
      <c r="N209" s="30">
        <f>IF(A209="","",IF(K209="","Unknown holder ID",IF(J209="","Unknown class code",IF(OR(C209="",D209=""),"Missing shares or date",IF(OR(C209&lt;0,C209&lt;&gt;INT(C209)),"Shares must be a whole number",IF(COUNTIFS($A$4:$A$2503,A209,$B$4:$B$2503,B209,$D$4:$D$2503,D209)&gt;1,"Duplicate row (same date)","OK"))))))</f>
        <v/>
      </c>
    </row>
    <row r="210">
      <c r="A210" s="26" t="n"/>
      <c r="B210" s="26" t="n"/>
      <c r="C210" s="34" t="n"/>
      <c r="D210" s="28" t="n"/>
      <c r="E210" s="26" t="n"/>
      <c r="F210" s="26" t="n"/>
      <c r="G210" s="26" t="n"/>
      <c r="H210" s="38" t="n"/>
      <c r="I210" s="28" t="n"/>
      <c r="J210" s="30">
        <f>IF(B210="","",IFERROR(INDEX('Share classes'!$A$4:$A$203,MATCH(B210,'Share classes'!$B$4:$B$203,0)),""))</f>
        <v/>
      </c>
      <c r="K210" s="30">
        <f>IF(A210="","",IFERROR(INDEX('Holders'!$B$4:$B$1003,MATCH(A210,'Holders'!$A$4:$A$1003,0)),""))</f>
        <v/>
      </c>
      <c r="L210" s="30">
        <f>IF(OR(A210="",B210="",D210=""),"",IF(D210=_xlfn.MAXIFS($D$4:$D$2503,$A$4:$A$2503,A210,$B$4:$B$2503,B210),"Yes","No"))</f>
        <v/>
      </c>
      <c r="M210" s="30">
        <f>IF(B210="","",IFERROR(INDEX('Share classes'!$F$4:$F$203,MATCH(B210,'Share classes'!$B$4:$B$203,0)),""))</f>
        <v/>
      </c>
      <c r="N210" s="30">
        <f>IF(A210="","",IF(K210="","Unknown holder ID",IF(J210="","Unknown class code",IF(OR(C210="",D210=""),"Missing shares or date",IF(OR(C210&lt;0,C210&lt;&gt;INT(C210)),"Shares must be a whole number",IF(COUNTIFS($A$4:$A$2503,A210,$B$4:$B$2503,B210,$D$4:$D$2503,D210)&gt;1,"Duplicate row (same date)","OK"))))))</f>
        <v/>
      </c>
    </row>
    <row r="211">
      <c r="A211" s="26" t="n"/>
      <c r="B211" s="26" t="n"/>
      <c r="C211" s="34" t="n"/>
      <c r="D211" s="28" t="n"/>
      <c r="E211" s="26" t="n"/>
      <c r="F211" s="26" t="n"/>
      <c r="G211" s="26" t="n"/>
      <c r="H211" s="38" t="n"/>
      <c r="I211" s="28" t="n"/>
      <c r="J211" s="30">
        <f>IF(B211="","",IFERROR(INDEX('Share classes'!$A$4:$A$203,MATCH(B211,'Share classes'!$B$4:$B$203,0)),""))</f>
        <v/>
      </c>
      <c r="K211" s="30">
        <f>IF(A211="","",IFERROR(INDEX('Holders'!$B$4:$B$1003,MATCH(A211,'Holders'!$A$4:$A$1003,0)),""))</f>
        <v/>
      </c>
      <c r="L211" s="30">
        <f>IF(OR(A211="",B211="",D211=""),"",IF(D211=_xlfn.MAXIFS($D$4:$D$2503,$A$4:$A$2503,A211,$B$4:$B$2503,B211),"Yes","No"))</f>
        <v/>
      </c>
      <c r="M211" s="30">
        <f>IF(B211="","",IFERROR(INDEX('Share classes'!$F$4:$F$203,MATCH(B211,'Share classes'!$B$4:$B$203,0)),""))</f>
        <v/>
      </c>
      <c r="N211" s="30">
        <f>IF(A211="","",IF(K211="","Unknown holder ID",IF(J211="","Unknown class code",IF(OR(C211="",D211=""),"Missing shares or date",IF(OR(C211&lt;0,C211&lt;&gt;INT(C211)),"Shares must be a whole number",IF(COUNTIFS($A$4:$A$2503,A211,$B$4:$B$2503,B211,$D$4:$D$2503,D211)&gt;1,"Duplicate row (same date)","OK"))))))</f>
        <v/>
      </c>
    </row>
    <row r="212">
      <c r="A212" s="26" t="n"/>
      <c r="B212" s="26" t="n"/>
      <c r="C212" s="34" t="n"/>
      <c r="D212" s="28" t="n"/>
      <c r="E212" s="26" t="n"/>
      <c r="F212" s="26" t="n"/>
      <c r="G212" s="26" t="n"/>
      <c r="H212" s="38" t="n"/>
      <c r="I212" s="28" t="n"/>
      <c r="J212" s="30">
        <f>IF(B212="","",IFERROR(INDEX('Share classes'!$A$4:$A$203,MATCH(B212,'Share classes'!$B$4:$B$203,0)),""))</f>
        <v/>
      </c>
      <c r="K212" s="30">
        <f>IF(A212="","",IFERROR(INDEX('Holders'!$B$4:$B$1003,MATCH(A212,'Holders'!$A$4:$A$1003,0)),""))</f>
        <v/>
      </c>
      <c r="L212" s="30">
        <f>IF(OR(A212="",B212="",D212=""),"",IF(D212=_xlfn.MAXIFS($D$4:$D$2503,$A$4:$A$2503,A212,$B$4:$B$2503,B212),"Yes","No"))</f>
        <v/>
      </c>
      <c r="M212" s="30">
        <f>IF(B212="","",IFERROR(INDEX('Share classes'!$F$4:$F$203,MATCH(B212,'Share classes'!$B$4:$B$203,0)),""))</f>
        <v/>
      </c>
      <c r="N212" s="30">
        <f>IF(A212="","",IF(K212="","Unknown holder ID",IF(J212="","Unknown class code",IF(OR(C212="",D212=""),"Missing shares or date",IF(OR(C212&lt;0,C212&lt;&gt;INT(C212)),"Shares must be a whole number",IF(COUNTIFS($A$4:$A$2503,A212,$B$4:$B$2503,B212,$D$4:$D$2503,D212)&gt;1,"Duplicate row (same date)","OK"))))))</f>
        <v/>
      </c>
    </row>
    <row r="213">
      <c r="A213" s="26" t="n"/>
      <c r="B213" s="26" t="n"/>
      <c r="C213" s="34" t="n"/>
      <c r="D213" s="28" t="n"/>
      <c r="E213" s="26" t="n"/>
      <c r="F213" s="26" t="n"/>
      <c r="G213" s="26" t="n"/>
      <c r="H213" s="38" t="n"/>
      <c r="I213" s="28" t="n"/>
      <c r="J213" s="30">
        <f>IF(B213="","",IFERROR(INDEX('Share classes'!$A$4:$A$203,MATCH(B213,'Share classes'!$B$4:$B$203,0)),""))</f>
        <v/>
      </c>
      <c r="K213" s="30">
        <f>IF(A213="","",IFERROR(INDEX('Holders'!$B$4:$B$1003,MATCH(A213,'Holders'!$A$4:$A$1003,0)),""))</f>
        <v/>
      </c>
      <c r="L213" s="30">
        <f>IF(OR(A213="",B213="",D213=""),"",IF(D213=_xlfn.MAXIFS($D$4:$D$2503,$A$4:$A$2503,A213,$B$4:$B$2503,B213),"Yes","No"))</f>
        <v/>
      </c>
      <c r="M213" s="30">
        <f>IF(B213="","",IFERROR(INDEX('Share classes'!$F$4:$F$203,MATCH(B213,'Share classes'!$B$4:$B$203,0)),""))</f>
        <v/>
      </c>
      <c r="N213" s="30">
        <f>IF(A213="","",IF(K213="","Unknown holder ID",IF(J213="","Unknown class code",IF(OR(C213="",D213=""),"Missing shares or date",IF(OR(C213&lt;0,C213&lt;&gt;INT(C213)),"Shares must be a whole number",IF(COUNTIFS($A$4:$A$2503,A213,$B$4:$B$2503,B213,$D$4:$D$2503,D213)&gt;1,"Duplicate row (same date)","OK"))))))</f>
        <v/>
      </c>
    </row>
    <row r="214">
      <c r="A214" s="26" t="n"/>
      <c r="B214" s="26" t="n"/>
      <c r="C214" s="34" t="n"/>
      <c r="D214" s="28" t="n"/>
      <c r="E214" s="26" t="n"/>
      <c r="F214" s="26" t="n"/>
      <c r="G214" s="26" t="n"/>
      <c r="H214" s="38" t="n"/>
      <c r="I214" s="28" t="n"/>
      <c r="J214" s="30">
        <f>IF(B214="","",IFERROR(INDEX('Share classes'!$A$4:$A$203,MATCH(B214,'Share classes'!$B$4:$B$203,0)),""))</f>
        <v/>
      </c>
      <c r="K214" s="30">
        <f>IF(A214="","",IFERROR(INDEX('Holders'!$B$4:$B$1003,MATCH(A214,'Holders'!$A$4:$A$1003,0)),""))</f>
        <v/>
      </c>
      <c r="L214" s="30">
        <f>IF(OR(A214="",B214="",D214=""),"",IF(D214=_xlfn.MAXIFS($D$4:$D$2503,$A$4:$A$2503,A214,$B$4:$B$2503,B214),"Yes","No"))</f>
        <v/>
      </c>
      <c r="M214" s="30">
        <f>IF(B214="","",IFERROR(INDEX('Share classes'!$F$4:$F$203,MATCH(B214,'Share classes'!$B$4:$B$203,0)),""))</f>
        <v/>
      </c>
      <c r="N214" s="30">
        <f>IF(A214="","",IF(K214="","Unknown holder ID",IF(J214="","Unknown class code",IF(OR(C214="",D214=""),"Missing shares or date",IF(OR(C214&lt;0,C214&lt;&gt;INT(C214)),"Shares must be a whole number",IF(COUNTIFS($A$4:$A$2503,A214,$B$4:$B$2503,B214,$D$4:$D$2503,D214)&gt;1,"Duplicate row (same date)","OK"))))))</f>
        <v/>
      </c>
    </row>
    <row r="215">
      <c r="A215" s="26" t="n"/>
      <c r="B215" s="26" t="n"/>
      <c r="C215" s="34" t="n"/>
      <c r="D215" s="28" t="n"/>
      <c r="E215" s="26" t="n"/>
      <c r="F215" s="26" t="n"/>
      <c r="G215" s="26" t="n"/>
      <c r="H215" s="38" t="n"/>
      <c r="I215" s="28" t="n"/>
      <c r="J215" s="30">
        <f>IF(B215="","",IFERROR(INDEX('Share classes'!$A$4:$A$203,MATCH(B215,'Share classes'!$B$4:$B$203,0)),""))</f>
        <v/>
      </c>
      <c r="K215" s="30">
        <f>IF(A215="","",IFERROR(INDEX('Holders'!$B$4:$B$1003,MATCH(A215,'Holders'!$A$4:$A$1003,0)),""))</f>
        <v/>
      </c>
      <c r="L215" s="30">
        <f>IF(OR(A215="",B215="",D215=""),"",IF(D215=_xlfn.MAXIFS($D$4:$D$2503,$A$4:$A$2503,A215,$B$4:$B$2503,B215),"Yes","No"))</f>
        <v/>
      </c>
      <c r="M215" s="30">
        <f>IF(B215="","",IFERROR(INDEX('Share classes'!$F$4:$F$203,MATCH(B215,'Share classes'!$B$4:$B$203,0)),""))</f>
        <v/>
      </c>
      <c r="N215" s="30">
        <f>IF(A215="","",IF(K215="","Unknown holder ID",IF(J215="","Unknown class code",IF(OR(C215="",D215=""),"Missing shares or date",IF(OR(C215&lt;0,C215&lt;&gt;INT(C215)),"Shares must be a whole number",IF(COUNTIFS($A$4:$A$2503,A215,$B$4:$B$2503,B215,$D$4:$D$2503,D215)&gt;1,"Duplicate row (same date)","OK"))))))</f>
        <v/>
      </c>
    </row>
    <row r="216">
      <c r="A216" s="26" t="n"/>
      <c r="B216" s="26" t="n"/>
      <c r="C216" s="34" t="n"/>
      <c r="D216" s="28" t="n"/>
      <c r="E216" s="26" t="n"/>
      <c r="F216" s="26" t="n"/>
      <c r="G216" s="26" t="n"/>
      <c r="H216" s="38" t="n"/>
      <c r="I216" s="28" t="n"/>
      <c r="J216" s="30">
        <f>IF(B216="","",IFERROR(INDEX('Share classes'!$A$4:$A$203,MATCH(B216,'Share classes'!$B$4:$B$203,0)),""))</f>
        <v/>
      </c>
      <c r="K216" s="30">
        <f>IF(A216="","",IFERROR(INDEX('Holders'!$B$4:$B$1003,MATCH(A216,'Holders'!$A$4:$A$1003,0)),""))</f>
        <v/>
      </c>
      <c r="L216" s="30">
        <f>IF(OR(A216="",B216="",D216=""),"",IF(D216=_xlfn.MAXIFS($D$4:$D$2503,$A$4:$A$2503,A216,$B$4:$B$2503,B216),"Yes","No"))</f>
        <v/>
      </c>
      <c r="M216" s="30">
        <f>IF(B216="","",IFERROR(INDEX('Share classes'!$F$4:$F$203,MATCH(B216,'Share classes'!$B$4:$B$203,0)),""))</f>
        <v/>
      </c>
      <c r="N216" s="30">
        <f>IF(A216="","",IF(K216="","Unknown holder ID",IF(J216="","Unknown class code",IF(OR(C216="",D216=""),"Missing shares or date",IF(OR(C216&lt;0,C216&lt;&gt;INT(C216)),"Shares must be a whole number",IF(COUNTIFS($A$4:$A$2503,A216,$B$4:$B$2503,B216,$D$4:$D$2503,D216)&gt;1,"Duplicate row (same date)","OK"))))))</f>
        <v/>
      </c>
    </row>
    <row r="217">
      <c r="A217" s="26" t="n"/>
      <c r="B217" s="26" t="n"/>
      <c r="C217" s="34" t="n"/>
      <c r="D217" s="28" t="n"/>
      <c r="E217" s="26" t="n"/>
      <c r="F217" s="26" t="n"/>
      <c r="G217" s="26" t="n"/>
      <c r="H217" s="38" t="n"/>
      <c r="I217" s="28" t="n"/>
      <c r="J217" s="30">
        <f>IF(B217="","",IFERROR(INDEX('Share classes'!$A$4:$A$203,MATCH(B217,'Share classes'!$B$4:$B$203,0)),""))</f>
        <v/>
      </c>
      <c r="K217" s="30">
        <f>IF(A217="","",IFERROR(INDEX('Holders'!$B$4:$B$1003,MATCH(A217,'Holders'!$A$4:$A$1003,0)),""))</f>
        <v/>
      </c>
      <c r="L217" s="30">
        <f>IF(OR(A217="",B217="",D217=""),"",IF(D217=_xlfn.MAXIFS($D$4:$D$2503,$A$4:$A$2503,A217,$B$4:$B$2503,B217),"Yes","No"))</f>
        <v/>
      </c>
      <c r="M217" s="30">
        <f>IF(B217="","",IFERROR(INDEX('Share classes'!$F$4:$F$203,MATCH(B217,'Share classes'!$B$4:$B$203,0)),""))</f>
        <v/>
      </c>
      <c r="N217" s="30">
        <f>IF(A217="","",IF(K217="","Unknown holder ID",IF(J217="","Unknown class code",IF(OR(C217="",D217=""),"Missing shares or date",IF(OR(C217&lt;0,C217&lt;&gt;INT(C217)),"Shares must be a whole number",IF(COUNTIFS($A$4:$A$2503,A217,$B$4:$B$2503,B217,$D$4:$D$2503,D217)&gt;1,"Duplicate row (same date)","OK"))))))</f>
        <v/>
      </c>
    </row>
    <row r="218">
      <c r="A218" s="26" t="n"/>
      <c r="B218" s="26" t="n"/>
      <c r="C218" s="34" t="n"/>
      <c r="D218" s="28" t="n"/>
      <c r="E218" s="26" t="n"/>
      <c r="F218" s="26" t="n"/>
      <c r="G218" s="26" t="n"/>
      <c r="H218" s="38" t="n"/>
      <c r="I218" s="28" t="n"/>
      <c r="J218" s="30">
        <f>IF(B218="","",IFERROR(INDEX('Share classes'!$A$4:$A$203,MATCH(B218,'Share classes'!$B$4:$B$203,0)),""))</f>
        <v/>
      </c>
      <c r="K218" s="30">
        <f>IF(A218="","",IFERROR(INDEX('Holders'!$B$4:$B$1003,MATCH(A218,'Holders'!$A$4:$A$1003,0)),""))</f>
        <v/>
      </c>
      <c r="L218" s="30">
        <f>IF(OR(A218="",B218="",D218=""),"",IF(D218=_xlfn.MAXIFS($D$4:$D$2503,$A$4:$A$2503,A218,$B$4:$B$2503,B218),"Yes","No"))</f>
        <v/>
      </c>
      <c r="M218" s="30">
        <f>IF(B218="","",IFERROR(INDEX('Share classes'!$F$4:$F$203,MATCH(B218,'Share classes'!$B$4:$B$203,0)),""))</f>
        <v/>
      </c>
      <c r="N218" s="30">
        <f>IF(A218="","",IF(K218="","Unknown holder ID",IF(J218="","Unknown class code",IF(OR(C218="",D218=""),"Missing shares or date",IF(OR(C218&lt;0,C218&lt;&gt;INT(C218)),"Shares must be a whole number",IF(COUNTIFS($A$4:$A$2503,A218,$B$4:$B$2503,B218,$D$4:$D$2503,D218)&gt;1,"Duplicate row (same date)","OK"))))))</f>
        <v/>
      </c>
    </row>
    <row r="219">
      <c r="A219" s="26" t="n"/>
      <c r="B219" s="26" t="n"/>
      <c r="C219" s="34" t="n"/>
      <c r="D219" s="28" t="n"/>
      <c r="E219" s="26" t="n"/>
      <c r="F219" s="26" t="n"/>
      <c r="G219" s="26" t="n"/>
      <c r="H219" s="38" t="n"/>
      <c r="I219" s="28" t="n"/>
      <c r="J219" s="30">
        <f>IF(B219="","",IFERROR(INDEX('Share classes'!$A$4:$A$203,MATCH(B219,'Share classes'!$B$4:$B$203,0)),""))</f>
        <v/>
      </c>
      <c r="K219" s="30">
        <f>IF(A219="","",IFERROR(INDEX('Holders'!$B$4:$B$1003,MATCH(A219,'Holders'!$A$4:$A$1003,0)),""))</f>
        <v/>
      </c>
      <c r="L219" s="30">
        <f>IF(OR(A219="",B219="",D219=""),"",IF(D219=_xlfn.MAXIFS($D$4:$D$2503,$A$4:$A$2503,A219,$B$4:$B$2503,B219),"Yes","No"))</f>
        <v/>
      </c>
      <c r="M219" s="30">
        <f>IF(B219="","",IFERROR(INDEX('Share classes'!$F$4:$F$203,MATCH(B219,'Share classes'!$B$4:$B$203,0)),""))</f>
        <v/>
      </c>
      <c r="N219" s="30">
        <f>IF(A219="","",IF(K219="","Unknown holder ID",IF(J219="","Unknown class code",IF(OR(C219="",D219=""),"Missing shares or date",IF(OR(C219&lt;0,C219&lt;&gt;INT(C219)),"Shares must be a whole number",IF(COUNTIFS($A$4:$A$2503,A219,$B$4:$B$2503,B219,$D$4:$D$2503,D219)&gt;1,"Duplicate row (same date)","OK"))))))</f>
        <v/>
      </c>
    </row>
    <row r="220">
      <c r="A220" s="26" t="n"/>
      <c r="B220" s="26" t="n"/>
      <c r="C220" s="34" t="n"/>
      <c r="D220" s="28" t="n"/>
      <c r="E220" s="26" t="n"/>
      <c r="F220" s="26" t="n"/>
      <c r="G220" s="26" t="n"/>
      <c r="H220" s="38" t="n"/>
      <c r="I220" s="28" t="n"/>
      <c r="J220" s="30">
        <f>IF(B220="","",IFERROR(INDEX('Share classes'!$A$4:$A$203,MATCH(B220,'Share classes'!$B$4:$B$203,0)),""))</f>
        <v/>
      </c>
      <c r="K220" s="30">
        <f>IF(A220="","",IFERROR(INDEX('Holders'!$B$4:$B$1003,MATCH(A220,'Holders'!$A$4:$A$1003,0)),""))</f>
        <v/>
      </c>
      <c r="L220" s="30">
        <f>IF(OR(A220="",B220="",D220=""),"",IF(D220=_xlfn.MAXIFS($D$4:$D$2503,$A$4:$A$2503,A220,$B$4:$B$2503,B220),"Yes","No"))</f>
        <v/>
      </c>
      <c r="M220" s="30">
        <f>IF(B220="","",IFERROR(INDEX('Share classes'!$F$4:$F$203,MATCH(B220,'Share classes'!$B$4:$B$203,0)),""))</f>
        <v/>
      </c>
      <c r="N220" s="30">
        <f>IF(A220="","",IF(K220="","Unknown holder ID",IF(J220="","Unknown class code",IF(OR(C220="",D220=""),"Missing shares or date",IF(OR(C220&lt;0,C220&lt;&gt;INT(C220)),"Shares must be a whole number",IF(COUNTIFS($A$4:$A$2503,A220,$B$4:$B$2503,B220,$D$4:$D$2503,D220)&gt;1,"Duplicate row (same date)","OK"))))))</f>
        <v/>
      </c>
    </row>
    <row r="221">
      <c r="A221" s="26" t="n"/>
      <c r="B221" s="26" t="n"/>
      <c r="C221" s="34" t="n"/>
      <c r="D221" s="28" t="n"/>
      <c r="E221" s="26" t="n"/>
      <c r="F221" s="26" t="n"/>
      <c r="G221" s="26" t="n"/>
      <c r="H221" s="38" t="n"/>
      <c r="I221" s="28" t="n"/>
      <c r="J221" s="30">
        <f>IF(B221="","",IFERROR(INDEX('Share classes'!$A$4:$A$203,MATCH(B221,'Share classes'!$B$4:$B$203,0)),""))</f>
        <v/>
      </c>
      <c r="K221" s="30">
        <f>IF(A221="","",IFERROR(INDEX('Holders'!$B$4:$B$1003,MATCH(A221,'Holders'!$A$4:$A$1003,0)),""))</f>
        <v/>
      </c>
      <c r="L221" s="30">
        <f>IF(OR(A221="",B221="",D221=""),"",IF(D221=_xlfn.MAXIFS($D$4:$D$2503,$A$4:$A$2503,A221,$B$4:$B$2503,B221),"Yes","No"))</f>
        <v/>
      </c>
      <c r="M221" s="30">
        <f>IF(B221="","",IFERROR(INDEX('Share classes'!$F$4:$F$203,MATCH(B221,'Share classes'!$B$4:$B$203,0)),""))</f>
        <v/>
      </c>
      <c r="N221" s="30">
        <f>IF(A221="","",IF(K221="","Unknown holder ID",IF(J221="","Unknown class code",IF(OR(C221="",D221=""),"Missing shares or date",IF(OR(C221&lt;0,C221&lt;&gt;INT(C221)),"Shares must be a whole number",IF(COUNTIFS($A$4:$A$2503,A221,$B$4:$B$2503,B221,$D$4:$D$2503,D221)&gt;1,"Duplicate row (same date)","OK"))))))</f>
        <v/>
      </c>
    </row>
    <row r="222">
      <c r="A222" s="26" t="n"/>
      <c r="B222" s="26" t="n"/>
      <c r="C222" s="34" t="n"/>
      <c r="D222" s="28" t="n"/>
      <c r="E222" s="26" t="n"/>
      <c r="F222" s="26" t="n"/>
      <c r="G222" s="26" t="n"/>
      <c r="H222" s="38" t="n"/>
      <c r="I222" s="28" t="n"/>
      <c r="J222" s="30">
        <f>IF(B222="","",IFERROR(INDEX('Share classes'!$A$4:$A$203,MATCH(B222,'Share classes'!$B$4:$B$203,0)),""))</f>
        <v/>
      </c>
      <c r="K222" s="30">
        <f>IF(A222="","",IFERROR(INDEX('Holders'!$B$4:$B$1003,MATCH(A222,'Holders'!$A$4:$A$1003,0)),""))</f>
        <v/>
      </c>
      <c r="L222" s="30">
        <f>IF(OR(A222="",B222="",D222=""),"",IF(D222=_xlfn.MAXIFS($D$4:$D$2503,$A$4:$A$2503,A222,$B$4:$B$2503,B222),"Yes","No"))</f>
        <v/>
      </c>
      <c r="M222" s="30">
        <f>IF(B222="","",IFERROR(INDEX('Share classes'!$F$4:$F$203,MATCH(B222,'Share classes'!$B$4:$B$203,0)),""))</f>
        <v/>
      </c>
      <c r="N222" s="30">
        <f>IF(A222="","",IF(K222="","Unknown holder ID",IF(J222="","Unknown class code",IF(OR(C222="",D222=""),"Missing shares or date",IF(OR(C222&lt;0,C222&lt;&gt;INT(C222)),"Shares must be a whole number",IF(COUNTIFS($A$4:$A$2503,A222,$B$4:$B$2503,B222,$D$4:$D$2503,D222)&gt;1,"Duplicate row (same date)","OK"))))))</f>
        <v/>
      </c>
    </row>
    <row r="223">
      <c r="A223" s="26" t="n"/>
      <c r="B223" s="26" t="n"/>
      <c r="C223" s="34" t="n"/>
      <c r="D223" s="28" t="n"/>
      <c r="E223" s="26" t="n"/>
      <c r="F223" s="26" t="n"/>
      <c r="G223" s="26" t="n"/>
      <c r="H223" s="38" t="n"/>
      <c r="I223" s="28" t="n"/>
      <c r="J223" s="30">
        <f>IF(B223="","",IFERROR(INDEX('Share classes'!$A$4:$A$203,MATCH(B223,'Share classes'!$B$4:$B$203,0)),""))</f>
        <v/>
      </c>
      <c r="K223" s="30">
        <f>IF(A223="","",IFERROR(INDEX('Holders'!$B$4:$B$1003,MATCH(A223,'Holders'!$A$4:$A$1003,0)),""))</f>
        <v/>
      </c>
      <c r="L223" s="30">
        <f>IF(OR(A223="",B223="",D223=""),"",IF(D223=_xlfn.MAXIFS($D$4:$D$2503,$A$4:$A$2503,A223,$B$4:$B$2503,B223),"Yes","No"))</f>
        <v/>
      </c>
      <c r="M223" s="30">
        <f>IF(B223="","",IFERROR(INDEX('Share classes'!$F$4:$F$203,MATCH(B223,'Share classes'!$B$4:$B$203,0)),""))</f>
        <v/>
      </c>
      <c r="N223" s="30">
        <f>IF(A223="","",IF(K223="","Unknown holder ID",IF(J223="","Unknown class code",IF(OR(C223="",D223=""),"Missing shares or date",IF(OR(C223&lt;0,C223&lt;&gt;INT(C223)),"Shares must be a whole number",IF(COUNTIFS($A$4:$A$2503,A223,$B$4:$B$2503,B223,$D$4:$D$2503,D223)&gt;1,"Duplicate row (same date)","OK"))))))</f>
        <v/>
      </c>
    </row>
    <row r="224">
      <c r="A224" s="26" t="n"/>
      <c r="B224" s="26" t="n"/>
      <c r="C224" s="34" t="n"/>
      <c r="D224" s="28" t="n"/>
      <c r="E224" s="26" t="n"/>
      <c r="F224" s="26" t="n"/>
      <c r="G224" s="26" t="n"/>
      <c r="H224" s="38" t="n"/>
      <c r="I224" s="28" t="n"/>
      <c r="J224" s="30">
        <f>IF(B224="","",IFERROR(INDEX('Share classes'!$A$4:$A$203,MATCH(B224,'Share classes'!$B$4:$B$203,0)),""))</f>
        <v/>
      </c>
      <c r="K224" s="30">
        <f>IF(A224="","",IFERROR(INDEX('Holders'!$B$4:$B$1003,MATCH(A224,'Holders'!$A$4:$A$1003,0)),""))</f>
        <v/>
      </c>
      <c r="L224" s="30">
        <f>IF(OR(A224="",B224="",D224=""),"",IF(D224=_xlfn.MAXIFS($D$4:$D$2503,$A$4:$A$2503,A224,$B$4:$B$2503,B224),"Yes","No"))</f>
        <v/>
      </c>
      <c r="M224" s="30">
        <f>IF(B224="","",IFERROR(INDEX('Share classes'!$F$4:$F$203,MATCH(B224,'Share classes'!$B$4:$B$203,0)),""))</f>
        <v/>
      </c>
      <c r="N224" s="30">
        <f>IF(A224="","",IF(K224="","Unknown holder ID",IF(J224="","Unknown class code",IF(OR(C224="",D224=""),"Missing shares or date",IF(OR(C224&lt;0,C224&lt;&gt;INT(C224)),"Shares must be a whole number",IF(COUNTIFS($A$4:$A$2503,A224,$B$4:$B$2503,B224,$D$4:$D$2503,D224)&gt;1,"Duplicate row (same date)","OK"))))))</f>
        <v/>
      </c>
    </row>
    <row r="225">
      <c r="A225" s="26" t="n"/>
      <c r="B225" s="26" t="n"/>
      <c r="C225" s="34" t="n"/>
      <c r="D225" s="28" t="n"/>
      <c r="E225" s="26" t="n"/>
      <c r="F225" s="26" t="n"/>
      <c r="G225" s="26" t="n"/>
      <c r="H225" s="38" t="n"/>
      <c r="I225" s="28" t="n"/>
      <c r="J225" s="30">
        <f>IF(B225="","",IFERROR(INDEX('Share classes'!$A$4:$A$203,MATCH(B225,'Share classes'!$B$4:$B$203,0)),""))</f>
        <v/>
      </c>
      <c r="K225" s="30">
        <f>IF(A225="","",IFERROR(INDEX('Holders'!$B$4:$B$1003,MATCH(A225,'Holders'!$A$4:$A$1003,0)),""))</f>
        <v/>
      </c>
      <c r="L225" s="30">
        <f>IF(OR(A225="",B225="",D225=""),"",IF(D225=_xlfn.MAXIFS($D$4:$D$2503,$A$4:$A$2503,A225,$B$4:$B$2503,B225),"Yes","No"))</f>
        <v/>
      </c>
      <c r="M225" s="30">
        <f>IF(B225="","",IFERROR(INDEX('Share classes'!$F$4:$F$203,MATCH(B225,'Share classes'!$B$4:$B$203,0)),""))</f>
        <v/>
      </c>
      <c r="N225" s="30">
        <f>IF(A225="","",IF(K225="","Unknown holder ID",IF(J225="","Unknown class code",IF(OR(C225="",D225=""),"Missing shares or date",IF(OR(C225&lt;0,C225&lt;&gt;INT(C225)),"Shares must be a whole number",IF(COUNTIFS($A$4:$A$2503,A225,$B$4:$B$2503,B225,$D$4:$D$2503,D225)&gt;1,"Duplicate row (same date)","OK"))))))</f>
        <v/>
      </c>
    </row>
    <row r="226">
      <c r="A226" s="26" t="n"/>
      <c r="B226" s="26" t="n"/>
      <c r="C226" s="34" t="n"/>
      <c r="D226" s="28" t="n"/>
      <c r="E226" s="26" t="n"/>
      <c r="F226" s="26" t="n"/>
      <c r="G226" s="26" t="n"/>
      <c r="H226" s="38" t="n"/>
      <c r="I226" s="28" t="n"/>
      <c r="J226" s="30">
        <f>IF(B226="","",IFERROR(INDEX('Share classes'!$A$4:$A$203,MATCH(B226,'Share classes'!$B$4:$B$203,0)),""))</f>
        <v/>
      </c>
      <c r="K226" s="30">
        <f>IF(A226="","",IFERROR(INDEX('Holders'!$B$4:$B$1003,MATCH(A226,'Holders'!$A$4:$A$1003,0)),""))</f>
        <v/>
      </c>
      <c r="L226" s="30">
        <f>IF(OR(A226="",B226="",D226=""),"",IF(D226=_xlfn.MAXIFS($D$4:$D$2503,$A$4:$A$2503,A226,$B$4:$B$2503,B226),"Yes","No"))</f>
        <v/>
      </c>
      <c r="M226" s="30">
        <f>IF(B226="","",IFERROR(INDEX('Share classes'!$F$4:$F$203,MATCH(B226,'Share classes'!$B$4:$B$203,0)),""))</f>
        <v/>
      </c>
      <c r="N226" s="30">
        <f>IF(A226="","",IF(K226="","Unknown holder ID",IF(J226="","Unknown class code",IF(OR(C226="",D226=""),"Missing shares or date",IF(OR(C226&lt;0,C226&lt;&gt;INT(C226)),"Shares must be a whole number",IF(COUNTIFS($A$4:$A$2503,A226,$B$4:$B$2503,B226,$D$4:$D$2503,D226)&gt;1,"Duplicate row (same date)","OK"))))))</f>
        <v/>
      </c>
    </row>
    <row r="227">
      <c r="A227" s="26" t="n"/>
      <c r="B227" s="26" t="n"/>
      <c r="C227" s="34" t="n"/>
      <c r="D227" s="28" t="n"/>
      <c r="E227" s="26" t="n"/>
      <c r="F227" s="26" t="n"/>
      <c r="G227" s="26" t="n"/>
      <c r="H227" s="38" t="n"/>
      <c r="I227" s="28" t="n"/>
      <c r="J227" s="30">
        <f>IF(B227="","",IFERROR(INDEX('Share classes'!$A$4:$A$203,MATCH(B227,'Share classes'!$B$4:$B$203,0)),""))</f>
        <v/>
      </c>
      <c r="K227" s="30">
        <f>IF(A227="","",IFERROR(INDEX('Holders'!$B$4:$B$1003,MATCH(A227,'Holders'!$A$4:$A$1003,0)),""))</f>
        <v/>
      </c>
      <c r="L227" s="30">
        <f>IF(OR(A227="",B227="",D227=""),"",IF(D227=_xlfn.MAXIFS($D$4:$D$2503,$A$4:$A$2503,A227,$B$4:$B$2503,B227),"Yes","No"))</f>
        <v/>
      </c>
      <c r="M227" s="30">
        <f>IF(B227="","",IFERROR(INDEX('Share classes'!$F$4:$F$203,MATCH(B227,'Share classes'!$B$4:$B$203,0)),""))</f>
        <v/>
      </c>
      <c r="N227" s="30">
        <f>IF(A227="","",IF(K227="","Unknown holder ID",IF(J227="","Unknown class code",IF(OR(C227="",D227=""),"Missing shares or date",IF(OR(C227&lt;0,C227&lt;&gt;INT(C227)),"Shares must be a whole number",IF(COUNTIFS($A$4:$A$2503,A227,$B$4:$B$2503,B227,$D$4:$D$2503,D227)&gt;1,"Duplicate row (same date)","OK"))))))</f>
        <v/>
      </c>
    </row>
    <row r="228">
      <c r="A228" s="26" t="n"/>
      <c r="B228" s="26" t="n"/>
      <c r="C228" s="34" t="n"/>
      <c r="D228" s="28" t="n"/>
      <c r="E228" s="26" t="n"/>
      <c r="F228" s="26" t="n"/>
      <c r="G228" s="26" t="n"/>
      <c r="H228" s="38" t="n"/>
      <c r="I228" s="28" t="n"/>
      <c r="J228" s="30">
        <f>IF(B228="","",IFERROR(INDEX('Share classes'!$A$4:$A$203,MATCH(B228,'Share classes'!$B$4:$B$203,0)),""))</f>
        <v/>
      </c>
      <c r="K228" s="30">
        <f>IF(A228="","",IFERROR(INDEX('Holders'!$B$4:$B$1003,MATCH(A228,'Holders'!$A$4:$A$1003,0)),""))</f>
        <v/>
      </c>
      <c r="L228" s="30">
        <f>IF(OR(A228="",B228="",D228=""),"",IF(D228=_xlfn.MAXIFS($D$4:$D$2503,$A$4:$A$2503,A228,$B$4:$B$2503,B228),"Yes","No"))</f>
        <v/>
      </c>
      <c r="M228" s="30">
        <f>IF(B228="","",IFERROR(INDEX('Share classes'!$F$4:$F$203,MATCH(B228,'Share classes'!$B$4:$B$203,0)),""))</f>
        <v/>
      </c>
      <c r="N228" s="30">
        <f>IF(A228="","",IF(K228="","Unknown holder ID",IF(J228="","Unknown class code",IF(OR(C228="",D228=""),"Missing shares or date",IF(OR(C228&lt;0,C228&lt;&gt;INT(C228)),"Shares must be a whole number",IF(COUNTIFS($A$4:$A$2503,A228,$B$4:$B$2503,B228,$D$4:$D$2503,D228)&gt;1,"Duplicate row (same date)","OK"))))))</f>
        <v/>
      </c>
    </row>
    <row r="229">
      <c r="A229" s="26" t="n"/>
      <c r="B229" s="26" t="n"/>
      <c r="C229" s="34" t="n"/>
      <c r="D229" s="28" t="n"/>
      <c r="E229" s="26" t="n"/>
      <c r="F229" s="26" t="n"/>
      <c r="G229" s="26" t="n"/>
      <c r="H229" s="38" t="n"/>
      <c r="I229" s="28" t="n"/>
      <c r="J229" s="30">
        <f>IF(B229="","",IFERROR(INDEX('Share classes'!$A$4:$A$203,MATCH(B229,'Share classes'!$B$4:$B$203,0)),""))</f>
        <v/>
      </c>
      <c r="K229" s="30">
        <f>IF(A229="","",IFERROR(INDEX('Holders'!$B$4:$B$1003,MATCH(A229,'Holders'!$A$4:$A$1003,0)),""))</f>
        <v/>
      </c>
      <c r="L229" s="30">
        <f>IF(OR(A229="",B229="",D229=""),"",IF(D229=_xlfn.MAXIFS($D$4:$D$2503,$A$4:$A$2503,A229,$B$4:$B$2503,B229),"Yes","No"))</f>
        <v/>
      </c>
      <c r="M229" s="30">
        <f>IF(B229="","",IFERROR(INDEX('Share classes'!$F$4:$F$203,MATCH(B229,'Share classes'!$B$4:$B$203,0)),""))</f>
        <v/>
      </c>
      <c r="N229" s="30">
        <f>IF(A229="","",IF(K229="","Unknown holder ID",IF(J229="","Unknown class code",IF(OR(C229="",D229=""),"Missing shares or date",IF(OR(C229&lt;0,C229&lt;&gt;INT(C229)),"Shares must be a whole number",IF(COUNTIFS($A$4:$A$2503,A229,$B$4:$B$2503,B229,$D$4:$D$2503,D229)&gt;1,"Duplicate row (same date)","OK"))))))</f>
        <v/>
      </c>
    </row>
    <row r="230">
      <c r="A230" s="26" t="n"/>
      <c r="B230" s="26" t="n"/>
      <c r="C230" s="34" t="n"/>
      <c r="D230" s="28" t="n"/>
      <c r="E230" s="26" t="n"/>
      <c r="F230" s="26" t="n"/>
      <c r="G230" s="26" t="n"/>
      <c r="H230" s="38" t="n"/>
      <c r="I230" s="28" t="n"/>
      <c r="J230" s="30">
        <f>IF(B230="","",IFERROR(INDEX('Share classes'!$A$4:$A$203,MATCH(B230,'Share classes'!$B$4:$B$203,0)),""))</f>
        <v/>
      </c>
      <c r="K230" s="30">
        <f>IF(A230="","",IFERROR(INDEX('Holders'!$B$4:$B$1003,MATCH(A230,'Holders'!$A$4:$A$1003,0)),""))</f>
        <v/>
      </c>
      <c r="L230" s="30">
        <f>IF(OR(A230="",B230="",D230=""),"",IF(D230=_xlfn.MAXIFS($D$4:$D$2503,$A$4:$A$2503,A230,$B$4:$B$2503,B230),"Yes","No"))</f>
        <v/>
      </c>
      <c r="M230" s="30">
        <f>IF(B230="","",IFERROR(INDEX('Share classes'!$F$4:$F$203,MATCH(B230,'Share classes'!$B$4:$B$203,0)),""))</f>
        <v/>
      </c>
      <c r="N230" s="30">
        <f>IF(A230="","",IF(K230="","Unknown holder ID",IF(J230="","Unknown class code",IF(OR(C230="",D230=""),"Missing shares or date",IF(OR(C230&lt;0,C230&lt;&gt;INT(C230)),"Shares must be a whole number",IF(COUNTIFS($A$4:$A$2503,A230,$B$4:$B$2503,B230,$D$4:$D$2503,D230)&gt;1,"Duplicate row (same date)","OK"))))))</f>
        <v/>
      </c>
    </row>
    <row r="231">
      <c r="A231" s="26" t="n"/>
      <c r="B231" s="26" t="n"/>
      <c r="C231" s="34" t="n"/>
      <c r="D231" s="28" t="n"/>
      <c r="E231" s="26" t="n"/>
      <c r="F231" s="26" t="n"/>
      <c r="G231" s="26" t="n"/>
      <c r="H231" s="38" t="n"/>
      <c r="I231" s="28" t="n"/>
      <c r="J231" s="30">
        <f>IF(B231="","",IFERROR(INDEX('Share classes'!$A$4:$A$203,MATCH(B231,'Share classes'!$B$4:$B$203,0)),""))</f>
        <v/>
      </c>
      <c r="K231" s="30">
        <f>IF(A231="","",IFERROR(INDEX('Holders'!$B$4:$B$1003,MATCH(A231,'Holders'!$A$4:$A$1003,0)),""))</f>
        <v/>
      </c>
      <c r="L231" s="30">
        <f>IF(OR(A231="",B231="",D231=""),"",IF(D231=_xlfn.MAXIFS($D$4:$D$2503,$A$4:$A$2503,A231,$B$4:$B$2503,B231),"Yes","No"))</f>
        <v/>
      </c>
      <c r="M231" s="30">
        <f>IF(B231="","",IFERROR(INDEX('Share classes'!$F$4:$F$203,MATCH(B231,'Share classes'!$B$4:$B$203,0)),""))</f>
        <v/>
      </c>
      <c r="N231" s="30">
        <f>IF(A231="","",IF(K231="","Unknown holder ID",IF(J231="","Unknown class code",IF(OR(C231="",D231=""),"Missing shares or date",IF(OR(C231&lt;0,C231&lt;&gt;INT(C231)),"Shares must be a whole number",IF(COUNTIFS($A$4:$A$2503,A231,$B$4:$B$2503,B231,$D$4:$D$2503,D231)&gt;1,"Duplicate row (same date)","OK"))))))</f>
        <v/>
      </c>
    </row>
    <row r="232">
      <c r="A232" s="26" t="n"/>
      <c r="B232" s="26" t="n"/>
      <c r="C232" s="34" t="n"/>
      <c r="D232" s="28" t="n"/>
      <c r="E232" s="26" t="n"/>
      <c r="F232" s="26" t="n"/>
      <c r="G232" s="26" t="n"/>
      <c r="H232" s="38" t="n"/>
      <c r="I232" s="28" t="n"/>
      <c r="J232" s="30">
        <f>IF(B232="","",IFERROR(INDEX('Share classes'!$A$4:$A$203,MATCH(B232,'Share classes'!$B$4:$B$203,0)),""))</f>
        <v/>
      </c>
      <c r="K232" s="30">
        <f>IF(A232="","",IFERROR(INDEX('Holders'!$B$4:$B$1003,MATCH(A232,'Holders'!$A$4:$A$1003,0)),""))</f>
        <v/>
      </c>
      <c r="L232" s="30">
        <f>IF(OR(A232="",B232="",D232=""),"",IF(D232=_xlfn.MAXIFS($D$4:$D$2503,$A$4:$A$2503,A232,$B$4:$B$2503,B232),"Yes","No"))</f>
        <v/>
      </c>
      <c r="M232" s="30">
        <f>IF(B232="","",IFERROR(INDEX('Share classes'!$F$4:$F$203,MATCH(B232,'Share classes'!$B$4:$B$203,0)),""))</f>
        <v/>
      </c>
      <c r="N232" s="30">
        <f>IF(A232="","",IF(K232="","Unknown holder ID",IF(J232="","Unknown class code",IF(OR(C232="",D232=""),"Missing shares or date",IF(OR(C232&lt;0,C232&lt;&gt;INT(C232)),"Shares must be a whole number",IF(COUNTIFS($A$4:$A$2503,A232,$B$4:$B$2503,B232,$D$4:$D$2503,D232)&gt;1,"Duplicate row (same date)","OK"))))))</f>
        <v/>
      </c>
    </row>
    <row r="233">
      <c r="A233" s="26" t="n"/>
      <c r="B233" s="26" t="n"/>
      <c r="C233" s="34" t="n"/>
      <c r="D233" s="28" t="n"/>
      <c r="E233" s="26" t="n"/>
      <c r="F233" s="26" t="n"/>
      <c r="G233" s="26" t="n"/>
      <c r="H233" s="38" t="n"/>
      <c r="I233" s="28" t="n"/>
      <c r="J233" s="30">
        <f>IF(B233="","",IFERROR(INDEX('Share classes'!$A$4:$A$203,MATCH(B233,'Share classes'!$B$4:$B$203,0)),""))</f>
        <v/>
      </c>
      <c r="K233" s="30">
        <f>IF(A233="","",IFERROR(INDEX('Holders'!$B$4:$B$1003,MATCH(A233,'Holders'!$A$4:$A$1003,0)),""))</f>
        <v/>
      </c>
      <c r="L233" s="30">
        <f>IF(OR(A233="",B233="",D233=""),"",IF(D233=_xlfn.MAXIFS($D$4:$D$2503,$A$4:$A$2503,A233,$B$4:$B$2503,B233),"Yes","No"))</f>
        <v/>
      </c>
      <c r="M233" s="30">
        <f>IF(B233="","",IFERROR(INDEX('Share classes'!$F$4:$F$203,MATCH(B233,'Share classes'!$B$4:$B$203,0)),""))</f>
        <v/>
      </c>
      <c r="N233" s="30">
        <f>IF(A233="","",IF(K233="","Unknown holder ID",IF(J233="","Unknown class code",IF(OR(C233="",D233=""),"Missing shares or date",IF(OR(C233&lt;0,C233&lt;&gt;INT(C233)),"Shares must be a whole number",IF(COUNTIFS($A$4:$A$2503,A233,$B$4:$B$2503,B233,$D$4:$D$2503,D233)&gt;1,"Duplicate row (same date)","OK"))))))</f>
        <v/>
      </c>
    </row>
    <row r="234">
      <c r="A234" s="26" t="n"/>
      <c r="B234" s="26" t="n"/>
      <c r="C234" s="34" t="n"/>
      <c r="D234" s="28" t="n"/>
      <c r="E234" s="26" t="n"/>
      <c r="F234" s="26" t="n"/>
      <c r="G234" s="26" t="n"/>
      <c r="H234" s="38" t="n"/>
      <c r="I234" s="28" t="n"/>
      <c r="J234" s="30">
        <f>IF(B234="","",IFERROR(INDEX('Share classes'!$A$4:$A$203,MATCH(B234,'Share classes'!$B$4:$B$203,0)),""))</f>
        <v/>
      </c>
      <c r="K234" s="30">
        <f>IF(A234="","",IFERROR(INDEX('Holders'!$B$4:$B$1003,MATCH(A234,'Holders'!$A$4:$A$1003,0)),""))</f>
        <v/>
      </c>
      <c r="L234" s="30">
        <f>IF(OR(A234="",B234="",D234=""),"",IF(D234=_xlfn.MAXIFS($D$4:$D$2503,$A$4:$A$2503,A234,$B$4:$B$2503,B234),"Yes","No"))</f>
        <v/>
      </c>
      <c r="M234" s="30">
        <f>IF(B234="","",IFERROR(INDEX('Share classes'!$F$4:$F$203,MATCH(B234,'Share classes'!$B$4:$B$203,0)),""))</f>
        <v/>
      </c>
      <c r="N234" s="30">
        <f>IF(A234="","",IF(K234="","Unknown holder ID",IF(J234="","Unknown class code",IF(OR(C234="",D234=""),"Missing shares or date",IF(OR(C234&lt;0,C234&lt;&gt;INT(C234)),"Shares must be a whole number",IF(COUNTIFS($A$4:$A$2503,A234,$B$4:$B$2503,B234,$D$4:$D$2503,D234)&gt;1,"Duplicate row (same date)","OK"))))))</f>
        <v/>
      </c>
    </row>
    <row r="235">
      <c r="A235" s="26" t="n"/>
      <c r="B235" s="26" t="n"/>
      <c r="C235" s="34" t="n"/>
      <c r="D235" s="28" t="n"/>
      <c r="E235" s="26" t="n"/>
      <c r="F235" s="26" t="n"/>
      <c r="G235" s="26" t="n"/>
      <c r="H235" s="38" t="n"/>
      <c r="I235" s="28" t="n"/>
      <c r="J235" s="30">
        <f>IF(B235="","",IFERROR(INDEX('Share classes'!$A$4:$A$203,MATCH(B235,'Share classes'!$B$4:$B$203,0)),""))</f>
        <v/>
      </c>
      <c r="K235" s="30">
        <f>IF(A235="","",IFERROR(INDEX('Holders'!$B$4:$B$1003,MATCH(A235,'Holders'!$A$4:$A$1003,0)),""))</f>
        <v/>
      </c>
      <c r="L235" s="30">
        <f>IF(OR(A235="",B235="",D235=""),"",IF(D235=_xlfn.MAXIFS($D$4:$D$2503,$A$4:$A$2503,A235,$B$4:$B$2503,B235),"Yes","No"))</f>
        <v/>
      </c>
      <c r="M235" s="30">
        <f>IF(B235="","",IFERROR(INDEX('Share classes'!$F$4:$F$203,MATCH(B235,'Share classes'!$B$4:$B$203,0)),""))</f>
        <v/>
      </c>
      <c r="N235" s="30">
        <f>IF(A235="","",IF(K235="","Unknown holder ID",IF(J235="","Unknown class code",IF(OR(C235="",D235=""),"Missing shares or date",IF(OR(C235&lt;0,C235&lt;&gt;INT(C235)),"Shares must be a whole number",IF(COUNTIFS($A$4:$A$2503,A235,$B$4:$B$2503,B235,$D$4:$D$2503,D235)&gt;1,"Duplicate row (same date)","OK"))))))</f>
        <v/>
      </c>
    </row>
    <row r="236">
      <c r="A236" s="26" t="n"/>
      <c r="B236" s="26" t="n"/>
      <c r="C236" s="34" t="n"/>
      <c r="D236" s="28" t="n"/>
      <c r="E236" s="26" t="n"/>
      <c r="F236" s="26" t="n"/>
      <c r="G236" s="26" t="n"/>
      <c r="H236" s="38" t="n"/>
      <c r="I236" s="28" t="n"/>
      <c r="J236" s="30">
        <f>IF(B236="","",IFERROR(INDEX('Share classes'!$A$4:$A$203,MATCH(B236,'Share classes'!$B$4:$B$203,0)),""))</f>
        <v/>
      </c>
      <c r="K236" s="30">
        <f>IF(A236="","",IFERROR(INDEX('Holders'!$B$4:$B$1003,MATCH(A236,'Holders'!$A$4:$A$1003,0)),""))</f>
        <v/>
      </c>
      <c r="L236" s="30">
        <f>IF(OR(A236="",B236="",D236=""),"",IF(D236=_xlfn.MAXIFS($D$4:$D$2503,$A$4:$A$2503,A236,$B$4:$B$2503,B236),"Yes","No"))</f>
        <v/>
      </c>
      <c r="M236" s="30">
        <f>IF(B236="","",IFERROR(INDEX('Share classes'!$F$4:$F$203,MATCH(B236,'Share classes'!$B$4:$B$203,0)),""))</f>
        <v/>
      </c>
      <c r="N236" s="30">
        <f>IF(A236="","",IF(K236="","Unknown holder ID",IF(J236="","Unknown class code",IF(OR(C236="",D236=""),"Missing shares or date",IF(OR(C236&lt;0,C236&lt;&gt;INT(C236)),"Shares must be a whole number",IF(COUNTIFS($A$4:$A$2503,A236,$B$4:$B$2503,B236,$D$4:$D$2503,D236)&gt;1,"Duplicate row (same date)","OK"))))))</f>
        <v/>
      </c>
    </row>
    <row r="237">
      <c r="A237" s="26" t="n"/>
      <c r="B237" s="26" t="n"/>
      <c r="C237" s="34" t="n"/>
      <c r="D237" s="28" t="n"/>
      <c r="E237" s="26" t="n"/>
      <c r="F237" s="26" t="n"/>
      <c r="G237" s="26" t="n"/>
      <c r="H237" s="38" t="n"/>
      <c r="I237" s="28" t="n"/>
      <c r="J237" s="30">
        <f>IF(B237="","",IFERROR(INDEX('Share classes'!$A$4:$A$203,MATCH(B237,'Share classes'!$B$4:$B$203,0)),""))</f>
        <v/>
      </c>
      <c r="K237" s="30">
        <f>IF(A237="","",IFERROR(INDEX('Holders'!$B$4:$B$1003,MATCH(A237,'Holders'!$A$4:$A$1003,0)),""))</f>
        <v/>
      </c>
      <c r="L237" s="30">
        <f>IF(OR(A237="",B237="",D237=""),"",IF(D237=_xlfn.MAXIFS($D$4:$D$2503,$A$4:$A$2503,A237,$B$4:$B$2503,B237),"Yes","No"))</f>
        <v/>
      </c>
      <c r="M237" s="30">
        <f>IF(B237="","",IFERROR(INDEX('Share classes'!$F$4:$F$203,MATCH(B237,'Share classes'!$B$4:$B$203,0)),""))</f>
        <v/>
      </c>
      <c r="N237" s="30">
        <f>IF(A237="","",IF(K237="","Unknown holder ID",IF(J237="","Unknown class code",IF(OR(C237="",D237=""),"Missing shares or date",IF(OR(C237&lt;0,C237&lt;&gt;INT(C237)),"Shares must be a whole number",IF(COUNTIFS($A$4:$A$2503,A237,$B$4:$B$2503,B237,$D$4:$D$2503,D237)&gt;1,"Duplicate row (same date)","OK"))))))</f>
        <v/>
      </c>
    </row>
    <row r="238">
      <c r="A238" s="26" t="n"/>
      <c r="B238" s="26" t="n"/>
      <c r="C238" s="34" t="n"/>
      <c r="D238" s="28" t="n"/>
      <c r="E238" s="26" t="n"/>
      <c r="F238" s="26" t="n"/>
      <c r="G238" s="26" t="n"/>
      <c r="H238" s="38" t="n"/>
      <c r="I238" s="28" t="n"/>
      <c r="J238" s="30">
        <f>IF(B238="","",IFERROR(INDEX('Share classes'!$A$4:$A$203,MATCH(B238,'Share classes'!$B$4:$B$203,0)),""))</f>
        <v/>
      </c>
      <c r="K238" s="30">
        <f>IF(A238="","",IFERROR(INDEX('Holders'!$B$4:$B$1003,MATCH(A238,'Holders'!$A$4:$A$1003,0)),""))</f>
        <v/>
      </c>
      <c r="L238" s="30">
        <f>IF(OR(A238="",B238="",D238=""),"",IF(D238=_xlfn.MAXIFS($D$4:$D$2503,$A$4:$A$2503,A238,$B$4:$B$2503,B238),"Yes","No"))</f>
        <v/>
      </c>
      <c r="M238" s="30">
        <f>IF(B238="","",IFERROR(INDEX('Share classes'!$F$4:$F$203,MATCH(B238,'Share classes'!$B$4:$B$203,0)),""))</f>
        <v/>
      </c>
      <c r="N238" s="30">
        <f>IF(A238="","",IF(K238="","Unknown holder ID",IF(J238="","Unknown class code",IF(OR(C238="",D238=""),"Missing shares or date",IF(OR(C238&lt;0,C238&lt;&gt;INT(C238)),"Shares must be a whole number",IF(COUNTIFS($A$4:$A$2503,A238,$B$4:$B$2503,B238,$D$4:$D$2503,D238)&gt;1,"Duplicate row (same date)","OK"))))))</f>
        <v/>
      </c>
    </row>
    <row r="239">
      <c r="A239" s="26" t="n"/>
      <c r="B239" s="26" t="n"/>
      <c r="C239" s="34" t="n"/>
      <c r="D239" s="28" t="n"/>
      <c r="E239" s="26" t="n"/>
      <c r="F239" s="26" t="n"/>
      <c r="G239" s="26" t="n"/>
      <c r="H239" s="38" t="n"/>
      <c r="I239" s="28" t="n"/>
      <c r="J239" s="30">
        <f>IF(B239="","",IFERROR(INDEX('Share classes'!$A$4:$A$203,MATCH(B239,'Share classes'!$B$4:$B$203,0)),""))</f>
        <v/>
      </c>
      <c r="K239" s="30">
        <f>IF(A239="","",IFERROR(INDEX('Holders'!$B$4:$B$1003,MATCH(A239,'Holders'!$A$4:$A$1003,0)),""))</f>
        <v/>
      </c>
      <c r="L239" s="30">
        <f>IF(OR(A239="",B239="",D239=""),"",IF(D239=_xlfn.MAXIFS($D$4:$D$2503,$A$4:$A$2503,A239,$B$4:$B$2503,B239),"Yes","No"))</f>
        <v/>
      </c>
      <c r="M239" s="30">
        <f>IF(B239="","",IFERROR(INDEX('Share classes'!$F$4:$F$203,MATCH(B239,'Share classes'!$B$4:$B$203,0)),""))</f>
        <v/>
      </c>
      <c r="N239" s="30">
        <f>IF(A239="","",IF(K239="","Unknown holder ID",IF(J239="","Unknown class code",IF(OR(C239="",D239=""),"Missing shares or date",IF(OR(C239&lt;0,C239&lt;&gt;INT(C239)),"Shares must be a whole number",IF(COUNTIFS($A$4:$A$2503,A239,$B$4:$B$2503,B239,$D$4:$D$2503,D239)&gt;1,"Duplicate row (same date)","OK"))))))</f>
        <v/>
      </c>
    </row>
    <row r="240">
      <c r="A240" s="26" t="n"/>
      <c r="B240" s="26" t="n"/>
      <c r="C240" s="34" t="n"/>
      <c r="D240" s="28" t="n"/>
      <c r="E240" s="26" t="n"/>
      <c r="F240" s="26" t="n"/>
      <c r="G240" s="26" t="n"/>
      <c r="H240" s="38" t="n"/>
      <c r="I240" s="28" t="n"/>
      <c r="J240" s="30">
        <f>IF(B240="","",IFERROR(INDEX('Share classes'!$A$4:$A$203,MATCH(B240,'Share classes'!$B$4:$B$203,0)),""))</f>
        <v/>
      </c>
      <c r="K240" s="30">
        <f>IF(A240="","",IFERROR(INDEX('Holders'!$B$4:$B$1003,MATCH(A240,'Holders'!$A$4:$A$1003,0)),""))</f>
        <v/>
      </c>
      <c r="L240" s="30">
        <f>IF(OR(A240="",B240="",D240=""),"",IF(D240=_xlfn.MAXIFS($D$4:$D$2503,$A$4:$A$2503,A240,$B$4:$B$2503,B240),"Yes","No"))</f>
        <v/>
      </c>
      <c r="M240" s="30">
        <f>IF(B240="","",IFERROR(INDEX('Share classes'!$F$4:$F$203,MATCH(B240,'Share classes'!$B$4:$B$203,0)),""))</f>
        <v/>
      </c>
      <c r="N240" s="30">
        <f>IF(A240="","",IF(K240="","Unknown holder ID",IF(J240="","Unknown class code",IF(OR(C240="",D240=""),"Missing shares or date",IF(OR(C240&lt;0,C240&lt;&gt;INT(C240)),"Shares must be a whole number",IF(COUNTIFS($A$4:$A$2503,A240,$B$4:$B$2503,B240,$D$4:$D$2503,D240)&gt;1,"Duplicate row (same date)","OK"))))))</f>
        <v/>
      </c>
    </row>
    <row r="241">
      <c r="A241" s="26" t="n"/>
      <c r="B241" s="26" t="n"/>
      <c r="C241" s="34" t="n"/>
      <c r="D241" s="28" t="n"/>
      <c r="E241" s="26" t="n"/>
      <c r="F241" s="26" t="n"/>
      <c r="G241" s="26" t="n"/>
      <c r="H241" s="38" t="n"/>
      <c r="I241" s="28" t="n"/>
      <c r="J241" s="30">
        <f>IF(B241="","",IFERROR(INDEX('Share classes'!$A$4:$A$203,MATCH(B241,'Share classes'!$B$4:$B$203,0)),""))</f>
        <v/>
      </c>
      <c r="K241" s="30">
        <f>IF(A241="","",IFERROR(INDEX('Holders'!$B$4:$B$1003,MATCH(A241,'Holders'!$A$4:$A$1003,0)),""))</f>
        <v/>
      </c>
      <c r="L241" s="30">
        <f>IF(OR(A241="",B241="",D241=""),"",IF(D241=_xlfn.MAXIFS($D$4:$D$2503,$A$4:$A$2503,A241,$B$4:$B$2503,B241),"Yes","No"))</f>
        <v/>
      </c>
      <c r="M241" s="30">
        <f>IF(B241="","",IFERROR(INDEX('Share classes'!$F$4:$F$203,MATCH(B241,'Share classes'!$B$4:$B$203,0)),""))</f>
        <v/>
      </c>
      <c r="N241" s="30">
        <f>IF(A241="","",IF(K241="","Unknown holder ID",IF(J241="","Unknown class code",IF(OR(C241="",D241=""),"Missing shares or date",IF(OR(C241&lt;0,C241&lt;&gt;INT(C241)),"Shares must be a whole number",IF(COUNTIFS($A$4:$A$2503,A241,$B$4:$B$2503,B241,$D$4:$D$2503,D241)&gt;1,"Duplicate row (same date)","OK"))))))</f>
        <v/>
      </c>
    </row>
    <row r="242">
      <c r="A242" s="26" t="n"/>
      <c r="B242" s="26" t="n"/>
      <c r="C242" s="34" t="n"/>
      <c r="D242" s="28" t="n"/>
      <c r="E242" s="26" t="n"/>
      <c r="F242" s="26" t="n"/>
      <c r="G242" s="26" t="n"/>
      <c r="H242" s="38" t="n"/>
      <c r="I242" s="28" t="n"/>
      <c r="J242" s="30">
        <f>IF(B242="","",IFERROR(INDEX('Share classes'!$A$4:$A$203,MATCH(B242,'Share classes'!$B$4:$B$203,0)),""))</f>
        <v/>
      </c>
      <c r="K242" s="30">
        <f>IF(A242="","",IFERROR(INDEX('Holders'!$B$4:$B$1003,MATCH(A242,'Holders'!$A$4:$A$1003,0)),""))</f>
        <v/>
      </c>
      <c r="L242" s="30">
        <f>IF(OR(A242="",B242="",D242=""),"",IF(D242=_xlfn.MAXIFS($D$4:$D$2503,$A$4:$A$2503,A242,$B$4:$B$2503,B242),"Yes","No"))</f>
        <v/>
      </c>
      <c r="M242" s="30">
        <f>IF(B242="","",IFERROR(INDEX('Share classes'!$F$4:$F$203,MATCH(B242,'Share classes'!$B$4:$B$203,0)),""))</f>
        <v/>
      </c>
      <c r="N242" s="30">
        <f>IF(A242="","",IF(K242="","Unknown holder ID",IF(J242="","Unknown class code",IF(OR(C242="",D242=""),"Missing shares or date",IF(OR(C242&lt;0,C242&lt;&gt;INT(C242)),"Shares must be a whole number",IF(COUNTIFS($A$4:$A$2503,A242,$B$4:$B$2503,B242,$D$4:$D$2503,D242)&gt;1,"Duplicate row (same date)","OK"))))))</f>
        <v/>
      </c>
    </row>
    <row r="243">
      <c r="A243" s="26" t="n"/>
      <c r="B243" s="26" t="n"/>
      <c r="C243" s="34" t="n"/>
      <c r="D243" s="28" t="n"/>
      <c r="E243" s="26" t="n"/>
      <c r="F243" s="26" t="n"/>
      <c r="G243" s="26" t="n"/>
      <c r="H243" s="38" t="n"/>
      <c r="I243" s="28" t="n"/>
      <c r="J243" s="30">
        <f>IF(B243="","",IFERROR(INDEX('Share classes'!$A$4:$A$203,MATCH(B243,'Share classes'!$B$4:$B$203,0)),""))</f>
        <v/>
      </c>
      <c r="K243" s="30">
        <f>IF(A243="","",IFERROR(INDEX('Holders'!$B$4:$B$1003,MATCH(A243,'Holders'!$A$4:$A$1003,0)),""))</f>
        <v/>
      </c>
      <c r="L243" s="30">
        <f>IF(OR(A243="",B243="",D243=""),"",IF(D243=_xlfn.MAXIFS($D$4:$D$2503,$A$4:$A$2503,A243,$B$4:$B$2503,B243),"Yes","No"))</f>
        <v/>
      </c>
      <c r="M243" s="30">
        <f>IF(B243="","",IFERROR(INDEX('Share classes'!$F$4:$F$203,MATCH(B243,'Share classes'!$B$4:$B$203,0)),""))</f>
        <v/>
      </c>
      <c r="N243" s="30">
        <f>IF(A243="","",IF(K243="","Unknown holder ID",IF(J243="","Unknown class code",IF(OR(C243="",D243=""),"Missing shares or date",IF(OR(C243&lt;0,C243&lt;&gt;INT(C243)),"Shares must be a whole number",IF(COUNTIFS($A$4:$A$2503,A243,$B$4:$B$2503,B243,$D$4:$D$2503,D243)&gt;1,"Duplicate row (same date)","OK"))))))</f>
        <v/>
      </c>
    </row>
    <row r="244">
      <c r="A244" s="26" t="n"/>
      <c r="B244" s="26" t="n"/>
      <c r="C244" s="34" t="n"/>
      <c r="D244" s="28" t="n"/>
      <c r="E244" s="26" t="n"/>
      <c r="F244" s="26" t="n"/>
      <c r="G244" s="26" t="n"/>
      <c r="H244" s="38" t="n"/>
      <c r="I244" s="28" t="n"/>
      <c r="J244" s="30">
        <f>IF(B244="","",IFERROR(INDEX('Share classes'!$A$4:$A$203,MATCH(B244,'Share classes'!$B$4:$B$203,0)),""))</f>
        <v/>
      </c>
      <c r="K244" s="30">
        <f>IF(A244="","",IFERROR(INDEX('Holders'!$B$4:$B$1003,MATCH(A244,'Holders'!$A$4:$A$1003,0)),""))</f>
        <v/>
      </c>
      <c r="L244" s="30">
        <f>IF(OR(A244="",B244="",D244=""),"",IF(D244=_xlfn.MAXIFS($D$4:$D$2503,$A$4:$A$2503,A244,$B$4:$B$2503,B244),"Yes","No"))</f>
        <v/>
      </c>
      <c r="M244" s="30">
        <f>IF(B244="","",IFERROR(INDEX('Share classes'!$F$4:$F$203,MATCH(B244,'Share classes'!$B$4:$B$203,0)),""))</f>
        <v/>
      </c>
      <c r="N244" s="30">
        <f>IF(A244="","",IF(K244="","Unknown holder ID",IF(J244="","Unknown class code",IF(OR(C244="",D244=""),"Missing shares or date",IF(OR(C244&lt;0,C244&lt;&gt;INT(C244)),"Shares must be a whole number",IF(COUNTIFS($A$4:$A$2503,A244,$B$4:$B$2503,B244,$D$4:$D$2503,D244)&gt;1,"Duplicate row (same date)","OK"))))))</f>
        <v/>
      </c>
    </row>
    <row r="245">
      <c r="A245" s="26" t="n"/>
      <c r="B245" s="26" t="n"/>
      <c r="C245" s="34" t="n"/>
      <c r="D245" s="28" t="n"/>
      <c r="E245" s="26" t="n"/>
      <c r="F245" s="26" t="n"/>
      <c r="G245" s="26" t="n"/>
      <c r="H245" s="38" t="n"/>
      <c r="I245" s="28" t="n"/>
      <c r="J245" s="30">
        <f>IF(B245="","",IFERROR(INDEX('Share classes'!$A$4:$A$203,MATCH(B245,'Share classes'!$B$4:$B$203,0)),""))</f>
        <v/>
      </c>
      <c r="K245" s="30">
        <f>IF(A245="","",IFERROR(INDEX('Holders'!$B$4:$B$1003,MATCH(A245,'Holders'!$A$4:$A$1003,0)),""))</f>
        <v/>
      </c>
      <c r="L245" s="30">
        <f>IF(OR(A245="",B245="",D245=""),"",IF(D245=_xlfn.MAXIFS($D$4:$D$2503,$A$4:$A$2503,A245,$B$4:$B$2503,B245),"Yes","No"))</f>
        <v/>
      </c>
      <c r="M245" s="30">
        <f>IF(B245="","",IFERROR(INDEX('Share classes'!$F$4:$F$203,MATCH(B245,'Share classes'!$B$4:$B$203,0)),""))</f>
        <v/>
      </c>
      <c r="N245" s="30">
        <f>IF(A245="","",IF(K245="","Unknown holder ID",IF(J245="","Unknown class code",IF(OR(C245="",D245=""),"Missing shares or date",IF(OR(C245&lt;0,C245&lt;&gt;INT(C245)),"Shares must be a whole number",IF(COUNTIFS($A$4:$A$2503,A245,$B$4:$B$2503,B245,$D$4:$D$2503,D245)&gt;1,"Duplicate row (same date)","OK"))))))</f>
        <v/>
      </c>
    </row>
    <row r="246">
      <c r="A246" s="26" t="n"/>
      <c r="B246" s="26" t="n"/>
      <c r="C246" s="34" t="n"/>
      <c r="D246" s="28" t="n"/>
      <c r="E246" s="26" t="n"/>
      <c r="F246" s="26" t="n"/>
      <c r="G246" s="26" t="n"/>
      <c r="H246" s="38" t="n"/>
      <c r="I246" s="28" t="n"/>
      <c r="J246" s="30">
        <f>IF(B246="","",IFERROR(INDEX('Share classes'!$A$4:$A$203,MATCH(B246,'Share classes'!$B$4:$B$203,0)),""))</f>
        <v/>
      </c>
      <c r="K246" s="30">
        <f>IF(A246="","",IFERROR(INDEX('Holders'!$B$4:$B$1003,MATCH(A246,'Holders'!$A$4:$A$1003,0)),""))</f>
        <v/>
      </c>
      <c r="L246" s="30">
        <f>IF(OR(A246="",B246="",D246=""),"",IF(D246=_xlfn.MAXIFS($D$4:$D$2503,$A$4:$A$2503,A246,$B$4:$B$2503,B246),"Yes","No"))</f>
        <v/>
      </c>
      <c r="M246" s="30">
        <f>IF(B246="","",IFERROR(INDEX('Share classes'!$F$4:$F$203,MATCH(B246,'Share classes'!$B$4:$B$203,0)),""))</f>
        <v/>
      </c>
      <c r="N246" s="30">
        <f>IF(A246="","",IF(K246="","Unknown holder ID",IF(J246="","Unknown class code",IF(OR(C246="",D246=""),"Missing shares or date",IF(OR(C246&lt;0,C246&lt;&gt;INT(C246)),"Shares must be a whole number",IF(COUNTIFS($A$4:$A$2503,A246,$B$4:$B$2503,B246,$D$4:$D$2503,D246)&gt;1,"Duplicate row (same date)","OK"))))))</f>
        <v/>
      </c>
    </row>
    <row r="247">
      <c r="A247" s="26" t="n"/>
      <c r="B247" s="26" t="n"/>
      <c r="C247" s="34" t="n"/>
      <c r="D247" s="28" t="n"/>
      <c r="E247" s="26" t="n"/>
      <c r="F247" s="26" t="n"/>
      <c r="G247" s="26" t="n"/>
      <c r="H247" s="38" t="n"/>
      <c r="I247" s="28" t="n"/>
      <c r="J247" s="30">
        <f>IF(B247="","",IFERROR(INDEX('Share classes'!$A$4:$A$203,MATCH(B247,'Share classes'!$B$4:$B$203,0)),""))</f>
        <v/>
      </c>
      <c r="K247" s="30">
        <f>IF(A247="","",IFERROR(INDEX('Holders'!$B$4:$B$1003,MATCH(A247,'Holders'!$A$4:$A$1003,0)),""))</f>
        <v/>
      </c>
      <c r="L247" s="30">
        <f>IF(OR(A247="",B247="",D247=""),"",IF(D247=_xlfn.MAXIFS($D$4:$D$2503,$A$4:$A$2503,A247,$B$4:$B$2503,B247),"Yes","No"))</f>
        <v/>
      </c>
      <c r="M247" s="30">
        <f>IF(B247="","",IFERROR(INDEX('Share classes'!$F$4:$F$203,MATCH(B247,'Share classes'!$B$4:$B$203,0)),""))</f>
        <v/>
      </c>
      <c r="N247" s="30">
        <f>IF(A247="","",IF(K247="","Unknown holder ID",IF(J247="","Unknown class code",IF(OR(C247="",D247=""),"Missing shares or date",IF(OR(C247&lt;0,C247&lt;&gt;INT(C247)),"Shares must be a whole number",IF(COUNTIFS($A$4:$A$2503,A247,$B$4:$B$2503,B247,$D$4:$D$2503,D247)&gt;1,"Duplicate row (same date)","OK"))))))</f>
        <v/>
      </c>
    </row>
    <row r="248">
      <c r="A248" s="26" t="n"/>
      <c r="B248" s="26" t="n"/>
      <c r="C248" s="34" t="n"/>
      <c r="D248" s="28" t="n"/>
      <c r="E248" s="26" t="n"/>
      <c r="F248" s="26" t="n"/>
      <c r="G248" s="26" t="n"/>
      <c r="H248" s="38" t="n"/>
      <c r="I248" s="28" t="n"/>
      <c r="J248" s="30">
        <f>IF(B248="","",IFERROR(INDEX('Share classes'!$A$4:$A$203,MATCH(B248,'Share classes'!$B$4:$B$203,0)),""))</f>
        <v/>
      </c>
      <c r="K248" s="30">
        <f>IF(A248="","",IFERROR(INDEX('Holders'!$B$4:$B$1003,MATCH(A248,'Holders'!$A$4:$A$1003,0)),""))</f>
        <v/>
      </c>
      <c r="L248" s="30">
        <f>IF(OR(A248="",B248="",D248=""),"",IF(D248=_xlfn.MAXIFS($D$4:$D$2503,$A$4:$A$2503,A248,$B$4:$B$2503,B248),"Yes","No"))</f>
        <v/>
      </c>
      <c r="M248" s="30">
        <f>IF(B248="","",IFERROR(INDEX('Share classes'!$F$4:$F$203,MATCH(B248,'Share classes'!$B$4:$B$203,0)),""))</f>
        <v/>
      </c>
      <c r="N248" s="30">
        <f>IF(A248="","",IF(K248="","Unknown holder ID",IF(J248="","Unknown class code",IF(OR(C248="",D248=""),"Missing shares or date",IF(OR(C248&lt;0,C248&lt;&gt;INT(C248)),"Shares must be a whole number",IF(COUNTIFS($A$4:$A$2503,A248,$B$4:$B$2503,B248,$D$4:$D$2503,D248)&gt;1,"Duplicate row (same date)","OK"))))))</f>
        <v/>
      </c>
    </row>
    <row r="249">
      <c r="A249" s="26" t="n"/>
      <c r="B249" s="26" t="n"/>
      <c r="C249" s="34" t="n"/>
      <c r="D249" s="28" t="n"/>
      <c r="E249" s="26" t="n"/>
      <c r="F249" s="26" t="n"/>
      <c r="G249" s="26" t="n"/>
      <c r="H249" s="38" t="n"/>
      <c r="I249" s="28" t="n"/>
      <c r="J249" s="30">
        <f>IF(B249="","",IFERROR(INDEX('Share classes'!$A$4:$A$203,MATCH(B249,'Share classes'!$B$4:$B$203,0)),""))</f>
        <v/>
      </c>
      <c r="K249" s="30">
        <f>IF(A249="","",IFERROR(INDEX('Holders'!$B$4:$B$1003,MATCH(A249,'Holders'!$A$4:$A$1003,0)),""))</f>
        <v/>
      </c>
      <c r="L249" s="30">
        <f>IF(OR(A249="",B249="",D249=""),"",IF(D249=_xlfn.MAXIFS($D$4:$D$2503,$A$4:$A$2503,A249,$B$4:$B$2503,B249),"Yes","No"))</f>
        <v/>
      </c>
      <c r="M249" s="30">
        <f>IF(B249="","",IFERROR(INDEX('Share classes'!$F$4:$F$203,MATCH(B249,'Share classes'!$B$4:$B$203,0)),""))</f>
        <v/>
      </c>
      <c r="N249" s="30">
        <f>IF(A249="","",IF(K249="","Unknown holder ID",IF(J249="","Unknown class code",IF(OR(C249="",D249=""),"Missing shares or date",IF(OR(C249&lt;0,C249&lt;&gt;INT(C249)),"Shares must be a whole number",IF(COUNTIFS($A$4:$A$2503,A249,$B$4:$B$2503,B249,$D$4:$D$2503,D249)&gt;1,"Duplicate row (same date)","OK"))))))</f>
        <v/>
      </c>
    </row>
    <row r="250">
      <c r="A250" s="26" t="n"/>
      <c r="B250" s="26" t="n"/>
      <c r="C250" s="34" t="n"/>
      <c r="D250" s="28" t="n"/>
      <c r="E250" s="26" t="n"/>
      <c r="F250" s="26" t="n"/>
      <c r="G250" s="26" t="n"/>
      <c r="H250" s="38" t="n"/>
      <c r="I250" s="28" t="n"/>
      <c r="J250" s="30">
        <f>IF(B250="","",IFERROR(INDEX('Share classes'!$A$4:$A$203,MATCH(B250,'Share classes'!$B$4:$B$203,0)),""))</f>
        <v/>
      </c>
      <c r="K250" s="30">
        <f>IF(A250="","",IFERROR(INDEX('Holders'!$B$4:$B$1003,MATCH(A250,'Holders'!$A$4:$A$1003,0)),""))</f>
        <v/>
      </c>
      <c r="L250" s="30">
        <f>IF(OR(A250="",B250="",D250=""),"",IF(D250=_xlfn.MAXIFS($D$4:$D$2503,$A$4:$A$2503,A250,$B$4:$B$2503,B250),"Yes","No"))</f>
        <v/>
      </c>
      <c r="M250" s="30">
        <f>IF(B250="","",IFERROR(INDEX('Share classes'!$F$4:$F$203,MATCH(B250,'Share classes'!$B$4:$B$203,0)),""))</f>
        <v/>
      </c>
      <c r="N250" s="30">
        <f>IF(A250="","",IF(K250="","Unknown holder ID",IF(J250="","Unknown class code",IF(OR(C250="",D250=""),"Missing shares or date",IF(OR(C250&lt;0,C250&lt;&gt;INT(C250)),"Shares must be a whole number",IF(COUNTIFS($A$4:$A$2503,A250,$B$4:$B$2503,B250,$D$4:$D$2503,D250)&gt;1,"Duplicate row (same date)","OK"))))))</f>
        <v/>
      </c>
    </row>
    <row r="251">
      <c r="A251" s="26" t="n"/>
      <c r="B251" s="26" t="n"/>
      <c r="C251" s="34" t="n"/>
      <c r="D251" s="28" t="n"/>
      <c r="E251" s="26" t="n"/>
      <c r="F251" s="26" t="n"/>
      <c r="G251" s="26" t="n"/>
      <c r="H251" s="38" t="n"/>
      <c r="I251" s="28" t="n"/>
      <c r="J251" s="30">
        <f>IF(B251="","",IFERROR(INDEX('Share classes'!$A$4:$A$203,MATCH(B251,'Share classes'!$B$4:$B$203,0)),""))</f>
        <v/>
      </c>
      <c r="K251" s="30">
        <f>IF(A251="","",IFERROR(INDEX('Holders'!$B$4:$B$1003,MATCH(A251,'Holders'!$A$4:$A$1003,0)),""))</f>
        <v/>
      </c>
      <c r="L251" s="30">
        <f>IF(OR(A251="",B251="",D251=""),"",IF(D251=_xlfn.MAXIFS($D$4:$D$2503,$A$4:$A$2503,A251,$B$4:$B$2503,B251),"Yes","No"))</f>
        <v/>
      </c>
      <c r="M251" s="30">
        <f>IF(B251="","",IFERROR(INDEX('Share classes'!$F$4:$F$203,MATCH(B251,'Share classes'!$B$4:$B$203,0)),""))</f>
        <v/>
      </c>
      <c r="N251" s="30">
        <f>IF(A251="","",IF(K251="","Unknown holder ID",IF(J251="","Unknown class code",IF(OR(C251="",D251=""),"Missing shares or date",IF(OR(C251&lt;0,C251&lt;&gt;INT(C251)),"Shares must be a whole number",IF(COUNTIFS($A$4:$A$2503,A251,$B$4:$B$2503,B251,$D$4:$D$2503,D251)&gt;1,"Duplicate row (same date)","OK"))))))</f>
        <v/>
      </c>
    </row>
    <row r="252">
      <c r="A252" s="26" t="n"/>
      <c r="B252" s="26" t="n"/>
      <c r="C252" s="34" t="n"/>
      <c r="D252" s="28" t="n"/>
      <c r="E252" s="26" t="n"/>
      <c r="F252" s="26" t="n"/>
      <c r="G252" s="26" t="n"/>
      <c r="H252" s="38" t="n"/>
      <c r="I252" s="28" t="n"/>
      <c r="J252" s="30">
        <f>IF(B252="","",IFERROR(INDEX('Share classes'!$A$4:$A$203,MATCH(B252,'Share classes'!$B$4:$B$203,0)),""))</f>
        <v/>
      </c>
      <c r="K252" s="30">
        <f>IF(A252="","",IFERROR(INDEX('Holders'!$B$4:$B$1003,MATCH(A252,'Holders'!$A$4:$A$1003,0)),""))</f>
        <v/>
      </c>
      <c r="L252" s="30">
        <f>IF(OR(A252="",B252="",D252=""),"",IF(D252=_xlfn.MAXIFS($D$4:$D$2503,$A$4:$A$2503,A252,$B$4:$B$2503,B252),"Yes","No"))</f>
        <v/>
      </c>
      <c r="M252" s="30">
        <f>IF(B252="","",IFERROR(INDEX('Share classes'!$F$4:$F$203,MATCH(B252,'Share classes'!$B$4:$B$203,0)),""))</f>
        <v/>
      </c>
      <c r="N252" s="30">
        <f>IF(A252="","",IF(K252="","Unknown holder ID",IF(J252="","Unknown class code",IF(OR(C252="",D252=""),"Missing shares or date",IF(OR(C252&lt;0,C252&lt;&gt;INT(C252)),"Shares must be a whole number",IF(COUNTIFS($A$4:$A$2503,A252,$B$4:$B$2503,B252,$D$4:$D$2503,D252)&gt;1,"Duplicate row (same date)","OK"))))))</f>
        <v/>
      </c>
    </row>
    <row r="253">
      <c r="A253" s="26" t="n"/>
      <c r="B253" s="26" t="n"/>
      <c r="C253" s="34" t="n"/>
      <c r="D253" s="28" t="n"/>
      <c r="E253" s="26" t="n"/>
      <c r="F253" s="26" t="n"/>
      <c r="G253" s="26" t="n"/>
      <c r="H253" s="38" t="n"/>
      <c r="I253" s="28" t="n"/>
      <c r="J253" s="30">
        <f>IF(B253="","",IFERROR(INDEX('Share classes'!$A$4:$A$203,MATCH(B253,'Share classes'!$B$4:$B$203,0)),""))</f>
        <v/>
      </c>
      <c r="K253" s="30">
        <f>IF(A253="","",IFERROR(INDEX('Holders'!$B$4:$B$1003,MATCH(A253,'Holders'!$A$4:$A$1003,0)),""))</f>
        <v/>
      </c>
      <c r="L253" s="30">
        <f>IF(OR(A253="",B253="",D253=""),"",IF(D253=_xlfn.MAXIFS($D$4:$D$2503,$A$4:$A$2503,A253,$B$4:$B$2503,B253),"Yes","No"))</f>
        <v/>
      </c>
      <c r="M253" s="30">
        <f>IF(B253="","",IFERROR(INDEX('Share classes'!$F$4:$F$203,MATCH(B253,'Share classes'!$B$4:$B$203,0)),""))</f>
        <v/>
      </c>
      <c r="N253" s="30">
        <f>IF(A253="","",IF(K253="","Unknown holder ID",IF(J253="","Unknown class code",IF(OR(C253="",D253=""),"Missing shares or date",IF(OR(C253&lt;0,C253&lt;&gt;INT(C253)),"Shares must be a whole number",IF(COUNTIFS($A$4:$A$2503,A253,$B$4:$B$2503,B253,$D$4:$D$2503,D253)&gt;1,"Duplicate row (same date)","OK"))))))</f>
        <v/>
      </c>
    </row>
    <row r="254">
      <c r="A254" s="26" t="n"/>
      <c r="B254" s="26" t="n"/>
      <c r="C254" s="34" t="n"/>
      <c r="D254" s="28" t="n"/>
      <c r="E254" s="26" t="n"/>
      <c r="F254" s="26" t="n"/>
      <c r="G254" s="26" t="n"/>
      <c r="H254" s="38" t="n"/>
      <c r="I254" s="28" t="n"/>
      <c r="J254" s="30">
        <f>IF(B254="","",IFERROR(INDEX('Share classes'!$A$4:$A$203,MATCH(B254,'Share classes'!$B$4:$B$203,0)),""))</f>
        <v/>
      </c>
      <c r="K254" s="30">
        <f>IF(A254="","",IFERROR(INDEX('Holders'!$B$4:$B$1003,MATCH(A254,'Holders'!$A$4:$A$1003,0)),""))</f>
        <v/>
      </c>
      <c r="L254" s="30">
        <f>IF(OR(A254="",B254="",D254=""),"",IF(D254=_xlfn.MAXIFS($D$4:$D$2503,$A$4:$A$2503,A254,$B$4:$B$2503,B254),"Yes","No"))</f>
        <v/>
      </c>
      <c r="M254" s="30">
        <f>IF(B254="","",IFERROR(INDEX('Share classes'!$F$4:$F$203,MATCH(B254,'Share classes'!$B$4:$B$203,0)),""))</f>
        <v/>
      </c>
      <c r="N254" s="30">
        <f>IF(A254="","",IF(K254="","Unknown holder ID",IF(J254="","Unknown class code",IF(OR(C254="",D254=""),"Missing shares or date",IF(OR(C254&lt;0,C254&lt;&gt;INT(C254)),"Shares must be a whole number",IF(COUNTIFS($A$4:$A$2503,A254,$B$4:$B$2503,B254,$D$4:$D$2503,D254)&gt;1,"Duplicate row (same date)","OK"))))))</f>
        <v/>
      </c>
    </row>
    <row r="255">
      <c r="A255" s="26" t="n"/>
      <c r="B255" s="26" t="n"/>
      <c r="C255" s="34" t="n"/>
      <c r="D255" s="28" t="n"/>
      <c r="E255" s="26" t="n"/>
      <c r="F255" s="26" t="n"/>
      <c r="G255" s="26" t="n"/>
      <c r="H255" s="38" t="n"/>
      <c r="I255" s="28" t="n"/>
      <c r="J255" s="30">
        <f>IF(B255="","",IFERROR(INDEX('Share classes'!$A$4:$A$203,MATCH(B255,'Share classes'!$B$4:$B$203,0)),""))</f>
        <v/>
      </c>
      <c r="K255" s="30">
        <f>IF(A255="","",IFERROR(INDEX('Holders'!$B$4:$B$1003,MATCH(A255,'Holders'!$A$4:$A$1003,0)),""))</f>
        <v/>
      </c>
      <c r="L255" s="30">
        <f>IF(OR(A255="",B255="",D255=""),"",IF(D255=_xlfn.MAXIFS($D$4:$D$2503,$A$4:$A$2503,A255,$B$4:$B$2503,B255),"Yes","No"))</f>
        <v/>
      </c>
      <c r="M255" s="30">
        <f>IF(B255="","",IFERROR(INDEX('Share classes'!$F$4:$F$203,MATCH(B255,'Share classes'!$B$4:$B$203,0)),""))</f>
        <v/>
      </c>
      <c r="N255" s="30">
        <f>IF(A255="","",IF(K255="","Unknown holder ID",IF(J255="","Unknown class code",IF(OR(C255="",D255=""),"Missing shares or date",IF(OR(C255&lt;0,C255&lt;&gt;INT(C255)),"Shares must be a whole number",IF(COUNTIFS($A$4:$A$2503,A255,$B$4:$B$2503,B255,$D$4:$D$2503,D255)&gt;1,"Duplicate row (same date)","OK"))))))</f>
        <v/>
      </c>
    </row>
    <row r="256">
      <c r="A256" s="26" t="n"/>
      <c r="B256" s="26" t="n"/>
      <c r="C256" s="34" t="n"/>
      <c r="D256" s="28" t="n"/>
      <c r="E256" s="26" t="n"/>
      <c r="F256" s="26" t="n"/>
      <c r="G256" s="26" t="n"/>
      <c r="H256" s="38" t="n"/>
      <c r="I256" s="28" t="n"/>
      <c r="J256" s="30">
        <f>IF(B256="","",IFERROR(INDEX('Share classes'!$A$4:$A$203,MATCH(B256,'Share classes'!$B$4:$B$203,0)),""))</f>
        <v/>
      </c>
      <c r="K256" s="30">
        <f>IF(A256="","",IFERROR(INDEX('Holders'!$B$4:$B$1003,MATCH(A256,'Holders'!$A$4:$A$1003,0)),""))</f>
        <v/>
      </c>
      <c r="L256" s="30">
        <f>IF(OR(A256="",B256="",D256=""),"",IF(D256=_xlfn.MAXIFS($D$4:$D$2503,$A$4:$A$2503,A256,$B$4:$B$2503,B256),"Yes","No"))</f>
        <v/>
      </c>
      <c r="M256" s="30">
        <f>IF(B256="","",IFERROR(INDEX('Share classes'!$F$4:$F$203,MATCH(B256,'Share classes'!$B$4:$B$203,0)),""))</f>
        <v/>
      </c>
      <c r="N256" s="30">
        <f>IF(A256="","",IF(K256="","Unknown holder ID",IF(J256="","Unknown class code",IF(OR(C256="",D256=""),"Missing shares or date",IF(OR(C256&lt;0,C256&lt;&gt;INT(C256)),"Shares must be a whole number",IF(COUNTIFS($A$4:$A$2503,A256,$B$4:$B$2503,B256,$D$4:$D$2503,D256)&gt;1,"Duplicate row (same date)","OK"))))))</f>
        <v/>
      </c>
    </row>
    <row r="257">
      <c r="A257" s="26" t="n"/>
      <c r="B257" s="26" t="n"/>
      <c r="C257" s="34" t="n"/>
      <c r="D257" s="28" t="n"/>
      <c r="E257" s="26" t="n"/>
      <c r="F257" s="26" t="n"/>
      <c r="G257" s="26" t="n"/>
      <c r="H257" s="38" t="n"/>
      <c r="I257" s="28" t="n"/>
      <c r="J257" s="30">
        <f>IF(B257="","",IFERROR(INDEX('Share classes'!$A$4:$A$203,MATCH(B257,'Share classes'!$B$4:$B$203,0)),""))</f>
        <v/>
      </c>
      <c r="K257" s="30">
        <f>IF(A257="","",IFERROR(INDEX('Holders'!$B$4:$B$1003,MATCH(A257,'Holders'!$A$4:$A$1003,0)),""))</f>
        <v/>
      </c>
      <c r="L257" s="30">
        <f>IF(OR(A257="",B257="",D257=""),"",IF(D257=_xlfn.MAXIFS($D$4:$D$2503,$A$4:$A$2503,A257,$B$4:$B$2503,B257),"Yes","No"))</f>
        <v/>
      </c>
      <c r="M257" s="30">
        <f>IF(B257="","",IFERROR(INDEX('Share classes'!$F$4:$F$203,MATCH(B257,'Share classes'!$B$4:$B$203,0)),""))</f>
        <v/>
      </c>
      <c r="N257" s="30">
        <f>IF(A257="","",IF(K257="","Unknown holder ID",IF(J257="","Unknown class code",IF(OR(C257="",D257=""),"Missing shares or date",IF(OR(C257&lt;0,C257&lt;&gt;INT(C257)),"Shares must be a whole number",IF(COUNTIFS($A$4:$A$2503,A257,$B$4:$B$2503,B257,$D$4:$D$2503,D257)&gt;1,"Duplicate row (same date)","OK"))))))</f>
        <v/>
      </c>
    </row>
    <row r="258">
      <c r="A258" s="26" t="n"/>
      <c r="B258" s="26" t="n"/>
      <c r="C258" s="34" t="n"/>
      <c r="D258" s="28" t="n"/>
      <c r="E258" s="26" t="n"/>
      <c r="F258" s="26" t="n"/>
      <c r="G258" s="26" t="n"/>
      <c r="H258" s="38" t="n"/>
      <c r="I258" s="28" t="n"/>
      <c r="J258" s="30">
        <f>IF(B258="","",IFERROR(INDEX('Share classes'!$A$4:$A$203,MATCH(B258,'Share classes'!$B$4:$B$203,0)),""))</f>
        <v/>
      </c>
      <c r="K258" s="30">
        <f>IF(A258="","",IFERROR(INDEX('Holders'!$B$4:$B$1003,MATCH(A258,'Holders'!$A$4:$A$1003,0)),""))</f>
        <v/>
      </c>
      <c r="L258" s="30">
        <f>IF(OR(A258="",B258="",D258=""),"",IF(D258=_xlfn.MAXIFS($D$4:$D$2503,$A$4:$A$2503,A258,$B$4:$B$2503,B258),"Yes","No"))</f>
        <v/>
      </c>
      <c r="M258" s="30">
        <f>IF(B258="","",IFERROR(INDEX('Share classes'!$F$4:$F$203,MATCH(B258,'Share classes'!$B$4:$B$203,0)),""))</f>
        <v/>
      </c>
      <c r="N258" s="30">
        <f>IF(A258="","",IF(K258="","Unknown holder ID",IF(J258="","Unknown class code",IF(OR(C258="",D258=""),"Missing shares or date",IF(OR(C258&lt;0,C258&lt;&gt;INT(C258)),"Shares must be a whole number",IF(COUNTIFS($A$4:$A$2503,A258,$B$4:$B$2503,B258,$D$4:$D$2503,D258)&gt;1,"Duplicate row (same date)","OK"))))))</f>
        <v/>
      </c>
    </row>
    <row r="259">
      <c r="A259" s="26" t="n"/>
      <c r="B259" s="26" t="n"/>
      <c r="C259" s="34" t="n"/>
      <c r="D259" s="28" t="n"/>
      <c r="E259" s="26" t="n"/>
      <c r="F259" s="26" t="n"/>
      <c r="G259" s="26" t="n"/>
      <c r="H259" s="38" t="n"/>
      <c r="I259" s="28" t="n"/>
      <c r="J259" s="30">
        <f>IF(B259="","",IFERROR(INDEX('Share classes'!$A$4:$A$203,MATCH(B259,'Share classes'!$B$4:$B$203,0)),""))</f>
        <v/>
      </c>
      <c r="K259" s="30">
        <f>IF(A259="","",IFERROR(INDEX('Holders'!$B$4:$B$1003,MATCH(A259,'Holders'!$A$4:$A$1003,0)),""))</f>
        <v/>
      </c>
      <c r="L259" s="30">
        <f>IF(OR(A259="",B259="",D259=""),"",IF(D259=_xlfn.MAXIFS($D$4:$D$2503,$A$4:$A$2503,A259,$B$4:$B$2503,B259),"Yes","No"))</f>
        <v/>
      </c>
      <c r="M259" s="30">
        <f>IF(B259="","",IFERROR(INDEX('Share classes'!$F$4:$F$203,MATCH(B259,'Share classes'!$B$4:$B$203,0)),""))</f>
        <v/>
      </c>
      <c r="N259" s="30">
        <f>IF(A259="","",IF(K259="","Unknown holder ID",IF(J259="","Unknown class code",IF(OR(C259="",D259=""),"Missing shares or date",IF(OR(C259&lt;0,C259&lt;&gt;INT(C259)),"Shares must be a whole number",IF(COUNTIFS($A$4:$A$2503,A259,$B$4:$B$2503,B259,$D$4:$D$2503,D259)&gt;1,"Duplicate row (same date)","OK"))))))</f>
        <v/>
      </c>
    </row>
    <row r="260">
      <c r="A260" s="26" t="n"/>
      <c r="B260" s="26" t="n"/>
      <c r="C260" s="34" t="n"/>
      <c r="D260" s="28" t="n"/>
      <c r="E260" s="26" t="n"/>
      <c r="F260" s="26" t="n"/>
      <c r="G260" s="26" t="n"/>
      <c r="H260" s="38" t="n"/>
      <c r="I260" s="28" t="n"/>
      <c r="J260" s="30">
        <f>IF(B260="","",IFERROR(INDEX('Share classes'!$A$4:$A$203,MATCH(B260,'Share classes'!$B$4:$B$203,0)),""))</f>
        <v/>
      </c>
      <c r="K260" s="30">
        <f>IF(A260="","",IFERROR(INDEX('Holders'!$B$4:$B$1003,MATCH(A260,'Holders'!$A$4:$A$1003,0)),""))</f>
        <v/>
      </c>
      <c r="L260" s="30">
        <f>IF(OR(A260="",B260="",D260=""),"",IF(D260=_xlfn.MAXIFS($D$4:$D$2503,$A$4:$A$2503,A260,$B$4:$B$2503,B260),"Yes","No"))</f>
        <v/>
      </c>
      <c r="M260" s="30">
        <f>IF(B260="","",IFERROR(INDEX('Share classes'!$F$4:$F$203,MATCH(B260,'Share classes'!$B$4:$B$203,0)),""))</f>
        <v/>
      </c>
      <c r="N260" s="30">
        <f>IF(A260="","",IF(K260="","Unknown holder ID",IF(J260="","Unknown class code",IF(OR(C260="",D260=""),"Missing shares or date",IF(OR(C260&lt;0,C260&lt;&gt;INT(C260)),"Shares must be a whole number",IF(COUNTIFS($A$4:$A$2503,A260,$B$4:$B$2503,B260,$D$4:$D$2503,D260)&gt;1,"Duplicate row (same date)","OK"))))))</f>
        <v/>
      </c>
    </row>
    <row r="261">
      <c r="A261" s="26" t="n"/>
      <c r="B261" s="26" t="n"/>
      <c r="C261" s="34" t="n"/>
      <c r="D261" s="28" t="n"/>
      <c r="E261" s="26" t="n"/>
      <c r="F261" s="26" t="n"/>
      <c r="G261" s="26" t="n"/>
      <c r="H261" s="38" t="n"/>
      <c r="I261" s="28" t="n"/>
      <c r="J261" s="30">
        <f>IF(B261="","",IFERROR(INDEX('Share classes'!$A$4:$A$203,MATCH(B261,'Share classes'!$B$4:$B$203,0)),""))</f>
        <v/>
      </c>
      <c r="K261" s="30">
        <f>IF(A261="","",IFERROR(INDEX('Holders'!$B$4:$B$1003,MATCH(A261,'Holders'!$A$4:$A$1003,0)),""))</f>
        <v/>
      </c>
      <c r="L261" s="30">
        <f>IF(OR(A261="",B261="",D261=""),"",IF(D261=_xlfn.MAXIFS($D$4:$D$2503,$A$4:$A$2503,A261,$B$4:$B$2503,B261),"Yes","No"))</f>
        <v/>
      </c>
      <c r="M261" s="30">
        <f>IF(B261="","",IFERROR(INDEX('Share classes'!$F$4:$F$203,MATCH(B261,'Share classes'!$B$4:$B$203,0)),""))</f>
        <v/>
      </c>
      <c r="N261" s="30">
        <f>IF(A261="","",IF(K261="","Unknown holder ID",IF(J261="","Unknown class code",IF(OR(C261="",D261=""),"Missing shares or date",IF(OR(C261&lt;0,C261&lt;&gt;INT(C261)),"Shares must be a whole number",IF(COUNTIFS($A$4:$A$2503,A261,$B$4:$B$2503,B261,$D$4:$D$2503,D261)&gt;1,"Duplicate row (same date)","OK"))))))</f>
        <v/>
      </c>
    </row>
    <row r="262">
      <c r="A262" s="26" t="n"/>
      <c r="B262" s="26" t="n"/>
      <c r="C262" s="34" t="n"/>
      <c r="D262" s="28" t="n"/>
      <c r="E262" s="26" t="n"/>
      <c r="F262" s="26" t="n"/>
      <c r="G262" s="26" t="n"/>
      <c r="H262" s="38" t="n"/>
      <c r="I262" s="28" t="n"/>
      <c r="J262" s="30">
        <f>IF(B262="","",IFERROR(INDEX('Share classes'!$A$4:$A$203,MATCH(B262,'Share classes'!$B$4:$B$203,0)),""))</f>
        <v/>
      </c>
      <c r="K262" s="30">
        <f>IF(A262="","",IFERROR(INDEX('Holders'!$B$4:$B$1003,MATCH(A262,'Holders'!$A$4:$A$1003,0)),""))</f>
        <v/>
      </c>
      <c r="L262" s="30">
        <f>IF(OR(A262="",B262="",D262=""),"",IF(D262=_xlfn.MAXIFS($D$4:$D$2503,$A$4:$A$2503,A262,$B$4:$B$2503,B262),"Yes","No"))</f>
        <v/>
      </c>
      <c r="M262" s="30">
        <f>IF(B262="","",IFERROR(INDEX('Share classes'!$F$4:$F$203,MATCH(B262,'Share classes'!$B$4:$B$203,0)),""))</f>
        <v/>
      </c>
      <c r="N262" s="30">
        <f>IF(A262="","",IF(K262="","Unknown holder ID",IF(J262="","Unknown class code",IF(OR(C262="",D262=""),"Missing shares or date",IF(OR(C262&lt;0,C262&lt;&gt;INT(C262)),"Shares must be a whole number",IF(COUNTIFS($A$4:$A$2503,A262,$B$4:$B$2503,B262,$D$4:$D$2503,D262)&gt;1,"Duplicate row (same date)","OK"))))))</f>
        <v/>
      </c>
    </row>
    <row r="263">
      <c r="A263" s="26" t="n"/>
      <c r="B263" s="26" t="n"/>
      <c r="C263" s="34" t="n"/>
      <c r="D263" s="28" t="n"/>
      <c r="E263" s="26" t="n"/>
      <c r="F263" s="26" t="n"/>
      <c r="G263" s="26" t="n"/>
      <c r="H263" s="38" t="n"/>
      <c r="I263" s="28" t="n"/>
      <c r="J263" s="30">
        <f>IF(B263="","",IFERROR(INDEX('Share classes'!$A$4:$A$203,MATCH(B263,'Share classes'!$B$4:$B$203,0)),""))</f>
        <v/>
      </c>
      <c r="K263" s="30">
        <f>IF(A263="","",IFERROR(INDEX('Holders'!$B$4:$B$1003,MATCH(A263,'Holders'!$A$4:$A$1003,0)),""))</f>
        <v/>
      </c>
      <c r="L263" s="30">
        <f>IF(OR(A263="",B263="",D263=""),"",IF(D263=_xlfn.MAXIFS($D$4:$D$2503,$A$4:$A$2503,A263,$B$4:$B$2503,B263),"Yes","No"))</f>
        <v/>
      </c>
      <c r="M263" s="30">
        <f>IF(B263="","",IFERROR(INDEX('Share classes'!$F$4:$F$203,MATCH(B263,'Share classes'!$B$4:$B$203,0)),""))</f>
        <v/>
      </c>
      <c r="N263" s="30">
        <f>IF(A263="","",IF(K263="","Unknown holder ID",IF(J263="","Unknown class code",IF(OR(C263="",D263=""),"Missing shares or date",IF(OR(C263&lt;0,C263&lt;&gt;INT(C263)),"Shares must be a whole number",IF(COUNTIFS($A$4:$A$2503,A263,$B$4:$B$2503,B263,$D$4:$D$2503,D263)&gt;1,"Duplicate row (same date)","OK"))))))</f>
        <v/>
      </c>
    </row>
    <row r="264">
      <c r="A264" s="26" t="n"/>
      <c r="B264" s="26" t="n"/>
      <c r="C264" s="34" t="n"/>
      <c r="D264" s="28" t="n"/>
      <c r="E264" s="26" t="n"/>
      <c r="F264" s="26" t="n"/>
      <c r="G264" s="26" t="n"/>
      <c r="H264" s="38" t="n"/>
      <c r="I264" s="28" t="n"/>
      <c r="J264" s="30">
        <f>IF(B264="","",IFERROR(INDEX('Share classes'!$A$4:$A$203,MATCH(B264,'Share classes'!$B$4:$B$203,0)),""))</f>
        <v/>
      </c>
      <c r="K264" s="30">
        <f>IF(A264="","",IFERROR(INDEX('Holders'!$B$4:$B$1003,MATCH(A264,'Holders'!$A$4:$A$1003,0)),""))</f>
        <v/>
      </c>
      <c r="L264" s="30">
        <f>IF(OR(A264="",B264="",D264=""),"",IF(D264=_xlfn.MAXIFS($D$4:$D$2503,$A$4:$A$2503,A264,$B$4:$B$2503,B264),"Yes","No"))</f>
        <v/>
      </c>
      <c r="M264" s="30">
        <f>IF(B264="","",IFERROR(INDEX('Share classes'!$F$4:$F$203,MATCH(B264,'Share classes'!$B$4:$B$203,0)),""))</f>
        <v/>
      </c>
      <c r="N264" s="30">
        <f>IF(A264="","",IF(K264="","Unknown holder ID",IF(J264="","Unknown class code",IF(OR(C264="",D264=""),"Missing shares or date",IF(OR(C264&lt;0,C264&lt;&gt;INT(C264)),"Shares must be a whole number",IF(COUNTIFS($A$4:$A$2503,A264,$B$4:$B$2503,B264,$D$4:$D$2503,D264)&gt;1,"Duplicate row (same date)","OK"))))))</f>
        <v/>
      </c>
    </row>
    <row r="265">
      <c r="A265" s="26" t="n"/>
      <c r="B265" s="26" t="n"/>
      <c r="C265" s="34" t="n"/>
      <c r="D265" s="28" t="n"/>
      <c r="E265" s="26" t="n"/>
      <c r="F265" s="26" t="n"/>
      <c r="G265" s="26" t="n"/>
      <c r="H265" s="38" t="n"/>
      <c r="I265" s="28" t="n"/>
      <c r="J265" s="30">
        <f>IF(B265="","",IFERROR(INDEX('Share classes'!$A$4:$A$203,MATCH(B265,'Share classes'!$B$4:$B$203,0)),""))</f>
        <v/>
      </c>
      <c r="K265" s="30">
        <f>IF(A265="","",IFERROR(INDEX('Holders'!$B$4:$B$1003,MATCH(A265,'Holders'!$A$4:$A$1003,0)),""))</f>
        <v/>
      </c>
      <c r="L265" s="30">
        <f>IF(OR(A265="",B265="",D265=""),"",IF(D265=_xlfn.MAXIFS($D$4:$D$2503,$A$4:$A$2503,A265,$B$4:$B$2503,B265),"Yes","No"))</f>
        <v/>
      </c>
      <c r="M265" s="30">
        <f>IF(B265="","",IFERROR(INDEX('Share classes'!$F$4:$F$203,MATCH(B265,'Share classes'!$B$4:$B$203,0)),""))</f>
        <v/>
      </c>
      <c r="N265" s="30">
        <f>IF(A265="","",IF(K265="","Unknown holder ID",IF(J265="","Unknown class code",IF(OR(C265="",D265=""),"Missing shares or date",IF(OR(C265&lt;0,C265&lt;&gt;INT(C265)),"Shares must be a whole number",IF(COUNTIFS($A$4:$A$2503,A265,$B$4:$B$2503,B265,$D$4:$D$2503,D265)&gt;1,"Duplicate row (same date)","OK"))))))</f>
        <v/>
      </c>
    </row>
    <row r="266">
      <c r="A266" s="26" t="n"/>
      <c r="B266" s="26" t="n"/>
      <c r="C266" s="34" t="n"/>
      <c r="D266" s="28" t="n"/>
      <c r="E266" s="26" t="n"/>
      <c r="F266" s="26" t="n"/>
      <c r="G266" s="26" t="n"/>
      <c r="H266" s="38" t="n"/>
      <c r="I266" s="28" t="n"/>
      <c r="J266" s="30">
        <f>IF(B266="","",IFERROR(INDEX('Share classes'!$A$4:$A$203,MATCH(B266,'Share classes'!$B$4:$B$203,0)),""))</f>
        <v/>
      </c>
      <c r="K266" s="30">
        <f>IF(A266="","",IFERROR(INDEX('Holders'!$B$4:$B$1003,MATCH(A266,'Holders'!$A$4:$A$1003,0)),""))</f>
        <v/>
      </c>
      <c r="L266" s="30">
        <f>IF(OR(A266="",B266="",D266=""),"",IF(D266=_xlfn.MAXIFS($D$4:$D$2503,$A$4:$A$2503,A266,$B$4:$B$2503,B266),"Yes","No"))</f>
        <v/>
      </c>
      <c r="M266" s="30">
        <f>IF(B266="","",IFERROR(INDEX('Share classes'!$F$4:$F$203,MATCH(B266,'Share classes'!$B$4:$B$203,0)),""))</f>
        <v/>
      </c>
      <c r="N266" s="30">
        <f>IF(A266="","",IF(K266="","Unknown holder ID",IF(J266="","Unknown class code",IF(OR(C266="",D266=""),"Missing shares or date",IF(OR(C266&lt;0,C266&lt;&gt;INT(C266)),"Shares must be a whole number",IF(COUNTIFS($A$4:$A$2503,A266,$B$4:$B$2503,B266,$D$4:$D$2503,D266)&gt;1,"Duplicate row (same date)","OK"))))))</f>
        <v/>
      </c>
    </row>
    <row r="267">
      <c r="A267" s="26" t="n"/>
      <c r="B267" s="26" t="n"/>
      <c r="C267" s="34" t="n"/>
      <c r="D267" s="28" t="n"/>
      <c r="E267" s="26" t="n"/>
      <c r="F267" s="26" t="n"/>
      <c r="G267" s="26" t="n"/>
      <c r="H267" s="38" t="n"/>
      <c r="I267" s="28" t="n"/>
      <c r="J267" s="30">
        <f>IF(B267="","",IFERROR(INDEX('Share classes'!$A$4:$A$203,MATCH(B267,'Share classes'!$B$4:$B$203,0)),""))</f>
        <v/>
      </c>
      <c r="K267" s="30">
        <f>IF(A267="","",IFERROR(INDEX('Holders'!$B$4:$B$1003,MATCH(A267,'Holders'!$A$4:$A$1003,0)),""))</f>
        <v/>
      </c>
      <c r="L267" s="30">
        <f>IF(OR(A267="",B267="",D267=""),"",IF(D267=_xlfn.MAXIFS($D$4:$D$2503,$A$4:$A$2503,A267,$B$4:$B$2503,B267),"Yes","No"))</f>
        <v/>
      </c>
      <c r="M267" s="30">
        <f>IF(B267="","",IFERROR(INDEX('Share classes'!$F$4:$F$203,MATCH(B267,'Share classes'!$B$4:$B$203,0)),""))</f>
        <v/>
      </c>
      <c r="N267" s="30">
        <f>IF(A267="","",IF(K267="","Unknown holder ID",IF(J267="","Unknown class code",IF(OR(C267="",D267=""),"Missing shares or date",IF(OR(C267&lt;0,C267&lt;&gt;INT(C267)),"Shares must be a whole number",IF(COUNTIFS($A$4:$A$2503,A267,$B$4:$B$2503,B267,$D$4:$D$2503,D267)&gt;1,"Duplicate row (same date)","OK"))))))</f>
        <v/>
      </c>
    </row>
    <row r="268">
      <c r="A268" s="26" t="n"/>
      <c r="B268" s="26" t="n"/>
      <c r="C268" s="34" t="n"/>
      <c r="D268" s="28" t="n"/>
      <c r="E268" s="26" t="n"/>
      <c r="F268" s="26" t="n"/>
      <c r="G268" s="26" t="n"/>
      <c r="H268" s="38" t="n"/>
      <c r="I268" s="28" t="n"/>
      <c r="J268" s="30">
        <f>IF(B268="","",IFERROR(INDEX('Share classes'!$A$4:$A$203,MATCH(B268,'Share classes'!$B$4:$B$203,0)),""))</f>
        <v/>
      </c>
      <c r="K268" s="30">
        <f>IF(A268="","",IFERROR(INDEX('Holders'!$B$4:$B$1003,MATCH(A268,'Holders'!$A$4:$A$1003,0)),""))</f>
        <v/>
      </c>
      <c r="L268" s="30">
        <f>IF(OR(A268="",B268="",D268=""),"",IF(D268=_xlfn.MAXIFS($D$4:$D$2503,$A$4:$A$2503,A268,$B$4:$B$2503,B268),"Yes","No"))</f>
        <v/>
      </c>
      <c r="M268" s="30">
        <f>IF(B268="","",IFERROR(INDEX('Share classes'!$F$4:$F$203,MATCH(B268,'Share classes'!$B$4:$B$203,0)),""))</f>
        <v/>
      </c>
      <c r="N268" s="30">
        <f>IF(A268="","",IF(K268="","Unknown holder ID",IF(J268="","Unknown class code",IF(OR(C268="",D268=""),"Missing shares or date",IF(OR(C268&lt;0,C268&lt;&gt;INT(C268)),"Shares must be a whole number",IF(COUNTIFS($A$4:$A$2503,A268,$B$4:$B$2503,B268,$D$4:$D$2503,D268)&gt;1,"Duplicate row (same date)","OK"))))))</f>
        <v/>
      </c>
    </row>
    <row r="269">
      <c r="A269" s="26" t="n"/>
      <c r="B269" s="26" t="n"/>
      <c r="C269" s="34" t="n"/>
      <c r="D269" s="28" t="n"/>
      <c r="E269" s="26" t="n"/>
      <c r="F269" s="26" t="n"/>
      <c r="G269" s="26" t="n"/>
      <c r="H269" s="38" t="n"/>
      <c r="I269" s="28" t="n"/>
      <c r="J269" s="30">
        <f>IF(B269="","",IFERROR(INDEX('Share classes'!$A$4:$A$203,MATCH(B269,'Share classes'!$B$4:$B$203,0)),""))</f>
        <v/>
      </c>
      <c r="K269" s="30">
        <f>IF(A269="","",IFERROR(INDEX('Holders'!$B$4:$B$1003,MATCH(A269,'Holders'!$A$4:$A$1003,0)),""))</f>
        <v/>
      </c>
      <c r="L269" s="30">
        <f>IF(OR(A269="",B269="",D269=""),"",IF(D269=_xlfn.MAXIFS($D$4:$D$2503,$A$4:$A$2503,A269,$B$4:$B$2503,B269),"Yes","No"))</f>
        <v/>
      </c>
      <c r="M269" s="30">
        <f>IF(B269="","",IFERROR(INDEX('Share classes'!$F$4:$F$203,MATCH(B269,'Share classes'!$B$4:$B$203,0)),""))</f>
        <v/>
      </c>
      <c r="N269" s="30">
        <f>IF(A269="","",IF(K269="","Unknown holder ID",IF(J269="","Unknown class code",IF(OR(C269="",D269=""),"Missing shares or date",IF(OR(C269&lt;0,C269&lt;&gt;INT(C269)),"Shares must be a whole number",IF(COUNTIFS($A$4:$A$2503,A269,$B$4:$B$2503,B269,$D$4:$D$2503,D269)&gt;1,"Duplicate row (same date)","OK"))))))</f>
        <v/>
      </c>
    </row>
    <row r="270">
      <c r="A270" s="26" t="n"/>
      <c r="B270" s="26" t="n"/>
      <c r="C270" s="34" t="n"/>
      <c r="D270" s="28" t="n"/>
      <c r="E270" s="26" t="n"/>
      <c r="F270" s="26" t="n"/>
      <c r="G270" s="26" t="n"/>
      <c r="H270" s="38" t="n"/>
      <c r="I270" s="28" t="n"/>
      <c r="J270" s="30">
        <f>IF(B270="","",IFERROR(INDEX('Share classes'!$A$4:$A$203,MATCH(B270,'Share classes'!$B$4:$B$203,0)),""))</f>
        <v/>
      </c>
      <c r="K270" s="30">
        <f>IF(A270="","",IFERROR(INDEX('Holders'!$B$4:$B$1003,MATCH(A270,'Holders'!$A$4:$A$1003,0)),""))</f>
        <v/>
      </c>
      <c r="L270" s="30">
        <f>IF(OR(A270="",B270="",D270=""),"",IF(D270=_xlfn.MAXIFS($D$4:$D$2503,$A$4:$A$2503,A270,$B$4:$B$2503,B270),"Yes","No"))</f>
        <v/>
      </c>
      <c r="M270" s="30">
        <f>IF(B270="","",IFERROR(INDEX('Share classes'!$F$4:$F$203,MATCH(B270,'Share classes'!$B$4:$B$203,0)),""))</f>
        <v/>
      </c>
      <c r="N270" s="30">
        <f>IF(A270="","",IF(K270="","Unknown holder ID",IF(J270="","Unknown class code",IF(OR(C270="",D270=""),"Missing shares or date",IF(OR(C270&lt;0,C270&lt;&gt;INT(C270)),"Shares must be a whole number",IF(COUNTIFS($A$4:$A$2503,A270,$B$4:$B$2503,B270,$D$4:$D$2503,D270)&gt;1,"Duplicate row (same date)","OK"))))))</f>
        <v/>
      </c>
    </row>
    <row r="271">
      <c r="A271" s="26" t="n"/>
      <c r="B271" s="26" t="n"/>
      <c r="C271" s="34" t="n"/>
      <c r="D271" s="28" t="n"/>
      <c r="E271" s="26" t="n"/>
      <c r="F271" s="26" t="n"/>
      <c r="G271" s="26" t="n"/>
      <c r="H271" s="38" t="n"/>
      <c r="I271" s="28" t="n"/>
      <c r="J271" s="30">
        <f>IF(B271="","",IFERROR(INDEX('Share classes'!$A$4:$A$203,MATCH(B271,'Share classes'!$B$4:$B$203,0)),""))</f>
        <v/>
      </c>
      <c r="K271" s="30">
        <f>IF(A271="","",IFERROR(INDEX('Holders'!$B$4:$B$1003,MATCH(A271,'Holders'!$A$4:$A$1003,0)),""))</f>
        <v/>
      </c>
      <c r="L271" s="30">
        <f>IF(OR(A271="",B271="",D271=""),"",IF(D271=_xlfn.MAXIFS($D$4:$D$2503,$A$4:$A$2503,A271,$B$4:$B$2503,B271),"Yes","No"))</f>
        <v/>
      </c>
      <c r="M271" s="30">
        <f>IF(B271="","",IFERROR(INDEX('Share classes'!$F$4:$F$203,MATCH(B271,'Share classes'!$B$4:$B$203,0)),""))</f>
        <v/>
      </c>
      <c r="N271" s="30">
        <f>IF(A271="","",IF(K271="","Unknown holder ID",IF(J271="","Unknown class code",IF(OR(C271="",D271=""),"Missing shares or date",IF(OR(C271&lt;0,C271&lt;&gt;INT(C271)),"Shares must be a whole number",IF(COUNTIFS($A$4:$A$2503,A271,$B$4:$B$2503,B271,$D$4:$D$2503,D271)&gt;1,"Duplicate row (same date)","OK"))))))</f>
        <v/>
      </c>
    </row>
    <row r="272">
      <c r="A272" s="26" t="n"/>
      <c r="B272" s="26" t="n"/>
      <c r="C272" s="34" t="n"/>
      <c r="D272" s="28" t="n"/>
      <c r="E272" s="26" t="n"/>
      <c r="F272" s="26" t="n"/>
      <c r="G272" s="26" t="n"/>
      <c r="H272" s="38" t="n"/>
      <c r="I272" s="28" t="n"/>
      <c r="J272" s="30">
        <f>IF(B272="","",IFERROR(INDEX('Share classes'!$A$4:$A$203,MATCH(B272,'Share classes'!$B$4:$B$203,0)),""))</f>
        <v/>
      </c>
      <c r="K272" s="30">
        <f>IF(A272="","",IFERROR(INDEX('Holders'!$B$4:$B$1003,MATCH(A272,'Holders'!$A$4:$A$1003,0)),""))</f>
        <v/>
      </c>
      <c r="L272" s="30">
        <f>IF(OR(A272="",B272="",D272=""),"",IF(D272=_xlfn.MAXIFS($D$4:$D$2503,$A$4:$A$2503,A272,$B$4:$B$2503,B272),"Yes","No"))</f>
        <v/>
      </c>
      <c r="M272" s="30">
        <f>IF(B272="","",IFERROR(INDEX('Share classes'!$F$4:$F$203,MATCH(B272,'Share classes'!$B$4:$B$203,0)),""))</f>
        <v/>
      </c>
      <c r="N272" s="30">
        <f>IF(A272="","",IF(K272="","Unknown holder ID",IF(J272="","Unknown class code",IF(OR(C272="",D272=""),"Missing shares or date",IF(OR(C272&lt;0,C272&lt;&gt;INT(C272)),"Shares must be a whole number",IF(COUNTIFS($A$4:$A$2503,A272,$B$4:$B$2503,B272,$D$4:$D$2503,D272)&gt;1,"Duplicate row (same date)","OK"))))))</f>
        <v/>
      </c>
    </row>
    <row r="273">
      <c r="A273" s="26" t="n"/>
      <c r="B273" s="26" t="n"/>
      <c r="C273" s="34" t="n"/>
      <c r="D273" s="28" t="n"/>
      <c r="E273" s="26" t="n"/>
      <c r="F273" s="26" t="n"/>
      <c r="G273" s="26" t="n"/>
      <c r="H273" s="38" t="n"/>
      <c r="I273" s="28" t="n"/>
      <c r="J273" s="30">
        <f>IF(B273="","",IFERROR(INDEX('Share classes'!$A$4:$A$203,MATCH(B273,'Share classes'!$B$4:$B$203,0)),""))</f>
        <v/>
      </c>
      <c r="K273" s="30">
        <f>IF(A273="","",IFERROR(INDEX('Holders'!$B$4:$B$1003,MATCH(A273,'Holders'!$A$4:$A$1003,0)),""))</f>
        <v/>
      </c>
      <c r="L273" s="30">
        <f>IF(OR(A273="",B273="",D273=""),"",IF(D273=_xlfn.MAXIFS($D$4:$D$2503,$A$4:$A$2503,A273,$B$4:$B$2503,B273),"Yes","No"))</f>
        <v/>
      </c>
      <c r="M273" s="30">
        <f>IF(B273="","",IFERROR(INDEX('Share classes'!$F$4:$F$203,MATCH(B273,'Share classes'!$B$4:$B$203,0)),""))</f>
        <v/>
      </c>
      <c r="N273" s="30">
        <f>IF(A273="","",IF(K273="","Unknown holder ID",IF(J273="","Unknown class code",IF(OR(C273="",D273=""),"Missing shares or date",IF(OR(C273&lt;0,C273&lt;&gt;INT(C273)),"Shares must be a whole number",IF(COUNTIFS($A$4:$A$2503,A273,$B$4:$B$2503,B273,$D$4:$D$2503,D273)&gt;1,"Duplicate row (same date)","OK"))))))</f>
        <v/>
      </c>
    </row>
    <row r="274">
      <c r="A274" s="26" t="n"/>
      <c r="B274" s="26" t="n"/>
      <c r="C274" s="34" t="n"/>
      <c r="D274" s="28" t="n"/>
      <c r="E274" s="26" t="n"/>
      <c r="F274" s="26" t="n"/>
      <c r="G274" s="26" t="n"/>
      <c r="H274" s="38" t="n"/>
      <c r="I274" s="28" t="n"/>
      <c r="J274" s="30">
        <f>IF(B274="","",IFERROR(INDEX('Share classes'!$A$4:$A$203,MATCH(B274,'Share classes'!$B$4:$B$203,0)),""))</f>
        <v/>
      </c>
      <c r="K274" s="30">
        <f>IF(A274="","",IFERROR(INDEX('Holders'!$B$4:$B$1003,MATCH(A274,'Holders'!$A$4:$A$1003,0)),""))</f>
        <v/>
      </c>
      <c r="L274" s="30">
        <f>IF(OR(A274="",B274="",D274=""),"",IF(D274=_xlfn.MAXIFS($D$4:$D$2503,$A$4:$A$2503,A274,$B$4:$B$2503,B274),"Yes","No"))</f>
        <v/>
      </c>
      <c r="M274" s="30">
        <f>IF(B274="","",IFERROR(INDEX('Share classes'!$F$4:$F$203,MATCH(B274,'Share classes'!$B$4:$B$203,0)),""))</f>
        <v/>
      </c>
      <c r="N274" s="30">
        <f>IF(A274="","",IF(K274="","Unknown holder ID",IF(J274="","Unknown class code",IF(OR(C274="",D274=""),"Missing shares or date",IF(OR(C274&lt;0,C274&lt;&gt;INT(C274)),"Shares must be a whole number",IF(COUNTIFS($A$4:$A$2503,A274,$B$4:$B$2503,B274,$D$4:$D$2503,D274)&gt;1,"Duplicate row (same date)","OK"))))))</f>
        <v/>
      </c>
    </row>
    <row r="275">
      <c r="A275" s="26" t="n"/>
      <c r="B275" s="26" t="n"/>
      <c r="C275" s="34" t="n"/>
      <c r="D275" s="28" t="n"/>
      <c r="E275" s="26" t="n"/>
      <c r="F275" s="26" t="n"/>
      <c r="G275" s="26" t="n"/>
      <c r="H275" s="38" t="n"/>
      <c r="I275" s="28" t="n"/>
      <c r="J275" s="30">
        <f>IF(B275="","",IFERROR(INDEX('Share classes'!$A$4:$A$203,MATCH(B275,'Share classes'!$B$4:$B$203,0)),""))</f>
        <v/>
      </c>
      <c r="K275" s="30">
        <f>IF(A275="","",IFERROR(INDEX('Holders'!$B$4:$B$1003,MATCH(A275,'Holders'!$A$4:$A$1003,0)),""))</f>
        <v/>
      </c>
      <c r="L275" s="30">
        <f>IF(OR(A275="",B275="",D275=""),"",IF(D275=_xlfn.MAXIFS($D$4:$D$2503,$A$4:$A$2503,A275,$B$4:$B$2503,B275),"Yes","No"))</f>
        <v/>
      </c>
      <c r="M275" s="30">
        <f>IF(B275="","",IFERROR(INDEX('Share classes'!$F$4:$F$203,MATCH(B275,'Share classes'!$B$4:$B$203,0)),""))</f>
        <v/>
      </c>
      <c r="N275" s="30">
        <f>IF(A275="","",IF(K275="","Unknown holder ID",IF(J275="","Unknown class code",IF(OR(C275="",D275=""),"Missing shares or date",IF(OR(C275&lt;0,C275&lt;&gt;INT(C275)),"Shares must be a whole number",IF(COUNTIFS($A$4:$A$2503,A275,$B$4:$B$2503,B275,$D$4:$D$2503,D275)&gt;1,"Duplicate row (same date)","OK"))))))</f>
        <v/>
      </c>
    </row>
    <row r="276">
      <c r="A276" s="26" t="n"/>
      <c r="B276" s="26" t="n"/>
      <c r="C276" s="34" t="n"/>
      <c r="D276" s="28" t="n"/>
      <c r="E276" s="26" t="n"/>
      <c r="F276" s="26" t="n"/>
      <c r="G276" s="26" t="n"/>
      <c r="H276" s="38" t="n"/>
      <c r="I276" s="28" t="n"/>
      <c r="J276" s="30">
        <f>IF(B276="","",IFERROR(INDEX('Share classes'!$A$4:$A$203,MATCH(B276,'Share classes'!$B$4:$B$203,0)),""))</f>
        <v/>
      </c>
      <c r="K276" s="30">
        <f>IF(A276="","",IFERROR(INDEX('Holders'!$B$4:$B$1003,MATCH(A276,'Holders'!$A$4:$A$1003,0)),""))</f>
        <v/>
      </c>
      <c r="L276" s="30">
        <f>IF(OR(A276="",B276="",D276=""),"",IF(D276=_xlfn.MAXIFS($D$4:$D$2503,$A$4:$A$2503,A276,$B$4:$B$2503,B276),"Yes","No"))</f>
        <v/>
      </c>
      <c r="M276" s="30">
        <f>IF(B276="","",IFERROR(INDEX('Share classes'!$F$4:$F$203,MATCH(B276,'Share classes'!$B$4:$B$203,0)),""))</f>
        <v/>
      </c>
      <c r="N276" s="30">
        <f>IF(A276="","",IF(K276="","Unknown holder ID",IF(J276="","Unknown class code",IF(OR(C276="",D276=""),"Missing shares or date",IF(OR(C276&lt;0,C276&lt;&gt;INT(C276)),"Shares must be a whole number",IF(COUNTIFS($A$4:$A$2503,A276,$B$4:$B$2503,B276,$D$4:$D$2503,D276)&gt;1,"Duplicate row (same date)","OK"))))))</f>
        <v/>
      </c>
    </row>
    <row r="277">
      <c r="A277" s="26" t="n"/>
      <c r="B277" s="26" t="n"/>
      <c r="C277" s="34" t="n"/>
      <c r="D277" s="28" t="n"/>
      <c r="E277" s="26" t="n"/>
      <c r="F277" s="26" t="n"/>
      <c r="G277" s="26" t="n"/>
      <c r="H277" s="38" t="n"/>
      <c r="I277" s="28" t="n"/>
      <c r="J277" s="30">
        <f>IF(B277="","",IFERROR(INDEX('Share classes'!$A$4:$A$203,MATCH(B277,'Share classes'!$B$4:$B$203,0)),""))</f>
        <v/>
      </c>
      <c r="K277" s="30">
        <f>IF(A277="","",IFERROR(INDEX('Holders'!$B$4:$B$1003,MATCH(A277,'Holders'!$A$4:$A$1003,0)),""))</f>
        <v/>
      </c>
      <c r="L277" s="30">
        <f>IF(OR(A277="",B277="",D277=""),"",IF(D277=_xlfn.MAXIFS($D$4:$D$2503,$A$4:$A$2503,A277,$B$4:$B$2503,B277),"Yes","No"))</f>
        <v/>
      </c>
      <c r="M277" s="30">
        <f>IF(B277="","",IFERROR(INDEX('Share classes'!$F$4:$F$203,MATCH(B277,'Share classes'!$B$4:$B$203,0)),""))</f>
        <v/>
      </c>
      <c r="N277" s="30">
        <f>IF(A277="","",IF(K277="","Unknown holder ID",IF(J277="","Unknown class code",IF(OR(C277="",D277=""),"Missing shares or date",IF(OR(C277&lt;0,C277&lt;&gt;INT(C277)),"Shares must be a whole number",IF(COUNTIFS($A$4:$A$2503,A277,$B$4:$B$2503,B277,$D$4:$D$2503,D277)&gt;1,"Duplicate row (same date)","OK"))))))</f>
        <v/>
      </c>
    </row>
    <row r="278">
      <c r="A278" s="26" t="n"/>
      <c r="B278" s="26" t="n"/>
      <c r="C278" s="34" t="n"/>
      <c r="D278" s="28" t="n"/>
      <c r="E278" s="26" t="n"/>
      <c r="F278" s="26" t="n"/>
      <c r="G278" s="26" t="n"/>
      <c r="H278" s="38" t="n"/>
      <c r="I278" s="28" t="n"/>
      <c r="J278" s="30">
        <f>IF(B278="","",IFERROR(INDEX('Share classes'!$A$4:$A$203,MATCH(B278,'Share classes'!$B$4:$B$203,0)),""))</f>
        <v/>
      </c>
      <c r="K278" s="30">
        <f>IF(A278="","",IFERROR(INDEX('Holders'!$B$4:$B$1003,MATCH(A278,'Holders'!$A$4:$A$1003,0)),""))</f>
        <v/>
      </c>
      <c r="L278" s="30">
        <f>IF(OR(A278="",B278="",D278=""),"",IF(D278=_xlfn.MAXIFS($D$4:$D$2503,$A$4:$A$2503,A278,$B$4:$B$2503,B278),"Yes","No"))</f>
        <v/>
      </c>
      <c r="M278" s="30">
        <f>IF(B278="","",IFERROR(INDEX('Share classes'!$F$4:$F$203,MATCH(B278,'Share classes'!$B$4:$B$203,0)),""))</f>
        <v/>
      </c>
      <c r="N278" s="30">
        <f>IF(A278="","",IF(K278="","Unknown holder ID",IF(J278="","Unknown class code",IF(OR(C278="",D278=""),"Missing shares or date",IF(OR(C278&lt;0,C278&lt;&gt;INT(C278)),"Shares must be a whole number",IF(COUNTIFS($A$4:$A$2503,A278,$B$4:$B$2503,B278,$D$4:$D$2503,D278)&gt;1,"Duplicate row (same date)","OK"))))))</f>
        <v/>
      </c>
    </row>
    <row r="279">
      <c r="A279" s="26" t="n"/>
      <c r="B279" s="26" t="n"/>
      <c r="C279" s="34" t="n"/>
      <c r="D279" s="28" t="n"/>
      <c r="E279" s="26" t="n"/>
      <c r="F279" s="26" t="n"/>
      <c r="G279" s="26" t="n"/>
      <c r="H279" s="38" t="n"/>
      <c r="I279" s="28" t="n"/>
      <c r="J279" s="30">
        <f>IF(B279="","",IFERROR(INDEX('Share classes'!$A$4:$A$203,MATCH(B279,'Share classes'!$B$4:$B$203,0)),""))</f>
        <v/>
      </c>
      <c r="K279" s="30">
        <f>IF(A279="","",IFERROR(INDEX('Holders'!$B$4:$B$1003,MATCH(A279,'Holders'!$A$4:$A$1003,0)),""))</f>
        <v/>
      </c>
      <c r="L279" s="30">
        <f>IF(OR(A279="",B279="",D279=""),"",IF(D279=_xlfn.MAXIFS($D$4:$D$2503,$A$4:$A$2503,A279,$B$4:$B$2503,B279),"Yes","No"))</f>
        <v/>
      </c>
      <c r="M279" s="30">
        <f>IF(B279="","",IFERROR(INDEX('Share classes'!$F$4:$F$203,MATCH(B279,'Share classes'!$B$4:$B$203,0)),""))</f>
        <v/>
      </c>
      <c r="N279" s="30">
        <f>IF(A279="","",IF(K279="","Unknown holder ID",IF(J279="","Unknown class code",IF(OR(C279="",D279=""),"Missing shares or date",IF(OR(C279&lt;0,C279&lt;&gt;INT(C279)),"Shares must be a whole number",IF(COUNTIFS($A$4:$A$2503,A279,$B$4:$B$2503,B279,$D$4:$D$2503,D279)&gt;1,"Duplicate row (same date)","OK"))))))</f>
        <v/>
      </c>
    </row>
    <row r="280">
      <c r="A280" s="26" t="n"/>
      <c r="B280" s="26" t="n"/>
      <c r="C280" s="34" t="n"/>
      <c r="D280" s="28" t="n"/>
      <c r="E280" s="26" t="n"/>
      <c r="F280" s="26" t="n"/>
      <c r="G280" s="26" t="n"/>
      <c r="H280" s="38" t="n"/>
      <c r="I280" s="28" t="n"/>
      <c r="J280" s="30">
        <f>IF(B280="","",IFERROR(INDEX('Share classes'!$A$4:$A$203,MATCH(B280,'Share classes'!$B$4:$B$203,0)),""))</f>
        <v/>
      </c>
      <c r="K280" s="30">
        <f>IF(A280="","",IFERROR(INDEX('Holders'!$B$4:$B$1003,MATCH(A280,'Holders'!$A$4:$A$1003,0)),""))</f>
        <v/>
      </c>
      <c r="L280" s="30">
        <f>IF(OR(A280="",B280="",D280=""),"",IF(D280=_xlfn.MAXIFS($D$4:$D$2503,$A$4:$A$2503,A280,$B$4:$B$2503,B280),"Yes","No"))</f>
        <v/>
      </c>
      <c r="M280" s="30">
        <f>IF(B280="","",IFERROR(INDEX('Share classes'!$F$4:$F$203,MATCH(B280,'Share classes'!$B$4:$B$203,0)),""))</f>
        <v/>
      </c>
      <c r="N280" s="30">
        <f>IF(A280="","",IF(K280="","Unknown holder ID",IF(J280="","Unknown class code",IF(OR(C280="",D280=""),"Missing shares or date",IF(OR(C280&lt;0,C280&lt;&gt;INT(C280)),"Shares must be a whole number",IF(COUNTIFS($A$4:$A$2503,A280,$B$4:$B$2503,B280,$D$4:$D$2503,D280)&gt;1,"Duplicate row (same date)","OK"))))))</f>
        <v/>
      </c>
    </row>
    <row r="281">
      <c r="A281" s="26" t="n"/>
      <c r="B281" s="26" t="n"/>
      <c r="C281" s="34" t="n"/>
      <c r="D281" s="28" t="n"/>
      <c r="E281" s="26" t="n"/>
      <c r="F281" s="26" t="n"/>
      <c r="G281" s="26" t="n"/>
      <c r="H281" s="38" t="n"/>
      <c r="I281" s="28" t="n"/>
      <c r="J281" s="30">
        <f>IF(B281="","",IFERROR(INDEX('Share classes'!$A$4:$A$203,MATCH(B281,'Share classes'!$B$4:$B$203,0)),""))</f>
        <v/>
      </c>
      <c r="K281" s="30">
        <f>IF(A281="","",IFERROR(INDEX('Holders'!$B$4:$B$1003,MATCH(A281,'Holders'!$A$4:$A$1003,0)),""))</f>
        <v/>
      </c>
      <c r="L281" s="30">
        <f>IF(OR(A281="",B281="",D281=""),"",IF(D281=_xlfn.MAXIFS($D$4:$D$2503,$A$4:$A$2503,A281,$B$4:$B$2503,B281),"Yes","No"))</f>
        <v/>
      </c>
      <c r="M281" s="30">
        <f>IF(B281="","",IFERROR(INDEX('Share classes'!$F$4:$F$203,MATCH(B281,'Share classes'!$B$4:$B$203,0)),""))</f>
        <v/>
      </c>
      <c r="N281" s="30">
        <f>IF(A281="","",IF(K281="","Unknown holder ID",IF(J281="","Unknown class code",IF(OR(C281="",D281=""),"Missing shares or date",IF(OR(C281&lt;0,C281&lt;&gt;INT(C281)),"Shares must be a whole number",IF(COUNTIFS($A$4:$A$2503,A281,$B$4:$B$2503,B281,$D$4:$D$2503,D281)&gt;1,"Duplicate row (same date)","OK"))))))</f>
        <v/>
      </c>
    </row>
    <row r="282">
      <c r="A282" s="26" t="n"/>
      <c r="B282" s="26" t="n"/>
      <c r="C282" s="34" t="n"/>
      <c r="D282" s="28" t="n"/>
      <c r="E282" s="26" t="n"/>
      <c r="F282" s="26" t="n"/>
      <c r="G282" s="26" t="n"/>
      <c r="H282" s="38" t="n"/>
      <c r="I282" s="28" t="n"/>
      <c r="J282" s="30">
        <f>IF(B282="","",IFERROR(INDEX('Share classes'!$A$4:$A$203,MATCH(B282,'Share classes'!$B$4:$B$203,0)),""))</f>
        <v/>
      </c>
      <c r="K282" s="30">
        <f>IF(A282="","",IFERROR(INDEX('Holders'!$B$4:$B$1003,MATCH(A282,'Holders'!$A$4:$A$1003,0)),""))</f>
        <v/>
      </c>
      <c r="L282" s="30">
        <f>IF(OR(A282="",B282="",D282=""),"",IF(D282=_xlfn.MAXIFS($D$4:$D$2503,$A$4:$A$2503,A282,$B$4:$B$2503,B282),"Yes","No"))</f>
        <v/>
      </c>
      <c r="M282" s="30">
        <f>IF(B282="","",IFERROR(INDEX('Share classes'!$F$4:$F$203,MATCH(B282,'Share classes'!$B$4:$B$203,0)),""))</f>
        <v/>
      </c>
      <c r="N282" s="30">
        <f>IF(A282="","",IF(K282="","Unknown holder ID",IF(J282="","Unknown class code",IF(OR(C282="",D282=""),"Missing shares or date",IF(OR(C282&lt;0,C282&lt;&gt;INT(C282)),"Shares must be a whole number",IF(COUNTIFS($A$4:$A$2503,A282,$B$4:$B$2503,B282,$D$4:$D$2503,D282)&gt;1,"Duplicate row (same date)","OK"))))))</f>
        <v/>
      </c>
    </row>
    <row r="283">
      <c r="A283" s="26" t="n"/>
      <c r="B283" s="26" t="n"/>
      <c r="C283" s="34" t="n"/>
      <c r="D283" s="28" t="n"/>
      <c r="E283" s="26" t="n"/>
      <c r="F283" s="26" t="n"/>
      <c r="G283" s="26" t="n"/>
      <c r="H283" s="38" t="n"/>
      <c r="I283" s="28" t="n"/>
      <c r="J283" s="30">
        <f>IF(B283="","",IFERROR(INDEX('Share classes'!$A$4:$A$203,MATCH(B283,'Share classes'!$B$4:$B$203,0)),""))</f>
        <v/>
      </c>
      <c r="K283" s="30">
        <f>IF(A283="","",IFERROR(INDEX('Holders'!$B$4:$B$1003,MATCH(A283,'Holders'!$A$4:$A$1003,0)),""))</f>
        <v/>
      </c>
      <c r="L283" s="30">
        <f>IF(OR(A283="",B283="",D283=""),"",IF(D283=_xlfn.MAXIFS($D$4:$D$2503,$A$4:$A$2503,A283,$B$4:$B$2503,B283),"Yes","No"))</f>
        <v/>
      </c>
      <c r="M283" s="30">
        <f>IF(B283="","",IFERROR(INDEX('Share classes'!$F$4:$F$203,MATCH(B283,'Share classes'!$B$4:$B$203,0)),""))</f>
        <v/>
      </c>
      <c r="N283" s="30">
        <f>IF(A283="","",IF(K283="","Unknown holder ID",IF(J283="","Unknown class code",IF(OR(C283="",D283=""),"Missing shares or date",IF(OR(C283&lt;0,C283&lt;&gt;INT(C283)),"Shares must be a whole number",IF(COUNTIFS($A$4:$A$2503,A283,$B$4:$B$2503,B283,$D$4:$D$2503,D283)&gt;1,"Duplicate row (same date)","OK"))))))</f>
        <v/>
      </c>
    </row>
    <row r="284">
      <c r="A284" s="26" t="n"/>
      <c r="B284" s="26" t="n"/>
      <c r="C284" s="34" t="n"/>
      <c r="D284" s="28" t="n"/>
      <c r="E284" s="26" t="n"/>
      <c r="F284" s="26" t="n"/>
      <c r="G284" s="26" t="n"/>
      <c r="H284" s="38" t="n"/>
      <c r="I284" s="28" t="n"/>
      <c r="J284" s="30">
        <f>IF(B284="","",IFERROR(INDEX('Share classes'!$A$4:$A$203,MATCH(B284,'Share classes'!$B$4:$B$203,0)),""))</f>
        <v/>
      </c>
      <c r="K284" s="30">
        <f>IF(A284="","",IFERROR(INDEX('Holders'!$B$4:$B$1003,MATCH(A284,'Holders'!$A$4:$A$1003,0)),""))</f>
        <v/>
      </c>
      <c r="L284" s="30">
        <f>IF(OR(A284="",B284="",D284=""),"",IF(D284=_xlfn.MAXIFS($D$4:$D$2503,$A$4:$A$2503,A284,$B$4:$B$2503,B284),"Yes","No"))</f>
        <v/>
      </c>
      <c r="M284" s="30">
        <f>IF(B284="","",IFERROR(INDEX('Share classes'!$F$4:$F$203,MATCH(B284,'Share classes'!$B$4:$B$203,0)),""))</f>
        <v/>
      </c>
      <c r="N284" s="30">
        <f>IF(A284="","",IF(K284="","Unknown holder ID",IF(J284="","Unknown class code",IF(OR(C284="",D284=""),"Missing shares or date",IF(OR(C284&lt;0,C284&lt;&gt;INT(C284)),"Shares must be a whole number",IF(COUNTIFS($A$4:$A$2503,A284,$B$4:$B$2503,B284,$D$4:$D$2503,D284)&gt;1,"Duplicate row (same date)","OK"))))))</f>
        <v/>
      </c>
    </row>
    <row r="285">
      <c r="A285" s="26" t="n"/>
      <c r="B285" s="26" t="n"/>
      <c r="C285" s="34" t="n"/>
      <c r="D285" s="28" t="n"/>
      <c r="E285" s="26" t="n"/>
      <c r="F285" s="26" t="n"/>
      <c r="G285" s="26" t="n"/>
      <c r="H285" s="38" t="n"/>
      <c r="I285" s="28" t="n"/>
      <c r="J285" s="30">
        <f>IF(B285="","",IFERROR(INDEX('Share classes'!$A$4:$A$203,MATCH(B285,'Share classes'!$B$4:$B$203,0)),""))</f>
        <v/>
      </c>
      <c r="K285" s="30">
        <f>IF(A285="","",IFERROR(INDEX('Holders'!$B$4:$B$1003,MATCH(A285,'Holders'!$A$4:$A$1003,0)),""))</f>
        <v/>
      </c>
      <c r="L285" s="30">
        <f>IF(OR(A285="",B285="",D285=""),"",IF(D285=_xlfn.MAXIFS($D$4:$D$2503,$A$4:$A$2503,A285,$B$4:$B$2503,B285),"Yes","No"))</f>
        <v/>
      </c>
      <c r="M285" s="30">
        <f>IF(B285="","",IFERROR(INDEX('Share classes'!$F$4:$F$203,MATCH(B285,'Share classes'!$B$4:$B$203,0)),""))</f>
        <v/>
      </c>
      <c r="N285" s="30">
        <f>IF(A285="","",IF(K285="","Unknown holder ID",IF(J285="","Unknown class code",IF(OR(C285="",D285=""),"Missing shares or date",IF(OR(C285&lt;0,C285&lt;&gt;INT(C285)),"Shares must be a whole number",IF(COUNTIFS($A$4:$A$2503,A285,$B$4:$B$2503,B285,$D$4:$D$2503,D285)&gt;1,"Duplicate row (same date)","OK"))))))</f>
        <v/>
      </c>
    </row>
    <row r="286">
      <c r="A286" s="26" t="n"/>
      <c r="B286" s="26" t="n"/>
      <c r="C286" s="34" t="n"/>
      <c r="D286" s="28" t="n"/>
      <c r="E286" s="26" t="n"/>
      <c r="F286" s="26" t="n"/>
      <c r="G286" s="26" t="n"/>
      <c r="H286" s="38" t="n"/>
      <c r="I286" s="28" t="n"/>
      <c r="J286" s="30">
        <f>IF(B286="","",IFERROR(INDEX('Share classes'!$A$4:$A$203,MATCH(B286,'Share classes'!$B$4:$B$203,0)),""))</f>
        <v/>
      </c>
      <c r="K286" s="30">
        <f>IF(A286="","",IFERROR(INDEX('Holders'!$B$4:$B$1003,MATCH(A286,'Holders'!$A$4:$A$1003,0)),""))</f>
        <v/>
      </c>
      <c r="L286" s="30">
        <f>IF(OR(A286="",B286="",D286=""),"",IF(D286=_xlfn.MAXIFS($D$4:$D$2503,$A$4:$A$2503,A286,$B$4:$B$2503,B286),"Yes","No"))</f>
        <v/>
      </c>
      <c r="M286" s="30">
        <f>IF(B286="","",IFERROR(INDEX('Share classes'!$F$4:$F$203,MATCH(B286,'Share classes'!$B$4:$B$203,0)),""))</f>
        <v/>
      </c>
      <c r="N286" s="30">
        <f>IF(A286="","",IF(K286="","Unknown holder ID",IF(J286="","Unknown class code",IF(OR(C286="",D286=""),"Missing shares or date",IF(OR(C286&lt;0,C286&lt;&gt;INT(C286)),"Shares must be a whole number",IF(COUNTIFS($A$4:$A$2503,A286,$B$4:$B$2503,B286,$D$4:$D$2503,D286)&gt;1,"Duplicate row (same date)","OK"))))))</f>
        <v/>
      </c>
    </row>
    <row r="287">
      <c r="A287" s="26" t="n"/>
      <c r="B287" s="26" t="n"/>
      <c r="C287" s="34" t="n"/>
      <c r="D287" s="28" t="n"/>
      <c r="E287" s="26" t="n"/>
      <c r="F287" s="26" t="n"/>
      <c r="G287" s="26" t="n"/>
      <c r="H287" s="38" t="n"/>
      <c r="I287" s="28" t="n"/>
      <c r="J287" s="30">
        <f>IF(B287="","",IFERROR(INDEX('Share classes'!$A$4:$A$203,MATCH(B287,'Share classes'!$B$4:$B$203,0)),""))</f>
        <v/>
      </c>
      <c r="K287" s="30">
        <f>IF(A287="","",IFERROR(INDEX('Holders'!$B$4:$B$1003,MATCH(A287,'Holders'!$A$4:$A$1003,0)),""))</f>
        <v/>
      </c>
      <c r="L287" s="30">
        <f>IF(OR(A287="",B287="",D287=""),"",IF(D287=_xlfn.MAXIFS($D$4:$D$2503,$A$4:$A$2503,A287,$B$4:$B$2503,B287),"Yes","No"))</f>
        <v/>
      </c>
      <c r="M287" s="30">
        <f>IF(B287="","",IFERROR(INDEX('Share classes'!$F$4:$F$203,MATCH(B287,'Share classes'!$B$4:$B$203,0)),""))</f>
        <v/>
      </c>
      <c r="N287" s="30">
        <f>IF(A287="","",IF(K287="","Unknown holder ID",IF(J287="","Unknown class code",IF(OR(C287="",D287=""),"Missing shares or date",IF(OR(C287&lt;0,C287&lt;&gt;INT(C287)),"Shares must be a whole number",IF(COUNTIFS($A$4:$A$2503,A287,$B$4:$B$2503,B287,$D$4:$D$2503,D287)&gt;1,"Duplicate row (same date)","OK"))))))</f>
        <v/>
      </c>
    </row>
    <row r="288">
      <c r="A288" s="26" t="n"/>
      <c r="B288" s="26" t="n"/>
      <c r="C288" s="34" t="n"/>
      <c r="D288" s="28" t="n"/>
      <c r="E288" s="26" t="n"/>
      <c r="F288" s="26" t="n"/>
      <c r="G288" s="26" t="n"/>
      <c r="H288" s="38" t="n"/>
      <c r="I288" s="28" t="n"/>
      <c r="J288" s="30">
        <f>IF(B288="","",IFERROR(INDEX('Share classes'!$A$4:$A$203,MATCH(B288,'Share classes'!$B$4:$B$203,0)),""))</f>
        <v/>
      </c>
      <c r="K288" s="30">
        <f>IF(A288="","",IFERROR(INDEX('Holders'!$B$4:$B$1003,MATCH(A288,'Holders'!$A$4:$A$1003,0)),""))</f>
        <v/>
      </c>
      <c r="L288" s="30">
        <f>IF(OR(A288="",B288="",D288=""),"",IF(D288=_xlfn.MAXIFS($D$4:$D$2503,$A$4:$A$2503,A288,$B$4:$B$2503,B288),"Yes","No"))</f>
        <v/>
      </c>
      <c r="M288" s="30">
        <f>IF(B288="","",IFERROR(INDEX('Share classes'!$F$4:$F$203,MATCH(B288,'Share classes'!$B$4:$B$203,0)),""))</f>
        <v/>
      </c>
      <c r="N288" s="30">
        <f>IF(A288="","",IF(K288="","Unknown holder ID",IF(J288="","Unknown class code",IF(OR(C288="",D288=""),"Missing shares or date",IF(OR(C288&lt;0,C288&lt;&gt;INT(C288)),"Shares must be a whole number",IF(COUNTIFS($A$4:$A$2503,A288,$B$4:$B$2503,B288,$D$4:$D$2503,D288)&gt;1,"Duplicate row (same date)","OK"))))))</f>
        <v/>
      </c>
    </row>
    <row r="289">
      <c r="A289" s="26" t="n"/>
      <c r="B289" s="26" t="n"/>
      <c r="C289" s="34" t="n"/>
      <c r="D289" s="28" t="n"/>
      <c r="E289" s="26" t="n"/>
      <c r="F289" s="26" t="n"/>
      <c r="G289" s="26" t="n"/>
      <c r="H289" s="38" t="n"/>
      <c r="I289" s="28" t="n"/>
      <c r="J289" s="30">
        <f>IF(B289="","",IFERROR(INDEX('Share classes'!$A$4:$A$203,MATCH(B289,'Share classes'!$B$4:$B$203,0)),""))</f>
        <v/>
      </c>
      <c r="K289" s="30">
        <f>IF(A289="","",IFERROR(INDEX('Holders'!$B$4:$B$1003,MATCH(A289,'Holders'!$A$4:$A$1003,0)),""))</f>
        <v/>
      </c>
      <c r="L289" s="30">
        <f>IF(OR(A289="",B289="",D289=""),"",IF(D289=_xlfn.MAXIFS($D$4:$D$2503,$A$4:$A$2503,A289,$B$4:$B$2503,B289),"Yes","No"))</f>
        <v/>
      </c>
      <c r="M289" s="30">
        <f>IF(B289="","",IFERROR(INDEX('Share classes'!$F$4:$F$203,MATCH(B289,'Share classes'!$B$4:$B$203,0)),""))</f>
        <v/>
      </c>
      <c r="N289" s="30">
        <f>IF(A289="","",IF(K289="","Unknown holder ID",IF(J289="","Unknown class code",IF(OR(C289="",D289=""),"Missing shares or date",IF(OR(C289&lt;0,C289&lt;&gt;INT(C289)),"Shares must be a whole number",IF(COUNTIFS($A$4:$A$2503,A289,$B$4:$B$2503,B289,$D$4:$D$2503,D289)&gt;1,"Duplicate row (same date)","OK"))))))</f>
        <v/>
      </c>
    </row>
    <row r="290">
      <c r="A290" s="26" t="n"/>
      <c r="B290" s="26" t="n"/>
      <c r="C290" s="34" t="n"/>
      <c r="D290" s="28" t="n"/>
      <c r="E290" s="26" t="n"/>
      <c r="F290" s="26" t="n"/>
      <c r="G290" s="26" t="n"/>
      <c r="H290" s="38" t="n"/>
      <c r="I290" s="28" t="n"/>
      <c r="J290" s="30">
        <f>IF(B290="","",IFERROR(INDEX('Share classes'!$A$4:$A$203,MATCH(B290,'Share classes'!$B$4:$B$203,0)),""))</f>
        <v/>
      </c>
      <c r="K290" s="30">
        <f>IF(A290="","",IFERROR(INDEX('Holders'!$B$4:$B$1003,MATCH(A290,'Holders'!$A$4:$A$1003,0)),""))</f>
        <v/>
      </c>
      <c r="L290" s="30">
        <f>IF(OR(A290="",B290="",D290=""),"",IF(D290=_xlfn.MAXIFS($D$4:$D$2503,$A$4:$A$2503,A290,$B$4:$B$2503,B290),"Yes","No"))</f>
        <v/>
      </c>
      <c r="M290" s="30">
        <f>IF(B290="","",IFERROR(INDEX('Share classes'!$F$4:$F$203,MATCH(B290,'Share classes'!$B$4:$B$203,0)),""))</f>
        <v/>
      </c>
      <c r="N290" s="30">
        <f>IF(A290="","",IF(K290="","Unknown holder ID",IF(J290="","Unknown class code",IF(OR(C290="",D290=""),"Missing shares or date",IF(OR(C290&lt;0,C290&lt;&gt;INT(C290)),"Shares must be a whole number",IF(COUNTIFS($A$4:$A$2503,A290,$B$4:$B$2503,B290,$D$4:$D$2503,D290)&gt;1,"Duplicate row (same date)","OK"))))))</f>
        <v/>
      </c>
    </row>
    <row r="291">
      <c r="A291" s="26" t="n"/>
      <c r="B291" s="26" t="n"/>
      <c r="C291" s="34" t="n"/>
      <c r="D291" s="28" t="n"/>
      <c r="E291" s="26" t="n"/>
      <c r="F291" s="26" t="n"/>
      <c r="G291" s="26" t="n"/>
      <c r="H291" s="38" t="n"/>
      <c r="I291" s="28" t="n"/>
      <c r="J291" s="30">
        <f>IF(B291="","",IFERROR(INDEX('Share classes'!$A$4:$A$203,MATCH(B291,'Share classes'!$B$4:$B$203,0)),""))</f>
        <v/>
      </c>
      <c r="K291" s="30">
        <f>IF(A291="","",IFERROR(INDEX('Holders'!$B$4:$B$1003,MATCH(A291,'Holders'!$A$4:$A$1003,0)),""))</f>
        <v/>
      </c>
      <c r="L291" s="30">
        <f>IF(OR(A291="",B291="",D291=""),"",IF(D291=_xlfn.MAXIFS($D$4:$D$2503,$A$4:$A$2503,A291,$B$4:$B$2503,B291),"Yes","No"))</f>
        <v/>
      </c>
      <c r="M291" s="30">
        <f>IF(B291="","",IFERROR(INDEX('Share classes'!$F$4:$F$203,MATCH(B291,'Share classes'!$B$4:$B$203,0)),""))</f>
        <v/>
      </c>
      <c r="N291" s="30">
        <f>IF(A291="","",IF(K291="","Unknown holder ID",IF(J291="","Unknown class code",IF(OR(C291="",D291=""),"Missing shares or date",IF(OR(C291&lt;0,C291&lt;&gt;INT(C291)),"Shares must be a whole number",IF(COUNTIFS($A$4:$A$2503,A291,$B$4:$B$2503,B291,$D$4:$D$2503,D291)&gt;1,"Duplicate row (same date)","OK"))))))</f>
        <v/>
      </c>
    </row>
    <row r="292">
      <c r="A292" s="26" t="n"/>
      <c r="B292" s="26" t="n"/>
      <c r="C292" s="34" t="n"/>
      <c r="D292" s="28" t="n"/>
      <c r="E292" s="26" t="n"/>
      <c r="F292" s="26" t="n"/>
      <c r="G292" s="26" t="n"/>
      <c r="H292" s="38" t="n"/>
      <c r="I292" s="28" t="n"/>
      <c r="J292" s="30">
        <f>IF(B292="","",IFERROR(INDEX('Share classes'!$A$4:$A$203,MATCH(B292,'Share classes'!$B$4:$B$203,0)),""))</f>
        <v/>
      </c>
      <c r="K292" s="30">
        <f>IF(A292="","",IFERROR(INDEX('Holders'!$B$4:$B$1003,MATCH(A292,'Holders'!$A$4:$A$1003,0)),""))</f>
        <v/>
      </c>
      <c r="L292" s="30">
        <f>IF(OR(A292="",B292="",D292=""),"",IF(D292=_xlfn.MAXIFS($D$4:$D$2503,$A$4:$A$2503,A292,$B$4:$B$2503,B292),"Yes","No"))</f>
        <v/>
      </c>
      <c r="M292" s="30">
        <f>IF(B292="","",IFERROR(INDEX('Share classes'!$F$4:$F$203,MATCH(B292,'Share classes'!$B$4:$B$203,0)),""))</f>
        <v/>
      </c>
      <c r="N292" s="30">
        <f>IF(A292="","",IF(K292="","Unknown holder ID",IF(J292="","Unknown class code",IF(OR(C292="",D292=""),"Missing shares or date",IF(OR(C292&lt;0,C292&lt;&gt;INT(C292)),"Shares must be a whole number",IF(COUNTIFS($A$4:$A$2503,A292,$B$4:$B$2503,B292,$D$4:$D$2503,D292)&gt;1,"Duplicate row (same date)","OK"))))))</f>
        <v/>
      </c>
    </row>
    <row r="293">
      <c r="A293" s="26" t="n"/>
      <c r="B293" s="26" t="n"/>
      <c r="C293" s="34" t="n"/>
      <c r="D293" s="28" t="n"/>
      <c r="E293" s="26" t="n"/>
      <c r="F293" s="26" t="n"/>
      <c r="G293" s="26" t="n"/>
      <c r="H293" s="38" t="n"/>
      <c r="I293" s="28" t="n"/>
      <c r="J293" s="30">
        <f>IF(B293="","",IFERROR(INDEX('Share classes'!$A$4:$A$203,MATCH(B293,'Share classes'!$B$4:$B$203,0)),""))</f>
        <v/>
      </c>
      <c r="K293" s="30">
        <f>IF(A293="","",IFERROR(INDEX('Holders'!$B$4:$B$1003,MATCH(A293,'Holders'!$A$4:$A$1003,0)),""))</f>
        <v/>
      </c>
      <c r="L293" s="30">
        <f>IF(OR(A293="",B293="",D293=""),"",IF(D293=_xlfn.MAXIFS($D$4:$D$2503,$A$4:$A$2503,A293,$B$4:$B$2503,B293),"Yes","No"))</f>
        <v/>
      </c>
      <c r="M293" s="30">
        <f>IF(B293="","",IFERROR(INDEX('Share classes'!$F$4:$F$203,MATCH(B293,'Share classes'!$B$4:$B$203,0)),""))</f>
        <v/>
      </c>
      <c r="N293" s="30">
        <f>IF(A293="","",IF(K293="","Unknown holder ID",IF(J293="","Unknown class code",IF(OR(C293="",D293=""),"Missing shares or date",IF(OR(C293&lt;0,C293&lt;&gt;INT(C293)),"Shares must be a whole number",IF(COUNTIFS($A$4:$A$2503,A293,$B$4:$B$2503,B293,$D$4:$D$2503,D293)&gt;1,"Duplicate row (same date)","OK"))))))</f>
        <v/>
      </c>
    </row>
    <row r="294">
      <c r="A294" s="26" t="n"/>
      <c r="B294" s="26" t="n"/>
      <c r="C294" s="34" t="n"/>
      <c r="D294" s="28" t="n"/>
      <c r="E294" s="26" t="n"/>
      <c r="F294" s="26" t="n"/>
      <c r="G294" s="26" t="n"/>
      <c r="H294" s="38" t="n"/>
      <c r="I294" s="28" t="n"/>
      <c r="J294" s="30">
        <f>IF(B294="","",IFERROR(INDEX('Share classes'!$A$4:$A$203,MATCH(B294,'Share classes'!$B$4:$B$203,0)),""))</f>
        <v/>
      </c>
      <c r="K294" s="30">
        <f>IF(A294="","",IFERROR(INDEX('Holders'!$B$4:$B$1003,MATCH(A294,'Holders'!$A$4:$A$1003,0)),""))</f>
        <v/>
      </c>
      <c r="L294" s="30">
        <f>IF(OR(A294="",B294="",D294=""),"",IF(D294=_xlfn.MAXIFS($D$4:$D$2503,$A$4:$A$2503,A294,$B$4:$B$2503,B294),"Yes","No"))</f>
        <v/>
      </c>
      <c r="M294" s="30">
        <f>IF(B294="","",IFERROR(INDEX('Share classes'!$F$4:$F$203,MATCH(B294,'Share classes'!$B$4:$B$203,0)),""))</f>
        <v/>
      </c>
      <c r="N294" s="30">
        <f>IF(A294="","",IF(K294="","Unknown holder ID",IF(J294="","Unknown class code",IF(OR(C294="",D294=""),"Missing shares or date",IF(OR(C294&lt;0,C294&lt;&gt;INT(C294)),"Shares must be a whole number",IF(COUNTIFS($A$4:$A$2503,A294,$B$4:$B$2503,B294,$D$4:$D$2503,D294)&gt;1,"Duplicate row (same date)","OK"))))))</f>
        <v/>
      </c>
    </row>
    <row r="295">
      <c r="A295" s="26" t="n"/>
      <c r="B295" s="26" t="n"/>
      <c r="C295" s="34" t="n"/>
      <c r="D295" s="28" t="n"/>
      <c r="E295" s="26" t="n"/>
      <c r="F295" s="26" t="n"/>
      <c r="G295" s="26" t="n"/>
      <c r="H295" s="38" t="n"/>
      <c r="I295" s="28" t="n"/>
      <c r="J295" s="30">
        <f>IF(B295="","",IFERROR(INDEX('Share classes'!$A$4:$A$203,MATCH(B295,'Share classes'!$B$4:$B$203,0)),""))</f>
        <v/>
      </c>
      <c r="K295" s="30">
        <f>IF(A295="","",IFERROR(INDEX('Holders'!$B$4:$B$1003,MATCH(A295,'Holders'!$A$4:$A$1003,0)),""))</f>
        <v/>
      </c>
      <c r="L295" s="30">
        <f>IF(OR(A295="",B295="",D295=""),"",IF(D295=_xlfn.MAXIFS($D$4:$D$2503,$A$4:$A$2503,A295,$B$4:$B$2503,B295),"Yes","No"))</f>
        <v/>
      </c>
      <c r="M295" s="30">
        <f>IF(B295="","",IFERROR(INDEX('Share classes'!$F$4:$F$203,MATCH(B295,'Share classes'!$B$4:$B$203,0)),""))</f>
        <v/>
      </c>
      <c r="N295" s="30">
        <f>IF(A295="","",IF(K295="","Unknown holder ID",IF(J295="","Unknown class code",IF(OR(C295="",D295=""),"Missing shares or date",IF(OR(C295&lt;0,C295&lt;&gt;INT(C295)),"Shares must be a whole number",IF(COUNTIFS($A$4:$A$2503,A295,$B$4:$B$2503,B295,$D$4:$D$2503,D295)&gt;1,"Duplicate row (same date)","OK"))))))</f>
        <v/>
      </c>
    </row>
    <row r="296">
      <c r="A296" s="26" t="n"/>
      <c r="B296" s="26" t="n"/>
      <c r="C296" s="34" t="n"/>
      <c r="D296" s="28" t="n"/>
      <c r="E296" s="26" t="n"/>
      <c r="F296" s="26" t="n"/>
      <c r="G296" s="26" t="n"/>
      <c r="H296" s="38" t="n"/>
      <c r="I296" s="28" t="n"/>
      <c r="J296" s="30">
        <f>IF(B296="","",IFERROR(INDEX('Share classes'!$A$4:$A$203,MATCH(B296,'Share classes'!$B$4:$B$203,0)),""))</f>
        <v/>
      </c>
      <c r="K296" s="30">
        <f>IF(A296="","",IFERROR(INDEX('Holders'!$B$4:$B$1003,MATCH(A296,'Holders'!$A$4:$A$1003,0)),""))</f>
        <v/>
      </c>
      <c r="L296" s="30">
        <f>IF(OR(A296="",B296="",D296=""),"",IF(D296=_xlfn.MAXIFS($D$4:$D$2503,$A$4:$A$2503,A296,$B$4:$B$2503,B296),"Yes","No"))</f>
        <v/>
      </c>
      <c r="M296" s="30">
        <f>IF(B296="","",IFERROR(INDEX('Share classes'!$F$4:$F$203,MATCH(B296,'Share classes'!$B$4:$B$203,0)),""))</f>
        <v/>
      </c>
      <c r="N296" s="30">
        <f>IF(A296="","",IF(K296="","Unknown holder ID",IF(J296="","Unknown class code",IF(OR(C296="",D296=""),"Missing shares or date",IF(OR(C296&lt;0,C296&lt;&gt;INT(C296)),"Shares must be a whole number",IF(COUNTIFS($A$4:$A$2503,A296,$B$4:$B$2503,B296,$D$4:$D$2503,D296)&gt;1,"Duplicate row (same date)","OK"))))))</f>
        <v/>
      </c>
    </row>
    <row r="297">
      <c r="A297" s="26" t="n"/>
      <c r="B297" s="26" t="n"/>
      <c r="C297" s="34" t="n"/>
      <c r="D297" s="28" t="n"/>
      <c r="E297" s="26" t="n"/>
      <c r="F297" s="26" t="n"/>
      <c r="G297" s="26" t="n"/>
      <c r="H297" s="38" t="n"/>
      <c r="I297" s="28" t="n"/>
      <c r="J297" s="30">
        <f>IF(B297="","",IFERROR(INDEX('Share classes'!$A$4:$A$203,MATCH(B297,'Share classes'!$B$4:$B$203,0)),""))</f>
        <v/>
      </c>
      <c r="K297" s="30">
        <f>IF(A297="","",IFERROR(INDEX('Holders'!$B$4:$B$1003,MATCH(A297,'Holders'!$A$4:$A$1003,0)),""))</f>
        <v/>
      </c>
      <c r="L297" s="30">
        <f>IF(OR(A297="",B297="",D297=""),"",IF(D297=_xlfn.MAXIFS($D$4:$D$2503,$A$4:$A$2503,A297,$B$4:$B$2503,B297),"Yes","No"))</f>
        <v/>
      </c>
      <c r="M297" s="30">
        <f>IF(B297="","",IFERROR(INDEX('Share classes'!$F$4:$F$203,MATCH(B297,'Share classes'!$B$4:$B$203,0)),""))</f>
        <v/>
      </c>
      <c r="N297" s="30">
        <f>IF(A297="","",IF(K297="","Unknown holder ID",IF(J297="","Unknown class code",IF(OR(C297="",D297=""),"Missing shares or date",IF(OR(C297&lt;0,C297&lt;&gt;INT(C297)),"Shares must be a whole number",IF(COUNTIFS($A$4:$A$2503,A297,$B$4:$B$2503,B297,$D$4:$D$2503,D297)&gt;1,"Duplicate row (same date)","OK"))))))</f>
        <v/>
      </c>
    </row>
    <row r="298">
      <c r="A298" s="26" t="n"/>
      <c r="B298" s="26" t="n"/>
      <c r="C298" s="34" t="n"/>
      <c r="D298" s="28" t="n"/>
      <c r="E298" s="26" t="n"/>
      <c r="F298" s="26" t="n"/>
      <c r="G298" s="26" t="n"/>
      <c r="H298" s="38" t="n"/>
      <c r="I298" s="28" t="n"/>
      <c r="J298" s="30">
        <f>IF(B298="","",IFERROR(INDEX('Share classes'!$A$4:$A$203,MATCH(B298,'Share classes'!$B$4:$B$203,0)),""))</f>
        <v/>
      </c>
      <c r="K298" s="30">
        <f>IF(A298="","",IFERROR(INDEX('Holders'!$B$4:$B$1003,MATCH(A298,'Holders'!$A$4:$A$1003,0)),""))</f>
        <v/>
      </c>
      <c r="L298" s="30">
        <f>IF(OR(A298="",B298="",D298=""),"",IF(D298=_xlfn.MAXIFS($D$4:$D$2503,$A$4:$A$2503,A298,$B$4:$B$2503,B298),"Yes","No"))</f>
        <v/>
      </c>
      <c r="M298" s="30">
        <f>IF(B298="","",IFERROR(INDEX('Share classes'!$F$4:$F$203,MATCH(B298,'Share classes'!$B$4:$B$203,0)),""))</f>
        <v/>
      </c>
      <c r="N298" s="30">
        <f>IF(A298="","",IF(K298="","Unknown holder ID",IF(J298="","Unknown class code",IF(OR(C298="",D298=""),"Missing shares or date",IF(OR(C298&lt;0,C298&lt;&gt;INT(C298)),"Shares must be a whole number",IF(COUNTIFS($A$4:$A$2503,A298,$B$4:$B$2503,B298,$D$4:$D$2503,D298)&gt;1,"Duplicate row (same date)","OK"))))))</f>
        <v/>
      </c>
    </row>
    <row r="299">
      <c r="A299" s="26" t="n"/>
      <c r="B299" s="26" t="n"/>
      <c r="C299" s="34" t="n"/>
      <c r="D299" s="28" t="n"/>
      <c r="E299" s="26" t="n"/>
      <c r="F299" s="26" t="n"/>
      <c r="G299" s="26" t="n"/>
      <c r="H299" s="38" t="n"/>
      <c r="I299" s="28" t="n"/>
      <c r="J299" s="30">
        <f>IF(B299="","",IFERROR(INDEX('Share classes'!$A$4:$A$203,MATCH(B299,'Share classes'!$B$4:$B$203,0)),""))</f>
        <v/>
      </c>
      <c r="K299" s="30">
        <f>IF(A299="","",IFERROR(INDEX('Holders'!$B$4:$B$1003,MATCH(A299,'Holders'!$A$4:$A$1003,0)),""))</f>
        <v/>
      </c>
      <c r="L299" s="30">
        <f>IF(OR(A299="",B299="",D299=""),"",IF(D299=_xlfn.MAXIFS($D$4:$D$2503,$A$4:$A$2503,A299,$B$4:$B$2503,B299),"Yes","No"))</f>
        <v/>
      </c>
      <c r="M299" s="30">
        <f>IF(B299="","",IFERROR(INDEX('Share classes'!$F$4:$F$203,MATCH(B299,'Share classes'!$B$4:$B$203,0)),""))</f>
        <v/>
      </c>
      <c r="N299" s="30">
        <f>IF(A299="","",IF(K299="","Unknown holder ID",IF(J299="","Unknown class code",IF(OR(C299="",D299=""),"Missing shares or date",IF(OR(C299&lt;0,C299&lt;&gt;INT(C299)),"Shares must be a whole number",IF(COUNTIFS($A$4:$A$2503,A299,$B$4:$B$2503,B299,$D$4:$D$2503,D299)&gt;1,"Duplicate row (same date)","OK"))))))</f>
        <v/>
      </c>
    </row>
    <row r="300">
      <c r="A300" s="26" t="n"/>
      <c r="B300" s="26" t="n"/>
      <c r="C300" s="34" t="n"/>
      <c r="D300" s="28" t="n"/>
      <c r="E300" s="26" t="n"/>
      <c r="F300" s="26" t="n"/>
      <c r="G300" s="26" t="n"/>
      <c r="H300" s="38" t="n"/>
      <c r="I300" s="28" t="n"/>
      <c r="J300" s="30">
        <f>IF(B300="","",IFERROR(INDEX('Share classes'!$A$4:$A$203,MATCH(B300,'Share classes'!$B$4:$B$203,0)),""))</f>
        <v/>
      </c>
      <c r="K300" s="30">
        <f>IF(A300="","",IFERROR(INDEX('Holders'!$B$4:$B$1003,MATCH(A300,'Holders'!$A$4:$A$1003,0)),""))</f>
        <v/>
      </c>
      <c r="L300" s="30">
        <f>IF(OR(A300="",B300="",D300=""),"",IF(D300=_xlfn.MAXIFS($D$4:$D$2503,$A$4:$A$2503,A300,$B$4:$B$2503,B300),"Yes","No"))</f>
        <v/>
      </c>
      <c r="M300" s="30">
        <f>IF(B300="","",IFERROR(INDEX('Share classes'!$F$4:$F$203,MATCH(B300,'Share classes'!$B$4:$B$203,0)),""))</f>
        <v/>
      </c>
      <c r="N300" s="30">
        <f>IF(A300="","",IF(K300="","Unknown holder ID",IF(J300="","Unknown class code",IF(OR(C300="",D300=""),"Missing shares or date",IF(OR(C300&lt;0,C300&lt;&gt;INT(C300)),"Shares must be a whole number",IF(COUNTIFS($A$4:$A$2503,A300,$B$4:$B$2503,B300,$D$4:$D$2503,D300)&gt;1,"Duplicate row (same date)","OK"))))))</f>
        <v/>
      </c>
    </row>
    <row r="301">
      <c r="A301" s="26" t="n"/>
      <c r="B301" s="26" t="n"/>
      <c r="C301" s="34" t="n"/>
      <c r="D301" s="28" t="n"/>
      <c r="E301" s="26" t="n"/>
      <c r="F301" s="26" t="n"/>
      <c r="G301" s="26" t="n"/>
      <c r="H301" s="38" t="n"/>
      <c r="I301" s="28" t="n"/>
      <c r="J301" s="30">
        <f>IF(B301="","",IFERROR(INDEX('Share classes'!$A$4:$A$203,MATCH(B301,'Share classes'!$B$4:$B$203,0)),""))</f>
        <v/>
      </c>
      <c r="K301" s="30">
        <f>IF(A301="","",IFERROR(INDEX('Holders'!$B$4:$B$1003,MATCH(A301,'Holders'!$A$4:$A$1003,0)),""))</f>
        <v/>
      </c>
      <c r="L301" s="30">
        <f>IF(OR(A301="",B301="",D301=""),"",IF(D301=_xlfn.MAXIFS($D$4:$D$2503,$A$4:$A$2503,A301,$B$4:$B$2503,B301),"Yes","No"))</f>
        <v/>
      </c>
      <c r="M301" s="30">
        <f>IF(B301="","",IFERROR(INDEX('Share classes'!$F$4:$F$203,MATCH(B301,'Share classes'!$B$4:$B$203,0)),""))</f>
        <v/>
      </c>
      <c r="N301" s="30">
        <f>IF(A301="","",IF(K301="","Unknown holder ID",IF(J301="","Unknown class code",IF(OR(C301="",D301=""),"Missing shares or date",IF(OR(C301&lt;0,C301&lt;&gt;INT(C301)),"Shares must be a whole number",IF(COUNTIFS($A$4:$A$2503,A301,$B$4:$B$2503,B301,$D$4:$D$2503,D301)&gt;1,"Duplicate row (same date)","OK"))))))</f>
        <v/>
      </c>
    </row>
    <row r="302">
      <c r="A302" s="26" t="n"/>
      <c r="B302" s="26" t="n"/>
      <c r="C302" s="34" t="n"/>
      <c r="D302" s="28" t="n"/>
      <c r="E302" s="26" t="n"/>
      <c r="F302" s="26" t="n"/>
      <c r="G302" s="26" t="n"/>
      <c r="H302" s="38" t="n"/>
      <c r="I302" s="28" t="n"/>
      <c r="J302" s="30">
        <f>IF(B302="","",IFERROR(INDEX('Share classes'!$A$4:$A$203,MATCH(B302,'Share classes'!$B$4:$B$203,0)),""))</f>
        <v/>
      </c>
      <c r="K302" s="30">
        <f>IF(A302="","",IFERROR(INDEX('Holders'!$B$4:$B$1003,MATCH(A302,'Holders'!$A$4:$A$1003,0)),""))</f>
        <v/>
      </c>
      <c r="L302" s="30">
        <f>IF(OR(A302="",B302="",D302=""),"",IF(D302=_xlfn.MAXIFS($D$4:$D$2503,$A$4:$A$2503,A302,$B$4:$B$2503,B302),"Yes","No"))</f>
        <v/>
      </c>
      <c r="M302" s="30">
        <f>IF(B302="","",IFERROR(INDEX('Share classes'!$F$4:$F$203,MATCH(B302,'Share classes'!$B$4:$B$203,0)),""))</f>
        <v/>
      </c>
      <c r="N302" s="30">
        <f>IF(A302="","",IF(K302="","Unknown holder ID",IF(J302="","Unknown class code",IF(OR(C302="",D302=""),"Missing shares or date",IF(OR(C302&lt;0,C302&lt;&gt;INT(C302)),"Shares must be a whole number",IF(COUNTIFS($A$4:$A$2503,A302,$B$4:$B$2503,B302,$D$4:$D$2503,D302)&gt;1,"Duplicate row (same date)","OK"))))))</f>
        <v/>
      </c>
    </row>
    <row r="303">
      <c r="A303" s="26" t="n"/>
      <c r="B303" s="26" t="n"/>
      <c r="C303" s="34" t="n"/>
      <c r="D303" s="28" t="n"/>
      <c r="E303" s="26" t="n"/>
      <c r="F303" s="26" t="n"/>
      <c r="G303" s="26" t="n"/>
      <c r="H303" s="38" t="n"/>
      <c r="I303" s="28" t="n"/>
      <c r="J303" s="30">
        <f>IF(B303="","",IFERROR(INDEX('Share classes'!$A$4:$A$203,MATCH(B303,'Share classes'!$B$4:$B$203,0)),""))</f>
        <v/>
      </c>
      <c r="K303" s="30">
        <f>IF(A303="","",IFERROR(INDEX('Holders'!$B$4:$B$1003,MATCH(A303,'Holders'!$A$4:$A$1003,0)),""))</f>
        <v/>
      </c>
      <c r="L303" s="30">
        <f>IF(OR(A303="",B303="",D303=""),"",IF(D303=_xlfn.MAXIFS($D$4:$D$2503,$A$4:$A$2503,A303,$B$4:$B$2503,B303),"Yes","No"))</f>
        <v/>
      </c>
      <c r="M303" s="30">
        <f>IF(B303="","",IFERROR(INDEX('Share classes'!$F$4:$F$203,MATCH(B303,'Share classes'!$B$4:$B$203,0)),""))</f>
        <v/>
      </c>
      <c r="N303" s="30">
        <f>IF(A303="","",IF(K303="","Unknown holder ID",IF(J303="","Unknown class code",IF(OR(C303="",D303=""),"Missing shares or date",IF(OR(C303&lt;0,C303&lt;&gt;INT(C303)),"Shares must be a whole number",IF(COUNTIFS($A$4:$A$2503,A303,$B$4:$B$2503,B303,$D$4:$D$2503,D303)&gt;1,"Duplicate row (same date)","OK"))))))</f>
        <v/>
      </c>
    </row>
    <row r="304">
      <c r="A304" s="26" t="n"/>
      <c r="B304" s="26" t="n"/>
      <c r="C304" s="34" t="n"/>
      <c r="D304" s="28" t="n"/>
      <c r="E304" s="26" t="n"/>
      <c r="F304" s="26" t="n"/>
      <c r="G304" s="26" t="n"/>
      <c r="H304" s="38" t="n"/>
      <c r="I304" s="28" t="n"/>
      <c r="J304" s="30">
        <f>IF(B304="","",IFERROR(INDEX('Share classes'!$A$4:$A$203,MATCH(B304,'Share classes'!$B$4:$B$203,0)),""))</f>
        <v/>
      </c>
      <c r="K304" s="30">
        <f>IF(A304="","",IFERROR(INDEX('Holders'!$B$4:$B$1003,MATCH(A304,'Holders'!$A$4:$A$1003,0)),""))</f>
        <v/>
      </c>
      <c r="L304" s="30">
        <f>IF(OR(A304="",B304="",D304=""),"",IF(D304=_xlfn.MAXIFS($D$4:$D$2503,$A$4:$A$2503,A304,$B$4:$B$2503,B304),"Yes","No"))</f>
        <v/>
      </c>
      <c r="M304" s="30">
        <f>IF(B304="","",IFERROR(INDEX('Share classes'!$F$4:$F$203,MATCH(B304,'Share classes'!$B$4:$B$203,0)),""))</f>
        <v/>
      </c>
      <c r="N304" s="30">
        <f>IF(A304="","",IF(K304="","Unknown holder ID",IF(J304="","Unknown class code",IF(OR(C304="",D304=""),"Missing shares or date",IF(OR(C304&lt;0,C304&lt;&gt;INT(C304)),"Shares must be a whole number",IF(COUNTIFS($A$4:$A$2503,A304,$B$4:$B$2503,B304,$D$4:$D$2503,D304)&gt;1,"Duplicate row (same date)","OK"))))))</f>
        <v/>
      </c>
    </row>
    <row r="305">
      <c r="A305" s="26" t="n"/>
      <c r="B305" s="26" t="n"/>
      <c r="C305" s="34" t="n"/>
      <c r="D305" s="28" t="n"/>
      <c r="E305" s="26" t="n"/>
      <c r="F305" s="26" t="n"/>
      <c r="G305" s="26" t="n"/>
      <c r="H305" s="38" t="n"/>
      <c r="I305" s="28" t="n"/>
      <c r="J305" s="30">
        <f>IF(B305="","",IFERROR(INDEX('Share classes'!$A$4:$A$203,MATCH(B305,'Share classes'!$B$4:$B$203,0)),""))</f>
        <v/>
      </c>
      <c r="K305" s="30">
        <f>IF(A305="","",IFERROR(INDEX('Holders'!$B$4:$B$1003,MATCH(A305,'Holders'!$A$4:$A$1003,0)),""))</f>
        <v/>
      </c>
      <c r="L305" s="30">
        <f>IF(OR(A305="",B305="",D305=""),"",IF(D305=_xlfn.MAXIFS($D$4:$D$2503,$A$4:$A$2503,A305,$B$4:$B$2503,B305),"Yes","No"))</f>
        <v/>
      </c>
      <c r="M305" s="30">
        <f>IF(B305="","",IFERROR(INDEX('Share classes'!$F$4:$F$203,MATCH(B305,'Share classes'!$B$4:$B$203,0)),""))</f>
        <v/>
      </c>
      <c r="N305" s="30">
        <f>IF(A305="","",IF(K305="","Unknown holder ID",IF(J305="","Unknown class code",IF(OR(C305="",D305=""),"Missing shares or date",IF(OR(C305&lt;0,C305&lt;&gt;INT(C305)),"Shares must be a whole number",IF(COUNTIFS($A$4:$A$2503,A305,$B$4:$B$2503,B305,$D$4:$D$2503,D305)&gt;1,"Duplicate row (same date)","OK"))))))</f>
        <v/>
      </c>
    </row>
    <row r="306">
      <c r="A306" s="26" t="n"/>
      <c r="B306" s="26" t="n"/>
      <c r="C306" s="34" t="n"/>
      <c r="D306" s="28" t="n"/>
      <c r="E306" s="26" t="n"/>
      <c r="F306" s="26" t="n"/>
      <c r="G306" s="26" t="n"/>
      <c r="H306" s="38" t="n"/>
      <c r="I306" s="28" t="n"/>
      <c r="J306" s="30">
        <f>IF(B306="","",IFERROR(INDEX('Share classes'!$A$4:$A$203,MATCH(B306,'Share classes'!$B$4:$B$203,0)),""))</f>
        <v/>
      </c>
      <c r="K306" s="30">
        <f>IF(A306="","",IFERROR(INDEX('Holders'!$B$4:$B$1003,MATCH(A306,'Holders'!$A$4:$A$1003,0)),""))</f>
        <v/>
      </c>
      <c r="L306" s="30">
        <f>IF(OR(A306="",B306="",D306=""),"",IF(D306=_xlfn.MAXIFS($D$4:$D$2503,$A$4:$A$2503,A306,$B$4:$B$2503,B306),"Yes","No"))</f>
        <v/>
      </c>
      <c r="M306" s="30">
        <f>IF(B306="","",IFERROR(INDEX('Share classes'!$F$4:$F$203,MATCH(B306,'Share classes'!$B$4:$B$203,0)),""))</f>
        <v/>
      </c>
      <c r="N306" s="30">
        <f>IF(A306="","",IF(K306="","Unknown holder ID",IF(J306="","Unknown class code",IF(OR(C306="",D306=""),"Missing shares or date",IF(OR(C306&lt;0,C306&lt;&gt;INT(C306)),"Shares must be a whole number",IF(COUNTIFS($A$4:$A$2503,A306,$B$4:$B$2503,B306,$D$4:$D$2503,D306)&gt;1,"Duplicate row (same date)","OK"))))))</f>
        <v/>
      </c>
    </row>
    <row r="307">
      <c r="A307" s="26" t="n"/>
      <c r="B307" s="26" t="n"/>
      <c r="C307" s="34" t="n"/>
      <c r="D307" s="28" t="n"/>
      <c r="E307" s="26" t="n"/>
      <c r="F307" s="26" t="n"/>
      <c r="G307" s="26" t="n"/>
      <c r="H307" s="38" t="n"/>
      <c r="I307" s="28" t="n"/>
      <c r="J307" s="30">
        <f>IF(B307="","",IFERROR(INDEX('Share classes'!$A$4:$A$203,MATCH(B307,'Share classes'!$B$4:$B$203,0)),""))</f>
        <v/>
      </c>
      <c r="K307" s="30">
        <f>IF(A307="","",IFERROR(INDEX('Holders'!$B$4:$B$1003,MATCH(A307,'Holders'!$A$4:$A$1003,0)),""))</f>
        <v/>
      </c>
      <c r="L307" s="30">
        <f>IF(OR(A307="",B307="",D307=""),"",IF(D307=_xlfn.MAXIFS($D$4:$D$2503,$A$4:$A$2503,A307,$B$4:$B$2503,B307),"Yes","No"))</f>
        <v/>
      </c>
      <c r="M307" s="30">
        <f>IF(B307="","",IFERROR(INDEX('Share classes'!$F$4:$F$203,MATCH(B307,'Share classes'!$B$4:$B$203,0)),""))</f>
        <v/>
      </c>
      <c r="N307" s="30">
        <f>IF(A307="","",IF(K307="","Unknown holder ID",IF(J307="","Unknown class code",IF(OR(C307="",D307=""),"Missing shares or date",IF(OR(C307&lt;0,C307&lt;&gt;INT(C307)),"Shares must be a whole number",IF(COUNTIFS($A$4:$A$2503,A307,$B$4:$B$2503,B307,$D$4:$D$2503,D307)&gt;1,"Duplicate row (same date)","OK"))))))</f>
        <v/>
      </c>
    </row>
    <row r="308">
      <c r="A308" s="26" t="n"/>
      <c r="B308" s="26" t="n"/>
      <c r="C308" s="34" t="n"/>
      <c r="D308" s="28" t="n"/>
      <c r="E308" s="26" t="n"/>
      <c r="F308" s="26" t="n"/>
      <c r="G308" s="26" t="n"/>
      <c r="H308" s="38" t="n"/>
      <c r="I308" s="28" t="n"/>
      <c r="J308" s="30">
        <f>IF(B308="","",IFERROR(INDEX('Share classes'!$A$4:$A$203,MATCH(B308,'Share classes'!$B$4:$B$203,0)),""))</f>
        <v/>
      </c>
      <c r="K308" s="30">
        <f>IF(A308="","",IFERROR(INDEX('Holders'!$B$4:$B$1003,MATCH(A308,'Holders'!$A$4:$A$1003,0)),""))</f>
        <v/>
      </c>
      <c r="L308" s="30">
        <f>IF(OR(A308="",B308="",D308=""),"",IF(D308=_xlfn.MAXIFS($D$4:$D$2503,$A$4:$A$2503,A308,$B$4:$B$2503,B308),"Yes","No"))</f>
        <v/>
      </c>
      <c r="M308" s="30">
        <f>IF(B308="","",IFERROR(INDEX('Share classes'!$F$4:$F$203,MATCH(B308,'Share classes'!$B$4:$B$203,0)),""))</f>
        <v/>
      </c>
      <c r="N308" s="30">
        <f>IF(A308="","",IF(K308="","Unknown holder ID",IF(J308="","Unknown class code",IF(OR(C308="",D308=""),"Missing shares or date",IF(OR(C308&lt;0,C308&lt;&gt;INT(C308)),"Shares must be a whole number",IF(COUNTIFS($A$4:$A$2503,A308,$B$4:$B$2503,B308,$D$4:$D$2503,D308)&gt;1,"Duplicate row (same date)","OK"))))))</f>
        <v/>
      </c>
    </row>
    <row r="309">
      <c r="A309" s="26" t="n"/>
      <c r="B309" s="26" t="n"/>
      <c r="C309" s="34" t="n"/>
      <c r="D309" s="28" t="n"/>
      <c r="E309" s="26" t="n"/>
      <c r="F309" s="26" t="n"/>
      <c r="G309" s="26" t="n"/>
      <c r="H309" s="38" t="n"/>
      <c r="I309" s="28" t="n"/>
      <c r="J309" s="30">
        <f>IF(B309="","",IFERROR(INDEX('Share classes'!$A$4:$A$203,MATCH(B309,'Share classes'!$B$4:$B$203,0)),""))</f>
        <v/>
      </c>
      <c r="K309" s="30">
        <f>IF(A309="","",IFERROR(INDEX('Holders'!$B$4:$B$1003,MATCH(A309,'Holders'!$A$4:$A$1003,0)),""))</f>
        <v/>
      </c>
      <c r="L309" s="30">
        <f>IF(OR(A309="",B309="",D309=""),"",IF(D309=_xlfn.MAXIFS($D$4:$D$2503,$A$4:$A$2503,A309,$B$4:$B$2503,B309),"Yes","No"))</f>
        <v/>
      </c>
      <c r="M309" s="30">
        <f>IF(B309="","",IFERROR(INDEX('Share classes'!$F$4:$F$203,MATCH(B309,'Share classes'!$B$4:$B$203,0)),""))</f>
        <v/>
      </c>
      <c r="N309" s="30">
        <f>IF(A309="","",IF(K309="","Unknown holder ID",IF(J309="","Unknown class code",IF(OR(C309="",D309=""),"Missing shares or date",IF(OR(C309&lt;0,C309&lt;&gt;INT(C309)),"Shares must be a whole number",IF(COUNTIFS($A$4:$A$2503,A309,$B$4:$B$2503,B309,$D$4:$D$2503,D309)&gt;1,"Duplicate row (same date)","OK"))))))</f>
        <v/>
      </c>
    </row>
    <row r="310">
      <c r="A310" s="26" t="n"/>
      <c r="B310" s="26" t="n"/>
      <c r="C310" s="34" t="n"/>
      <c r="D310" s="28" t="n"/>
      <c r="E310" s="26" t="n"/>
      <c r="F310" s="26" t="n"/>
      <c r="G310" s="26" t="n"/>
      <c r="H310" s="38" t="n"/>
      <c r="I310" s="28" t="n"/>
      <c r="J310" s="30">
        <f>IF(B310="","",IFERROR(INDEX('Share classes'!$A$4:$A$203,MATCH(B310,'Share classes'!$B$4:$B$203,0)),""))</f>
        <v/>
      </c>
      <c r="K310" s="30">
        <f>IF(A310="","",IFERROR(INDEX('Holders'!$B$4:$B$1003,MATCH(A310,'Holders'!$A$4:$A$1003,0)),""))</f>
        <v/>
      </c>
      <c r="L310" s="30">
        <f>IF(OR(A310="",B310="",D310=""),"",IF(D310=_xlfn.MAXIFS($D$4:$D$2503,$A$4:$A$2503,A310,$B$4:$B$2503,B310),"Yes","No"))</f>
        <v/>
      </c>
      <c r="M310" s="30">
        <f>IF(B310="","",IFERROR(INDEX('Share classes'!$F$4:$F$203,MATCH(B310,'Share classes'!$B$4:$B$203,0)),""))</f>
        <v/>
      </c>
      <c r="N310" s="30">
        <f>IF(A310="","",IF(K310="","Unknown holder ID",IF(J310="","Unknown class code",IF(OR(C310="",D310=""),"Missing shares or date",IF(OR(C310&lt;0,C310&lt;&gt;INT(C310)),"Shares must be a whole number",IF(COUNTIFS($A$4:$A$2503,A310,$B$4:$B$2503,B310,$D$4:$D$2503,D310)&gt;1,"Duplicate row (same date)","OK"))))))</f>
        <v/>
      </c>
    </row>
    <row r="311">
      <c r="A311" s="26" t="n"/>
      <c r="B311" s="26" t="n"/>
      <c r="C311" s="34" t="n"/>
      <c r="D311" s="28" t="n"/>
      <c r="E311" s="26" t="n"/>
      <c r="F311" s="26" t="n"/>
      <c r="G311" s="26" t="n"/>
      <c r="H311" s="38" t="n"/>
      <c r="I311" s="28" t="n"/>
      <c r="J311" s="30">
        <f>IF(B311="","",IFERROR(INDEX('Share classes'!$A$4:$A$203,MATCH(B311,'Share classes'!$B$4:$B$203,0)),""))</f>
        <v/>
      </c>
      <c r="K311" s="30">
        <f>IF(A311="","",IFERROR(INDEX('Holders'!$B$4:$B$1003,MATCH(A311,'Holders'!$A$4:$A$1003,0)),""))</f>
        <v/>
      </c>
      <c r="L311" s="30">
        <f>IF(OR(A311="",B311="",D311=""),"",IF(D311=_xlfn.MAXIFS($D$4:$D$2503,$A$4:$A$2503,A311,$B$4:$B$2503,B311),"Yes","No"))</f>
        <v/>
      </c>
      <c r="M311" s="30">
        <f>IF(B311="","",IFERROR(INDEX('Share classes'!$F$4:$F$203,MATCH(B311,'Share classes'!$B$4:$B$203,0)),""))</f>
        <v/>
      </c>
      <c r="N311" s="30">
        <f>IF(A311="","",IF(K311="","Unknown holder ID",IF(J311="","Unknown class code",IF(OR(C311="",D311=""),"Missing shares or date",IF(OR(C311&lt;0,C311&lt;&gt;INT(C311)),"Shares must be a whole number",IF(COUNTIFS($A$4:$A$2503,A311,$B$4:$B$2503,B311,$D$4:$D$2503,D311)&gt;1,"Duplicate row (same date)","OK"))))))</f>
        <v/>
      </c>
    </row>
    <row r="312">
      <c r="A312" s="26" t="n"/>
      <c r="B312" s="26" t="n"/>
      <c r="C312" s="34" t="n"/>
      <c r="D312" s="28" t="n"/>
      <c r="E312" s="26" t="n"/>
      <c r="F312" s="26" t="n"/>
      <c r="G312" s="26" t="n"/>
      <c r="H312" s="38" t="n"/>
      <c r="I312" s="28" t="n"/>
      <c r="J312" s="30">
        <f>IF(B312="","",IFERROR(INDEX('Share classes'!$A$4:$A$203,MATCH(B312,'Share classes'!$B$4:$B$203,0)),""))</f>
        <v/>
      </c>
      <c r="K312" s="30">
        <f>IF(A312="","",IFERROR(INDEX('Holders'!$B$4:$B$1003,MATCH(A312,'Holders'!$A$4:$A$1003,0)),""))</f>
        <v/>
      </c>
      <c r="L312" s="30">
        <f>IF(OR(A312="",B312="",D312=""),"",IF(D312=_xlfn.MAXIFS($D$4:$D$2503,$A$4:$A$2503,A312,$B$4:$B$2503,B312),"Yes","No"))</f>
        <v/>
      </c>
      <c r="M312" s="30">
        <f>IF(B312="","",IFERROR(INDEX('Share classes'!$F$4:$F$203,MATCH(B312,'Share classes'!$B$4:$B$203,0)),""))</f>
        <v/>
      </c>
      <c r="N312" s="30">
        <f>IF(A312="","",IF(K312="","Unknown holder ID",IF(J312="","Unknown class code",IF(OR(C312="",D312=""),"Missing shares or date",IF(OR(C312&lt;0,C312&lt;&gt;INT(C312)),"Shares must be a whole number",IF(COUNTIFS($A$4:$A$2503,A312,$B$4:$B$2503,B312,$D$4:$D$2503,D312)&gt;1,"Duplicate row (same date)","OK"))))))</f>
        <v/>
      </c>
    </row>
    <row r="313">
      <c r="A313" s="26" t="n"/>
      <c r="B313" s="26" t="n"/>
      <c r="C313" s="34" t="n"/>
      <c r="D313" s="28" t="n"/>
      <c r="E313" s="26" t="n"/>
      <c r="F313" s="26" t="n"/>
      <c r="G313" s="26" t="n"/>
      <c r="H313" s="38" t="n"/>
      <c r="I313" s="28" t="n"/>
      <c r="J313" s="30">
        <f>IF(B313="","",IFERROR(INDEX('Share classes'!$A$4:$A$203,MATCH(B313,'Share classes'!$B$4:$B$203,0)),""))</f>
        <v/>
      </c>
      <c r="K313" s="30">
        <f>IF(A313="","",IFERROR(INDEX('Holders'!$B$4:$B$1003,MATCH(A313,'Holders'!$A$4:$A$1003,0)),""))</f>
        <v/>
      </c>
      <c r="L313" s="30">
        <f>IF(OR(A313="",B313="",D313=""),"",IF(D313=_xlfn.MAXIFS($D$4:$D$2503,$A$4:$A$2503,A313,$B$4:$B$2503,B313),"Yes","No"))</f>
        <v/>
      </c>
      <c r="M313" s="30">
        <f>IF(B313="","",IFERROR(INDEX('Share classes'!$F$4:$F$203,MATCH(B313,'Share classes'!$B$4:$B$203,0)),""))</f>
        <v/>
      </c>
      <c r="N313" s="30">
        <f>IF(A313="","",IF(K313="","Unknown holder ID",IF(J313="","Unknown class code",IF(OR(C313="",D313=""),"Missing shares or date",IF(OR(C313&lt;0,C313&lt;&gt;INT(C313)),"Shares must be a whole number",IF(COUNTIFS($A$4:$A$2503,A313,$B$4:$B$2503,B313,$D$4:$D$2503,D313)&gt;1,"Duplicate row (same date)","OK"))))))</f>
        <v/>
      </c>
    </row>
    <row r="314">
      <c r="A314" s="26" t="n"/>
      <c r="B314" s="26" t="n"/>
      <c r="C314" s="34" t="n"/>
      <c r="D314" s="28" t="n"/>
      <c r="E314" s="26" t="n"/>
      <c r="F314" s="26" t="n"/>
      <c r="G314" s="26" t="n"/>
      <c r="H314" s="38" t="n"/>
      <c r="I314" s="28" t="n"/>
      <c r="J314" s="30">
        <f>IF(B314="","",IFERROR(INDEX('Share classes'!$A$4:$A$203,MATCH(B314,'Share classes'!$B$4:$B$203,0)),""))</f>
        <v/>
      </c>
      <c r="K314" s="30">
        <f>IF(A314="","",IFERROR(INDEX('Holders'!$B$4:$B$1003,MATCH(A314,'Holders'!$A$4:$A$1003,0)),""))</f>
        <v/>
      </c>
      <c r="L314" s="30">
        <f>IF(OR(A314="",B314="",D314=""),"",IF(D314=_xlfn.MAXIFS($D$4:$D$2503,$A$4:$A$2503,A314,$B$4:$B$2503,B314),"Yes","No"))</f>
        <v/>
      </c>
      <c r="M314" s="30">
        <f>IF(B314="","",IFERROR(INDEX('Share classes'!$F$4:$F$203,MATCH(B314,'Share classes'!$B$4:$B$203,0)),""))</f>
        <v/>
      </c>
      <c r="N314" s="30">
        <f>IF(A314="","",IF(K314="","Unknown holder ID",IF(J314="","Unknown class code",IF(OR(C314="",D314=""),"Missing shares or date",IF(OR(C314&lt;0,C314&lt;&gt;INT(C314)),"Shares must be a whole number",IF(COUNTIFS($A$4:$A$2503,A314,$B$4:$B$2503,B314,$D$4:$D$2503,D314)&gt;1,"Duplicate row (same date)","OK"))))))</f>
        <v/>
      </c>
    </row>
    <row r="315">
      <c r="A315" s="26" t="n"/>
      <c r="B315" s="26" t="n"/>
      <c r="C315" s="34" t="n"/>
      <c r="D315" s="28" t="n"/>
      <c r="E315" s="26" t="n"/>
      <c r="F315" s="26" t="n"/>
      <c r="G315" s="26" t="n"/>
      <c r="H315" s="38" t="n"/>
      <c r="I315" s="28" t="n"/>
      <c r="J315" s="30">
        <f>IF(B315="","",IFERROR(INDEX('Share classes'!$A$4:$A$203,MATCH(B315,'Share classes'!$B$4:$B$203,0)),""))</f>
        <v/>
      </c>
      <c r="K315" s="30">
        <f>IF(A315="","",IFERROR(INDEX('Holders'!$B$4:$B$1003,MATCH(A315,'Holders'!$A$4:$A$1003,0)),""))</f>
        <v/>
      </c>
      <c r="L315" s="30">
        <f>IF(OR(A315="",B315="",D315=""),"",IF(D315=_xlfn.MAXIFS($D$4:$D$2503,$A$4:$A$2503,A315,$B$4:$B$2503,B315),"Yes","No"))</f>
        <v/>
      </c>
      <c r="M315" s="30">
        <f>IF(B315="","",IFERROR(INDEX('Share classes'!$F$4:$F$203,MATCH(B315,'Share classes'!$B$4:$B$203,0)),""))</f>
        <v/>
      </c>
      <c r="N315" s="30">
        <f>IF(A315="","",IF(K315="","Unknown holder ID",IF(J315="","Unknown class code",IF(OR(C315="",D315=""),"Missing shares or date",IF(OR(C315&lt;0,C315&lt;&gt;INT(C315)),"Shares must be a whole number",IF(COUNTIFS($A$4:$A$2503,A315,$B$4:$B$2503,B315,$D$4:$D$2503,D315)&gt;1,"Duplicate row (same date)","OK"))))))</f>
        <v/>
      </c>
    </row>
    <row r="316">
      <c r="A316" s="26" t="n"/>
      <c r="B316" s="26" t="n"/>
      <c r="C316" s="34" t="n"/>
      <c r="D316" s="28" t="n"/>
      <c r="E316" s="26" t="n"/>
      <c r="F316" s="26" t="n"/>
      <c r="G316" s="26" t="n"/>
      <c r="H316" s="38" t="n"/>
      <c r="I316" s="28" t="n"/>
      <c r="J316" s="30">
        <f>IF(B316="","",IFERROR(INDEX('Share classes'!$A$4:$A$203,MATCH(B316,'Share classes'!$B$4:$B$203,0)),""))</f>
        <v/>
      </c>
      <c r="K316" s="30">
        <f>IF(A316="","",IFERROR(INDEX('Holders'!$B$4:$B$1003,MATCH(A316,'Holders'!$A$4:$A$1003,0)),""))</f>
        <v/>
      </c>
      <c r="L316" s="30">
        <f>IF(OR(A316="",B316="",D316=""),"",IF(D316=_xlfn.MAXIFS($D$4:$D$2503,$A$4:$A$2503,A316,$B$4:$B$2503,B316),"Yes","No"))</f>
        <v/>
      </c>
      <c r="M316" s="30">
        <f>IF(B316="","",IFERROR(INDEX('Share classes'!$F$4:$F$203,MATCH(B316,'Share classes'!$B$4:$B$203,0)),""))</f>
        <v/>
      </c>
      <c r="N316" s="30">
        <f>IF(A316="","",IF(K316="","Unknown holder ID",IF(J316="","Unknown class code",IF(OR(C316="",D316=""),"Missing shares or date",IF(OR(C316&lt;0,C316&lt;&gt;INT(C316)),"Shares must be a whole number",IF(COUNTIFS($A$4:$A$2503,A316,$B$4:$B$2503,B316,$D$4:$D$2503,D316)&gt;1,"Duplicate row (same date)","OK"))))))</f>
        <v/>
      </c>
    </row>
    <row r="317">
      <c r="A317" s="26" t="n"/>
      <c r="B317" s="26" t="n"/>
      <c r="C317" s="34" t="n"/>
      <c r="D317" s="28" t="n"/>
      <c r="E317" s="26" t="n"/>
      <c r="F317" s="26" t="n"/>
      <c r="G317" s="26" t="n"/>
      <c r="H317" s="38" t="n"/>
      <c r="I317" s="28" t="n"/>
      <c r="J317" s="30">
        <f>IF(B317="","",IFERROR(INDEX('Share classes'!$A$4:$A$203,MATCH(B317,'Share classes'!$B$4:$B$203,0)),""))</f>
        <v/>
      </c>
      <c r="K317" s="30">
        <f>IF(A317="","",IFERROR(INDEX('Holders'!$B$4:$B$1003,MATCH(A317,'Holders'!$A$4:$A$1003,0)),""))</f>
        <v/>
      </c>
      <c r="L317" s="30">
        <f>IF(OR(A317="",B317="",D317=""),"",IF(D317=_xlfn.MAXIFS($D$4:$D$2503,$A$4:$A$2503,A317,$B$4:$B$2503,B317),"Yes","No"))</f>
        <v/>
      </c>
      <c r="M317" s="30">
        <f>IF(B317="","",IFERROR(INDEX('Share classes'!$F$4:$F$203,MATCH(B317,'Share classes'!$B$4:$B$203,0)),""))</f>
        <v/>
      </c>
      <c r="N317" s="30">
        <f>IF(A317="","",IF(K317="","Unknown holder ID",IF(J317="","Unknown class code",IF(OR(C317="",D317=""),"Missing shares or date",IF(OR(C317&lt;0,C317&lt;&gt;INT(C317)),"Shares must be a whole number",IF(COUNTIFS($A$4:$A$2503,A317,$B$4:$B$2503,B317,$D$4:$D$2503,D317)&gt;1,"Duplicate row (same date)","OK"))))))</f>
        <v/>
      </c>
    </row>
    <row r="318">
      <c r="A318" s="26" t="n"/>
      <c r="B318" s="26" t="n"/>
      <c r="C318" s="34" t="n"/>
      <c r="D318" s="28" t="n"/>
      <c r="E318" s="26" t="n"/>
      <c r="F318" s="26" t="n"/>
      <c r="G318" s="26" t="n"/>
      <c r="H318" s="38" t="n"/>
      <c r="I318" s="28" t="n"/>
      <c r="J318" s="30">
        <f>IF(B318="","",IFERROR(INDEX('Share classes'!$A$4:$A$203,MATCH(B318,'Share classes'!$B$4:$B$203,0)),""))</f>
        <v/>
      </c>
      <c r="K318" s="30">
        <f>IF(A318="","",IFERROR(INDEX('Holders'!$B$4:$B$1003,MATCH(A318,'Holders'!$A$4:$A$1003,0)),""))</f>
        <v/>
      </c>
      <c r="L318" s="30">
        <f>IF(OR(A318="",B318="",D318=""),"",IF(D318=_xlfn.MAXIFS($D$4:$D$2503,$A$4:$A$2503,A318,$B$4:$B$2503,B318),"Yes","No"))</f>
        <v/>
      </c>
      <c r="M318" s="30">
        <f>IF(B318="","",IFERROR(INDEX('Share classes'!$F$4:$F$203,MATCH(B318,'Share classes'!$B$4:$B$203,0)),""))</f>
        <v/>
      </c>
      <c r="N318" s="30">
        <f>IF(A318="","",IF(K318="","Unknown holder ID",IF(J318="","Unknown class code",IF(OR(C318="",D318=""),"Missing shares or date",IF(OR(C318&lt;0,C318&lt;&gt;INT(C318)),"Shares must be a whole number",IF(COUNTIFS($A$4:$A$2503,A318,$B$4:$B$2503,B318,$D$4:$D$2503,D318)&gt;1,"Duplicate row (same date)","OK"))))))</f>
        <v/>
      </c>
    </row>
    <row r="319">
      <c r="A319" s="26" t="n"/>
      <c r="B319" s="26" t="n"/>
      <c r="C319" s="34" t="n"/>
      <c r="D319" s="28" t="n"/>
      <c r="E319" s="26" t="n"/>
      <c r="F319" s="26" t="n"/>
      <c r="G319" s="26" t="n"/>
      <c r="H319" s="38" t="n"/>
      <c r="I319" s="28" t="n"/>
      <c r="J319" s="30">
        <f>IF(B319="","",IFERROR(INDEX('Share classes'!$A$4:$A$203,MATCH(B319,'Share classes'!$B$4:$B$203,0)),""))</f>
        <v/>
      </c>
      <c r="K319" s="30">
        <f>IF(A319="","",IFERROR(INDEX('Holders'!$B$4:$B$1003,MATCH(A319,'Holders'!$A$4:$A$1003,0)),""))</f>
        <v/>
      </c>
      <c r="L319" s="30">
        <f>IF(OR(A319="",B319="",D319=""),"",IF(D319=_xlfn.MAXIFS($D$4:$D$2503,$A$4:$A$2503,A319,$B$4:$B$2503,B319),"Yes","No"))</f>
        <v/>
      </c>
      <c r="M319" s="30">
        <f>IF(B319="","",IFERROR(INDEX('Share classes'!$F$4:$F$203,MATCH(B319,'Share classes'!$B$4:$B$203,0)),""))</f>
        <v/>
      </c>
      <c r="N319" s="30">
        <f>IF(A319="","",IF(K319="","Unknown holder ID",IF(J319="","Unknown class code",IF(OR(C319="",D319=""),"Missing shares or date",IF(OR(C319&lt;0,C319&lt;&gt;INT(C319)),"Shares must be a whole number",IF(COUNTIFS($A$4:$A$2503,A319,$B$4:$B$2503,B319,$D$4:$D$2503,D319)&gt;1,"Duplicate row (same date)","OK"))))))</f>
        <v/>
      </c>
    </row>
    <row r="320">
      <c r="A320" s="26" t="n"/>
      <c r="B320" s="26" t="n"/>
      <c r="C320" s="34" t="n"/>
      <c r="D320" s="28" t="n"/>
      <c r="E320" s="26" t="n"/>
      <c r="F320" s="26" t="n"/>
      <c r="G320" s="26" t="n"/>
      <c r="H320" s="38" t="n"/>
      <c r="I320" s="28" t="n"/>
      <c r="J320" s="30">
        <f>IF(B320="","",IFERROR(INDEX('Share classes'!$A$4:$A$203,MATCH(B320,'Share classes'!$B$4:$B$203,0)),""))</f>
        <v/>
      </c>
      <c r="K320" s="30">
        <f>IF(A320="","",IFERROR(INDEX('Holders'!$B$4:$B$1003,MATCH(A320,'Holders'!$A$4:$A$1003,0)),""))</f>
        <v/>
      </c>
      <c r="L320" s="30">
        <f>IF(OR(A320="",B320="",D320=""),"",IF(D320=_xlfn.MAXIFS($D$4:$D$2503,$A$4:$A$2503,A320,$B$4:$B$2503,B320),"Yes","No"))</f>
        <v/>
      </c>
      <c r="M320" s="30">
        <f>IF(B320="","",IFERROR(INDEX('Share classes'!$F$4:$F$203,MATCH(B320,'Share classes'!$B$4:$B$203,0)),""))</f>
        <v/>
      </c>
      <c r="N320" s="30">
        <f>IF(A320="","",IF(K320="","Unknown holder ID",IF(J320="","Unknown class code",IF(OR(C320="",D320=""),"Missing shares or date",IF(OR(C320&lt;0,C320&lt;&gt;INT(C320)),"Shares must be a whole number",IF(COUNTIFS($A$4:$A$2503,A320,$B$4:$B$2503,B320,$D$4:$D$2503,D320)&gt;1,"Duplicate row (same date)","OK"))))))</f>
        <v/>
      </c>
    </row>
    <row r="321">
      <c r="A321" s="26" t="n"/>
      <c r="B321" s="26" t="n"/>
      <c r="C321" s="34" t="n"/>
      <c r="D321" s="28" t="n"/>
      <c r="E321" s="26" t="n"/>
      <c r="F321" s="26" t="n"/>
      <c r="G321" s="26" t="n"/>
      <c r="H321" s="38" t="n"/>
      <c r="I321" s="28" t="n"/>
      <c r="J321" s="30">
        <f>IF(B321="","",IFERROR(INDEX('Share classes'!$A$4:$A$203,MATCH(B321,'Share classes'!$B$4:$B$203,0)),""))</f>
        <v/>
      </c>
      <c r="K321" s="30">
        <f>IF(A321="","",IFERROR(INDEX('Holders'!$B$4:$B$1003,MATCH(A321,'Holders'!$A$4:$A$1003,0)),""))</f>
        <v/>
      </c>
      <c r="L321" s="30">
        <f>IF(OR(A321="",B321="",D321=""),"",IF(D321=_xlfn.MAXIFS($D$4:$D$2503,$A$4:$A$2503,A321,$B$4:$B$2503,B321),"Yes","No"))</f>
        <v/>
      </c>
      <c r="M321" s="30">
        <f>IF(B321="","",IFERROR(INDEX('Share classes'!$F$4:$F$203,MATCH(B321,'Share classes'!$B$4:$B$203,0)),""))</f>
        <v/>
      </c>
      <c r="N321" s="30">
        <f>IF(A321="","",IF(K321="","Unknown holder ID",IF(J321="","Unknown class code",IF(OR(C321="",D321=""),"Missing shares or date",IF(OR(C321&lt;0,C321&lt;&gt;INT(C321)),"Shares must be a whole number",IF(COUNTIFS($A$4:$A$2503,A321,$B$4:$B$2503,B321,$D$4:$D$2503,D321)&gt;1,"Duplicate row (same date)","OK"))))))</f>
        <v/>
      </c>
    </row>
    <row r="322">
      <c r="A322" s="26" t="n"/>
      <c r="B322" s="26" t="n"/>
      <c r="C322" s="34" t="n"/>
      <c r="D322" s="28" t="n"/>
      <c r="E322" s="26" t="n"/>
      <c r="F322" s="26" t="n"/>
      <c r="G322" s="26" t="n"/>
      <c r="H322" s="38" t="n"/>
      <c r="I322" s="28" t="n"/>
      <c r="J322" s="30">
        <f>IF(B322="","",IFERROR(INDEX('Share classes'!$A$4:$A$203,MATCH(B322,'Share classes'!$B$4:$B$203,0)),""))</f>
        <v/>
      </c>
      <c r="K322" s="30">
        <f>IF(A322="","",IFERROR(INDEX('Holders'!$B$4:$B$1003,MATCH(A322,'Holders'!$A$4:$A$1003,0)),""))</f>
        <v/>
      </c>
      <c r="L322" s="30">
        <f>IF(OR(A322="",B322="",D322=""),"",IF(D322=_xlfn.MAXIFS($D$4:$D$2503,$A$4:$A$2503,A322,$B$4:$B$2503,B322),"Yes","No"))</f>
        <v/>
      </c>
      <c r="M322" s="30">
        <f>IF(B322="","",IFERROR(INDEX('Share classes'!$F$4:$F$203,MATCH(B322,'Share classes'!$B$4:$B$203,0)),""))</f>
        <v/>
      </c>
      <c r="N322" s="30">
        <f>IF(A322="","",IF(K322="","Unknown holder ID",IF(J322="","Unknown class code",IF(OR(C322="",D322=""),"Missing shares or date",IF(OR(C322&lt;0,C322&lt;&gt;INT(C322)),"Shares must be a whole number",IF(COUNTIFS($A$4:$A$2503,A322,$B$4:$B$2503,B322,$D$4:$D$2503,D322)&gt;1,"Duplicate row (same date)","OK"))))))</f>
        <v/>
      </c>
    </row>
    <row r="323">
      <c r="A323" s="26" t="n"/>
      <c r="B323" s="26" t="n"/>
      <c r="C323" s="34" t="n"/>
      <c r="D323" s="28" t="n"/>
      <c r="E323" s="26" t="n"/>
      <c r="F323" s="26" t="n"/>
      <c r="G323" s="26" t="n"/>
      <c r="H323" s="38" t="n"/>
      <c r="I323" s="28" t="n"/>
      <c r="J323" s="30">
        <f>IF(B323="","",IFERROR(INDEX('Share classes'!$A$4:$A$203,MATCH(B323,'Share classes'!$B$4:$B$203,0)),""))</f>
        <v/>
      </c>
      <c r="K323" s="30">
        <f>IF(A323="","",IFERROR(INDEX('Holders'!$B$4:$B$1003,MATCH(A323,'Holders'!$A$4:$A$1003,0)),""))</f>
        <v/>
      </c>
      <c r="L323" s="30">
        <f>IF(OR(A323="",B323="",D323=""),"",IF(D323=_xlfn.MAXIFS($D$4:$D$2503,$A$4:$A$2503,A323,$B$4:$B$2503,B323),"Yes","No"))</f>
        <v/>
      </c>
      <c r="M323" s="30">
        <f>IF(B323="","",IFERROR(INDEX('Share classes'!$F$4:$F$203,MATCH(B323,'Share classes'!$B$4:$B$203,0)),""))</f>
        <v/>
      </c>
      <c r="N323" s="30">
        <f>IF(A323="","",IF(K323="","Unknown holder ID",IF(J323="","Unknown class code",IF(OR(C323="",D323=""),"Missing shares or date",IF(OR(C323&lt;0,C323&lt;&gt;INT(C323)),"Shares must be a whole number",IF(COUNTIFS($A$4:$A$2503,A323,$B$4:$B$2503,B323,$D$4:$D$2503,D323)&gt;1,"Duplicate row (same date)","OK"))))))</f>
        <v/>
      </c>
    </row>
    <row r="324">
      <c r="A324" s="26" t="n"/>
      <c r="B324" s="26" t="n"/>
      <c r="C324" s="34" t="n"/>
      <c r="D324" s="28" t="n"/>
      <c r="E324" s="26" t="n"/>
      <c r="F324" s="26" t="n"/>
      <c r="G324" s="26" t="n"/>
      <c r="H324" s="38" t="n"/>
      <c r="I324" s="28" t="n"/>
      <c r="J324" s="30">
        <f>IF(B324="","",IFERROR(INDEX('Share classes'!$A$4:$A$203,MATCH(B324,'Share classes'!$B$4:$B$203,0)),""))</f>
        <v/>
      </c>
      <c r="K324" s="30">
        <f>IF(A324="","",IFERROR(INDEX('Holders'!$B$4:$B$1003,MATCH(A324,'Holders'!$A$4:$A$1003,0)),""))</f>
        <v/>
      </c>
      <c r="L324" s="30">
        <f>IF(OR(A324="",B324="",D324=""),"",IF(D324=_xlfn.MAXIFS($D$4:$D$2503,$A$4:$A$2503,A324,$B$4:$B$2503,B324),"Yes","No"))</f>
        <v/>
      </c>
      <c r="M324" s="30">
        <f>IF(B324="","",IFERROR(INDEX('Share classes'!$F$4:$F$203,MATCH(B324,'Share classes'!$B$4:$B$203,0)),""))</f>
        <v/>
      </c>
      <c r="N324" s="30">
        <f>IF(A324="","",IF(K324="","Unknown holder ID",IF(J324="","Unknown class code",IF(OR(C324="",D324=""),"Missing shares or date",IF(OR(C324&lt;0,C324&lt;&gt;INT(C324)),"Shares must be a whole number",IF(COUNTIFS($A$4:$A$2503,A324,$B$4:$B$2503,B324,$D$4:$D$2503,D324)&gt;1,"Duplicate row (same date)","OK"))))))</f>
        <v/>
      </c>
    </row>
    <row r="325">
      <c r="A325" s="26" t="n"/>
      <c r="B325" s="26" t="n"/>
      <c r="C325" s="34" t="n"/>
      <c r="D325" s="28" t="n"/>
      <c r="E325" s="26" t="n"/>
      <c r="F325" s="26" t="n"/>
      <c r="G325" s="26" t="n"/>
      <c r="H325" s="38" t="n"/>
      <c r="I325" s="28" t="n"/>
      <c r="J325" s="30">
        <f>IF(B325="","",IFERROR(INDEX('Share classes'!$A$4:$A$203,MATCH(B325,'Share classes'!$B$4:$B$203,0)),""))</f>
        <v/>
      </c>
      <c r="K325" s="30">
        <f>IF(A325="","",IFERROR(INDEX('Holders'!$B$4:$B$1003,MATCH(A325,'Holders'!$A$4:$A$1003,0)),""))</f>
        <v/>
      </c>
      <c r="L325" s="30">
        <f>IF(OR(A325="",B325="",D325=""),"",IF(D325=_xlfn.MAXIFS($D$4:$D$2503,$A$4:$A$2503,A325,$B$4:$B$2503,B325),"Yes","No"))</f>
        <v/>
      </c>
      <c r="M325" s="30">
        <f>IF(B325="","",IFERROR(INDEX('Share classes'!$F$4:$F$203,MATCH(B325,'Share classes'!$B$4:$B$203,0)),""))</f>
        <v/>
      </c>
      <c r="N325" s="30">
        <f>IF(A325="","",IF(K325="","Unknown holder ID",IF(J325="","Unknown class code",IF(OR(C325="",D325=""),"Missing shares or date",IF(OR(C325&lt;0,C325&lt;&gt;INT(C325)),"Shares must be a whole number",IF(COUNTIFS($A$4:$A$2503,A325,$B$4:$B$2503,B325,$D$4:$D$2503,D325)&gt;1,"Duplicate row (same date)","OK"))))))</f>
        <v/>
      </c>
    </row>
    <row r="326">
      <c r="A326" s="26" t="n"/>
      <c r="B326" s="26" t="n"/>
      <c r="C326" s="34" t="n"/>
      <c r="D326" s="28" t="n"/>
      <c r="E326" s="26" t="n"/>
      <c r="F326" s="26" t="n"/>
      <c r="G326" s="26" t="n"/>
      <c r="H326" s="38" t="n"/>
      <c r="I326" s="28" t="n"/>
      <c r="J326" s="30">
        <f>IF(B326="","",IFERROR(INDEX('Share classes'!$A$4:$A$203,MATCH(B326,'Share classes'!$B$4:$B$203,0)),""))</f>
        <v/>
      </c>
      <c r="K326" s="30">
        <f>IF(A326="","",IFERROR(INDEX('Holders'!$B$4:$B$1003,MATCH(A326,'Holders'!$A$4:$A$1003,0)),""))</f>
        <v/>
      </c>
      <c r="L326" s="30">
        <f>IF(OR(A326="",B326="",D326=""),"",IF(D326=_xlfn.MAXIFS($D$4:$D$2503,$A$4:$A$2503,A326,$B$4:$B$2503,B326),"Yes","No"))</f>
        <v/>
      </c>
      <c r="M326" s="30">
        <f>IF(B326="","",IFERROR(INDEX('Share classes'!$F$4:$F$203,MATCH(B326,'Share classes'!$B$4:$B$203,0)),""))</f>
        <v/>
      </c>
      <c r="N326" s="30">
        <f>IF(A326="","",IF(K326="","Unknown holder ID",IF(J326="","Unknown class code",IF(OR(C326="",D326=""),"Missing shares or date",IF(OR(C326&lt;0,C326&lt;&gt;INT(C326)),"Shares must be a whole number",IF(COUNTIFS($A$4:$A$2503,A326,$B$4:$B$2503,B326,$D$4:$D$2503,D326)&gt;1,"Duplicate row (same date)","OK"))))))</f>
        <v/>
      </c>
    </row>
    <row r="327">
      <c r="A327" s="26" t="n"/>
      <c r="B327" s="26" t="n"/>
      <c r="C327" s="34" t="n"/>
      <c r="D327" s="28" t="n"/>
      <c r="E327" s="26" t="n"/>
      <c r="F327" s="26" t="n"/>
      <c r="G327" s="26" t="n"/>
      <c r="H327" s="38" t="n"/>
      <c r="I327" s="28" t="n"/>
      <c r="J327" s="30">
        <f>IF(B327="","",IFERROR(INDEX('Share classes'!$A$4:$A$203,MATCH(B327,'Share classes'!$B$4:$B$203,0)),""))</f>
        <v/>
      </c>
      <c r="K327" s="30">
        <f>IF(A327="","",IFERROR(INDEX('Holders'!$B$4:$B$1003,MATCH(A327,'Holders'!$A$4:$A$1003,0)),""))</f>
        <v/>
      </c>
      <c r="L327" s="30">
        <f>IF(OR(A327="",B327="",D327=""),"",IF(D327=_xlfn.MAXIFS($D$4:$D$2503,$A$4:$A$2503,A327,$B$4:$B$2503,B327),"Yes","No"))</f>
        <v/>
      </c>
      <c r="M327" s="30">
        <f>IF(B327="","",IFERROR(INDEX('Share classes'!$F$4:$F$203,MATCH(B327,'Share classes'!$B$4:$B$203,0)),""))</f>
        <v/>
      </c>
      <c r="N327" s="30">
        <f>IF(A327="","",IF(K327="","Unknown holder ID",IF(J327="","Unknown class code",IF(OR(C327="",D327=""),"Missing shares or date",IF(OR(C327&lt;0,C327&lt;&gt;INT(C327)),"Shares must be a whole number",IF(COUNTIFS($A$4:$A$2503,A327,$B$4:$B$2503,B327,$D$4:$D$2503,D327)&gt;1,"Duplicate row (same date)","OK"))))))</f>
        <v/>
      </c>
    </row>
    <row r="328">
      <c r="A328" s="26" t="n"/>
      <c r="B328" s="26" t="n"/>
      <c r="C328" s="34" t="n"/>
      <c r="D328" s="28" t="n"/>
      <c r="E328" s="26" t="n"/>
      <c r="F328" s="26" t="n"/>
      <c r="G328" s="26" t="n"/>
      <c r="H328" s="38" t="n"/>
      <c r="I328" s="28" t="n"/>
      <c r="J328" s="30">
        <f>IF(B328="","",IFERROR(INDEX('Share classes'!$A$4:$A$203,MATCH(B328,'Share classes'!$B$4:$B$203,0)),""))</f>
        <v/>
      </c>
      <c r="K328" s="30">
        <f>IF(A328="","",IFERROR(INDEX('Holders'!$B$4:$B$1003,MATCH(A328,'Holders'!$A$4:$A$1003,0)),""))</f>
        <v/>
      </c>
      <c r="L328" s="30">
        <f>IF(OR(A328="",B328="",D328=""),"",IF(D328=_xlfn.MAXIFS($D$4:$D$2503,$A$4:$A$2503,A328,$B$4:$B$2503,B328),"Yes","No"))</f>
        <v/>
      </c>
      <c r="M328" s="30">
        <f>IF(B328="","",IFERROR(INDEX('Share classes'!$F$4:$F$203,MATCH(B328,'Share classes'!$B$4:$B$203,0)),""))</f>
        <v/>
      </c>
      <c r="N328" s="30">
        <f>IF(A328="","",IF(K328="","Unknown holder ID",IF(J328="","Unknown class code",IF(OR(C328="",D328=""),"Missing shares or date",IF(OR(C328&lt;0,C328&lt;&gt;INT(C328)),"Shares must be a whole number",IF(COUNTIFS($A$4:$A$2503,A328,$B$4:$B$2503,B328,$D$4:$D$2503,D328)&gt;1,"Duplicate row (same date)","OK"))))))</f>
        <v/>
      </c>
    </row>
    <row r="329">
      <c r="A329" s="26" t="n"/>
      <c r="B329" s="26" t="n"/>
      <c r="C329" s="34" t="n"/>
      <c r="D329" s="28" t="n"/>
      <c r="E329" s="26" t="n"/>
      <c r="F329" s="26" t="n"/>
      <c r="G329" s="26" t="n"/>
      <c r="H329" s="38" t="n"/>
      <c r="I329" s="28" t="n"/>
      <c r="J329" s="30">
        <f>IF(B329="","",IFERROR(INDEX('Share classes'!$A$4:$A$203,MATCH(B329,'Share classes'!$B$4:$B$203,0)),""))</f>
        <v/>
      </c>
      <c r="K329" s="30">
        <f>IF(A329="","",IFERROR(INDEX('Holders'!$B$4:$B$1003,MATCH(A329,'Holders'!$A$4:$A$1003,0)),""))</f>
        <v/>
      </c>
      <c r="L329" s="30">
        <f>IF(OR(A329="",B329="",D329=""),"",IF(D329=_xlfn.MAXIFS($D$4:$D$2503,$A$4:$A$2503,A329,$B$4:$B$2503,B329),"Yes","No"))</f>
        <v/>
      </c>
      <c r="M329" s="30">
        <f>IF(B329="","",IFERROR(INDEX('Share classes'!$F$4:$F$203,MATCH(B329,'Share classes'!$B$4:$B$203,0)),""))</f>
        <v/>
      </c>
      <c r="N329" s="30">
        <f>IF(A329="","",IF(K329="","Unknown holder ID",IF(J329="","Unknown class code",IF(OR(C329="",D329=""),"Missing shares or date",IF(OR(C329&lt;0,C329&lt;&gt;INT(C329)),"Shares must be a whole number",IF(COUNTIFS($A$4:$A$2503,A329,$B$4:$B$2503,B329,$D$4:$D$2503,D329)&gt;1,"Duplicate row (same date)","OK"))))))</f>
        <v/>
      </c>
    </row>
    <row r="330">
      <c r="A330" s="26" t="n"/>
      <c r="B330" s="26" t="n"/>
      <c r="C330" s="34" t="n"/>
      <c r="D330" s="28" t="n"/>
      <c r="E330" s="26" t="n"/>
      <c r="F330" s="26" t="n"/>
      <c r="G330" s="26" t="n"/>
      <c r="H330" s="38" t="n"/>
      <c r="I330" s="28" t="n"/>
      <c r="J330" s="30">
        <f>IF(B330="","",IFERROR(INDEX('Share classes'!$A$4:$A$203,MATCH(B330,'Share classes'!$B$4:$B$203,0)),""))</f>
        <v/>
      </c>
      <c r="K330" s="30">
        <f>IF(A330="","",IFERROR(INDEX('Holders'!$B$4:$B$1003,MATCH(A330,'Holders'!$A$4:$A$1003,0)),""))</f>
        <v/>
      </c>
      <c r="L330" s="30">
        <f>IF(OR(A330="",B330="",D330=""),"",IF(D330=_xlfn.MAXIFS($D$4:$D$2503,$A$4:$A$2503,A330,$B$4:$B$2503,B330),"Yes","No"))</f>
        <v/>
      </c>
      <c r="M330" s="30">
        <f>IF(B330="","",IFERROR(INDEX('Share classes'!$F$4:$F$203,MATCH(B330,'Share classes'!$B$4:$B$203,0)),""))</f>
        <v/>
      </c>
      <c r="N330" s="30">
        <f>IF(A330="","",IF(K330="","Unknown holder ID",IF(J330="","Unknown class code",IF(OR(C330="",D330=""),"Missing shares or date",IF(OR(C330&lt;0,C330&lt;&gt;INT(C330)),"Shares must be a whole number",IF(COUNTIFS($A$4:$A$2503,A330,$B$4:$B$2503,B330,$D$4:$D$2503,D330)&gt;1,"Duplicate row (same date)","OK"))))))</f>
        <v/>
      </c>
    </row>
    <row r="331">
      <c r="A331" s="26" t="n"/>
      <c r="B331" s="26" t="n"/>
      <c r="C331" s="34" t="n"/>
      <c r="D331" s="28" t="n"/>
      <c r="E331" s="26" t="n"/>
      <c r="F331" s="26" t="n"/>
      <c r="G331" s="26" t="n"/>
      <c r="H331" s="38" t="n"/>
      <c r="I331" s="28" t="n"/>
      <c r="J331" s="30">
        <f>IF(B331="","",IFERROR(INDEX('Share classes'!$A$4:$A$203,MATCH(B331,'Share classes'!$B$4:$B$203,0)),""))</f>
        <v/>
      </c>
      <c r="K331" s="30">
        <f>IF(A331="","",IFERROR(INDEX('Holders'!$B$4:$B$1003,MATCH(A331,'Holders'!$A$4:$A$1003,0)),""))</f>
        <v/>
      </c>
      <c r="L331" s="30">
        <f>IF(OR(A331="",B331="",D331=""),"",IF(D331=_xlfn.MAXIFS($D$4:$D$2503,$A$4:$A$2503,A331,$B$4:$B$2503,B331),"Yes","No"))</f>
        <v/>
      </c>
      <c r="M331" s="30">
        <f>IF(B331="","",IFERROR(INDEX('Share classes'!$F$4:$F$203,MATCH(B331,'Share classes'!$B$4:$B$203,0)),""))</f>
        <v/>
      </c>
      <c r="N331" s="30">
        <f>IF(A331="","",IF(K331="","Unknown holder ID",IF(J331="","Unknown class code",IF(OR(C331="",D331=""),"Missing shares or date",IF(OR(C331&lt;0,C331&lt;&gt;INT(C331)),"Shares must be a whole number",IF(COUNTIFS($A$4:$A$2503,A331,$B$4:$B$2503,B331,$D$4:$D$2503,D331)&gt;1,"Duplicate row (same date)","OK"))))))</f>
        <v/>
      </c>
    </row>
    <row r="332">
      <c r="A332" s="26" t="n"/>
      <c r="B332" s="26" t="n"/>
      <c r="C332" s="34" t="n"/>
      <c r="D332" s="28" t="n"/>
      <c r="E332" s="26" t="n"/>
      <c r="F332" s="26" t="n"/>
      <c r="G332" s="26" t="n"/>
      <c r="H332" s="38" t="n"/>
      <c r="I332" s="28" t="n"/>
      <c r="J332" s="30">
        <f>IF(B332="","",IFERROR(INDEX('Share classes'!$A$4:$A$203,MATCH(B332,'Share classes'!$B$4:$B$203,0)),""))</f>
        <v/>
      </c>
      <c r="K332" s="30">
        <f>IF(A332="","",IFERROR(INDEX('Holders'!$B$4:$B$1003,MATCH(A332,'Holders'!$A$4:$A$1003,0)),""))</f>
        <v/>
      </c>
      <c r="L332" s="30">
        <f>IF(OR(A332="",B332="",D332=""),"",IF(D332=_xlfn.MAXIFS($D$4:$D$2503,$A$4:$A$2503,A332,$B$4:$B$2503,B332),"Yes","No"))</f>
        <v/>
      </c>
      <c r="M332" s="30">
        <f>IF(B332="","",IFERROR(INDEX('Share classes'!$F$4:$F$203,MATCH(B332,'Share classes'!$B$4:$B$203,0)),""))</f>
        <v/>
      </c>
      <c r="N332" s="30">
        <f>IF(A332="","",IF(K332="","Unknown holder ID",IF(J332="","Unknown class code",IF(OR(C332="",D332=""),"Missing shares or date",IF(OR(C332&lt;0,C332&lt;&gt;INT(C332)),"Shares must be a whole number",IF(COUNTIFS($A$4:$A$2503,A332,$B$4:$B$2503,B332,$D$4:$D$2503,D332)&gt;1,"Duplicate row (same date)","OK"))))))</f>
        <v/>
      </c>
    </row>
    <row r="333">
      <c r="A333" s="26" t="n"/>
      <c r="B333" s="26" t="n"/>
      <c r="C333" s="34" t="n"/>
      <c r="D333" s="28" t="n"/>
      <c r="E333" s="26" t="n"/>
      <c r="F333" s="26" t="n"/>
      <c r="G333" s="26" t="n"/>
      <c r="H333" s="38" t="n"/>
      <c r="I333" s="28" t="n"/>
      <c r="J333" s="30">
        <f>IF(B333="","",IFERROR(INDEX('Share classes'!$A$4:$A$203,MATCH(B333,'Share classes'!$B$4:$B$203,0)),""))</f>
        <v/>
      </c>
      <c r="K333" s="30">
        <f>IF(A333="","",IFERROR(INDEX('Holders'!$B$4:$B$1003,MATCH(A333,'Holders'!$A$4:$A$1003,0)),""))</f>
        <v/>
      </c>
      <c r="L333" s="30">
        <f>IF(OR(A333="",B333="",D333=""),"",IF(D333=_xlfn.MAXIFS($D$4:$D$2503,$A$4:$A$2503,A333,$B$4:$B$2503,B333),"Yes","No"))</f>
        <v/>
      </c>
      <c r="M333" s="30">
        <f>IF(B333="","",IFERROR(INDEX('Share classes'!$F$4:$F$203,MATCH(B333,'Share classes'!$B$4:$B$203,0)),""))</f>
        <v/>
      </c>
      <c r="N333" s="30">
        <f>IF(A333="","",IF(K333="","Unknown holder ID",IF(J333="","Unknown class code",IF(OR(C333="",D333=""),"Missing shares or date",IF(OR(C333&lt;0,C333&lt;&gt;INT(C333)),"Shares must be a whole number",IF(COUNTIFS($A$4:$A$2503,A333,$B$4:$B$2503,B333,$D$4:$D$2503,D333)&gt;1,"Duplicate row (same date)","OK"))))))</f>
        <v/>
      </c>
    </row>
    <row r="334">
      <c r="A334" s="26" t="n"/>
      <c r="B334" s="26" t="n"/>
      <c r="C334" s="34" t="n"/>
      <c r="D334" s="28" t="n"/>
      <c r="E334" s="26" t="n"/>
      <c r="F334" s="26" t="n"/>
      <c r="G334" s="26" t="n"/>
      <c r="H334" s="38" t="n"/>
      <c r="I334" s="28" t="n"/>
      <c r="J334" s="30">
        <f>IF(B334="","",IFERROR(INDEX('Share classes'!$A$4:$A$203,MATCH(B334,'Share classes'!$B$4:$B$203,0)),""))</f>
        <v/>
      </c>
      <c r="K334" s="30">
        <f>IF(A334="","",IFERROR(INDEX('Holders'!$B$4:$B$1003,MATCH(A334,'Holders'!$A$4:$A$1003,0)),""))</f>
        <v/>
      </c>
      <c r="L334" s="30">
        <f>IF(OR(A334="",B334="",D334=""),"",IF(D334=_xlfn.MAXIFS($D$4:$D$2503,$A$4:$A$2503,A334,$B$4:$B$2503,B334),"Yes","No"))</f>
        <v/>
      </c>
      <c r="M334" s="30">
        <f>IF(B334="","",IFERROR(INDEX('Share classes'!$F$4:$F$203,MATCH(B334,'Share classes'!$B$4:$B$203,0)),""))</f>
        <v/>
      </c>
      <c r="N334" s="30">
        <f>IF(A334="","",IF(K334="","Unknown holder ID",IF(J334="","Unknown class code",IF(OR(C334="",D334=""),"Missing shares or date",IF(OR(C334&lt;0,C334&lt;&gt;INT(C334)),"Shares must be a whole number",IF(COUNTIFS($A$4:$A$2503,A334,$B$4:$B$2503,B334,$D$4:$D$2503,D334)&gt;1,"Duplicate row (same date)","OK"))))))</f>
        <v/>
      </c>
    </row>
    <row r="335">
      <c r="A335" s="26" t="n"/>
      <c r="B335" s="26" t="n"/>
      <c r="C335" s="34" t="n"/>
      <c r="D335" s="28" t="n"/>
      <c r="E335" s="26" t="n"/>
      <c r="F335" s="26" t="n"/>
      <c r="G335" s="26" t="n"/>
      <c r="H335" s="38" t="n"/>
      <c r="I335" s="28" t="n"/>
      <c r="J335" s="30">
        <f>IF(B335="","",IFERROR(INDEX('Share classes'!$A$4:$A$203,MATCH(B335,'Share classes'!$B$4:$B$203,0)),""))</f>
        <v/>
      </c>
      <c r="K335" s="30">
        <f>IF(A335="","",IFERROR(INDEX('Holders'!$B$4:$B$1003,MATCH(A335,'Holders'!$A$4:$A$1003,0)),""))</f>
        <v/>
      </c>
      <c r="L335" s="30">
        <f>IF(OR(A335="",B335="",D335=""),"",IF(D335=_xlfn.MAXIFS($D$4:$D$2503,$A$4:$A$2503,A335,$B$4:$B$2503,B335),"Yes","No"))</f>
        <v/>
      </c>
      <c r="M335" s="30">
        <f>IF(B335="","",IFERROR(INDEX('Share classes'!$F$4:$F$203,MATCH(B335,'Share classes'!$B$4:$B$203,0)),""))</f>
        <v/>
      </c>
      <c r="N335" s="30">
        <f>IF(A335="","",IF(K335="","Unknown holder ID",IF(J335="","Unknown class code",IF(OR(C335="",D335=""),"Missing shares or date",IF(OR(C335&lt;0,C335&lt;&gt;INT(C335)),"Shares must be a whole number",IF(COUNTIFS($A$4:$A$2503,A335,$B$4:$B$2503,B335,$D$4:$D$2503,D335)&gt;1,"Duplicate row (same date)","OK"))))))</f>
        <v/>
      </c>
    </row>
    <row r="336">
      <c r="A336" s="26" t="n"/>
      <c r="B336" s="26" t="n"/>
      <c r="C336" s="34" t="n"/>
      <c r="D336" s="28" t="n"/>
      <c r="E336" s="26" t="n"/>
      <c r="F336" s="26" t="n"/>
      <c r="G336" s="26" t="n"/>
      <c r="H336" s="38" t="n"/>
      <c r="I336" s="28" t="n"/>
      <c r="J336" s="30">
        <f>IF(B336="","",IFERROR(INDEX('Share classes'!$A$4:$A$203,MATCH(B336,'Share classes'!$B$4:$B$203,0)),""))</f>
        <v/>
      </c>
      <c r="K336" s="30">
        <f>IF(A336="","",IFERROR(INDEX('Holders'!$B$4:$B$1003,MATCH(A336,'Holders'!$A$4:$A$1003,0)),""))</f>
        <v/>
      </c>
      <c r="L336" s="30">
        <f>IF(OR(A336="",B336="",D336=""),"",IF(D336=_xlfn.MAXIFS($D$4:$D$2503,$A$4:$A$2503,A336,$B$4:$B$2503,B336),"Yes","No"))</f>
        <v/>
      </c>
      <c r="M336" s="30">
        <f>IF(B336="","",IFERROR(INDEX('Share classes'!$F$4:$F$203,MATCH(B336,'Share classes'!$B$4:$B$203,0)),""))</f>
        <v/>
      </c>
      <c r="N336" s="30">
        <f>IF(A336="","",IF(K336="","Unknown holder ID",IF(J336="","Unknown class code",IF(OR(C336="",D336=""),"Missing shares or date",IF(OR(C336&lt;0,C336&lt;&gt;INT(C336)),"Shares must be a whole number",IF(COUNTIFS($A$4:$A$2503,A336,$B$4:$B$2503,B336,$D$4:$D$2503,D336)&gt;1,"Duplicate row (same date)","OK"))))))</f>
        <v/>
      </c>
    </row>
    <row r="337">
      <c r="A337" s="26" t="n"/>
      <c r="B337" s="26" t="n"/>
      <c r="C337" s="34" t="n"/>
      <c r="D337" s="28" t="n"/>
      <c r="E337" s="26" t="n"/>
      <c r="F337" s="26" t="n"/>
      <c r="G337" s="26" t="n"/>
      <c r="H337" s="38" t="n"/>
      <c r="I337" s="28" t="n"/>
      <c r="J337" s="30">
        <f>IF(B337="","",IFERROR(INDEX('Share classes'!$A$4:$A$203,MATCH(B337,'Share classes'!$B$4:$B$203,0)),""))</f>
        <v/>
      </c>
      <c r="K337" s="30">
        <f>IF(A337="","",IFERROR(INDEX('Holders'!$B$4:$B$1003,MATCH(A337,'Holders'!$A$4:$A$1003,0)),""))</f>
        <v/>
      </c>
      <c r="L337" s="30">
        <f>IF(OR(A337="",B337="",D337=""),"",IF(D337=_xlfn.MAXIFS($D$4:$D$2503,$A$4:$A$2503,A337,$B$4:$B$2503,B337),"Yes","No"))</f>
        <v/>
      </c>
      <c r="M337" s="30">
        <f>IF(B337="","",IFERROR(INDEX('Share classes'!$F$4:$F$203,MATCH(B337,'Share classes'!$B$4:$B$203,0)),""))</f>
        <v/>
      </c>
      <c r="N337" s="30">
        <f>IF(A337="","",IF(K337="","Unknown holder ID",IF(J337="","Unknown class code",IF(OR(C337="",D337=""),"Missing shares or date",IF(OR(C337&lt;0,C337&lt;&gt;INT(C337)),"Shares must be a whole number",IF(COUNTIFS($A$4:$A$2503,A337,$B$4:$B$2503,B337,$D$4:$D$2503,D337)&gt;1,"Duplicate row (same date)","OK"))))))</f>
        <v/>
      </c>
    </row>
    <row r="338">
      <c r="A338" s="26" t="n"/>
      <c r="B338" s="26" t="n"/>
      <c r="C338" s="34" t="n"/>
      <c r="D338" s="28" t="n"/>
      <c r="E338" s="26" t="n"/>
      <c r="F338" s="26" t="n"/>
      <c r="G338" s="26" t="n"/>
      <c r="H338" s="38" t="n"/>
      <c r="I338" s="28" t="n"/>
      <c r="J338" s="30">
        <f>IF(B338="","",IFERROR(INDEX('Share classes'!$A$4:$A$203,MATCH(B338,'Share classes'!$B$4:$B$203,0)),""))</f>
        <v/>
      </c>
      <c r="K338" s="30">
        <f>IF(A338="","",IFERROR(INDEX('Holders'!$B$4:$B$1003,MATCH(A338,'Holders'!$A$4:$A$1003,0)),""))</f>
        <v/>
      </c>
      <c r="L338" s="30">
        <f>IF(OR(A338="",B338="",D338=""),"",IF(D338=_xlfn.MAXIFS($D$4:$D$2503,$A$4:$A$2503,A338,$B$4:$B$2503,B338),"Yes","No"))</f>
        <v/>
      </c>
      <c r="M338" s="30">
        <f>IF(B338="","",IFERROR(INDEX('Share classes'!$F$4:$F$203,MATCH(B338,'Share classes'!$B$4:$B$203,0)),""))</f>
        <v/>
      </c>
      <c r="N338" s="30">
        <f>IF(A338="","",IF(K338="","Unknown holder ID",IF(J338="","Unknown class code",IF(OR(C338="",D338=""),"Missing shares or date",IF(OR(C338&lt;0,C338&lt;&gt;INT(C338)),"Shares must be a whole number",IF(COUNTIFS($A$4:$A$2503,A338,$B$4:$B$2503,B338,$D$4:$D$2503,D338)&gt;1,"Duplicate row (same date)","OK"))))))</f>
        <v/>
      </c>
    </row>
    <row r="339">
      <c r="A339" s="26" t="n"/>
      <c r="B339" s="26" t="n"/>
      <c r="C339" s="34" t="n"/>
      <c r="D339" s="28" t="n"/>
      <c r="E339" s="26" t="n"/>
      <c r="F339" s="26" t="n"/>
      <c r="G339" s="26" t="n"/>
      <c r="H339" s="38" t="n"/>
      <c r="I339" s="28" t="n"/>
      <c r="J339" s="30">
        <f>IF(B339="","",IFERROR(INDEX('Share classes'!$A$4:$A$203,MATCH(B339,'Share classes'!$B$4:$B$203,0)),""))</f>
        <v/>
      </c>
      <c r="K339" s="30">
        <f>IF(A339="","",IFERROR(INDEX('Holders'!$B$4:$B$1003,MATCH(A339,'Holders'!$A$4:$A$1003,0)),""))</f>
        <v/>
      </c>
      <c r="L339" s="30">
        <f>IF(OR(A339="",B339="",D339=""),"",IF(D339=_xlfn.MAXIFS($D$4:$D$2503,$A$4:$A$2503,A339,$B$4:$B$2503,B339),"Yes","No"))</f>
        <v/>
      </c>
      <c r="M339" s="30">
        <f>IF(B339="","",IFERROR(INDEX('Share classes'!$F$4:$F$203,MATCH(B339,'Share classes'!$B$4:$B$203,0)),""))</f>
        <v/>
      </c>
      <c r="N339" s="30">
        <f>IF(A339="","",IF(K339="","Unknown holder ID",IF(J339="","Unknown class code",IF(OR(C339="",D339=""),"Missing shares or date",IF(OR(C339&lt;0,C339&lt;&gt;INT(C339)),"Shares must be a whole number",IF(COUNTIFS($A$4:$A$2503,A339,$B$4:$B$2503,B339,$D$4:$D$2503,D339)&gt;1,"Duplicate row (same date)","OK"))))))</f>
        <v/>
      </c>
    </row>
    <row r="340">
      <c r="A340" s="26" t="n"/>
      <c r="B340" s="26" t="n"/>
      <c r="C340" s="34" t="n"/>
      <c r="D340" s="28" t="n"/>
      <c r="E340" s="26" t="n"/>
      <c r="F340" s="26" t="n"/>
      <c r="G340" s="26" t="n"/>
      <c r="H340" s="38" t="n"/>
      <c r="I340" s="28" t="n"/>
      <c r="J340" s="30">
        <f>IF(B340="","",IFERROR(INDEX('Share classes'!$A$4:$A$203,MATCH(B340,'Share classes'!$B$4:$B$203,0)),""))</f>
        <v/>
      </c>
      <c r="K340" s="30">
        <f>IF(A340="","",IFERROR(INDEX('Holders'!$B$4:$B$1003,MATCH(A340,'Holders'!$A$4:$A$1003,0)),""))</f>
        <v/>
      </c>
      <c r="L340" s="30">
        <f>IF(OR(A340="",B340="",D340=""),"",IF(D340=_xlfn.MAXIFS($D$4:$D$2503,$A$4:$A$2503,A340,$B$4:$B$2503,B340),"Yes","No"))</f>
        <v/>
      </c>
      <c r="M340" s="30">
        <f>IF(B340="","",IFERROR(INDEX('Share classes'!$F$4:$F$203,MATCH(B340,'Share classes'!$B$4:$B$203,0)),""))</f>
        <v/>
      </c>
      <c r="N340" s="30">
        <f>IF(A340="","",IF(K340="","Unknown holder ID",IF(J340="","Unknown class code",IF(OR(C340="",D340=""),"Missing shares or date",IF(OR(C340&lt;0,C340&lt;&gt;INT(C340)),"Shares must be a whole number",IF(COUNTIFS($A$4:$A$2503,A340,$B$4:$B$2503,B340,$D$4:$D$2503,D340)&gt;1,"Duplicate row (same date)","OK"))))))</f>
        <v/>
      </c>
    </row>
    <row r="341">
      <c r="A341" s="26" t="n"/>
      <c r="B341" s="26" t="n"/>
      <c r="C341" s="34" t="n"/>
      <c r="D341" s="28" t="n"/>
      <c r="E341" s="26" t="n"/>
      <c r="F341" s="26" t="n"/>
      <c r="G341" s="26" t="n"/>
      <c r="H341" s="38" t="n"/>
      <c r="I341" s="28" t="n"/>
      <c r="J341" s="30">
        <f>IF(B341="","",IFERROR(INDEX('Share classes'!$A$4:$A$203,MATCH(B341,'Share classes'!$B$4:$B$203,0)),""))</f>
        <v/>
      </c>
      <c r="K341" s="30">
        <f>IF(A341="","",IFERROR(INDEX('Holders'!$B$4:$B$1003,MATCH(A341,'Holders'!$A$4:$A$1003,0)),""))</f>
        <v/>
      </c>
      <c r="L341" s="30">
        <f>IF(OR(A341="",B341="",D341=""),"",IF(D341=_xlfn.MAXIFS($D$4:$D$2503,$A$4:$A$2503,A341,$B$4:$B$2503,B341),"Yes","No"))</f>
        <v/>
      </c>
      <c r="M341" s="30">
        <f>IF(B341="","",IFERROR(INDEX('Share classes'!$F$4:$F$203,MATCH(B341,'Share classes'!$B$4:$B$203,0)),""))</f>
        <v/>
      </c>
      <c r="N341" s="30">
        <f>IF(A341="","",IF(K341="","Unknown holder ID",IF(J341="","Unknown class code",IF(OR(C341="",D341=""),"Missing shares or date",IF(OR(C341&lt;0,C341&lt;&gt;INT(C341)),"Shares must be a whole number",IF(COUNTIFS($A$4:$A$2503,A341,$B$4:$B$2503,B341,$D$4:$D$2503,D341)&gt;1,"Duplicate row (same date)","OK"))))))</f>
        <v/>
      </c>
    </row>
    <row r="342">
      <c r="A342" s="26" t="n"/>
      <c r="B342" s="26" t="n"/>
      <c r="C342" s="34" t="n"/>
      <c r="D342" s="28" t="n"/>
      <c r="E342" s="26" t="n"/>
      <c r="F342" s="26" t="n"/>
      <c r="G342" s="26" t="n"/>
      <c r="H342" s="38" t="n"/>
      <c r="I342" s="28" t="n"/>
      <c r="J342" s="30">
        <f>IF(B342="","",IFERROR(INDEX('Share classes'!$A$4:$A$203,MATCH(B342,'Share classes'!$B$4:$B$203,0)),""))</f>
        <v/>
      </c>
      <c r="K342" s="30">
        <f>IF(A342="","",IFERROR(INDEX('Holders'!$B$4:$B$1003,MATCH(A342,'Holders'!$A$4:$A$1003,0)),""))</f>
        <v/>
      </c>
      <c r="L342" s="30">
        <f>IF(OR(A342="",B342="",D342=""),"",IF(D342=_xlfn.MAXIFS($D$4:$D$2503,$A$4:$A$2503,A342,$B$4:$B$2503,B342),"Yes","No"))</f>
        <v/>
      </c>
      <c r="M342" s="30">
        <f>IF(B342="","",IFERROR(INDEX('Share classes'!$F$4:$F$203,MATCH(B342,'Share classes'!$B$4:$B$203,0)),""))</f>
        <v/>
      </c>
      <c r="N342" s="30">
        <f>IF(A342="","",IF(K342="","Unknown holder ID",IF(J342="","Unknown class code",IF(OR(C342="",D342=""),"Missing shares or date",IF(OR(C342&lt;0,C342&lt;&gt;INT(C342)),"Shares must be a whole number",IF(COUNTIFS($A$4:$A$2503,A342,$B$4:$B$2503,B342,$D$4:$D$2503,D342)&gt;1,"Duplicate row (same date)","OK"))))))</f>
        <v/>
      </c>
    </row>
    <row r="343">
      <c r="A343" s="26" t="n"/>
      <c r="B343" s="26" t="n"/>
      <c r="C343" s="34" t="n"/>
      <c r="D343" s="28" t="n"/>
      <c r="E343" s="26" t="n"/>
      <c r="F343" s="26" t="n"/>
      <c r="G343" s="26" t="n"/>
      <c r="H343" s="38" t="n"/>
      <c r="I343" s="28" t="n"/>
      <c r="J343" s="30">
        <f>IF(B343="","",IFERROR(INDEX('Share classes'!$A$4:$A$203,MATCH(B343,'Share classes'!$B$4:$B$203,0)),""))</f>
        <v/>
      </c>
      <c r="K343" s="30">
        <f>IF(A343="","",IFERROR(INDEX('Holders'!$B$4:$B$1003,MATCH(A343,'Holders'!$A$4:$A$1003,0)),""))</f>
        <v/>
      </c>
      <c r="L343" s="30">
        <f>IF(OR(A343="",B343="",D343=""),"",IF(D343=_xlfn.MAXIFS($D$4:$D$2503,$A$4:$A$2503,A343,$B$4:$B$2503,B343),"Yes","No"))</f>
        <v/>
      </c>
      <c r="M343" s="30">
        <f>IF(B343="","",IFERROR(INDEX('Share classes'!$F$4:$F$203,MATCH(B343,'Share classes'!$B$4:$B$203,0)),""))</f>
        <v/>
      </c>
      <c r="N343" s="30">
        <f>IF(A343="","",IF(K343="","Unknown holder ID",IF(J343="","Unknown class code",IF(OR(C343="",D343=""),"Missing shares or date",IF(OR(C343&lt;0,C343&lt;&gt;INT(C343)),"Shares must be a whole number",IF(COUNTIFS($A$4:$A$2503,A343,$B$4:$B$2503,B343,$D$4:$D$2503,D343)&gt;1,"Duplicate row (same date)","OK"))))))</f>
        <v/>
      </c>
    </row>
    <row r="344">
      <c r="A344" s="26" t="n"/>
      <c r="B344" s="26" t="n"/>
      <c r="C344" s="34" t="n"/>
      <c r="D344" s="28" t="n"/>
      <c r="E344" s="26" t="n"/>
      <c r="F344" s="26" t="n"/>
      <c r="G344" s="26" t="n"/>
      <c r="H344" s="38" t="n"/>
      <c r="I344" s="28" t="n"/>
      <c r="J344" s="30">
        <f>IF(B344="","",IFERROR(INDEX('Share classes'!$A$4:$A$203,MATCH(B344,'Share classes'!$B$4:$B$203,0)),""))</f>
        <v/>
      </c>
      <c r="K344" s="30">
        <f>IF(A344="","",IFERROR(INDEX('Holders'!$B$4:$B$1003,MATCH(A344,'Holders'!$A$4:$A$1003,0)),""))</f>
        <v/>
      </c>
      <c r="L344" s="30">
        <f>IF(OR(A344="",B344="",D344=""),"",IF(D344=_xlfn.MAXIFS($D$4:$D$2503,$A$4:$A$2503,A344,$B$4:$B$2503,B344),"Yes","No"))</f>
        <v/>
      </c>
      <c r="M344" s="30">
        <f>IF(B344="","",IFERROR(INDEX('Share classes'!$F$4:$F$203,MATCH(B344,'Share classes'!$B$4:$B$203,0)),""))</f>
        <v/>
      </c>
      <c r="N344" s="30">
        <f>IF(A344="","",IF(K344="","Unknown holder ID",IF(J344="","Unknown class code",IF(OR(C344="",D344=""),"Missing shares or date",IF(OR(C344&lt;0,C344&lt;&gt;INT(C344)),"Shares must be a whole number",IF(COUNTIFS($A$4:$A$2503,A344,$B$4:$B$2503,B344,$D$4:$D$2503,D344)&gt;1,"Duplicate row (same date)","OK"))))))</f>
        <v/>
      </c>
    </row>
    <row r="345">
      <c r="A345" s="26" t="n"/>
      <c r="B345" s="26" t="n"/>
      <c r="C345" s="34" t="n"/>
      <c r="D345" s="28" t="n"/>
      <c r="E345" s="26" t="n"/>
      <c r="F345" s="26" t="n"/>
      <c r="G345" s="26" t="n"/>
      <c r="H345" s="38" t="n"/>
      <c r="I345" s="28" t="n"/>
      <c r="J345" s="30">
        <f>IF(B345="","",IFERROR(INDEX('Share classes'!$A$4:$A$203,MATCH(B345,'Share classes'!$B$4:$B$203,0)),""))</f>
        <v/>
      </c>
      <c r="K345" s="30">
        <f>IF(A345="","",IFERROR(INDEX('Holders'!$B$4:$B$1003,MATCH(A345,'Holders'!$A$4:$A$1003,0)),""))</f>
        <v/>
      </c>
      <c r="L345" s="30">
        <f>IF(OR(A345="",B345="",D345=""),"",IF(D345=_xlfn.MAXIFS($D$4:$D$2503,$A$4:$A$2503,A345,$B$4:$B$2503,B345),"Yes","No"))</f>
        <v/>
      </c>
      <c r="M345" s="30">
        <f>IF(B345="","",IFERROR(INDEX('Share classes'!$F$4:$F$203,MATCH(B345,'Share classes'!$B$4:$B$203,0)),""))</f>
        <v/>
      </c>
      <c r="N345" s="30">
        <f>IF(A345="","",IF(K345="","Unknown holder ID",IF(J345="","Unknown class code",IF(OR(C345="",D345=""),"Missing shares or date",IF(OR(C345&lt;0,C345&lt;&gt;INT(C345)),"Shares must be a whole number",IF(COUNTIFS($A$4:$A$2503,A345,$B$4:$B$2503,B345,$D$4:$D$2503,D345)&gt;1,"Duplicate row (same date)","OK"))))))</f>
        <v/>
      </c>
    </row>
    <row r="346">
      <c r="A346" s="26" t="n"/>
      <c r="B346" s="26" t="n"/>
      <c r="C346" s="34" t="n"/>
      <c r="D346" s="28" t="n"/>
      <c r="E346" s="26" t="n"/>
      <c r="F346" s="26" t="n"/>
      <c r="G346" s="26" t="n"/>
      <c r="H346" s="38" t="n"/>
      <c r="I346" s="28" t="n"/>
      <c r="J346" s="30">
        <f>IF(B346="","",IFERROR(INDEX('Share classes'!$A$4:$A$203,MATCH(B346,'Share classes'!$B$4:$B$203,0)),""))</f>
        <v/>
      </c>
      <c r="K346" s="30">
        <f>IF(A346="","",IFERROR(INDEX('Holders'!$B$4:$B$1003,MATCH(A346,'Holders'!$A$4:$A$1003,0)),""))</f>
        <v/>
      </c>
      <c r="L346" s="30">
        <f>IF(OR(A346="",B346="",D346=""),"",IF(D346=_xlfn.MAXIFS($D$4:$D$2503,$A$4:$A$2503,A346,$B$4:$B$2503,B346),"Yes","No"))</f>
        <v/>
      </c>
      <c r="M346" s="30">
        <f>IF(B346="","",IFERROR(INDEX('Share classes'!$F$4:$F$203,MATCH(B346,'Share classes'!$B$4:$B$203,0)),""))</f>
        <v/>
      </c>
      <c r="N346" s="30">
        <f>IF(A346="","",IF(K346="","Unknown holder ID",IF(J346="","Unknown class code",IF(OR(C346="",D346=""),"Missing shares or date",IF(OR(C346&lt;0,C346&lt;&gt;INT(C346)),"Shares must be a whole number",IF(COUNTIFS($A$4:$A$2503,A346,$B$4:$B$2503,B346,$D$4:$D$2503,D346)&gt;1,"Duplicate row (same date)","OK"))))))</f>
        <v/>
      </c>
    </row>
    <row r="347">
      <c r="A347" s="26" t="n"/>
      <c r="B347" s="26" t="n"/>
      <c r="C347" s="34" t="n"/>
      <c r="D347" s="28" t="n"/>
      <c r="E347" s="26" t="n"/>
      <c r="F347" s="26" t="n"/>
      <c r="G347" s="26" t="n"/>
      <c r="H347" s="38" t="n"/>
      <c r="I347" s="28" t="n"/>
      <c r="J347" s="30">
        <f>IF(B347="","",IFERROR(INDEX('Share classes'!$A$4:$A$203,MATCH(B347,'Share classes'!$B$4:$B$203,0)),""))</f>
        <v/>
      </c>
      <c r="K347" s="30">
        <f>IF(A347="","",IFERROR(INDEX('Holders'!$B$4:$B$1003,MATCH(A347,'Holders'!$A$4:$A$1003,0)),""))</f>
        <v/>
      </c>
      <c r="L347" s="30">
        <f>IF(OR(A347="",B347="",D347=""),"",IF(D347=_xlfn.MAXIFS($D$4:$D$2503,$A$4:$A$2503,A347,$B$4:$B$2503,B347),"Yes","No"))</f>
        <v/>
      </c>
      <c r="M347" s="30">
        <f>IF(B347="","",IFERROR(INDEX('Share classes'!$F$4:$F$203,MATCH(B347,'Share classes'!$B$4:$B$203,0)),""))</f>
        <v/>
      </c>
      <c r="N347" s="30">
        <f>IF(A347="","",IF(K347="","Unknown holder ID",IF(J347="","Unknown class code",IF(OR(C347="",D347=""),"Missing shares or date",IF(OR(C347&lt;0,C347&lt;&gt;INT(C347)),"Shares must be a whole number",IF(COUNTIFS($A$4:$A$2503,A347,$B$4:$B$2503,B347,$D$4:$D$2503,D347)&gt;1,"Duplicate row (same date)","OK"))))))</f>
        <v/>
      </c>
    </row>
    <row r="348">
      <c r="A348" s="26" t="n"/>
      <c r="B348" s="26" t="n"/>
      <c r="C348" s="34" t="n"/>
      <c r="D348" s="28" t="n"/>
      <c r="E348" s="26" t="n"/>
      <c r="F348" s="26" t="n"/>
      <c r="G348" s="26" t="n"/>
      <c r="H348" s="38" t="n"/>
      <c r="I348" s="28" t="n"/>
      <c r="J348" s="30">
        <f>IF(B348="","",IFERROR(INDEX('Share classes'!$A$4:$A$203,MATCH(B348,'Share classes'!$B$4:$B$203,0)),""))</f>
        <v/>
      </c>
      <c r="K348" s="30">
        <f>IF(A348="","",IFERROR(INDEX('Holders'!$B$4:$B$1003,MATCH(A348,'Holders'!$A$4:$A$1003,0)),""))</f>
        <v/>
      </c>
      <c r="L348" s="30">
        <f>IF(OR(A348="",B348="",D348=""),"",IF(D348=_xlfn.MAXIFS($D$4:$D$2503,$A$4:$A$2503,A348,$B$4:$B$2503,B348),"Yes","No"))</f>
        <v/>
      </c>
      <c r="M348" s="30">
        <f>IF(B348="","",IFERROR(INDEX('Share classes'!$F$4:$F$203,MATCH(B348,'Share classes'!$B$4:$B$203,0)),""))</f>
        <v/>
      </c>
      <c r="N348" s="30">
        <f>IF(A348="","",IF(K348="","Unknown holder ID",IF(J348="","Unknown class code",IF(OR(C348="",D348=""),"Missing shares or date",IF(OR(C348&lt;0,C348&lt;&gt;INT(C348)),"Shares must be a whole number",IF(COUNTIFS($A$4:$A$2503,A348,$B$4:$B$2503,B348,$D$4:$D$2503,D348)&gt;1,"Duplicate row (same date)","OK"))))))</f>
        <v/>
      </c>
    </row>
    <row r="349">
      <c r="A349" s="26" t="n"/>
      <c r="B349" s="26" t="n"/>
      <c r="C349" s="34" t="n"/>
      <c r="D349" s="28" t="n"/>
      <c r="E349" s="26" t="n"/>
      <c r="F349" s="26" t="n"/>
      <c r="G349" s="26" t="n"/>
      <c r="H349" s="38" t="n"/>
      <c r="I349" s="28" t="n"/>
      <c r="J349" s="30">
        <f>IF(B349="","",IFERROR(INDEX('Share classes'!$A$4:$A$203,MATCH(B349,'Share classes'!$B$4:$B$203,0)),""))</f>
        <v/>
      </c>
      <c r="K349" s="30">
        <f>IF(A349="","",IFERROR(INDEX('Holders'!$B$4:$B$1003,MATCH(A349,'Holders'!$A$4:$A$1003,0)),""))</f>
        <v/>
      </c>
      <c r="L349" s="30">
        <f>IF(OR(A349="",B349="",D349=""),"",IF(D349=_xlfn.MAXIFS($D$4:$D$2503,$A$4:$A$2503,A349,$B$4:$B$2503,B349),"Yes","No"))</f>
        <v/>
      </c>
      <c r="M349" s="30">
        <f>IF(B349="","",IFERROR(INDEX('Share classes'!$F$4:$F$203,MATCH(B349,'Share classes'!$B$4:$B$203,0)),""))</f>
        <v/>
      </c>
      <c r="N349" s="30">
        <f>IF(A349="","",IF(K349="","Unknown holder ID",IF(J349="","Unknown class code",IF(OR(C349="",D349=""),"Missing shares or date",IF(OR(C349&lt;0,C349&lt;&gt;INT(C349)),"Shares must be a whole number",IF(COUNTIFS($A$4:$A$2503,A349,$B$4:$B$2503,B349,$D$4:$D$2503,D349)&gt;1,"Duplicate row (same date)","OK"))))))</f>
        <v/>
      </c>
    </row>
    <row r="350">
      <c r="A350" s="26" t="n"/>
      <c r="B350" s="26" t="n"/>
      <c r="C350" s="34" t="n"/>
      <c r="D350" s="28" t="n"/>
      <c r="E350" s="26" t="n"/>
      <c r="F350" s="26" t="n"/>
      <c r="G350" s="26" t="n"/>
      <c r="H350" s="38" t="n"/>
      <c r="I350" s="28" t="n"/>
      <c r="J350" s="30">
        <f>IF(B350="","",IFERROR(INDEX('Share classes'!$A$4:$A$203,MATCH(B350,'Share classes'!$B$4:$B$203,0)),""))</f>
        <v/>
      </c>
      <c r="K350" s="30">
        <f>IF(A350="","",IFERROR(INDEX('Holders'!$B$4:$B$1003,MATCH(A350,'Holders'!$A$4:$A$1003,0)),""))</f>
        <v/>
      </c>
      <c r="L350" s="30">
        <f>IF(OR(A350="",B350="",D350=""),"",IF(D350=_xlfn.MAXIFS($D$4:$D$2503,$A$4:$A$2503,A350,$B$4:$B$2503,B350),"Yes","No"))</f>
        <v/>
      </c>
      <c r="M350" s="30">
        <f>IF(B350="","",IFERROR(INDEX('Share classes'!$F$4:$F$203,MATCH(B350,'Share classes'!$B$4:$B$203,0)),""))</f>
        <v/>
      </c>
      <c r="N350" s="30">
        <f>IF(A350="","",IF(K350="","Unknown holder ID",IF(J350="","Unknown class code",IF(OR(C350="",D350=""),"Missing shares or date",IF(OR(C350&lt;0,C350&lt;&gt;INT(C350)),"Shares must be a whole number",IF(COUNTIFS($A$4:$A$2503,A350,$B$4:$B$2503,B350,$D$4:$D$2503,D350)&gt;1,"Duplicate row (same date)","OK"))))))</f>
        <v/>
      </c>
    </row>
    <row r="351">
      <c r="A351" s="26" t="n"/>
      <c r="B351" s="26" t="n"/>
      <c r="C351" s="34" t="n"/>
      <c r="D351" s="28" t="n"/>
      <c r="E351" s="26" t="n"/>
      <c r="F351" s="26" t="n"/>
      <c r="G351" s="26" t="n"/>
      <c r="H351" s="38" t="n"/>
      <c r="I351" s="28" t="n"/>
      <c r="J351" s="30">
        <f>IF(B351="","",IFERROR(INDEX('Share classes'!$A$4:$A$203,MATCH(B351,'Share classes'!$B$4:$B$203,0)),""))</f>
        <v/>
      </c>
      <c r="K351" s="30">
        <f>IF(A351="","",IFERROR(INDEX('Holders'!$B$4:$B$1003,MATCH(A351,'Holders'!$A$4:$A$1003,0)),""))</f>
        <v/>
      </c>
      <c r="L351" s="30">
        <f>IF(OR(A351="",B351="",D351=""),"",IF(D351=_xlfn.MAXIFS($D$4:$D$2503,$A$4:$A$2503,A351,$B$4:$B$2503,B351),"Yes","No"))</f>
        <v/>
      </c>
      <c r="M351" s="30">
        <f>IF(B351="","",IFERROR(INDEX('Share classes'!$F$4:$F$203,MATCH(B351,'Share classes'!$B$4:$B$203,0)),""))</f>
        <v/>
      </c>
      <c r="N351" s="30">
        <f>IF(A351="","",IF(K351="","Unknown holder ID",IF(J351="","Unknown class code",IF(OR(C351="",D351=""),"Missing shares or date",IF(OR(C351&lt;0,C351&lt;&gt;INT(C351)),"Shares must be a whole number",IF(COUNTIFS($A$4:$A$2503,A351,$B$4:$B$2503,B351,$D$4:$D$2503,D351)&gt;1,"Duplicate row (same date)","OK"))))))</f>
        <v/>
      </c>
    </row>
    <row r="352">
      <c r="A352" s="26" t="n"/>
      <c r="B352" s="26" t="n"/>
      <c r="C352" s="34" t="n"/>
      <c r="D352" s="28" t="n"/>
      <c r="E352" s="26" t="n"/>
      <c r="F352" s="26" t="n"/>
      <c r="G352" s="26" t="n"/>
      <c r="H352" s="38" t="n"/>
      <c r="I352" s="28" t="n"/>
      <c r="J352" s="30">
        <f>IF(B352="","",IFERROR(INDEX('Share classes'!$A$4:$A$203,MATCH(B352,'Share classes'!$B$4:$B$203,0)),""))</f>
        <v/>
      </c>
      <c r="K352" s="30">
        <f>IF(A352="","",IFERROR(INDEX('Holders'!$B$4:$B$1003,MATCH(A352,'Holders'!$A$4:$A$1003,0)),""))</f>
        <v/>
      </c>
      <c r="L352" s="30">
        <f>IF(OR(A352="",B352="",D352=""),"",IF(D352=_xlfn.MAXIFS($D$4:$D$2503,$A$4:$A$2503,A352,$B$4:$B$2503,B352),"Yes","No"))</f>
        <v/>
      </c>
      <c r="M352" s="30">
        <f>IF(B352="","",IFERROR(INDEX('Share classes'!$F$4:$F$203,MATCH(B352,'Share classes'!$B$4:$B$203,0)),""))</f>
        <v/>
      </c>
      <c r="N352" s="30">
        <f>IF(A352="","",IF(K352="","Unknown holder ID",IF(J352="","Unknown class code",IF(OR(C352="",D352=""),"Missing shares or date",IF(OR(C352&lt;0,C352&lt;&gt;INT(C352)),"Shares must be a whole number",IF(COUNTIFS($A$4:$A$2503,A352,$B$4:$B$2503,B352,$D$4:$D$2503,D352)&gt;1,"Duplicate row (same date)","OK"))))))</f>
        <v/>
      </c>
    </row>
    <row r="353">
      <c r="A353" s="26" t="n"/>
      <c r="B353" s="26" t="n"/>
      <c r="C353" s="34" t="n"/>
      <c r="D353" s="28" t="n"/>
      <c r="E353" s="26" t="n"/>
      <c r="F353" s="26" t="n"/>
      <c r="G353" s="26" t="n"/>
      <c r="H353" s="38" t="n"/>
      <c r="I353" s="28" t="n"/>
      <c r="J353" s="30">
        <f>IF(B353="","",IFERROR(INDEX('Share classes'!$A$4:$A$203,MATCH(B353,'Share classes'!$B$4:$B$203,0)),""))</f>
        <v/>
      </c>
      <c r="K353" s="30">
        <f>IF(A353="","",IFERROR(INDEX('Holders'!$B$4:$B$1003,MATCH(A353,'Holders'!$A$4:$A$1003,0)),""))</f>
        <v/>
      </c>
      <c r="L353" s="30">
        <f>IF(OR(A353="",B353="",D353=""),"",IF(D353=_xlfn.MAXIFS($D$4:$D$2503,$A$4:$A$2503,A353,$B$4:$B$2503,B353),"Yes","No"))</f>
        <v/>
      </c>
      <c r="M353" s="30">
        <f>IF(B353="","",IFERROR(INDEX('Share classes'!$F$4:$F$203,MATCH(B353,'Share classes'!$B$4:$B$203,0)),""))</f>
        <v/>
      </c>
      <c r="N353" s="30">
        <f>IF(A353="","",IF(K353="","Unknown holder ID",IF(J353="","Unknown class code",IF(OR(C353="",D353=""),"Missing shares or date",IF(OR(C353&lt;0,C353&lt;&gt;INT(C353)),"Shares must be a whole number",IF(COUNTIFS($A$4:$A$2503,A353,$B$4:$B$2503,B353,$D$4:$D$2503,D353)&gt;1,"Duplicate row (same date)","OK"))))))</f>
        <v/>
      </c>
    </row>
    <row r="354">
      <c r="A354" s="26" t="n"/>
      <c r="B354" s="26" t="n"/>
      <c r="C354" s="34" t="n"/>
      <c r="D354" s="28" t="n"/>
      <c r="E354" s="26" t="n"/>
      <c r="F354" s="26" t="n"/>
      <c r="G354" s="26" t="n"/>
      <c r="H354" s="38" t="n"/>
      <c r="I354" s="28" t="n"/>
      <c r="J354" s="30">
        <f>IF(B354="","",IFERROR(INDEX('Share classes'!$A$4:$A$203,MATCH(B354,'Share classes'!$B$4:$B$203,0)),""))</f>
        <v/>
      </c>
      <c r="K354" s="30">
        <f>IF(A354="","",IFERROR(INDEX('Holders'!$B$4:$B$1003,MATCH(A354,'Holders'!$A$4:$A$1003,0)),""))</f>
        <v/>
      </c>
      <c r="L354" s="30">
        <f>IF(OR(A354="",B354="",D354=""),"",IF(D354=_xlfn.MAXIFS($D$4:$D$2503,$A$4:$A$2503,A354,$B$4:$B$2503,B354),"Yes","No"))</f>
        <v/>
      </c>
      <c r="M354" s="30">
        <f>IF(B354="","",IFERROR(INDEX('Share classes'!$F$4:$F$203,MATCH(B354,'Share classes'!$B$4:$B$203,0)),""))</f>
        <v/>
      </c>
      <c r="N354" s="30">
        <f>IF(A354="","",IF(K354="","Unknown holder ID",IF(J354="","Unknown class code",IF(OR(C354="",D354=""),"Missing shares or date",IF(OR(C354&lt;0,C354&lt;&gt;INT(C354)),"Shares must be a whole number",IF(COUNTIFS($A$4:$A$2503,A354,$B$4:$B$2503,B354,$D$4:$D$2503,D354)&gt;1,"Duplicate row (same date)","OK"))))))</f>
        <v/>
      </c>
    </row>
    <row r="355">
      <c r="A355" s="26" t="n"/>
      <c r="B355" s="26" t="n"/>
      <c r="C355" s="34" t="n"/>
      <c r="D355" s="28" t="n"/>
      <c r="E355" s="26" t="n"/>
      <c r="F355" s="26" t="n"/>
      <c r="G355" s="26" t="n"/>
      <c r="H355" s="38" t="n"/>
      <c r="I355" s="28" t="n"/>
      <c r="J355" s="30">
        <f>IF(B355="","",IFERROR(INDEX('Share classes'!$A$4:$A$203,MATCH(B355,'Share classes'!$B$4:$B$203,0)),""))</f>
        <v/>
      </c>
      <c r="K355" s="30">
        <f>IF(A355="","",IFERROR(INDEX('Holders'!$B$4:$B$1003,MATCH(A355,'Holders'!$A$4:$A$1003,0)),""))</f>
        <v/>
      </c>
      <c r="L355" s="30">
        <f>IF(OR(A355="",B355="",D355=""),"",IF(D355=_xlfn.MAXIFS($D$4:$D$2503,$A$4:$A$2503,A355,$B$4:$B$2503,B355),"Yes","No"))</f>
        <v/>
      </c>
      <c r="M355" s="30">
        <f>IF(B355="","",IFERROR(INDEX('Share classes'!$F$4:$F$203,MATCH(B355,'Share classes'!$B$4:$B$203,0)),""))</f>
        <v/>
      </c>
      <c r="N355" s="30">
        <f>IF(A355="","",IF(K355="","Unknown holder ID",IF(J355="","Unknown class code",IF(OR(C355="",D355=""),"Missing shares or date",IF(OR(C355&lt;0,C355&lt;&gt;INT(C355)),"Shares must be a whole number",IF(COUNTIFS($A$4:$A$2503,A355,$B$4:$B$2503,B355,$D$4:$D$2503,D355)&gt;1,"Duplicate row (same date)","OK"))))))</f>
        <v/>
      </c>
    </row>
    <row r="356">
      <c r="A356" s="26" t="n"/>
      <c r="B356" s="26" t="n"/>
      <c r="C356" s="34" t="n"/>
      <c r="D356" s="28" t="n"/>
      <c r="E356" s="26" t="n"/>
      <c r="F356" s="26" t="n"/>
      <c r="G356" s="26" t="n"/>
      <c r="H356" s="38" t="n"/>
      <c r="I356" s="28" t="n"/>
      <c r="J356" s="30">
        <f>IF(B356="","",IFERROR(INDEX('Share classes'!$A$4:$A$203,MATCH(B356,'Share classes'!$B$4:$B$203,0)),""))</f>
        <v/>
      </c>
      <c r="K356" s="30">
        <f>IF(A356="","",IFERROR(INDEX('Holders'!$B$4:$B$1003,MATCH(A356,'Holders'!$A$4:$A$1003,0)),""))</f>
        <v/>
      </c>
      <c r="L356" s="30">
        <f>IF(OR(A356="",B356="",D356=""),"",IF(D356=_xlfn.MAXIFS($D$4:$D$2503,$A$4:$A$2503,A356,$B$4:$B$2503,B356),"Yes","No"))</f>
        <v/>
      </c>
      <c r="M356" s="30">
        <f>IF(B356="","",IFERROR(INDEX('Share classes'!$F$4:$F$203,MATCH(B356,'Share classes'!$B$4:$B$203,0)),""))</f>
        <v/>
      </c>
      <c r="N356" s="30">
        <f>IF(A356="","",IF(K356="","Unknown holder ID",IF(J356="","Unknown class code",IF(OR(C356="",D356=""),"Missing shares or date",IF(OR(C356&lt;0,C356&lt;&gt;INT(C356)),"Shares must be a whole number",IF(COUNTIFS($A$4:$A$2503,A356,$B$4:$B$2503,B356,$D$4:$D$2503,D356)&gt;1,"Duplicate row (same date)","OK"))))))</f>
        <v/>
      </c>
    </row>
    <row r="357">
      <c r="A357" s="26" t="n"/>
      <c r="B357" s="26" t="n"/>
      <c r="C357" s="34" t="n"/>
      <c r="D357" s="28" t="n"/>
      <c r="E357" s="26" t="n"/>
      <c r="F357" s="26" t="n"/>
      <c r="G357" s="26" t="n"/>
      <c r="H357" s="38" t="n"/>
      <c r="I357" s="28" t="n"/>
      <c r="J357" s="30">
        <f>IF(B357="","",IFERROR(INDEX('Share classes'!$A$4:$A$203,MATCH(B357,'Share classes'!$B$4:$B$203,0)),""))</f>
        <v/>
      </c>
      <c r="K357" s="30">
        <f>IF(A357="","",IFERROR(INDEX('Holders'!$B$4:$B$1003,MATCH(A357,'Holders'!$A$4:$A$1003,0)),""))</f>
        <v/>
      </c>
      <c r="L357" s="30">
        <f>IF(OR(A357="",B357="",D357=""),"",IF(D357=_xlfn.MAXIFS($D$4:$D$2503,$A$4:$A$2503,A357,$B$4:$B$2503,B357),"Yes","No"))</f>
        <v/>
      </c>
      <c r="M357" s="30">
        <f>IF(B357="","",IFERROR(INDEX('Share classes'!$F$4:$F$203,MATCH(B357,'Share classes'!$B$4:$B$203,0)),""))</f>
        <v/>
      </c>
      <c r="N357" s="30">
        <f>IF(A357="","",IF(K357="","Unknown holder ID",IF(J357="","Unknown class code",IF(OR(C357="",D357=""),"Missing shares or date",IF(OR(C357&lt;0,C357&lt;&gt;INT(C357)),"Shares must be a whole number",IF(COUNTIFS($A$4:$A$2503,A357,$B$4:$B$2503,B357,$D$4:$D$2503,D357)&gt;1,"Duplicate row (same date)","OK"))))))</f>
        <v/>
      </c>
    </row>
    <row r="358">
      <c r="A358" s="26" t="n"/>
      <c r="B358" s="26" t="n"/>
      <c r="C358" s="34" t="n"/>
      <c r="D358" s="28" t="n"/>
      <c r="E358" s="26" t="n"/>
      <c r="F358" s="26" t="n"/>
      <c r="G358" s="26" t="n"/>
      <c r="H358" s="38" t="n"/>
      <c r="I358" s="28" t="n"/>
      <c r="J358" s="30">
        <f>IF(B358="","",IFERROR(INDEX('Share classes'!$A$4:$A$203,MATCH(B358,'Share classes'!$B$4:$B$203,0)),""))</f>
        <v/>
      </c>
      <c r="K358" s="30">
        <f>IF(A358="","",IFERROR(INDEX('Holders'!$B$4:$B$1003,MATCH(A358,'Holders'!$A$4:$A$1003,0)),""))</f>
        <v/>
      </c>
      <c r="L358" s="30">
        <f>IF(OR(A358="",B358="",D358=""),"",IF(D358=_xlfn.MAXIFS($D$4:$D$2503,$A$4:$A$2503,A358,$B$4:$B$2503,B358),"Yes","No"))</f>
        <v/>
      </c>
      <c r="M358" s="30">
        <f>IF(B358="","",IFERROR(INDEX('Share classes'!$F$4:$F$203,MATCH(B358,'Share classes'!$B$4:$B$203,0)),""))</f>
        <v/>
      </c>
      <c r="N358" s="30">
        <f>IF(A358="","",IF(K358="","Unknown holder ID",IF(J358="","Unknown class code",IF(OR(C358="",D358=""),"Missing shares or date",IF(OR(C358&lt;0,C358&lt;&gt;INT(C358)),"Shares must be a whole number",IF(COUNTIFS($A$4:$A$2503,A358,$B$4:$B$2503,B358,$D$4:$D$2503,D358)&gt;1,"Duplicate row (same date)","OK"))))))</f>
        <v/>
      </c>
    </row>
    <row r="359">
      <c r="A359" s="26" t="n"/>
      <c r="B359" s="26" t="n"/>
      <c r="C359" s="34" t="n"/>
      <c r="D359" s="28" t="n"/>
      <c r="E359" s="26" t="n"/>
      <c r="F359" s="26" t="n"/>
      <c r="G359" s="26" t="n"/>
      <c r="H359" s="38" t="n"/>
      <c r="I359" s="28" t="n"/>
      <c r="J359" s="30">
        <f>IF(B359="","",IFERROR(INDEX('Share classes'!$A$4:$A$203,MATCH(B359,'Share classes'!$B$4:$B$203,0)),""))</f>
        <v/>
      </c>
      <c r="K359" s="30">
        <f>IF(A359="","",IFERROR(INDEX('Holders'!$B$4:$B$1003,MATCH(A359,'Holders'!$A$4:$A$1003,0)),""))</f>
        <v/>
      </c>
      <c r="L359" s="30">
        <f>IF(OR(A359="",B359="",D359=""),"",IF(D359=_xlfn.MAXIFS($D$4:$D$2503,$A$4:$A$2503,A359,$B$4:$B$2503,B359),"Yes","No"))</f>
        <v/>
      </c>
      <c r="M359" s="30">
        <f>IF(B359="","",IFERROR(INDEX('Share classes'!$F$4:$F$203,MATCH(B359,'Share classes'!$B$4:$B$203,0)),""))</f>
        <v/>
      </c>
      <c r="N359" s="30">
        <f>IF(A359="","",IF(K359="","Unknown holder ID",IF(J359="","Unknown class code",IF(OR(C359="",D359=""),"Missing shares or date",IF(OR(C359&lt;0,C359&lt;&gt;INT(C359)),"Shares must be a whole number",IF(COUNTIFS($A$4:$A$2503,A359,$B$4:$B$2503,B359,$D$4:$D$2503,D359)&gt;1,"Duplicate row (same date)","OK"))))))</f>
        <v/>
      </c>
    </row>
    <row r="360">
      <c r="A360" s="26" t="n"/>
      <c r="B360" s="26" t="n"/>
      <c r="C360" s="34" t="n"/>
      <c r="D360" s="28" t="n"/>
      <c r="E360" s="26" t="n"/>
      <c r="F360" s="26" t="n"/>
      <c r="G360" s="26" t="n"/>
      <c r="H360" s="38" t="n"/>
      <c r="I360" s="28" t="n"/>
      <c r="J360" s="30">
        <f>IF(B360="","",IFERROR(INDEX('Share classes'!$A$4:$A$203,MATCH(B360,'Share classes'!$B$4:$B$203,0)),""))</f>
        <v/>
      </c>
      <c r="K360" s="30">
        <f>IF(A360="","",IFERROR(INDEX('Holders'!$B$4:$B$1003,MATCH(A360,'Holders'!$A$4:$A$1003,0)),""))</f>
        <v/>
      </c>
      <c r="L360" s="30">
        <f>IF(OR(A360="",B360="",D360=""),"",IF(D360=_xlfn.MAXIFS($D$4:$D$2503,$A$4:$A$2503,A360,$B$4:$B$2503,B360),"Yes","No"))</f>
        <v/>
      </c>
      <c r="M360" s="30">
        <f>IF(B360="","",IFERROR(INDEX('Share classes'!$F$4:$F$203,MATCH(B360,'Share classes'!$B$4:$B$203,0)),""))</f>
        <v/>
      </c>
      <c r="N360" s="30">
        <f>IF(A360="","",IF(K360="","Unknown holder ID",IF(J360="","Unknown class code",IF(OR(C360="",D360=""),"Missing shares or date",IF(OR(C360&lt;0,C360&lt;&gt;INT(C360)),"Shares must be a whole number",IF(COUNTIFS($A$4:$A$2503,A360,$B$4:$B$2503,B360,$D$4:$D$2503,D360)&gt;1,"Duplicate row (same date)","OK"))))))</f>
        <v/>
      </c>
    </row>
    <row r="361">
      <c r="A361" s="26" t="n"/>
      <c r="B361" s="26" t="n"/>
      <c r="C361" s="34" t="n"/>
      <c r="D361" s="28" t="n"/>
      <c r="E361" s="26" t="n"/>
      <c r="F361" s="26" t="n"/>
      <c r="G361" s="26" t="n"/>
      <c r="H361" s="38" t="n"/>
      <c r="I361" s="28" t="n"/>
      <c r="J361" s="30">
        <f>IF(B361="","",IFERROR(INDEX('Share classes'!$A$4:$A$203,MATCH(B361,'Share classes'!$B$4:$B$203,0)),""))</f>
        <v/>
      </c>
      <c r="K361" s="30">
        <f>IF(A361="","",IFERROR(INDEX('Holders'!$B$4:$B$1003,MATCH(A361,'Holders'!$A$4:$A$1003,0)),""))</f>
        <v/>
      </c>
      <c r="L361" s="30">
        <f>IF(OR(A361="",B361="",D361=""),"",IF(D361=_xlfn.MAXIFS($D$4:$D$2503,$A$4:$A$2503,A361,$B$4:$B$2503,B361),"Yes","No"))</f>
        <v/>
      </c>
      <c r="M361" s="30">
        <f>IF(B361="","",IFERROR(INDEX('Share classes'!$F$4:$F$203,MATCH(B361,'Share classes'!$B$4:$B$203,0)),""))</f>
        <v/>
      </c>
      <c r="N361" s="30">
        <f>IF(A361="","",IF(K361="","Unknown holder ID",IF(J361="","Unknown class code",IF(OR(C361="",D361=""),"Missing shares or date",IF(OR(C361&lt;0,C361&lt;&gt;INT(C361)),"Shares must be a whole number",IF(COUNTIFS($A$4:$A$2503,A361,$B$4:$B$2503,B361,$D$4:$D$2503,D361)&gt;1,"Duplicate row (same date)","OK"))))))</f>
        <v/>
      </c>
    </row>
    <row r="362">
      <c r="A362" s="26" t="n"/>
      <c r="B362" s="26" t="n"/>
      <c r="C362" s="34" t="n"/>
      <c r="D362" s="28" t="n"/>
      <c r="E362" s="26" t="n"/>
      <c r="F362" s="26" t="n"/>
      <c r="G362" s="26" t="n"/>
      <c r="H362" s="38" t="n"/>
      <c r="I362" s="28" t="n"/>
      <c r="J362" s="30">
        <f>IF(B362="","",IFERROR(INDEX('Share classes'!$A$4:$A$203,MATCH(B362,'Share classes'!$B$4:$B$203,0)),""))</f>
        <v/>
      </c>
      <c r="K362" s="30">
        <f>IF(A362="","",IFERROR(INDEX('Holders'!$B$4:$B$1003,MATCH(A362,'Holders'!$A$4:$A$1003,0)),""))</f>
        <v/>
      </c>
      <c r="L362" s="30">
        <f>IF(OR(A362="",B362="",D362=""),"",IF(D362=_xlfn.MAXIFS($D$4:$D$2503,$A$4:$A$2503,A362,$B$4:$B$2503,B362),"Yes","No"))</f>
        <v/>
      </c>
      <c r="M362" s="30">
        <f>IF(B362="","",IFERROR(INDEX('Share classes'!$F$4:$F$203,MATCH(B362,'Share classes'!$B$4:$B$203,0)),""))</f>
        <v/>
      </c>
      <c r="N362" s="30">
        <f>IF(A362="","",IF(K362="","Unknown holder ID",IF(J362="","Unknown class code",IF(OR(C362="",D362=""),"Missing shares or date",IF(OR(C362&lt;0,C362&lt;&gt;INT(C362)),"Shares must be a whole number",IF(COUNTIFS($A$4:$A$2503,A362,$B$4:$B$2503,B362,$D$4:$D$2503,D362)&gt;1,"Duplicate row (same date)","OK"))))))</f>
        <v/>
      </c>
    </row>
    <row r="363">
      <c r="A363" s="26" t="n"/>
      <c r="B363" s="26" t="n"/>
      <c r="C363" s="34" t="n"/>
      <c r="D363" s="28" t="n"/>
      <c r="E363" s="26" t="n"/>
      <c r="F363" s="26" t="n"/>
      <c r="G363" s="26" t="n"/>
      <c r="H363" s="38" t="n"/>
      <c r="I363" s="28" t="n"/>
      <c r="J363" s="30">
        <f>IF(B363="","",IFERROR(INDEX('Share classes'!$A$4:$A$203,MATCH(B363,'Share classes'!$B$4:$B$203,0)),""))</f>
        <v/>
      </c>
      <c r="K363" s="30">
        <f>IF(A363="","",IFERROR(INDEX('Holders'!$B$4:$B$1003,MATCH(A363,'Holders'!$A$4:$A$1003,0)),""))</f>
        <v/>
      </c>
      <c r="L363" s="30">
        <f>IF(OR(A363="",B363="",D363=""),"",IF(D363=_xlfn.MAXIFS($D$4:$D$2503,$A$4:$A$2503,A363,$B$4:$B$2503,B363),"Yes","No"))</f>
        <v/>
      </c>
      <c r="M363" s="30">
        <f>IF(B363="","",IFERROR(INDEX('Share classes'!$F$4:$F$203,MATCH(B363,'Share classes'!$B$4:$B$203,0)),""))</f>
        <v/>
      </c>
      <c r="N363" s="30">
        <f>IF(A363="","",IF(K363="","Unknown holder ID",IF(J363="","Unknown class code",IF(OR(C363="",D363=""),"Missing shares or date",IF(OR(C363&lt;0,C363&lt;&gt;INT(C363)),"Shares must be a whole number",IF(COUNTIFS($A$4:$A$2503,A363,$B$4:$B$2503,B363,$D$4:$D$2503,D363)&gt;1,"Duplicate row (same date)","OK"))))))</f>
        <v/>
      </c>
    </row>
    <row r="364">
      <c r="A364" s="26" t="n"/>
      <c r="B364" s="26" t="n"/>
      <c r="C364" s="34" t="n"/>
      <c r="D364" s="28" t="n"/>
      <c r="E364" s="26" t="n"/>
      <c r="F364" s="26" t="n"/>
      <c r="G364" s="26" t="n"/>
      <c r="H364" s="38" t="n"/>
      <c r="I364" s="28" t="n"/>
      <c r="J364" s="30">
        <f>IF(B364="","",IFERROR(INDEX('Share classes'!$A$4:$A$203,MATCH(B364,'Share classes'!$B$4:$B$203,0)),""))</f>
        <v/>
      </c>
      <c r="K364" s="30">
        <f>IF(A364="","",IFERROR(INDEX('Holders'!$B$4:$B$1003,MATCH(A364,'Holders'!$A$4:$A$1003,0)),""))</f>
        <v/>
      </c>
      <c r="L364" s="30">
        <f>IF(OR(A364="",B364="",D364=""),"",IF(D364=_xlfn.MAXIFS($D$4:$D$2503,$A$4:$A$2503,A364,$B$4:$B$2503,B364),"Yes","No"))</f>
        <v/>
      </c>
      <c r="M364" s="30">
        <f>IF(B364="","",IFERROR(INDEX('Share classes'!$F$4:$F$203,MATCH(B364,'Share classes'!$B$4:$B$203,0)),""))</f>
        <v/>
      </c>
      <c r="N364" s="30">
        <f>IF(A364="","",IF(K364="","Unknown holder ID",IF(J364="","Unknown class code",IF(OR(C364="",D364=""),"Missing shares or date",IF(OR(C364&lt;0,C364&lt;&gt;INT(C364)),"Shares must be a whole number",IF(COUNTIFS($A$4:$A$2503,A364,$B$4:$B$2503,B364,$D$4:$D$2503,D364)&gt;1,"Duplicate row (same date)","OK"))))))</f>
        <v/>
      </c>
    </row>
    <row r="365">
      <c r="A365" s="26" t="n"/>
      <c r="B365" s="26" t="n"/>
      <c r="C365" s="34" t="n"/>
      <c r="D365" s="28" t="n"/>
      <c r="E365" s="26" t="n"/>
      <c r="F365" s="26" t="n"/>
      <c r="G365" s="26" t="n"/>
      <c r="H365" s="38" t="n"/>
      <c r="I365" s="28" t="n"/>
      <c r="J365" s="30">
        <f>IF(B365="","",IFERROR(INDEX('Share classes'!$A$4:$A$203,MATCH(B365,'Share classes'!$B$4:$B$203,0)),""))</f>
        <v/>
      </c>
      <c r="K365" s="30">
        <f>IF(A365="","",IFERROR(INDEX('Holders'!$B$4:$B$1003,MATCH(A365,'Holders'!$A$4:$A$1003,0)),""))</f>
        <v/>
      </c>
      <c r="L365" s="30">
        <f>IF(OR(A365="",B365="",D365=""),"",IF(D365=_xlfn.MAXIFS($D$4:$D$2503,$A$4:$A$2503,A365,$B$4:$B$2503,B365),"Yes","No"))</f>
        <v/>
      </c>
      <c r="M365" s="30">
        <f>IF(B365="","",IFERROR(INDEX('Share classes'!$F$4:$F$203,MATCH(B365,'Share classes'!$B$4:$B$203,0)),""))</f>
        <v/>
      </c>
      <c r="N365" s="30">
        <f>IF(A365="","",IF(K365="","Unknown holder ID",IF(J365="","Unknown class code",IF(OR(C365="",D365=""),"Missing shares or date",IF(OR(C365&lt;0,C365&lt;&gt;INT(C365)),"Shares must be a whole number",IF(COUNTIFS($A$4:$A$2503,A365,$B$4:$B$2503,B365,$D$4:$D$2503,D365)&gt;1,"Duplicate row (same date)","OK"))))))</f>
        <v/>
      </c>
    </row>
    <row r="366">
      <c r="A366" s="26" t="n"/>
      <c r="B366" s="26" t="n"/>
      <c r="C366" s="34" t="n"/>
      <c r="D366" s="28" t="n"/>
      <c r="E366" s="26" t="n"/>
      <c r="F366" s="26" t="n"/>
      <c r="G366" s="26" t="n"/>
      <c r="H366" s="38" t="n"/>
      <c r="I366" s="28" t="n"/>
      <c r="J366" s="30">
        <f>IF(B366="","",IFERROR(INDEX('Share classes'!$A$4:$A$203,MATCH(B366,'Share classes'!$B$4:$B$203,0)),""))</f>
        <v/>
      </c>
      <c r="K366" s="30">
        <f>IF(A366="","",IFERROR(INDEX('Holders'!$B$4:$B$1003,MATCH(A366,'Holders'!$A$4:$A$1003,0)),""))</f>
        <v/>
      </c>
      <c r="L366" s="30">
        <f>IF(OR(A366="",B366="",D366=""),"",IF(D366=_xlfn.MAXIFS($D$4:$D$2503,$A$4:$A$2503,A366,$B$4:$B$2503,B366),"Yes","No"))</f>
        <v/>
      </c>
      <c r="M366" s="30">
        <f>IF(B366="","",IFERROR(INDEX('Share classes'!$F$4:$F$203,MATCH(B366,'Share classes'!$B$4:$B$203,0)),""))</f>
        <v/>
      </c>
      <c r="N366" s="30">
        <f>IF(A366="","",IF(K366="","Unknown holder ID",IF(J366="","Unknown class code",IF(OR(C366="",D366=""),"Missing shares or date",IF(OR(C366&lt;0,C366&lt;&gt;INT(C366)),"Shares must be a whole number",IF(COUNTIFS($A$4:$A$2503,A366,$B$4:$B$2503,B366,$D$4:$D$2503,D366)&gt;1,"Duplicate row (same date)","OK"))))))</f>
        <v/>
      </c>
    </row>
    <row r="367">
      <c r="A367" s="26" t="n"/>
      <c r="B367" s="26" t="n"/>
      <c r="C367" s="34" t="n"/>
      <c r="D367" s="28" t="n"/>
      <c r="E367" s="26" t="n"/>
      <c r="F367" s="26" t="n"/>
      <c r="G367" s="26" t="n"/>
      <c r="H367" s="38" t="n"/>
      <c r="I367" s="28" t="n"/>
      <c r="J367" s="30">
        <f>IF(B367="","",IFERROR(INDEX('Share classes'!$A$4:$A$203,MATCH(B367,'Share classes'!$B$4:$B$203,0)),""))</f>
        <v/>
      </c>
      <c r="K367" s="30">
        <f>IF(A367="","",IFERROR(INDEX('Holders'!$B$4:$B$1003,MATCH(A367,'Holders'!$A$4:$A$1003,0)),""))</f>
        <v/>
      </c>
      <c r="L367" s="30">
        <f>IF(OR(A367="",B367="",D367=""),"",IF(D367=_xlfn.MAXIFS($D$4:$D$2503,$A$4:$A$2503,A367,$B$4:$B$2503,B367),"Yes","No"))</f>
        <v/>
      </c>
      <c r="M367" s="30">
        <f>IF(B367="","",IFERROR(INDEX('Share classes'!$F$4:$F$203,MATCH(B367,'Share classes'!$B$4:$B$203,0)),""))</f>
        <v/>
      </c>
      <c r="N367" s="30">
        <f>IF(A367="","",IF(K367="","Unknown holder ID",IF(J367="","Unknown class code",IF(OR(C367="",D367=""),"Missing shares or date",IF(OR(C367&lt;0,C367&lt;&gt;INT(C367)),"Shares must be a whole number",IF(COUNTIFS($A$4:$A$2503,A367,$B$4:$B$2503,B367,$D$4:$D$2503,D367)&gt;1,"Duplicate row (same date)","OK"))))))</f>
        <v/>
      </c>
    </row>
    <row r="368">
      <c r="A368" s="26" t="n"/>
      <c r="B368" s="26" t="n"/>
      <c r="C368" s="34" t="n"/>
      <c r="D368" s="28" t="n"/>
      <c r="E368" s="26" t="n"/>
      <c r="F368" s="26" t="n"/>
      <c r="G368" s="26" t="n"/>
      <c r="H368" s="38" t="n"/>
      <c r="I368" s="28" t="n"/>
      <c r="J368" s="30">
        <f>IF(B368="","",IFERROR(INDEX('Share classes'!$A$4:$A$203,MATCH(B368,'Share classes'!$B$4:$B$203,0)),""))</f>
        <v/>
      </c>
      <c r="K368" s="30">
        <f>IF(A368="","",IFERROR(INDEX('Holders'!$B$4:$B$1003,MATCH(A368,'Holders'!$A$4:$A$1003,0)),""))</f>
        <v/>
      </c>
      <c r="L368" s="30">
        <f>IF(OR(A368="",B368="",D368=""),"",IF(D368=_xlfn.MAXIFS($D$4:$D$2503,$A$4:$A$2503,A368,$B$4:$B$2503,B368),"Yes","No"))</f>
        <v/>
      </c>
      <c r="M368" s="30">
        <f>IF(B368="","",IFERROR(INDEX('Share classes'!$F$4:$F$203,MATCH(B368,'Share classes'!$B$4:$B$203,0)),""))</f>
        <v/>
      </c>
      <c r="N368" s="30">
        <f>IF(A368="","",IF(K368="","Unknown holder ID",IF(J368="","Unknown class code",IF(OR(C368="",D368=""),"Missing shares or date",IF(OR(C368&lt;0,C368&lt;&gt;INT(C368)),"Shares must be a whole number",IF(COUNTIFS($A$4:$A$2503,A368,$B$4:$B$2503,B368,$D$4:$D$2503,D368)&gt;1,"Duplicate row (same date)","OK"))))))</f>
        <v/>
      </c>
    </row>
    <row r="369">
      <c r="A369" s="26" t="n"/>
      <c r="B369" s="26" t="n"/>
      <c r="C369" s="34" t="n"/>
      <c r="D369" s="28" t="n"/>
      <c r="E369" s="26" t="n"/>
      <c r="F369" s="26" t="n"/>
      <c r="G369" s="26" t="n"/>
      <c r="H369" s="38" t="n"/>
      <c r="I369" s="28" t="n"/>
      <c r="J369" s="30">
        <f>IF(B369="","",IFERROR(INDEX('Share classes'!$A$4:$A$203,MATCH(B369,'Share classes'!$B$4:$B$203,0)),""))</f>
        <v/>
      </c>
      <c r="K369" s="30">
        <f>IF(A369="","",IFERROR(INDEX('Holders'!$B$4:$B$1003,MATCH(A369,'Holders'!$A$4:$A$1003,0)),""))</f>
        <v/>
      </c>
      <c r="L369" s="30">
        <f>IF(OR(A369="",B369="",D369=""),"",IF(D369=_xlfn.MAXIFS($D$4:$D$2503,$A$4:$A$2503,A369,$B$4:$B$2503,B369),"Yes","No"))</f>
        <v/>
      </c>
      <c r="M369" s="30">
        <f>IF(B369="","",IFERROR(INDEX('Share classes'!$F$4:$F$203,MATCH(B369,'Share classes'!$B$4:$B$203,0)),""))</f>
        <v/>
      </c>
      <c r="N369" s="30">
        <f>IF(A369="","",IF(K369="","Unknown holder ID",IF(J369="","Unknown class code",IF(OR(C369="",D369=""),"Missing shares or date",IF(OR(C369&lt;0,C369&lt;&gt;INT(C369)),"Shares must be a whole number",IF(COUNTIFS($A$4:$A$2503,A369,$B$4:$B$2503,B369,$D$4:$D$2503,D369)&gt;1,"Duplicate row (same date)","OK"))))))</f>
        <v/>
      </c>
    </row>
    <row r="370">
      <c r="A370" s="26" t="n"/>
      <c r="B370" s="26" t="n"/>
      <c r="C370" s="34" t="n"/>
      <c r="D370" s="28" t="n"/>
      <c r="E370" s="26" t="n"/>
      <c r="F370" s="26" t="n"/>
      <c r="G370" s="26" t="n"/>
      <c r="H370" s="38" t="n"/>
      <c r="I370" s="28" t="n"/>
      <c r="J370" s="30">
        <f>IF(B370="","",IFERROR(INDEX('Share classes'!$A$4:$A$203,MATCH(B370,'Share classes'!$B$4:$B$203,0)),""))</f>
        <v/>
      </c>
      <c r="K370" s="30">
        <f>IF(A370="","",IFERROR(INDEX('Holders'!$B$4:$B$1003,MATCH(A370,'Holders'!$A$4:$A$1003,0)),""))</f>
        <v/>
      </c>
      <c r="L370" s="30">
        <f>IF(OR(A370="",B370="",D370=""),"",IF(D370=_xlfn.MAXIFS($D$4:$D$2503,$A$4:$A$2503,A370,$B$4:$B$2503,B370),"Yes","No"))</f>
        <v/>
      </c>
      <c r="M370" s="30">
        <f>IF(B370="","",IFERROR(INDEX('Share classes'!$F$4:$F$203,MATCH(B370,'Share classes'!$B$4:$B$203,0)),""))</f>
        <v/>
      </c>
      <c r="N370" s="30">
        <f>IF(A370="","",IF(K370="","Unknown holder ID",IF(J370="","Unknown class code",IF(OR(C370="",D370=""),"Missing shares or date",IF(OR(C370&lt;0,C370&lt;&gt;INT(C370)),"Shares must be a whole number",IF(COUNTIFS($A$4:$A$2503,A370,$B$4:$B$2503,B370,$D$4:$D$2503,D370)&gt;1,"Duplicate row (same date)","OK"))))))</f>
        <v/>
      </c>
    </row>
    <row r="371">
      <c r="A371" s="26" t="n"/>
      <c r="B371" s="26" t="n"/>
      <c r="C371" s="34" t="n"/>
      <c r="D371" s="28" t="n"/>
      <c r="E371" s="26" t="n"/>
      <c r="F371" s="26" t="n"/>
      <c r="G371" s="26" t="n"/>
      <c r="H371" s="38" t="n"/>
      <c r="I371" s="28" t="n"/>
      <c r="J371" s="30">
        <f>IF(B371="","",IFERROR(INDEX('Share classes'!$A$4:$A$203,MATCH(B371,'Share classes'!$B$4:$B$203,0)),""))</f>
        <v/>
      </c>
      <c r="K371" s="30">
        <f>IF(A371="","",IFERROR(INDEX('Holders'!$B$4:$B$1003,MATCH(A371,'Holders'!$A$4:$A$1003,0)),""))</f>
        <v/>
      </c>
      <c r="L371" s="30">
        <f>IF(OR(A371="",B371="",D371=""),"",IF(D371=_xlfn.MAXIFS($D$4:$D$2503,$A$4:$A$2503,A371,$B$4:$B$2503,B371),"Yes","No"))</f>
        <v/>
      </c>
      <c r="M371" s="30">
        <f>IF(B371="","",IFERROR(INDEX('Share classes'!$F$4:$F$203,MATCH(B371,'Share classes'!$B$4:$B$203,0)),""))</f>
        <v/>
      </c>
      <c r="N371" s="30">
        <f>IF(A371="","",IF(K371="","Unknown holder ID",IF(J371="","Unknown class code",IF(OR(C371="",D371=""),"Missing shares or date",IF(OR(C371&lt;0,C371&lt;&gt;INT(C371)),"Shares must be a whole number",IF(COUNTIFS($A$4:$A$2503,A371,$B$4:$B$2503,B371,$D$4:$D$2503,D371)&gt;1,"Duplicate row (same date)","OK"))))))</f>
        <v/>
      </c>
    </row>
    <row r="372">
      <c r="A372" s="26" t="n"/>
      <c r="B372" s="26" t="n"/>
      <c r="C372" s="34" t="n"/>
      <c r="D372" s="28" t="n"/>
      <c r="E372" s="26" t="n"/>
      <c r="F372" s="26" t="n"/>
      <c r="G372" s="26" t="n"/>
      <c r="H372" s="38" t="n"/>
      <c r="I372" s="28" t="n"/>
      <c r="J372" s="30">
        <f>IF(B372="","",IFERROR(INDEX('Share classes'!$A$4:$A$203,MATCH(B372,'Share classes'!$B$4:$B$203,0)),""))</f>
        <v/>
      </c>
      <c r="K372" s="30">
        <f>IF(A372="","",IFERROR(INDEX('Holders'!$B$4:$B$1003,MATCH(A372,'Holders'!$A$4:$A$1003,0)),""))</f>
        <v/>
      </c>
      <c r="L372" s="30">
        <f>IF(OR(A372="",B372="",D372=""),"",IF(D372=_xlfn.MAXIFS($D$4:$D$2503,$A$4:$A$2503,A372,$B$4:$B$2503,B372),"Yes","No"))</f>
        <v/>
      </c>
      <c r="M372" s="30">
        <f>IF(B372="","",IFERROR(INDEX('Share classes'!$F$4:$F$203,MATCH(B372,'Share classes'!$B$4:$B$203,0)),""))</f>
        <v/>
      </c>
      <c r="N372" s="30">
        <f>IF(A372="","",IF(K372="","Unknown holder ID",IF(J372="","Unknown class code",IF(OR(C372="",D372=""),"Missing shares or date",IF(OR(C372&lt;0,C372&lt;&gt;INT(C372)),"Shares must be a whole number",IF(COUNTIFS($A$4:$A$2503,A372,$B$4:$B$2503,B372,$D$4:$D$2503,D372)&gt;1,"Duplicate row (same date)","OK"))))))</f>
        <v/>
      </c>
    </row>
    <row r="373">
      <c r="A373" s="26" t="n"/>
      <c r="B373" s="26" t="n"/>
      <c r="C373" s="34" t="n"/>
      <c r="D373" s="28" t="n"/>
      <c r="E373" s="26" t="n"/>
      <c r="F373" s="26" t="n"/>
      <c r="G373" s="26" t="n"/>
      <c r="H373" s="38" t="n"/>
      <c r="I373" s="28" t="n"/>
      <c r="J373" s="30">
        <f>IF(B373="","",IFERROR(INDEX('Share classes'!$A$4:$A$203,MATCH(B373,'Share classes'!$B$4:$B$203,0)),""))</f>
        <v/>
      </c>
      <c r="K373" s="30">
        <f>IF(A373="","",IFERROR(INDEX('Holders'!$B$4:$B$1003,MATCH(A373,'Holders'!$A$4:$A$1003,0)),""))</f>
        <v/>
      </c>
      <c r="L373" s="30">
        <f>IF(OR(A373="",B373="",D373=""),"",IF(D373=_xlfn.MAXIFS($D$4:$D$2503,$A$4:$A$2503,A373,$B$4:$B$2503,B373),"Yes","No"))</f>
        <v/>
      </c>
      <c r="M373" s="30">
        <f>IF(B373="","",IFERROR(INDEX('Share classes'!$F$4:$F$203,MATCH(B373,'Share classes'!$B$4:$B$203,0)),""))</f>
        <v/>
      </c>
      <c r="N373" s="30">
        <f>IF(A373="","",IF(K373="","Unknown holder ID",IF(J373="","Unknown class code",IF(OR(C373="",D373=""),"Missing shares or date",IF(OR(C373&lt;0,C373&lt;&gt;INT(C373)),"Shares must be a whole number",IF(COUNTIFS($A$4:$A$2503,A373,$B$4:$B$2503,B373,$D$4:$D$2503,D373)&gt;1,"Duplicate row (same date)","OK"))))))</f>
        <v/>
      </c>
    </row>
    <row r="374">
      <c r="A374" s="26" t="n"/>
      <c r="B374" s="26" t="n"/>
      <c r="C374" s="34" t="n"/>
      <c r="D374" s="28" t="n"/>
      <c r="E374" s="26" t="n"/>
      <c r="F374" s="26" t="n"/>
      <c r="G374" s="26" t="n"/>
      <c r="H374" s="38" t="n"/>
      <c r="I374" s="28" t="n"/>
      <c r="J374" s="30">
        <f>IF(B374="","",IFERROR(INDEX('Share classes'!$A$4:$A$203,MATCH(B374,'Share classes'!$B$4:$B$203,0)),""))</f>
        <v/>
      </c>
      <c r="K374" s="30">
        <f>IF(A374="","",IFERROR(INDEX('Holders'!$B$4:$B$1003,MATCH(A374,'Holders'!$A$4:$A$1003,0)),""))</f>
        <v/>
      </c>
      <c r="L374" s="30">
        <f>IF(OR(A374="",B374="",D374=""),"",IF(D374=_xlfn.MAXIFS($D$4:$D$2503,$A$4:$A$2503,A374,$B$4:$B$2503,B374),"Yes","No"))</f>
        <v/>
      </c>
      <c r="M374" s="30">
        <f>IF(B374="","",IFERROR(INDEX('Share classes'!$F$4:$F$203,MATCH(B374,'Share classes'!$B$4:$B$203,0)),""))</f>
        <v/>
      </c>
      <c r="N374" s="30">
        <f>IF(A374="","",IF(K374="","Unknown holder ID",IF(J374="","Unknown class code",IF(OR(C374="",D374=""),"Missing shares or date",IF(OR(C374&lt;0,C374&lt;&gt;INT(C374)),"Shares must be a whole number",IF(COUNTIFS($A$4:$A$2503,A374,$B$4:$B$2503,B374,$D$4:$D$2503,D374)&gt;1,"Duplicate row (same date)","OK"))))))</f>
        <v/>
      </c>
    </row>
    <row r="375">
      <c r="A375" s="26" t="n"/>
      <c r="B375" s="26" t="n"/>
      <c r="C375" s="34" t="n"/>
      <c r="D375" s="28" t="n"/>
      <c r="E375" s="26" t="n"/>
      <c r="F375" s="26" t="n"/>
      <c r="G375" s="26" t="n"/>
      <c r="H375" s="38" t="n"/>
      <c r="I375" s="28" t="n"/>
      <c r="J375" s="30">
        <f>IF(B375="","",IFERROR(INDEX('Share classes'!$A$4:$A$203,MATCH(B375,'Share classes'!$B$4:$B$203,0)),""))</f>
        <v/>
      </c>
      <c r="K375" s="30">
        <f>IF(A375="","",IFERROR(INDEX('Holders'!$B$4:$B$1003,MATCH(A375,'Holders'!$A$4:$A$1003,0)),""))</f>
        <v/>
      </c>
      <c r="L375" s="30">
        <f>IF(OR(A375="",B375="",D375=""),"",IF(D375=_xlfn.MAXIFS($D$4:$D$2503,$A$4:$A$2503,A375,$B$4:$B$2503,B375),"Yes","No"))</f>
        <v/>
      </c>
      <c r="M375" s="30">
        <f>IF(B375="","",IFERROR(INDEX('Share classes'!$F$4:$F$203,MATCH(B375,'Share classes'!$B$4:$B$203,0)),""))</f>
        <v/>
      </c>
      <c r="N375" s="30">
        <f>IF(A375="","",IF(K375="","Unknown holder ID",IF(J375="","Unknown class code",IF(OR(C375="",D375=""),"Missing shares or date",IF(OR(C375&lt;0,C375&lt;&gt;INT(C375)),"Shares must be a whole number",IF(COUNTIFS($A$4:$A$2503,A375,$B$4:$B$2503,B375,$D$4:$D$2503,D375)&gt;1,"Duplicate row (same date)","OK"))))))</f>
        <v/>
      </c>
    </row>
    <row r="376">
      <c r="A376" s="26" t="n"/>
      <c r="B376" s="26" t="n"/>
      <c r="C376" s="34" t="n"/>
      <c r="D376" s="28" t="n"/>
      <c r="E376" s="26" t="n"/>
      <c r="F376" s="26" t="n"/>
      <c r="G376" s="26" t="n"/>
      <c r="H376" s="38" t="n"/>
      <c r="I376" s="28" t="n"/>
      <c r="J376" s="30">
        <f>IF(B376="","",IFERROR(INDEX('Share classes'!$A$4:$A$203,MATCH(B376,'Share classes'!$B$4:$B$203,0)),""))</f>
        <v/>
      </c>
      <c r="K376" s="30">
        <f>IF(A376="","",IFERROR(INDEX('Holders'!$B$4:$B$1003,MATCH(A376,'Holders'!$A$4:$A$1003,0)),""))</f>
        <v/>
      </c>
      <c r="L376" s="30">
        <f>IF(OR(A376="",B376="",D376=""),"",IF(D376=_xlfn.MAXIFS($D$4:$D$2503,$A$4:$A$2503,A376,$B$4:$B$2503,B376),"Yes","No"))</f>
        <v/>
      </c>
      <c r="M376" s="30">
        <f>IF(B376="","",IFERROR(INDEX('Share classes'!$F$4:$F$203,MATCH(B376,'Share classes'!$B$4:$B$203,0)),""))</f>
        <v/>
      </c>
      <c r="N376" s="30">
        <f>IF(A376="","",IF(K376="","Unknown holder ID",IF(J376="","Unknown class code",IF(OR(C376="",D376=""),"Missing shares or date",IF(OR(C376&lt;0,C376&lt;&gt;INT(C376)),"Shares must be a whole number",IF(COUNTIFS($A$4:$A$2503,A376,$B$4:$B$2503,B376,$D$4:$D$2503,D376)&gt;1,"Duplicate row (same date)","OK"))))))</f>
        <v/>
      </c>
    </row>
    <row r="377">
      <c r="A377" s="26" t="n"/>
      <c r="B377" s="26" t="n"/>
      <c r="C377" s="34" t="n"/>
      <c r="D377" s="28" t="n"/>
      <c r="E377" s="26" t="n"/>
      <c r="F377" s="26" t="n"/>
      <c r="G377" s="26" t="n"/>
      <c r="H377" s="38" t="n"/>
      <c r="I377" s="28" t="n"/>
      <c r="J377" s="30">
        <f>IF(B377="","",IFERROR(INDEX('Share classes'!$A$4:$A$203,MATCH(B377,'Share classes'!$B$4:$B$203,0)),""))</f>
        <v/>
      </c>
      <c r="K377" s="30">
        <f>IF(A377="","",IFERROR(INDEX('Holders'!$B$4:$B$1003,MATCH(A377,'Holders'!$A$4:$A$1003,0)),""))</f>
        <v/>
      </c>
      <c r="L377" s="30">
        <f>IF(OR(A377="",B377="",D377=""),"",IF(D377=_xlfn.MAXIFS($D$4:$D$2503,$A$4:$A$2503,A377,$B$4:$B$2503,B377),"Yes","No"))</f>
        <v/>
      </c>
      <c r="M377" s="30">
        <f>IF(B377="","",IFERROR(INDEX('Share classes'!$F$4:$F$203,MATCH(B377,'Share classes'!$B$4:$B$203,0)),""))</f>
        <v/>
      </c>
      <c r="N377" s="30">
        <f>IF(A377="","",IF(K377="","Unknown holder ID",IF(J377="","Unknown class code",IF(OR(C377="",D377=""),"Missing shares or date",IF(OR(C377&lt;0,C377&lt;&gt;INT(C377)),"Shares must be a whole number",IF(COUNTIFS($A$4:$A$2503,A377,$B$4:$B$2503,B377,$D$4:$D$2503,D377)&gt;1,"Duplicate row (same date)","OK"))))))</f>
        <v/>
      </c>
    </row>
    <row r="378">
      <c r="A378" s="26" t="n"/>
      <c r="B378" s="26" t="n"/>
      <c r="C378" s="34" t="n"/>
      <c r="D378" s="28" t="n"/>
      <c r="E378" s="26" t="n"/>
      <c r="F378" s="26" t="n"/>
      <c r="G378" s="26" t="n"/>
      <c r="H378" s="38" t="n"/>
      <c r="I378" s="28" t="n"/>
      <c r="J378" s="30">
        <f>IF(B378="","",IFERROR(INDEX('Share classes'!$A$4:$A$203,MATCH(B378,'Share classes'!$B$4:$B$203,0)),""))</f>
        <v/>
      </c>
      <c r="K378" s="30">
        <f>IF(A378="","",IFERROR(INDEX('Holders'!$B$4:$B$1003,MATCH(A378,'Holders'!$A$4:$A$1003,0)),""))</f>
        <v/>
      </c>
      <c r="L378" s="30">
        <f>IF(OR(A378="",B378="",D378=""),"",IF(D378=_xlfn.MAXIFS($D$4:$D$2503,$A$4:$A$2503,A378,$B$4:$B$2503,B378),"Yes","No"))</f>
        <v/>
      </c>
      <c r="M378" s="30">
        <f>IF(B378="","",IFERROR(INDEX('Share classes'!$F$4:$F$203,MATCH(B378,'Share classes'!$B$4:$B$203,0)),""))</f>
        <v/>
      </c>
      <c r="N378" s="30">
        <f>IF(A378="","",IF(K378="","Unknown holder ID",IF(J378="","Unknown class code",IF(OR(C378="",D378=""),"Missing shares or date",IF(OR(C378&lt;0,C378&lt;&gt;INT(C378)),"Shares must be a whole number",IF(COUNTIFS($A$4:$A$2503,A378,$B$4:$B$2503,B378,$D$4:$D$2503,D378)&gt;1,"Duplicate row (same date)","OK"))))))</f>
        <v/>
      </c>
    </row>
    <row r="379">
      <c r="A379" s="26" t="n"/>
      <c r="B379" s="26" t="n"/>
      <c r="C379" s="34" t="n"/>
      <c r="D379" s="28" t="n"/>
      <c r="E379" s="26" t="n"/>
      <c r="F379" s="26" t="n"/>
      <c r="G379" s="26" t="n"/>
      <c r="H379" s="38" t="n"/>
      <c r="I379" s="28" t="n"/>
      <c r="J379" s="30">
        <f>IF(B379="","",IFERROR(INDEX('Share classes'!$A$4:$A$203,MATCH(B379,'Share classes'!$B$4:$B$203,0)),""))</f>
        <v/>
      </c>
      <c r="K379" s="30">
        <f>IF(A379="","",IFERROR(INDEX('Holders'!$B$4:$B$1003,MATCH(A379,'Holders'!$A$4:$A$1003,0)),""))</f>
        <v/>
      </c>
      <c r="L379" s="30">
        <f>IF(OR(A379="",B379="",D379=""),"",IF(D379=_xlfn.MAXIFS($D$4:$D$2503,$A$4:$A$2503,A379,$B$4:$B$2503,B379),"Yes","No"))</f>
        <v/>
      </c>
      <c r="M379" s="30">
        <f>IF(B379="","",IFERROR(INDEX('Share classes'!$F$4:$F$203,MATCH(B379,'Share classes'!$B$4:$B$203,0)),""))</f>
        <v/>
      </c>
      <c r="N379" s="30">
        <f>IF(A379="","",IF(K379="","Unknown holder ID",IF(J379="","Unknown class code",IF(OR(C379="",D379=""),"Missing shares or date",IF(OR(C379&lt;0,C379&lt;&gt;INT(C379)),"Shares must be a whole number",IF(COUNTIFS($A$4:$A$2503,A379,$B$4:$B$2503,B379,$D$4:$D$2503,D379)&gt;1,"Duplicate row (same date)","OK"))))))</f>
        <v/>
      </c>
    </row>
    <row r="380">
      <c r="A380" s="26" t="n"/>
      <c r="B380" s="26" t="n"/>
      <c r="C380" s="34" t="n"/>
      <c r="D380" s="28" t="n"/>
      <c r="E380" s="26" t="n"/>
      <c r="F380" s="26" t="n"/>
      <c r="G380" s="26" t="n"/>
      <c r="H380" s="38" t="n"/>
      <c r="I380" s="28" t="n"/>
      <c r="J380" s="30">
        <f>IF(B380="","",IFERROR(INDEX('Share classes'!$A$4:$A$203,MATCH(B380,'Share classes'!$B$4:$B$203,0)),""))</f>
        <v/>
      </c>
      <c r="K380" s="30">
        <f>IF(A380="","",IFERROR(INDEX('Holders'!$B$4:$B$1003,MATCH(A380,'Holders'!$A$4:$A$1003,0)),""))</f>
        <v/>
      </c>
      <c r="L380" s="30">
        <f>IF(OR(A380="",B380="",D380=""),"",IF(D380=_xlfn.MAXIFS($D$4:$D$2503,$A$4:$A$2503,A380,$B$4:$B$2503,B380),"Yes","No"))</f>
        <v/>
      </c>
      <c r="M380" s="30">
        <f>IF(B380="","",IFERROR(INDEX('Share classes'!$F$4:$F$203,MATCH(B380,'Share classes'!$B$4:$B$203,0)),""))</f>
        <v/>
      </c>
      <c r="N380" s="30">
        <f>IF(A380="","",IF(K380="","Unknown holder ID",IF(J380="","Unknown class code",IF(OR(C380="",D380=""),"Missing shares or date",IF(OR(C380&lt;0,C380&lt;&gt;INT(C380)),"Shares must be a whole number",IF(COUNTIFS($A$4:$A$2503,A380,$B$4:$B$2503,B380,$D$4:$D$2503,D380)&gt;1,"Duplicate row (same date)","OK"))))))</f>
        <v/>
      </c>
    </row>
    <row r="381">
      <c r="A381" s="26" t="n"/>
      <c r="B381" s="26" t="n"/>
      <c r="C381" s="34" t="n"/>
      <c r="D381" s="28" t="n"/>
      <c r="E381" s="26" t="n"/>
      <c r="F381" s="26" t="n"/>
      <c r="G381" s="26" t="n"/>
      <c r="H381" s="38" t="n"/>
      <c r="I381" s="28" t="n"/>
      <c r="J381" s="30">
        <f>IF(B381="","",IFERROR(INDEX('Share classes'!$A$4:$A$203,MATCH(B381,'Share classes'!$B$4:$B$203,0)),""))</f>
        <v/>
      </c>
      <c r="K381" s="30">
        <f>IF(A381="","",IFERROR(INDEX('Holders'!$B$4:$B$1003,MATCH(A381,'Holders'!$A$4:$A$1003,0)),""))</f>
        <v/>
      </c>
      <c r="L381" s="30">
        <f>IF(OR(A381="",B381="",D381=""),"",IF(D381=_xlfn.MAXIFS($D$4:$D$2503,$A$4:$A$2503,A381,$B$4:$B$2503,B381),"Yes","No"))</f>
        <v/>
      </c>
      <c r="M381" s="30">
        <f>IF(B381="","",IFERROR(INDEX('Share classes'!$F$4:$F$203,MATCH(B381,'Share classes'!$B$4:$B$203,0)),""))</f>
        <v/>
      </c>
      <c r="N381" s="30">
        <f>IF(A381="","",IF(K381="","Unknown holder ID",IF(J381="","Unknown class code",IF(OR(C381="",D381=""),"Missing shares or date",IF(OR(C381&lt;0,C381&lt;&gt;INT(C381)),"Shares must be a whole number",IF(COUNTIFS($A$4:$A$2503,A381,$B$4:$B$2503,B381,$D$4:$D$2503,D381)&gt;1,"Duplicate row (same date)","OK"))))))</f>
        <v/>
      </c>
    </row>
    <row r="382">
      <c r="A382" s="26" t="n"/>
      <c r="B382" s="26" t="n"/>
      <c r="C382" s="34" t="n"/>
      <c r="D382" s="28" t="n"/>
      <c r="E382" s="26" t="n"/>
      <c r="F382" s="26" t="n"/>
      <c r="G382" s="26" t="n"/>
      <c r="H382" s="38" t="n"/>
      <c r="I382" s="28" t="n"/>
      <c r="J382" s="30">
        <f>IF(B382="","",IFERROR(INDEX('Share classes'!$A$4:$A$203,MATCH(B382,'Share classes'!$B$4:$B$203,0)),""))</f>
        <v/>
      </c>
      <c r="K382" s="30">
        <f>IF(A382="","",IFERROR(INDEX('Holders'!$B$4:$B$1003,MATCH(A382,'Holders'!$A$4:$A$1003,0)),""))</f>
        <v/>
      </c>
      <c r="L382" s="30">
        <f>IF(OR(A382="",B382="",D382=""),"",IF(D382=_xlfn.MAXIFS($D$4:$D$2503,$A$4:$A$2503,A382,$B$4:$B$2503,B382),"Yes","No"))</f>
        <v/>
      </c>
      <c r="M382" s="30">
        <f>IF(B382="","",IFERROR(INDEX('Share classes'!$F$4:$F$203,MATCH(B382,'Share classes'!$B$4:$B$203,0)),""))</f>
        <v/>
      </c>
      <c r="N382" s="30">
        <f>IF(A382="","",IF(K382="","Unknown holder ID",IF(J382="","Unknown class code",IF(OR(C382="",D382=""),"Missing shares or date",IF(OR(C382&lt;0,C382&lt;&gt;INT(C382)),"Shares must be a whole number",IF(COUNTIFS($A$4:$A$2503,A382,$B$4:$B$2503,B382,$D$4:$D$2503,D382)&gt;1,"Duplicate row (same date)","OK"))))))</f>
        <v/>
      </c>
    </row>
    <row r="383">
      <c r="A383" s="26" t="n"/>
      <c r="B383" s="26" t="n"/>
      <c r="C383" s="34" t="n"/>
      <c r="D383" s="28" t="n"/>
      <c r="E383" s="26" t="n"/>
      <c r="F383" s="26" t="n"/>
      <c r="G383" s="26" t="n"/>
      <c r="H383" s="38" t="n"/>
      <c r="I383" s="28" t="n"/>
      <c r="J383" s="30">
        <f>IF(B383="","",IFERROR(INDEX('Share classes'!$A$4:$A$203,MATCH(B383,'Share classes'!$B$4:$B$203,0)),""))</f>
        <v/>
      </c>
      <c r="K383" s="30">
        <f>IF(A383="","",IFERROR(INDEX('Holders'!$B$4:$B$1003,MATCH(A383,'Holders'!$A$4:$A$1003,0)),""))</f>
        <v/>
      </c>
      <c r="L383" s="30">
        <f>IF(OR(A383="",B383="",D383=""),"",IF(D383=_xlfn.MAXIFS($D$4:$D$2503,$A$4:$A$2503,A383,$B$4:$B$2503,B383),"Yes","No"))</f>
        <v/>
      </c>
      <c r="M383" s="30">
        <f>IF(B383="","",IFERROR(INDEX('Share classes'!$F$4:$F$203,MATCH(B383,'Share classes'!$B$4:$B$203,0)),""))</f>
        <v/>
      </c>
      <c r="N383" s="30">
        <f>IF(A383="","",IF(K383="","Unknown holder ID",IF(J383="","Unknown class code",IF(OR(C383="",D383=""),"Missing shares or date",IF(OR(C383&lt;0,C383&lt;&gt;INT(C383)),"Shares must be a whole number",IF(COUNTIFS($A$4:$A$2503,A383,$B$4:$B$2503,B383,$D$4:$D$2503,D383)&gt;1,"Duplicate row (same date)","OK"))))))</f>
        <v/>
      </c>
    </row>
    <row r="384">
      <c r="A384" s="26" t="n"/>
      <c r="B384" s="26" t="n"/>
      <c r="C384" s="34" t="n"/>
      <c r="D384" s="28" t="n"/>
      <c r="E384" s="26" t="n"/>
      <c r="F384" s="26" t="n"/>
      <c r="G384" s="26" t="n"/>
      <c r="H384" s="38" t="n"/>
      <c r="I384" s="28" t="n"/>
      <c r="J384" s="30">
        <f>IF(B384="","",IFERROR(INDEX('Share classes'!$A$4:$A$203,MATCH(B384,'Share classes'!$B$4:$B$203,0)),""))</f>
        <v/>
      </c>
      <c r="K384" s="30">
        <f>IF(A384="","",IFERROR(INDEX('Holders'!$B$4:$B$1003,MATCH(A384,'Holders'!$A$4:$A$1003,0)),""))</f>
        <v/>
      </c>
      <c r="L384" s="30">
        <f>IF(OR(A384="",B384="",D384=""),"",IF(D384=_xlfn.MAXIFS($D$4:$D$2503,$A$4:$A$2503,A384,$B$4:$B$2503,B384),"Yes","No"))</f>
        <v/>
      </c>
      <c r="M384" s="30">
        <f>IF(B384="","",IFERROR(INDEX('Share classes'!$F$4:$F$203,MATCH(B384,'Share classes'!$B$4:$B$203,0)),""))</f>
        <v/>
      </c>
      <c r="N384" s="30">
        <f>IF(A384="","",IF(K384="","Unknown holder ID",IF(J384="","Unknown class code",IF(OR(C384="",D384=""),"Missing shares or date",IF(OR(C384&lt;0,C384&lt;&gt;INT(C384)),"Shares must be a whole number",IF(COUNTIFS($A$4:$A$2503,A384,$B$4:$B$2503,B384,$D$4:$D$2503,D384)&gt;1,"Duplicate row (same date)","OK"))))))</f>
        <v/>
      </c>
    </row>
    <row r="385">
      <c r="A385" s="26" t="n"/>
      <c r="B385" s="26" t="n"/>
      <c r="C385" s="34" t="n"/>
      <c r="D385" s="28" t="n"/>
      <c r="E385" s="26" t="n"/>
      <c r="F385" s="26" t="n"/>
      <c r="G385" s="26" t="n"/>
      <c r="H385" s="38" t="n"/>
      <c r="I385" s="28" t="n"/>
      <c r="J385" s="30">
        <f>IF(B385="","",IFERROR(INDEX('Share classes'!$A$4:$A$203,MATCH(B385,'Share classes'!$B$4:$B$203,0)),""))</f>
        <v/>
      </c>
      <c r="K385" s="30">
        <f>IF(A385="","",IFERROR(INDEX('Holders'!$B$4:$B$1003,MATCH(A385,'Holders'!$A$4:$A$1003,0)),""))</f>
        <v/>
      </c>
      <c r="L385" s="30">
        <f>IF(OR(A385="",B385="",D385=""),"",IF(D385=_xlfn.MAXIFS($D$4:$D$2503,$A$4:$A$2503,A385,$B$4:$B$2503,B385),"Yes","No"))</f>
        <v/>
      </c>
      <c r="M385" s="30">
        <f>IF(B385="","",IFERROR(INDEX('Share classes'!$F$4:$F$203,MATCH(B385,'Share classes'!$B$4:$B$203,0)),""))</f>
        <v/>
      </c>
      <c r="N385" s="30">
        <f>IF(A385="","",IF(K385="","Unknown holder ID",IF(J385="","Unknown class code",IF(OR(C385="",D385=""),"Missing shares or date",IF(OR(C385&lt;0,C385&lt;&gt;INT(C385)),"Shares must be a whole number",IF(COUNTIFS($A$4:$A$2503,A385,$B$4:$B$2503,B385,$D$4:$D$2503,D385)&gt;1,"Duplicate row (same date)","OK"))))))</f>
        <v/>
      </c>
    </row>
    <row r="386">
      <c r="A386" s="26" t="n"/>
      <c r="B386" s="26" t="n"/>
      <c r="C386" s="34" t="n"/>
      <c r="D386" s="28" t="n"/>
      <c r="E386" s="26" t="n"/>
      <c r="F386" s="26" t="n"/>
      <c r="G386" s="26" t="n"/>
      <c r="H386" s="38" t="n"/>
      <c r="I386" s="28" t="n"/>
      <c r="J386" s="30">
        <f>IF(B386="","",IFERROR(INDEX('Share classes'!$A$4:$A$203,MATCH(B386,'Share classes'!$B$4:$B$203,0)),""))</f>
        <v/>
      </c>
      <c r="K386" s="30">
        <f>IF(A386="","",IFERROR(INDEX('Holders'!$B$4:$B$1003,MATCH(A386,'Holders'!$A$4:$A$1003,0)),""))</f>
        <v/>
      </c>
      <c r="L386" s="30">
        <f>IF(OR(A386="",B386="",D386=""),"",IF(D386=_xlfn.MAXIFS($D$4:$D$2503,$A$4:$A$2503,A386,$B$4:$B$2503,B386),"Yes","No"))</f>
        <v/>
      </c>
      <c r="M386" s="30">
        <f>IF(B386="","",IFERROR(INDEX('Share classes'!$F$4:$F$203,MATCH(B386,'Share classes'!$B$4:$B$203,0)),""))</f>
        <v/>
      </c>
      <c r="N386" s="30">
        <f>IF(A386="","",IF(K386="","Unknown holder ID",IF(J386="","Unknown class code",IF(OR(C386="",D386=""),"Missing shares or date",IF(OR(C386&lt;0,C386&lt;&gt;INT(C386)),"Shares must be a whole number",IF(COUNTIFS($A$4:$A$2503,A386,$B$4:$B$2503,B386,$D$4:$D$2503,D386)&gt;1,"Duplicate row (same date)","OK"))))))</f>
        <v/>
      </c>
    </row>
    <row r="387">
      <c r="A387" s="26" t="n"/>
      <c r="B387" s="26" t="n"/>
      <c r="C387" s="34" t="n"/>
      <c r="D387" s="28" t="n"/>
      <c r="E387" s="26" t="n"/>
      <c r="F387" s="26" t="n"/>
      <c r="G387" s="26" t="n"/>
      <c r="H387" s="38" t="n"/>
      <c r="I387" s="28" t="n"/>
      <c r="J387" s="30">
        <f>IF(B387="","",IFERROR(INDEX('Share classes'!$A$4:$A$203,MATCH(B387,'Share classes'!$B$4:$B$203,0)),""))</f>
        <v/>
      </c>
      <c r="K387" s="30">
        <f>IF(A387="","",IFERROR(INDEX('Holders'!$B$4:$B$1003,MATCH(A387,'Holders'!$A$4:$A$1003,0)),""))</f>
        <v/>
      </c>
      <c r="L387" s="30">
        <f>IF(OR(A387="",B387="",D387=""),"",IF(D387=_xlfn.MAXIFS($D$4:$D$2503,$A$4:$A$2503,A387,$B$4:$B$2503,B387),"Yes","No"))</f>
        <v/>
      </c>
      <c r="M387" s="30">
        <f>IF(B387="","",IFERROR(INDEX('Share classes'!$F$4:$F$203,MATCH(B387,'Share classes'!$B$4:$B$203,0)),""))</f>
        <v/>
      </c>
      <c r="N387" s="30">
        <f>IF(A387="","",IF(K387="","Unknown holder ID",IF(J387="","Unknown class code",IF(OR(C387="",D387=""),"Missing shares or date",IF(OR(C387&lt;0,C387&lt;&gt;INT(C387)),"Shares must be a whole number",IF(COUNTIFS($A$4:$A$2503,A387,$B$4:$B$2503,B387,$D$4:$D$2503,D387)&gt;1,"Duplicate row (same date)","OK"))))))</f>
        <v/>
      </c>
    </row>
    <row r="388">
      <c r="A388" s="26" t="n"/>
      <c r="B388" s="26" t="n"/>
      <c r="C388" s="34" t="n"/>
      <c r="D388" s="28" t="n"/>
      <c r="E388" s="26" t="n"/>
      <c r="F388" s="26" t="n"/>
      <c r="G388" s="26" t="n"/>
      <c r="H388" s="38" t="n"/>
      <c r="I388" s="28" t="n"/>
      <c r="J388" s="30">
        <f>IF(B388="","",IFERROR(INDEX('Share classes'!$A$4:$A$203,MATCH(B388,'Share classes'!$B$4:$B$203,0)),""))</f>
        <v/>
      </c>
      <c r="K388" s="30">
        <f>IF(A388="","",IFERROR(INDEX('Holders'!$B$4:$B$1003,MATCH(A388,'Holders'!$A$4:$A$1003,0)),""))</f>
        <v/>
      </c>
      <c r="L388" s="30">
        <f>IF(OR(A388="",B388="",D388=""),"",IF(D388=_xlfn.MAXIFS($D$4:$D$2503,$A$4:$A$2503,A388,$B$4:$B$2503,B388),"Yes","No"))</f>
        <v/>
      </c>
      <c r="M388" s="30">
        <f>IF(B388="","",IFERROR(INDEX('Share classes'!$F$4:$F$203,MATCH(B388,'Share classes'!$B$4:$B$203,0)),""))</f>
        <v/>
      </c>
      <c r="N388" s="30">
        <f>IF(A388="","",IF(K388="","Unknown holder ID",IF(J388="","Unknown class code",IF(OR(C388="",D388=""),"Missing shares or date",IF(OR(C388&lt;0,C388&lt;&gt;INT(C388)),"Shares must be a whole number",IF(COUNTIFS($A$4:$A$2503,A388,$B$4:$B$2503,B388,$D$4:$D$2503,D388)&gt;1,"Duplicate row (same date)","OK"))))))</f>
        <v/>
      </c>
    </row>
    <row r="389">
      <c r="A389" s="26" t="n"/>
      <c r="B389" s="26" t="n"/>
      <c r="C389" s="34" t="n"/>
      <c r="D389" s="28" t="n"/>
      <c r="E389" s="26" t="n"/>
      <c r="F389" s="26" t="n"/>
      <c r="G389" s="26" t="n"/>
      <c r="H389" s="38" t="n"/>
      <c r="I389" s="28" t="n"/>
      <c r="J389" s="30">
        <f>IF(B389="","",IFERROR(INDEX('Share classes'!$A$4:$A$203,MATCH(B389,'Share classes'!$B$4:$B$203,0)),""))</f>
        <v/>
      </c>
      <c r="K389" s="30">
        <f>IF(A389="","",IFERROR(INDEX('Holders'!$B$4:$B$1003,MATCH(A389,'Holders'!$A$4:$A$1003,0)),""))</f>
        <v/>
      </c>
      <c r="L389" s="30">
        <f>IF(OR(A389="",B389="",D389=""),"",IF(D389=_xlfn.MAXIFS($D$4:$D$2503,$A$4:$A$2503,A389,$B$4:$B$2503,B389),"Yes","No"))</f>
        <v/>
      </c>
      <c r="M389" s="30">
        <f>IF(B389="","",IFERROR(INDEX('Share classes'!$F$4:$F$203,MATCH(B389,'Share classes'!$B$4:$B$203,0)),""))</f>
        <v/>
      </c>
      <c r="N389" s="30">
        <f>IF(A389="","",IF(K389="","Unknown holder ID",IF(J389="","Unknown class code",IF(OR(C389="",D389=""),"Missing shares or date",IF(OR(C389&lt;0,C389&lt;&gt;INT(C389)),"Shares must be a whole number",IF(COUNTIFS($A$4:$A$2503,A389,$B$4:$B$2503,B389,$D$4:$D$2503,D389)&gt;1,"Duplicate row (same date)","OK"))))))</f>
        <v/>
      </c>
    </row>
    <row r="390">
      <c r="A390" s="26" t="n"/>
      <c r="B390" s="26" t="n"/>
      <c r="C390" s="34" t="n"/>
      <c r="D390" s="28" t="n"/>
      <c r="E390" s="26" t="n"/>
      <c r="F390" s="26" t="n"/>
      <c r="G390" s="26" t="n"/>
      <c r="H390" s="38" t="n"/>
      <c r="I390" s="28" t="n"/>
      <c r="J390" s="30">
        <f>IF(B390="","",IFERROR(INDEX('Share classes'!$A$4:$A$203,MATCH(B390,'Share classes'!$B$4:$B$203,0)),""))</f>
        <v/>
      </c>
      <c r="K390" s="30">
        <f>IF(A390="","",IFERROR(INDEX('Holders'!$B$4:$B$1003,MATCH(A390,'Holders'!$A$4:$A$1003,0)),""))</f>
        <v/>
      </c>
      <c r="L390" s="30">
        <f>IF(OR(A390="",B390="",D390=""),"",IF(D390=_xlfn.MAXIFS($D$4:$D$2503,$A$4:$A$2503,A390,$B$4:$B$2503,B390),"Yes","No"))</f>
        <v/>
      </c>
      <c r="M390" s="30">
        <f>IF(B390="","",IFERROR(INDEX('Share classes'!$F$4:$F$203,MATCH(B390,'Share classes'!$B$4:$B$203,0)),""))</f>
        <v/>
      </c>
      <c r="N390" s="30">
        <f>IF(A390="","",IF(K390="","Unknown holder ID",IF(J390="","Unknown class code",IF(OR(C390="",D390=""),"Missing shares or date",IF(OR(C390&lt;0,C390&lt;&gt;INT(C390)),"Shares must be a whole number",IF(COUNTIFS($A$4:$A$2503,A390,$B$4:$B$2503,B390,$D$4:$D$2503,D390)&gt;1,"Duplicate row (same date)","OK"))))))</f>
        <v/>
      </c>
    </row>
    <row r="391">
      <c r="A391" s="26" t="n"/>
      <c r="B391" s="26" t="n"/>
      <c r="C391" s="34" t="n"/>
      <c r="D391" s="28" t="n"/>
      <c r="E391" s="26" t="n"/>
      <c r="F391" s="26" t="n"/>
      <c r="G391" s="26" t="n"/>
      <c r="H391" s="38" t="n"/>
      <c r="I391" s="28" t="n"/>
      <c r="J391" s="30">
        <f>IF(B391="","",IFERROR(INDEX('Share classes'!$A$4:$A$203,MATCH(B391,'Share classes'!$B$4:$B$203,0)),""))</f>
        <v/>
      </c>
      <c r="K391" s="30">
        <f>IF(A391="","",IFERROR(INDEX('Holders'!$B$4:$B$1003,MATCH(A391,'Holders'!$A$4:$A$1003,0)),""))</f>
        <v/>
      </c>
      <c r="L391" s="30">
        <f>IF(OR(A391="",B391="",D391=""),"",IF(D391=_xlfn.MAXIFS($D$4:$D$2503,$A$4:$A$2503,A391,$B$4:$B$2503,B391),"Yes","No"))</f>
        <v/>
      </c>
      <c r="M391" s="30">
        <f>IF(B391="","",IFERROR(INDEX('Share classes'!$F$4:$F$203,MATCH(B391,'Share classes'!$B$4:$B$203,0)),""))</f>
        <v/>
      </c>
      <c r="N391" s="30">
        <f>IF(A391="","",IF(K391="","Unknown holder ID",IF(J391="","Unknown class code",IF(OR(C391="",D391=""),"Missing shares or date",IF(OR(C391&lt;0,C391&lt;&gt;INT(C391)),"Shares must be a whole number",IF(COUNTIFS($A$4:$A$2503,A391,$B$4:$B$2503,B391,$D$4:$D$2503,D391)&gt;1,"Duplicate row (same date)","OK"))))))</f>
        <v/>
      </c>
    </row>
    <row r="392">
      <c r="A392" s="26" t="n"/>
      <c r="B392" s="26" t="n"/>
      <c r="C392" s="34" t="n"/>
      <c r="D392" s="28" t="n"/>
      <c r="E392" s="26" t="n"/>
      <c r="F392" s="26" t="n"/>
      <c r="G392" s="26" t="n"/>
      <c r="H392" s="38" t="n"/>
      <c r="I392" s="28" t="n"/>
      <c r="J392" s="30">
        <f>IF(B392="","",IFERROR(INDEX('Share classes'!$A$4:$A$203,MATCH(B392,'Share classes'!$B$4:$B$203,0)),""))</f>
        <v/>
      </c>
      <c r="K392" s="30">
        <f>IF(A392="","",IFERROR(INDEX('Holders'!$B$4:$B$1003,MATCH(A392,'Holders'!$A$4:$A$1003,0)),""))</f>
        <v/>
      </c>
      <c r="L392" s="30">
        <f>IF(OR(A392="",B392="",D392=""),"",IF(D392=_xlfn.MAXIFS($D$4:$D$2503,$A$4:$A$2503,A392,$B$4:$B$2503,B392),"Yes","No"))</f>
        <v/>
      </c>
      <c r="M392" s="30">
        <f>IF(B392="","",IFERROR(INDEX('Share classes'!$F$4:$F$203,MATCH(B392,'Share classes'!$B$4:$B$203,0)),""))</f>
        <v/>
      </c>
      <c r="N392" s="30">
        <f>IF(A392="","",IF(K392="","Unknown holder ID",IF(J392="","Unknown class code",IF(OR(C392="",D392=""),"Missing shares or date",IF(OR(C392&lt;0,C392&lt;&gt;INT(C392)),"Shares must be a whole number",IF(COUNTIFS($A$4:$A$2503,A392,$B$4:$B$2503,B392,$D$4:$D$2503,D392)&gt;1,"Duplicate row (same date)","OK"))))))</f>
        <v/>
      </c>
    </row>
    <row r="393">
      <c r="A393" s="26" t="n"/>
      <c r="B393" s="26" t="n"/>
      <c r="C393" s="34" t="n"/>
      <c r="D393" s="28" t="n"/>
      <c r="E393" s="26" t="n"/>
      <c r="F393" s="26" t="n"/>
      <c r="G393" s="26" t="n"/>
      <c r="H393" s="38" t="n"/>
      <c r="I393" s="28" t="n"/>
      <c r="J393" s="30">
        <f>IF(B393="","",IFERROR(INDEX('Share classes'!$A$4:$A$203,MATCH(B393,'Share classes'!$B$4:$B$203,0)),""))</f>
        <v/>
      </c>
      <c r="K393" s="30">
        <f>IF(A393="","",IFERROR(INDEX('Holders'!$B$4:$B$1003,MATCH(A393,'Holders'!$A$4:$A$1003,0)),""))</f>
        <v/>
      </c>
      <c r="L393" s="30">
        <f>IF(OR(A393="",B393="",D393=""),"",IF(D393=_xlfn.MAXIFS($D$4:$D$2503,$A$4:$A$2503,A393,$B$4:$B$2503,B393),"Yes","No"))</f>
        <v/>
      </c>
      <c r="M393" s="30">
        <f>IF(B393="","",IFERROR(INDEX('Share classes'!$F$4:$F$203,MATCH(B393,'Share classes'!$B$4:$B$203,0)),""))</f>
        <v/>
      </c>
      <c r="N393" s="30">
        <f>IF(A393="","",IF(K393="","Unknown holder ID",IF(J393="","Unknown class code",IF(OR(C393="",D393=""),"Missing shares or date",IF(OR(C393&lt;0,C393&lt;&gt;INT(C393)),"Shares must be a whole number",IF(COUNTIFS($A$4:$A$2503,A393,$B$4:$B$2503,B393,$D$4:$D$2503,D393)&gt;1,"Duplicate row (same date)","OK"))))))</f>
        <v/>
      </c>
    </row>
    <row r="394">
      <c r="A394" s="26" t="n"/>
      <c r="B394" s="26" t="n"/>
      <c r="C394" s="34" t="n"/>
      <c r="D394" s="28" t="n"/>
      <c r="E394" s="26" t="n"/>
      <c r="F394" s="26" t="n"/>
      <c r="G394" s="26" t="n"/>
      <c r="H394" s="38" t="n"/>
      <c r="I394" s="28" t="n"/>
      <c r="J394" s="30">
        <f>IF(B394="","",IFERROR(INDEX('Share classes'!$A$4:$A$203,MATCH(B394,'Share classes'!$B$4:$B$203,0)),""))</f>
        <v/>
      </c>
      <c r="K394" s="30">
        <f>IF(A394="","",IFERROR(INDEX('Holders'!$B$4:$B$1003,MATCH(A394,'Holders'!$A$4:$A$1003,0)),""))</f>
        <v/>
      </c>
      <c r="L394" s="30">
        <f>IF(OR(A394="",B394="",D394=""),"",IF(D394=_xlfn.MAXIFS($D$4:$D$2503,$A$4:$A$2503,A394,$B$4:$B$2503,B394),"Yes","No"))</f>
        <v/>
      </c>
      <c r="M394" s="30">
        <f>IF(B394="","",IFERROR(INDEX('Share classes'!$F$4:$F$203,MATCH(B394,'Share classes'!$B$4:$B$203,0)),""))</f>
        <v/>
      </c>
      <c r="N394" s="30">
        <f>IF(A394="","",IF(K394="","Unknown holder ID",IF(J394="","Unknown class code",IF(OR(C394="",D394=""),"Missing shares or date",IF(OR(C394&lt;0,C394&lt;&gt;INT(C394)),"Shares must be a whole number",IF(COUNTIFS($A$4:$A$2503,A394,$B$4:$B$2503,B394,$D$4:$D$2503,D394)&gt;1,"Duplicate row (same date)","OK"))))))</f>
        <v/>
      </c>
    </row>
    <row r="395">
      <c r="A395" s="26" t="n"/>
      <c r="B395" s="26" t="n"/>
      <c r="C395" s="34" t="n"/>
      <c r="D395" s="28" t="n"/>
      <c r="E395" s="26" t="n"/>
      <c r="F395" s="26" t="n"/>
      <c r="G395" s="26" t="n"/>
      <c r="H395" s="38" t="n"/>
      <c r="I395" s="28" t="n"/>
      <c r="J395" s="30">
        <f>IF(B395="","",IFERROR(INDEX('Share classes'!$A$4:$A$203,MATCH(B395,'Share classes'!$B$4:$B$203,0)),""))</f>
        <v/>
      </c>
      <c r="K395" s="30">
        <f>IF(A395="","",IFERROR(INDEX('Holders'!$B$4:$B$1003,MATCH(A395,'Holders'!$A$4:$A$1003,0)),""))</f>
        <v/>
      </c>
      <c r="L395" s="30">
        <f>IF(OR(A395="",B395="",D395=""),"",IF(D395=_xlfn.MAXIFS($D$4:$D$2503,$A$4:$A$2503,A395,$B$4:$B$2503,B395),"Yes","No"))</f>
        <v/>
      </c>
      <c r="M395" s="30">
        <f>IF(B395="","",IFERROR(INDEX('Share classes'!$F$4:$F$203,MATCH(B395,'Share classes'!$B$4:$B$203,0)),""))</f>
        <v/>
      </c>
      <c r="N395" s="30">
        <f>IF(A395="","",IF(K395="","Unknown holder ID",IF(J395="","Unknown class code",IF(OR(C395="",D395=""),"Missing shares or date",IF(OR(C395&lt;0,C395&lt;&gt;INT(C395)),"Shares must be a whole number",IF(COUNTIFS($A$4:$A$2503,A395,$B$4:$B$2503,B395,$D$4:$D$2503,D395)&gt;1,"Duplicate row (same date)","OK"))))))</f>
        <v/>
      </c>
    </row>
    <row r="396">
      <c r="A396" s="26" t="n"/>
      <c r="B396" s="26" t="n"/>
      <c r="C396" s="34" t="n"/>
      <c r="D396" s="28" t="n"/>
      <c r="E396" s="26" t="n"/>
      <c r="F396" s="26" t="n"/>
      <c r="G396" s="26" t="n"/>
      <c r="H396" s="38" t="n"/>
      <c r="I396" s="28" t="n"/>
      <c r="J396" s="30">
        <f>IF(B396="","",IFERROR(INDEX('Share classes'!$A$4:$A$203,MATCH(B396,'Share classes'!$B$4:$B$203,0)),""))</f>
        <v/>
      </c>
      <c r="K396" s="30">
        <f>IF(A396="","",IFERROR(INDEX('Holders'!$B$4:$B$1003,MATCH(A396,'Holders'!$A$4:$A$1003,0)),""))</f>
        <v/>
      </c>
      <c r="L396" s="30">
        <f>IF(OR(A396="",B396="",D396=""),"",IF(D396=_xlfn.MAXIFS($D$4:$D$2503,$A$4:$A$2503,A396,$B$4:$B$2503,B396),"Yes","No"))</f>
        <v/>
      </c>
      <c r="M396" s="30">
        <f>IF(B396="","",IFERROR(INDEX('Share classes'!$F$4:$F$203,MATCH(B396,'Share classes'!$B$4:$B$203,0)),""))</f>
        <v/>
      </c>
      <c r="N396" s="30">
        <f>IF(A396="","",IF(K396="","Unknown holder ID",IF(J396="","Unknown class code",IF(OR(C396="",D396=""),"Missing shares or date",IF(OR(C396&lt;0,C396&lt;&gt;INT(C396)),"Shares must be a whole number",IF(COUNTIFS($A$4:$A$2503,A396,$B$4:$B$2503,B396,$D$4:$D$2503,D396)&gt;1,"Duplicate row (same date)","OK"))))))</f>
        <v/>
      </c>
    </row>
    <row r="397">
      <c r="A397" s="26" t="n"/>
      <c r="B397" s="26" t="n"/>
      <c r="C397" s="34" t="n"/>
      <c r="D397" s="28" t="n"/>
      <c r="E397" s="26" t="n"/>
      <c r="F397" s="26" t="n"/>
      <c r="G397" s="26" t="n"/>
      <c r="H397" s="38" t="n"/>
      <c r="I397" s="28" t="n"/>
      <c r="J397" s="30">
        <f>IF(B397="","",IFERROR(INDEX('Share classes'!$A$4:$A$203,MATCH(B397,'Share classes'!$B$4:$B$203,0)),""))</f>
        <v/>
      </c>
      <c r="K397" s="30">
        <f>IF(A397="","",IFERROR(INDEX('Holders'!$B$4:$B$1003,MATCH(A397,'Holders'!$A$4:$A$1003,0)),""))</f>
        <v/>
      </c>
      <c r="L397" s="30">
        <f>IF(OR(A397="",B397="",D397=""),"",IF(D397=_xlfn.MAXIFS($D$4:$D$2503,$A$4:$A$2503,A397,$B$4:$B$2503,B397),"Yes","No"))</f>
        <v/>
      </c>
      <c r="M397" s="30">
        <f>IF(B397="","",IFERROR(INDEX('Share classes'!$F$4:$F$203,MATCH(B397,'Share classes'!$B$4:$B$203,0)),""))</f>
        <v/>
      </c>
      <c r="N397" s="30">
        <f>IF(A397="","",IF(K397="","Unknown holder ID",IF(J397="","Unknown class code",IF(OR(C397="",D397=""),"Missing shares or date",IF(OR(C397&lt;0,C397&lt;&gt;INT(C397)),"Shares must be a whole number",IF(COUNTIFS($A$4:$A$2503,A397,$B$4:$B$2503,B397,$D$4:$D$2503,D397)&gt;1,"Duplicate row (same date)","OK"))))))</f>
        <v/>
      </c>
    </row>
    <row r="398">
      <c r="A398" s="26" t="n"/>
      <c r="B398" s="26" t="n"/>
      <c r="C398" s="34" t="n"/>
      <c r="D398" s="28" t="n"/>
      <c r="E398" s="26" t="n"/>
      <c r="F398" s="26" t="n"/>
      <c r="G398" s="26" t="n"/>
      <c r="H398" s="38" t="n"/>
      <c r="I398" s="28" t="n"/>
      <c r="J398" s="30">
        <f>IF(B398="","",IFERROR(INDEX('Share classes'!$A$4:$A$203,MATCH(B398,'Share classes'!$B$4:$B$203,0)),""))</f>
        <v/>
      </c>
      <c r="K398" s="30">
        <f>IF(A398="","",IFERROR(INDEX('Holders'!$B$4:$B$1003,MATCH(A398,'Holders'!$A$4:$A$1003,0)),""))</f>
        <v/>
      </c>
      <c r="L398" s="30">
        <f>IF(OR(A398="",B398="",D398=""),"",IF(D398=_xlfn.MAXIFS($D$4:$D$2503,$A$4:$A$2503,A398,$B$4:$B$2503,B398),"Yes","No"))</f>
        <v/>
      </c>
      <c r="M398" s="30">
        <f>IF(B398="","",IFERROR(INDEX('Share classes'!$F$4:$F$203,MATCH(B398,'Share classes'!$B$4:$B$203,0)),""))</f>
        <v/>
      </c>
      <c r="N398" s="30">
        <f>IF(A398="","",IF(K398="","Unknown holder ID",IF(J398="","Unknown class code",IF(OR(C398="",D398=""),"Missing shares or date",IF(OR(C398&lt;0,C398&lt;&gt;INT(C398)),"Shares must be a whole number",IF(COUNTIFS($A$4:$A$2503,A398,$B$4:$B$2503,B398,$D$4:$D$2503,D398)&gt;1,"Duplicate row (same date)","OK"))))))</f>
        <v/>
      </c>
    </row>
    <row r="399">
      <c r="A399" s="26" t="n"/>
      <c r="B399" s="26" t="n"/>
      <c r="C399" s="34" t="n"/>
      <c r="D399" s="28" t="n"/>
      <c r="E399" s="26" t="n"/>
      <c r="F399" s="26" t="n"/>
      <c r="G399" s="26" t="n"/>
      <c r="H399" s="38" t="n"/>
      <c r="I399" s="28" t="n"/>
      <c r="J399" s="30">
        <f>IF(B399="","",IFERROR(INDEX('Share classes'!$A$4:$A$203,MATCH(B399,'Share classes'!$B$4:$B$203,0)),""))</f>
        <v/>
      </c>
      <c r="K399" s="30">
        <f>IF(A399="","",IFERROR(INDEX('Holders'!$B$4:$B$1003,MATCH(A399,'Holders'!$A$4:$A$1003,0)),""))</f>
        <v/>
      </c>
      <c r="L399" s="30">
        <f>IF(OR(A399="",B399="",D399=""),"",IF(D399=_xlfn.MAXIFS($D$4:$D$2503,$A$4:$A$2503,A399,$B$4:$B$2503,B399),"Yes","No"))</f>
        <v/>
      </c>
      <c r="M399" s="30">
        <f>IF(B399="","",IFERROR(INDEX('Share classes'!$F$4:$F$203,MATCH(B399,'Share classes'!$B$4:$B$203,0)),""))</f>
        <v/>
      </c>
      <c r="N399" s="30">
        <f>IF(A399="","",IF(K399="","Unknown holder ID",IF(J399="","Unknown class code",IF(OR(C399="",D399=""),"Missing shares or date",IF(OR(C399&lt;0,C399&lt;&gt;INT(C399)),"Shares must be a whole number",IF(COUNTIFS($A$4:$A$2503,A399,$B$4:$B$2503,B399,$D$4:$D$2503,D399)&gt;1,"Duplicate row (same date)","OK"))))))</f>
        <v/>
      </c>
    </row>
    <row r="400">
      <c r="A400" s="26" t="n"/>
      <c r="B400" s="26" t="n"/>
      <c r="C400" s="34" t="n"/>
      <c r="D400" s="28" t="n"/>
      <c r="E400" s="26" t="n"/>
      <c r="F400" s="26" t="n"/>
      <c r="G400" s="26" t="n"/>
      <c r="H400" s="38" t="n"/>
      <c r="I400" s="28" t="n"/>
      <c r="J400" s="30">
        <f>IF(B400="","",IFERROR(INDEX('Share classes'!$A$4:$A$203,MATCH(B400,'Share classes'!$B$4:$B$203,0)),""))</f>
        <v/>
      </c>
      <c r="K400" s="30">
        <f>IF(A400="","",IFERROR(INDEX('Holders'!$B$4:$B$1003,MATCH(A400,'Holders'!$A$4:$A$1003,0)),""))</f>
        <v/>
      </c>
      <c r="L400" s="30">
        <f>IF(OR(A400="",B400="",D400=""),"",IF(D400=_xlfn.MAXIFS($D$4:$D$2503,$A$4:$A$2503,A400,$B$4:$B$2503,B400),"Yes","No"))</f>
        <v/>
      </c>
      <c r="M400" s="30">
        <f>IF(B400="","",IFERROR(INDEX('Share classes'!$F$4:$F$203,MATCH(B400,'Share classes'!$B$4:$B$203,0)),""))</f>
        <v/>
      </c>
      <c r="N400" s="30">
        <f>IF(A400="","",IF(K400="","Unknown holder ID",IF(J400="","Unknown class code",IF(OR(C400="",D400=""),"Missing shares or date",IF(OR(C400&lt;0,C400&lt;&gt;INT(C400)),"Shares must be a whole number",IF(COUNTIFS($A$4:$A$2503,A400,$B$4:$B$2503,B400,$D$4:$D$2503,D400)&gt;1,"Duplicate row (same date)","OK"))))))</f>
        <v/>
      </c>
    </row>
    <row r="401">
      <c r="A401" s="26" t="n"/>
      <c r="B401" s="26" t="n"/>
      <c r="C401" s="34" t="n"/>
      <c r="D401" s="28" t="n"/>
      <c r="E401" s="26" t="n"/>
      <c r="F401" s="26" t="n"/>
      <c r="G401" s="26" t="n"/>
      <c r="H401" s="38" t="n"/>
      <c r="I401" s="28" t="n"/>
      <c r="J401" s="30">
        <f>IF(B401="","",IFERROR(INDEX('Share classes'!$A$4:$A$203,MATCH(B401,'Share classes'!$B$4:$B$203,0)),""))</f>
        <v/>
      </c>
      <c r="K401" s="30">
        <f>IF(A401="","",IFERROR(INDEX('Holders'!$B$4:$B$1003,MATCH(A401,'Holders'!$A$4:$A$1003,0)),""))</f>
        <v/>
      </c>
      <c r="L401" s="30">
        <f>IF(OR(A401="",B401="",D401=""),"",IF(D401=_xlfn.MAXIFS($D$4:$D$2503,$A$4:$A$2503,A401,$B$4:$B$2503,B401),"Yes","No"))</f>
        <v/>
      </c>
      <c r="M401" s="30">
        <f>IF(B401="","",IFERROR(INDEX('Share classes'!$F$4:$F$203,MATCH(B401,'Share classes'!$B$4:$B$203,0)),""))</f>
        <v/>
      </c>
      <c r="N401" s="30">
        <f>IF(A401="","",IF(K401="","Unknown holder ID",IF(J401="","Unknown class code",IF(OR(C401="",D401=""),"Missing shares or date",IF(OR(C401&lt;0,C401&lt;&gt;INT(C401)),"Shares must be a whole number",IF(COUNTIFS($A$4:$A$2503,A401,$B$4:$B$2503,B401,$D$4:$D$2503,D401)&gt;1,"Duplicate row (same date)","OK"))))))</f>
        <v/>
      </c>
    </row>
    <row r="402">
      <c r="A402" s="26" t="n"/>
      <c r="B402" s="26" t="n"/>
      <c r="C402" s="34" t="n"/>
      <c r="D402" s="28" t="n"/>
      <c r="E402" s="26" t="n"/>
      <c r="F402" s="26" t="n"/>
      <c r="G402" s="26" t="n"/>
      <c r="H402" s="38" t="n"/>
      <c r="I402" s="28" t="n"/>
      <c r="J402" s="30">
        <f>IF(B402="","",IFERROR(INDEX('Share classes'!$A$4:$A$203,MATCH(B402,'Share classes'!$B$4:$B$203,0)),""))</f>
        <v/>
      </c>
      <c r="K402" s="30">
        <f>IF(A402="","",IFERROR(INDEX('Holders'!$B$4:$B$1003,MATCH(A402,'Holders'!$A$4:$A$1003,0)),""))</f>
        <v/>
      </c>
      <c r="L402" s="30">
        <f>IF(OR(A402="",B402="",D402=""),"",IF(D402=_xlfn.MAXIFS($D$4:$D$2503,$A$4:$A$2503,A402,$B$4:$B$2503,B402),"Yes","No"))</f>
        <v/>
      </c>
      <c r="M402" s="30">
        <f>IF(B402="","",IFERROR(INDEX('Share classes'!$F$4:$F$203,MATCH(B402,'Share classes'!$B$4:$B$203,0)),""))</f>
        <v/>
      </c>
      <c r="N402" s="30">
        <f>IF(A402="","",IF(K402="","Unknown holder ID",IF(J402="","Unknown class code",IF(OR(C402="",D402=""),"Missing shares or date",IF(OR(C402&lt;0,C402&lt;&gt;INT(C402)),"Shares must be a whole number",IF(COUNTIFS($A$4:$A$2503,A402,$B$4:$B$2503,B402,$D$4:$D$2503,D402)&gt;1,"Duplicate row (same date)","OK"))))))</f>
        <v/>
      </c>
    </row>
    <row r="403">
      <c r="A403" s="26" t="n"/>
      <c r="B403" s="26" t="n"/>
      <c r="C403" s="34" t="n"/>
      <c r="D403" s="28" t="n"/>
      <c r="E403" s="26" t="n"/>
      <c r="F403" s="26" t="n"/>
      <c r="G403" s="26" t="n"/>
      <c r="H403" s="38" t="n"/>
      <c r="I403" s="28" t="n"/>
      <c r="J403" s="30">
        <f>IF(B403="","",IFERROR(INDEX('Share classes'!$A$4:$A$203,MATCH(B403,'Share classes'!$B$4:$B$203,0)),""))</f>
        <v/>
      </c>
      <c r="K403" s="30">
        <f>IF(A403="","",IFERROR(INDEX('Holders'!$B$4:$B$1003,MATCH(A403,'Holders'!$A$4:$A$1003,0)),""))</f>
        <v/>
      </c>
      <c r="L403" s="30">
        <f>IF(OR(A403="",B403="",D403=""),"",IF(D403=_xlfn.MAXIFS($D$4:$D$2503,$A$4:$A$2503,A403,$B$4:$B$2503,B403),"Yes","No"))</f>
        <v/>
      </c>
      <c r="M403" s="30">
        <f>IF(B403="","",IFERROR(INDEX('Share classes'!$F$4:$F$203,MATCH(B403,'Share classes'!$B$4:$B$203,0)),""))</f>
        <v/>
      </c>
      <c r="N403" s="30">
        <f>IF(A403="","",IF(K403="","Unknown holder ID",IF(J403="","Unknown class code",IF(OR(C403="",D403=""),"Missing shares or date",IF(OR(C403&lt;0,C403&lt;&gt;INT(C403)),"Shares must be a whole number",IF(COUNTIFS($A$4:$A$2503,A403,$B$4:$B$2503,B403,$D$4:$D$2503,D403)&gt;1,"Duplicate row (same date)","OK"))))))</f>
        <v/>
      </c>
    </row>
    <row r="404">
      <c r="A404" s="26" t="n"/>
      <c r="B404" s="26" t="n"/>
      <c r="C404" s="34" t="n"/>
      <c r="D404" s="28" t="n"/>
      <c r="E404" s="26" t="n"/>
      <c r="F404" s="26" t="n"/>
      <c r="G404" s="26" t="n"/>
      <c r="H404" s="38" t="n"/>
      <c r="I404" s="28" t="n"/>
      <c r="J404" s="30">
        <f>IF(B404="","",IFERROR(INDEX('Share classes'!$A$4:$A$203,MATCH(B404,'Share classes'!$B$4:$B$203,0)),""))</f>
        <v/>
      </c>
      <c r="K404" s="30">
        <f>IF(A404="","",IFERROR(INDEX('Holders'!$B$4:$B$1003,MATCH(A404,'Holders'!$A$4:$A$1003,0)),""))</f>
        <v/>
      </c>
      <c r="L404" s="30">
        <f>IF(OR(A404="",B404="",D404=""),"",IF(D404=_xlfn.MAXIFS($D$4:$D$2503,$A$4:$A$2503,A404,$B$4:$B$2503,B404),"Yes","No"))</f>
        <v/>
      </c>
      <c r="M404" s="30">
        <f>IF(B404="","",IFERROR(INDEX('Share classes'!$F$4:$F$203,MATCH(B404,'Share classes'!$B$4:$B$203,0)),""))</f>
        <v/>
      </c>
      <c r="N404" s="30">
        <f>IF(A404="","",IF(K404="","Unknown holder ID",IF(J404="","Unknown class code",IF(OR(C404="",D404=""),"Missing shares or date",IF(OR(C404&lt;0,C404&lt;&gt;INT(C404)),"Shares must be a whole number",IF(COUNTIFS($A$4:$A$2503,A404,$B$4:$B$2503,B404,$D$4:$D$2503,D404)&gt;1,"Duplicate row (same date)","OK"))))))</f>
        <v/>
      </c>
    </row>
    <row r="405">
      <c r="A405" s="26" t="n"/>
      <c r="B405" s="26" t="n"/>
      <c r="C405" s="34" t="n"/>
      <c r="D405" s="28" t="n"/>
      <c r="E405" s="26" t="n"/>
      <c r="F405" s="26" t="n"/>
      <c r="G405" s="26" t="n"/>
      <c r="H405" s="38" t="n"/>
      <c r="I405" s="28" t="n"/>
      <c r="J405" s="30">
        <f>IF(B405="","",IFERROR(INDEX('Share classes'!$A$4:$A$203,MATCH(B405,'Share classes'!$B$4:$B$203,0)),""))</f>
        <v/>
      </c>
      <c r="K405" s="30">
        <f>IF(A405="","",IFERROR(INDEX('Holders'!$B$4:$B$1003,MATCH(A405,'Holders'!$A$4:$A$1003,0)),""))</f>
        <v/>
      </c>
      <c r="L405" s="30">
        <f>IF(OR(A405="",B405="",D405=""),"",IF(D405=_xlfn.MAXIFS($D$4:$D$2503,$A$4:$A$2503,A405,$B$4:$B$2503,B405),"Yes","No"))</f>
        <v/>
      </c>
      <c r="M405" s="30">
        <f>IF(B405="","",IFERROR(INDEX('Share classes'!$F$4:$F$203,MATCH(B405,'Share classes'!$B$4:$B$203,0)),""))</f>
        <v/>
      </c>
      <c r="N405" s="30">
        <f>IF(A405="","",IF(K405="","Unknown holder ID",IF(J405="","Unknown class code",IF(OR(C405="",D405=""),"Missing shares or date",IF(OR(C405&lt;0,C405&lt;&gt;INT(C405)),"Shares must be a whole number",IF(COUNTIFS($A$4:$A$2503,A405,$B$4:$B$2503,B405,$D$4:$D$2503,D405)&gt;1,"Duplicate row (same date)","OK"))))))</f>
        <v/>
      </c>
    </row>
    <row r="406">
      <c r="A406" s="26" t="n"/>
      <c r="B406" s="26" t="n"/>
      <c r="C406" s="34" t="n"/>
      <c r="D406" s="28" t="n"/>
      <c r="E406" s="26" t="n"/>
      <c r="F406" s="26" t="n"/>
      <c r="G406" s="26" t="n"/>
      <c r="H406" s="38" t="n"/>
      <c r="I406" s="28" t="n"/>
      <c r="J406" s="30">
        <f>IF(B406="","",IFERROR(INDEX('Share classes'!$A$4:$A$203,MATCH(B406,'Share classes'!$B$4:$B$203,0)),""))</f>
        <v/>
      </c>
      <c r="K406" s="30">
        <f>IF(A406="","",IFERROR(INDEX('Holders'!$B$4:$B$1003,MATCH(A406,'Holders'!$A$4:$A$1003,0)),""))</f>
        <v/>
      </c>
      <c r="L406" s="30">
        <f>IF(OR(A406="",B406="",D406=""),"",IF(D406=_xlfn.MAXIFS($D$4:$D$2503,$A$4:$A$2503,A406,$B$4:$B$2503,B406),"Yes","No"))</f>
        <v/>
      </c>
      <c r="M406" s="30">
        <f>IF(B406="","",IFERROR(INDEX('Share classes'!$F$4:$F$203,MATCH(B406,'Share classes'!$B$4:$B$203,0)),""))</f>
        <v/>
      </c>
      <c r="N406" s="30">
        <f>IF(A406="","",IF(K406="","Unknown holder ID",IF(J406="","Unknown class code",IF(OR(C406="",D406=""),"Missing shares or date",IF(OR(C406&lt;0,C406&lt;&gt;INT(C406)),"Shares must be a whole number",IF(COUNTIFS($A$4:$A$2503,A406,$B$4:$B$2503,B406,$D$4:$D$2503,D406)&gt;1,"Duplicate row (same date)","OK"))))))</f>
        <v/>
      </c>
    </row>
    <row r="407">
      <c r="A407" s="26" t="n"/>
      <c r="B407" s="26" t="n"/>
      <c r="C407" s="34" t="n"/>
      <c r="D407" s="28" t="n"/>
      <c r="E407" s="26" t="n"/>
      <c r="F407" s="26" t="n"/>
      <c r="G407" s="26" t="n"/>
      <c r="H407" s="38" t="n"/>
      <c r="I407" s="28" t="n"/>
      <c r="J407" s="30">
        <f>IF(B407="","",IFERROR(INDEX('Share classes'!$A$4:$A$203,MATCH(B407,'Share classes'!$B$4:$B$203,0)),""))</f>
        <v/>
      </c>
      <c r="K407" s="30">
        <f>IF(A407="","",IFERROR(INDEX('Holders'!$B$4:$B$1003,MATCH(A407,'Holders'!$A$4:$A$1003,0)),""))</f>
        <v/>
      </c>
      <c r="L407" s="30">
        <f>IF(OR(A407="",B407="",D407=""),"",IF(D407=_xlfn.MAXIFS($D$4:$D$2503,$A$4:$A$2503,A407,$B$4:$B$2503,B407),"Yes","No"))</f>
        <v/>
      </c>
      <c r="M407" s="30">
        <f>IF(B407="","",IFERROR(INDEX('Share classes'!$F$4:$F$203,MATCH(B407,'Share classes'!$B$4:$B$203,0)),""))</f>
        <v/>
      </c>
      <c r="N407" s="30">
        <f>IF(A407="","",IF(K407="","Unknown holder ID",IF(J407="","Unknown class code",IF(OR(C407="",D407=""),"Missing shares or date",IF(OR(C407&lt;0,C407&lt;&gt;INT(C407)),"Shares must be a whole number",IF(COUNTIFS($A$4:$A$2503,A407,$B$4:$B$2503,B407,$D$4:$D$2503,D407)&gt;1,"Duplicate row (same date)","OK"))))))</f>
        <v/>
      </c>
    </row>
    <row r="408">
      <c r="A408" s="26" t="n"/>
      <c r="B408" s="26" t="n"/>
      <c r="C408" s="34" t="n"/>
      <c r="D408" s="28" t="n"/>
      <c r="E408" s="26" t="n"/>
      <c r="F408" s="26" t="n"/>
      <c r="G408" s="26" t="n"/>
      <c r="H408" s="38" t="n"/>
      <c r="I408" s="28" t="n"/>
      <c r="J408" s="30">
        <f>IF(B408="","",IFERROR(INDEX('Share classes'!$A$4:$A$203,MATCH(B408,'Share classes'!$B$4:$B$203,0)),""))</f>
        <v/>
      </c>
      <c r="K408" s="30">
        <f>IF(A408="","",IFERROR(INDEX('Holders'!$B$4:$B$1003,MATCH(A408,'Holders'!$A$4:$A$1003,0)),""))</f>
        <v/>
      </c>
      <c r="L408" s="30">
        <f>IF(OR(A408="",B408="",D408=""),"",IF(D408=_xlfn.MAXIFS($D$4:$D$2503,$A$4:$A$2503,A408,$B$4:$B$2503,B408),"Yes","No"))</f>
        <v/>
      </c>
      <c r="M408" s="30">
        <f>IF(B408="","",IFERROR(INDEX('Share classes'!$F$4:$F$203,MATCH(B408,'Share classes'!$B$4:$B$203,0)),""))</f>
        <v/>
      </c>
      <c r="N408" s="30">
        <f>IF(A408="","",IF(K408="","Unknown holder ID",IF(J408="","Unknown class code",IF(OR(C408="",D408=""),"Missing shares or date",IF(OR(C408&lt;0,C408&lt;&gt;INT(C408)),"Shares must be a whole number",IF(COUNTIFS($A$4:$A$2503,A408,$B$4:$B$2503,B408,$D$4:$D$2503,D408)&gt;1,"Duplicate row (same date)","OK"))))))</f>
        <v/>
      </c>
    </row>
    <row r="409">
      <c r="A409" s="26" t="n"/>
      <c r="B409" s="26" t="n"/>
      <c r="C409" s="34" t="n"/>
      <c r="D409" s="28" t="n"/>
      <c r="E409" s="26" t="n"/>
      <c r="F409" s="26" t="n"/>
      <c r="G409" s="26" t="n"/>
      <c r="H409" s="38" t="n"/>
      <c r="I409" s="28" t="n"/>
      <c r="J409" s="30">
        <f>IF(B409="","",IFERROR(INDEX('Share classes'!$A$4:$A$203,MATCH(B409,'Share classes'!$B$4:$B$203,0)),""))</f>
        <v/>
      </c>
      <c r="K409" s="30">
        <f>IF(A409="","",IFERROR(INDEX('Holders'!$B$4:$B$1003,MATCH(A409,'Holders'!$A$4:$A$1003,0)),""))</f>
        <v/>
      </c>
      <c r="L409" s="30">
        <f>IF(OR(A409="",B409="",D409=""),"",IF(D409=_xlfn.MAXIFS($D$4:$D$2503,$A$4:$A$2503,A409,$B$4:$B$2503,B409),"Yes","No"))</f>
        <v/>
      </c>
      <c r="M409" s="30">
        <f>IF(B409="","",IFERROR(INDEX('Share classes'!$F$4:$F$203,MATCH(B409,'Share classes'!$B$4:$B$203,0)),""))</f>
        <v/>
      </c>
      <c r="N409" s="30">
        <f>IF(A409="","",IF(K409="","Unknown holder ID",IF(J409="","Unknown class code",IF(OR(C409="",D409=""),"Missing shares or date",IF(OR(C409&lt;0,C409&lt;&gt;INT(C409)),"Shares must be a whole number",IF(COUNTIFS($A$4:$A$2503,A409,$B$4:$B$2503,B409,$D$4:$D$2503,D409)&gt;1,"Duplicate row (same date)","OK"))))))</f>
        <v/>
      </c>
    </row>
    <row r="410">
      <c r="A410" s="26" t="n"/>
      <c r="B410" s="26" t="n"/>
      <c r="C410" s="34" t="n"/>
      <c r="D410" s="28" t="n"/>
      <c r="E410" s="26" t="n"/>
      <c r="F410" s="26" t="n"/>
      <c r="G410" s="26" t="n"/>
      <c r="H410" s="38" t="n"/>
      <c r="I410" s="28" t="n"/>
      <c r="J410" s="30">
        <f>IF(B410="","",IFERROR(INDEX('Share classes'!$A$4:$A$203,MATCH(B410,'Share classes'!$B$4:$B$203,0)),""))</f>
        <v/>
      </c>
      <c r="K410" s="30">
        <f>IF(A410="","",IFERROR(INDEX('Holders'!$B$4:$B$1003,MATCH(A410,'Holders'!$A$4:$A$1003,0)),""))</f>
        <v/>
      </c>
      <c r="L410" s="30">
        <f>IF(OR(A410="",B410="",D410=""),"",IF(D410=_xlfn.MAXIFS($D$4:$D$2503,$A$4:$A$2503,A410,$B$4:$B$2503,B410),"Yes","No"))</f>
        <v/>
      </c>
      <c r="M410" s="30">
        <f>IF(B410="","",IFERROR(INDEX('Share classes'!$F$4:$F$203,MATCH(B410,'Share classes'!$B$4:$B$203,0)),""))</f>
        <v/>
      </c>
      <c r="N410" s="30">
        <f>IF(A410="","",IF(K410="","Unknown holder ID",IF(J410="","Unknown class code",IF(OR(C410="",D410=""),"Missing shares or date",IF(OR(C410&lt;0,C410&lt;&gt;INT(C410)),"Shares must be a whole number",IF(COUNTIFS($A$4:$A$2503,A410,$B$4:$B$2503,B410,$D$4:$D$2503,D410)&gt;1,"Duplicate row (same date)","OK"))))))</f>
        <v/>
      </c>
    </row>
    <row r="411">
      <c r="A411" s="26" t="n"/>
      <c r="B411" s="26" t="n"/>
      <c r="C411" s="34" t="n"/>
      <c r="D411" s="28" t="n"/>
      <c r="E411" s="26" t="n"/>
      <c r="F411" s="26" t="n"/>
      <c r="G411" s="26" t="n"/>
      <c r="H411" s="38" t="n"/>
      <c r="I411" s="28" t="n"/>
      <c r="J411" s="30">
        <f>IF(B411="","",IFERROR(INDEX('Share classes'!$A$4:$A$203,MATCH(B411,'Share classes'!$B$4:$B$203,0)),""))</f>
        <v/>
      </c>
      <c r="K411" s="30">
        <f>IF(A411="","",IFERROR(INDEX('Holders'!$B$4:$B$1003,MATCH(A411,'Holders'!$A$4:$A$1003,0)),""))</f>
        <v/>
      </c>
      <c r="L411" s="30">
        <f>IF(OR(A411="",B411="",D411=""),"",IF(D411=_xlfn.MAXIFS($D$4:$D$2503,$A$4:$A$2503,A411,$B$4:$B$2503,B411),"Yes","No"))</f>
        <v/>
      </c>
      <c r="M411" s="30">
        <f>IF(B411="","",IFERROR(INDEX('Share classes'!$F$4:$F$203,MATCH(B411,'Share classes'!$B$4:$B$203,0)),""))</f>
        <v/>
      </c>
      <c r="N411" s="30">
        <f>IF(A411="","",IF(K411="","Unknown holder ID",IF(J411="","Unknown class code",IF(OR(C411="",D411=""),"Missing shares or date",IF(OR(C411&lt;0,C411&lt;&gt;INT(C411)),"Shares must be a whole number",IF(COUNTIFS($A$4:$A$2503,A411,$B$4:$B$2503,B411,$D$4:$D$2503,D411)&gt;1,"Duplicate row (same date)","OK"))))))</f>
        <v/>
      </c>
    </row>
    <row r="412">
      <c r="A412" s="26" t="n"/>
      <c r="B412" s="26" t="n"/>
      <c r="C412" s="34" t="n"/>
      <c r="D412" s="28" t="n"/>
      <c r="E412" s="26" t="n"/>
      <c r="F412" s="26" t="n"/>
      <c r="G412" s="26" t="n"/>
      <c r="H412" s="38" t="n"/>
      <c r="I412" s="28" t="n"/>
      <c r="J412" s="30">
        <f>IF(B412="","",IFERROR(INDEX('Share classes'!$A$4:$A$203,MATCH(B412,'Share classes'!$B$4:$B$203,0)),""))</f>
        <v/>
      </c>
      <c r="K412" s="30">
        <f>IF(A412="","",IFERROR(INDEX('Holders'!$B$4:$B$1003,MATCH(A412,'Holders'!$A$4:$A$1003,0)),""))</f>
        <v/>
      </c>
      <c r="L412" s="30">
        <f>IF(OR(A412="",B412="",D412=""),"",IF(D412=_xlfn.MAXIFS($D$4:$D$2503,$A$4:$A$2503,A412,$B$4:$B$2503,B412),"Yes","No"))</f>
        <v/>
      </c>
      <c r="M412" s="30">
        <f>IF(B412="","",IFERROR(INDEX('Share classes'!$F$4:$F$203,MATCH(B412,'Share classes'!$B$4:$B$203,0)),""))</f>
        <v/>
      </c>
      <c r="N412" s="30">
        <f>IF(A412="","",IF(K412="","Unknown holder ID",IF(J412="","Unknown class code",IF(OR(C412="",D412=""),"Missing shares or date",IF(OR(C412&lt;0,C412&lt;&gt;INT(C412)),"Shares must be a whole number",IF(COUNTIFS($A$4:$A$2503,A412,$B$4:$B$2503,B412,$D$4:$D$2503,D412)&gt;1,"Duplicate row (same date)","OK"))))))</f>
        <v/>
      </c>
    </row>
    <row r="413">
      <c r="A413" s="26" t="n"/>
      <c r="B413" s="26" t="n"/>
      <c r="C413" s="34" t="n"/>
      <c r="D413" s="28" t="n"/>
      <c r="E413" s="26" t="n"/>
      <c r="F413" s="26" t="n"/>
      <c r="G413" s="26" t="n"/>
      <c r="H413" s="38" t="n"/>
      <c r="I413" s="28" t="n"/>
      <c r="J413" s="30">
        <f>IF(B413="","",IFERROR(INDEX('Share classes'!$A$4:$A$203,MATCH(B413,'Share classes'!$B$4:$B$203,0)),""))</f>
        <v/>
      </c>
      <c r="K413" s="30">
        <f>IF(A413="","",IFERROR(INDEX('Holders'!$B$4:$B$1003,MATCH(A413,'Holders'!$A$4:$A$1003,0)),""))</f>
        <v/>
      </c>
      <c r="L413" s="30">
        <f>IF(OR(A413="",B413="",D413=""),"",IF(D413=_xlfn.MAXIFS($D$4:$D$2503,$A$4:$A$2503,A413,$B$4:$B$2503,B413),"Yes","No"))</f>
        <v/>
      </c>
      <c r="M413" s="30">
        <f>IF(B413="","",IFERROR(INDEX('Share classes'!$F$4:$F$203,MATCH(B413,'Share classes'!$B$4:$B$203,0)),""))</f>
        <v/>
      </c>
      <c r="N413" s="30">
        <f>IF(A413="","",IF(K413="","Unknown holder ID",IF(J413="","Unknown class code",IF(OR(C413="",D413=""),"Missing shares or date",IF(OR(C413&lt;0,C413&lt;&gt;INT(C413)),"Shares must be a whole number",IF(COUNTIFS($A$4:$A$2503,A413,$B$4:$B$2503,B413,$D$4:$D$2503,D413)&gt;1,"Duplicate row (same date)","OK"))))))</f>
        <v/>
      </c>
    </row>
    <row r="414">
      <c r="A414" s="26" t="n"/>
      <c r="B414" s="26" t="n"/>
      <c r="C414" s="34" t="n"/>
      <c r="D414" s="28" t="n"/>
      <c r="E414" s="26" t="n"/>
      <c r="F414" s="26" t="n"/>
      <c r="G414" s="26" t="n"/>
      <c r="H414" s="38" t="n"/>
      <c r="I414" s="28" t="n"/>
      <c r="J414" s="30">
        <f>IF(B414="","",IFERROR(INDEX('Share classes'!$A$4:$A$203,MATCH(B414,'Share classes'!$B$4:$B$203,0)),""))</f>
        <v/>
      </c>
      <c r="K414" s="30">
        <f>IF(A414="","",IFERROR(INDEX('Holders'!$B$4:$B$1003,MATCH(A414,'Holders'!$A$4:$A$1003,0)),""))</f>
        <v/>
      </c>
      <c r="L414" s="30">
        <f>IF(OR(A414="",B414="",D414=""),"",IF(D414=_xlfn.MAXIFS($D$4:$D$2503,$A$4:$A$2503,A414,$B$4:$B$2503,B414),"Yes","No"))</f>
        <v/>
      </c>
      <c r="M414" s="30">
        <f>IF(B414="","",IFERROR(INDEX('Share classes'!$F$4:$F$203,MATCH(B414,'Share classes'!$B$4:$B$203,0)),""))</f>
        <v/>
      </c>
      <c r="N414" s="30">
        <f>IF(A414="","",IF(K414="","Unknown holder ID",IF(J414="","Unknown class code",IF(OR(C414="",D414=""),"Missing shares or date",IF(OR(C414&lt;0,C414&lt;&gt;INT(C414)),"Shares must be a whole number",IF(COUNTIFS($A$4:$A$2503,A414,$B$4:$B$2503,B414,$D$4:$D$2503,D414)&gt;1,"Duplicate row (same date)","OK"))))))</f>
        <v/>
      </c>
    </row>
    <row r="415">
      <c r="A415" s="26" t="n"/>
      <c r="B415" s="26" t="n"/>
      <c r="C415" s="34" t="n"/>
      <c r="D415" s="28" t="n"/>
      <c r="E415" s="26" t="n"/>
      <c r="F415" s="26" t="n"/>
      <c r="G415" s="26" t="n"/>
      <c r="H415" s="38" t="n"/>
      <c r="I415" s="28" t="n"/>
      <c r="J415" s="30">
        <f>IF(B415="","",IFERROR(INDEX('Share classes'!$A$4:$A$203,MATCH(B415,'Share classes'!$B$4:$B$203,0)),""))</f>
        <v/>
      </c>
      <c r="K415" s="30">
        <f>IF(A415="","",IFERROR(INDEX('Holders'!$B$4:$B$1003,MATCH(A415,'Holders'!$A$4:$A$1003,0)),""))</f>
        <v/>
      </c>
      <c r="L415" s="30">
        <f>IF(OR(A415="",B415="",D415=""),"",IF(D415=_xlfn.MAXIFS($D$4:$D$2503,$A$4:$A$2503,A415,$B$4:$B$2503,B415),"Yes","No"))</f>
        <v/>
      </c>
      <c r="M415" s="30">
        <f>IF(B415="","",IFERROR(INDEX('Share classes'!$F$4:$F$203,MATCH(B415,'Share classes'!$B$4:$B$203,0)),""))</f>
        <v/>
      </c>
      <c r="N415" s="30">
        <f>IF(A415="","",IF(K415="","Unknown holder ID",IF(J415="","Unknown class code",IF(OR(C415="",D415=""),"Missing shares or date",IF(OR(C415&lt;0,C415&lt;&gt;INT(C415)),"Shares must be a whole number",IF(COUNTIFS($A$4:$A$2503,A415,$B$4:$B$2503,B415,$D$4:$D$2503,D415)&gt;1,"Duplicate row (same date)","OK"))))))</f>
        <v/>
      </c>
    </row>
    <row r="416">
      <c r="A416" s="26" t="n"/>
      <c r="B416" s="26" t="n"/>
      <c r="C416" s="34" t="n"/>
      <c r="D416" s="28" t="n"/>
      <c r="E416" s="26" t="n"/>
      <c r="F416" s="26" t="n"/>
      <c r="G416" s="26" t="n"/>
      <c r="H416" s="38" t="n"/>
      <c r="I416" s="28" t="n"/>
      <c r="J416" s="30">
        <f>IF(B416="","",IFERROR(INDEX('Share classes'!$A$4:$A$203,MATCH(B416,'Share classes'!$B$4:$B$203,0)),""))</f>
        <v/>
      </c>
      <c r="K416" s="30">
        <f>IF(A416="","",IFERROR(INDEX('Holders'!$B$4:$B$1003,MATCH(A416,'Holders'!$A$4:$A$1003,0)),""))</f>
        <v/>
      </c>
      <c r="L416" s="30">
        <f>IF(OR(A416="",B416="",D416=""),"",IF(D416=_xlfn.MAXIFS($D$4:$D$2503,$A$4:$A$2503,A416,$B$4:$B$2503,B416),"Yes","No"))</f>
        <v/>
      </c>
      <c r="M416" s="30">
        <f>IF(B416="","",IFERROR(INDEX('Share classes'!$F$4:$F$203,MATCH(B416,'Share classes'!$B$4:$B$203,0)),""))</f>
        <v/>
      </c>
      <c r="N416" s="30">
        <f>IF(A416="","",IF(K416="","Unknown holder ID",IF(J416="","Unknown class code",IF(OR(C416="",D416=""),"Missing shares or date",IF(OR(C416&lt;0,C416&lt;&gt;INT(C416)),"Shares must be a whole number",IF(COUNTIFS($A$4:$A$2503,A416,$B$4:$B$2503,B416,$D$4:$D$2503,D416)&gt;1,"Duplicate row (same date)","OK"))))))</f>
        <v/>
      </c>
    </row>
    <row r="417">
      <c r="A417" s="26" t="n"/>
      <c r="B417" s="26" t="n"/>
      <c r="C417" s="34" t="n"/>
      <c r="D417" s="28" t="n"/>
      <c r="E417" s="26" t="n"/>
      <c r="F417" s="26" t="n"/>
      <c r="G417" s="26" t="n"/>
      <c r="H417" s="38" t="n"/>
      <c r="I417" s="28" t="n"/>
      <c r="J417" s="30">
        <f>IF(B417="","",IFERROR(INDEX('Share classes'!$A$4:$A$203,MATCH(B417,'Share classes'!$B$4:$B$203,0)),""))</f>
        <v/>
      </c>
      <c r="K417" s="30">
        <f>IF(A417="","",IFERROR(INDEX('Holders'!$B$4:$B$1003,MATCH(A417,'Holders'!$A$4:$A$1003,0)),""))</f>
        <v/>
      </c>
      <c r="L417" s="30">
        <f>IF(OR(A417="",B417="",D417=""),"",IF(D417=_xlfn.MAXIFS($D$4:$D$2503,$A$4:$A$2503,A417,$B$4:$B$2503,B417),"Yes","No"))</f>
        <v/>
      </c>
      <c r="M417" s="30">
        <f>IF(B417="","",IFERROR(INDEX('Share classes'!$F$4:$F$203,MATCH(B417,'Share classes'!$B$4:$B$203,0)),""))</f>
        <v/>
      </c>
      <c r="N417" s="30">
        <f>IF(A417="","",IF(K417="","Unknown holder ID",IF(J417="","Unknown class code",IF(OR(C417="",D417=""),"Missing shares or date",IF(OR(C417&lt;0,C417&lt;&gt;INT(C417)),"Shares must be a whole number",IF(COUNTIFS($A$4:$A$2503,A417,$B$4:$B$2503,B417,$D$4:$D$2503,D417)&gt;1,"Duplicate row (same date)","OK"))))))</f>
        <v/>
      </c>
    </row>
    <row r="418">
      <c r="A418" s="26" t="n"/>
      <c r="B418" s="26" t="n"/>
      <c r="C418" s="34" t="n"/>
      <c r="D418" s="28" t="n"/>
      <c r="E418" s="26" t="n"/>
      <c r="F418" s="26" t="n"/>
      <c r="G418" s="26" t="n"/>
      <c r="H418" s="38" t="n"/>
      <c r="I418" s="28" t="n"/>
      <c r="J418" s="30">
        <f>IF(B418="","",IFERROR(INDEX('Share classes'!$A$4:$A$203,MATCH(B418,'Share classes'!$B$4:$B$203,0)),""))</f>
        <v/>
      </c>
      <c r="K418" s="30">
        <f>IF(A418="","",IFERROR(INDEX('Holders'!$B$4:$B$1003,MATCH(A418,'Holders'!$A$4:$A$1003,0)),""))</f>
        <v/>
      </c>
      <c r="L418" s="30">
        <f>IF(OR(A418="",B418="",D418=""),"",IF(D418=_xlfn.MAXIFS($D$4:$D$2503,$A$4:$A$2503,A418,$B$4:$B$2503,B418),"Yes","No"))</f>
        <v/>
      </c>
      <c r="M418" s="30">
        <f>IF(B418="","",IFERROR(INDEX('Share classes'!$F$4:$F$203,MATCH(B418,'Share classes'!$B$4:$B$203,0)),""))</f>
        <v/>
      </c>
      <c r="N418" s="30">
        <f>IF(A418="","",IF(K418="","Unknown holder ID",IF(J418="","Unknown class code",IF(OR(C418="",D418=""),"Missing shares or date",IF(OR(C418&lt;0,C418&lt;&gt;INT(C418)),"Shares must be a whole number",IF(COUNTIFS($A$4:$A$2503,A418,$B$4:$B$2503,B418,$D$4:$D$2503,D418)&gt;1,"Duplicate row (same date)","OK"))))))</f>
        <v/>
      </c>
    </row>
    <row r="419">
      <c r="A419" s="26" t="n"/>
      <c r="B419" s="26" t="n"/>
      <c r="C419" s="34" t="n"/>
      <c r="D419" s="28" t="n"/>
      <c r="E419" s="26" t="n"/>
      <c r="F419" s="26" t="n"/>
      <c r="G419" s="26" t="n"/>
      <c r="H419" s="38" t="n"/>
      <c r="I419" s="28" t="n"/>
      <c r="J419" s="30">
        <f>IF(B419="","",IFERROR(INDEX('Share classes'!$A$4:$A$203,MATCH(B419,'Share classes'!$B$4:$B$203,0)),""))</f>
        <v/>
      </c>
      <c r="K419" s="30">
        <f>IF(A419="","",IFERROR(INDEX('Holders'!$B$4:$B$1003,MATCH(A419,'Holders'!$A$4:$A$1003,0)),""))</f>
        <v/>
      </c>
      <c r="L419" s="30">
        <f>IF(OR(A419="",B419="",D419=""),"",IF(D419=_xlfn.MAXIFS($D$4:$D$2503,$A$4:$A$2503,A419,$B$4:$B$2503,B419),"Yes","No"))</f>
        <v/>
      </c>
      <c r="M419" s="30">
        <f>IF(B419="","",IFERROR(INDEX('Share classes'!$F$4:$F$203,MATCH(B419,'Share classes'!$B$4:$B$203,0)),""))</f>
        <v/>
      </c>
      <c r="N419" s="30">
        <f>IF(A419="","",IF(K419="","Unknown holder ID",IF(J419="","Unknown class code",IF(OR(C419="",D419=""),"Missing shares or date",IF(OR(C419&lt;0,C419&lt;&gt;INT(C419)),"Shares must be a whole number",IF(COUNTIFS($A$4:$A$2503,A419,$B$4:$B$2503,B419,$D$4:$D$2503,D419)&gt;1,"Duplicate row (same date)","OK"))))))</f>
        <v/>
      </c>
    </row>
    <row r="420">
      <c r="A420" s="26" t="n"/>
      <c r="B420" s="26" t="n"/>
      <c r="C420" s="34" t="n"/>
      <c r="D420" s="28" t="n"/>
      <c r="E420" s="26" t="n"/>
      <c r="F420" s="26" t="n"/>
      <c r="G420" s="26" t="n"/>
      <c r="H420" s="38" t="n"/>
      <c r="I420" s="28" t="n"/>
      <c r="J420" s="30">
        <f>IF(B420="","",IFERROR(INDEX('Share classes'!$A$4:$A$203,MATCH(B420,'Share classes'!$B$4:$B$203,0)),""))</f>
        <v/>
      </c>
      <c r="K420" s="30">
        <f>IF(A420="","",IFERROR(INDEX('Holders'!$B$4:$B$1003,MATCH(A420,'Holders'!$A$4:$A$1003,0)),""))</f>
        <v/>
      </c>
      <c r="L420" s="30">
        <f>IF(OR(A420="",B420="",D420=""),"",IF(D420=_xlfn.MAXIFS($D$4:$D$2503,$A$4:$A$2503,A420,$B$4:$B$2503,B420),"Yes","No"))</f>
        <v/>
      </c>
      <c r="M420" s="30">
        <f>IF(B420="","",IFERROR(INDEX('Share classes'!$F$4:$F$203,MATCH(B420,'Share classes'!$B$4:$B$203,0)),""))</f>
        <v/>
      </c>
      <c r="N420" s="30">
        <f>IF(A420="","",IF(K420="","Unknown holder ID",IF(J420="","Unknown class code",IF(OR(C420="",D420=""),"Missing shares or date",IF(OR(C420&lt;0,C420&lt;&gt;INT(C420)),"Shares must be a whole number",IF(COUNTIFS($A$4:$A$2503,A420,$B$4:$B$2503,B420,$D$4:$D$2503,D420)&gt;1,"Duplicate row (same date)","OK"))))))</f>
        <v/>
      </c>
    </row>
    <row r="421">
      <c r="A421" s="26" t="n"/>
      <c r="B421" s="26" t="n"/>
      <c r="C421" s="34" t="n"/>
      <c r="D421" s="28" t="n"/>
      <c r="E421" s="26" t="n"/>
      <c r="F421" s="26" t="n"/>
      <c r="G421" s="26" t="n"/>
      <c r="H421" s="38" t="n"/>
      <c r="I421" s="28" t="n"/>
      <c r="J421" s="30">
        <f>IF(B421="","",IFERROR(INDEX('Share classes'!$A$4:$A$203,MATCH(B421,'Share classes'!$B$4:$B$203,0)),""))</f>
        <v/>
      </c>
      <c r="K421" s="30">
        <f>IF(A421="","",IFERROR(INDEX('Holders'!$B$4:$B$1003,MATCH(A421,'Holders'!$A$4:$A$1003,0)),""))</f>
        <v/>
      </c>
      <c r="L421" s="30">
        <f>IF(OR(A421="",B421="",D421=""),"",IF(D421=_xlfn.MAXIFS($D$4:$D$2503,$A$4:$A$2503,A421,$B$4:$B$2503,B421),"Yes","No"))</f>
        <v/>
      </c>
      <c r="M421" s="30">
        <f>IF(B421="","",IFERROR(INDEX('Share classes'!$F$4:$F$203,MATCH(B421,'Share classes'!$B$4:$B$203,0)),""))</f>
        <v/>
      </c>
      <c r="N421" s="30">
        <f>IF(A421="","",IF(K421="","Unknown holder ID",IF(J421="","Unknown class code",IF(OR(C421="",D421=""),"Missing shares or date",IF(OR(C421&lt;0,C421&lt;&gt;INT(C421)),"Shares must be a whole number",IF(COUNTIFS($A$4:$A$2503,A421,$B$4:$B$2503,B421,$D$4:$D$2503,D421)&gt;1,"Duplicate row (same date)","OK"))))))</f>
        <v/>
      </c>
    </row>
    <row r="422">
      <c r="A422" s="26" t="n"/>
      <c r="B422" s="26" t="n"/>
      <c r="C422" s="34" t="n"/>
      <c r="D422" s="28" t="n"/>
      <c r="E422" s="26" t="n"/>
      <c r="F422" s="26" t="n"/>
      <c r="G422" s="26" t="n"/>
      <c r="H422" s="38" t="n"/>
      <c r="I422" s="28" t="n"/>
      <c r="J422" s="30">
        <f>IF(B422="","",IFERROR(INDEX('Share classes'!$A$4:$A$203,MATCH(B422,'Share classes'!$B$4:$B$203,0)),""))</f>
        <v/>
      </c>
      <c r="K422" s="30">
        <f>IF(A422="","",IFERROR(INDEX('Holders'!$B$4:$B$1003,MATCH(A422,'Holders'!$A$4:$A$1003,0)),""))</f>
        <v/>
      </c>
      <c r="L422" s="30">
        <f>IF(OR(A422="",B422="",D422=""),"",IF(D422=_xlfn.MAXIFS($D$4:$D$2503,$A$4:$A$2503,A422,$B$4:$B$2503,B422),"Yes","No"))</f>
        <v/>
      </c>
      <c r="M422" s="30">
        <f>IF(B422="","",IFERROR(INDEX('Share classes'!$F$4:$F$203,MATCH(B422,'Share classes'!$B$4:$B$203,0)),""))</f>
        <v/>
      </c>
      <c r="N422" s="30">
        <f>IF(A422="","",IF(K422="","Unknown holder ID",IF(J422="","Unknown class code",IF(OR(C422="",D422=""),"Missing shares or date",IF(OR(C422&lt;0,C422&lt;&gt;INT(C422)),"Shares must be a whole number",IF(COUNTIFS($A$4:$A$2503,A422,$B$4:$B$2503,B422,$D$4:$D$2503,D422)&gt;1,"Duplicate row (same date)","OK"))))))</f>
        <v/>
      </c>
    </row>
    <row r="423">
      <c r="A423" s="26" t="n"/>
      <c r="B423" s="26" t="n"/>
      <c r="C423" s="34" t="n"/>
      <c r="D423" s="28" t="n"/>
      <c r="E423" s="26" t="n"/>
      <c r="F423" s="26" t="n"/>
      <c r="G423" s="26" t="n"/>
      <c r="H423" s="38" t="n"/>
      <c r="I423" s="28" t="n"/>
      <c r="J423" s="30">
        <f>IF(B423="","",IFERROR(INDEX('Share classes'!$A$4:$A$203,MATCH(B423,'Share classes'!$B$4:$B$203,0)),""))</f>
        <v/>
      </c>
      <c r="K423" s="30">
        <f>IF(A423="","",IFERROR(INDEX('Holders'!$B$4:$B$1003,MATCH(A423,'Holders'!$A$4:$A$1003,0)),""))</f>
        <v/>
      </c>
      <c r="L423" s="30">
        <f>IF(OR(A423="",B423="",D423=""),"",IF(D423=_xlfn.MAXIFS($D$4:$D$2503,$A$4:$A$2503,A423,$B$4:$B$2503,B423),"Yes","No"))</f>
        <v/>
      </c>
      <c r="M423" s="30">
        <f>IF(B423="","",IFERROR(INDEX('Share classes'!$F$4:$F$203,MATCH(B423,'Share classes'!$B$4:$B$203,0)),""))</f>
        <v/>
      </c>
      <c r="N423" s="30">
        <f>IF(A423="","",IF(K423="","Unknown holder ID",IF(J423="","Unknown class code",IF(OR(C423="",D423=""),"Missing shares or date",IF(OR(C423&lt;0,C423&lt;&gt;INT(C423)),"Shares must be a whole number",IF(COUNTIFS($A$4:$A$2503,A423,$B$4:$B$2503,B423,$D$4:$D$2503,D423)&gt;1,"Duplicate row (same date)","OK"))))))</f>
        <v/>
      </c>
    </row>
    <row r="424">
      <c r="A424" s="26" t="n"/>
      <c r="B424" s="26" t="n"/>
      <c r="C424" s="34" t="n"/>
      <c r="D424" s="28" t="n"/>
      <c r="E424" s="26" t="n"/>
      <c r="F424" s="26" t="n"/>
      <c r="G424" s="26" t="n"/>
      <c r="H424" s="38" t="n"/>
      <c r="I424" s="28" t="n"/>
      <c r="J424" s="30">
        <f>IF(B424="","",IFERROR(INDEX('Share classes'!$A$4:$A$203,MATCH(B424,'Share classes'!$B$4:$B$203,0)),""))</f>
        <v/>
      </c>
      <c r="K424" s="30">
        <f>IF(A424="","",IFERROR(INDEX('Holders'!$B$4:$B$1003,MATCH(A424,'Holders'!$A$4:$A$1003,0)),""))</f>
        <v/>
      </c>
      <c r="L424" s="30">
        <f>IF(OR(A424="",B424="",D424=""),"",IF(D424=_xlfn.MAXIFS($D$4:$D$2503,$A$4:$A$2503,A424,$B$4:$B$2503,B424),"Yes","No"))</f>
        <v/>
      </c>
      <c r="M424" s="30">
        <f>IF(B424="","",IFERROR(INDEX('Share classes'!$F$4:$F$203,MATCH(B424,'Share classes'!$B$4:$B$203,0)),""))</f>
        <v/>
      </c>
      <c r="N424" s="30">
        <f>IF(A424="","",IF(K424="","Unknown holder ID",IF(J424="","Unknown class code",IF(OR(C424="",D424=""),"Missing shares or date",IF(OR(C424&lt;0,C424&lt;&gt;INT(C424)),"Shares must be a whole number",IF(COUNTIFS($A$4:$A$2503,A424,$B$4:$B$2503,B424,$D$4:$D$2503,D424)&gt;1,"Duplicate row (same date)","OK"))))))</f>
        <v/>
      </c>
    </row>
    <row r="425">
      <c r="A425" s="26" t="n"/>
      <c r="B425" s="26" t="n"/>
      <c r="C425" s="34" t="n"/>
      <c r="D425" s="28" t="n"/>
      <c r="E425" s="26" t="n"/>
      <c r="F425" s="26" t="n"/>
      <c r="G425" s="26" t="n"/>
      <c r="H425" s="38" t="n"/>
      <c r="I425" s="28" t="n"/>
      <c r="J425" s="30">
        <f>IF(B425="","",IFERROR(INDEX('Share classes'!$A$4:$A$203,MATCH(B425,'Share classes'!$B$4:$B$203,0)),""))</f>
        <v/>
      </c>
      <c r="K425" s="30">
        <f>IF(A425="","",IFERROR(INDEX('Holders'!$B$4:$B$1003,MATCH(A425,'Holders'!$A$4:$A$1003,0)),""))</f>
        <v/>
      </c>
      <c r="L425" s="30">
        <f>IF(OR(A425="",B425="",D425=""),"",IF(D425=_xlfn.MAXIFS($D$4:$D$2503,$A$4:$A$2503,A425,$B$4:$B$2503,B425),"Yes","No"))</f>
        <v/>
      </c>
      <c r="M425" s="30">
        <f>IF(B425="","",IFERROR(INDEX('Share classes'!$F$4:$F$203,MATCH(B425,'Share classes'!$B$4:$B$203,0)),""))</f>
        <v/>
      </c>
      <c r="N425" s="30">
        <f>IF(A425="","",IF(K425="","Unknown holder ID",IF(J425="","Unknown class code",IF(OR(C425="",D425=""),"Missing shares or date",IF(OR(C425&lt;0,C425&lt;&gt;INT(C425)),"Shares must be a whole number",IF(COUNTIFS($A$4:$A$2503,A425,$B$4:$B$2503,B425,$D$4:$D$2503,D425)&gt;1,"Duplicate row (same date)","OK"))))))</f>
        <v/>
      </c>
    </row>
    <row r="426">
      <c r="A426" s="26" t="n"/>
      <c r="B426" s="26" t="n"/>
      <c r="C426" s="34" t="n"/>
      <c r="D426" s="28" t="n"/>
      <c r="E426" s="26" t="n"/>
      <c r="F426" s="26" t="n"/>
      <c r="G426" s="26" t="n"/>
      <c r="H426" s="38" t="n"/>
      <c r="I426" s="28" t="n"/>
      <c r="J426" s="30">
        <f>IF(B426="","",IFERROR(INDEX('Share classes'!$A$4:$A$203,MATCH(B426,'Share classes'!$B$4:$B$203,0)),""))</f>
        <v/>
      </c>
      <c r="K426" s="30">
        <f>IF(A426="","",IFERROR(INDEX('Holders'!$B$4:$B$1003,MATCH(A426,'Holders'!$A$4:$A$1003,0)),""))</f>
        <v/>
      </c>
      <c r="L426" s="30">
        <f>IF(OR(A426="",B426="",D426=""),"",IF(D426=_xlfn.MAXIFS($D$4:$D$2503,$A$4:$A$2503,A426,$B$4:$B$2503,B426),"Yes","No"))</f>
        <v/>
      </c>
      <c r="M426" s="30">
        <f>IF(B426="","",IFERROR(INDEX('Share classes'!$F$4:$F$203,MATCH(B426,'Share classes'!$B$4:$B$203,0)),""))</f>
        <v/>
      </c>
      <c r="N426" s="30">
        <f>IF(A426="","",IF(K426="","Unknown holder ID",IF(J426="","Unknown class code",IF(OR(C426="",D426=""),"Missing shares or date",IF(OR(C426&lt;0,C426&lt;&gt;INT(C426)),"Shares must be a whole number",IF(COUNTIFS($A$4:$A$2503,A426,$B$4:$B$2503,B426,$D$4:$D$2503,D426)&gt;1,"Duplicate row (same date)","OK"))))))</f>
        <v/>
      </c>
    </row>
    <row r="427">
      <c r="A427" s="26" t="n"/>
      <c r="B427" s="26" t="n"/>
      <c r="C427" s="34" t="n"/>
      <c r="D427" s="28" t="n"/>
      <c r="E427" s="26" t="n"/>
      <c r="F427" s="26" t="n"/>
      <c r="G427" s="26" t="n"/>
      <c r="H427" s="38" t="n"/>
      <c r="I427" s="28" t="n"/>
      <c r="J427" s="30">
        <f>IF(B427="","",IFERROR(INDEX('Share classes'!$A$4:$A$203,MATCH(B427,'Share classes'!$B$4:$B$203,0)),""))</f>
        <v/>
      </c>
      <c r="K427" s="30">
        <f>IF(A427="","",IFERROR(INDEX('Holders'!$B$4:$B$1003,MATCH(A427,'Holders'!$A$4:$A$1003,0)),""))</f>
        <v/>
      </c>
      <c r="L427" s="30">
        <f>IF(OR(A427="",B427="",D427=""),"",IF(D427=_xlfn.MAXIFS($D$4:$D$2503,$A$4:$A$2503,A427,$B$4:$B$2503,B427),"Yes","No"))</f>
        <v/>
      </c>
      <c r="M427" s="30">
        <f>IF(B427="","",IFERROR(INDEX('Share classes'!$F$4:$F$203,MATCH(B427,'Share classes'!$B$4:$B$203,0)),""))</f>
        <v/>
      </c>
      <c r="N427" s="30">
        <f>IF(A427="","",IF(K427="","Unknown holder ID",IF(J427="","Unknown class code",IF(OR(C427="",D427=""),"Missing shares or date",IF(OR(C427&lt;0,C427&lt;&gt;INT(C427)),"Shares must be a whole number",IF(COUNTIFS($A$4:$A$2503,A427,$B$4:$B$2503,B427,$D$4:$D$2503,D427)&gt;1,"Duplicate row (same date)","OK"))))))</f>
        <v/>
      </c>
    </row>
    <row r="428">
      <c r="A428" s="26" t="n"/>
      <c r="B428" s="26" t="n"/>
      <c r="C428" s="34" t="n"/>
      <c r="D428" s="28" t="n"/>
      <c r="E428" s="26" t="n"/>
      <c r="F428" s="26" t="n"/>
      <c r="G428" s="26" t="n"/>
      <c r="H428" s="38" t="n"/>
      <c r="I428" s="28" t="n"/>
      <c r="J428" s="30">
        <f>IF(B428="","",IFERROR(INDEX('Share classes'!$A$4:$A$203,MATCH(B428,'Share classes'!$B$4:$B$203,0)),""))</f>
        <v/>
      </c>
      <c r="K428" s="30">
        <f>IF(A428="","",IFERROR(INDEX('Holders'!$B$4:$B$1003,MATCH(A428,'Holders'!$A$4:$A$1003,0)),""))</f>
        <v/>
      </c>
      <c r="L428" s="30">
        <f>IF(OR(A428="",B428="",D428=""),"",IF(D428=_xlfn.MAXIFS($D$4:$D$2503,$A$4:$A$2503,A428,$B$4:$B$2503,B428),"Yes","No"))</f>
        <v/>
      </c>
      <c r="M428" s="30">
        <f>IF(B428="","",IFERROR(INDEX('Share classes'!$F$4:$F$203,MATCH(B428,'Share classes'!$B$4:$B$203,0)),""))</f>
        <v/>
      </c>
      <c r="N428" s="30">
        <f>IF(A428="","",IF(K428="","Unknown holder ID",IF(J428="","Unknown class code",IF(OR(C428="",D428=""),"Missing shares or date",IF(OR(C428&lt;0,C428&lt;&gt;INT(C428)),"Shares must be a whole number",IF(COUNTIFS($A$4:$A$2503,A428,$B$4:$B$2503,B428,$D$4:$D$2503,D428)&gt;1,"Duplicate row (same date)","OK"))))))</f>
        <v/>
      </c>
    </row>
    <row r="429">
      <c r="A429" s="26" t="n"/>
      <c r="B429" s="26" t="n"/>
      <c r="C429" s="34" t="n"/>
      <c r="D429" s="28" t="n"/>
      <c r="E429" s="26" t="n"/>
      <c r="F429" s="26" t="n"/>
      <c r="G429" s="26" t="n"/>
      <c r="H429" s="38" t="n"/>
      <c r="I429" s="28" t="n"/>
      <c r="J429" s="30">
        <f>IF(B429="","",IFERROR(INDEX('Share classes'!$A$4:$A$203,MATCH(B429,'Share classes'!$B$4:$B$203,0)),""))</f>
        <v/>
      </c>
      <c r="K429" s="30">
        <f>IF(A429="","",IFERROR(INDEX('Holders'!$B$4:$B$1003,MATCH(A429,'Holders'!$A$4:$A$1003,0)),""))</f>
        <v/>
      </c>
      <c r="L429" s="30">
        <f>IF(OR(A429="",B429="",D429=""),"",IF(D429=_xlfn.MAXIFS($D$4:$D$2503,$A$4:$A$2503,A429,$B$4:$B$2503,B429),"Yes","No"))</f>
        <v/>
      </c>
      <c r="M429" s="30">
        <f>IF(B429="","",IFERROR(INDEX('Share classes'!$F$4:$F$203,MATCH(B429,'Share classes'!$B$4:$B$203,0)),""))</f>
        <v/>
      </c>
      <c r="N429" s="30">
        <f>IF(A429="","",IF(K429="","Unknown holder ID",IF(J429="","Unknown class code",IF(OR(C429="",D429=""),"Missing shares or date",IF(OR(C429&lt;0,C429&lt;&gt;INT(C429)),"Shares must be a whole number",IF(COUNTIFS($A$4:$A$2503,A429,$B$4:$B$2503,B429,$D$4:$D$2503,D429)&gt;1,"Duplicate row (same date)","OK"))))))</f>
        <v/>
      </c>
    </row>
    <row r="430">
      <c r="A430" s="26" t="n"/>
      <c r="B430" s="26" t="n"/>
      <c r="C430" s="34" t="n"/>
      <c r="D430" s="28" t="n"/>
      <c r="E430" s="26" t="n"/>
      <c r="F430" s="26" t="n"/>
      <c r="G430" s="26" t="n"/>
      <c r="H430" s="38" t="n"/>
      <c r="I430" s="28" t="n"/>
      <c r="J430" s="30">
        <f>IF(B430="","",IFERROR(INDEX('Share classes'!$A$4:$A$203,MATCH(B430,'Share classes'!$B$4:$B$203,0)),""))</f>
        <v/>
      </c>
      <c r="K430" s="30">
        <f>IF(A430="","",IFERROR(INDEX('Holders'!$B$4:$B$1003,MATCH(A430,'Holders'!$A$4:$A$1003,0)),""))</f>
        <v/>
      </c>
      <c r="L430" s="30">
        <f>IF(OR(A430="",B430="",D430=""),"",IF(D430=_xlfn.MAXIFS($D$4:$D$2503,$A$4:$A$2503,A430,$B$4:$B$2503,B430),"Yes","No"))</f>
        <v/>
      </c>
      <c r="M430" s="30">
        <f>IF(B430="","",IFERROR(INDEX('Share classes'!$F$4:$F$203,MATCH(B430,'Share classes'!$B$4:$B$203,0)),""))</f>
        <v/>
      </c>
      <c r="N430" s="30">
        <f>IF(A430="","",IF(K430="","Unknown holder ID",IF(J430="","Unknown class code",IF(OR(C430="",D430=""),"Missing shares or date",IF(OR(C430&lt;0,C430&lt;&gt;INT(C430)),"Shares must be a whole number",IF(COUNTIFS($A$4:$A$2503,A430,$B$4:$B$2503,B430,$D$4:$D$2503,D430)&gt;1,"Duplicate row (same date)","OK"))))))</f>
        <v/>
      </c>
    </row>
    <row r="431">
      <c r="A431" s="26" t="n"/>
      <c r="B431" s="26" t="n"/>
      <c r="C431" s="34" t="n"/>
      <c r="D431" s="28" t="n"/>
      <c r="E431" s="26" t="n"/>
      <c r="F431" s="26" t="n"/>
      <c r="G431" s="26" t="n"/>
      <c r="H431" s="38" t="n"/>
      <c r="I431" s="28" t="n"/>
      <c r="J431" s="30">
        <f>IF(B431="","",IFERROR(INDEX('Share classes'!$A$4:$A$203,MATCH(B431,'Share classes'!$B$4:$B$203,0)),""))</f>
        <v/>
      </c>
      <c r="K431" s="30">
        <f>IF(A431="","",IFERROR(INDEX('Holders'!$B$4:$B$1003,MATCH(A431,'Holders'!$A$4:$A$1003,0)),""))</f>
        <v/>
      </c>
      <c r="L431" s="30">
        <f>IF(OR(A431="",B431="",D431=""),"",IF(D431=_xlfn.MAXIFS($D$4:$D$2503,$A$4:$A$2503,A431,$B$4:$B$2503,B431),"Yes","No"))</f>
        <v/>
      </c>
      <c r="M431" s="30">
        <f>IF(B431="","",IFERROR(INDEX('Share classes'!$F$4:$F$203,MATCH(B431,'Share classes'!$B$4:$B$203,0)),""))</f>
        <v/>
      </c>
      <c r="N431" s="30">
        <f>IF(A431="","",IF(K431="","Unknown holder ID",IF(J431="","Unknown class code",IF(OR(C431="",D431=""),"Missing shares or date",IF(OR(C431&lt;0,C431&lt;&gt;INT(C431)),"Shares must be a whole number",IF(COUNTIFS($A$4:$A$2503,A431,$B$4:$B$2503,B431,$D$4:$D$2503,D431)&gt;1,"Duplicate row (same date)","OK"))))))</f>
        <v/>
      </c>
    </row>
    <row r="432">
      <c r="A432" s="26" t="n"/>
      <c r="B432" s="26" t="n"/>
      <c r="C432" s="34" t="n"/>
      <c r="D432" s="28" t="n"/>
      <c r="E432" s="26" t="n"/>
      <c r="F432" s="26" t="n"/>
      <c r="G432" s="26" t="n"/>
      <c r="H432" s="38" t="n"/>
      <c r="I432" s="28" t="n"/>
      <c r="J432" s="30">
        <f>IF(B432="","",IFERROR(INDEX('Share classes'!$A$4:$A$203,MATCH(B432,'Share classes'!$B$4:$B$203,0)),""))</f>
        <v/>
      </c>
      <c r="K432" s="30">
        <f>IF(A432="","",IFERROR(INDEX('Holders'!$B$4:$B$1003,MATCH(A432,'Holders'!$A$4:$A$1003,0)),""))</f>
        <v/>
      </c>
      <c r="L432" s="30">
        <f>IF(OR(A432="",B432="",D432=""),"",IF(D432=_xlfn.MAXIFS($D$4:$D$2503,$A$4:$A$2503,A432,$B$4:$B$2503,B432),"Yes","No"))</f>
        <v/>
      </c>
      <c r="M432" s="30">
        <f>IF(B432="","",IFERROR(INDEX('Share classes'!$F$4:$F$203,MATCH(B432,'Share classes'!$B$4:$B$203,0)),""))</f>
        <v/>
      </c>
      <c r="N432" s="30">
        <f>IF(A432="","",IF(K432="","Unknown holder ID",IF(J432="","Unknown class code",IF(OR(C432="",D432=""),"Missing shares or date",IF(OR(C432&lt;0,C432&lt;&gt;INT(C432)),"Shares must be a whole number",IF(COUNTIFS($A$4:$A$2503,A432,$B$4:$B$2503,B432,$D$4:$D$2503,D432)&gt;1,"Duplicate row (same date)","OK"))))))</f>
        <v/>
      </c>
    </row>
    <row r="433">
      <c r="A433" s="26" t="n"/>
      <c r="B433" s="26" t="n"/>
      <c r="C433" s="34" t="n"/>
      <c r="D433" s="28" t="n"/>
      <c r="E433" s="26" t="n"/>
      <c r="F433" s="26" t="n"/>
      <c r="G433" s="26" t="n"/>
      <c r="H433" s="38" t="n"/>
      <c r="I433" s="28" t="n"/>
      <c r="J433" s="30">
        <f>IF(B433="","",IFERROR(INDEX('Share classes'!$A$4:$A$203,MATCH(B433,'Share classes'!$B$4:$B$203,0)),""))</f>
        <v/>
      </c>
      <c r="K433" s="30">
        <f>IF(A433="","",IFERROR(INDEX('Holders'!$B$4:$B$1003,MATCH(A433,'Holders'!$A$4:$A$1003,0)),""))</f>
        <v/>
      </c>
      <c r="L433" s="30">
        <f>IF(OR(A433="",B433="",D433=""),"",IF(D433=_xlfn.MAXIFS($D$4:$D$2503,$A$4:$A$2503,A433,$B$4:$B$2503,B433),"Yes","No"))</f>
        <v/>
      </c>
      <c r="M433" s="30">
        <f>IF(B433="","",IFERROR(INDEX('Share classes'!$F$4:$F$203,MATCH(B433,'Share classes'!$B$4:$B$203,0)),""))</f>
        <v/>
      </c>
      <c r="N433" s="30">
        <f>IF(A433="","",IF(K433="","Unknown holder ID",IF(J433="","Unknown class code",IF(OR(C433="",D433=""),"Missing shares or date",IF(OR(C433&lt;0,C433&lt;&gt;INT(C433)),"Shares must be a whole number",IF(COUNTIFS($A$4:$A$2503,A433,$B$4:$B$2503,B433,$D$4:$D$2503,D433)&gt;1,"Duplicate row (same date)","OK"))))))</f>
        <v/>
      </c>
    </row>
    <row r="434">
      <c r="A434" s="26" t="n"/>
      <c r="B434" s="26" t="n"/>
      <c r="C434" s="34" t="n"/>
      <c r="D434" s="28" t="n"/>
      <c r="E434" s="26" t="n"/>
      <c r="F434" s="26" t="n"/>
      <c r="G434" s="26" t="n"/>
      <c r="H434" s="38" t="n"/>
      <c r="I434" s="28" t="n"/>
      <c r="J434" s="30">
        <f>IF(B434="","",IFERROR(INDEX('Share classes'!$A$4:$A$203,MATCH(B434,'Share classes'!$B$4:$B$203,0)),""))</f>
        <v/>
      </c>
      <c r="K434" s="30">
        <f>IF(A434="","",IFERROR(INDEX('Holders'!$B$4:$B$1003,MATCH(A434,'Holders'!$A$4:$A$1003,0)),""))</f>
        <v/>
      </c>
      <c r="L434" s="30">
        <f>IF(OR(A434="",B434="",D434=""),"",IF(D434=_xlfn.MAXIFS($D$4:$D$2503,$A$4:$A$2503,A434,$B$4:$B$2503,B434),"Yes","No"))</f>
        <v/>
      </c>
      <c r="M434" s="30">
        <f>IF(B434="","",IFERROR(INDEX('Share classes'!$F$4:$F$203,MATCH(B434,'Share classes'!$B$4:$B$203,0)),""))</f>
        <v/>
      </c>
      <c r="N434" s="30">
        <f>IF(A434="","",IF(K434="","Unknown holder ID",IF(J434="","Unknown class code",IF(OR(C434="",D434=""),"Missing shares or date",IF(OR(C434&lt;0,C434&lt;&gt;INT(C434)),"Shares must be a whole number",IF(COUNTIFS($A$4:$A$2503,A434,$B$4:$B$2503,B434,$D$4:$D$2503,D434)&gt;1,"Duplicate row (same date)","OK"))))))</f>
        <v/>
      </c>
    </row>
    <row r="435">
      <c r="A435" s="26" t="n"/>
      <c r="B435" s="26" t="n"/>
      <c r="C435" s="34" t="n"/>
      <c r="D435" s="28" t="n"/>
      <c r="E435" s="26" t="n"/>
      <c r="F435" s="26" t="n"/>
      <c r="G435" s="26" t="n"/>
      <c r="H435" s="38" t="n"/>
      <c r="I435" s="28" t="n"/>
      <c r="J435" s="30">
        <f>IF(B435="","",IFERROR(INDEX('Share classes'!$A$4:$A$203,MATCH(B435,'Share classes'!$B$4:$B$203,0)),""))</f>
        <v/>
      </c>
      <c r="K435" s="30">
        <f>IF(A435="","",IFERROR(INDEX('Holders'!$B$4:$B$1003,MATCH(A435,'Holders'!$A$4:$A$1003,0)),""))</f>
        <v/>
      </c>
      <c r="L435" s="30">
        <f>IF(OR(A435="",B435="",D435=""),"",IF(D435=_xlfn.MAXIFS($D$4:$D$2503,$A$4:$A$2503,A435,$B$4:$B$2503,B435),"Yes","No"))</f>
        <v/>
      </c>
      <c r="M435" s="30">
        <f>IF(B435="","",IFERROR(INDEX('Share classes'!$F$4:$F$203,MATCH(B435,'Share classes'!$B$4:$B$203,0)),""))</f>
        <v/>
      </c>
      <c r="N435" s="30">
        <f>IF(A435="","",IF(K435="","Unknown holder ID",IF(J435="","Unknown class code",IF(OR(C435="",D435=""),"Missing shares or date",IF(OR(C435&lt;0,C435&lt;&gt;INT(C435)),"Shares must be a whole number",IF(COUNTIFS($A$4:$A$2503,A435,$B$4:$B$2503,B435,$D$4:$D$2503,D435)&gt;1,"Duplicate row (same date)","OK"))))))</f>
        <v/>
      </c>
    </row>
    <row r="436">
      <c r="A436" s="26" t="n"/>
      <c r="B436" s="26" t="n"/>
      <c r="C436" s="34" t="n"/>
      <c r="D436" s="28" t="n"/>
      <c r="E436" s="26" t="n"/>
      <c r="F436" s="26" t="n"/>
      <c r="G436" s="26" t="n"/>
      <c r="H436" s="38" t="n"/>
      <c r="I436" s="28" t="n"/>
      <c r="J436" s="30">
        <f>IF(B436="","",IFERROR(INDEX('Share classes'!$A$4:$A$203,MATCH(B436,'Share classes'!$B$4:$B$203,0)),""))</f>
        <v/>
      </c>
      <c r="K436" s="30">
        <f>IF(A436="","",IFERROR(INDEX('Holders'!$B$4:$B$1003,MATCH(A436,'Holders'!$A$4:$A$1003,0)),""))</f>
        <v/>
      </c>
      <c r="L436" s="30">
        <f>IF(OR(A436="",B436="",D436=""),"",IF(D436=_xlfn.MAXIFS($D$4:$D$2503,$A$4:$A$2503,A436,$B$4:$B$2503,B436),"Yes","No"))</f>
        <v/>
      </c>
      <c r="M436" s="30">
        <f>IF(B436="","",IFERROR(INDEX('Share classes'!$F$4:$F$203,MATCH(B436,'Share classes'!$B$4:$B$203,0)),""))</f>
        <v/>
      </c>
      <c r="N436" s="30">
        <f>IF(A436="","",IF(K436="","Unknown holder ID",IF(J436="","Unknown class code",IF(OR(C436="",D436=""),"Missing shares or date",IF(OR(C436&lt;0,C436&lt;&gt;INT(C436)),"Shares must be a whole number",IF(COUNTIFS($A$4:$A$2503,A436,$B$4:$B$2503,B436,$D$4:$D$2503,D436)&gt;1,"Duplicate row (same date)","OK"))))))</f>
        <v/>
      </c>
    </row>
    <row r="437">
      <c r="A437" s="26" t="n"/>
      <c r="B437" s="26" t="n"/>
      <c r="C437" s="34" t="n"/>
      <c r="D437" s="28" t="n"/>
      <c r="E437" s="26" t="n"/>
      <c r="F437" s="26" t="n"/>
      <c r="G437" s="26" t="n"/>
      <c r="H437" s="38" t="n"/>
      <c r="I437" s="28" t="n"/>
      <c r="J437" s="30">
        <f>IF(B437="","",IFERROR(INDEX('Share classes'!$A$4:$A$203,MATCH(B437,'Share classes'!$B$4:$B$203,0)),""))</f>
        <v/>
      </c>
      <c r="K437" s="30">
        <f>IF(A437="","",IFERROR(INDEX('Holders'!$B$4:$B$1003,MATCH(A437,'Holders'!$A$4:$A$1003,0)),""))</f>
        <v/>
      </c>
      <c r="L437" s="30">
        <f>IF(OR(A437="",B437="",D437=""),"",IF(D437=_xlfn.MAXIFS($D$4:$D$2503,$A$4:$A$2503,A437,$B$4:$B$2503,B437),"Yes","No"))</f>
        <v/>
      </c>
      <c r="M437" s="30">
        <f>IF(B437="","",IFERROR(INDEX('Share classes'!$F$4:$F$203,MATCH(B437,'Share classes'!$B$4:$B$203,0)),""))</f>
        <v/>
      </c>
      <c r="N437" s="30">
        <f>IF(A437="","",IF(K437="","Unknown holder ID",IF(J437="","Unknown class code",IF(OR(C437="",D437=""),"Missing shares or date",IF(OR(C437&lt;0,C437&lt;&gt;INT(C437)),"Shares must be a whole number",IF(COUNTIFS($A$4:$A$2503,A437,$B$4:$B$2503,B437,$D$4:$D$2503,D437)&gt;1,"Duplicate row (same date)","OK"))))))</f>
        <v/>
      </c>
    </row>
    <row r="438">
      <c r="A438" s="26" t="n"/>
      <c r="B438" s="26" t="n"/>
      <c r="C438" s="34" t="n"/>
      <c r="D438" s="28" t="n"/>
      <c r="E438" s="26" t="n"/>
      <c r="F438" s="26" t="n"/>
      <c r="G438" s="26" t="n"/>
      <c r="H438" s="38" t="n"/>
      <c r="I438" s="28" t="n"/>
      <c r="J438" s="30">
        <f>IF(B438="","",IFERROR(INDEX('Share classes'!$A$4:$A$203,MATCH(B438,'Share classes'!$B$4:$B$203,0)),""))</f>
        <v/>
      </c>
      <c r="K438" s="30">
        <f>IF(A438="","",IFERROR(INDEX('Holders'!$B$4:$B$1003,MATCH(A438,'Holders'!$A$4:$A$1003,0)),""))</f>
        <v/>
      </c>
      <c r="L438" s="30">
        <f>IF(OR(A438="",B438="",D438=""),"",IF(D438=_xlfn.MAXIFS($D$4:$D$2503,$A$4:$A$2503,A438,$B$4:$B$2503,B438),"Yes","No"))</f>
        <v/>
      </c>
      <c r="M438" s="30">
        <f>IF(B438="","",IFERROR(INDEX('Share classes'!$F$4:$F$203,MATCH(B438,'Share classes'!$B$4:$B$203,0)),""))</f>
        <v/>
      </c>
      <c r="N438" s="30">
        <f>IF(A438="","",IF(K438="","Unknown holder ID",IF(J438="","Unknown class code",IF(OR(C438="",D438=""),"Missing shares or date",IF(OR(C438&lt;0,C438&lt;&gt;INT(C438)),"Shares must be a whole number",IF(COUNTIFS($A$4:$A$2503,A438,$B$4:$B$2503,B438,$D$4:$D$2503,D438)&gt;1,"Duplicate row (same date)","OK"))))))</f>
        <v/>
      </c>
    </row>
    <row r="439">
      <c r="A439" s="26" t="n"/>
      <c r="B439" s="26" t="n"/>
      <c r="C439" s="34" t="n"/>
      <c r="D439" s="28" t="n"/>
      <c r="E439" s="26" t="n"/>
      <c r="F439" s="26" t="n"/>
      <c r="G439" s="26" t="n"/>
      <c r="H439" s="38" t="n"/>
      <c r="I439" s="28" t="n"/>
      <c r="J439" s="30">
        <f>IF(B439="","",IFERROR(INDEX('Share classes'!$A$4:$A$203,MATCH(B439,'Share classes'!$B$4:$B$203,0)),""))</f>
        <v/>
      </c>
      <c r="K439" s="30">
        <f>IF(A439="","",IFERROR(INDEX('Holders'!$B$4:$B$1003,MATCH(A439,'Holders'!$A$4:$A$1003,0)),""))</f>
        <v/>
      </c>
      <c r="L439" s="30">
        <f>IF(OR(A439="",B439="",D439=""),"",IF(D439=_xlfn.MAXIFS($D$4:$D$2503,$A$4:$A$2503,A439,$B$4:$B$2503,B439),"Yes","No"))</f>
        <v/>
      </c>
      <c r="M439" s="30">
        <f>IF(B439="","",IFERROR(INDEX('Share classes'!$F$4:$F$203,MATCH(B439,'Share classes'!$B$4:$B$203,0)),""))</f>
        <v/>
      </c>
      <c r="N439" s="30">
        <f>IF(A439="","",IF(K439="","Unknown holder ID",IF(J439="","Unknown class code",IF(OR(C439="",D439=""),"Missing shares or date",IF(OR(C439&lt;0,C439&lt;&gt;INT(C439)),"Shares must be a whole number",IF(COUNTIFS($A$4:$A$2503,A439,$B$4:$B$2503,B439,$D$4:$D$2503,D439)&gt;1,"Duplicate row (same date)","OK"))))))</f>
        <v/>
      </c>
    </row>
    <row r="440">
      <c r="A440" s="26" t="n"/>
      <c r="B440" s="26" t="n"/>
      <c r="C440" s="34" t="n"/>
      <c r="D440" s="28" t="n"/>
      <c r="E440" s="26" t="n"/>
      <c r="F440" s="26" t="n"/>
      <c r="G440" s="26" t="n"/>
      <c r="H440" s="38" t="n"/>
      <c r="I440" s="28" t="n"/>
      <c r="J440" s="30">
        <f>IF(B440="","",IFERROR(INDEX('Share classes'!$A$4:$A$203,MATCH(B440,'Share classes'!$B$4:$B$203,0)),""))</f>
        <v/>
      </c>
      <c r="K440" s="30">
        <f>IF(A440="","",IFERROR(INDEX('Holders'!$B$4:$B$1003,MATCH(A440,'Holders'!$A$4:$A$1003,0)),""))</f>
        <v/>
      </c>
      <c r="L440" s="30">
        <f>IF(OR(A440="",B440="",D440=""),"",IF(D440=_xlfn.MAXIFS($D$4:$D$2503,$A$4:$A$2503,A440,$B$4:$B$2503,B440),"Yes","No"))</f>
        <v/>
      </c>
      <c r="M440" s="30">
        <f>IF(B440="","",IFERROR(INDEX('Share classes'!$F$4:$F$203,MATCH(B440,'Share classes'!$B$4:$B$203,0)),""))</f>
        <v/>
      </c>
      <c r="N440" s="30">
        <f>IF(A440="","",IF(K440="","Unknown holder ID",IF(J440="","Unknown class code",IF(OR(C440="",D440=""),"Missing shares or date",IF(OR(C440&lt;0,C440&lt;&gt;INT(C440)),"Shares must be a whole number",IF(COUNTIFS($A$4:$A$2503,A440,$B$4:$B$2503,B440,$D$4:$D$2503,D440)&gt;1,"Duplicate row (same date)","OK"))))))</f>
        <v/>
      </c>
    </row>
    <row r="441">
      <c r="A441" s="26" t="n"/>
      <c r="B441" s="26" t="n"/>
      <c r="C441" s="34" t="n"/>
      <c r="D441" s="28" t="n"/>
      <c r="E441" s="26" t="n"/>
      <c r="F441" s="26" t="n"/>
      <c r="G441" s="26" t="n"/>
      <c r="H441" s="38" t="n"/>
      <c r="I441" s="28" t="n"/>
      <c r="J441" s="30">
        <f>IF(B441="","",IFERROR(INDEX('Share classes'!$A$4:$A$203,MATCH(B441,'Share classes'!$B$4:$B$203,0)),""))</f>
        <v/>
      </c>
      <c r="K441" s="30">
        <f>IF(A441="","",IFERROR(INDEX('Holders'!$B$4:$B$1003,MATCH(A441,'Holders'!$A$4:$A$1003,0)),""))</f>
        <v/>
      </c>
      <c r="L441" s="30">
        <f>IF(OR(A441="",B441="",D441=""),"",IF(D441=_xlfn.MAXIFS($D$4:$D$2503,$A$4:$A$2503,A441,$B$4:$B$2503,B441),"Yes","No"))</f>
        <v/>
      </c>
      <c r="M441" s="30">
        <f>IF(B441="","",IFERROR(INDEX('Share classes'!$F$4:$F$203,MATCH(B441,'Share classes'!$B$4:$B$203,0)),""))</f>
        <v/>
      </c>
      <c r="N441" s="30">
        <f>IF(A441="","",IF(K441="","Unknown holder ID",IF(J441="","Unknown class code",IF(OR(C441="",D441=""),"Missing shares or date",IF(OR(C441&lt;0,C441&lt;&gt;INT(C441)),"Shares must be a whole number",IF(COUNTIFS($A$4:$A$2503,A441,$B$4:$B$2503,B441,$D$4:$D$2503,D441)&gt;1,"Duplicate row (same date)","OK"))))))</f>
        <v/>
      </c>
    </row>
    <row r="442">
      <c r="A442" s="26" t="n"/>
      <c r="B442" s="26" t="n"/>
      <c r="C442" s="34" t="n"/>
      <c r="D442" s="28" t="n"/>
      <c r="E442" s="26" t="n"/>
      <c r="F442" s="26" t="n"/>
      <c r="G442" s="26" t="n"/>
      <c r="H442" s="38" t="n"/>
      <c r="I442" s="28" t="n"/>
      <c r="J442" s="30">
        <f>IF(B442="","",IFERROR(INDEX('Share classes'!$A$4:$A$203,MATCH(B442,'Share classes'!$B$4:$B$203,0)),""))</f>
        <v/>
      </c>
      <c r="K442" s="30">
        <f>IF(A442="","",IFERROR(INDEX('Holders'!$B$4:$B$1003,MATCH(A442,'Holders'!$A$4:$A$1003,0)),""))</f>
        <v/>
      </c>
      <c r="L442" s="30">
        <f>IF(OR(A442="",B442="",D442=""),"",IF(D442=_xlfn.MAXIFS($D$4:$D$2503,$A$4:$A$2503,A442,$B$4:$B$2503,B442),"Yes","No"))</f>
        <v/>
      </c>
      <c r="M442" s="30">
        <f>IF(B442="","",IFERROR(INDEX('Share classes'!$F$4:$F$203,MATCH(B442,'Share classes'!$B$4:$B$203,0)),""))</f>
        <v/>
      </c>
      <c r="N442" s="30">
        <f>IF(A442="","",IF(K442="","Unknown holder ID",IF(J442="","Unknown class code",IF(OR(C442="",D442=""),"Missing shares or date",IF(OR(C442&lt;0,C442&lt;&gt;INT(C442)),"Shares must be a whole number",IF(COUNTIFS($A$4:$A$2503,A442,$B$4:$B$2503,B442,$D$4:$D$2503,D442)&gt;1,"Duplicate row (same date)","OK"))))))</f>
        <v/>
      </c>
    </row>
    <row r="443">
      <c r="A443" s="26" t="n"/>
      <c r="B443" s="26" t="n"/>
      <c r="C443" s="34" t="n"/>
      <c r="D443" s="28" t="n"/>
      <c r="E443" s="26" t="n"/>
      <c r="F443" s="26" t="n"/>
      <c r="G443" s="26" t="n"/>
      <c r="H443" s="38" t="n"/>
      <c r="I443" s="28" t="n"/>
      <c r="J443" s="30">
        <f>IF(B443="","",IFERROR(INDEX('Share classes'!$A$4:$A$203,MATCH(B443,'Share classes'!$B$4:$B$203,0)),""))</f>
        <v/>
      </c>
      <c r="K443" s="30">
        <f>IF(A443="","",IFERROR(INDEX('Holders'!$B$4:$B$1003,MATCH(A443,'Holders'!$A$4:$A$1003,0)),""))</f>
        <v/>
      </c>
      <c r="L443" s="30">
        <f>IF(OR(A443="",B443="",D443=""),"",IF(D443=_xlfn.MAXIFS($D$4:$D$2503,$A$4:$A$2503,A443,$B$4:$B$2503,B443),"Yes","No"))</f>
        <v/>
      </c>
      <c r="M443" s="30">
        <f>IF(B443="","",IFERROR(INDEX('Share classes'!$F$4:$F$203,MATCH(B443,'Share classes'!$B$4:$B$203,0)),""))</f>
        <v/>
      </c>
      <c r="N443" s="30">
        <f>IF(A443="","",IF(K443="","Unknown holder ID",IF(J443="","Unknown class code",IF(OR(C443="",D443=""),"Missing shares or date",IF(OR(C443&lt;0,C443&lt;&gt;INT(C443)),"Shares must be a whole number",IF(COUNTIFS($A$4:$A$2503,A443,$B$4:$B$2503,B443,$D$4:$D$2503,D443)&gt;1,"Duplicate row (same date)","OK"))))))</f>
        <v/>
      </c>
    </row>
    <row r="444">
      <c r="A444" s="26" t="n"/>
      <c r="B444" s="26" t="n"/>
      <c r="C444" s="34" t="n"/>
      <c r="D444" s="28" t="n"/>
      <c r="E444" s="26" t="n"/>
      <c r="F444" s="26" t="n"/>
      <c r="G444" s="26" t="n"/>
      <c r="H444" s="38" t="n"/>
      <c r="I444" s="28" t="n"/>
      <c r="J444" s="30">
        <f>IF(B444="","",IFERROR(INDEX('Share classes'!$A$4:$A$203,MATCH(B444,'Share classes'!$B$4:$B$203,0)),""))</f>
        <v/>
      </c>
      <c r="K444" s="30">
        <f>IF(A444="","",IFERROR(INDEX('Holders'!$B$4:$B$1003,MATCH(A444,'Holders'!$A$4:$A$1003,0)),""))</f>
        <v/>
      </c>
      <c r="L444" s="30">
        <f>IF(OR(A444="",B444="",D444=""),"",IF(D444=_xlfn.MAXIFS($D$4:$D$2503,$A$4:$A$2503,A444,$B$4:$B$2503,B444),"Yes","No"))</f>
        <v/>
      </c>
      <c r="M444" s="30">
        <f>IF(B444="","",IFERROR(INDEX('Share classes'!$F$4:$F$203,MATCH(B444,'Share classes'!$B$4:$B$203,0)),""))</f>
        <v/>
      </c>
      <c r="N444" s="30">
        <f>IF(A444="","",IF(K444="","Unknown holder ID",IF(J444="","Unknown class code",IF(OR(C444="",D444=""),"Missing shares or date",IF(OR(C444&lt;0,C444&lt;&gt;INT(C444)),"Shares must be a whole number",IF(COUNTIFS($A$4:$A$2503,A444,$B$4:$B$2503,B444,$D$4:$D$2503,D444)&gt;1,"Duplicate row (same date)","OK"))))))</f>
        <v/>
      </c>
    </row>
    <row r="445">
      <c r="A445" s="26" t="n"/>
      <c r="B445" s="26" t="n"/>
      <c r="C445" s="34" t="n"/>
      <c r="D445" s="28" t="n"/>
      <c r="E445" s="26" t="n"/>
      <c r="F445" s="26" t="n"/>
      <c r="G445" s="26" t="n"/>
      <c r="H445" s="38" t="n"/>
      <c r="I445" s="28" t="n"/>
      <c r="J445" s="30">
        <f>IF(B445="","",IFERROR(INDEX('Share classes'!$A$4:$A$203,MATCH(B445,'Share classes'!$B$4:$B$203,0)),""))</f>
        <v/>
      </c>
      <c r="K445" s="30">
        <f>IF(A445="","",IFERROR(INDEX('Holders'!$B$4:$B$1003,MATCH(A445,'Holders'!$A$4:$A$1003,0)),""))</f>
        <v/>
      </c>
      <c r="L445" s="30">
        <f>IF(OR(A445="",B445="",D445=""),"",IF(D445=_xlfn.MAXIFS($D$4:$D$2503,$A$4:$A$2503,A445,$B$4:$B$2503,B445),"Yes","No"))</f>
        <v/>
      </c>
      <c r="M445" s="30">
        <f>IF(B445="","",IFERROR(INDEX('Share classes'!$F$4:$F$203,MATCH(B445,'Share classes'!$B$4:$B$203,0)),""))</f>
        <v/>
      </c>
      <c r="N445" s="30">
        <f>IF(A445="","",IF(K445="","Unknown holder ID",IF(J445="","Unknown class code",IF(OR(C445="",D445=""),"Missing shares or date",IF(OR(C445&lt;0,C445&lt;&gt;INT(C445)),"Shares must be a whole number",IF(COUNTIFS($A$4:$A$2503,A445,$B$4:$B$2503,B445,$D$4:$D$2503,D445)&gt;1,"Duplicate row (same date)","OK"))))))</f>
        <v/>
      </c>
    </row>
    <row r="446">
      <c r="A446" s="26" t="n"/>
      <c r="B446" s="26" t="n"/>
      <c r="C446" s="34" t="n"/>
      <c r="D446" s="28" t="n"/>
      <c r="E446" s="26" t="n"/>
      <c r="F446" s="26" t="n"/>
      <c r="G446" s="26" t="n"/>
      <c r="H446" s="38" t="n"/>
      <c r="I446" s="28" t="n"/>
      <c r="J446" s="30">
        <f>IF(B446="","",IFERROR(INDEX('Share classes'!$A$4:$A$203,MATCH(B446,'Share classes'!$B$4:$B$203,0)),""))</f>
        <v/>
      </c>
      <c r="K446" s="30">
        <f>IF(A446="","",IFERROR(INDEX('Holders'!$B$4:$B$1003,MATCH(A446,'Holders'!$A$4:$A$1003,0)),""))</f>
        <v/>
      </c>
      <c r="L446" s="30">
        <f>IF(OR(A446="",B446="",D446=""),"",IF(D446=_xlfn.MAXIFS($D$4:$D$2503,$A$4:$A$2503,A446,$B$4:$B$2503,B446),"Yes","No"))</f>
        <v/>
      </c>
      <c r="M446" s="30">
        <f>IF(B446="","",IFERROR(INDEX('Share classes'!$F$4:$F$203,MATCH(B446,'Share classes'!$B$4:$B$203,0)),""))</f>
        <v/>
      </c>
      <c r="N446" s="30">
        <f>IF(A446="","",IF(K446="","Unknown holder ID",IF(J446="","Unknown class code",IF(OR(C446="",D446=""),"Missing shares or date",IF(OR(C446&lt;0,C446&lt;&gt;INT(C446)),"Shares must be a whole number",IF(COUNTIFS($A$4:$A$2503,A446,$B$4:$B$2503,B446,$D$4:$D$2503,D446)&gt;1,"Duplicate row (same date)","OK"))))))</f>
        <v/>
      </c>
    </row>
    <row r="447">
      <c r="A447" s="26" t="n"/>
      <c r="B447" s="26" t="n"/>
      <c r="C447" s="34" t="n"/>
      <c r="D447" s="28" t="n"/>
      <c r="E447" s="26" t="n"/>
      <c r="F447" s="26" t="n"/>
      <c r="G447" s="26" t="n"/>
      <c r="H447" s="38" t="n"/>
      <c r="I447" s="28" t="n"/>
      <c r="J447" s="30">
        <f>IF(B447="","",IFERROR(INDEX('Share classes'!$A$4:$A$203,MATCH(B447,'Share classes'!$B$4:$B$203,0)),""))</f>
        <v/>
      </c>
      <c r="K447" s="30">
        <f>IF(A447="","",IFERROR(INDEX('Holders'!$B$4:$B$1003,MATCH(A447,'Holders'!$A$4:$A$1003,0)),""))</f>
        <v/>
      </c>
      <c r="L447" s="30">
        <f>IF(OR(A447="",B447="",D447=""),"",IF(D447=_xlfn.MAXIFS($D$4:$D$2503,$A$4:$A$2503,A447,$B$4:$B$2503,B447),"Yes","No"))</f>
        <v/>
      </c>
      <c r="M447" s="30">
        <f>IF(B447="","",IFERROR(INDEX('Share classes'!$F$4:$F$203,MATCH(B447,'Share classes'!$B$4:$B$203,0)),""))</f>
        <v/>
      </c>
      <c r="N447" s="30">
        <f>IF(A447="","",IF(K447="","Unknown holder ID",IF(J447="","Unknown class code",IF(OR(C447="",D447=""),"Missing shares or date",IF(OR(C447&lt;0,C447&lt;&gt;INT(C447)),"Shares must be a whole number",IF(COUNTIFS($A$4:$A$2503,A447,$B$4:$B$2503,B447,$D$4:$D$2503,D447)&gt;1,"Duplicate row (same date)","OK"))))))</f>
        <v/>
      </c>
    </row>
    <row r="448">
      <c r="A448" s="26" t="n"/>
      <c r="B448" s="26" t="n"/>
      <c r="C448" s="34" t="n"/>
      <c r="D448" s="28" t="n"/>
      <c r="E448" s="26" t="n"/>
      <c r="F448" s="26" t="n"/>
      <c r="G448" s="26" t="n"/>
      <c r="H448" s="38" t="n"/>
      <c r="I448" s="28" t="n"/>
      <c r="J448" s="30">
        <f>IF(B448="","",IFERROR(INDEX('Share classes'!$A$4:$A$203,MATCH(B448,'Share classes'!$B$4:$B$203,0)),""))</f>
        <v/>
      </c>
      <c r="K448" s="30">
        <f>IF(A448="","",IFERROR(INDEX('Holders'!$B$4:$B$1003,MATCH(A448,'Holders'!$A$4:$A$1003,0)),""))</f>
        <v/>
      </c>
      <c r="L448" s="30">
        <f>IF(OR(A448="",B448="",D448=""),"",IF(D448=_xlfn.MAXIFS($D$4:$D$2503,$A$4:$A$2503,A448,$B$4:$B$2503,B448),"Yes","No"))</f>
        <v/>
      </c>
      <c r="M448" s="30">
        <f>IF(B448="","",IFERROR(INDEX('Share classes'!$F$4:$F$203,MATCH(B448,'Share classes'!$B$4:$B$203,0)),""))</f>
        <v/>
      </c>
      <c r="N448" s="30">
        <f>IF(A448="","",IF(K448="","Unknown holder ID",IF(J448="","Unknown class code",IF(OR(C448="",D448=""),"Missing shares or date",IF(OR(C448&lt;0,C448&lt;&gt;INT(C448)),"Shares must be a whole number",IF(COUNTIFS($A$4:$A$2503,A448,$B$4:$B$2503,B448,$D$4:$D$2503,D448)&gt;1,"Duplicate row (same date)","OK"))))))</f>
        <v/>
      </c>
    </row>
    <row r="449">
      <c r="A449" s="26" t="n"/>
      <c r="B449" s="26" t="n"/>
      <c r="C449" s="34" t="n"/>
      <c r="D449" s="28" t="n"/>
      <c r="E449" s="26" t="n"/>
      <c r="F449" s="26" t="n"/>
      <c r="G449" s="26" t="n"/>
      <c r="H449" s="38" t="n"/>
      <c r="I449" s="28" t="n"/>
      <c r="J449" s="30">
        <f>IF(B449="","",IFERROR(INDEX('Share classes'!$A$4:$A$203,MATCH(B449,'Share classes'!$B$4:$B$203,0)),""))</f>
        <v/>
      </c>
      <c r="K449" s="30">
        <f>IF(A449="","",IFERROR(INDEX('Holders'!$B$4:$B$1003,MATCH(A449,'Holders'!$A$4:$A$1003,0)),""))</f>
        <v/>
      </c>
      <c r="L449" s="30">
        <f>IF(OR(A449="",B449="",D449=""),"",IF(D449=_xlfn.MAXIFS($D$4:$D$2503,$A$4:$A$2503,A449,$B$4:$B$2503,B449),"Yes","No"))</f>
        <v/>
      </c>
      <c r="M449" s="30">
        <f>IF(B449="","",IFERROR(INDEX('Share classes'!$F$4:$F$203,MATCH(B449,'Share classes'!$B$4:$B$203,0)),""))</f>
        <v/>
      </c>
      <c r="N449" s="30">
        <f>IF(A449="","",IF(K449="","Unknown holder ID",IF(J449="","Unknown class code",IF(OR(C449="",D449=""),"Missing shares or date",IF(OR(C449&lt;0,C449&lt;&gt;INT(C449)),"Shares must be a whole number",IF(COUNTIFS($A$4:$A$2503,A449,$B$4:$B$2503,B449,$D$4:$D$2503,D449)&gt;1,"Duplicate row (same date)","OK"))))))</f>
        <v/>
      </c>
    </row>
    <row r="450">
      <c r="A450" s="26" t="n"/>
      <c r="B450" s="26" t="n"/>
      <c r="C450" s="34" t="n"/>
      <c r="D450" s="28" t="n"/>
      <c r="E450" s="26" t="n"/>
      <c r="F450" s="26" t="n"/>
      <c r="G450" s="26" t="n"/>
      <c r="H450" s="38" t="n"/>
      <c r="I450" s="28" t="n"/>
      <c r="J450" s="30">
        <f>IF(B450="","",IFERROR(INDEX('Share classes'!$A$4:$A$203,MATCH(B450,'Share classes'!$B$4:$B$203,0)),""))</f>
        <v/>
      </c>
      <c r="K450" s="30">
        <f>IF(A450="","",IFERROR(INDEX('Holders'!$B$4:$B$1003,MATCH(A450,'Holders'!$A$4:$A$1003,0)),""))</f>
        <v/>
      </c>
      <c r="L450" s="30">
        <f>IF(OR(A450="",B450="",D450=""),"",IF(D450=_xlfn.MAXIFS($D$4:$D$2503,$A$4:$A$2503,A450,$B$4:$B$2503,B450),"Yes","No"))</f>
        <v/>
      </c>
      <c r="M450" s="30">
        <f>IF(B450="","",IFERROR(INDEX('Share classes'!$F$4:$F$203,MATCH(B450,'Share classes'!$B$4:$B$203,0)),""))</f>
        <v/>
      </c>
      <c r="N450" s="30">
        <f>IF(A450="","",IF(K450="","Unknown holder ID",IF(J450="","Unknown class code",IF(OR(C450="",D450=""),"Missing shares or date",IF(OR(C450&lt;0,C450&lt;&gt;INT(C450)),"Shares must be a whole number",IF(COUNTIFS($A$4:$A$2503,A450,$B$4:$B$2503,B450,$D$4:$D$2503,D450)&gt;1,"Duplicate row (same date)","OK"))))))</f>
        <v/>
      </c>
    </row>
    <row r="451">
      <c r="A451" s="26" t="n"/>
      <c r="B451" s="26" t="n"/>
      <c r="C451" s="34" t="n"/>
      <c r="D451" s="28" t="n"/>
      <c r="E451" s="26" t="n"/>
      <c r="F451" s="26" t="n"/>
      <c r="G451" s="26" t="n"/>
      <c r="H451" s="38" t="n"/>
      <c r="I451" s="28" t="n"/>
      <c r="J451" s="30">
        <f>IF(B451="","",IFERROR(INDEX('Share classes'!$A$4:$A$203,MATCH(B451,'Share classes'!$B$4:$B$203,0)),""))</f>
        <v/>
      </c>
      <c r="K451" s="30">
        <f>IF(A451="","",IFERROR(INDEX('Holders'!$B$4:$B$1003,MATCH(A451,'Holders'!$A$4:$A$1003,0)),""))</f>
        <v/>
      </c>
      <c r="L451" s="30">
        <f>IF(OR(A451="",B451="",D451=""),"",IF(D451=_xlfn.MAXIFS($D$4:$D$2503,$A$4:$A$2503,A451,$B$4:$B$2503,B451),"Yes","No"))</f>
        <v/>
      </c>
      <c r="M451" s="30">
        <f>IF(B451="","",IFERROR(INDEX('Share classes'!$F$4:$F$203,MATCH(B451,'Share classes'!$B$4:$B$203,0)),""))</f>
        <v/>
      </c>
      <c r="N451" s="30">
        <f>IF(A451="","",IF(K451="","Unknown holder ID",IF(J451="","Unknown class code",IF(OR(C451="",D451=""),"Missing shares or date",IF(OR(C451&lt;0,C451&lt;&gt;INT(C451)),"Shares must be a whole number",IF(COUNTIFS($A$4:$A$2503,A451,$B$4:$B$2503,B451,$D$4:$D$2503,D451)&gt;1,"Duplicate row (same date)","OK"))))))</f>
        <v/>
      </c>
    </row>
    <row r="452">
      <c r="A452" s="26" t="n"/>
      <c r="B452" s="26" t="n"/>
      <c r="C452" s="34" t="n"/>
      <c r="D452" s="28" t="n"/>
      <c r="E452" s="26" t="n"/>
      <c r="F452" s="26" t="n"/>
      <c r="G452" s="26" t="n"/>
      <c r="H452" s="38" t="n"/>
      <c r="I452" s="28" t="n"/>
      <c r="J452" s="30">
        <f>IF(B452="","",IFERROR(INDEX('Share classes'!$A$4:$A$203,MATCH(B452,'Share classes'!$B$4:$B$203,0)),""))</f>
        <v/>
      </c>
      <c r="K452" s="30">
        <f>IF(A452="","",IFERROR(INDEX('Holders'!$B$4:$B$1003,MATCH(A452,'Holders'!$A$4:$A$1003,0)),""))</f>
        <v/>
      </c>
      <c r="L452" s="30">
        <f>IF(OR(A452="",B452="",D452=""),"",IF(D452=_xlfn.MAXIFS($D$4:$D$2503,$A$4:$A$2503,A452,$B$4:$B$2503,B452),"Yes","No"))</f>
        <v/>
      </c>
      <c r="M452" s="30">
        <f>IF(B452="","",IFERROR(INDEX('Share classes'!$F$4:$F$203,MATCH(B452,'Share classes'!$B$4:$B$203,0)),""))</f>
        <v/>
      </c>
      <c r="N452" s="30">
        <f>IF(A452="","",IF(K452="","Unknown holder ID",IF(J452="","Unknown class code",IF(OR(C452="",D452=""),"Missing shares or date",IF(OR(C452&lt;0,C452&lt;&gt;INT(C452)),"Shares must be a whole number",IF(COUNTIFS($A$4:$A$2503,A452,$B$4:$B$2503,B452,$D$4:$D$2503,D452)&gt;1,"Duplicate row (same date)","OK"))))))</f>
        <v/>
      </c>
    </row>
    <row r="453">
      <c r="A453" s="26" t="n"/>
      <c r="B453" s="26" t="n"/>
      <c r="C453" s="34" t="n"/>
      <c r="D453" s="28" t="n"/>
      <c r="E453" s="26" t="n"/>
      <c r="F453" s="26" t="n"/>
      <c r="G453" s="26" t="n"/>
      <c r="H453" s="38" t="n"/>
      <c r="I453" s="28" t="n"/>
      <c r="J453" s="30">
        <f>IF(B453="","",IFERROR(INDEX('Share classes'!$A$4:$A$203,MATCH(B453,'Share classes'!$B$4:$B$203,0)),""))</f>
        <v/>
      </c>
      <c r="K453" s="30">
        <f>IF(A453="","",IFERROR(INDEX('Holders'!$B$4:$B$1003,MATCH(A453,'Holders'!$A$4:$A$1003,0)),""))</f>
        <v/>
      </c>
      <c r="L453" s="30">
        <f>IF(OR(A453="",B453="",D453=""),"",IF(D453=_xlfn.MAXIFS($D$4:$D$2503,$A$4:$A$2503,A453,$B$4:$B$2503,B453),"Yes","No"))</f>
        <v/>
      </c>
      <c r="M453" s="30">
        <f>IF(B453="","",IFERROR(INDEX('Share classes'!$F$4:$F$203,MATCH(B453,'Share classes'!$B$4:$B$203,0)),""))</f>
        <v/>
      </c>
      <c r="N453" s="30">
        <f>IF(A453="","",IF(K453="","Unknown holder ID",IF(J453="","Unknown class code",IF(OR(C453="",D453=""),"Missing shares or date",IF(OR(C453&lt;0,C453&lt;&gt;INT(C453)),"Shares must be a whole number",IF(COUNTIFS($A$4:$A$2503,A453,$B$4:$B$2503,B453,$D$4:$D$2503,D453)&gt;1,"Duplicate row (same date)","OK"))))))</f>
        <v/>
      </c>
    </row>
    <row r="454">
      <c r="A454" s="26" t="n"/>
      <c r="B454" s="26" t="n"/>
      <c r="C454" s="34" t="n"/>
      <c r="D454" s="28" t="n"/>
      <c r="E454" s="26" t="n"/>
      <c r="F454" s="26" t="n"/>
      <c r="G454" s="26" t="n"/>
      <c r="H454" s="38" t="n"/>
      <c r="I454" s="28" t="n"/>
      <c r="J454" s="30">
        <f>IF(B454="","",IFERROR(INDEX('Share classes'!$A$4:$A$203,MATCH(B454,'Share classes'!$B$4:$B$203,0)),""))</f>
        <v/>
      </c>
      <c r="K454" s="30">
        <f>IF(A454="","",IFERROR(INDEX('Holders'!$B$4:$B$1003,MATCH(A454,'Holders'!$A$4:$A$1003,0)),""))</f>
        <v/>
      </c>
      <c r="L454" s="30">
        <f>IF(OR(A454="",B454="",D454=""),"",IF(D454=_xlfn.MAXIFS($D$4:$D$2503,$A$4:$A$2503,A454,$B$4:$B$2503,B454),"Yes","No"))</f>
        <v/>
      </c>
      <c r="M454" s="30">
        <f>IF(B454="","",IFERROR(INDEX('Share classes'!$F$4:$F$203,MATCH(B454,'Share classes'!$B$4:$B$203,0)),""))</f>
        <v/>
      </c>
      <c r="N454" s="30">
        <f>IF(A454="","",IF(K454="","Unknown holder ID",IF(J454="","Unknown class code",IF(OR(C454="",D454=""),"Missing shares or date",IF(OR(C454&lt;0,C454&lt;&gt;INT(C454)),"Shares must be a whole number",IF(COUNTIFS($A$4:$A$2503,A454,$B$4:$B$2503,B454,$D$4:$D$2503,D454)&gt;1,"Duplicate row (same date)","OK"))))))</f>
        <v/>
      </c>
    </row>
    <row r="455">
      <c r="A455" s="26" t="n"/>
      <c r="B455" s="26" t="n"/>
      <c r="C455" s="34" t="n"/>
      <c r="D455" s="28" t="n"/>
      <c r="E455" s="26" t="n"/>
      <c r="F455" s="26" t="n"/>
      <c r="G455" s="26" t="n"/>
      <c r="H455" s="38" t="n"/>
      <c r="I455" s="28" t="n"/>
      <c r="J455" s="30">
        <f>IF(B455="","",IFERROR(INDEX('Share classes'!$A$4:$A$203,MATCH(B455,'Share classes'!$B$4:$B$203,0)),""))</f>
        <v/>
      </c>
      <c r="K455" s="30">
        <f>IF(A455="","",IFERROR(INDEX('Holders'!$B$4:$B$1003,MATCH(A455,'Holders'!$A$4:$A$1003,0)),""))</f>
        <v/>
      </c>
      <c r="L455" s="30">
        <f>IF(OR(A455="",B455="",D455=""),"",IF(D455=_xlfn.MAXIFS($D$4:$D$2503,$A$4:$A$2503,A455,$B$4:$B$2503,B455),"Yes","No"))</f>
        <v/>
      </c>
      <c r="M455" s="30">
        <f>IF(B455="","",IFERROR(INDEX('Share classes'!$F$4:$F$203,MATCH(B455,'Share classes'!$B$4:$B$203,0)),""))</f>
        <v/>
      </c>
      <c r="N455" s="30">
        <f>IF(A455="","",IF(K455="","Unknown holder ID",IF(J455="","Unknown class code",IF(OR(C455="",D455=""),"Missing shares or date",IF(OR(C455&lt;0,C455&lt;&gt;INT(C455)),"Shares must be a whole number",IF(COUNTIFS($A$4:$A$2503,A455,$B$4:$B$2503,B455,$D$4:$D$2503,D455)&gt;1,"Duplicate row (same date)","OK"))))))</f>
        <v/>
      </c>
    </row>
    <row r="456">
      <c r="A456" s="26" t="n"/>
      <c r="B456" s="26" t="n"/>
      <c r="C456" s="34" t="n"/>
      <c r="D456" s="28" t="n"/>
      <c r="E456" s="26" t="n"/>
      <c r="F456" s="26" t="n"/>
      <c r="G456" s="26" t="n"/>
      <c r="H456" s="38" t="n"/>
      <c r="I456" s="28" t="n"/>
      <c r="J456" s="30">
        <f>IF(B456="","",IFERROR(INDEX('Share classes'!$A$4:$A$203,MATCH(B456,'Share classes'!$B$4:$B$203,0)),""))</f>
        <v/>
      </c>
      <c r="K456" s="30">
        <f>IF(A456="","",IFERROR(INDEX('Holders'!$B$4:$B$1003,MATCH(A456,'Holders'!$A$4:$A$1003,0)),""))</f>
        <v/>
      </c>
      <c r="L456" s="30">
        <f>IF(OR(A456="",B456="",D456=""),"",IF(D456=_xlfn.MAXIFS($D$4:$D$2503,$A$4:$A$2503,A456,$B$4:$B$2503,B456),"Yes","No"))</f>
        <v/>
      </c>
      <c r="M456" s="30">
        <f>IF(B456="","",IFERROR(INDEX('Share classes'!$F$4:$F$203,MATCH(B456,'Share classes'!$B$4:$B$203,0)),""))</f>
        <v/>
      </c>
      <c r="N456" s="30">
        <f>IF(A456="","",IF(K456="","Unknown holder ID",IF(J456="","Unknown class code",IF(OR(C456="",D456=""),"Missing shares or date",IF(OR(C456&lt;0,C456&lt;&gt;INT(C456)),"Shares must be a whole number",IF(COUNTIFS($A$4:$A$2503,A456,$B$4:$B$2503,B456,$D$4:$D$2503,D456)&gt;1,"Duplicate row (same date)","OK"))))))</f>
        <v/>
      </c>
    </row>
    <row r="457">
      <c r="A457" s="26" t="n"/>
      <c r="B457" s="26" t="n"/>
      <c r="C457" s="34" t="n"/>
      <c r="D457" s="28" t="n"/>
      <c r="E457" s="26" t="n"/>
      <c r="F457" s="26" t="n"/>
      <c r="G457" s="26" t="n"/>
      <c r="H457" s="38" t="n"/>
      <c r="I457" s="28" t="n"/>
      <c r="J457" s="30">
        <f>IF(B457="","",IFERROR(INDEX('Share classes'!$A$4:$A$203,MATCH(B457,'Share classes'!$B$4:$B$203,0)),""))</f>
        <v/>
      </c>
      <c r="K457" s="30">
        <f>IF(A457="","",IFERROR(INDEX('Holders'!$B$4:$B$1003,MATCH(A457,'Holders'!$A$4:$A$1003,0)),""))</f>
        <v/>
      </c>
      <c r="L457" s="30">
        <f>IF(OR(A457="",B457="",D457=""),"",IF(D457=_xlfn.MAXIFS($D$4:$D$2503,$A$4:$A$2503,A457,$B$4:$B$2503,B457),"Yes","No"))</f>
        <v/>
      </c>
      <c r="M457" s="30">
        <f>IF(B457="","",IFERROR(INDEX('Share classes'!$F$4:$F$203,MATCH(B457,'Share classes'!$B$4:$B$203,0)),""))</f>
        <v/>
      </c>
      <c r="N457" s="30">
        <f>IF(A457="","",IF(K457="","Unknown holder ID",IF(J457="","Unknown class code",IF(OR(C457="",D457=""),"Missing shares or date",IF(OR(C457&lt;0,C457&lt;&gt;INT(C457)),"Shares must be a whole number",IF(COUNTIFS($A$4:$A$2503,A457,$B$4:$B$2503,B457,$D$4:$D$2503,D457)&gt;1,"Duplicate row (same date)","OK"))))))</f>
        <v/>
      </c>
    </row>
    <row r="458">
      <c r="A458" s="26" t="n"/>
      <c r="B458" s="26" t="n"/>
      <c r="C458" s="34" t="n"/>
      <c r="D458" s="28" t="n"/>
      <c r="E458" s="26" t="n"/>
      <c r="F458" s="26" t="n"/>
      <c r="G458" s="26" t="n"/>
      <c r="H458" s="38" t="n"/>
      <c r="I458" s="28" t="n"/>
      <c r="J458" s="30">
        <f>IF(B458="","",IFERROR(INDEX('Share classes'!$A$4:$A$203,MATCH(B458,'Share classes'!$B$4:$B$203,0)),""))</f>
        <v/>
      </c>
      <c r="K458" s="30">
        <f>IF(A458="","",IFERROR(INDEX('Holders'!$B$4:$B$1003,MATCH(A458,'Holders'!$A$4:$A$1003,0)),""))</f>
        <v/>
      </c>
      <c r="L458" s="30">
        <f>IF(OR(A458="",B458="",D458=""),"",IF(D458=_xlfn.MAXIFS($D$4:$D$2503,$A$4:$A$2503,A458,$B$4:$B$2503,B458),"Yes","No"))</f>
        <v/>
      </c>
      <c r="M458" s="30">
        <f>IF(B458="","",IFERROR(INDEX('Share classes'!$F$4:$F$203,MATCH(B458,'Share classes'!$B$4:$B$203,0)),""))</f>
        <v/>
      </c>
      <c r="N458" s="30">
        <f>IF(A458="","",IF(K458="","Unknown holder ID",IF(J458="","Unknown class code",IF(OR(C458="",D458=""),"Missing shares or date",IF(OR(C458&lt;0,C458&lt;&gt;INT(C458)),"Shares must be a whole number",IF(COUNTIFS($A$4:$A$2503,A458,$B$4:$B$2503,B458,$D$4:$D$2503,D458)&gt;1,"Duplicate row (same date)","OK"))))))</f>
        <v/>
      </c>
    </row>
    <row r="459">
      <c r="A459" s="26" t="n"/>
      <c r="B459" s="26" t="n"/>
      <c r="C459" s="34" t="n"/>
      <c r="D459" s="28" t="n"/>
      <c r="E459" s="26" t="n"/>
      <c r="F459" s="26" t="n"/>
      <c r="G459" s="26" t="n"/>
      <c r="H459" s="38" t="n"/>
      <c r="I459" s="28" t="n"/>
      <c r="J459" s="30">
        <f>IF(B459="","",IFERROR(INDEX('Share classes'!$A$4:$A$203,MATCH(B459,'Share classes'!$B$4:$B$203,0)),""))</f>
        <v/>
      </c>
      <c r="K459" s="30">
        <f>IF(A459="","",IFERROR(INDEX('Holders'!$B$4:$B$1003,MATCH(A459,'Holders'!$A$4:$A$1003,0)),""))</f>
        <v/>
      </c>
      <c r="L459" s="30">
        <f>IF(OR(A459="",B459="",D459=""),"",IF(D459=_xlfn.MAXIFS($D$4:$D$2503,$A$4:$A$2503,A459,$B$4:$B$2503,B459),"Yes","No"))</f>
        <v/>
      </c>
      <c r="M459" s="30">
        <f>IF(B459="","",IFERROR(INDEX('Share classes'!$F$4:$F$203,MATCH(B459,'Share classes'!$B$4:$B$203,0)),""))</f>
        <v/>
      </c>
      <c r="N459" s="30">
        <f>IF(A459="","",IF(K459="","Unknown holder ID",IF(J459="","Unknown class code",IF(OR(C459="",D459=""),"Missing shares or date",IF(OR(C459&lt;0,C459&lt;&gt;INT(C459)),"Shares must be a whole number",IF(COUNTIFS($A$4:$A$2503,A459,$B$4:$B$2503,B459,$D$4:$D$2503,D459)&gt;1,"Duplicate row (same date)","OK"))))))</f>
        <v/>
      </c>
    </row>
    <row r="460">
      <c r="A460" s="26" t="n"/>
      <c r="B460" s="26" t="n"/>
      <c r="C460" s="34" t="n"/>
      <c r="D460" s="28" t="n"/>
      <c r="E460" s="26" t="n"/>
      <c r="F460" s="26" t="n"/>
      <c r="G460" s="26" t="n"/>
      <c r="H460" s="38" t="n"/>
      <c r="I460" s="28" t="n"/>
      <c r="J460" s="30">
        <f>IF(B460="","",IFERROR(INDEX('Share classes'!$A$4:$A$203,MATCH(B460,'Share classes'!$B$4:$B$203,0)),""))</f>
        <v/>
      </c>
      <c r="K460" s="30">
        <f>IF(A460="","",IFERROR(INDEX('Holders'!$B$4:$B$1003,MATCH(A460,'Holders'!$A$4:$A$1003,0)),""))</f>
        <v/>
      </c>
      <c r="L460" s="30">
        <f>IF(OR(A460="",B460="",D460=""),"",IF(D460=_xlfn.MAXIFS($D$4:$D$2503,$A$4:$A$2503,A460,$B$4:$B$2503,B460),"Yes","No"))</f>
        <v/>
      </c>
      <c r="M460" s="30">
        <f>IF(B460="","",IFERROR(INDEX('Share classes'!$F$4:$F$203,MATCH(B460,'Share classes'!$B$4:$B$203,0)),""))</f>
        <v/>
      </c>
      <c r="N460" s="30">
        <f>IF(A460="","",IF(K460="","Unknown holder ID",IF(J460="","Unknown class code",IF(OR(C460="",D460=""),"Missing shares or date",IF(OR(C460&lt;0,C460&lt;&gt;INT(C460)),"Shares must be a whole number",IF(COUNTIFS($A$4:$A$2503,A460,$B$4:$B$2503,B460,$D$4:$D$2503,D460)&gt;1,"Duplicate row (same date)","OK"))))))</f>
        <v/>
      </c>
    </row>
    <row r="461">
      <c r="A461" s="26" t="n"/>
      <c r="B461" s="26" t="n"/>
      <c r="C461" s="34" t="n"/>
      <c r="D461" s="28" t="n"/>
      <c r="E461" s="26" t="n"/>
      <c r="F461" s="26" t="n"/>
      <c r="G461" s="26" t="n"/>
      <c r="H461" s="38" t="n"/>
      <c r="I461" s="28" t="n"/>
      <c r="J461" s="30">
        <f>IF(B461="","",IFERROR(INDEX('Share classes'!$A$4:$A$203,MATCH(B461,'Share classes'!$B$4:$B$203,0)),""))</f>
        <v/>
      </c>
      <c r="K461" s="30">
        <f>IF(A461="","",IFERROR(INDEX('Holders'!$B$4:$B$1003,MATCH(A461,'Holders'!$A$4:$A$1003,0)),""))</f>
        <v/>
      </c>
      <c r="L461" s="30">
        <f>IF(OR(A461="",B461="",D461=""),"",IF(D461=_xlfn.MAXIFS($D$4:$D$2503,$A$4:$A$2503,A461,$B$4:$B$2503,B461),"Yes","No"))</f>
        <v/>
      </c>
      <c r="M461" s="30">
        <f>IF(B461="","",IFERROR(INDEX('Share classes'!$F$4:$F$203,MATCH(B461,'Share classes'!$B$4:$B$203,0)),""))</f>
        <v/>
      </c>
      <c r="N461" s="30">
        <f>IF(A461="","",IF(K461="","Unknown holder ID",IF(J461="","Unknown class code",IF(OR(C461="",D461=""),"Missing shares or date",IF(OR(C461&lt;0,C461&lt;&gt;INT(C461)),"Shares must be a whole number",IF(COUNTIFS($A$4:$A$2503,A461,$B$4:$B$2503,B461,$D$4:$D$2503,D461)&gt;1,"Duplicate row (same date)","OK"))))))</f>
        <v/>
      </c>
    </row>
    <row r="462">
      <c r="A462" s="26" t="n"/>
      <c r="B462" s="26" t="n"/>
      <c r="C462" s="34" t="n"/>
      <c r="D462" s="28" t="n"/>
      <c r="E462" s="26" t="n"/>
      <c r="F462" s="26" t="n"/>
      <c r="G462" s="26" t="n"/>
      <c r="H462" s="38" t="n"/>
      <c r="I462" s="28" t="n"/>
      <c r="J462" s="30">
        <f>IF(B462="","",IFERROR(INDEX('Share classes'!$A$4:$A$203,MATCH(B462,'Share classes'!$B$4:$B$203,0)),""))</f>
        <v/>
      </c>
      <c r="K462" s="30">
        <f>IF(A462="","",IFERROR(INDEX('Holders'!$B$4:$B$1003,MATCH(A462,'Holders'!$A$4:$A$1003,0)),""))</f>
        <v/>
      </c>
      <c r="L462" s="30">
        <f>IF(OR(A462="",B462="",D462=""),"",IF(D462=_xlfn.MAXIFS($D$4:$D$2503,$A$4:$A$2503,A462,$B$4:$B$2503,B462),"Yes","No"))</f>
        <v/>
      </c>
      <c r="M462" s="30">
        <f>IF(B462="","",IFERROR(INDEX('Share classes'!$F$4:$F$203,MATCH(B462,'Share classes'!$B$4:$B$203,0)),""))</f>
        <v/>
      </c>
      <c r="N462" s="30">
        <f>IF(A462="","",IF(K462="","Unknown holder ID",IF(J462="","Unknown class code",IF(OR(C462="",D462=""),"Missing shares or date",IF(OR(C462&lt;0,C462&lt;&gt;INT(C462)),"Shares must be a whole number",IF(COUNTIFS($A$4:$A$2503,A462,$B$4:$B$2503,B462,$D$4:$D$2503,D462)&gt;1,"Duplicate row (same date)","OK"))))))</f>
        <v/>
      </c>
    </row>
    <row r="463">
      <c r="A463" s="26" t="n"/>
      <c r="B463" s="26" t="n"/>
      <c r="C463" s="34" t="n"/>
      <c r="D463" s="28" t="n"/>
      <c r="E463" s="26" t="n"/>
      <c r="F463" s="26" t="n"/>
      <c r="G463" s="26" t="n"/>
      <c r="H463" s="38" t="n"/>
      <c r="I463" s="28" t="n"/>
      <c r="J463" s="30">
        <f>IF(B463="","",IFERROR(INDEX('Share classes'!$A$4:$A$203,MATCH(B463,'Share classes'!$B$4:$B$203,0)),""))</f>
        <v/>
      </c>
      <c r="K463" s="30">
        <f>IF(A463="","",IFERROR(INDEX('Holders'!$B$4:$B$1003,MATCH(A463,'Holders'!$A$4:$A$1003,0)),""))</f>
        <v/>
      </c>
      <c r="L463" s="30">
        <f>IF(OR(A463="",B463="",D463=""),"",IF(D463=_xlfn.MAXIFS($D$4:$D$2503,$A$4:$A$2503,A463,$B$4:$B$2503,B463),"Yes","No"))</f>
        <v/>
      </c>
      <c r="M463" s="30">
        <f>IF(B463="","",IFERROR(INDEX('Share classes'!$F$4:$F$203,MATCH(B463,'Share classes'!$B$4:$B$203,0)),""))</f>
        <v/>
      </c>
      <c r="N463" s="30">
        <f>IF(A463="","",IF(K463="","Unknown holder ID",IF(J463="","Unknown class code",IF(OR(C463="",D463=""),"Missing shares or date",IF(OR(C463&lt;0,C463&lt;&gt;INT(C463)),"Shares must be a whole number",IF(COUNTIFS($A$4:$A$2503,A463,$B$4:$B$2503,B463,$D$4:$D$2503,D463)&gt;1,"Duplicate row (same date)","OK"))))))</f>
        <v/>
      </c>
    </row>
    <row r="464">
      <c r="A464" s="26" t="n"/>
      <c r="B464" s="26" t="n"/>
      <c r="C464" s="34" t="n"/>
      <c r="D464" s="28" t="n"/>
      <c r="E464" s="26" t="n"/>
      <c r="F464" s="26" t="n"/>
      <c r="G464" s="26" t="n"/>
      <c r="H464" s="38" t="n"/>
      <c r="I464" s="28" t="n"/>
      <c r="J464" s="30">
        <f>IF(B464="","",IFERROR(INDEX('Share classes'!$A$4:$A$203,MATCH(B464,'Share classes'!$B$4:$B$203,0)),""))</f>
        <v/>
      </c>
      <c r="K464" s="30">
        <f>IF(A464="","",IFERROR(INDEX('Holders'!$B$4:$B$1003,MATCH(A464,'Holders'!$A$4:$A$1003,0)),""))</f>
        <v/>
      </c>
      <c r="L464" s="30">
        <f>IF(OR(A464="",B464="",D464=""),"",IF(D464=_xlfn.MAXIFS($D$4:$D$2503,$A$4:$A$2503,A464,$B$4:$B$2503,B464),"Yes","No"))</f>
        <v/>
      </c>
      <c r="M464" s="30">
        <f>IF(B464="","",IFERROR(INDEX('Share classes'!$F$4:$F$203,MATCH(B464,'Share classes'!$B$4:$B$203,0)),""))</f>
        <v/>
      </c>
      <c r="N464" s="30">
        <f>IF(A464="","",IF(K464="","Unknown holder ID",IF(J464="","Unknown class code",IF(OR(C464="",D464=""),"Missing shares or date",IF(OR(C464&lt;0,C464&lt;&gt;INT(C464)),"Shares must be a whole number",IF(COUNTIFS($A$4:$A$2503,A464,$B$4:$B$2503,B464,$D$4:$D$2503,D464)&gt;1,"Duplicate row (same date)","OK"))))))</f>
        <v/>
      </c>
    </row>
    <row r="465">
      <c r="A465" s="26" t="n"/>
      <c r="B465" s="26" t="n"/>
      <c r="C465" s="34" t="n"/>
      <c r="D465" s="28" t="n"/>
      <c r="E465" s="26" t="n"/>
      <c r="F465" s="26" t="n"/>
      <c r="G465" s="26" t="n"/>
      <c r="H465" s="38" t="n"/>
      <c r="I465" s="28" t="n"/>
      <c r="J465" s="30">
        <f>IF(B465="","",IFERROR(INDEX('Share classes'!$A$4:$A$203,MATCH(B465,'Share classes'!$B$4:$B$203,0)),""))</f>
        <v/>
      </c>
      <c r="K465" s="30">
        <f>IF(A465="","",IFERROR(INDEX('Holders'!$B$4:$B$1003,MATCH(A465,'Holders'!$A$4:$A$1003,0)),""))</f>
        <v/>
      </c>
      <c r="L465" s="30">
        <f>IF(OR(A465="",B465="",D465=""),"",IF(D465=_xlfn.MAXIFS($D$4:$D$2503,$A$4:$A$2503,A465,$B$4:$B$2503,B465),"Yes","No"))</f>
        <v/>
      </c>
      <c r="M465" s="30">
        <f>IF(B465="","",IFERROR(INDEX('Share classes'!$F$4:$F$203,MATCH(B465,'Share classes'!$B$4:$B$203,0)),""))</f>
        <v/>
      </c>
      <c r="N465" s="30">
        <f>IF(A465="","",IF(K465="","Unknown holder ID",IF(J465="","Unknown class code",IF(OR(C465="",D465=""),"Missing shares or date",IF(OR(C465&lt;0,C465&lt;&gt;INT(C465)),"Shares must be a whole number",IF(COUNTIFS($A$4:$A$2503,A465,$B$4:$B$2503,B465,$D$4:$D$2503,D465)&gt;1,"Duplicate row (same date)","OK"))))))</f>
        <v/>
      </c>
    </row>
    <row r="466">
      <c r="A466" s="26" t="n"/>
      <c r="B466" s="26" t="n"/>
      <c r="C466" s="34" t="n"/>
      <c r="D466" s="28" t="n"/>
      <c r="E466" s="26" t="n"/>
      <c r="F466" s="26" t="n"/>
      <c r="G466" s="26" t="n"/>
      <c r="H466" s="38" t="n"/>
      <c r="I466" s="28" t="n"/>
      <c r="J466" s="30">
        <f>IF(B466="","",IFERROR(INDEX('Share classes'!$A$4:$A$203,MATCH(B466,'Share classes'!$B$4:$B$203,0)),""))</f>
        <v/>
      </c>
      <c r="K466" s="30">
        <f>IF(A466="","",IFERROR(INDEX('Holders'!$B$4:$B$1003,MATCH(A466,'Holders'!$A$4:$A$1003,0)),""))</f>
        <v/>
      </c>
      <c r="L466" s="30">
        <f>IF(OR(A466="",B466="",D466=""),"",IF(D466=_xlfn.MAXIFS($D$4:$D$2503,$A$4:$A$2503,A466,$B$4:$B$2503,B466),"Yes","No"))</f>
        <v/>
      </c>
      <c r="M466" s="30">
        <f>IF(B466="","",IFERROR(INDEX('Share classes'!$F$4:$F$203,MATCH(B466,'Share classes'!$B$4:$B$203,0)),""))</f>
        <v/>
      </c>
      <c r="N466" s="30">
        <f>IF(A466="","",IF(K466="","Unknown holder ID",IF(J466="","Unknown class code",IF(OR(C466="",D466=""),"Missing shares or date",IF(OR(C466&lt;0,C466&lt;&gt;INT(C466)),"Shares must be a whole number",IF(COUNTIFS($A$4:$A$2503,A466,$B$4:$B$2503,B466,$D$4:$D$2503,D466)&gt;1,"Duplicate row (same date)","OK"))))))</f>
        <v/>
      </c>
    </row>
    <row r="467">
      <c r="A467" s="26" t="n"/>
      <c r="B467" s="26" t="n"/>
      <c r="C467" s="34" t="n"/>
      <c r="D467" s="28" t="n"/>
      <c r="E467" s="26" t="n"/>
      <c r="F467" s="26" t="n"/>
      <c r="G467" s="26" t="n"/>
      <c r="H467" s="38" t="n"/>
      <c r="I467" s="28" t="n"/>
      <c r="J467" s="30">
        <f>IF(B467="","",IFERROR(INDEX('Share classes'!$A$4:$A$203,MATCH(B467,'Share classes'!$B$4:$B$203,0)),""))</f>
        <v/>
      </c>
      <c r="K467" s="30">
        <f>IF(A467="","",IFERROR(INDEX('Holders'!$B$4:$B$1003,MATCH(A467,'Holders'!$A$4:$A$1003,0)),""))</f>
        <v/>
      </c>
      <c r="L467" s="30">
        <f>IF(OR(A467="",B467="",D467=""),"",IF(D467=_xlfn.MAXIFS($D$4:$D$2503,$A$4:$A$2503,A467,$B$4:$B$2503,B467),"Yes","No"))</f>
        <v/>
      </c>
      <c r="M467" s="30">
        <f>IF(B467="","",IFERROR(INDEX('Share classes'!$F$4:$F$203,MATCH(B467,'Share classes'!$B$4:$B$203,0)),""))</f>
        <v/>
      </c>
      <c r="N467" s="30">
        <f>IF(A467="","",IF(K467="","Unknown holder ID",IF(J467="","Unknown class code",IF(OR(C467="",D467=""),"Missing shares or date",IF(OR(C467&lt;0,C467&lt;&gt;INT(C467)),"Shares must be a whole number",IF(COUNTIFS($A$4:$A$2503,A467,$B$4:$B$2503,B467,$D$4:$D$2503,D467)&gt;1,"Duplicate row (same date)","OK"))))))</f>
        <v/>
      </c>
    </row>
    <row r="468">
      <c r="A468" s="26" t="n"/>
      <c r="B468" s="26" t="n"/>
      <c r="C468" s="34" t="n"/>
      <c r="D468" s="28" t="n"/>
      <c r="E468" s="26" t="n"/>
      <c r="F468" s="26" t="n"/>
      <c r="G468" s="26" t="n"/>
      <c r="H468" s="38" t="n"/>
      <c r="I468" s="28" t="n"/>
      <c r="J468" s="30">
        <f>IF(B468="","",IFERROR(INDEX('Share classes'!$A$4:$A$203,MATCH(B468,'Share classes'!$B$4:$B$203,0)),""))</f>
        <v/>
      </c>
      <c r="K468" s="30">
        <f>IF(A468="","",IFERROR(INDEX('Holders'!$B$4:$B$1003,MATCH(A468,'Holders'!$A$4:$A$1003,0)),""))</f>
        <v/>
      </c>
      <c r="L468" s="30">
        <f>IF(OR(A468="",B468="",D468=""),"",IF(D468=_xlfn.MAXIFS($D$4:$D$2503,$A$4:$A$2503,A468,$B$4:$B$2503,B468),"Yes","No"))</f>
        <v/>
      </c>
      <c r="M468" s="30">
        <f>IF(B468="","",IFERROR(INDEX('Share classes'!$F$4:$F$203,MATCH(B468,'Share classes'!$B$4:$B$203,0)),""))</f>
        <v/>
      </c>
      <c r="N468" s="30">
        <f>IF(A468="","",IF(K468="","Unknown holder ID",IF(J468="","Unknown class code",IF(OR(C468="",D468=""),"Missing shares or date",IF(OR(C468&lt;0,C468&lt;&gt;INT(C468)),"Shares must be a whole number",IF(COUNTIFS($A$4:$A$2503,A468,$B$4:$B$2503,B468,$D$4:$D$2503,D468)&gt;1,"Duplicate row (same date)","OK"))))))</f>
        <v/>
      </c>
    </row>
    <row r="469">
      <c r="A469" s="26" t="n"/>
      <c r="B469" s="26" t="n"/>
      <c r="C469" s="34" t="n"/>
      <c r="D469" s="28" t="n"/>
      <c r="E469" s="26" t="n"/>
      <c r="F469" s="26" t="n"/>
      <c r="G469" s="26" t="n"/>
      <c r="H469" s="38" t="n"/>
      <c r="I469" s="28" t="n"/>
      <c r="J469" s="30">
        <f>IF(B469="","",IFERROR(INDEX('Share classes'!$A$4:$A$203,MATCH(B469,'Share classes'!$B$4:$B$203,0)),""))</f>
        <v/>
      </c>
      <c r="K469" s="30">
        <f>IF(A469="","",IFERROR(INDEX('Holders'!$B$4:$B$1003,MATCH(A469,'Holders'!$A$4:$A$1003,0)),""))</f>
        <v/>
      </c>
      <c r="L469" s="30">
        <f>IF(OR(A469="",B469="",D469=""),"",IF(D469=_xlfn.MAXIFS($D$4:$D$2503,$A$4:$A$2503,A469,$B$4:$B$2503,B469),"Yes","No"))</f>
        <v/>
      </c>
      <c r="M469" s="30">
        <f>IF(B469="","",IFERROR(INDEX('Share classes'!$F$4:$F$203,MATCH(B469,'Share classes'!$B$4:$B$203,0)),""))</f>
        <v/>
      </c>
      <c r="N469" s="30">
        <f>IF(A469="","",IF(K469="","Unknown holder ID",IF(J469="","Unknown class code",IF(OR(C469="",D469=""),"Missing shares or date",IF(OR(C469&lt;0,C469&lt;&gt;INT(C469)),"Shares must be a whole number",IF(COUNTIFS($A$4:$A$2503,A469,$B$4:$B$2503,B469,$D$4:$D$2503,D469)&gt;1,"Duplicate row (same date)","OK"))))))</f>
        <v/>
      </c>
    </row>
    <row r="470">
      <c r="A470" s="26" t="n"/>
      <c r="B470" s="26" t="n"/>
      <c r="C470" s="34" t="n"/>
      <c r="D470" s="28" t="n"/>
      <c r="E470" s="26" t="n"/>
      <c r="F470" s="26" t="n"/>
      <c r="G470" s="26" t="n"/>
      <c r="H470" s="38" t="n"/>
      <c r="I470" s="28" t="n"/>
      <c r="J470" s="30">
        <f>IF(B470="","",IFERROR(INDEX('Share classes'!$A$4:$A$203,MATCH(B470,'Share classes'!$B$4:$B$203,0)),""))</f>
        <v/>
      </c>
      <c r="K470" s="30">
        <f>IF(A470="","",IFERROR(INDEX('Holders'!$B$4:$B$1003,MATCH(A470,'Holders'!$A$4:$A$1003,0)),""))</f>
        <v/>
      </c>
      <c r="L470" s="30">
        <f>IF(OR(A470="",B470="",D470=""),"",IF(D470=_xlfn.MAXIFS($D$4:$D$2503,$A$4:$A$2503,A470,$B$4:$B$2503,B470),"Yes","No"))</f>
        <v/>
      </c>
      <c r="M470" s="30">
        <f>IF(B470="","",IFERROR(INDEX('Share classes'!$F$4:$F$203,MATCH(B470,'Share classes'!$B$4:$B$203,0)),""))</f>
        <v/>
      </c>
      <c r="N470" s="30">
        <f>IF(A470="","",IF(K470="","Unknown holder ID",IF(J470="","Unknown class code",IF(OR(C470="",D470=""),"Missing shares or date",IF(OR(C470&lt;0,C470&lt;&gt;INT(C470)),"Shares must be a whole number",IF(COUNTIFS($A$4:$A$2503,A470,$B$4:$B$2503,B470,$D$4:$D$2503,D470)&gt;1,"Duplicate row (same date)","OK"))))))</f>
        <v/>
      </c>
    </row>
    <row r="471">
      <c r="A471" s="26" t="n"/>
      <c r="B471" s="26" t="n"/>
      <c r="C471" s="34" t="n"/>
      <c r="D471" s="28" t="n"/>
      <c r="E471" s="26" t="n"/>
      <c r="F471" s="26" t="n"/>
      <c r="G471" s="26" t="n"/>
      <c r="H471" s="38" t="n"/>
      <c r="I471" s="28" t="n"/>
      <c r="J471" s="30">
        <f>IF(B471="","",IFERROR(INDEX('Share classes'!$A$4:$A$203,MATCH(B471,'Share classes'!$B$4:$B$203,0)),""))</f>
        <v/>
      </c>
      <c r="K471" s="30">
        <f>IF(A471="","",IFERROR(INDEX('Holders'!$B$4:$B$1003,MATCH(A471,'Holders'!$A$4:$A$1003,0)),""))</f>
        <v/>
      </c>
      <c r="L471" s="30">
        <f>IF(OR(A471="",B471="",D471=""),"",IF(D471=_xlfn.MAXIFS($D$4:$D$2503,$A$4:$A$2503,A471,$B$4:$B$2503,B471),"Yes","No"))</f>
        <v/>
      </c>
      <c r="M471" s="30">
        <f>IF(B471="","",IFERROR(INDEX('Share classes'!$F$4:$F$203,MATCH(B471,'Share classes'!$B$4:$B$203,0)),""))</f>
        <v/>
      </c>
      <c r="N471" s="30">
        <f>IF(A471="","",IF(K471="","Unknown holder ID",IF(J471="","Unknown class code",IF(OR(C471="",D471=""),"Missing shares or date",IF(OR(C471&lt;0,C471&lt;&gt;INT(C471)),"Shares must be a whole number",IF(COUNTIFS($A$4:$A$2503,A471,$B$4:$B$2503,B471,$D$4:$D$2503,D471)&gt;1,"Duplicate row (same date)","OK"))))))</f>
        <v/>
      </c>
    </row>
    <row r="472">
      <c r="A472" s="26" t="n"/>
      <c r="B472" s="26" t="n"/>
      <c r="C472" s="34" t="n"/>
      <c r="D472" s="28" t="n"/>
      <c r="E472" s="26" t="n"/>
      <c r="F472" s="26" t="n"/>
      <c r="G472" s="26" t="n"/>
      <c r="H472" s="38" t="n"/>
      <c r="I472" s="28" t="n"/>
      <c r="J472" s="30">
        <f>IF(B472="","",IFERROR(INDEX('Share classes'!$A$4:$A$203,MATCH(B472,'Share classes'!$B$4:$B$203,0)),""))</f>
        <v/>
      </c>
      <c r="K472" s="30">
        <f>IF(A472="","",IFERROR(INDEX('Holders'!$B$4:$B$1003,MATCH(A472,'Holders'!$A$4:$A$1003,0)),""))</f>
        <v/>
      </c>
      <c r="L472" s="30">
        <f>IF(OR(A472="",B472="",D472=""),"",IF(D472=_xlfn.MAXIFS($D$4:$D$2503,$A$4:$A$2503,A472,$B$4:$B$2503,B472),"Yes","No"))</f>
        <v/>
      </c>
      <c r="M472" s="30">
        <f>IF(B472="","",IFERROR(INDEX('Share classes'!$F$4:$F$203,MATCH(B472,'Share classes'!$B$4:$B$203,0)),""))</f>
        <v/>
      </c>
      <c r="N472" s="30">
        <f>IF(A472="","",IF(K472="","Unknown holder ID",IF(J472="","Unknown class code",IF(OR(C472="",D472=""),"Missing shares or date",IF(OR(C472&lt;0,C472&lt;&gt;INT(C472)),"Shares must be a whole number",IF(COUNTIFS($A$4:$A$2503,A472,$B$4:$B$2503,B472,$D$4:$D$2503,D472)&gt;1,"Duplicate row (same date)","OK"))))))</f>
        <v/>
      </c>
    </row>
    <row r="473">
      <c r="A473" s="26" t="n"/>
      <c r="B473" s="26" t="n"/>
      <c r="C473" s="34" t="n"/>
      <c r="D473" s="28" t="n"/>
      <c r="E473" s="26" t="n"/>
      <c r="F473" s="26" t="n"/>
      <c r="G473" s="26" t="n"/>
      <c r="H473" s="38" t="n"/>
      <c r="I473" s="28" t="n"/>
      <c r="J473" s="30">
        <f>IF(B473="","",IFERROR(INDEX('Share classes'!$A$4:$A$203,MATCH(B473,'Share classes'!$B$4:$B$203,0)),""))</f>
        <v/>
      </c>
      <c r="K473" s="30">
        <f>IF(A473="","",IFERROR(INDEX('Holders'!$B$4:$B$1003,MATCH(A473,'Holders'!$A$4:$A$1003,0)),""))</f>
        <v/>
      </c>
      <c r="L473" s="30">
        <f>IF(OR(A473="",B473="",D473=""),"",IF(D473=_xlfn.MAXIFS($D$4:$D$2503,$A$4:$A$2503,A473,$B$4:$B$2503,B473),"Yes","No"))</f>
        <v/>
      </c>
      <c r="M473" s="30">
        <f>IF(B473="","",IFERROR(INDEX('Share classes'!$F$4:$F$203,MATCH(B473,'Share classes'!$B$4:$B$203,0)),""))</f>
        <v/>
      </c>
      <c r="N473" s="30">
        <f>IF(A473="","",IF(K473="","Unknown holder ID",IF(J473="","Unknown class code",IF(OR(C473="",D473=""),"Missing shares or date",IF(OR(C473&lt;0,C473&lt;&gt;INT(C473)),"Shares must be a whole number",IF(COUNTIFS($A$4:$A$2503,A473,$B$4:$B$2503,B473,$D$4:$D$2503,D473)&gt;1,"Duplicate row (same date)","OK"))))))</f>
        <v/>
      </c>
    </row>
    <row r="474">
      <c r="A474" s="26" t="n"/>
      <c r="B474" s="26" t="n"/>
      <c r="C474" s="34" t="n"/>
      <c r="D474" s="28" t="n"/>
      <c r="E474" s="26" t="n"/>
      <c r="F474" s="26" t="n"/>
      <c r="G474" s="26" t="n"/>
      <c r="H474" s="38" t="n"/>
      <c r="I474" s="28" t="n"/>
      <c r="J474" s="30">
        <f>IF(B474="","",IFERROR(INDEX('Share classes'!$A$4:$A$203,MATCH(B474,'Share classes'!$B$4:$B$203,0)),""))</f>
        <v/>
      </c>
      <c r="K474" s="30">
        <f>IF(A474="","",IFERROR(INDEX('Holders'!$B$4:$B$1003,MATCH(A474,'Holders'!$A$4:$A$1003,0)),""))</f>
        <v/>
      </c>
      <c r="L474" s="30">
        <f>IF(OR(A474="",B474="",D474=""),"",IF(D474=_xlfn.MAXIFS($D$4:$D$2503,$A$4:$A$2503,A474,$B$4:$B$2503,B474),"Yes","No"))</f>
        <v/>
      </c>
      <c r="M474" s="30">
        <f>IF(B474="","",IFERROR(INDEX('Share classes'!$F$4:$F$203,MATCH(B474,'Share classes'!$B$4:$B$203,0)),""))</f>
        <v/>
      </c>
      <c r="N474" s="30">
        <f>IF(A474="","",IF(K474="","Unknown holder ID",IF(J474="","Unknown class code",IF(OR(C474="",D474=""),"Missing shares or date",IF(OR(C474&lt;0,C474&lt;&gt;INT(C474)),"Shares must be a whole number",IF(COUNTIFS($A$4:$A$2503,A474,$B$4:$B$2503,B474,$D$4:$D$2503,D474)&gt;1,"Duplicate row (same date)","OK"))))))</f>
        <v/>
      </c>
    </row>
    <row r="475">
      <c r="A475" s="26" t="n"/>
      <c r="B475" s="26" t="n"/>
      <c r="C475" s="34" t="n"/>
      <c r="D475" s="28" t="n"/>
      <c r="E475" s="26" t="n"/>
      <c r="F475" s="26" t="n"/>
      <c r="G475" s="26" t="n"/>
      <c r="H475" s="38" t="n"/>
      <c r="I475" s="28" t="n"/>
      <c r="J475" s="30">
        <f>IF(B475="","",IFERROR(INDEX('Share classes'!$A$4:$A$203,MATCH(B475,'Share classes'!$B$4:$B$203,0)),""))</f>
        <v/>
      </c>
      <c r="K475" s="30">
        <f>IF(A475="","",IFERROR(INDEX('Holders'!$B$4:$B$1003,MATCH(A475,'Holders'!$A$4:$A$1003,0)),""))</f>
        <v/>
      </c>
      <c r="L475" s="30">
        <f>IF(OR(A475="",B475="",D475=""),"",IF(D475=_xlfn.MAXIFS($D$4:$D$2503,$A$4:$A$2503,A475,$B$4:$B$2503,B475),"Yes","No"))</f>
        <v/>
      </c>
      <c r="M475" s="30">
        <f>IF(B475="","",IFERROR(INDEX('Share classes'!$F$4:$F$203,MATCH(B475,'Share classes'!$B$4:$B$203,0)),""))</f>
        <v/>
      </c>
      <c r="N475" s="30">
        <f>IF(A475="","",IF(K475="","Unknown holder ID",IF(J475="","Unknown class code",IF(OR(C475="",D475=""),"Missing shares or date",IF(OR(C475&lt;0,C475&lt;&gt;INT(C475)),"Shares must be a whole number",IF(COUNTIFS($A$4:$A$2503,A475,$B$4:$B$2503,B475,$D$4:$D$2503,D475)&gt;1,"Duplicate row (same date)","OK"))))))</f>
        <v/>
      </c>
    </row>
    <row r="476">
      <c r="A476" s="26" t="n"/>
      <c r="B476" s="26" t="n"/>
      <c r="C476" s="34" t="n"/>
      <c r="D476" s="28" t="n"/>
      <c r="E476" s="26" t="n"/>
      <c r="F476" s="26" t="n"/>
      <c r="G476" s="26" t="n"/>
      <c r="H476" s="38" t="n"/>
      <c r="I476" s="28" t="n"/>
      <c r="J476" s="30">
        <f>IF(B476="","",IFERROR(INDEX('Share classes'!$A$4:$A$203,MATCH(B476,'Share classes'!$B$4:$B$203,0)),""))</f>
        <v/>
      </c>
      <c r="K476" s="30">
        <f>IF(A476="","",IFERROR(INDEX('Holders'!$B$4:$B$1003,MATCH(A476,'Holders'!$A$4:$A$1003,0)),""))</f>
        <v/>
      </c>
      <c r="L476" s="30">
        <f>IF(OR(A476="",B476="",D476=""),"",IF(D476=_xlfn.MAXIFS($D$4:$D$2503,$A$4:$A$2503,A476,$B$4:$B$2503,B476),"Yes","No"))</f>
        <v/>
      </c>
      <c r="M476" s="30">
        <f>IF(B476="","",IFERROR(INDEX('Share classes'!$F$4:$F$203,MATCH(B476,'Share classes'!$B$4:$B$203,0)),""))</f>
        <v/>
      </c>
      <c r="N476" s="30">
        <f>IF(A476="","",IF(K476="","Unknown holder ID",IF(J476="","Unknown class code",IF(OR(C476="",D476=""),"Missing shares or date",IF(OR(C476&lt;0,C476&lt;&gt;INT(C476)),"Shares must be a whole number",IF(COUNTIFS($A$4:$A$2503,A476,$B$4:$B$2503,B476,$D$4:$D$2503,D476)&gt;1,"Duplicate row (same date)","OK"))))))</f>
        <v/>
      </c>
    </row>
    <row r="477">
      <c r="A477" s="26" t="n"/>
      <c r="B477" s="26" t="n"/>
      <c r="C477" s="34" t="n"/>
      <c r="D477" s="28" t="n"/>
      <c r="E477" s="26" t="n"/>
      <c r="F477" s="26" t="n"/>
      <c r="G477" s="26" t="n"/>
      <c r="H477" s="38" t="n"/>
      <c r="I477" s="28" t="n"/>
      <c r="J477" s="30">
        <f>IF(B477="","",IFERROR(INDEX('Share classes'!$A$4:$A$203,MATCH(B477,'Share classes'!$B$4:$B$203,0)),""))</f>
        <v/>
      </c>
      <c r="K477" s="30">
        <f>IF(A477="","",IFERROR(INDEX('Holders'!$B$4:$B$1003,MATCH(A477,'Holders'!$A$4:$A$1003,0)),""))</f>
        <v/>
      </c>
      <c r="L477" s="30">
        <f>IF(OR(A477="",B477="",D477=""),"",IF(D477=_xlfn.MAXIFS($D$4:$D$2503,$A$4:$A$2503,A477,$B$4:$B$2503,B477),"Yes","No"))</f>
        <v/>
      </c>
      <c r="M477" s="30">
        <f>IF(B477="","",IFERROR(INDEX('Share classes'!$F$4:$F$203,MATCH(B477,'Share classes'!$B$4:$B$203,0)),""))</f>
        <v/>
      </c>
      <c r="N477" s="30">
        <f>IF(A477="","",IF(K477="","Unknown holder ID",IF(J477="","Unknown class code",IF(OR(C477="",D477=""),"Missing shares or date",IF(OR(C477&lt;0,C477&lt;&gt;INT(C477)),"Shares must be a whole number",IF(COUNTIFS($A$4:$A$2503,A477,$B$4:$B$2503,B477,$D$4:$D$2503,D477)&gt;1,"Duplicate row (same date)","OK"))))))</f>
        <v/>
      </c>
    </row>
    <row r="478">
      <c r="A478" s="26" t="n"/>
      <c r="B478" s="26" t="n"/>
      <c r="C478" s="34" t="n"/>
      <c r="D478" s="28" t="n"/>
      <c r="E478" s="26" t="n"/>
      <c r="F478" s="26" t="n"/>
      <c r="G478" s="26" t="n"/>
      <c r="H478" s="38" t="n"/>
      <c r="I478" s="28" t="n"/>
      <c r="J478" s="30">
        <f>IF(B478="","",IFERROR(INDEX('Share classes'!$A$4:$A$203,MATCH(B478,'Share classes'!$B$4:$B$203,0)),""))</f>
        <v/>
      </c>
      <c r="K478" s="30">
        <f>IF(A478="","",IFERROR(INDEX('Holders'!$B$4:$B$1003,MATCH(A478,'Holders'!$A$4:$A$1003,0)),""))</f>
        <v/>
      </c>
      <c r="L478" s="30">
        <f>IF(OR(A478="",B478="",D478=""),"",IF(D478=_xlfn.MAXIFS($D$4:$D$2503,$A$4:$A$2503,A478,$B$4:$B$2503,B478),"Yes","No"))</f>
        <v/>
      </c>
      <c r="M478" s="30">
        <f>IF(B478="","",IFERROR(INDEX('Share classes'!$F$4:$F$203,MATCH(B478,'Share classes'!$B$4:$B$203,0)),""))</f>
        <v/>
      </c>
      <c r="N478" s="30">
        <f>IF(A478="","",IF(K478="","Unknown holder ID",IF(J478="","Unknown class code",IF(OR(C478="",D478=""),"Missing shares or date",IF(OR(C478&lt;0,C478&lt;&gt;INT(C478)),"Shares must be a whole number",IF(COUNTIFS($A$4:$A$2503,A478,$B$4:$B$2503,B478,$D$4:$D$2503,D478)&gt;1,"Duplicate row (same date)","OK"))))))</f>
        <v/>
      </c>
    </row>
    <row r="479">
      <c r="A479" s="26" t="n"/>
      <c r="B479" s="26" t="n"/>
      <c r="C479" s="34" t="n"/>
      <c r="D479" s="28" t="n"/>
      <c r="E479" s="26" t="n"/>
      <c r="F479" s="26" t="n"/>
      <c r="G479" s="26" t="n"/>
      <c r="H479" s="38" t="n"/>
      <c r="I479" s="28" t="n"/>
      <c r="J479" s="30">
        <f>IF(B479="","",IFERROR(INDEX('Share classes'!$A$4:$A$203,MATCH(B479,'Share classes'!$B$4:$B$203,0)),""))</f>
        <v/>
      </c>
      <c r="K479" s="30">
        <f>IF(A479="","",IFERROR(INDEX('Holders'!$B$4:$B$1003,MATCH(A479,'Holders'!$A$4:$A$1003,0)),""))</f>
        <v/>
      </c>
      <c r="L479" s="30">
        <f>IF(OR(A479="",B479="",D479=""),"",IF(D479=_xlfn.MAXIFS($D$4:$D$2503,$A$4:$A$2503,A479,$B$4:$B$2503,B479),"Yes","No"))</f>
        <v/>
      </c>
      <c r="M479" s="30">
        <f>IF(B479="","",IFERROR(INDEX('Share classes'!$F$4:$F$203,MATCH(B479,'Share classes'!$B$4:$B$203,0)),""))</f>
        <v/>
      </c>
      <c r="N479" s="30">
        <f>IF(A479="","",IF(K479="","Unknown holder ID",IF(J479="","Unknown class code",IF(OR(C479="",D479=""),"Missing shares or date",IF(OR(C479&lt;0,C479&lt;&gt;INT(C479)),"Shares must be a whole number",IF(COUNTIFS($A$4:$A$2503,A479,$B$4:$B$2503,B479,$D$4:$D$2503,D479)&gt;1,"Duplicate row (same date)","OK"))))))</f>
        <v/>
      </c>
    </row>
    <row r="480">
      <c r="A480" s="26" t="n"/>
      <c r="B480" s="26" t="n"/>
      <c r="C480" s="34" t="n"/>
      <c r="D480" s="28" t="n"/>
      <c r="E480" s="26" t="n"/>
      <c r="F480" s="26" t="n"/>
      <c r="G480" s="26" t="n"/>
      <c r="H480" s="38" t="n"/>
      <c r="I480" s="28" t="n"/>
      <c r="J480" s="30">
        <f>IF(B480="","",IFERROR(INDEX('Share classes'!$A$4:$A$203,MATCH(B480,'Share classes'!$B$4:$B$203,0)),""))</f>
        <v/>
      </c>
      <c r="K480" s="30">
        <f>IF(A480="","",IFERROR(INDEX('Holders'!$B$4:$B$1003,MATCH(A480,'Holders'!$A$4:$A$1003,0)),""))</f>
        <v/>
      </c>
      <c r="L480" s="30">
        <f>IF(OR(A480="",B480="",D480=""),"",IF(D480=_xlfn.MAXIFS($D$4:$D$2503,$A$4:$A$2503,A480,$B$4:$B$2503,B480),"Yes","No"))</f>
        <v/>
      </c>
      <c r="M480" s="30">
        <f>IF(B480="","",IFERROR(INDEX('Share classes'!$F$4:$F$203,MATCH(B480,'Share classes'!$B$4:$B$203,0)),""))</f>
        <v/>
      </c>
      <c r="N480" s="30">
        <f>IF(A480="","",IF(K480="","Unknown holder ID",IF(J480="","Unknown class code",IF(OR(C480="",D480=""),"Missing shares or date",IF(OR(C480&lt;0,C480&lt;&gt;INT(C480)),"Shares must be a whole number",IF(COUNTIFS($A$4:$A$2503,A480,$B$4:$B$2503,B480,$D$4:$D$2503,D480)&gt;1,"Duplicate row (same date)","OK"))))))</f>
        <v/>
      </c>
    </row>
    <row r="481">
      <c r="A481" s="26" t="n"/>
      <c r="B481" s="26" t="n"/>
      <c r="C481" s="34" t="n"/>
      <c r="D481" s="28" t="n"/>
      <c r="E481" s="26" t="n"/>
      <c r="F481" s="26" t="n"/>
      <c r="G481" s="26" t="n"/>
      <c r="H481" s="38" t="n"/>
      <c r="I481" s="28" t="n"/>
      <c r="J481" s="30">
        <f>IF(B481="","",IFERROR(INDEX('Share classes'!$A$4:$A$203,MATCH(B481,'Share classes'!$B$4:$B$203,0)),""))</f>
        <v/>
      </c>
      <c r="K481" s="30">
        <f>IF(A481="","",IFERROR(INDEX('Holders'!$B$4:$B$1003,MATCH(A481,'Holders'!$A$4:$A$1003,0)),""))</f>
        <v/>
      </c>
      <c r="L481" s="30">
        <f>IF(OR(A481="",B481="",D481=""),"",IF(D481=_xlfn.MAXIFS($D$4:$D$2503,$A$4:$A$2503,A481,$B$4:$B$2503,B481),"Yes","No"))</f>
        <v/>
      </c>
      <c r="M481" s="30">
        <f>IF(B481="","",IFERROR(INDEX('Share classes'!$F$4:$F$203,MATCH(B481,'Share classes'!$B$4:$B$203,0)),""))</f>
        <v/>
      </c>
      <c r="N481" s="30">
        <f>IF(A481="","",IF(K481="","Unknown holder ID",IF(J481="","Unknown class code",IF(OR(C481="",D481=""),"Missing shares or date",IF(OR(C481&lt;0,C481&lt;&gt;INT(C481)),"Shares must be a whole number",IF(COUNTIFS($A$4:$A$2503,A481,$B$4:$B$2503,B481,$D$4:$D$2503,D481)&gt;1,"Duplicate row (same date)","OK"))))))</f>
        <v/>
      </c>
    </row>
    <row r="482">
      <c r="A482" s="26" t="n"/>
      <c r="B482" s="26" t="n"/>
      <c r="C482" s="34" t="n"/>
      <c r="D482" s="28" t="n"/>
      <c r="E482" s="26" t="n"/>
      <c r="F482" s="26" t="n"/>
      <c r="G482" s="26" t="n"/>
      <c r="H482" s="38" t="n"/>
      <c r="I482" s="28" t="n"/>
      <c r="J482" s="30">
        <f>IF(B482="","",IFERROR(INDEX('Share classes'!$A$4:$A$203,MATCH(B482,'Share classes'!$B$4:$B$203,0)),""))</f>
        <v/>
      </c>
      <c r="K482" s="30">
        <f>IF(A482="","",IFERROR(INDEX('Holders'!$B$4:$B$1003,MATCH(A482,'Holders'!$A$4:$A$1003,0)),""))</f>
        <v/>
      </c>
      <c r="L482" s="30">
        <f>IF(OR(A482="",B482="",D482=""),"",IF(D482=_xlfn.MAXIFS($D$4:$D$2503,$A$4:$A$2503,A482,$B$4:$B$2503,B482),"Yes","No"))</f>
        <v/>
      </c>
      <c r="M482" s="30">
        <f>IF(B482="","",IFERROR(INDEX('Share classes'!$F$4:$F$203,MATCH(B482,'Share classes'!$B$4:$B$203,0)),""))</f>
        <v/>
      </c>
      <c r="N482" s="30">
        <f>IF(A482="","",IF(K482="","Unknown holder ID",IF(J482="","Unknown class code",IF(OR(C482="",D482=""),"Missing shares or date",IF(OR(C482&lt;0,C482&lt;&gt;INT(C482)),"Shares must be a whole number",IF(COUNTIFS($A$4:$A$2503,A482,$B$4:$B$2503,B482,$D$4:$D$2503,D482)&gt;1,"Duplicate row (same date)","OK"))))))</f>
        <v/>
      </c>
    </row>
    <row r="483">
      <c r="A483" s="26" t="n"/>
      <c r="B483" s="26" t="n"/>
      <c r="C483" s="34" t="n"/>
      <c r="D483" s="28" t="n"/>
      <c r="E483" s="26" t="n"/>
      <c r="F483" s="26" t="n"/>
      <c r="G483" s="26" t="n"/>
      <c r="H483" s="38" t="n"/>
      <c r="I483" s="28" t="n"/>
      <c r="J483" s="30">
        <f>IF(B483="","",IFERROR(INDEX('Share classes'!$A$4:$A$203,MATCH(B483,'Share classes'!$B$4:$B$203,0)),""))</f>
        <v/>
      </c>
      <c r="K483" s="30">
        <f>IF(A483="","",IFERROR(INDEX('Holders'!$B$4:$B$1003,MATCH(A483,'Holders'!$A$4:$A$1003,0)),""))</f>
        <v/>
      </c>
      <c r="L483" s="30">
        <f>IF(OR(A483="",B483="",D483=""),"",IF(D483=_xlfn.MAXIFS($D$4:$D$2503,$A$4:$A$2503,A483,$B$4:$B$2503,B483),"Yes","No"))</f>
        <v/>
      </c>
      <c r="M483" s="30">
        <f>IF(B483="","",IFERROR(INDEX('Share classes'!$F$4:$F$203,MATCH(B483,'Share classes'!$B$4:$B$203,0)),""))</f>
        <v/>
      </c>
      <c r="N483" s="30">
        <f>IF(A483="","",IF(K483="","Unknown holder ID",IF(J483="","Unknown class code",IF(OR(C483="",D483=""),"Missing shares or date",IF(OR(C483&lt;0,C483&lt;&gt;INT(C483)),"Shares must be a whole number",IF(COUNTIFS($A$4:$A$2503,A483,$B$4:$B$2503,B483,$D$4:$D$2503,D483)&gt;1,"Duplicate row (same date)","OK"))))))</f>
        <v/>
      </c>
    </row>
    <row r="484">
      <c r="A484" s="26" t="n"/>
      <c r="B484" s="26" t="n"/>
      <c r="C484" s="34" t="n"/>
      <c r="D484" s="28" t="n"/>
      <c r="E484" s="26" t="n"/>
      <c r="F484" s="26" t="n"/>
      <c r="G484" s="26" t="n"/>
      <c r="H484" s="38" t="n"/>
      <c r="I484" s="28" t="n"/>
      <c r="J484" s="30">
        <f>IF(B484="","",IFERROR(INDEX('Share classes'!$A$4:$A$203,MATCH(B484,'Share classes'!$B$4:$B$203,0)),""))</f>
        <v/>
      </c>
      <c r="K484" s="30">
        <f>IF(A484="","",IFERROR(INDEX('Holders'!$B$4:$B$1003,MATCH(A484,'Holders'!$A$4:$A$1003,0)),""))</f>
        <v/>
      </c>
      <c r="L484" s="30">
        <f>IF(OR(A484="",B484="",D484=""),"",IF(D484=_xlfn.MAXIFS($D$4:$D$2503,$A$4:$A$2503,A484,$B$4:$B$2503,B484),"Yes","No"))</f>
        <v/>
      </c>
      <c r="M484" s="30">
        <f>IF(B484="","",IFERROR(INDEX('Share classes'!$F$4:$F$203,MATCH(B484,'Share classes'!$B$4:$B$203,0)),""))</f>
        <v/>
      </c>
      <c r="N484" s="30">
        <f>IF(A484="","",IF(K484="","Unknown holder ID",IF(J484="","Unknown class code",IF(OR(C484="",D484=""),"Missing shares or date",IF(OR(C484&lt;0,C484&lt;&gt;INT(C484)),"Shares must be a whole number",IF(COUNTIFS($A$4:$A$2503,A484,$B$4:$B$2503,B484,$D$4:$D$2503,D484)&gt;1,"Duplicate row (same date)","OK"))))))</f>
        <v/>
      </c>
    </row>
    <row r="485">
      <c r="A485" s="26" t="n"/>
      <c r="B485" s="26" t="n"/>
      <c r="C485" s="34" t="n"/>
      <c r="D485" s="28" t="n"/>
      <c r="E485" s="26" t="n"/>
      <c r="F485" s="26" t="n"/>
      <c r="G485" s="26" t="n"/>
      <c r="H485" s="38" t="n"/>
      <c r="I485" s="28" t="n"/>
      <c r="J485" s="30">
        <f>IF(B485="","",IFERROR(INDEX('Share classes'!$A$4:$A$203,MATCH(B485,'Share classes'!$B$4:$B$203,0)),""))</f>
        <v/>
      </c>
      <c r="K485" s="30">
        <f>IF(A485="","",IFERROR(INDEX('Holders'!$B$4:$B$1003,MATCH(A485,'Holders'!$A$4:$A$1003,0)),""))</f>
        <v/>
      </c>
      <c r="L485" s="30">
        <f>IF(OR(A485="",B485="",D485=""),"",IF(D485=_xlfn.MAXIFS($D$4:$D$2503,$A$4:$A$2503,A485,$B$4:$B$2503,B485),"Yes","No"))</f>
        <v/>
      </c>
      <c r="M485" s="30">
        <f>IF(B485="","",IFERROR(INDEX('Share classes'!$F$4:$F$203,MATCH(B485,'Share classes'!$B$4:$B$203,0)),""))</f>
        <v/>
      </c>
      <c r="N485" s="30">
        <f>IF(A485="","",IF(K485="","Unknown holder ID",IF(J485="","Unknown class code",IF(OR(C485="",D485=""),"Missing shares or date",IF(OR(C485&lt;0,C485&lt;&gt;INT(C485)),"Shares must be a whole number",IF(COUNTIFS($A$4:$A$2503,A485,$B$4:$B$2503,B485,$D$4:$D$2503,D485)&gt;1,"Duplicate row (same date)","OK"))))))</f>
        <v/>
      </c>
    </row>
    <row r="486">
      <c r="A486" s="26" t="n"/>
      <c r="B486" s="26" t="n"/>
      <c r="C486" s="34" t="n"/>
      <c r="D486" s="28" t="n"/>
      <c r="E486" s="26" t="n"/>
      <c r="F486" s="26" t="n"/>
      <c r="G486" s="26" t="n"/>
      <c r="H486" s="38" t="n"/>
      <c r="I486" s="28" t="n"/>
      <c r="J486" s="30">
        <f>IF(B486="","",IFERROR(INDEX('Share classes'!$A$4:$A$203,MATCH(B486,'Share classes'!$B$4:$B$203,0)),""))</f>
        <v/>
      </c>
      <c r="K486" s="30">
        <f>IF(A486="","",IFERROR(INDEX('Holders'!$B$4:$B$1003,MATCH(A486,'Holders'!$A$4:$A$1003,0)),""))</f>
        <v/>
      </c>
      <c r="L486" s="30">
        <f>IF(OR(A486="",B486="",D486=""),"",IF(D486=_xlfn.MAXIFS($D$4:$D$2503,$A$4:$A$2503,A486,$B$4:$B$2503,B486),"Yes","No"))</f>
        <v/>
      </c>
      <c r="M486" s="30">
        <f>IF(B486="","",IFERROR(INDEX('Share classes'!$F$4:$F$203,MATCH(B486,'Share classes'!$B$4:$B$203,0)),""))</f>
        <v/>
      </c>
      <c r="N486" s="30">
        <f>IF(A486="","",IF(K486="","Unknown holder ID",IF(J486="","Unknown class code",IF(OR(C486="",D486=""),"Missing shares or date",IF(OR(C486&lt;0,C486&lt;&gt;INT(C486)),"Shares must be a whole number",IF(COUNTIFS($A$4:$A$2503,A486,$B$4:$B$2503,B486,$D$4:$D$2503,D486)&gt;1,"Duplicate row (same date)","OK"))))))</f>
        <v/>
      </c>
    </row>
    <row r="487">
      <c r="A487" s="26" t="n"/>
      <c r="B487" s="26" t="n"/>
      <c r="C487" s="34" t="n"/>
      <c r="D487" s="28" t="n"/>
      <c r="E487" s="26" t="n"/>
      <c r="F487" s="26" t="n"/>
      <c r="G487" s="26" t="n"/>
      <c r="H487" s="38" t="n"/>
      <c r="I487" s="28" t="n"/>
      <c r="J487" s="30">
        <f>IF(B487="","",IFERROR(INDEX('Share classes'!$A$4:$A$203,MATCH(B487,'Share classes'!$B$4:$B$203,0)),""))</f>
        <v/>
      </c>
      <c r="K487" s="30">
        <f>IF(A487="","",IFERROR(INDEX('Holders'!$B$4:$B$1003,MATCH(A487,'Holders'!$A$4:$A$1003,0)),""))</f>
        <v/>
      </c>
      <c r="L487" s="30">
        <f>IF(OR(A487="",B487="",D487=""),"",IF(D487=_xlfn.MAXIFS($D$4:$D$2503,$A$4:$A$2503,A487,$B$4:$B$2503,B487),"Yes","No"))</f>
        <v/>
      </c>
      <c r="M487" s="30">
        <f>IF(B487="","",IFERROR(INDEX('Share classes'!$F$4:$F$203,MATCH(B487,'Share classes'!$B$4:$B$203,0)),""))</f>
        <v/>
      </c>
      <c r="N487" s="30">
        <f>IF(A487="","",IF(K487="","Unknown holder ID",IF(J487="","Unknown class code",IF(OR(C487="",D487=""),"Missing shares or date",IF(OR(C487&lt;0,C487&lt;&gt;INT(C487)),"Shares must be a whole number",IF(COUNTIFS($A$4:$A$2503,A487,$B$4:$B$2503,B487,$D$4:$D$2503,D487)&gt;1,"Duplicate row (same date)","OK"))))))</f>
        <v/>
      </c>
    </row>
    <row r="488">
      <c r="A488" s="26" t="n"/>
      <c r="B488" s="26" t="n"/>
      <c r="C488" s="34" t="n"/>
      <c r="D488" s="28" t="n"/>
      <c r="E488" s="26" t="n"/>
      <c r="F488" s="26" t="n"/>
      <c r="G488" s="26" t="n"/>
      <c r="H488" s="38" t="n"/>
      <c r="I488" s="28" t="n"/>
      <c r="J488" s="30">
        <f>IF(B488="","",IFERROR(INDEX('Share classes'!$A$4:$A$203,MATCH(B488,'Share classes'!$B$4:$B$203,0)),""))</f>
        <v/>
      </c>
      <c r="K488" s="30">
        <f>IF(A488="","",IFERROR(INDEX('Holders'!$B$4:$B$1003,MATCH(A488,'Holders'!$A$4:$A$1003,0)),""))</f>
        <v/>
      </c>
      <c r="L488" s="30">
        <f>IF(OR(A488="",B488="",D488=""),"",IF(D488=_xlfn.MAXIFS($D$4:$D$2503,$A$4:$A$2503,A488,$B$4:$B$2503,B488),"Yes","No"))</f>
        <v/>
      </c>
      <c r="M488" s="30">
        <f>IF(B488="","",IFERROR(INDEX('Share classes'!$F$4:$F$203,MATCH(B488,'Share classes'!$B$4:$B$203,0)),""))</f>
        <v/>
      </c>
      <c r="N488" s="30">
        <f>IF(A488="","",IF(K488="","Unknown holder ID",IF(J488="","Unknown class code",IF(OR(C488="",D488=""),"Missing shares or date",IF(OR(C488&lt;0,C488&lt;&gt;INT(C488)),"Shares must be a whole number",IF(COUNTIFS($A$4:$A$2503,A488,$B$4:$B$2503,B488,$D$4:$D$2503,D488)&gt;1,"Duplicate row (same date)","OK"))))))</f>
        <v/>
      </c>
    </row>
    <row r="489">
      <c r="A489" s="26" t="n"/>
      <c r="B489" s="26" t="n"/>
      <c r="C489" s="34" t="n"/>
      <c r="D489" s="28" t="n"/>
      <c r="E489" s="26" t="n"/>
      <c r="F489" s="26" t="n"/>
      <c r="G489" s="26" t="n"/>
      <c r="H489" s="38" t="n"/>
      <c r="I489" s="28" t="n"/>
      <c r="J489" s="30">
        <f>IF(B489="","",IFERROR(INDEX('Share classes'!$A$4:$A$203,MATCH(B489,'Share classes'!$B$4:$B$203,0)),""))</f>
        <v/>
      </c>
      <c r="K489" s="30">
        <f>IF(A489="","",IFERROR(INDEX('Holders'!$B$4:$B$1003,MATCH(A489,'Holders'!$A$4:$A$1003,0)),""))</f>
        <v/>
      </c>
      <c r="L489" s="30">
        <f>IF(OR(A489="",B489="",D489=""),"",IF(D489=_xlfn.MAXIFS($D$4:$D$2503,$A$4:$A$2503,A489,$B$4:$B$2503,B489),"Yes","No"))</f>
        <v/>
      </c>
      <c r="M489" s="30">
        <f>IF(B489="","",IFERROR(INDEX('Share classes'!$F$4:$F$203,MATCH(B489,'Share classes'!$B$4:$B$203,0)),""))</f>
        <v/>
      </c>
      <c r="N489" s="30">
        <f>IF(A489="","",IF(K489="","Unknown holder ID",IF(J489="","Unknown class code",IF(OR(C489="",D489=""),"Missing shares or date",IF(OR(C489&lt;0,C489&lt;&gt;INT(C489)),"Shares must be a whole number",IF(COUNTIFS($A$4:$A$2503,A489,$B$4:$B$2503,B489,$D$4:$D$2503,D489)&gt;1,"Duplicate row (same date)","OK"))))))</f>
        <v/>
      </c>
    </row>
    <row r="490">
      <c r="A490" s="26" t="n"/>
      <c r="B490" s="26" t="n"/>
      <c r="C490" s="34" t="n"/>
      <c r="D490" s="28" t="n"/>
      <c r="E490" s="26" t="n"/>
      <c r="F490" s="26" t="n"/>
      <c r="G490" s="26" t="n"/>
      <c r="H490" s="38" t="n"/>
      <c r="I490" s="28" t="n"/>
      <c r="J490" s="30">
        <f>IF(B490="","",IFERROR(INDEX('Share classes'!$A$4:$A$203,MATCH(B490,'Share classes'!$B$4:$B$203,0)),""))</f>
        <v/>
      </c>
      <c r="K490" s="30">
        <f>IF(A490="","",IFERROR(INDEX('Holders'!$B$4:$B$1003,MATCH(A490,'Holders'!$A$4:$A$1003,0)),""))</f>
        <v/>
      </c>
      <c r="L490" s="30">
        <f>IF(OR(A490="",B490="",D490=""),"",IF(D490=_xlfn.MAXIFS($D$4:$D$2503,$A$4:$A$2503,A490,$B$4:$B$2503,B490),"Yes","No"))</f>
        <v/>
      </c>
      <c r="M490" s="30">
        <f>IF(B490="","",IFERROR(INDEX('Share classes'!$F$4:$F$203,MATCH(B490,'Share classes'!$B$4:$B$203,0)),""))</f>
        <v/>
      </c>
      <c r="N490" s="30">
        <f>IF(A490="","",IF(K490="","Unknown holder ID",IF(J490="","Unknown class code",IF(OR(C490="",D490=""),"Missing shares or date",IF(OR(C490&lt;0,C490&lt;&gt;INT(C490)),"Shares must be a whole number",IF(COUNTIFS($A$4:$A$2503,A490,$B$4:$B$2503,B490,$D$4:$D$2503,D490)&gt;1,"Duplicate row (same date)","OK"))))))</f>
        <v/>
      </c>
    </row>
    <row r="491">
      <c r="A491" s="26" t="n"/>
      <c r="B491" s="26" t="n"/>
      <c r="C491" s="34" t="n"/>
      <c r="D491" s="28" t="n"/>
      <c r="E491" s="26" t="n"/>
      <c r="F491" s="26" t="n"/>
      <c r="G491" s="26" t="n"/>
      <c r="H491" s="38" t="n"/>
      <c r="I491" s="28" t="n"/>
      <c r="J491" s="30">
        <f>IF(B491="","",IFERROR(INDEX('Share classes'!$A$4:$A$203,MATCH(B491,'Share classes'!$B$4:$B$203,0)),""))</f>
        <v/>
      </c>
      <c r="K491" s="30">
        <f>IF(A491="","",IFERROR(INDEX('Holders'!$B$4:$B$1003,MATCH(A491,'Holders'!$A$4:$A$1003,0)),""))</f>
        <v/>
      </c>
      <c r="L491" s="30">
        <f>IF(OR(A491="",B491="",D491=""),"",IF(D491=_xlfn.MAXIFS($D$4:$D$2503,$A$4:$A$2503,A491,$B$4:$B$2503,B491),"Yes","No"))</f>
        <v/>
      </c>
      <c r="M491" s="30">
        <f>IF(B491="","",IFERROR(INDEX('Share classes'!$F$4:$F$203,MATCH(B491,'Share classes'!$B$4:$B$203,0)),""))</f>
        <v/>
      </c>
      <c r="N491" s="30">
        <f>IF(A491="","",IF(K491="","Unknown holder ID",IF(J491="","Unknown class code",IF(OR(C491="",D491=""),"Missing shares or date",IF(OR(C491&lt;0,C491&lt;&gt;INT(C491)),"Shares must be a whole number",IF(COUNTIFS($A$4:$A$2503,A491,$B$4:$B$2503,B491,$D$4:$D$2503,D491)&gt;1,"Duplicate row (same date)","OK"))))))</f>
        <v/>
      </c>
    </row>
    <row r="492">
      <c r="A492" s="26" t="n"/>
      <c r="B492" s="26" t="n"/>
      <c r="C492" s="34" t="n"/>
      <c r="D492" s="28" t="n"/>
      <c r="E492" s="26" t="n"/>
      <c r="F492" s="26" t="n"/>
      <c r="G492" s="26" t="n"/>
      <c r="H492" s="38" t="n"/>
      <c r="I492" s="28" t="n"/>
      <c r="J492" s="30">
        <f>IF(B492="","",IFERROR(INDEX('Share classes'!$A$4:$A$203,MATCH(B492,'Share classes'!$B$4:$B$203,0)),""))</f>
        <v/>
      </c>
      <c r="K492" s="30">
        <f>IF(A492="","",IFERROR(INDEX('Holders'!$B$4:$B$1003,MATCH(A492,'Holders'!$A$4:$A$1003,0)),""))</f>
        <v/>
      </c>
      <c r="L492" s="30">
        <f>IF(OR(A492="",B492="",D492=""),"",IF(D492=_xlfn.MAXIFS($D$4:$D$2503,$A$4:$A$2503,A492,$B$4:$B$2503,B492),"Yes","No"))</f>
        <v/>
      </c>
      <c r="M492" s="30">
        <f>IF(B492="","",IFERROR(INDEX('Share classes'!$F$4:$F$203,MATCH(B492,'Share classes'!$B$4:$B$203,0)),""))</f>
        <v/>
      </c>
      <c r="N492" s="30">
        <f>IF(A492="","",IF(K492="","Unknown holder ID",IF(J492="","Unknown class code",IF(OR(C492="",D492=""),"Missing shares or date",IF(OR(C492&lt;0,C492&lt;&gt;INT(C492)),"Shares must be a whole number",IF(COUNTIFS($A$4:$A$2503,A492,$B$4:$B$2503,B492,$D$4:$D$2503,D492)&gt;1,"Duplicate row (same date)","OK"))))))</f>
        <v/>
      </c>
    </row>
    <row r="493">
      <c r="A493" s="26" t="n"/>
      <c r="B493" s="26" t="n"/>
      <c r="C493" s="34" t="n"/>
      <c r="D493" s="28" t="n"/>
      <c r="E493" s="26" t="n"/>
      <c r="F493" s="26" t="n"/>
      <c r="G493" s="26" t="n"/>
      <c r="H493" s="38" t="n"/>
      <c r="I493" s="28" t="n"/>
      <c r="J493" s="30">
        <f>IF(B493="","",IFERROR(INDEX('Share classes'!$A$4:$A$203,MATCH(B493,'Share classes'!$B$4:$B$203,0)),""))</f>
        <v/>
      </c>
      <c r="K493" s="30">
        <f>IF(A493="","",IFERROR(INDEX('Holders'!$B$4:$B$1003,MATCH(A493,'Holders'!$A$4:$A$1003,0)),""))</f>
        <v/>
      </c>
      <c r="L493" s="30">
        <f>IF(OR(A493="",B493="",D493=""),"",IF(D493=_xlfn.MAXIFS($D$4:$D$2503,$A$4:$A$2503,A493,$B$4:$B$2503,B493),"Yes","No"))</f>
        <v/>
      </c>
      <c r="M493" s="30">
        <f>IF(B493="","",IFERROR(INDEX('Share classes'!$F$4:$F$203,MATCH(B493,'Share classes'!$B$4:$B$203,0)),""))</f>
        <v/>
      </c>
      <c r="N493" s="30">
        <f>IF(A493="","",IF(K493="","Unknown holder ID",IF(J493="","Unknown class code",IF(OR(C493="",D493=""),"Missing shares or date",IF(OR(C493&lt;0,C493&lt;&gt;INT(C493)),"Shares must be a whole number",IF(COUNTIFS($A$4:$A$2503,A493,$B$4:$B$2503,B493,$D$4:$D$2503,D493)&gt;1,"Duplicate row (same date)","OK"))))))</f>
        <v/>
      </c>
    </row>
    <row r="494">
      <c r="A494" s="26" t="n"/>
      <c r="B494" s="26" t="n"/>
      <c r="C494" s="34" t="n"/>
      <c r="D494" s="28" t="n"/>
      <c r="E494" s="26" t="n"/>
      <c r="F494" s="26" t="n"/>
      <c r="G494" s="26" t="n"/>
      <c r="H494" s="38" t="n"/>
      <c r="I494" s="28" t="n"/>
      <c r="J494" s="30">
        <f>IF(B494="","",IFERROR(INDEX('Share classes'!$A$4:$A$203,MATCH(B494,'Share classes'!$B$4:$B$203,0)),""))</f>
        <v/>
      </c>
      <c r="K494" s="30">
        <f>IF(A494="","",IFERROR(INDEX('Holders'!$B$4:$B$1003,MATCH(A494,'Holders'!$A$4:$A$1003,0)),""))</f>
        <v/>
      </c>
      <c r="L494" s="30">
        <f>IF(OR(A494="",B494="",D494=""),"",IF(D494=_xlfn.MAXIFS($D$4:$D$2503,$A$4:$A$2503,A494,$B$4:$B$2503,B494),"Yes","No"))</f>
        <v/>
      </c>
      <c r="M494" s="30">
        <f>IF(B494="","",IFERROR(INDEX('Share classes'!$F$4:$F$203,MATCH(B494,'Share classes'!$B$4:$B$203,0)),""))</f>
        <v/>
      </c>
      <c r="N494" s="30">
        <f>IF(A494="","",IF(K494="","Unknown holder ID",IF(J494="","Unknown class code",IF(OR(C494="",D494=""),"Missing shares or date",IF(OR(C494&lt;0,C494&lt;&gt;INT(C494)),"Shares must be a whole number",IF(COUNTIFS($A$4:$A$2503,A494,$B$4:$B$2503,B494,$D$4:$D$2503,D494)&gt;1,"Duplicate row (same date)","OK"))))))</f>
        <v/>
      </c>
    </row>
    <row r="495">
      <c r="A495" s="26" t="n"/>
      <c r="B495" s="26" t="n"/>
      <c r="C495" s="34" t="n"/>
      <c r="D495" s="28" t="n"/>
      <c r="E495" s="26" t="n"/>
      <c r="F495" s="26" t="n"/>
      <c r="G495" s="26" t="n"/>
      <c r="H495" s="38" t="n"/>
      <c r="I495" s="28" t="n"/>
      <c r="J495" s="30">
        <f>IF(B495="","",IFERROR(INDEX('Share classes'!$A$4:$A$203,MATCH(B495,'Share classes'!$B$4:$B$203,0)),""))</f>
        <v/>
      </c>
      <c r="K495" s="30">
        <f>IF(A495="","",IFERROR(INDEX('Holders'!$B$4:$B$1003,MATCH(A495,'Holders'!$A$4:$A$1003,0)),""))</f>
        <v/>
      </c>
      <c r="L495" s="30">
        <f>IF(OR(A495="",B495="",D495=""),"",IF(D495=_xlfn.MAXIFS($D$4:$D$2503,$A$4:$A$2503,A495,$B$4:$B$2503,B495),"Yes","No"))</f>
        <v/>
      </c>
      <c r="M495" s="30">
        <f>IF(B495="","",IFERROR(INDEX('Share classes'!$F$4:$F$203,MATCH(B495,'Share classes'!$B$4:$B$203,0)),""))</f>
        <v/>
      </c>
      <c r="N495" s="30">
        <f>IF(A495="","",IF(K495="","Unknown holder ID",IF(J495="","Unknown class code",IF(OR(C495="",D495=""),"Missing shares or date",IF(OR(C495&lt;0,C495&lt;&gt;INT(C495)),"Shares must be a whole number",IF(COUNTIFS($A$4:$A$2503,A495,$B$4:$B$2503,B495,$D$4:$D$2503,D495)&gt;1,"Duplicate row (same date)","OK"))))))</f>
        <v/>
      </c>
    </row>
    <row r="496">
      <c r="A496" s="26" t="n"/>
      <c r="B496" s="26" t="n"/>
      <c r="C496" s="34" t="n"/>
      <c r="D496" s="28" t="n"/>
      <c r="E496" s="26" t="n"/>
      <c r="F496" s="26" t="n"/>
      <c r="G496" s="26" t="n"/>
      <c r="H496" s="38" t="n"/>
      <c r="I496" s="28" t="n"/>
      <c r="J496" s="30">
        <f>IF(B496="","",IFERROR(INDEX('Share classes'!$A$4:$A$203,MATCH(B496,'Share classes'!$B$4:$B$203,0)),""))</f>
        <v/>
      </c>
      <c r="K496" s="30">
        <f>IF(A496="","",IFERROR(INDEX('Holders'!$B$4:$B$1003,MATCH(A496,'Holders'!$A$4:$A$1003,0)),""))</f>
        <v/>
      </c>
      <c r="L496" s="30">
        <f>IF(OR(A496="",B496="",D496=""),"",IF(D496=_xlfn.MAXIFS($D$4:$D$2503,$A$4:$A$2503,A496,$B$4:$B$2503,B496),"Yes","No"))</f>
        <v/>
      </c>
      <c r="M496" s="30">
        <f>IF(B496="","",IFERROR(INDEX('Share classes'!$F$4:$F$203,MATCH(B496,'Share classes'!$B$4:$B$203,0)),""))</f>
        <v/>
      </c>
      <c r="N496" s="30">
        <f>IF(A496="","",IF(K496="","Unknown holder ID",IF(J496="","Unknown class code",IF(OR(C496="",D496=""),"Missing shares or date",IF(OR(C496&lt;0,C496&lt;&gt;INT(C496)),"Shares must be a whole number",IF(COUNTIFS($A$4:$A$2503,A496,$B$4:$B$2503,B496,$D$4:$D$2503,D496)&gt;1,"Duplicate row (same date)","OK"))))))</f>
        <v/>
      </c>
    </row>
    <row r="497">
      <c r="A497" s="26" t="n"/>
      <c r="B497" s="26" t="n"/>
      <c r="C497" s="34" t="n"/>
      <c r="D497" s="28" t="n"/>
      <c r="E497" s="26" t="n"/>
      <c r="F497" s="26" t="n"/>
      <c r="G497" s="26" t="n"/>
      <c r="H497" s="38" t="n"/>
      <c r="I497" s="28" t="n"/>
      <c r="J497" s="30">
        <f>IF(B497="","",IFERROR(INDEX('Share classes'!$A$4:$A$203,MATCH(B497,'Share classes'!$B$4:$B$203,0)),""))</f>
        <v/>
      </c>
      <c r="K497" s="30">
        <f>IF(A497="","",IFERROR(INDEX('Holders'!$B$4:$B$1003,MATCH(A497,'Holders'!$A$4:$A$1003,0)),""))</f>
        <v/>
      </c>
      <c r="L497" s="30">
        <f>IF(OR(A497="",B497="",D497=""),"",IF(D497=_xlfn.MAXIFS($D$4:$D$2503,$A$4:$A$2503,A497,$B$4:$B$2503,B497),"Yes","No"))</f>
        <v/>
      </c>
      <c r="M497" s="30">
        <f>IF(B497="","",IFERROR(INDEX('Share classes'!$F$4:$F$203,MATCH(B497,'Share classes'!$B$4:$B$203,0)),""))</f>
        <v/>
      </c>
      <c r="N497" s="30">
        <f>IF(A497="","",IF(K497="","Unknown holder ID",IF(J497="","Unknown class code",IF(OR(C497="",D497=""),"Missing shares or date",IF(OR(C497&lt;0,C497&lt;&gt;INT(C497)),"Shares must be a whole number",IF(COUNTIFS($A$4:$A$2503,A497,$B$4:$B$2503,B497,$D$4:$D$2503,D497)&gt;1,"Duplicate row (same date)","OK"))))))</f>
        <v/>
      </c>
    </row>
    <row r="498">
      <c r="A498" s="26" t="n"/>
      <c r="B498" s="26" t="n"/>
      <c r="C498" s="34" t="n"/>
      <c r="D498" s="28" t="n"/>
      <c r="E498" s="26" t="n"/>
      <c r="F498" s="26" t="n"/>
      <c r="G498" s="26" t="n"/>
      <c r="H498" s="38" t="n"/>
      <c r="I498" s="28" t="n"/>
      <c r="J498" s="30">
        <f>IF(B498="","",IFERROR(INDEX('Share classes'!$A$4:$A$203,MATCH(B498,'Share classes'!$B$4:$B$203,0)),""))</f>
        <v/>
      </c>
      <c r="K498" s="30">
        <f>IF(A498="","",IFERROR(INDEX('Holders'!$B$4:$B$1003,MATCH(A498,'Holders'!$A$4:$A$1003,0)),""))</f>
        <v/>
      </c>
      <c r="L498" s="30">
        <f>IF(OR(A498="",B498="",D498=""),"",IF(D498=_xlfn.MAXIFS($D$4:$D$2503,$A$4:$A$2503,A498,$B$4:$B$2503,B498),"Yes","No"))</f>
        <v/>
      </c>
      <c r="M498" s="30">
        <f>IF(B498="","",IFERROR(INDEX('Share classes'!$F$4:$F$203,MATCH(B498,'Share classes'!$B$4:$B$203,0)),""))</f>
        <v/>
      </c>
      <c r="N498" s="30">
        <f>IF(A498="","",IF(K498="","Unknown holder ID",IF(J498="","Unknown class code",IF(OR(C498="",D498=""),"Missing shares or date",IF(OR(C498&lt;0,C498&lt;&gt;INT(C498)),"Shares must be a whole number",IF(COUNTIFS($A$4:$A$2503,A498,$B$4:$B$2503,B498,$D$4:$D$2503,D498)&gt;1,"Duplicate row (same date)","OK"))))))</f>
        <v/>
      </c>
    </row>
    <row r="499">
      <c r="A499" s="26" t="n"/>
      <c r="B499" s="26" t="n"/>
      <c r="C499" s="34" t="n"/>
      <c r="D499" s="28" t="n"/>
      <c r="E499" s="26" t="n"/>
      <c r="F499" s="26" t="n"/>
      <c r="G499" s="26" t="n"/>
      <c r="H499" s="38" t="n"/>
      <c r="I499" s="28" t="n"/>
      <c r="J499" s="30">
        <f>IF(B499="","",IFERROR(INDEX('Share classes'!$A$4:$A$203,MATCH(B499,'Share classes'!$B$4:$B$203,0)),""))</f>
        <v/>
      </c>
      <c r="K499" s="30">
        <f>IF(A499="","",IFERROR(INDEX('Holders'!$B$4:$B$1003,MATCH(A499,'Holders'!$A$4:$A$1003,0)),""))</f>
        <v/>
      </c>
      <c r="L499" s="30">
        <f>IF(OR(A499="",B499="",D499=""),"",IF(D499=_xlfn.MAXIFS($D$4:$D$2503,$A$4:$A$2503,A499,$B$4:$B$2503,B499),"Yes","No"))</f>
        <v/>
      </c>
      <c r="M499" s="30">
        <f>IF(B499="","",IFERROR(INDEX('Share classes'!$F$4:$F$203,MATCH(B499,'Share classes'!$B$4:$B$203,0)),""))</f>
        <v/>
      </c>
      <c r="N499" s="30">
        <f>IF(A499="","",IF(K499="","Unknown holder ID",IF(J499="","Unknown class code",IF(OR(C499="",D499=""),"Missing shares or date",IF(OR(C499&lt;0,C499&lt;&gt;INT(C499)),"Shares must be a whole number",IF(COUNTIFS($A$4:$A$2503,A499,$B$4:$B$2503,B499,$D$4:$D$2503,D499)&gt;1,"Duplicate row (same date)","OK"))))))</f>
        <v/>
      </c>
    </row>
    <row r="500">
      <c r="A500" s="26" t="n"/>
      <c r="B500" s="26" t="n"/>
      <c r="C500" s="34" t="n"/>
      <c r="D500" s="28" t="n"/>
      <c r="E500" s="26" t="n"/>
      <c r="F500" s="26" t="n"/>
      <c r="G500" s="26" t="n"/>
      <c r="H500" s="38" t="n"/>
      <c r="I500" s="28" t="n"/>
      <c r="J500" s="30">
        <f>IF(B500="","",IFERROR(INDEX('Share classes'!$A$4:$A$203,MATCH(B500,'Share classes'!$B$4:$B$203,0)),""))</f>
        <v/>
      </c>
      <c r="K500" s="30">
        <f>IF(A500="","",IFERROR(INDEX('Holders'!$B$4:$B$1003,MATCH(A500,'Holders'!$A$4:$A$1003,0)),""))</f>
        <v/>
      </c>
      <c r="L500" s="30">
        <f>IF(OR(A500="",B500="",D500=""),"",IF(D500=_xlfn.MAXIFS($D$4:$D$2503,$A$4:$A$2503,A500,$B$4:$B$2503,B500),"Yes","No"))</f>
        <v/>
      </c>
      <c r="M500" s="30">
        <f>IF(B500="","",IFERROR(INDEX('Share classes'!$F$4:$F$203,MATCH(B500,'Share classes'!$B$4:$B$203,0)),""))</f>
        <v/>
      </c>
      <c r="N500" s="30">
        <f>IF(A500="","",IF(K500="","Unknown holder ID",IF(J500="","Unknown class code",IF(OR(C500="",D500=""),"Missing shares or date",IF(OR(C500&lt;0,C500&lt;&gt;INT(C500)),"Shares must be a whole number",IF(COUNTIFS($A$4:$A$2503,A500,$B$4:$B$2503,B500,$D$4:$D$2503,D500)&gt;1,"Duplicate row (same date)","OK"))))))</f>
        <v/>
      </c>
    </row>
    <row r="501">
      <c r="A501" s="26" t="n"/>
      <c r="B501" s="26" t="n"/>
      <c r="C501" s="34" t="n"/>
      <c r="D501" s="28" t="n"/>
      <c r="E501" s="26" t="n"/>
      <c r="F501" s="26" t="n"/>
      <c r="G501" s="26" t="n"/>
      <c r="H501" s="38" t="n"/>
      <c r="I501" s="28" t="n"/>
      <c r="J501" s="30">
        <f>IF(B501="","",IFERROR(INDEX('Share classes'!$A$4:$A$203,MATCH(B501,'Share classes'!$B$4:$B$203,0)),""))</f>
        <v/>
      </c>
      <c r="K501" s="30">
        <f>IF(A501="","",IFERROR(INDEX('Holders'!$B$4:$B$1003,MATCH(A501,'Holders'!$A$4:$A$1003,0)),""))</f>
        <v/>
      </c>
      <c r="L501" s="30">
        <f>IF(OR(A501="",B501="",D501=""),"",IF(D501=_xlfn.MAXIFS($D$4:$D$2503,$A$4:$A$2503,A501,$B$4:$B$2503,B501),"Yes","No"))</f>
        <v/>
      </c>
      <c r="M501" s="30">
        <f>IF(B501="","",IFERROR(INDEX('Share classes'!$F$4:$F$203,MATCH(B501,'Share classes'!$B$4:$B$203,0)),""))</f>
        <v/>
      </c>
      <c r="N501" s="30">
        <f>IF(A501="","",IF(K501="","Unknown holder ID",IF(J501="","Unknown class code",IF(OR(C501="",D501=""),"Missing shares or date",IF(OR(C501&lt;0,C501&lt;&gt;INT(C501)),"Shares must be a whole number",IF(COUNTIFS($A$4:$A$2503,A501,$B$4:$B$2503,B501,$D$4:$D$2503,D501)&gt;1,"Duplicate row (same date)","OK"))))))</f>
        <v/>
      </c>
    </row>
    <row r="502">
      <c r="A502" s="26" t="n"/>
      <c r="B502" s="26" t="n"/>
      <c r="C502" s="34" t="n"/>
      <c r="D502" s="28" t="n"/>
      <c r="E502" s="26" t="n"/>
      <c r="F502" s="26" t="n"/>
      <c r="G502" s="26" t="n"/>
      <c r="H502" s="38" t="n"/>
      <c r="I502" s="28" t="n"/>
      <c r="J502" s="30">
        <f>IF(B502="","",IFERROR(INDEX('Share classes'!$A$4:$A$203,MATCH(B502,'Share classes'!$B$4:$B$203,0)),""))</f>
        <v/>
      </c>
      <c r="K502" s="30">
        <f>IF(A502="","",IFERROR(INDEX('Holders'!$B$4:$B$1003,MATCH(A502,'Holders'!$A$4:$A$1003,0)),""))</f>
        <v/>
      </c>
      <c r="L502" s="30">
        <f>IF(OR(A502="",B502="",D502=""),"",IF(D502=_xlfn.MAXIFS($D$4:$D$2503,$A$4:$A$2503,A502,$B$4:$B$2503,B502),"Yes","No"))</f>
        <v/>
      </c>
      <c r="M502" s="30">
        <f>IF(B502="","",IFERROR(INDEX('Share classes'!$F$4:$F$203,MATCH(B502,'Share classes'!$B$4:$B$203,0)),""))</f>
        <v/>
      </c>
      <c r="N502" s="30">
        <f>IF(A502="","",IF(K502="","Unknown holder ID",IF(J502="","Unknown class code",IF(OR(C502="",D502=""),"Missing shares or date",IF(OR(C502&lt;0,C502&lt;&gt;INT(C502)),"Shares must be a whole number",IF(COUNTIFS($A$4:$A$2503,A502,$B$4:$B$2503,B502,$D$4:$D$2503,D502)&gt;1,"Duplicate row (same date)","OK"))))))</f>
        <v/>
      </c>
    </row>
    <row r="503">
      <c r="A503" s="26" t="n"/>
      <c r="B503" s="26" t="n"/>
      <c r="C503" s="34" t="n"/>
      <c r="D503" s="28" t="n"/>
      <c r="E503" s="26" t="n"/>
      <c r="F503" s="26" t="n"/>
      <c r="G503" s="26" t="n"/>
      <c r="H503" s="38" t="n"/>
      <c r="I503" s="28" t="n"/>
      <c r="J503" s="30">
        <f>IF(B503="","",IFERROR(INDEX('Share classes'!$A$4:$A$203,MATCH(B503,'Share classes'!$B$4:$B$203,0)),""))</f>
        <v/>
      </c>
      <c r="K503" s="30">
        <f>IF(A503="","",IFERROR(INDEX('Holders'!$B$4:$B$1003,MATCH(A503,'Holders'!$A$4:$A$1003,0)),""))</f>
        <v/>
      </c>
      <c r="L503" s="30">
        <f>IF(OR(A503="",B503="",D503=""),"",IF(D503=_xlfn.MAXIFS($D$4:$D$2503,$A$4:$A$2503,A503,$B$4:$B$2503,B503),"Yes","No"))</f>
        <v/>
      </c>
      <c r="M503" s="30">
        <f>IF(B503="","",IFERROR(INDEX('Share classes'!$F$4:$F$203,MATCH(B503,'Share classes'!$B$4:$B$203,0)),""))</f>
        <v/>
      </c>
      <c r="N503" s="30">
        <f>IF(A503="","",IF(K503="","Unknown holder ID",IF(J503="","Unknown class code",IF(OR(C503="",D503=""),"Missing shares or date",IF(OR(C503&lt;0,C503&lt;&gt;INT(C503)),"Shares must be a whole number",IF(COUNTIFS($A$4:$A$2503,A503,$B$4:$B$2503,B503,$D$4:$D$2503,D503)&gt;1,"Duplicate row (same date)","OK"))))))</f>
        <v/>
      </c>
    </row>
    <row r="504">
      <c r="A504" s="26" t="n"/>
      <c r="B504" s="26" t="n"/>
      <c r="C504" s="34" t="n"/>
      <c r="D504" s="28" t="n"/>
      <c r="E504" s="26" t="n"/>
      <c r="F504" s="26" t="n"/>
      <c r="G504" s="26" t="n"/>
      <c r="H504" s="38" t="n"/>
      <c r="I504" s="28" t="n"/>
      <c r="J504" s="30">
        <f>IF(B504="","",IFERROR(INDEX('Share classes'!$A$4:$A$203,MATCH(B504,'Share classes'!$B$4:$B$203,0)),""))</f>
        <v/>
      </c>
      <c r="K504" s="30">
        <f>IF(A504="","",IFERROR(INDEX('Holders'!$B$4:$B$1003,MATCH(A504,'Holders'!$A$4:$A$1003,0)),""))</f>
        <v/>
      </c>
      <c r="L504" s="30">
        <f>IF(OR(A504="",B504="",D504=""),"",IF(D504=_xlfn.MAXIFS($D$4:$D$2503,$A$4:$A$2503,A504,$B$4:$B$2503,B504),"Yes","No"))</f>
        <v/>
      </c>
      <c r="M504" s="30">
        <f>IF(B504="","",IFERROR(INDEX('Share classes'!$F$4:$F$203,MATCH(B504,'Share classes'!$B$4:$B$203,0)),""))</f>
        <v/>
      </c>
      <c r="N504" s="30">
        <f>IF(A504="","",IF(K504="","Unknown holder ID",IF(J504="","Unknown class code",IF(OR(C504="",D504=""),"Missing shares or date",IF(OR(C504&lt;0,C504&lt;&gt;INT(C504)),"Shares must be a whole number",IF(COUNTIFS($A$4:$A$2503,A504,$B$4:$B$2503,B504,$D$4:$D$2503,D504)&gt;1,"Duplicate row (same date)","OK"))))))</f>
        <v/>
      </c>
    </row>
    <row r="505">
      <c r="A505" s="26" t="n"/>
      <c r="B505" s="26" t="n"/>
      <c r="C505" s="34" t="n"/>
      <c r="D505" s="28" t="n"/>
      <c r="E505" s="26" t="n"/>
      <c r="F505" s="26" t="n"/>
      <c r="G505" s="26" t="n"/>
      <c r="H505" s="38" t="n"/>
      <c r="I505" s="28" t="n"/>
      <c r="J505" s="30">
        <f>IF(B505="","",IFERROR(INDEX('Share classes'!$A$4:$A$203,MATCH(B505,'Share classes'!$B$4:$B$203,0)),""))</f>
        <v/>
      </c>
      <c r="K505" s="30">
        <f>IF(A505="","",IFERROR(INDEX('Holders'!$B$4:$B$1003,MATCH(A505,'Holders'!$A$4:$A$1003,0)),""))</f>
        <v/>
      </c>
      <c r="L505" s="30">
        <f>IF(OR(A505="",B505="",D505=""),"",IF(D505=_xlfn.MAXIFS($D$4:$D$2503,$A$4:$A$2503,A505,$B$4:$B$2503,B505),"Yes","No"))</f>
        <v/>
      </c>
      <c r="M505" s="30">
        <f>IF(B505="","",IFERROR(INDEX('Share classes'!$F$4:$F$203,MATCH(B505,'Share classes'!$B$4:$B$203,0)),""))</f>
        <v/>
      </c>
      <c r="N505" s="30">
        <f>IF(A505="","",IF(K505="","Unknown holder ID",IF(J505="","Unknown class code",IF(OR(C505="",D505=""),"Missing shares or date",IF(OR(C505&lt;0,C505&lt;&gt;INT(C505)),"Shares must be a whole number",IF(COUNTIFS($A$4:$A$2503,A505,$B$4:$B$2503,B505,$D$4:$D$2503,D505)&gt;1,"Duplicate row (same date)","OK"))))))</f>
        <v/>
      </c>
    </row>
    <row r="506">
      <c r="A506" s="26" t="n"/>
      <c r="B506" s="26" t="n"/>
      <c r="C506" s="34" t="n"/>
      <c r="D506" s="28" t="n"/>
      <c r="E506" s="26" t="n"/>
      <c r="F506" s="26" t="n"/>
      <c r="G506" s="26" t="n"/>
      <c r="H506" s="38" t="n"/>
      <c r="I506" s="28" t="n"/>
      <c r="J506" s="30">
        <f>IF(B506="","",IFERROR(INDEX('Share classes'!$A$4:$A$203,MATCH(B506,'Share classes'!$B$4:$B$203,0)),""))</f>
        <v/>
      </c>
      <c r="K506" s="30">
        <f>IF(A506="","",IFERROR(INDEX('Holders'!$B$4:$B$1003,MATCH(A506,'Holders'!$A$4:$A$1003,0)),""))</f>
        <v/>
      </c>
      <c r="L506" s="30">
        <f>IF(OR(A506="",B506="",D506=""),"",IF(D506=_xlfn.MAXIFS($D$4:$D$2503,$A$4:$A$2503,A506,$B$4:$B$2503,B506),"Yes","No"))</f>
        <v/>
      </c>
      <c r="M506" s="30">
        <f>IF(B506="","",IFERROR(INDEX('Share classes'!$F$4:$F$203,MATCH(B506,'Share classes'!$B$4:$B$203,0)),""))</f>
        <v/>
      </c>
      <c r="N506" s="30">
        <f>IF(A506="","",IF(K506="","Unknown holder ID",IF(J506="","Unknown class code",IF(OR(C506="",D506=""),"Missing shares or date",IF(OR(C506&lt;0,C506&lt;&gt;INT(C506)),"Shares must be a whole number",IF(COUNTIFS($A$4:$A$2503,A506,$B$4:$B$2503,B506,$D$4:$D$2503,D506)&gt;1,"Duplicate row (same date)","OK"))))))</f>
        <v/>
      </c>
    </row>
    <row r="507">
      <c r="A507" s="26" t="n"/>
      <c r="B507" s="26" t="n"/>
      <c r="C507" s="34" t="n"/>
      <c r="D507" s="28" t="n"/>
      <c r="E507" s="26" t="n"/>
      <c r="F507" s="26" t="n"/>
      <c r="G507" s="26" t="n"/>
      <c r="H507" s="38" t="n"/>
      <c r="I507" s="28" t="n"/>
      <c r="J507" s="30">
        <f>IF(B507="","",IFERROR(INDEX('Share classes'!$A$4:$A$203,MATCH(B507,'Share classes'!$B$4:$B$203,0)),""))</f>
        <v/>
      </c>
      <c r="K507" s="30">
        <f>IF(A507="","",IFERROR(INDEX('Holders'!$B$4:$B$1003,MATCH(A507,'Holders'!$A$4:$A$1003,0)),""))</f>
        <v/>
      </c>
      <c r="L507" s="30">
        <f>IF(OR(A507="",B507="",D507=""),"",IF(D507=_xlfn.MAXIFS($D$4:$D$2503,$A$4:$A$2503,A507,$B$4:$B$2503,B507),"Yes","No"))</f>
        <v/>
      </c>
      <c r="M507" s="30">
        <f>IF(B507="","",IFERROR(INDEX('Share classes'!$F$4:$F$203,MATCH(B507,'Share classes'!$B$4:$B$203,0)),""))</f>
        <v/>
      </c>
      <c r="N507" s="30">
        <f>IF(A507="","",IF(K507="","Unknown holder ID",IF(J507="","Unknown class code",IF(OR(C507="",D507=""),"Missing shares or date",IF(OR(C507&lt;0,C507&lt;&gt;INT(C507)),"Shares must be a whole number",IF(COUNTIFS($A$4:$A$2503,A507,$B$4:$B$2503,B507,$D$4:$D$2503,D507)&gt;1,"Duplicate row (same date)","OK"))))))</f>
        <v/>
      </c>
    </row>
    <row r="508">
      <c r="A508" s="26" t="n"/>
      <c r="B508" s="26" t="n"/>
      <c r="C508" s="34" t="n"/>
      <c r="D508" s="28" t="n"/>
      <c r="E508" s="26" t="n"/>
      <c r="F508" s="26" t="n"/>
      <c r="G508" s="26" t="n"/>
      <c r="H508" s="38" t="n"/>
      <c r="I508" s="28" t="n"/>
      <c r="J508" s="30">
        <f>IF(B508="","",IFERROR(INDEX('Share classes'!$A$4:$A$203,MATCH(B508,'Share classes'!$B$4:$B$203,0)),""))</f>
        <v/>
      </c>
      <c r="K508" s="30">
        <f>IF(A508="","",IFERROR(INDEX('Holders'!$B$4:$B$1003,MATCH(A508,'Holders'!$A$4:$A$1003,0)),""))</f>
        <v/>
      </c>
      <c r="L508" s="30">
        <f>IF(OR(A508="",B508="",D508=""),"",IF(D508=_xlfn.MAXIFS($D$4:$D$2503,$A$4:$A$2503,A508,$B$4:$B$2503,B508),"Yes","No"))</f>
        <v/>
      </c>
      <c r="M508" s="30">
        <f>IF(B508="","",IFERROR(INDEX('Share classes'!$F$4:$F$203,MATCH(B508,'Share classes'!$B$4:$B$203,0)),""))</f>
        <v/>
      </c>
      <c r="N508" s="30">
        <f>IF(A508="","",IF(K508="","Unknown holder ID",IF(J508="","Unknown class code",IF(OR(C508="",D508=""),"Missing shares or date",IF(OR(C508&lt;0,C508&lt;&gt;INT(C508)),"Shares must be a whole number",IF(COUNTIFS($A$4:$A$2503,A508,$B$4:$B$2503,B508,$D$4:$D$2503,D508)&gt;1,"Duplicate row (same date)","OK"))))))</f>
        <v/>
      </c>
    </row>
    <row r="509">
      <c r="A509" s="26" t="n"/>
      <c r="B509" s="26" t="n"/>
      <c r="C509" s="34" t="n"/>
      <c r="D509" s="28" t="n"/>
      <c r="E509" s="26" t="n"/>
      <c r="F509" s="26" t="n"/>
      <c r="G509" s="26" t="n"/>
      <c r="H509" s="38" t="n"/>
      <c r="I509" s="28" t="n"/>
      <c r="J509" s="30">
        <f>IF(B509="","",IFERROR(INDEX('Share classes'!$A$4:$A$203,MATCH(B509,'Share classes'!$B$4:$B$203,0)),""))</f>
        <v/>
      </c>
      <c r="K509" s="30">
        <f>IF(A509="","",IFERROR(INDEX('Holders'!$B$4:$B$1003,MATCH(A509,'Holders'!$A$4:$A$1003,0)),""))</f>
        <v/>
      </c>
      <c r="L509" s="30">
        <f>IF(OR(A509="",B509="",D509=""),"",IF(D509=_xlfn.MAXIFS($D$4:$D$2503,$A$4:$A$2503,A509,$B$4:$B$2503,B509),"Yes","No"))</f>
        <v/>
      </c>
      <c r="M509" s="30">
        <f>IF(B509="","",IFERROR(INDEX('Share classes'!$F$4:$F$203,MATCH(B509,'Share classes'!$B$4:$B$203,0)),""))</f>
        <v/>
      </c>
      <c r="N509" s="30">
        <f>IF(A509="","",IF(K509="","Unknown holder ID",IF(J509="","Unknown class code",IF(OR(C509="",D509=""),"Missing shares or date",IF(OR(C509&lt;0,C509&lt;&gt;INT(C509)),"Shares must be a whole number",IF(COUNTIFS($A$4:$A$2503,A509,$B$4:$B$2503,B509,$D$4:$D$2503,D509)&gt;1,"Duplicate row (same date)","OK"))))))</f>
        <v/>
      </c>
    </row>
    <row r="510">
      <c r="A510" s="26" t="n"/>
      <c r="B510" s="26" t="n"/>
      <c r="C510" s="34" t="n"/>
      <c r="D510" s="28" t="n"/>
      <c r="E510" s="26" t="n"/>
      <c r="F510" s="26" t="n"/>
      <c r="G510" s="26" t="n"/>
      <c r="H510" s="38" t="n"/>
      <c r="I510" s="28" t="n"/>
      <c r="J510" s="30">
        <f>IF(B510="","",IFERROR(INDEX('Share classes'!$A$4:$A$203,MATCH(B510,'Share classes'!$B$4:$B$203,0)),""))</f>
        <v/>
      </c>
      <c r="K510" s="30">
        <f>IF(A510="","",IFERROR(INDEX('Holders'!$B$4:$B$1003,MATCH(A510,'Holders'!$A$4:$A$1003,0)),""))</f>
        <v/>
      </c>
      <c r="L510" s="30">
        <f>IF(OR(A510="",B510="",D510=""),"",IF(D510=_xlfn.MAXIFS($D$4:$D$2503,$A$4:$A$2503,A510,$B$4:$B$2503,B510),"Yes","No"))</f>
        <v/>
      </c>
      <c r="M510" s="30">
        <f>IF(B510="","",IFERROR(INDEX('Share classes'!$F$4:$F$203,MATCH(B510,'Share classes'!$B$4:$B$203,0)),""))</f>
        <v/>
      </c>
      <c r="N510" s="30">
        <f>IF(A510="","",IF(K510="","Unknown holder ID",IF(J510="","Unknown class code",IF(OR(C510="",D510=""),"Missing shares or date",IF(OR(C510&lt;0,C510&lt;&gt;INT(C510)),"Shares must be a whole number",IF(COUNTIFS($A$4:$A$2503,A510,$B$4:$B$2503,B510,$D$4:$D$2503,D510)&gt;1,"Duplicate row (same date)","OK"))))))</f>
        <v/>
      </c>
    </row>
    <row r="511">
      <c r="A511" s="26" t="n"/>
      <c r="B511" s="26" t="n"/>
      <c r="C511" s="34" t="n"/>
      <c r="D511" s="28" t="n"/>
      <c r="E511" s="26" t="n"/>
      <c r="F511" s="26" t="n"/>
      <c r="G511" s="26" t="n"/>
      <c r="H511" s="38" t="n"/>
      <c r="I511" s="28" t="n"/>
      <c r="J511" s="30">
        <f>IF(B511="","",IFERROR(INDEX('Share classes'!$A$4:$A$203,MATCH(B511,'Share classes'!$B$4:$B$203,0)),""))</f>
        <v/>
      </c>
      <c r="K511" s="30">
        <f>IF(A511="","",IFERROR(INDEX('Holders'!$B$4:$B$1003,MATCH(A511,'Holders'!$A$4:$A$1003,0)),""))</f>
        <v/>
      </c>
      <c r="L511" s="30">
        <f>IF(OR(A511="",B511="",D511=""),"",IF(D511=_xlfn.MAXIFS($D$4:$D$2503,$A$4:$A$2503,A511,$B$4:$B$2503,B511),"Yes","No"))</f>
        <v/>
      </c>
      <c r="M511" s="30">
        <f>IF(B511="","",IFERROR(INDEX('Share classes'!$F$4:$F$203,MATCH(B511,'Share classes'!$B$4:$B$203,0)),""))</f>
        <v/>
      </c>
      <c r="N511" s="30">
        <f>IF(A511="","",IF(K511="","Unknown holder ID",IF(J511="","Unknown class code",IF(OR(C511="",D511=""),"Missing shares or date",IF(OR(C511&lt;0,C511&lt;&gt;INT(C511)),"Shares must be a whole number",IF(COUNTIFS($A$4:$A$2503,A511,$B$4:$B$2503,B511,$D$4:$D$2503,D511)&gt;1,"Duplicate row (same date)","OK"))))))</f>
        <v/>
      </c>
    </row>
    <row r="512">
      <c r="A512" s="26" t="n"/>
      <c r="B512" s="26" t="n"/>
      <c r="C512" s="34" t="n"/>
      <c r="D512" s="28" t="n"/>
      <c r="E512" s="26" t="n"/>
      <c r="F512" s="26" t="n"/>
      <c r="G512" s="26" t="n"/>
      <c r="H512" s="38" t="n"/>
      <c r="I512" s="28" t="n"/>
      <c r="J512" s="30">
        <f>IF(B512="","",IFERROR(INDEX('Share classes'!$A$4:$A$203,MATCH(B512,'Share classes'!$B$4:$B$203,0)),""))</f>
        <v/>
      </c>
      <c r="K512" s="30">
        <f>IF(A512="","",IFERROR(INDEX('Holders'!$B$4:$B$1003,MATCH(A512,'Holders'!$A$4:$A$1003,0)),""))</f>
        <v/>
      </c>
      <c r="L512" s="30">
        <f>IF(OR(A512="",B512="",D512=""),"",IF(D512=_xlfn.MAXIFS($D$4:$D$2503,$A$4:$A$2503,A512,$B$4:$B$2503,B512),"Yes","No"))</f>
        <v/>
      </c>
      <c r="M512" s="30">
        <f>IF(B512="","",IFERROR(INDEX('Share classes'!$F$4:$F$203,MATCH(B512,'Share classes'!$B$4:$B$203,0)),""))</f>
        <v/>
      </c>
      <c r="N512" s="30">
        <f>IF(A512="","",IF(K512="","Unknown holder ID",IF(J512="","Unknown class code",IF(OR(C512="",D512=""),"Missing shares or date",IF(OR(C512&lt;0,C512&lt;&gt;INT(C512)),"Shares must be a whole number",IF(COUNTIFS($A$4:$A$2503,A512,$B$4:$B$2503,B512,$D$4:$D$2503,D512)&gt;1,"Duplicate row (same date)","OK"))))))</f>
        <v/>
      </c>
    </row>
    <row r="513">
      <c r="A513" s="26" t="n"/>
      <c r="B513" s="26" t="n"/>
      <c r="C513" s="34" t="n"/>
      <c r="D513" s="28" t="n"/>
      <c r="E513" s="26" t="n"/>
      <c r="F513" s="26" t="n"/>
      <c r="G513" s="26" t="n"/>
      <c r="H513" s="38" t="n"/>
      <c r="I513" s="28" t="n"/>
      <c r="J513" s="30">
        <f>IF(B513="","",IFERROR(INDEX('Share classes'!$A$4:$A$203,MATCH(B513,'Share classes'!$B$4:$B$203,0)),""))</f>
        <v/>
      </c>
      <c r="K513" s="30">
        <f>IF(A513="","",IFERROR(INDEX('Holders'!$B$4:$B$1003,MATCH(A513,'Holders'!$A$4:$A$1003,0)),""))</f>
        <v/>
      </c>
      <c r="L513" s="30">
        <f>IF(OR(A513="",B513="",D513=""),"",IF(D513=_xlfn.MAXIFS($D$4:$D$2503,$A$4:$A$2503,A513,$B$4:$B$2503,B513),"Yes","No"))</f>
        <v/>
      </c>
      <c r="M513" s="30">
        <f>IF(B513="","",IFERROR(INDEX('Share classes'!$F$4:$F$203,MATCH(B513,'Share classes'!$B$4:$B$203,0)),""))</f>
        <v/>
      </c>
      <c r="N513" s="30">
        <f>IF(A513="","",IF(K513="","Unknown holder ID",IF(J513="","Unknown class code",IF(OR(C513="",D513=""),"Missing shares or date",IF(OR(C513&lt;0,C513&lt;&gt;INT(C513)),"Shares must be a whole number",IF(COUNTIFS($A$4:$A$2503,A513,$B$4:$B$2503,B513,$D$4:$D$2503,D513)&gt;1,"Duplicate row (same date)","OK"))))))</f>
        <v/>
      </c>
    </row>
    <row r="514">
      <c r="A514" s="26" t="n"/>
      <c r="B514" s="26" t="n"/>
      <c r="C514" s="34" t="n"/>
      <c r="D514" s="28" t="n"/>
      <c r="E514" s="26" t="n"/>
      <c r="F514" s="26" t="n"/>
      <c r="G514" s="26" t="n"/>
      <c r="H514" s="38" t="n"/>
      <c r="I514" s="28" t="n"/>
      <c r="J514" s="30">
        <f>IF(B514="","",IFERROR(INDEX('Share classes'!$A$4:$A$203,MATCH(B514,'Share classes'!$B$4:$B$203,0)),""))</f>
        <v/>
      </c>
      <c r="K514" s="30">
        <f>IF(A514="","",IFERROR(INDEX('Holders'!$B$4:$B$1003,MATCH(A514,'Holders'!$A$4:$A$1003,0)),""))</f>
        <v/>
      </c>
      <c r="L514" s="30">
        <f>IF(OR(A514="",B514="",D514=""),"",IF(D514=_xlfn.MAXIFS($D$4:$D$2503,$A$4:$A$2503,A514,$B$4:$B$2503,B514),"Yes","No"))</f>
        <v/>
      </c>
      <c r="M514" s="30">
        <f>IF(B514="","",IFERROR(INDEX('Share classes'!$F$4:$F$203,MATCH(B514,'Share classes'!$B$4:$B$203,0)),""))</f>
        <v/>
      </c>
      <c r="N514" s="30">
        <f>IF(A514="","",IF(K514="","Unknown holder ID",IF(J514="","Unknown class code",IF(OR(C514="",D514=""),"Missing shares or date",IF(OR(C514&lt;0,C514&lt;&gt;INT(C514)),"Shares must be a whole number",IF(COUNTIFS($A$4:$A$2503,A514,$B$4:$B$2503,B514,$D$4:$D$2503,D514)&gt;1,"Duplicate row (same date)","OK"))))))</f>
        <v/>
      </c>
    </row>
    <row r="515">
      <c r="A515" s="26" t="n"/>
      <c r="B515" s="26" t="n"/>
      <c r="C515" s="34" t="n"/>
      <c r="D515" s="28" t="n"/>
      <c r="E515" s="26" t="n"/>
      <c r="F515" s="26" t="n"/>
      <c r="G515" s="26" t="n"/>
      <c r="H515" s="38" t="n"/>
      <c r="I515" s="28" t="n"/>
      <c r="J515" s="30">
        <f>IF(B515="","",IFERROR(INDEX('Share classes'!$A$4:$A$203,MATCH(B515,'Share classes'!$B$4:$B$203,0)),""))</f>
        <v/>
      </c>
      <c r="K515" s="30">
        <f>IF(A515="","",IFERROR(INDEX('Holders'!$B$4:$B$1003,MATCH(A515,'Holders'!$A$4:$A$1003,0)),""))</f>
        <v/>
      </c>
      <c r="L515" s="30">
        <f>IF(OR(A515="",B515="",D515=""),"",IF(D515=_xlfn.MAXIFS($D$4:$D$2503,$A$4:$A$2503,A515,$B$4:$B$2503,B515),"Yes","No"))</f>
        <v/>
      </c>
      <c r="M515" s="30">
        <f>IF(B515="","",IFERROR(INDEX('Share classes'!$F$4:$F$203,MATCH(B515,'Share classes'!$B$4:$B$203,0)),""))</f>
        <v/>
      </c>
      <c r="N515" s="30">
        <f>IF(A515="","",IF(K515="","Unknown holder ID",IF(J515="","Unknown class code",IF(OR(C515="",D515=""),"Missing shares or date",IF(OR(C515&lt;0,C515&lt;&gt;INT(C515)),"Shares must be a whole number",IF(COUNTIFS($A$4:$A$2503,A515,$B$4:$B$2503,B515,$D$4:$D$2503,D515)&gt;1,"Duplicate row (same date)","OK"))))))</f>
        <v/>
      </c>
    </row>
    <row r="516">
      <c r="A516" s="26" t="n"/>
      <c r="B516" s="26" t="n"/>
      <c r="C516" s="34" t="n"/>
      <c r="D516" s="28" t="n"/>
      <c r="E516" s="26" t="n"/>
      <c r="F516" s="26" t="n"/>
      <c r="G516" s="26" t="n"/>
      <c r="H516" s="38" t="n"/>
      <c r="I516" s="28" t="n"/>
      <c r="J516" s="30">
        <f>IF(B516="","",IFERROR(INDEX('Share classes'!$A$4:$A$203,MATCH(B516,'Share classes'!$B$4:$B$203,0)),""))</f>
        <v/>
      </c>
      <c r="K516" s="30">
        <f>IF(A516="","",IFERROR(INDEX('Holders'!$B$4:$B$1003,MATCH(A516,'Holders'!$A$4:$A$1003,0)),""))</f>
        <v/>
      </c>
      <c r="L516" s="30">
        <f>IF(OR(A516="",B516="",D516=""),"",IF(D516=_xlfn.MAXIFS($D$4:$D$2503,$A$4:$A$2503,A516,$B$4:$B$2503,B516),"Yes","No"))</f>
        <v/>
      </c>
      <c r="M516" s="30">
        <f>IF(B516="","",IFERROR(INDEX('Share classes'!$F$4:$F$203,MATCH(B516,'Share classes'!$B$4:$B$203,0)),""))</f>
        <v/>
      </c>
      <c r="N516" s="30">
        <f>IF(A516="","",IF(K516="","Unknown holder ID",IF(J516="","Unknown class code",IF(OR(C516="",D516=""),"Missing shares or date",IF(OR(C516&lt;0,C516&lt;&gt;INT(C516)),"Shares must be a whole number",IF(COUNTIFS($A$4:$A$2503,A516,$B$4:$B$2503,B516,$D$4:$D$2503,D516)&gt;1,"Duplicate row (same date)","OK"))))))</f>
        <v/>
      </c>
    </row>
    <row r="517">
      <c r="A517" s="26" t="n"/>
      <c r="B517" s="26" t="n"/>
      <c r="C517" s="34" t="n"/>
      <c r="D517" s="28" t="n"/>
      <c r="E517" s="26" t="n"/>
      <c r="F517" s="26" t="n"/>
      <c r="G517" s="26" t="n"/>
      <c r="H517" s="38" t="n"/>
      <c r="I517" s="28" t="n"/>
      <c r="J517" s="30">
        <f>IF(B517="","",IFERROR(INDEX('Share classes'!$A$4:$A$203,MATCH(B517,'Share classes'!$B$4:$B$203,0)),""))</f>
        <v/>
      </c>
      <c r="K517" s="30">
        <f>IF(A517="","",IFERROR(INDEX('Holders'!$B$4:$B$1003,MATCH(A517,'Holders'!$A$4:$A$1003,0)),""))</f>
        <v/>
      </c>
      <c r="L517" s="30">
        <f>IF(OR(A517="",B517="",D517=""),"",IF(D517=_xlfn.MAXIFS($D$4:$D$2503,$A$4:$A$2503,A517,$B$4:$B$2503,B517),"Yes","No"))</f>
        <v/>
      </c>
      <c r="M517" s="30">
        <f>IF(B517="","",IFERROR(INDEX('Share classes'!$F$4:$F$203,MATCH(B517,'Share classes'!$B$4:$B$203,0)),""))</f>
        <v/>
      </c>
      <c r="N517" s="30">
        <f>IF(A517="","",IF(K517="","Unknown holder ID",IF(J517="","Unknown class code",IF(OR(C517="",D517=""),"Missing shares or date",IF(OR(C517&lt;0,C517&lt;&gt;INT(C517)),"Shares must be a whole number",IF(COUNTIFS($A$4:$A$2503,A517,$B$4:$B$2503,B517,$D$4:$D$2503,D517)&gt;1,"Duplicate row (same date)","OK"))))))</f>
        <v/>
      </c>
    </row>
    <row r="518">
      <c r="A518" s="26" t="n"/>
      <c r="B518" s="26" t="n"/>
      <c r="C518" s="34" t="n"/>
      <c r="D518" s="28" t="n"/>
      <c r="E518" s="26" t="n"/>
      <c r="F518" s="26" t="n"/>
      <c r="G518" s="26" t="n"/>
      <c r="H518" s="38" t="n"/>
      <c r="I518" s="28" t="n"/>
      <c r="J518" s="30">
        <f>IF(B518="","",IFERROR(INDEX('Share classes'!$A$4:$A$203,MATCH(B518,'Share classes'!$B$4:$B$203,0)),""))</f>
        <v/>
      </c>
      <c r="K518" s="30">
        <f>IF(A518="","",IFERROR(INDEX('Holders'!$B$4:$B$1003,MATCH(A518,'Holders'!$A$4:$A$1003,0)),""))</f>
        <v/>
      </c>
      <c r="L518" s="30">
        <f>IF(OR(A518="",B518="",D518=""),"",IF(D518=_xlfn.MAXIFS($D$4:$D$2503,$A$4:$A$2503,A518,$B$4:$B$2503,B518),"Yes","No"))</f>
        <v/>
      </c>
      <c r="M518" s="30">
        <f>IF(B518="","",IFERROR(INDEX('Share classes'!$F$4:$F$203,MATCH(B518,'Share classes'!$B$4:$B$203,0)),""))</f>
        <v/>
      </c>
      <c r="N518" s="30">
        <f>IF(A518="","",IF(K518="","Unknown holder ID",IF(J518="","Unknown class code",IF(OR(C518="",D518=""),"Missing shares or date",IF(OR(C518&lt;0,C518&lt;&gt;INT(C518)),"Shares must be a whole number",IF(COUNTIFS($A$4:$A$2503,A518,$B$4:$B$2503,B518,$D$4:$D$2503,D518)&gt;1,"Duplicate row (same date)","OK"))))))</f>
        <v/>
      </c>
    </row>
    <row r="519">
      <c r="A519" s="26" t="n"/>
      <c r="B519" s="26" t="n"/>
      <c r="C519" s="34" t="n"/>
      <c r="D519" s="28" t="n"/>
      <c r="E519" s="26" t="n"/>
      <c r="F519" s="26" t="n"/>
      <c r="G519" s="26" t="n"/>
      <c r="H519" s="38" t="n"/>
      <c r="I519" s="28" t="n"/>
      <c r="J519" s="30">
        <f>IF(B519="","",IFERROR(INDEX('Share classes'!$A$4:$A$203,MATCH(B519,'Share classes'!$B$4:$B$203,0)),""))</f>
        <v/>
      </c>
      <c r="K519" s="30">
        <f>IF(A519="","",IFERROR(INDEX('Holders'!$B$4:$B$1003,MATCH(A519,'Holders'!$A$4:$A$1003,0)),""))</f>
        <v/>
      </c>
      <c r="L519" s="30">
        <f>IF(OR(A519="",B519="",D519=""),"",IF(D519=_xlfn.MAXIFS($D$4:$D$2503,$A$4:$A$2503,A519,$B$4:$B$2503,B519),"Yes","No"))</f>
        <v/>
      </c>
      <c r="M519" s="30">
        <f>IF(B519="","",IFERROR(INDEX('Share classes'!$F$4:$F$203,MATCH(B519,'Share classes'!$B$4:$B$203,0)),""))</f>
        <v/>
      </c>
      <c r="N519" s="30">
        <f>IF(A519="","",IF(K519="","Unknown holder ID",IF(J519="","Unknown class code",IF(OR(C519="",D519=""),"Missing shares or date",IF(OR(C519&lt;0,C519&lt;&gt;INT(C519)),"Shares must be a whole number",IF(COUNTIFS($A$4:$A$2503,A519,$B$4:$B$2503,B519,$D$4:$D$2503,D519)&gt;1,"Duplicate row (same date)","OK"))))))</f>
        <v/>
      </c>
    </row>
    <row r="520">
      <c r="A520" s="26" t="n"/>
      <c r="B520" s="26" t="n"/>
      <c r="C520" s="34" t="n"/>
      <c r="D520" s="28" t="n"/>
      <c r="E520" s="26" t="n"/>
      <c r="F520" s="26" t="n"/>
      <c r="G520" s="26" t="n"/>
      <c r="H520" s="38" t="n"/>
      <c r="I520" s="28" t="n"/>
      <c r="J520" s="30">
        <f>IF(B520="","",IFERROR(INDEX('Share classes'!$A$4:$A$203,MATCH(B520,'Share classes'!$B$4:$B$203,0)),""))</f>
        <v/>
      </c>
      <c r="K520" s="30">
        <f>IF(A520="","",IFERROR(INDEX('Holders'!$B$4:$B$1003,MATCH(A520,'Holders'!$A$4:$A$1003,0)),""))</f>
        <v/>
      </c>
      <c r="L520" s="30">
        <f>IF(OR(A520="",B520="",D520=""),"",IF(D520=_xlfn.MAXIFS($D$4:$D$2503,$A$4:$A$2503,A520,$B$4:$B$2503,B520),"Yes","No"))</f>
        <v/>
      </c>
      <c r="M520" s="30">
        <f>IF(B520="","",IFERROR(INDEX('Share classes'!$F$4:$F$203,MATCH(B520,'Share classes'!$B$4:$B$203,0)),""))</f>
        <v/>
      </c>
      <c r="N520" s="30">
        <f>IF(A520="","",IF(K520="","Unknown holder ID",IF(J520="","Unknown class code",IF(OR(C520="",D520=""),"Missing shares or date",IF(OR(C520&lt;0,C520&lt;&gt;INT(C520)),"Shares must be a whole number",IF(COUNTIFS($A$4:$A$2503,A520,$B$4:$B$2503,B520,$D$4:$D$2503,D520)&gt;1,"Duplicate row (same date)","OK"))))))</f>
        <v/>
      </c>
    </row>
    <row r="521">
      <c r="A521" s="26" t="n"/>
      <c r="B521" s="26" t="n"/>
      <c r="C521" s="34" t="n"/>
      <c r="D521" s="28" t="n"/>
      <c r="E521" s="26" t="n"/>
      <c r="F521" s="26" t="n"/>
      <c r="G521" s="26" t="n"/>
      <c r="H521" s="38" t="n"/>
      <c r="I521" s="28" t="n"/>
      <c r="J521" s="30">
        <f>IF(B521="","",IFERROR(INDEX('Share classes'!$A$4:$A$203,MATCH(B521,'Share classes'!$B$4:$B$203,0)),""))</f>
        <v/>
      </c>
      <c r="K521" s="30">
        <f>IF(A521="","",IFERROR(INDEX('Holders'!$B$4:$B$1003,MATCH(A521,'Holders'!$A$4:$A$1003,0)),""))</f>
        <v/>
      </c>
      <c r="L521" s="30">
        <f>IF(OR(A521="",B521="",D521=""),"",IF(D521=_xlfn.MAXIFS($D$4:$D$2503,$A$4:$A$2503,A521,$B$4:$B$2503,B521),"Yes","No"))</f>
        <v/>
      </c>
      <c r="M521" s="30">
        <f>IF(B521="","",IFERROR(INDEX('Share classes'!$F$4:$F$203,MATCH(B521,'Share classes'!$B$4:$B$203,0)),""))</f>
        <v/>
      </c>
      <c r="N521" s="30">
        <f>IF(A521="","",IF(K521="","Unknown holder ID",IF(J521="","Unknown class code",IF(OR(C521="",D521=""),"Missing shares or date",IF(OR(C521&lt;0,C521&lt;&gt;INT(C521)),"Shares must be a whole number",IF(COUNTIFS($A$4:$A$2503,A521,$B$4:$B$2503,B521,$D$4:$D$2503,D521)&gt;1,"Duplicate row (same date)","OK"))))))</f>
        <v/>
      </c>
    </row>
    <row r="522">
      <c r="A522" s="26" t="n"/>
      <c r="B522" s="26" t="n"/>
      <c r="C522" s="34" t="n"/>
      <c r="D522" s="28" t="n"/>
      <c r="E522" s="26" t="n"/>
      <c r="F522" s="26" t="n"/>
      <c r="G522" s="26" t="n"/>
      <c r="H522" s="38" t="n"/>
      <c r="I522" s="28" t="n"/>
      <c r="J522" s="30">
        <f>IF(B522="","",IFERROR(INDEX('Share classes'!$A$4:$A$203,MATCH(B522,'Share classes'!$B$4:$B$203,0)),""))</f>
        <v/>
      </c>
      <c r="K522" s="30">
        <f>IF(A522="","",IFERROR(INDEX('Holders'!$B$4:$B$1003,MATCH(A522,'Holders'!$A$4:$A$1003,0)),""))</f>
        <v/>
      </c>
      <c r="L522" s="30">
        <f>IF(OR(A522="",B522="",D522=""),"",IF(D522=_xlfn.MAXIFS($D$4:$D$2503,$A$4:$A$2503,A522,$B$4:$B$2503,B522),"Yes","No"))</f>
        <v/>
      </c>
      <c r="M522" s="30">
        <f>IF(B522="","",IFERROR(INDEX('Share classes'!$F$4:$F$203,MATCH(B522,'Share classes'!$B$4:$B$203,0)),""))</f>
        <v/>
      </c>
      <c r="N522" s="30">
        <f>IF(A522="","",IF(K522="","Unknown holder ID",IF(J522="","Unknown class code",IF(OR(C522="",D522=""),"Missing shares or date",IF(OR(C522&lt;0,C522&lt;&gt;INT(C522)),"Shares must be a whole number",IF(COUNTIFS($A$4:$A$2503,A522,$B$4:$B$2503,B522,$D$4:$D$2503,D522)&gt;1,"Duplicate row (same date)","OK"))))))</f>
        <v/>
      </c>
    </row>
    <row r="523">
      <c r="A523" s="26" t="n"/>
      <c r="B523" s="26" t="n"/>
      <c r="C523" s="34" t="n"/>
      <c r="D523" s="28" t="n"/>
      <c r="E523" s="26" t="n"/>
      <c r="F523" s="26" t="n"/>
      <c r="G523" s="26" t="n"/>
      <c r="H523" s="38" t="n"/>
      <c r="I523" s="28" t="n"/>
      <c r="J523" s="30">
        <f>IF(B523="","",IFERROR(INDEX('Share classes'!$A$4:$A$203,MATCH(B523,'Share classes'!$B$4:$B$203,0)),""))</f>
        <v/>
      </c>
      <c r="K523" s="30">
        <f>IF(A523="","",IFERROR(INDEX('Holders'!$B$4:$B$1003,MATCH(A523,'Holders'!$A$4:$A$1003,0)),""))</f>
        <v/>
      </c>
      <c r="L523" s="30">
        <f>IF(OR(A523="",B523="",D523=""),"",IF(D523=_xlfn.MAXIFS($D$4:$D$2503,$A$4:$A$2503,A523,$B$4:$B$2503,B523),"Yes","No"))</f>
        <v/>
      </c>
      <c r="M523" s="30">
        <f>IF(B523="","",IFERROR(INDEX('Share classes'!$F$4:$F$203,MATCH(B523,'Share classes'!$B$4:$B$203,0)),""))</f>
        <v/>
      </c>
      <c r="N523" s="30">
        <f>IF(A523="","",IF(K523="","Unknown holder ID",IF(J523="","Unknown class code",IF(OR(C523="",D523=""),"Missing shares or date",IF(OR(C523&lt;0,C523&lt;&gt;INT(C523)),"Shares must be a whole number",IF(COUNTIFS($A$4:$A$2503,A523,$B$4:$B$2503,B523,$D$4:$D$2503,D523)&gt;1,"Duplicate row (same date)","OK"))))))</f>
        <v/>
      </c>
    </row>
    <row r="524">
      <c r="A524" s="26" t="n"/>
      <c r="B524" s="26" t="n"/>
      <c r="C524" s="34" t="n"/>
      <c r="D524" s="28" t="n"/>
      <c r="E524" s="26" t="n"/>
      <c r="F524" s="26" t="n"/>
      <c r="G524" s="26" t="n"/>
      <c r="H524" s="38" t="n"/>
      <c r="I524" s="28" t="n"/>
      <c r="J524" s="30">
        <f>IF(B524="","",IFERROR(INDEX('Share classes'!$A$4:$A$203,MATCH(B524,'Share classes'!$B$4:$B$203,0)),""))</f>
        <v/>
      </c>
      <c r="K524" s="30">
        <f>IF(A524="","",IFERROR(INDEX('Holders'!$B$4:$B$1003,MATCH(A524,'Holders'!$A$4:$A$1003,0)),""))</f>
        <v/>
      </c>
      <c r="L524" s="30">
        <f>IF(OR(A524="",B524="",D524=""),"",IF(D524=_xlfn.MAXIFS($D$4:$D$2503,$A$4:$A$2503,A524,$B$4:$B$2503,B524),"Yes","No"))</f>
        <v/>
      </c>
      <c r="M524" s="30">
        <f>IF(B524="","",IFERROR(INDEX('Share classes'!$F$4:$F$203,MATCH(B524,'Share classes'!$B$4:$B$203,0)),""))</f>
        <v/>
      </c>
      <c r="N524" s="30">
        <f>IF(A524="","",IF(K524="","Unknown holder ID",IF(J524="","Unknown class code",IF(OR(C524="",D524=""),"Missing shares or date",IF(OR(C524&lt;0,C524&lt;&gt;INT(C524)),"Shares must be a whole number",IF(COUNTIFS($A$4:$A$2503,A524,$B$4:$B$2503,B524,$D$4:$D$2503,D524)&gt;1,"Duplicate row (same date)","OK"))))))</f>
        <v/>
      </c>
    </row>
    <row r="525">
      <c r="A525" s="26" t="n"/>
      <c r="B525" s="26" t="n"/>
      <c r="C525" s="34" t="n"/>
      <c r="D525" s="28" t="n"/>
      <c r="E525" s="26" t="n"/>
      <c r="F525" s="26" t="n"/>
      <c r="G525" s="26" t="n"/>
      <c r="H525" s="38" t="n"/>
      <c r="I525" s="28" t="n"/>
      <c r="J525" s="30">
        <f>IF(B525="","",IFERROR(INDEX('Share classes'!$A$4:$A$203,MATCH(B525,'Share classes'!$B$4:$B$203,0)),""))</f>
        <v/>
      </c>
      <c r="K525" s="30">
        <f>IF(A525="","",IFERROR(INDEX('Holders'!$B$4:$B$1003,MATCH(A525,'Holders'!$A$4:$A$1003,0)),""))</f>
        <v/>
      </c>
      <c r="L525" s="30">
        <f>IF(OR(A525="",B525="",D525=""),"",IF(D525=_xlfn.MAXIFS($D$4:$D$2503,$A$4:$A$2503,A525,$B$4:$B$2503,B525),"Yes","No"))</f>
        <v/>
      </c>
      <c r="M525" s="30">
        <f>IF(B525="","",IFERROR(INDEX('Share classes'!$F$4:$F$203,MATCH(B525,'Share classes'!$B$4:$B$203,0)),""))</f>
        <v/>
      </c>
      <c r="N525" s="30">
        <f>IF(A525="","",IF(K525="","Unknown holder ID",IF(J525="","Unknown class code",IF(OR(C525="",D525=""),"Missing shares or date",IF(OR(C525&lt;0,C525&lt;&gt;INT(C525)),"Shares must be a whole number",IF(COUNTIFS($A$4:$A$2503,A525,$B$4:$B$2503,B525,$D$4:$D$2503,D525)&gt;1,"Duplicate row (same date)","OK"))))))</f>
        <v/>
      </c>
    </row>
    <row r="526">
      <c r="A526" s="26" t="n"/>
      <c r="B526" s="26" t="n"/>
      <c r="C526" s="34" t="n"/>
      <c r="D526" s="28" t="n"/>
      <c r="E526" s="26" t="n"/>
      <c r="F526" s="26" t="n"/>
      <c r="G526" s="26" t="n"/>
      <c r="H526" s="38" t="n"/>
      <c r="I526" s="28" t="n"/>
      <c r="J526" s="30">
        <f>IF(B526="","",IFERROR(INDEX('Share classes'!$A$4:$A$203,MATCH(B526,'Share classes'!$B$4:$B$203,0)),""))</f>
        <v/>
      </c>
      <c r="K526" s="30">
        <f>IF(A526="","",IFERROR(INDEX('Holders'!$B$4:$B$1003,MATCH(A526,'Holders'!$A$4:$A$1003,0)),""))</f>
        <v/>
      </c>
      <c r="L526" s="30">
        <f>IF(OR(A526="",B526="",D526=""),"",IF(D526=_xlfn.MAXIFS($D$4:$D$2503,$A$4:$A$2503,A526,$B$4:$B$2503,B526),"Yes","No"))</f>
        <v/>
      </c>
      <c r="M526" s="30">
        <f>IF(B526="","",IFERROR(INDEX('Share classes'!$F$4:$F$203,MATCH(B526,'Share classes'!$B$4:$B$203,0)),""))</f>
        <v/>
      </c>
      <c r="N526" s="30">
        <f>IF(A526="","",IF(K526="","Unknown holder ID",IF(J526="","Unknown class code",IF(OR(C526="",D526=""),"Missing shares or date",IF(OR(C526&lt;0,C526&lt;&gt;INT(C526)),"Shares must be a whole number",IF(COUNTIFS($A$4:$A$2503,A526,$B$4:$B$2503,B526,$D$4:$D$2503,D526)&gt;1,"Duplicate row (same date)","OK"))))))</f>
        <v/>
      </c>
    </row>
    <row r="527">
      <c r="A527" s="26" t="n"/>
      <c r="B527" s="26" t="n"/>
      <c r="C527" s="34" t="n"/>
      <c r="D527" s="28" t="n"/>
      <c r="E527" s="26" t="n"/>
      <c r="F527" s="26" t="n"/>
      <c r="G527" s="26" t="n"/>
      <c r="H527" s="38" t="n"/>
      <c r="I527" s="28" t="n"/>
      <c r="J527" s="30">
        <f>IF(B527="","",IFERROR(INDEX('Share classes'!$A$4:$A$203,MATCH(B527,'Share classes'!$B$4:$B$203,0)),""))</f>
        <v/>
      </c>
      <c r="K527" s="30">
        <f>IF(A527="","",IFERROR(INDEX('Holders'!$B$4:$B$1003,MATCH(A527,'Holders'!$A$4:$A$1003,0)),""))</f>
        <v/>
      </c>
      <c r="L527" s="30">
        <f>IF(OR(A527="",B527="",D527=""),"",IF(D527=_xlfn.MAXIFS($D$4:$D$2503,$A$4:$A$2503,A527,$B$4:$B$2503,B527),"Yes","No"))</f>
        <v/>
      </c>
      <c r="M527" s="30">
        <f>IF(B527="","",IFERROR(INDEX('Share classes'!$F$4:$F$203,MATCH(B527,'Share classes'!$B$4:$B$203,0)),""))</f>
        <v/>
      </c>
      <c r="N527" s="30">
        <f>IF(A527="","",IF(K527="","Unknown holder ID",IF(J527="","Unknown class code",IF(OR(C527="",D527=""),"Missing shares or date",IF(OR(C527&lt;0,C527&lt;&gt;INT(C527)),"Shares must be a whole number",IF(COUNTIFS($A$4:$A$2503,A527,$B$4:$B$2503,B527,$D$4:$D$2503,D527)&gt;1,"Duplicate row (same date)","OK"))))))</f>
        <v/>
      </c>
    </row>
    <row r="528">
      <c r="A528" s="26" t="n"/>
      <c r="B528" s="26" t="n"/>
      <c r="C528" s="34" t="n"/>
      <c r="D528" s="28" t="n"/>
      <c r="E528" s="26" t="n"/>
      <c r="F528" s="26" t="n"/>
      <c r="G528" s="26" t="n"/>
      <c r="H528" s="38" t="n"/>
      <c r="I528" s="28" t="n"/>
      <c r="J528" s="30">
        <f>IF(B528="","",IFERROR(INDEX('Share classes'!$A$4:$A$203,MATCH(B528,'Share classes'!$B$4:$B$203,0)),""))</f>
        <v/>
      </c>
      <c r="K528" s="30">
        <f>IF(A528="","",IFERROR(INDEX('Holders'!$B$4:$B$1003,MATCH(A528,'Holders'!$A$4:$A$1003,0)),""))</f>
        <v/>
      </c>
      <c r="L528" s="30">
        <f>IF(OR(A528="",B528="",D528=""),"",IF(D528=_xlfn.MAXIFS($D$4:$D$2503,$A$4:$A$2503,A528,$B$4:$B$2503,B528),"Yes","No"))</f>
        <v/>
      </c>
      <c r="M528" s="30">
        <f>IF(B528="","",IFERROR(INDEX('Share classes'!$F$4:$F$203,MATCH(B528,'Share classes'!$B$4:$B$203,0)),""))</f>
        <v/>
      </c>
      <c r="N528" s="30">
        <f>IF(A528="","",IF(K528="","Unknown holder ID",IF(J528="","Unknown class code",IF(OR(C528="",D528=""),"Missing shares or date",IF(OR(C528&lt;0,C528&lt;&gt;INT(C528)),"Shares must be a whole number",IF(COUNTIFS($A$4:$A$2503,A528,$B$4:$B$2503,B528,$D$4:$D$2503,D528)&gt;1,"Duplicate row (same date)","OK"))))))</f>
        <v/>
      </c>
    </row>
    <row r="529">
      <c r="A529" s="26" t="n"/>
      <c r="B529" s="26" t="n"/>
      <c r="C529" s="34" t="n"/>
      <c r="D529" s="28" t="n"/>
      <c r="E529" s="26" t="n"/>
      <c r="F529" s="26" t="n"/>
      <c r="G529" s="26" t="n"/>
      <c r="H529" s="38" t="n"/>
      <c r="I529" s="28" t="n"/>
      <c r="J529" s="30">
        <f>IF(B529="","",IFERROR(INDEX('Share classes'!$A$4:$A$203,MATCH(B529,'Share classes'!$B$4:$B$203,0)),""))</f>
        <v/>
      </c>
      <c r="K529" s="30">
        <f>IF(A529="","",IFERROR(INDEX('Holders'!$B$4:$B$1003,MATCH(A529,'Holders'!$A$4:$A$1003,0)),""))</f>
        <v/>
      </c>
      <c r="L529" s="30">
        <f>IF(OR(A529="",B529="",D529=""),"",IF(D529=_xlfn.MAXIFS($D$4:$D$2503,$A$4:$A$2503,A529,$B$4:$B$2503,B529),"Yes","No"))</f>
        <v/>
      </c>
      <c r="M529" s="30">
        <f>IF(B529="","",IFERROR(INDEX('Share classes'!$F$4:$F$203,MATCH(B529,'Share classes'!$B$4:$B$203,0)),""))</f>
        <v/>
      </c>
      <c r="N529" s="30">
        <f>IF(A529="","",IF(K529="","Unknown holder ID",IF(J529="","Unknown class code",IF(OR(C529="",D529=""),"Missing shares or date",IF(OR(C529&lt;0,C529&lt;&gt;INT(C529)),"Shares must be a whole number",IF(COUNTIFS($A$4:$A$2503,A529,$B$4:$B$2503,B529,$D$4:$D$2503,D529)&gt;1,"Duplicate row (same date)","OK"))))))</f>
        <v/>
      </c>
    </row>
    <row r="530">
      <c r="A530" s="26" t="n"/>
      <c r="B530" s="26" t="n"/>
      <c r="C530" s="34" t="n"/>
      <c r="D530" s="28" t="n"/>
      <c r="E530" s="26" t="n"/>
      <c r="F530" s="26" t="n"/>
      <c r="G530" s="26" t="n"/>
      <c r="H530" s="38" t="n"/>
      <c r="I530" s="28" t="n"/>
      <c r="J530" s="30">
        <f>IF(B530="","",IFERROR(INDEX('Share classes'!$A$4:$A$203,MATCH(B530,'Share classes'!$B$4:$B$203,0)),""))</f>
        <v/>
      </c>
      <c r="K530" s="30">
        <f>IF(A530="","",IFERROR(INDEX('Holders'!$B$4:$B$1003,MATCH(A530,'Holders'!$A$4:$A$1003,0)),""))</f>
        <v/>
      </c>
      <c r="L530" s="30">
        <f>IF(OR(A530="",B530="",D530=""),"",IF(D530=_xlfn.MAXIFS($D$4:$D$2503,$A$4:$A$2503,A530,$B$4:$B$2503,B530),"Yes","No"))</f>
        <v/>
      </c>
      <c r="M530" s="30">
        <f>IF(B530="","",IFERROR(INDEX('Share classes'!$F$4:$F$203,MATCH(B530,'Share classes'!$B$4:$B$203,0)),""))</f>
        <v/>
      </c>
      <c r="N530" s="30">
        <f>IF(A530="","",IF(K530="","Unknown holder ID",IF(J530="","Unknown class code",IF(OR(C530="",D530=""),"Missing shares or date",IF(OR(C530&lt;0,C530&lt;&gt;INT(C530)),"Shares must be a whole number",IF(COUNTIFS($A$4:$A$2503,A530,$B$4:$B$2503,B530,$D$4:$D$2503,D530)&gt;1,"Duplicate row (same date)","OK"))))))</f>
        <v/>
      </c>
    </row>
    <row r="531">
      <c r="A531" s="26" t="n"/>
      <c r="B531" s="26" t="n"/>
      <c r="C531" s="34" t="n"/>
      <c r="D531" s="28" t="n"/>
      <c r="E531" s="26" t="n"/>
      <c r="F531" s="26" t="n"/>
      <c r="G531" s="26" t="n"/>
      <c r="H531" s="38" t="n"/>
      <c r="I531" s="28" t="n"/>
      <c r="J531" s="30">
        <f>IF(B531="","",IFERROR(INDEX('Share classes'!$A$4:$A$203,MATCH(B531,'Share classes'!$B$4:$B$203,0)),""))</f>
        <v/>
      </c>
      <c r="K531" s="30">
        <f>IF(A531="","",IFERROR(INDEX('Holders'!$B$4:$B$1003,MATCH(A531,'Holders'!$A$4:$A$1003,0)),""))</f>
        <v/>
      </c>
      <c r="L531" s="30">
        <f>IF(OR(A531="",B531="",D531=""),"",IF(D531=_xlfn.MAXIFS($D$4:$D$2503,$A$4:$A$2503,A531,$B$4:$B$2503,B531),"Yes","No"))</f>
        <v/>
      </c>
      <c r="M531" s="30">
        <f>IF(B531="","",IFERROR(INDEX('Share classes'!$F$4:$F$203,MATCH(B531,'Share classes'!$B$4:$B$203,0)),""))</f>
        <v/>
      </c>
      <c r="N531" s="30">
        <f>IF(A531="","",IF(K531="","Unknown holder ID",IF(J531="","Unknown class code",IF(OR(C531="",D531=""),"Missing shares or date",IF(OR(C531&lt;0,C531&lt;&gt;INT(C531)),"Shares must be a whole number",IF(COUNTIFS($A$4:$A$2503,A531,$B$4:$B$2503,B531,$D$4:$D$2503,D531)&gt;1,"Duplicate row (same date)","OK"))))))</f>
        <v/>
      </c>
    </row>
    <row r="532">
      <c r="A532" s="26" t="n"/>
      <c r="B532" s="26" t="n"/>
      <c r="C532" s="34" t="n"/>
      <c r="D532" s="28" t="n"/>
      <c r="E532" s="26" t="n"/>
      <c r="F532" s="26" t="n"/>
      <c r="G532" s="26" t="n"/>
      <c r="H532" s="38" t="n"/>
      <c r="I532" s="28" t="n"/>
      <c r="J532" s="30">
        <f>IF(B532="","",IFERROR(INDEX('Share classes'!$A$4:$A$203,MATCH(B532,'Share classes'!$B$4:$B$203,0)),""))</f>
        <v/>
      </c>
      <c r="K532" s="30">
        <f>IF(A532="","",IFERROR(INDEX('Holders'!$B$4:$B$1003,MATCH(A532,'Holders'!$A$4:$A$1003,0)),""))</f>
        <v/>
      </c>
      <c r="L532" s="30">
        <f>IF(OR(A532="",B532="",D532=""),"",IF(D532=_xlfn.MAXIFS($D$4:$D$2503,$A$4:$A$2503,A532,$B$4:$B$2503,B532),"Yes","No"))</f>
        <v/>
      </c>
      <c r="M532" s="30">
        <f>IF(B532="","",IFERROR(INDEX('Share classes'!$F$4:$F$203,MATCH(B532,'Share classes'!$B$4:$B$203,0)),""))</f>
        <v/>
      </c>
      <c r="N532" s="30">
        <f>IF(A532="","",IF(K532="","Unknown holder ID",IF(J532="","Unknown class code",IF(OR(C532="",D532=""),"Missing shares or date",IF(OR(C532&lt;0,C532&lt;&gt;INT(C532)),"Shares must be a whole number",IF(COUNTIFS($A$4:$A$2503,A532,$B$4:$B$2503,B532,$D$4:$D$2503,D532)&gt;1,"Duplicate row (same date)","OK"))))))</f>
        <v/>
      </c>
    </row>
    <row r="533">
      <c r="A533" s="26" t="n"/>
      <c r="B533" s="26" t="n"/>
      <c r="C533" s="34" t="n"/>
      <c r="D533" s="28" t="n"/>
      <c r="E533" s="26" t="n"/>
      <c r="F533" s="26" t="n"/>
      <c r="G533" s="26" t="n"/>
      <c r="H533" s="38" t="n"/>
      <c r="I533" s="28" t="n"/>
      <c r="J533" s="30">
        <f>IF(B533="","",IFERROR(INDEX('Share classes'!$A$4:$A$203,MATCH(B533,'Share classes'!$B$4:$B$203,0)),""))</f>
        <v/>
      </c>
      <c r="K533" s="30">
        <f>IF(A533="","",IFERROR(INDEX('Holders'!$B$4:$B$1003,MATCH(A533,'Holders'!$A$4:$A$1003,0)),""))</f>
        <v/>
      </c>
      <c r="L533" s="30">
        <f>IF(OR(A533="",B533="",D533=""),"",IF(D533=_xlfn.MAXIFS($D$4:$D$2503,$A$4:$A$2503,A533,$B$4:$B$2503,B533),"Yes","No"))</f>
        <v/>
      </c>
      <c r="M533" s="30">
        <f>IF(B533="","",IFERROR(INDEX('Share classes'!$F$4:$F$203,MATCH(B533,'Share classes'!$B$4:$B$203,0)),""))</f>
        <v/>
      </c>
      <c r="N533" s="30">
        <f>IF(A533="","",IF(K533="","Unknown holder ID",IF(J533="","Unknown class code",IF(OR(C533="",D533=""),"Missing shares or date",IF(OR(C533&lt;0,C533&lt;&gt;INT(C533)),"Shares must be a whole number",IF(COUNTIFS($A$4:$A$2503,A533,$B$4:$B$2503,B533,$D$4:$D$2503,D533)&gt;1,"Duplicate row (same date)","OK"))))))</f>
        <v/>
      </c>
    </row>
    <row r="534">
      <c r="A534" s="26" t="n"/>
      <c r="B534" s="26" t="n"/>
      <c r="C534" s="34" t="n"/>
      <c r="D534" s="28" t="n"/>
      <c r="E534" s="26" t="n"/>
      <c r="F534" s="26" t="n"/>
      <c r="G534" s="26" t="n"/>
      <c r="H534" s="38" t="n"/>
      <c r="I534" s="28" t="n"/>
      <c r="J534" s="30">
        <f>IF(B534="","",IFERROR(INDEX('Share classes'!$A$4:$A$203,MATCH(B534,'Share classes'!$B$4:$B$203,0)),""))</f>
        <v/>
      </c>
      <c r="K534" s="30">
        <f>IF(A534="","",IFERROR(INDEX('Holders'!$B$4:$B$1003,MATCH(A534,'Holders'!$A$4:$A$1003,0)),""))</f>
        <v/>
      </c>
      <c r="L534" s="30">
        <f>IF(OR(A534="",B534="",D534=""),"",IF(D534=_xlfn.MAXIFS($D$4:$D$2503,$A$4:$A$2503,A534,$B$4:$B$2503,B534),"Yes","No"))</f>
        <v/>
      </c>
      <c r="M534" s="30">
        <f>IF(B534="","",IFERROR(INDEX('Share classes'!$F$4:$F$203,MATCH(B534,'Share classes'!$B$4:$B$203,0)),""))</f>
        <v/>
      </c>
      <c r="N534" s="30">
        <f>IF(A534="","",IF(K534="","Unknown holder ID",IF(J534="","Unknown class code",IF(OR(C534="",D534=""),"Missing shares or date",IF(OR(C534&lt;0,C534&lt;&gt;INT(C534)),"Shares must be a whole number",IF(COUNTIFS($A$4:$A$2503,A534,$B$4:$B$2503,B534,$D$4:$D$2503,D534)&gt;1,"Duplicate row (same date)","OK"))))))</f>
        <v/>
      </c>
    </row>
    <row r="535">
      <c r="A535" s="26" t="n"/>
      <c r="B535" s="26" t="n"/>
      <c r="C535" s="34" t="n"/>
      <c r="D535" s="28" t="n"/>
      <c r="E535" s="26" t="n"/>
      <c r="F535" s="26" t="n"/>
      <c r="G535" s="26" t="n"/>
      <c r="H535" s="38" t="n"/>
      <c r="I535" s="28" t="n"/>
      <c r="J535" s="30">
        <f>IF(B535="","",IFERROR(INDEX('Share classes'!$A$4:$A$203,MATCH(B535,'Share classes'!$B$4:$B$203,0)),""))</f>
        <v/>
      </c>
      <c r="K535" s="30">
        <f>IF(A535="","",IFERROR(INDEX('Holders'!$B$4:$B$1003,MATCH(A535,'Holders'!$A$4:$A$1003,0)),""))</f>
        <v/>
      </c>
      <c r="L535" s="30">
        <f>IF(OR(A535="",B535="",D535=""),"",IF(D535=_xlfn.MAXIFS($D$4:$D$2503,$A$4:$A$2503,A535,$B$4:$B$2503,B535),"Yes","No"))</f>
        <v/>
      </c>
      <c r="M535" s="30">
        <f>IF(B535="","",IFERROR(INDEX('Share classes'!$F$4:$F$203,MATCH(B535,'Share classes'!$B$4:$B$203,0)),""))</f>
        <v/>
      </c>
      <c r="N535" s="30">
        <f>IF(A535="","",IF(K535="","Unknown holder ID",IF(J535="","Unknown class code",IF(OR(C535="",D535=""),"Missing shares or date",IF(OR(C535&lt;0,C535&lt;&gt;INT(C535)),"Shares must be a whole number",IF(COUNTIFS($A$4:$A$2503,A535,$B$4:$B$2503,B535,$D$4:$D$2503,D535)&gt;1,"Duplicate row (same date)","OK"))))))</f>
        <v/>
      </c>
    </row>
    <row r="536">
      <c r="A536" s="26" t="n"/>
      <c r="B536" s="26" t="n"/>
      <c r="C536" s="34" t="n"/>
      <c r="D536" s="28" t="n"/>
      <c r="E536" s="26" t="n"/>
      <c r="F536" s="26" t="n"/>
      <c r="G536" s="26" t="n"/>
      <c r="H536" s="38" t="n"/>
      <c r="I536" s="28" t="n"/>
      <c r="J536" s="30">
        <f>IF(B536="","",IFERROR(INDEX('Share classes'!$A$4:$A$203,MATCH(B536,'Share classes'!$B$4:$B$203,0)),""))</f>
        <v/>
      </c>
      <c r="K536" s="30">
        <f>IF(A536="","",IFERROR(INDEX('Holders'!$B$4:$B$1003,MATCH(A536,'Holders'!$A$4:$A$1003,0)),""))</f>
        <v/>
      </c>
      <c r="L536" s="30">
        <f>IF(OR(A536="",B536="",D536=""),"",IF(D536=_xlfn.MAXIFS($D$4:$D$2503,$A$4:$A$2503,A536,$B$4:$B$2503,B536),"Yes","No"))</f>
        <v/>
      </c>
      <c r="M536" s="30">
        <f>IF(B536="","",IFERROR(INDEX('Share classes'!$F$4:$F$203,MATCH(B536,'Share classes'!$B$4:$B$203,0)),""))</f>
        <v/>
      </c>
      <c r="N536" s="30">
        <f>IF(A536="","",IF(K536="","Unknown holder ID",IF(J536="","Unknown class code",IF(OR(C536="",D536=""),"Missing shares or date",IF(OR(C536&lt;0,C536&lt;&gt;INT(C536)),"Shares must be a whole number",IF(COUNTIFS($A$4:$A$2503,A536,$B$4:$B$2503,B536,$D$4:$D$2503,D536)&gt;1,"Duplicate row (same date)","OK"))))))</f>
        <v/>
      </c>
    </row>
    <row r="537">
      <c r="A537" s="26" t="n"/>
      <c r="B537" s="26" t="n"/>
      <c r="C537" s="34" t="n"/>
      <c r="D537" s="28" t="n"/>
      <c r="E537" s="26" t="n"/>
      <c r="F537" s="26" t="n"/>
      <c r="G537" s="26" t="n"/>
      <c r="H537" s="38" t="n"/>
      <c r="I537" s="28" t="n"/>
      <c r="J537" s="30">
        <f>IF(B537="","",IFERROR(INDEX('Share classes'!$A$4:$A$203,MATCH(B537,'Share classes'!$B$4:$B$203,0)),""))</f>
        <v/>
      </c>
      <c r="K537" s="30">
        <f>IF(A537="","",IFERROR(INDEX('Holders'!$B$4:$B$1003,MATCH(A537,'Holders'!$A$4:$A$1003,0)),""))</f>
        <v/>
      </c>
      <c r="L537" s="30">
        <f>IF(OR(A537="",B537="",D537=""),"",IF(D537=_xlfn.MAXIFS($D$4:$D$2503,$A$4:$A$2503,A537,$B$4:$B$2503,B537),"Yes","No"))</f>
        <v/>
      </c>
      <c r="M537" s="30">
        <f>IF(B537="","",IFERROR(INDEX('Share classes'!$F$4:$F$203,MATCH(B537,'Share classes'!$B$4:$B$203,0)),""))</f>
        <v/>
      </c>
      <c r="N537" s="30">
        <f>IF(A537="","",IF(K537="","Unknown holder ID",IF(J537="","Unknown class code",IF(OR(C537="",D537=""),"Missing shares or date",IF(OR(C537&lt;0,C537&lt;&gt;INT(C537)),"Shares must be a whole number",IF(COUNTIFS($A$4:$A$2503,A537,$B$4:$B$2503,B537,$D$4:$D$2503,D537)&gt;1,"Duplicate row (same date)","OK"))))))</f>
        <v/>
      </c>
    </row>
    <row r="538">
      <c r="A538" s="26" t="n"/>
      <c r="B538" s="26" t="n"/>
      <c r="C538" s="34" t="n"/>
      <c r="D538" s="28" t="n"/>
      <c r="E538" s="26" t="n"/>
      <c r="F538" s="26" t="n"/>
      <c r="G538" s="26" t="n"/>
      <c r="H538" s="38" t="n"/>
      <c r="I538" s="28" t="n"/>
      <c r="J538" s="30">
        <f>IF(B538="","",IFERROR(INDEX('Share classes'!$A$4:$A$203,MATCH(B538,'Share classes'!$B$4:$B$203,0)),""))</f>
        <v/>
      </c>
      <c r="K538" s="30">
        <f>IF(A538="","",IFERROR(INDEX('Holders'!$B$4:$B$1003,MATCH(A538,'Holders'!$A$4:$A$1003,0)),""))</f>
        <v/>
      </c>
      <c r="L538" s="30">
        <f>IF(OR(A538="",B538="",D538=""),"",IF(D538=_xlfn.MAXIFS($D$4:$D$2503,$A$4:$A$2503,A538,$B$4:$B$2503,B538),"Yes","No"))</f>
        <v/>
      </c>
      <c r="M538" s="30">
        <f>IF(B538="","",IFERROR(INDEX('Share classes'!$F$4:$F$203,MATCH(B538,'Share classes'!$B$4:$B$203,0)),""))</f>
        <v/>
      </c>
      <c r="N538" s="30">
        <f>IF(A538="","",IF(K538="","Unknown holder ID",IF(J538="","Unknown class code",IF(OR(C538="",D538=""),"Missing shares or date",IF(OR(C538&lt;0,C538&lt;&gt;INT(C538)),"Shares must be a whole number",IF(COUNTIFS($A$4:$A$2503,A538,$B$4:$B$2503,B538,$D$4:$D$2503,D538)&gt;1,"Duplicate row (same date)","OK"))))))</f>
        <v/>
      </c>
    </row>
    <row r="539">
      <c r="A539" s="26" t="n"/>
      <c r="B539" s="26" t="n"/>
      <c r="C539" s="34" t="n"/>
      <c r="D539" s="28" t="n"/>
      <c r="E539" s="26" t="n"/>
      <c r="F539" s="26" t="n"/>
      <c r="G539" s="26" t="n"/>
      <c r="H539" s="38" t="n"/>
      <c r="I539" s="28" t="n"/>
      <c r="J539" s="30">
        <f>IF(B539="","",IFERROR(INDEX('Share classes'!$A$4:$A$203,MATCH(B539,'Share classes'!$B$4:$B$203,0)),""))</f>
        <v/>
      </c>
      <c r="K539" s="30">
        <f>IF(A539="","",IFERROR(INDEX('Holders'!$B$4:$B$1003,MATCH(A539,'Holders'!$A$4:$A$1003,0)),""))</f>
        <v/>
      </c>
      <c r="L539" s="30">
        <f>IF(OR(A539="",B539="",D539=""),"",IF(D539=_xlfn.MAXIFS($D$4:$D$2503,$A$4:$A$2503,A539,$B$4:$B$2503,B539),"Yes","No"))</f>
        <v/>
      </c>
      <c r="M539" s="30">
        <f>IF(B539="","",IFERROR(INDEX('Share classes'!$F$4:$F$203,MATCH(B539,'Share classes'!$B$4:$B$203,0)),""))</f>
        <v/>
      </c>
      <c r="N539" s="30">
        <f>IF(A539="","",IF(K539="","Unknown holder ID",IF(J539="","Unknown class code",IF(OR(C539="",D539=""),"Missing shares or date",IF(OR(C539&lt;0,C539&lt;&gt;INT(C539)),"Shares must be a whole number",IF(COUNTIFS($A$4:$A$2503,A539,$B$4:$B$2503,B539,$D$4:$D$2503,D539)&gt;1,"Duplicate row (same date)","OK"))))))</f>
        <v/>
      </c>
    </row>
    <row r="540">
      <c r="A540" s="26" t="n"/>
      <c r="B540" s="26" t="n"/>
      <c r="C540" s="34" t="n"/>
      <c r="D540" s="28" t="n"/>
      <c r="E540" s="26" t="n"/>
      <c r="F540" s="26" t="n"/>
      <c r="G540" s="26" t="n"/>
      <c r="H540" s="38" t="n"/>
      <c r="I540" s="28" t="n"/>
      <c r="J540" s="30">
        <f>IF(B540="","",IFERROR(INDEX('Share classes'!$A$4:$A$203,MATCH(B540,'Share classes'!$B$4:$B$203,0)),""))</f>
        <v/>
      </c>
      <c r="K540" s="30">
        <f>IF(A540="","",IFERROR(INDEX('Holders'!$B$4:$B$1003,MATCH(A540,'Holders'!$A$4:$A$1003,0)),""))</f>
        <v/>
      </c>
      <c r="L540" s="30">
        <f>IF(OR(A540="",B540="",D540=""),"",IF(D540=_xlfn.MAXIFS($D$4:$D$2503,$A$4:$A$2503,A540,$B$4:$B$2503,B540),"Yes","No"))</f>
        <v/>
      </c>
      <c r="M540" s="30">
        <f>IF(B540="","",IFERROR(INDEX('Share classes'!$F$4:$F$203,MATCH(B540,'Share classes'!$B$4:$B$203,0)),""))</f>
        <v/>
      </c>
      <c r="N540" s="30">
        <f>IF(A540="","",IF(K540="","Unknown holder ID",IF(J540="","Unknown class code",IF(OR(C540="",D540=""),"Missing shares or date",IF(OR(C540&lt;0,C540&lt;&gt;INT(C540)),"Shares must be a whole number",IF(COUNTIFS($A$4:$A$2503,A540,$B$4:$B$2503,B540,$D$4:$D$2503,D540)&gt;1,"Duplicate row (same date)","OK"))))))</f>
        <v/>
      </c>
    </row>
    <row r="541">
      <c r="A541" s="26" t="n"/>
      <c r="B541" s="26" t="n"/>
      <c r="C541" s="34" t="n"/>
      <c r="D541" s="28" t="n"/>
      <c r="E541" s="26" t="n"/>
      <c r="F541" s="26" t="n"/>
      <c r="G541" s="26" t="n"/>
      <c r="H541" s="38" t="n"/>
      <c r="I541" s="28" t="n"/>
      <c r="J541" s="30">
        <f>IF(B541="","",IFERROR(INDEX('Share classes'!$A$4:$A$203,MATCH(B541,'Share classes'!$B$4:$B$203,0)),""))</f>
        <v/>
      </c>
      <c r="K541" s="30">
        <f>IF(A541="","",IFERROR(INDEX('Holders'!$B$4:$B$1003,MATCH(A541,'Holders'!$A$4:$A$1003,0)),""))</f>
        <v/>
      </c>
      <c r="L541" s="30">
        <f>IF(OR(A541="",B541="",D541=""),"",IF(D541=_xlfn.MAXIFS($D$4:$D$2503,$A$4:$A$2503,A541,$B$4:$B$2503,B541),"Yes","No"))</f>
        <v/>
      </c>
      <c r="M541" s="30">
        <f>IF(B541="","",IFERROR(INDEX('Share classes'!$F$4:$F$203,MATCH(B541,'Share classes'!$B$4:$B$203,0)),""))</f>
        <v/>
      </c>
      <c r="N541" s="30">
        <f>IF(A541="","",IF(K541="","Unknown holder ID",IF(J541="","Unknown class code",IF(OR(C541="",D541=""),"Missing shares or date",IF(OR(C541&lt;0,C541&lt;&gt;INT(C541)),"Shares must be a whole number",IF(COUNTIFS($A$4:$A$2503,A541,$B$4:$B$2503,B541,$D$4:$D$2503,D541)&gt;1,"Duplicate row (same date)","OK"))))))</f>
        <v/>
      </c>
    </row>
    <row r="542">
      <c r="A542" s="26" t="n"/>
      <c r="B542" s="26" t="n"/>
      <c r="C542" s="34" t="n"/>
      <c r="D542" s="28" t="n"/>
      <c r="E542" s="26" t="n"/>
      <c r="F542" s="26" t="n"/>
      <c r="G542" s="26" t="n"/>
      <c r="H542" s="38" t="n"/>
      <c r="I542" s="28" t="n"/>
      <c r="J542" s="30">
        <f>IF(B542="","",IFERROR(INDEX('Share classes'!$A$4:$A$203,MATCH(B542,'Share classes'!$B$4:$B$203,0)),""))</f>
        <v/>
      </c>
      <c r="K542" s="30">
        <f>IF(A542="","",IFERROR(INDEX('Holders'!$B$4:$B$1003,MATCH(A542,'Holders'!$A$4:$A$1003,0)),""))</f>
        <v/>
      </c>
      <c r="L542" s="30">
        <f>IF(OR(A542="",B542="",D542=""),"",IF(D542=_xlfn.MAXIFS($D$4:$D$2503,$A$4:$A$2503,A542,$B$4:$B$2503,B542),"Yes","No"))</f>
        <v/>
      </c>
      <c r="M542" s="30">
        <f>IF(B542="","",IFERROR(INDEX('Share classes'!$F$4:$F$203,MATCH(B542,'Share classes'!$B$4:$B$203,0)),""))</f>
        <v/>
      </c>
      <c r="N542" s="30">
        <f>IF(A542="","",IF(K542="","Unknown holder ID",IF(J542="","Unknown class code",IF(OR(C542="",D542=""),"Missing shares or date",IF(OR(C542&lt;0,C542&lt;&gt;INT(C542)),"Shares must be a whole number",IF(COUNTIFS($A$4:$A$2503,A542,$B$4:$B$2503,B542,$D$4:$D$2503,D542)&gt;1,"Duplicate row (same date)","OK"))))))</f>
        <v/>
      </c>
    </row>
    <row r="543">
      <c r="A543" s="26" t="n"/>
      <c r="B543" s="26" t="n"/>
      <c r="C543" s="34" t="n"/>
      <c r="D543" s="28" t="n"/>
      <c r="E543" s="26" t="n"/>
      <c r="F543" s="26" t="n"/>
      <c r="G543" s="26" t="n"/>
      <c r="H543" s="38" t="n"/>
      <c r="I543" s="28" t="n"/>
      <c r="J543" s="30">
        <f>IF(B543="","",IFERROR(INDEX('Share classes'!$A$4:$A$203,MATCH(B543,'Share classes'!$B$4:$B$203,0)),""))</f>
        <v/>
      </c>
      <c r="K543" s="30">
        <f>IF(A543="","",IFERROR(INDEX('Holders'!$B$4:$B$1003,MATCH(A543,'Holders'!$A$4:$A$1003,0)),""))</f>
        <v/>
      </c>
      <c r="L543" s="30">
        <f>IF(OR(A543="",B543="",D543=""),"",IF(D543=_xlfn.MAXIFS($D$4:$D$2503,$A$4:$A$2503,A543,$B$4:$B$2503,B543),"Yes","No"))</f>
        <v/>
      </c>
      <c r="M543" s="30">
        <f>IF(B543="","",IFERROR(INDEX('Share classes'!$F$4:$F$203,MATCH(B543,'Share classes'!$B$4:$B$203,0)),""))</f>
        <v/>
      </c>
      <c r="N543" s="30">
        <f>IF(A543="","",IF(K543="","Unknown holder ID",IF(J543="","Unknown class code",IF(OR(C543="",D543=""),"Missing shares or date",IF(OR(C543&lt;0,C543&lt;&gt;INT(C543)),"Shares must be a whole number",IF(COUNTIFS($A$4:$A$2503,A543,$B$4:$B$2503,B543,$D$4:$D$2503,D543)&gt;1,"Duplicate row (same date)","OK"))))))</f>
        <v/>
      </c>
    </row>
    <row r="544">
      <c r="A544" s="26" t="n"/>
      <c r="B544" s="26" t="n"/>
      <c r="C544" s="34" t="n"/>
      <c r="D544" s="28" t="n"/>
      <c r="E544" s="26" t="n"/>
      <c r="F544" s="26" t="n"/>
      <c r="G544" s="26" t="n"/>
      <c r="H544" s="38" t="n"/>
      <c r="I544" s="28" t="n"/>
      <c r="J544" s="30">
        <f>IF(B544="","",IFERROR(INDEX('Share classes'!$A$4:$A$203,MATCH(B544,'Share classes'!$B$4:$B$203,0)),""))</f>
        <v/>
      </c>
      <c r="K544" s="30">
        <f>IF(A544="","",IFERROR(INDEX('Holders'!$B$4:$B$1003,MATCH(A544,'Holders'!$A$4:$A$1003,0)),""))</f>
        <v/>
      </c>
      <c r="L544" s="30">
        <f>IF(OR(A544="",B544="",D544=""),"",IF(D544=_xlfn.MAXIFS($D$4:$D$2503,$A$4:$A$2503,A544,$B$4:$B$2503,B544),"Yes","No"))</f>
        <v/>
      </c>
      <c r="M544" s="30">
        <f>IF(B544="","",IFERROR(INDEX('Share classes'!$F$4:$F$203,MATCH(B544,'Share classes'!$B$4:$B$203,0)),""))</f>
        <v/>
      </c>
      <c r="N544" s="30">
        <f>IF(A544="","",IF(K544="","Unknown holder ID",IF(J544="","Unknown class code",IF(OR(C544="",D544=""),"Missing shares or date",IF(OR(C544&lt;0,C544&lt;&gt;INT(C544)),"Shares must be a whole number",IF(COUNTIFS($A$4:$A$2503,A544,$B$4:$B$2503,B544,$D$4:$D$2503,D544)&gt;1,"Duplicate row (same date)","OK"))))))</f>
        <v/>
      </c>
    </row>
    <row r="545">
      <c r="A545" s="26" t="n"/>
      <c r="B545" s="26" t="n"/>
      <c r="C545" s="34" t="n"/>
      <c r="D545" s="28" t="n"/>
      <c r="E545" s="26" t="n"/>
      <c r="F545" s="26" t="n"/>
      <c r="G545" s="26" t="n"/>
      <c r="H545" s="38" t="n"/>
      <c r="I545" s="28" t="n"/>
      <c r="J545" s="30">
        <f>IF(B545="","",IFERROR(INDEX('Share classes'!$A$4:$A$203,MATCH(B545,'Share classes'!$B$4:$B$203,0)),""))</f>
        <v/>
      </c>
      <c r="K545" s="30">
        <f>IF(A545="","",IFERROR(INDEX('Holders'!$B$4:$B$1003,MATCH(A545,'Holders'!$A$4:$A$1003,0)),""))</f>
        <v/>
      </c>
      <c r="L545" s="30">
        <f>IF(OR(A545="",B545="",D545=""),"",IF(D545=_xlfn.MAXIFS($D$4:$D$2503,$A$4:$A$2503,A545,$B$4:$B$2503,B545),"Yes","No"))</f>
        <v/>
      </c>
      <c r="M545" s="30">
        <f>IF(B545="","",IFERROR(INDEX('Share classes'!$F$4:$F$203,MATCH(B545,'Share classes'!$B$4:$B$203,0)),""))</f>
        <v/>
      </c>
      <c r="N545" s="30">
        <f>IF(A545="","",IF(K545="","Unknown holder ID",IF(J545="","Unknown class code",IF(OR(C545="",D545=""),"Missing shares or date",IF(OR(C545&lt;0,C545&lt;&gt;INT(C545)),"Shares must be a whole number",IF(COUNTIFS($A$4:$A$2503,A545,$B$4:$B$2503,B545,$D$4:$D$2503,D545)&gt;1,"Duplicate row (same date)","OK"))))))</f>
        <v/>
      </c>
    </row>
    <row r="546">
      <c r="A546" s="26" t="n"/>
      <c r="B546" s="26" t="n"/>
      <c r="C546" s="34" t="n"/>
      <c r="D546" s="28" t="n"/>
      <c r="E546" s="26" t="n"/>
      <c r="F546" s="26" t="n"/>
      <c r="G546" s="26" t="n"/>
      <c r="H546" s="38" t="n"/>
      <c r="I546" s="28" t="n"/>
      <c r="J546" s="30">
        <f>IF(B546="","",IFERROR(INDEX('Share classes'!$A$4:$A$203,MATCH(B546,'Share classes'!$B$4:$B$203,0)),""))</f>
        <v/>
      </c>
      <c r="K546" s="30">
        <f>IF(A546="","",IFERROR(INDEX('Holders'!$B$4:$B$1003,MATCH(A546,'Holders'!$A$4:$A$1003,0)),""))</f>
        <v/>
      </c>
      <c r="L546" s="30">
        <f>IF(OR(A546="",B546="",D546=""),"",IF(D546=_xlfn.MAXIFS($D$4:$D$2503,$A$4:$A$2503,A546,$B$4:$B$2503,B546),"Yes","No"))</f>
        <v/>
      </c>
      <c r="M546" s="30">
        <f>IF(B546="","",IFERROR(INDEX('Share classes'!$F$4:$F$203,MATCH(B546,'Share classes'!$B$4:$B$203,0)),""))</f>
        <v/>
      </c>
      <c r="N546" s="30">
        <f>IF(A546="","",IF(K546="","Unknown holder ID",IF(J546="","Unknown class code",IF(OR(C546="",D546=""),"Missing shares or date",IF(OR(C546&lt;0,C546&lt;&gt;INT(C546)),"Shares must be a whole number",IF(COUNTIFS($A$4:$A$2503,A546,$B$4:$B$2503,B546,$D$4:$D$2503,D546)&gt;1,"Duplicate row (same date)","OK"))))))</f>
        <v/>
      </c>
    </row>
    <row r="547">
      <c r="A547" s="26" t="n"/>
      <c r="B547" s="26" t="n"/>
      <c r="C547" s="34" t="n"/>
      <c r="D547" s="28" t="n"/>
      <c r="E547" s="26" t="n"/>
      <c r="F547" s="26" t="n"/>
      <c r="G547" s="26" t="n"/>
      <c r="H547" s="38" t="n"/>
      <c r="I547" s="28" t="n"/>
      <c r="J547" s="30">
        <f>IF(B547="","",IFERROR(INDEX('Share classes'!$A$4:$A$203,MATCH(B547,'Share classes'!$B$4:$B$203,0)),""))</f>
        <v/>
      </c>
      <c r="K547" s="30">
        <f>IF(A547="","",IFERROR(INDEX('Holders'!$B$4:$B$1003,MATCH(A547,'Holders'!$A$4:$A$1003,0)),""))</f>
        <v/>
      </c>
      <c r="L547" s="30">
        <f>IF(OR(A547="",B547="",D547=""),"",IF(D547=_xlfn.MAXIFS($D$4:$D$2503,$A$4:$A$2503,A547,$B$4:$B$2503,B547),"Yes","No"))</f>
        <v/>
      </c>
      <c r="M547" s="30">
        <f>IF(B547="","",IFERROR(INDEX('Share classes'!$F$4:$F$203,MATCH(B547,'Share classes'!$B$4:$B$203,0)),""))</f>
        <v/>
      </c>
      <c r="N547" s="30">
        <f>IF(A547="","",IF(K547="","Unknown holder ID",IF(J547="","Unknown class code",IF(OR(C547="",D547=""),"Missing shares or date",IF(OR(C547&lt;0,C547&lt;&gt;INT(C547)),"Shares must be a whole number",IF(COUNTIFS($A$4:$A$2503,A547,$B$4:$B$2503,B547,$D$4:$D$2503,D547)&gt;1,"Duplicate row (same date)","OK"))))))</f>
        <v/>
      </c>
    </row>
    <row r="548">
      <c r="A548" s="26" t="n"/>
      <c r="B548" s="26" t="n"/>
      <c r="C548" s="34" t="n"/>
      <c r="D548" s="28" t="n"/>
      <c r="E548" s="26" t="n"/>
      <c r="F548" s="26" t="n"/>
      <c r="G548" s="26" t="n"/>
      <c r="H548" s="38" t="n"/>
      <c r="I548" s="28" t="n"/>
      <c r="J548" s="30">
        <f>IF(B548="","",IFERROR(INDEX('Share classes'!$A$4:$A$203,MATCH(B548,'Share classes'!$B$4:$B$203,0)),""))</f>
        <v/>
      </c>
      <c r="K548" s="30">
        <f>IF(A548="","",IFERROR(INDEX('Holders'!$B$4:$B$1003,MATCH(A548,'Holders'!$A$4:$A$1003,0)),""))</f>
        <v/>
      </c>
      <c r="L548" s="30">
        <f>IF(OR(A548="",B548="",D548=""),"",IF(D548=_xlfn.MAXIFS($D$4:$D$2503,$A$4:$A$2503,A548,$B$4:$B$2503,B548),"Yes","No"))</f>
        <v/>
      </c>
      <c r="M548" s="30">
        <f>IF(B548="","",IFERROR(INDEX('Share classes'!$F$4:$F$203,MATCH(B548,'Share classes'!$B$4:$B$203,0)),""))</f>
        <v/>
      </c>
      <c r="N548" s="30">
        <f>IF(A548="","",IF(K548="","Unknown holder ID",IF(J548="","Unknown class code",IF(OR(C548="",D548=""),"Missing shares or date",IF(OR(C548&lt;0,C548&lt;&gt;INT(C548)),"Shares must be a whole number",IF(COUNTIFS($A$4:$A$2503,A548,$B$4:$B$2503,B548,$D$4:$D$2503,D548)&gt;1,"Duplicate row (same date)","OK"))))))</f>
        <v/>
      </c>
    </row>
    <row r="549">
      <c r="A549" s="26" t="n"/>
      <c r="B549" s="26" t="n"/>
      <c r="C549" s="34" t="n"/>
      <c r="D549" s="28" t="n"/>
      <c r="E549" s="26" t="n"/>
      <c r="F549" s="26" t="n"/>
      <c r="G549" s="26" t="n"/>
      <c r="H549" s="38" t="n"/>
      <c r="I549" s="28" t="n"/>
      <c r="J549" s="30">
        <f>IF(B549="","",IFERROR(INDEX('Share classes'!$A$4:$A$203,MATCH(B549,'Share classes'!$B$4:$B$203,0)),""))</f>
        <v/>
      </c>
      <c r="K549" s="30">
        <f>IF(A549="","",IFERROR(INDEX('Holders'!$B$4:$B$1003,MATCH(A549,'Holders'!$A$4:$A$1003,0)),""))</f>
        <v/>
      </c>
      <c r="L549" s="30">
        <f>IF(OR(A549="",B549="",D549=""),"",IF(D549=_xlfn.MAXIFS($D$4:$D$2503,$A$4:$A$2503,A549,$B$4:$B$2503,B549),"Yes","No"))</f>
        <v/>
      </c>
      <c r="M549" s="30">
        <f>IF(B549="","",IFERROR(INDEX('Share classes'!$F$4:$F$203,MATCH(B549,'Share classes'!$B$4:$B$203,0)),""))</f>
        <v/>
      </c>
      <c r="N549" s="30">
        <f>IF(A549="","",IF(K549="","Unknown holder ID",IF(J549="","Unknown class code",IF(OR(C549="",D549=""),"Missing shares or date",IF(OR(C549&lt;0,C549&lt;&gt;INT(C549)),"Shares must be a whole number",IF(COUNTIFS($A$4:$A$2503,A549,$B$4:$B$2503,B549,$D$4:$D$2503,D549)&gt;1,"Duplicate row (same date)","OK"))))))</f>
        <v/>
      </c>
    </row>
    <row r="550">
      <c r="A550" s="26" t="n"/>
      <c r="B550" s="26" t="n"/>
      <c r="C550" s="34" t="n"/>
      <c r="D550" s="28" t="n"/>
      <c r="E550" s="26" t="n"/>
      <c r="F550" s="26" t="n"/>
      <c r="G550" s="26" t="n"/>
      <c r="H550" s="38" t="n"/>
      <c r="I550" s="28" t="n"/>
      <c r="J550" s="30">
        <f>IF(B550="","",IFERROR(INDEX('Share classes'!$A$4:$A$203,MATCH(B550,'Share classes'!$B$4:$B$203,0)),""))</f>
        <v/>
      </c>
      <c r="K550" s="30">
        <f>IF(A550="","",IFERROR(INDEX('Holders'!$B$4:$B$1003,MATCH(A550,'Holders'!$A$4:$A$1003,0)),""))</f>
        <v/>
      </c>
      <c r="L550" s="30">
        <f>IF(OR(A550="",B550="",D550=""),"",IF(D550=_xlfn.MAXIFS($D$4:$D$2503,$A$4:$A$2503,A550,$B$4:$B$2503,B550),"Yes","No"))</f>
        <v/>
      </c>
      <c r="M550" s="30">
        <f>IF(B550="","",IFERROR(INDEX('Share classes'!$F$4:$F$203,MATCH(B550,'Share classes'!$B$4:$B$203,0)),""))</f>
        <v/>
      </c>
      <c r="N550" s="30">
        <f>IF(A550="","",IF(K550="","Unknown holder ID",IF(J550="","Unknown class code",IF(OR(C550="",D550=""),"Missing shares or date",IF(OR(C550&lt;0,C550&lt;&gt;INT(C550)),"Shares must be a whole number",IF(COUNTIFS($A$4:$A$2503,A550,$B$4:$B$2503,B550,$D$4:$D$2503,D550)&gt;1,"Duplicate row (same date)","OK"))))))</f>
        <v/>
      </c>
    </row>
    <row r="551">
      <c r="A551" s="26" t="n"/>
      <c r="B551" s="26" t="n"/>
      <c r="C551" s="34" t="n"/>
      <c r="D551" s="28" t="n"/>
      <c r="E551" s="26" t="n"/>
      <c r="F551" s="26" t="n"/>
      <c r="G551" s="26" t="n"/>
      <c r="H551" s="38" t="n"/>
      <c r="I551" s="28" t="n"/>
      <c r="J551" s="30">
        <f>IF(B551="","",IFERROR(INDEX('Share classes'!$A$4:$A$203,MATCH(B551,'Share classes'!$B$4:$B$203,0)),""))</f>
        <v/>
      </c>
      <c r="K551" s="30">
        <f>IF(A551="","",IFERROR(INDEX('Holders'!$B$4:$B$1003,MATCH(A551,'Holders'!$A$4:$A$1003,0)),""))</f>
        <v/>
      </c>
      <c r="L551" s="30">
        <f>IF(OR(A551="",B551="",D551=""),"",IF(D551=_xlfn.MAXIFS($D$4:$D$2503,$A$4:$A$2503,A551,$B$4:$B$2503,B551),"Yes","No"))</f>
        <v/>
      </c>
      <c r="M551" s="30">
        <f>IF(B551="","",IFERROR(INDEX('Share classes'!$F$4:$F$203,MATCH(B551,'Share classes'!$B$4:$B$203,0)),""))</f>
        <v/>
      </c>
      <c r="N551" s="30">
        <f>IF(A551="","",IF(K551="","Unknown holder ID",IF(J551="","Unknown class code",IF(OR(C551="",D551=""),"Missing shares or date",IF(OR(C551&lt;0,C551&lt;&gt;INT(C551)),"Shares must be a whole number",IF(COUNTIFS($A$4:$A$2503,A551,$B$4:$B$2503,B551,$D$4:$D$2503,D551)&gt;1,"Duplicate row (same date)","OK"))))))</f>
        <v/>
      </c>
    </row>
    <row r="552">
      <c r="A552" s="26" t="n"/>
      <c r="B552" s="26" t="n"/>
      <c r="C552" s="34" t="n"/>
      <c r="D552" s="28" t="n"/>
      <c r="E552" s="26" t="n"/>
      <c r="F552" s="26" t="n"/>
      <c r="G552" s="26" t="n"/>
      <c r="H552" s="38" t="n"/>
      <c r="I552" s="28" t="n"/>
      <c r="J552" s="30">
        <f>IF(B552="","",IFERROR(INDEX('Share classes'!$A$4:$A$203,MATCH(B552,'Share classes'!$B$4:$B$203,0)),""))</f>
        <v/>
      </c>
      <c r="K552" s="30">
        <f>IF(A552="","",IFERROR(INDEX('Holders'!$B$4:$B$1003,MATCH(A552,'Holders'!$A$4:$A$1003,0)),""))</f>
        <v/>
      </c>
      <c r="L552" s="30">
        <f>IF(OR(A552="",B552="",D552=""),"",IF(D552=_xlfn.MAXIFS($D$4:$D$2503,$A$4:$A$2503,A552,$B$4:$B$2503,B552),"Yes","No"))</f>
        <v/>
      </c>
      <c r="M552" s="30">
        <f>IF(B552="","",IFERROR(INDEX('Share classes'!$F$4:$F$203,MATCH(B552,'Share classes'!$B$4:$B$203,0)),""))</f>
        <v/>
      </c>
      <c r="N552" s="30">
        <f>IF(A552="","",IF(K552="","Unknown holder ID",IF(J552="","Unknown class code",IF(OR(C552="",D552=""),"Missing shares or date",IF(OR(C552&lt;0,C552&lt;&gt;INT(C552)),"Shares must be a whole number",IF(COUNTIFS($A$4:$A$2503,A552,$B$4:$B$2503,B552,$D$4:$D$2503,D552)&gt;1,"Duplicate row (same date)","OK"))))))</f>
        <v/>
      </c>
    </row>
    <row r="553">
      <c r="A553" s="26" t="n"/>
      <c r="B553" s="26" t="n"/>
      <c r="C553" s="34" t="n"/>
      <c r="D553" s="28" t="n"/>
      <c r="E553" s="26" t="n"/>
      <c r="F553" s="26" t="n"/>
      <c r="G553" s="26" t="n"/>
      <c r="H553" s="38" t="n"/>
      <c r="I553" s="28" t="n"/>
      <c r="J553" s="30">
        <f>IF(B553="","",IFERROR(INDEX('Share classes'!$A$4:$A$203,MATCH(B553,'Share classes'!$B$4:$B$203,0)),""))</f>
        <v/>
      </c>
      <c r="K553" s="30">
        <f>IF(A553="","",IFERROR(INDEX('Holders'!$B$4:$B$1003,MATCH(A553,'Holders'!$A$4:$A$1003,0)),""))</f>
        <v/>
      </c>
      <c r="L553" s="30">
        <f>IF(OR(A553="",B553="",D553=""),"",IF(D553=_xlfn.MAXIFS($D$4:$D$2503,$A$4:$A$2503,A553,$B$4:$B$2503,B553),"Yes","No"))</f>
        <v/>
      </c>
      <c r="M553" s="30">
        <f>IF(B553="","",IFERROR(INDEX('Share classes'!$F$4:$F$203,MATCH(B553,'Share classes'!$B$4:$B$203,0)),""))</f>
        <v/>
      </c>
      <c r="N553" s="30">
        <f>IF(A553="","",IF(K553="","Unknown holder ID",IF(J553="","Unknown class code",IF(OR(C553="",D553=""),"Missing shares or date",IF(OR(C553&lt;0,C553&lt;&gt;INT(C553)),"Shares must be a whole number",IF(COUNTIFS($A$4:$A$2503,A553,$B$4:$B$2503,B553,$D$4:$D$2503,D553)&gt;1,"Duplicate row (same date)","OK"))))))</f>
        <v/>
      </c>
    </row>
    <row r="554">
      <c r="A554" s="26" t="n"/>
      <c r="B554" s="26" t="n"/>
      <c r="C554" s="34" t="n"/>
      <c r="D554" s="28" t="n"/>
      <c r="E554" s="26" t="n"/>
      <c r="F554" s="26" t="n"/>
      <c r="G554" s="26" t="n"/>
      <c r="H554" s="38" t="n"/>
      <c r="I554" s="28" t="n"/>
      <c r="J554" s="30">
        <f>IF(B554="","",IFERROR(INDEX('Share classes'!$A$4:$A$203,MATCH(B554,'Share classes'!$B$4:$B$203,0)),""))</f>
        <v/>
      </c>
      <c r="K554" s="30">
        <f>IF(A554="","",IFERROR(INDEX('Holders'!$B$4:$B$1003,MATCH(A554,'Holders'!$A$4:$A$1003,0)),""))</f>
        <v/>
      </c>
      <c r="L554" s="30">
        <f>IF(OR(A554="",B554="",D554=""),"",IF(D554=_xlfn.MAXIFS($D$4:$D$2503,$A$4:$A$2503,A554,$B$4:$B$2503,B554),"Yes","No"))</f>
        <v/>
      </c>
      <c r="M554" s="30">
        <f>IF(B554="","",IFERROR(INDEX('Share classes'!$F$4:$F$203,MATCH(B554,'Share classes'!$B$4:$B$203,0)),""))</f>
        <v/>
      </c>
      <c r="N554" s="30">
        <f>IF(A554="","",IF(K554="","Unknown holder ID",IF(J554="","Unknown class code",IF(OR(C554="",D554=""),"Missing shares or date",IF(OR(C554&lt;0,C554&lt;&gt;INT(C554)),"Shares must be a whole number",IF(COUNTIFS($A$4:$A$2503,A554,$B$4:$B$2503,B554,$D$4:$D$2503,D554)&gt;1,"Duplicate row (same date)","OK"))))))</f>
        <v/>
      </c>
    </row>
    <row r="555">
      <c r="A555" s="26" t="n"/>
      <c r="B555" s="26" t="n"/>
      <c r="C555" s="34" t="n"/>
      <c r="D555" s="28" t="n"/>
      <c r="E555" s="26" t="n"/>
      <c r="F555" s="26" t="n"/>
      <c r="G555" s="26" t="n"/>
      <c r="H555" s="38" t="n"/>
      <c r="I555" s="28" t="n"/>
      <c r="J555" s="30">
        <f>IF(B555="","",IFERROR(INDEX('Share classes'!$A$4:$A$203,MATCH(B555,'Share classes'!$B$4:$B$203,0)),""))</f>
        <v/>
      </c>
      <c r="K555" s="30">
        <f>IF(A555="","",IFERROR(INDEX('Holders'!$B$4:$B$1003,MATCH(A555,'Holders'!$A$4:$A$1003,0)),""))</f>
        <v/>
      </c>
      <c r="L555" s="30">
        <f>IF(OR(A555="",B555="",D555=""),"",IF(D555=_xlfn.MAXIFS($D$4:$D$2503,$A$4:$A$2503,A555,$B$4:$B$2503,B555),"Yes","No"))</f>
        <v/>
      </c>
      <c r="M555" s="30">
        <f>IF(B555="","",IFERROR(INDEX('Share classes'!$F$4:$F$203,MATCH(B555,'Share classes'!$B$4:$B$203,0)),""))</f>
        <v/>
      </c>
      <c r="N555" s="30">
        <f>IF(A555="","",IF(K555="","Unknown holder ID",IF(J555="","Unknown class code",IF(OR(C555="",D555=""),"Missing shares or date",IF(OR(C555&lt;0,C555&lt;&gt;INT(C555)),"Shares must be a whole number",IF(COUNTIFS($A$4:$A$2503,A555,$B$4:$B$2503,B555,$D$4:$D$2503,D555)&gt;1,"Duplicate row (same date)","OK"))))))</f>
        <v/>
      </c>
    </row>
    <row r="556">
      <c r="A556" s="26" t="n"/>
      <c r="B556" s="26" t="n"/>
      <c r="C556" s="34" t="n"/>
      <c r="D556" s="28" t="n"/>
      <c r="E556" s="26" t="n"/>
      <c r="F556" s="26" t="n"/>
      <c r="G556" s="26" t="n"/>
      <c r="H556" s="38" t="n"/>
      <c r="I556" s="28" t="n"/>
      <c r="J556" s="30">
        <f>IF(B556="","",IFERROR(INDEX('Share classes'!$A$4:$A$203,MATCH(B556,'Share classes'!$B$4:$B$203,0)),""))</f>
        <v/>
      </c>
      <c r="K556" s="30">
        <f>IF(A556="","",IFERROR(INDEX('Holders'!$B$4:$B$1003,MATCH(A556,'Holders'!$A$4:$A$1003,0)),""))</f>
        <v/>
      </c>
      <c r="L556" s="30">
        <f>IF(OR(A556="",B556="",D556=""),"",IF(D556=_xlfn.MAXIFS($D$4:$D$2503,$A$4:$A$2503,A556,$B$4:$B$2503,B556),"Yes","No"))</f>
        <v/>
      </c>
      <c r="M556" s="30">
        <f>IF(B556="","",IFERROR(INDEX('Share classes'!$F$4:$F$203,MATCH(B556,'Share classes'!$B$4:$B$203,0)),""))</f>
        <v/>
      </c>
      <c r="N556" s="30">
        <f>IF(A556="","",IF(K556="","Unknown holder ID",IF(J556="","Unknown class code",IF(OR(C556="",D556=""),"Missing shares or date",IF(OR(C556&lt;0,C556&lt;&gt;INT(C556)),"Shares must be a whole number",IF(COUNTIFS($A$4:$A$2503,A556,$B$4:$B$2503,B556,$D$4:$D$2503,D556)&gt;1,"Duplicate row (same date)","OK"))))))</f>
        <v/>
      </c>
    </row>
    <row r="557">
      <c r="A557" s="26" t="n"/>
      <c r="B557" s="26" t="n"/>
      <c r="C557" s="34" t="n"/>
      <c r="D557" s="28" t="n"/>
      <c r="E557" s="26" t="n"/>
      <c r="F557" s="26" t="n"/>
      <c r="G557" s="26" t="n"/>
      <c r="H557" s="38" t="n"/>
      <c r="I557" s="28" t="n"/>
      <c r="J557" s="30">
        <f>IF(B557="","",IFERROR(INDEX('Share classes'!$A$4:$A$203,MATCH(B557,'Share classes'!$B$4:$B$203,0)),""))</f>
        <v/>
      </c>
      <c r="K557" s="30">
        <f>IF(A557="","",IFERROR(INDEX('Holders'!$B$4:$B$1003,MATCH(A557,'Holders'!$A$4:$A$1003,0)),""))</f>
        <v/>
      </c>
      <c r="L557" s="30">
        <f>IF(OR(A557="",B557="",D557=""),"",IF(D557=_xlfn.MAXIFS($D$4:$D$2503,$A$4:$A$2503,A557,$B$4:$B$2503,B557),"Yes","No"))</f>
        <v/>
      </c>
      <c r="M557" s="30">
        <f>IF(B557="","",IFERROR(INDEX('Share classes'!$F$4:$F$203,MATCH(B557,'Share classes'!$B$4:$B$203,0)),""))</f>
        <v/>
      </c>
      <c r="N557" s="30">
        <f>IF(A557="","",IF(K557="","Unknown holder ID",IF(J557="","Unknown class code",IF(OR(C557="",D557=""),"Missing shares or date",IF(OR(C557&lt;0,C557&lt;&gt;INT(C557)),"Shares must be a whole number",IF(COUNTIFS($A$4:$A$2503,A557,$B$4:$B$2503,B557,$D$4:$D$2503,D557)&gt;1,"Duplicate row (same date)","OK"))))))</f>
        <v/>
      </c>
    </row>
    <row r="558">
      <c r="A558" s="26" t="n"/>
      <c r="B558" s="26" t="n"/>
      <c r="C558" s="34" t="n"/>
      <c r="D558" s="28" t="n"/>
      <c r="E558" s="26" t="n"/>
      <c r="F558" s="26" t="n"/>
      <c r="G558" s="26" t="n"/>
      <c r="H558" s="38" t="n"/>
      <c r="I558" s="28" t="n"/>
      <c r="J558" s="30">
        <f>IF(B558="","",IFERROR(INDEX('Share classes'!$A$4:$A$203,MATCH(B558,'Share classes'!$B$4:$B$203,0)),""))</f>
        <v/>
      </c>
      <c r="K558" s="30">
        <f>IF(A558="","",IFERROR(INDEX('Holders'!$B$4:$B$1003,MATCH(A558,'Holders'!$A$4:$A$1003,0)),""))</f>
        <v/>
      </c>
      <c r="L558" s="30">
        <f>IF(OR(A558="",B558="",D558=""),"",IF(D558=_xlfn.MAXIFS($D$4:$D$2503,$A$4:$A$2503,A558,$B$4:$B$2503,B558),"Yes","No"))</f>
        <v/>
      </c>
      <c r="M558" s="30">
        <f>IF(B558="","",IFERROR(INDEX('Share classes'!$F$4:$F$203,MATCH(B558,'Share classes'!$B$4:$B$203,0)),""))</f>
        <v/>
      </c>
      <c r="N558" s="30">
        <f>IF(A558="","",IF(K558="","Unknown holder ID",IF(J558="","Unknown class code",IF(OR(C558="",D558=""),"Missing shares or date",IF(OR(C558&lt;0,C558&lt;&gt;INT(C558)),"Shares must be a whole number",IF(COUNTIFS($A$4:$A$2503,A558,$B$4:$B$2503,B558,$D$4:$D$2503,D558)&gt;1,"Duplicate row (same date)","OK"))))))</f>
        <v/>
      </c>
    </row>
    <row r="559">
      <c r="A559" s="26" t="n"/>
      <c r="B559" s="26" t="n"/>
      <c r="C559" s="34" t="n"/>
      <c r="D559" s="28" t="n"/>
      <c r="E559" s="26" t="n"/>
      <c r="F559" s="26" t="n"/>
      <c r="G559" s="26" t="n"/>
      <c r="H559" s="38" t="n"/>
      <c r="I559" s="28" t="n"/>
      <c r="J559" s="30">
        <f>IF(B559="","",IFERROR(INDEX('Share classes'!$A$4:$A$203,MATCH(B559,'Share classes'!$B$4:$B$203,0)),""))</f>
        <v/>
      </c>
      <c r="K559" s="30">
        <f>IF(A559="","",IFERROR(INDEX('Holders'!$B$4:$B$1003,MATCH(A559,'Holders'!$A$4:$A$1003,0)),""))</f>
        <v/>
      </c>
      <c r="L559" s="30">
        <f>IF(OR(A559="",B559="",D559=""),"",IF(D559=_xlfn.MAXIFS($D$4:$D$2503,$A$4:$A$2503,A559,$B$4:$B$2503,B559),"Yes","No"))</f>
        <v/>
      </c>
      <c r="M559" s="30">
        <f>IF(B559="","",IFERROR(INDEX('Share classes'!$F$4:$F$203,MATCH(B559,'Share classes'!$B$4:$B$203,0)),""))</f>
        <v/>
      </c>
      <c r="N559" s="30">
        <f>IF(A559="","",IF(K559="","Unknown holder ID",IF(J559="","Unknown class code",IF(OR(C559="",D559=""),"Missing shares or date",IF(OR(C559&lt;0,C559&lt;&gt;INT(C559)),"Shares must be a whole number",IF(COUNTIFS($A$4:$A$2503,A559,$B$4:$B$2503,B559,$D$4:$D$2503,D559)&gt;1,"Duplicate row (same date)","OK"))))))</f>
        <v/>
      </c>
    </row>
    <row r="560">
      <c r="A560" s="26" t="n"/>
      <c r="B560" s="26" t="n"/>
      <c r="C560" s="34" t="n"/>
      <c r="D560" s="28" t="n"/>
      <c r="E560" s="26" t="n"/>
      <c r="F560" s="26" t="n"/>
      <c r="G560" s="26" t="n"/>
      <c r="H560" s="38" t="n"/>
      <c r="I560" s="28" t="n"/>
      <c r="J560" s="30">
        <f>IF(B560="","",IFERROR(INDEX('Share classes'!$A$4:$A$203,MATCH(B560,'Share classes'!$B$4:$B$203,0)),""))</f>
        <v/>
      </c>
      <c r="K560" s="30">
        <f>IF(A560="","",IFERROR(INDEX('Holders'!$B$4:$B$1003,MATCH(A560,'Holders'!$A$4:$A$1003,0)),""))</f>
        <v/>
      </c>
      <c r="L560" s="30">
        <f>IF(OR(A560="",B560="",D560=""),"",IF(D560=_xlfn.MAXIFS($D$4:$D$2503,$A$4:$A$2503,A560,$B$4:$B$2503,B560),"Yes","No"))</f>
        <v/>
      </c>
      <c r="M560" s="30">
        <f>IF(B560="","",IFERROR(INDEX('Share classes'!$F$4:$F$203,MATCH(B560,'Share classes'!$B$4:$B$203,0)),""))</f>
        <v/>
      </c>
      <c r="N560" s="30">
        <f>IF(A560="","",IF(K560="","Unknown holder ID",IF(J560="","Unknown class code",IF(OR(C560="",D560=""),"Missing shares or date",IF(OR(C560&lt;0,C560&lt;&gt;INT(C560)),"Shares must be a whole number",IF(COUNTIFS($A$4:$A$2503,A560,$B$4:$B$2503,B560,$D$4:$D$2503,D560)&gt;1,"Duplicate row (same date)","OK"))))))</f>
        <v/>
      </c>
    </row>
    <row r="561">
      <c r="A561" s="26" t="n"/>
      <c r="B561" s="26" t="n"/>
      <c r="C561" s="34" t="n"/>
      <c r="D561" s="28" t="n"/>
      <c r="E561" s="26" t="n"/>
      <c r="F561" s="26" t="n"/>
      <c r="G561" s="26" t="n"/>
      <c r="H561" s="38" t="n"/>
      <c r="I561" s="28" t="n"/>
      <c r="J561" s="30">
        <f>IF(B561="","",IFERROR(INDEX('Share classes'!$A$4:$A$203,MATCH(B561,'Share classes'!$B$4:$B$203,0)),""))</f>
        <v/>
      </c>
      <c r="K561" s="30">
        <f>IF(A561="","",IFERROR(INDEX('Holders'!$B$4:$B$1003,MATCH(A561,'Holders'!$A$4:$A$1003,0)),""))</f>
        <v/>
      </c>
      <c r="L561" s="30">
        <f>IF(OR(A561="",B561="",D561=""),"",IF(D561=_xlfn.MAXIFS($D$4:$D$2503,$A$4:$A$2503,A561,$B$4:$B$2503,B561),"Yes","No"))</f>
        <v/>
      </c>
      <c r="M561" s="30">
        <f>IF(B561="","",IFERROR(INDEX('Share classes'!$F$4:$F$203,MATCH(B561,'Share classes'!$B$4:$B$203,0)),""))</f>
        <v/>
      </c>
      <c r="N561" s="30">
        <f>IF(A561="","",IF(K561="","Unknown holder ID",IF(J561="","Unknown class code",IF(OR(C561="",D561=""),"Missing shares or date",IF(OR(C561&lt;0,C561&lt;&gt;INT(C561)),"Shares must be a whole number",IF(COUNTIFS($A$4:$A$2503,A561,$B$4:$B$2503,B561,$D$4:$D$2503,D561)&gt;1,"Duplicate row (same date)","OK"))))))</f>
        <v/>
      </c>
    </row>
    <row r="562">
      <c r="A562" s="26" t="n"/>
      <c r="B562" s="26" t="n"/>
      <c r="C562" s="34" t="n"/>
      <c r="D562" s="28" t="n"/>
      <c r="E562" s="26" t="n"/>
      <c r="F562" s="26" t="n"/>
      <c r="G562" s="26" t="n"/>
      <c r="H562" s="38" t="n"/>
      <c r="I562" s="28" t="n"/>
      <c r="J562" s="30">
        <f>IF(B562="","",IFERROR(INDEX('Share classes'!$A$4:$A$203,MATCH(B562,'Share classes'!$B$4:$B$203,0)),""))</f>
        <v/>
      </c>
      <c r="K562" s="30">
        <f>IF(A562="","",IFERROR(INDEX('Holders'!$B$4:$B$1003,MATCH(A562,'Holders'!$A$4:$A$1003,0)),""))</f>
        <v/>
      </c>
      <c r="L562" s="30">
        <f>IF(OR(A562="",B562="",D562=""),"",IF(D562=_xlfn.MAXIFS($D$4:$D$2503,$A$4:$A$2503,A562,$B$4:$B$2503,B562),"Yes","No"))</f>
        <v/>
      </c>
      <c r="M562" s="30">
        <f>IF(B562="","",IFERROR(INDEX('Share classes'!$F$4:$F$203,MATCH(B562,'Share classes'!$B$4:$B$203,0)),""))</f>
        <v/>
      </c>
      <c r="N562" s="30">
        <f>IF(A562="","",IF(K562="","Unknown holder ID",IF(J562="","Unknown class code",IF(OR(C562="",D562=""),"Missing shares or date",IF(OR(C562&lt;0,C562&lt;&gt;INT(C562)),"Shares must be a whole number",IF(COUNTIFS($A$4:$A$2503,A562,$B$4:$B$2503,B562,$D$4:$D$2503,D562)&gt;1,"Duplicate row (same date)","OK"))))))</f>
        <v/>
      </c>
    </row>
    <row r="563">
      <c r="A563" s="26" t="n"/>
      <c r="B563" s="26" t="n"/>
      <c r="C563" s="34" t="n"/>
      <c r="D563" s="28" t="n"/>
      <c r="E563" s="26" t="n"/>
      <c r="F563" s="26" t="n"/>
      <c r="G563" s="26" t="n"/>
      <c r="H563" s="38" t="n"/>
      <c r="I563" s="28" t="n"/>
      <c r="J563" s="30">
        <f>IF(B563="","",IFERROR(INDEX('Share classes'!$A$4:$A$203,MATCH(B563,'Share classes'!$B$4:$B$203,0)),""))</f>
        <v/>
      </c>
      <c r="K563" s="30">
        <f>IF(A563="","",IFERROR(INDEX('Holders'!$B$4:$B$1003,MATCH(A563,'Holders'!$A$4:$A$1003,0)),""))</f>
        <v/>
      </c>
      <c r="L563" s="30">
        <f>IF(OR(A563="",B563="",D563=""),"",IF(D563=_xlfn.MAXIFS($D$4:$D$2503,$A$4:$A$2503,A563,$B$4:$B$2503,B563),"Yes","No"))</f>
        <v/>
      </c>
      <c r="M563" s="30">
        <f>IF(B563="","",IFERROR(INDEX('Share classes'!$F$4:$F$203,MATCH(B563,'Share classes'!$B$4:$B$203,0)),""))</f>
        <v/>
      </c>
      <c r="N563" s="30">
        <f>IF(A563="","",IF(K563="","Unknown holder ID",IF(J563="","Unknown class code",IF(OR(C563="",D563=""),"Missing shares or date",IF(OR(C563&lt;0,C563&lt;&gt;INT(C563)),"Shares must be a whole number",IF(COUNTIFS($A$4:$A$2503,A563,$B$4:$B$2503,B563,$D$4:$D$2503,D563)&gt;1,"Duplicate row (same date)","OK"))))))</f>
        <v/>
      </c>
    </row>
    <row r="564">
      <c r="A564" s="26" t="n"/>
      <c r="B564" s="26" t="n"/>
      <c r="C564" s="34" t="n"/>
      <c r="D564" s="28" t="n"/>
      <c r="E564" s="26" t="n"/>
      <c r="F564" s="26" t="n"/>
      <c r="G564" s="26" t="n"/>
      <c r="H564" s="38" t="n"/>
      <c r="I564" s="28" t="n"/>
      <c r="J564" s="30">
        <f>IF(B564="","",IFERROR(INDEX('Share classes'!$A$4:$A$203,MATCH(B564,'Share classes'!$B$4:$B$203,0)),""))</f>
        <v/>
      </c>
      <c r="K564" s="30">
        <f>IF(A564="","",IFERROR(INDEX('Holders'!$B$4:$B$1003,MATCH(A564,'Holders'!$A$4:$A$1003,0)),""))</f>
        <v/>
      </c>
      <c r="L564" s="30">
        <f>IF(OR(A564="",B564="",D564=""),"",IF(D564=_xlfn.MAXIFS($D$4:$D$2503,$A$4:$A$2503,A564,$B$4:$B$2503,B564),"Yes","No"))</f>
        <v/>
      </c>
      <c r="M564" s="30">
        <f>IF(B564="","",IFERROR(INDEX('Share classes'!$F$4:$F$203,MATCH(B564,'Share classes'!$B$4:$B$203,0)),""))</f>
        <v/>
      </c>
      <c r="N564" s="30">
        <f>IF(A564="","",IF(K564="","Unknown holder ID",IF(J564="","Unknown class code",IF(OR(C564="",D564=""),"Missing shares or date",IF(OR(C564&lt;0,C564&lt;&gt;INT(C564)),"Shares must be a whole number",IF(COUNTIFS($A$4:$A$2503,A564,$B$4:$B$2503,B564,$D$4:$D$2503,D564)&gt;1,"Duplicate row (same date)","OK"))))))</f>
        <v/>
      </c>
    </row>
    <row r="565">
      <c r="A565" s="26" t="n"/>
      <c r="B565" s="26" t="n"/>
      <c r="C565" s="34" t="n"/>
      <c r="D565" s="28" t="n"/>
      <c r="E565" s="26" t="n"/>
      <c r="F565" s="26" t="n"/>
      <c r="G565" s="26" t="n"/>
      <c r="H565" s="38" t="n"/>
      <c r="I565" s="28" t="n"/>
      <c r="J565" s="30">
        <f>IF(B565="","",IFERROR(INDEX('Share classes'!$A$4:$A$203,MATCH(B565,'Share classes'!$B$4:$B$203,0)),""))</f>
        <v/>
      </c>
      <c r="K565" s="30">
        <f>IF(A565="","",IFERROR(INDEX('Holders'!$B$4:$B$1003,MATCH(A565,'Holders'!$A$4:$A$1003,0)),""))</f>
        <v/>
      </c>
      <c r="L565" s="30">
        <f>IF(OR(A565="",B565="",D565=""),"",IF(D565=_xlfn.MAXIFS($D$4:$D$2503,$A$4:$A$2503,A565,$B$4:$B$2503,B565),"Yes","No"))</f>
        <v/>
      </c>
      <c r="M565" s="30">
        <f>IF(B565="","",IFERROR(INDEX('Share classes'!$F$4:$F$203,MATCH(B565,'Share classes'!$B$4:$B$203,0)),""))</f>
        <v/>
      </c>
      <c r="N565" s="30">
        <f>IF(A565="","",IF(K565="","Unknown holder ID",IF(J565="","Unknown class code",IF(OR(C565="",D565=""),"Missing shares or date",IF(OR(C565&lt;0,C565&lt;&gt;INT(C565)),"Shares must be a whole number",IF(COUNTIFS($A$4:$A$2503,A565,$B$4:$B$2503,B565,$D$4:$D$2503,D565)&gt;1,"Duplicate row (same date)","OK"))))))</f>
        <v/>
      </c>
    </row>
    <row r="566">
      <c r="A566" s="26" t="n"/>
      <c r="B566" s="26" t="n"/>
      <c r="C566" s="34" t="n"/>
      <c r="D566" s="28" t="n"/>
      <c r="E566" s="26" t="n"/>
      <c r="F566" s="26" t="n"/>
      <c r="G566" s="26" t="n"/>
      <c r="H566" s="38" t="n"/>
      <c r="I566" s="28" t="n"/>
      <c r="J566" s="30">
        <f>IF(B566="","",IFERROR(INDEX('Share classes'!$A$4:$A$203,MATCH(B566,'Share classes'!$B$4:$B$203,0)),""))</f>
        <v/>
      </c>
      <c r="K566" s="30">
        <f>IF(A566="","",IFERROR(INDEX('Holders'!$B$4:$B$1003,MATCH(A566,'Holders'!$A$4:$A$1003,0)),""))</f>
        <v/>
      </c>
      <c r="L566" s="30">
        <f>IF(OR(A566="",B566="",D566=""),"",IF(D566=_xlfn.MAXIFS($D$4:$D$2503,$A$4:$A$2503,A566,$B$4:$B$2503,B566),"Yes","No"))</f>
        <v/>
      </c>
      <c r="M566" s="30">
        <f>IF(B566="","",IFERROR(INDEX('Share classes'!$F$4:$F$203,MATCH(B566,'Share classes'!$B$4:$B$203,0)),""))</f>
        <v/>
      </c>
      <c r="N566" s="30">
        <f>IF(A566="","",IF(K566="","Unknown holder ID",IF(J566="","Unknown class code",IF(OR(C566="",D566=""),"Missing shares or date",IF(OR(C566&lt;0,C566&lt;&gt;INT(C566)),"Shares must be a whole number",IF(COUNTIFS($A$4:$A$2503,A566,$B$4:$B$2503,B566,$D$4:$D$2503,D566)&gt;1,"Duplicate row (same date)","OK"))))))</f>
        <v/>
      </c>
    </row>
    <row r="567">
      <c r="A567" s="26" t="n"/>
      <c r="B567" s="26" t="n"/>
      <c r="C567" s="34" t="n"/>
      <c r="D567" s="28" t="n"/>
      <c r="E567" s="26" t="n"/>
      <c r="F567" s="26" t="n"/>
      <c r="G567" s="26" t="n"/>
      <c r="H567" s="38" t="n"/>
      <c r="I567" s="28" t="n"/>
      <c r="J567" s="30">
        <f>IF(B567="","",IFERROR(INDEX('Share classes'!$A$4:$A$203,MATCH(B567,'Share classes'!$B$4:$B$203,0)),""))</f>
        <v/>
      </c>
      <c r="K567" s="30">
        <f>IF(A567="","",IFERROR(INDEX('Holders'!$B$4:$B$1003,MATCH(A567,'Holders'!$A$4:$A$1003,0)),""))</f>
        <v/>
      </c>
      <c r="L567" s="30">
        <f>IF(OR(A567="",B567="",D567=""),"",IF(D567=_xlfn.MAXIFS($D$4:$D$2503,$A$4:$A$2503,A567,$B$4:$B$2503,B567),"Yes","No"))</f>
        <v/>
      </c>
      <c r="M567" s="30">
        <f>IF(B567="","",IFERROR(INDEX('Share classes'!$F$4:$F$203,MATCH(B567,'Share classes'!$B$4:$B$203,0)),""))</f>
        <v/>
      </c>
      <c r="N567" s="30">
        <f>IF(A567="","",IF(K567="","Unknown holder ID",IF(J567="","Unknown class code",IF(OR(C567="",D567=""),"Missing shares or date",IF(OR(C567&lt;0,C567&lt;&gt;INT(C567)),"Shares must be a whole number",IF(COUNTIFS($A$4:$A$2503,A567,$B$4:$B$2503,B567,$D$4:$D$2503,D567)&gt;1,"Duplicate row (same date)","OK"))))))</f>
        <v/>
      </c>
    </row>
    <row r="568">
      <c r="A568" s="26" t="n"/>
      <c r="B568" s="26" t="n"/>
      <c r="C568" s="34" t="n"/>
      <c r="D568" s="28" t="n"/>
      <c r="E568" s="26" t="n"/>
      <c r="F568" s="26" t="n"/>
      <c r="G568" s="26" t="n"/>
      <c r="H568" s="38" t="n"/>
      <c r="I568" s="28" t="n"/>
      <c r="J568" s="30">
        <f>IF(B568="","",IFERROR(INDEX('Share classes'!$A$4:$A$203,MATCH(B568,'Share classes'!$B$4:$B$203,0)),""))</f>
        <v/>
      </c>
      <c r="K568" s="30">
        <f>IF(A568="","",IFERROR(INDEX('Holders'!$B$4:$B$1003,MATCH(A568,'Holders'!$A$4:$A$1003,0)),""))</f>
        <v/>
      </c>
      <c r="L568" s="30">
        <f>IF(OR(A568="",B568="",D568=""),"",IF(D568=_xlfn.MAXIFS($D$4:$D$2503,$A$4:$A$2503,A568,$B$4:$B$2503,B568),"Yes","No"))</f>
        <v/>
      </c>
      <c r="M568" s="30">
        <f>IF(B568="","",IFERROR(INDEX('Share classes'!$F$4:$F$203,MATCH(B568,'Share classes'!$B$4:$B$203,0)),""))</f>
        <v/>
      </c>
      <c r="N568" s="30">
        <f>IF(A568="","",IF(K568="","Unknown holder ID",IF(J568="","Unknown class code",IF(OR(C568="",D568=""),"Missing shares or date",IF(OR(C568&lt;0,C568&lt;&gt;INT(C568)),"Shares must be a whole number",IF(COUNTIFS($A$4:$A$2503,A568,$B$4:$B$2503,B568,$D$4:$D$2503,D568)&gt;1,"Duplicate row (same date)","OK"))))))</f>
        <v/>
      </c>
    </row>
    <row r="569">
      <c r="A569" s="26" t="n"/>
      <c r="B569" s="26" t="n"/>
      <c r="C569" s="34" t="n"/>
      <c r="D569" s="28" t="n"/>
      <c r="E569" s="26" t="n"/>
      <c r="F569" s="26" t="n"/>
      <c r="G569" s="26" t="n"/>
      <c r="H569" s="38" t="n"/>
      <c r="I569" s="28" t="n"/>
      <c r="J569" s="30">
        <f>IF(B569="","",IFERROR(INDEX('Share classes'!$A$4:$A$203,MATCH(B569,'Share classes'!$B$4:$B$203,0)),""))</f>
        <v/>
      </c>
      <c r="K569" s="30">
        <f>IF(A569="","",IFERROR(INDEX('Holders'!$B$4:$B$1003,MATCH(A569,'Holders'!$A$4:$A$1003,0)),""))</f>
        <v/>
      </c>
      <c r="L569" s="30">
        <f>IF(OR(A569="",B569="",D569=""),"",IF(D569=_xlfn.MAXIFS($D$4:$D$2503,$A$4:$A$2503,A569,$B$4:$B$2503,B569),"Yes","No"))</f>
        <v/>
      </c>
      <c r="M569" s="30">
        <f>IF(B569="","",IFERROR(INDEX('Share classes'!$F$4:$F$203,MATCH(B569,'Share classes'!$B$4:$B$203,0)),""))</f>
        <v/>
      </c>
      <c r="N569" s="30">
        <f>IF(A569="","",IF(K569="","Unknown holder ID",IF(J569="","Unknown class code",IF(OR(C569="",D569=""),"Missing shares or date",IF(OR(C569&lt;0,C569&lt;&gt;INT(C569)),"Shares must be a whole number",IF(COUNTIFS($A$4:$A$2503,A569,$B$4:$B$2503,B569,$D$4:$D$2503,D569)&gt;1,"Duplicate row (same date)","OK"))))))</f>
        <v/>
      </c>
    </row>
    <row r="570">
      <c r="A570" s="26" t="n"/>
      <c r="B570" s="26" t="n"/>
      <c r="C570" s="34" t="n"/>
      <c r="D570" s="28" t="n"/>
      <c r="E570" s="26" t="n"/>
      <c r="F570" s="26" t="n"/>
      <c r="G570" s="26" t="n"/>
      <c r="H570" s="38" t="n"/>
      <c r="I570" s="28" t="n"/>
      <c r="J570" s="30">
        <f>IF(B570="","",IFERROR(INDEX('Share classes'!$A$4:$A$203,MATCH(B570,'Share classes'!$B$4:$B$203,0)),""))</f>
        <v/>
      </c>
      <c r="K570" s="30">
        <f>IF(A570="","",IFERROR(INDEX('Holders'!$B$4:$B$1003,MATCH(A570,'Holders'!$A$4:$A$1003,0)),""))</f>
        <v/>
      </c>
      <c r="L570" s="30">
        <f>IF(OR(A570="",B570="",D570=""),"",IF(D570=_xlfn.MAXIFS($D$4:$D$2503,$A$4:$A$2503,A570,$B$4:$B$2503,B570),"Yes","No"))</f>
        <v/>
      </c>
      <c r="M570" s="30">
        <f>IF(B570="","",IFERROR(INDEX('Share classes'!$F$4:$F$203,MATCH(B570,'Share classes'!$B$4:$B$203,0)),""))</f>
        <v/>
      </c>
      <c r="N570" s="30">
        <f>IF(A570="","",IF(K570="","Unknown holder ID",IF(J570="","Unknown class code",IF(OR(C570="",D570=""),"Missing shares or date",IF(OR(C570&lt;0,C570&lt;&gt;INT(C570)),"Shares must be a whole number",IF(COUNTIFS($A$4:$A$2503,A570,$B$4:$B$2503,B570,$D$4:$D$2503,D570)&gt;1,"Duplicate row (same date)","OK"))))))</f>
        <v/>
      </c>
    </row>
    <row r="571">
      <c r="A571" s="26" t="n"/>
      <c r="B571" s="26" t="n"/>
      <c r="C571" s="34" t="n"/>
      <c r="D571" s="28" t="n"/>
      <c r="E571" s="26" t="n"/>
      <c r="F571" s="26" t="n"/>
      <c r="G571" s="26" t="n"/>
      <c r="H571" s="38" t="n"/>
      <c r="I571" s="28" t="n"/>
      <c r="J571" s="30">
        <f>IF(B571="","",IFERROR(INDEX('Share classes'!$A$4:$A$203,MATCH(B571,'Share classes'!$B$4:$B$203,0)),""))</f>
        <v/>
      </c>
      <c r="K571" s="30">
        <f>IF(A571="","",IFERROR(INDEX('Holders'!$B$4:$B$1003,MATCH(A571,'Holders'!$A$4:$A$1003,0)),""))</f>
        <v/>
      </c>
      <c r="L571" s="30">
        <f>IF(OR(A571="",B571="",D571=""),"",IF(D571=_xlfn.MAXIFS($D$4:$D$2503,$A$4:$A$2503,A571,$B$4:$B$2503,B571),"Yes","No"))</f>
        <v/>
      </c>
      <c r="M571" s="30">
        <f>IF(B571="","",IFERROR(INDEX('Share classes'!$F$4:$F$203,MATCH(B571,'Share classes'!$B$4:$B$203,0)),""))</f>
        <v/>
      </c>
      <c r="N571" s="30">
        <f>IF(A571="","",IF(K571="","Unknown holder ID",IF(J571="","Unknown class code",IF(OR(C571="",D571=""),"Missing shares or date",IF(OR(C571&lt;0,C571&lt;&gt;INT(C571)),"Shares must be a whole number",IF(COUNTIFS($A$4:$A$2503,A571,$B$4:$B$2503,B571,$D$4:$D$2503,D571)&gt;1,"Duplicate row (same date)","OK"))))))</f>
        <v/>
      </c>
    </row>
    <row r="572">
      <c r="A572" s="26" t="n"/>
      <c r="B572" s="26" t="n"/>
      <c r="C572" s="34" t="n"/>
      <c r="D572" s="28" t="n"/>
      <c r="E572" s="26" t="n"/>
      <c r="F572" s="26" t="n"/>
      <c r="G572" s="26" t="n"/>
      <c r="H572" s="38" t="n"/>
      <c r="I572" s="28" t="n"/>
      <c r="J572" s="30">
        <f>IF(B572="","",IFERROR(INDEX('Share classes'!$A$4:$A$203,MATCH(B572,'Share classes'!$B$4:$B$203,0)),""))</f>
        <v/>
      </c>
      <c r="K572" s="30">
        <f>IF(A572="","",IFERROR(INDEX('Holders'!$B$4:$B$1003,MATCH(A572,'Holders'!$A$4:$A$1003,0)),""))</f>
        <v/>
      </c>
      <c r="L572" s="30">
        <f>IF(OR(A572="",B572="",D572=""),"",IF(D572=_xlfn.MAXIFS($D$4:$D$2503,$A$4:$A$2503,A572,$B$4:$B$2503,B572),"Yes","No"))</f>
        <v/>
      </c>
      <c r="M572" s="30">
        <f>IF(B572="","",IFERROR(INDEX('Share classes'!$F$4:$F$203,MATCH(B572,'Share classes'!$B$4:$B$203,0)),""))</f>
        <v/>
      </c>
      <c r="N572" s="30">
        <f>IF(A572="","",IF(K572="","Unknown holder ID",IF(J572="","Unknown class code",IF(OR(C572="",D572=""),"Missing shares or date",IF(OR(C572&lt;0,C572&lt;&gt;INT(C572)),"Shares must be a whole number",IF(COUNTIFS($A$4:$A$2503,A572,$B$4:$B$2503,B572,$D$4:$D$2503,D572)&gt;1,"Duplicate row (same date)","OK"))))))</f>
        <v/>
      </c>
    </row>
    <row r="573">
      <c r="A573" s="26" t="n"/>
      <c r="B573" s="26" t="n"/>
      <c r="C573" s="34" t="n"/>
      <c r="D573" s="28" t="n"/>
      <c r="E573" s="26" t="n"/>
      <c r="F573" s="26" t="n"/>
      <c r="G573" s="26" t="n"/>
      <c r="H573" s="38" t="n"/>
      <c r="I573" s="28" t="n"/>
      <c r="J573" s="30">
        <f>IF(B573="","",IFERROR(INDEX('Share classes'!$A$4:$A$203,MATCH(B573,'Share classes'!$B$4:$B$203,0)),""))</f>
        <v/>
      </c>
      <c r="K573" s="30">
        <f>IF(A573="","",IFERROR(INDEX('Holders'!$B$4:$B$1003,MATCH(A573,'Holders'!$A$4:$A$1003,0)),""))</f>
        <v/>
      </c>
      <c r="L573" s="30">
        <f>IF(OR(A573="",B573="",D573=""),"",IF(D573=_xlfn.MAXIFS($D$4:$D$2503,$A$4:$A$2503,A573,$B$4:$B$2503,B573),"Yes","No"))</f>
        <v/>
      </c>
      <c r="M573" s="30">
        <f>IF(B573="","",IFERROR(INDEX('Share classes'!$F$4:$F$203,MATCH(B573,'Share classes'!$B$4:$B$203,0)),""))</f>
        <v/>
      </c>
      <c r="N573" s="30">
        <f>IF(A573="","",IF(K573="","Unknown holder ID",IF(J573="","Unknown class code",IF(OR(C573="",D573=""),"Missing shares or date",IF(OR(C573&lt;0,C573&lt;&gt;INT(C573)),"Shares must be a whole number",IF(COUNTIFS($A$4:$A$2503,A573,$B$4:$B$2503,B573,$D$4:$D$2503,D573)&gt;1,"Duplicate row (same date)","OK"))))))</f>
        <v/>
      </c>
    </row>
    <row r="574">
      <c r="A574" s="26" t="n"/>
      <c r="B574" s="26" t="n"/>
      <c r="C574" s="34" t="n"/>
      <c r="D574" s="28" t="n"/>
      <c r="E574" s="26" t="n"/>
      <c r="F574" s="26" t="n"/>
      <c r="G574" s="26" t="n"/>
      <c r="H574" s="38" t="n"/>
      <c r="I574" s="28" t="n"/>
      <c r="J574" s="30">
        <f>IF(B574="","",IFERROR(INDEX('Share classes'!$A$4:$A$203,MATCH(B574,'Share classes'!$B$4:$B$203,0)),""))</f>
        <v/>
      </c>
      <c r="K574" s="30">
        <f>IF(A574="","",IFERROR(INDEX('Holders'!$B$4:$B$1003,MATCH(A574,'Holders'!$A$4:$A$1003,0)),""))</f>
        <v/>
      </c>
      <c r="L574" s="30">
        <f>IF(OR(A574="",B574="",D574=""),"",IF(D574=_xlfn.MAXIFS($D$4:$D$2503,$A$4:$A$2503,A574,$B$4:$B$2503,B574),"Yes","No"))</f>
        <v/>
      </c>
      <c r="M574" s="30">
        <f>IF(B574="","",IFERROR(INDEX('Share classes'!$F$4:$F$203,MATCH(B574,'Share classes'!$B$4:$B$203,0)),""))</f>
        <v/>
      </c>
      <c r="N574" s="30">
        <f>IF(A574="","",IF(K574="","Unknown holder ID",IF(J574="","Unknown class code",IF(OR(C574="",D574=""),"Missing shares or date",IF(OR(C574&lt;0,C574&lt;&gt;INT(C574)),"Shares must be a whole number",IF(COUNTIFS($A$4:$A$2503,A574,$B$4:$B$2503,B574,$D$4:$D$2503,D574)&gt;1,"Duplicate row (same date)","OK"))))))</f>
        <v/>
      </c>
    </row>
    <row r="575">
      <c r="A575" s="26" t="n"/>
      <c r="B575" s="26" t="n"/>
      <c r="C575" s="34" t="n"/>
      <c r="D575" s="28" t="n"/>
      <c r="E575" s="26" t="n"/>
      <c r="F575" s="26" t="n"/>
      <c r="G575" s="26" t="n"/>
      <c r="H575" s="38" t="n"/>
      <c r="I575" s="28" t="n"/>
      <c r="J575" s="30">
        <f>IF(B575="","",IFERROR(INDEX('Share classes'!$A$4:$A$203,MATCH(B575,'Share classes'!$B$4:$B$203,0)),""))</f>
        <v/>
      </c>
      <c r="K575" s="30">
        <f>IF(A575="","",IFERROR(INDEX('Holders'!$B$4:$B$1003,MATCH(A575,'Holders'!$A$4:$A$1003,0)),""))</f>
        <v/>
      </c>
      <c r="L575" s="30">
        <f>IF(OR(A575="",B575="",D575=""),"",IF(D575=_xlfn.MAXIFS($D$4:$D$2503,$A$4:$A$2503,A575,$B$4:$B$2503,B575),"Yes","No"))</f>
        <v/>
      </c>
      <c r="M575" s="30">
        <f>IF(B575="","",IFERROR(INDEX('Share classes'!$F$4:$F$203,MATCH(B575,'Share classes'!$B$4:$B$203,0)),""))</f>
        <v/>
      </c>
      <c r="N575" s="30">
        <f>IF(A575="","",IF(K575="","Unknown holder ID",IF(J575="","Unknown class code",IF(OR(C575="",D575=""),"Missing shares or date",IF(OR(C575&lt;0,C575&lt;&gt;INT(C575)),"Shares must be a whole number",IF(COUNTIFS($A$4:$A$2503,A575,$B$4:$B$2503,B575,$D$4:$D$2503,D575)&gt;1,"Duplicate row (same date)","OK"))))))</f>
        <v/>
      </c>
    </row>
    <row r="576">
      <c r="A576" s="26" t="n"/>
      <c r="B576" s="26" t="n"/>
      <c r="C576" s="34" t="n"/>
      <c r="D576" s="28" t="n"/>
      <c r="E576" s="26" t="n"/>
      <c r="F576" s="26" t="n"/>
      <c r="G576" s="26" t="n"/>
      <c r="H576" s="38" t="n"/>
      <c r="I576" s="28" t="n"/>
      <c r="J576" s="30">
        <f>IF(B576="","",IFERROR(INDEX('Share classes'!$A$4:$A$203,MATCH(B576,'Share classes'!$B$4:$B$203,0)),""))</f>
        <v/>
      </c>
      <c r="K576" s="30">
        <f>IF(A576="","",IFERROR(INDEX('Holders'!$B$4:$B$1003,MATCH(A576,'Holders'!$A$4:$A$1003,0)),""))</f>
        <v/>
      </c>
      <c r="L576" s="30">
        <f>IF(OR(A576="",B576="",D576=""),"",IF(D576=_xlfn.MAXIFS($D$4:$D$2503,$A$4:$A$2503,A576,$B$4:$B$2503,B576),"Yes","No"))</f>
        <v/>
      </c>
      <c r="M576" s="30">
        <f>IF(B576="","",IFERROR(INDEX('Share classes'!$F$4:$F$203,MATCH(B576,'Share classes'!$B$4:$B$203,0)),""))</f>
        <v/>
      </c>
      <c r="N576" s="30">
        <f>IF(A576="","",IF(K576="","Unknown holder ID",IF(J576="","Unknown class code",IF(OR(C576="",D576=""),"Missing shares or date",IF(OR(C576&lt;0,C576&lt;&gt;INT(C576)),"Shares must be a whole number",IF(COUNTIFS($A$4:$A$2503,A576,$B$4:$B$2503,B576,$D$4:$D$2503,D576)&gt;1,"Duplicate row (same date)","OK"))))))</f>
        <v/>
      </c>
    </row>
    <row r="577">
      <c r="A577" s="26" t="n"/>
      <c r="B577" s="26" t="n"/>
      <c r="C577" s="34" t="n"/>
      <c r="D577" s="28" t="n"/>
      <c r="E577" s="26" t="n"/>
      <c r="F577" s="26" t="n"/>
      <c r="G577" s="26" t="n"/>
      <c r="H577" s="38" t="n"/>
      <c r="I577" s="28" t="n"/>
      <c r="J577" s="30">
        <f>IF(B577="","",IFERROR(INDEX('Share classes'!$A$4:$A$203,MATCH(B577,'Share classes'!$B$4:$B$203,0)),""))</f>
        <v/>
      </c>
      <c r="K577" s="30">
        <f>IF(A577="","",IFERROR(INDEX('Holders'!$B$4:$B$1003,MATCH(A577,'Holders'!$A$4:$A$1003,0)),""))</f>
        <v/>
      </c>
      <c r="L577" s="30">
        <f>IF(OR(A577="",B577="",D577=""),"",IF(D577=_xlfn.MAXIFS($D$4:$D$2503,$A$4:$A$2503,A577,$B$4:$B$2503,B577),"Yes","No"))</f>
        <v/>
      </c>
      <c r="M577" s="30">
        <f>IF(B577="","",IFERROR(INDEX('Share classes'!$F$4:$F$203,MATCH(B577,'Share classes'!$B$4:$B$203,0)),""))</f>
        <v/>
      </c>
      <c r="N577" s="30">
        <f>IF(A577="","",IF(K577="","Unknown holder ID",IF(J577="","Unknown class code",IF(OR(C577="",D577=""),"Missing shares or date",IF(OR(C577&lt;0,C577&lt;&gt;INT(C577)),"Shares must be a whole number",IF(COUNTIFS($A$4:$A$2503,A577,$B$4:$B$2503,B577,$D$4:$D$2503,D577)&gt;1,"Duplicate row (same date)","OK"))))))</f>
        <v/>
      </c>
    </row>
    <row r="578">
      <c r="A578" s="26" t="n"/>
      <c r="B578" s="26" t="n"/>
      <c r="C578" s="34" t="n"/>
      <c r="D578" s="28" t="n"/>
      <c r="E578" s="26" t="n"/>
      <c r="F578" s="26" t="n"/>
      <c r="G578" s="26" t="n"/>
      <c r="H578" s="38" t="n"/>
      <c r="I578" s="28" t="n"/>
      <c r="J578" s="30">
        <f>IF(B578="","",IFERROR(INDEX('Share classes'!$A$4:$A$203,MATCH(B578,'Share classes'!$B$4:$B$203,0)),""))</f>
        <v/>
      </c>
      <c r="K578" s="30">
        <f>IF(A578="","",IFERROR(INDEX('Holders'!$B$4:$B$1003,MATCH(A578,'Holders'!$A$4:$A$1003,0)),""))</f>
        <v/>
      </c>
      <c r="L578" s="30">
        <f>IF(OR(A578="",B578="",D578=""),"",IF(D578=_xlfn.MAXIFS($D$4:$D$2503,$A$4:$A$2503,A578,$B$4:$B$2503,B578),"Yes","No"))</f>
        <v/>
      </c>
      <c r="M578" s="30">
        <f>IF(B578="","",IFERROR(INDEX('Share classes'!$F$4:$F$203,MATCH(B578,'Share classes'!$B$4:$B$203,0)),""))</f>
        <v/>
      </c>
      <c r="N578" s="30">
        <f>IF(A578="","",IF(K578="","Unknown holder ID",IF(J578="","Unknown class code",IF(OR(C578="",D578=""),"Missing shares or date",IF(OR(C578&lt;0,C578&lt;&gt;INT(C578)),"Shares must be a whole number",IF(COUNTIFS($A$4:$A$2503,A578,$B$4:$B$2503,B578,$D$4:$D$2503,D578)&gt;1,"Duplicate row (same date)","OK"))))))</f>
        <v/>
      </c>
    </row>
    <row r="579">
      <c r="A579" s="26" t="n"/>
      <c r="B579" s="26" t="n"/>
      <c r="C579" s="34" t="n"/>
      <c r="D579" s="28" t="n"/>
      <c r="E579" s="26" t="n"/>
      <c r="F579" s="26" t="n"/>
      <c r="G579" s="26" t="n"/>
      <c r="H579" s="38" t="n"/>
      <c r="I579" s="28" t="n"/>
      <c r="J579" s="30">
        <f>IF(B579="","",IFERROR(INDEX('Share classes'!$A$4:$A$203,MATCH(B579,'Share classes'!$B$4:$B$203,0)),""))</f>
        <v/>
      </c>
      <c r="K579" s="30">
        <f>IF(A579="","",IFERROR(INDEX('Holders'!$B$4:$B$1003,MATCH(A579,'Holders'!$A$4:$A$1003,0)),""))</f>
        <v/>
      </c>
      <c r="L579" s="30">
        <f>IF(OR(A579="",B579="",D579=""),"",IF(D579=_xlfn.MAXIFS($D$4:$D$2503,$A$4:$A$2503,A579,$B$4:$B$2503,B579),"Yes","No"))</f>
        <v/>
      </c>
      <c r="M579" s="30">
        <f>IF(B579="","",IFERROR(INDEX('Share classes'!$F$4:$F$203,MATCH(B579,'Share classes'!$B$4:$B$203,0)),""))</f>
        <v/>
      </c>
      <c r="N579" s="30">
        <f>IF(A579="","",IF(K579="","Unknown holder ID",IF(J579="","Unknown class code",IF(OR(C579="",D579=""),"Missing shares or date",IF(OR(C579&lt;0,C579&lt;&gt;INT(C579)),"Shares must be a whole number",IF(COUNTIFS($A$4:$A$2503,A579,$B$4:$B$2503,B579,$D$4:$D$2503,D579)&gt;1,"Duplicate row (same date)","OK"))))))</f>
        <v/>
      </c>
    </row>
    <row r="580">
      <c r="A580" s="26" t="n"/>
      <c r="B580" s="26" t="n"/>
      <c r="C580" s="34" t="n"/>
      <c r="D580" s="28" t="n"/>
      <c r="E580" s="26" t="n"/>
      <c r="F580" s="26" t="n"/>
      <c r="G580" s="26" t="n"/>
      <c r="H580" s="38" t="n"/>
      <c r="I580" s="28" t="n"/>
      <c r="J580" s="30">
        <f>IF(B580="","",IFERROR(INDEX('Share classes'!$A$4:$A$203,MATCH(B580,'Share classes'!$B$4:$B$203,0)),""))</f>
        <v/>
      </c>
      <c r="K580" s="30">
        <f>IF(A580="","",IFERROR(INDEX('Holders'!$B$4:$B$1003,MATCH(A580,'Holders'!$A$4:$A$1003,0)),""))</f>
        <v/>
      </c>
      <c r="L580" s="30">
        <f>IF(OR(A580="",B580="",D580=""),"",IF(D580=_xlfn.MAXIFS($D$4:$D$2503,$A$4:$A$2503,A580,$B$4:$B$2503,B580),"Yes","No"))</f>
        <v/>
      </c>
      <c r="M580" s="30">
        <f>IF(B580="","",IFERROR(INDEX('Share classes'!$F$4:$F$203,MATCH(B580,'Share classes'!$B$4:$B$203,0)),""))</f>
        <v/>
      </c>
      <c r="N580" s="30">
        <f>IF(A580="","",IF(K580="","Unknown holder ID",IF(J580="","Unknown class code",IF(OR(C580="",D580=""),"Missing shares or date",IF(OR(C580&lt;0,C580&lt;&gt;INT(C580)),"Shares must be a whole number",IF(COUNTIFS($A$4:$A$2503,A580,$B$4:$B$2503,B580,$D$4:$D$2503,D580)&gt;1,"Duplicate row (same date)","OK"))))))</f>
        <v/>
      </c>
    </row>
    <row r="581">
      <c r="A581" s="26" t="n"/>
      <c r="B581" s="26" t="n"/>
      <c r="C581" s="34" t="n"/>
      <c r="D581" s="28" t="n"/>
      <c r="E581" s="26" t="n"/>
      <c r="F581" s="26" t="n"/>
      <c r="G581" s="26" t="n"/>
      <c r="H581" s="38" t="n"/>
      <c r="I581" s="28" t="n"/>
      <c r="J581" s="30">
        <f>IF(B581="","",IFERROR(INDEX('Share classes'!$A$4:$A$203,MATCH(B581,'Share classes'!$B$4:$B$203,0)),""))</f>
        <v/>
      </c>
      <c r="K581" s="30">
        <f>IF(A581="","",IFERROR(INDEX('Holders'!$B$4:$B$1003,MATCH(A581,'Holders'!$A$4:$A$1003,0)),""))</f>
        <v/>
      </c>
      <c r="L581" s="30">
        <f>IF(OR(A581="",B581="",D581=""),"",IF(D581=_xlfn.MAXIFS($D$4:$D$2503,$A$4:$A$2503,A581,$B$4:$B$2503,B581),"Yes","No"))</f>
        <v/>
      </c>
      <c r="M581" s="30">
        <f>IF(B581="","",IFERROR(INDEX('Share classes'!$F$4:$F$203,MATCH(B581,'Share classes'!$B$4:$B$203,0)),""))</f>
        <v/>
      </c>
      <c r="N581" s="30">
        <f>IF(A581="","",IF(K581="","Unknown holder ID",IF(J581="","Unknown class code",IF(OR(C581="",D581=""),"Missing shares or date",IF(OR(C581&lt;0,C581&lt;&gt;INT(C581)),"Shares must be a whole number",IF(COUNTIFS($A$4:$A$2503,A581,$B$4:$B$2503,B581,$D$4:$D$2503,D581)&gt;1,"Duplicate row (same date)","OK"))))))</f>
        <v/>
      </c>
    </row>
    <row r="582">
      <c r="A582" s="26" t="n"/>
      <c r="B582" s="26" t="n"/>
      <c r="C582" s="34" t="n"/>
      <c r="D582" s="28" t="n"/>
      <c r="E582" s="26" t="n"/>
      <c r="F582" s="26" t="n"/>
      <c r="G582" s="26" t="n"/>
      <c r="H582" s="38" t="n"/>
      <c r="I582" s="28" t="n"/>
      <c r="J582" s="30">
        <f>IF(B582="","",IFERROR(INDEX('Share classes'!$A$4:$A$203,MATCH(B582,'Share classes'!$B$4:$B$203,0)),""))</f>
        <v/>
      </c>
      <c r="K582" s="30">
        <f>IF(A582="","",IFERROR(INDEX('Holders'!$B$4:$B$1003,MATCH(A582,'Holders'!$A$4:$A$1003,0)),""))</f>
        <v/>
      </c>
      <c r="L582" s="30">
        <f>IF(OR(A582="",B582="",D582=""),"",IF(D582=_xlfn.MAXIFS($D$4:$D$2503,$A$4:$A$2503,A582,$B$4:$B$2503,B582),"Yes","No"))</f>
        <v/>
      </c>
      <c r="M582" s="30">
        <f>IF(B582="","",IFERROR(INDEX('Share classes'!$F$4:$F$203,MATCH(B582,'Share classes'!$B$4:$B$203,0)),""))</f>
        <v/>
      </c>
      <c r="N582" s="30">
        <f>IF(A582="","",IF(K582="","Unknown holder ID",IF(J582="","Unknown class code",IF(OR(C582="",D582=""),"Missing shares or date",IF(OR(C582&lt;0,C582&lt;&gt;INT(C582)),"Shares must be a whole number",IF(COUNTIFS($A$4:$A$2503,A582,$B$4:$B$2503,B582,$D$4:$D$2503,D582)&gt;1,"Duplicate row (same date)","OK"))))))</f>
        <v/>
      </c>
    </row>
    <row r="583">
      <c r="A583" s="26" t="n"/>
      <c r="B583" s="26" t="n"/>
      <c r="C583" s="34" t="n"/>
      <c r="D583" s="28" t="n"/>
      <c r="E583" s="26" t="n"/>
      <c r="F583" s="26" t="n"/>
      <c r="G583" s="26" t="n"/>
      <c r="H583" s="38" t="n"/>
      <c r="I583" s="28" t="n"/>
      <c r="J583" s="30">
        <f>IF(B583="","",IFERROR(INDEX('Share classes'!$A$4:$A$203,MATCH(B583,'Share classes'!$B$4:$B$203,0)),""))</f>
        <v/>
      </c>
      <c r="K583" s="30">
        <f>IF(A583="","",IFERROR(INDEX('Holders'!$B$4:$B$1003,MATCH(A583,'Holders'!$A$4:$A$1003,0)),""))</f>
        <v/>
      </c>
      <c r="L583" s="30">
        <f>IF(OR(A583="",B583="",D583=""),"",IF(D583=_xlfn.MAXIFS($D$4:$D$2503,$A$4:$A$2503,A583,$B$4:$B$2503,B583),"Yes","No"))</f>
        <v/>
      </c>
      <c r="M583" s="30">
        <f>IF(B583="","",IFERROR(INDEX('Share classes'!$F$4:$F$203,MATCH(B583,'Share classes'!$B$4:$B$203,0)),""))</f>
        <v/>
      </c>
      <c r="N583" s="30">
        <f>IF(A583="","",IF(K583="","Unknown holder ID",IF(J583="","Unknown class code",IF(OR(C583="",D583=""),"Missing shares or date",IF(OR(C583&lt;0,C583&lt;&gt;INT(C583)),"Shares must be a whole number",IF(COUNTIFS($A$4:$A$2503,A583,$B$4:$B$2503,B583,$D$4:$D$2503,D583)&gt;1,"Duplicate row (same date)","OK"))))))</f>
        <v/>
      </c>
    </row>
    <row r="584">
      <c r="A584" s="26" t="n"/>
      <c r="B584" s="26" t="n"/>
      <c r="C584" s="34" t="n"/>
      <c r="D584" s="28" t="n"/>
      <c r="E584" s="26" t="n"/>
      <c r="F584" s="26" t="n"/>
      <c r="G584" s="26" t="n"/>
      <c r="H584" s="38" t="n"/>
      <c r="I584" s="28" t="n"/>
      <c r="J584" s="30">
        <f>IF(B584="","",IFERROR(INDEX('Share classes'!$A$4:$A$203,MATCH(B584,'Share classes'!$B$4:$B$203,0)),""))</f>
        <v/>
      </c>
      <c r="K584" s="30">
        <f>IF(A584="","",IFERROR(INDEX('Holders'!$B$4:$B$1003,MATCH(A584,'Holders'!$A$4:$A$1003,0)),""))</f>
        <v/>
      </c>
      <c r="L584" s="30">
        <f>IF(OR(A584="",B584="",D584=""),"",IF(D584=_xlfn.MAXIFS($D$4:$D$2503,$A$4:$A$2503,A584,$B$4:$B$2503,B584),"Yes","No"))</f>
        <v/>
      </c>
      <c r="M584" s="30">
        <f>IF(B584="","",IFERROR(INDEX('Share classes'!$F$4:$F$203,MATCH(B584,'Share classes'!$B$4:$B$203,0)),""))</f>
        <v/>
      </c>
      <c r="N584" s="30">
        <f>IF(A584="","",IF(K584="","Unknown holder ID",IF(J584="","Unknown class code",IF(OR(C584="",D584=""),"Missing shares or date",IF(OR(C584&lt;0,C584&lt;&gt;INT(C584)),"Shares must be a whole number",IF(COUNTIFS($A$4:$A$2503,A584,$B$4:$B$2503,B584,$D$4:$D$2503,D584)&gt;1,"Duplicate row (same date)","OK"))))))</f>
        <v/>
      </c>
    </row>
    <row r="585">
      <c r="A585" s="26" t="n"/>
      <c r="B585" s="26" t="n"/>
      <c r="C585" s="34" t="n"/>
      <c r="D585" s="28" t="n"/>
      <c r="E585" s="26" t="n"/>
      <c r="F585" s="26" t="n"/>
      <c r="G585" s="26" t="n"/>
      <c r="H585" s="38" t="n"/>
      <c r="I585" s="28" t="n"/>
      <c r="J585" s="30">
        <f>IF(B585="","",IFERROR(INDEX('Share classes'!$A$4:$A$203,MATCH(B585,'Share classes'!$B$4:$B$203,0)),""))</f>
        <v/>
      </c>
      <c r="K585" s="30">
        <f>IF(A585="","",IFERROR(INDEX('Holders'!$B$4:$B$1003,MATCH(A585,'Holders'!$A$4:$A$1003,0)),""))</f>
        <v/>
      </c>
      <c r="L585" s="30">
        <f>IF(OR(A585="",B585="",D585=""),"",IF(D585=_xlfn.MAXIFS($D$4:$D$2503,$A$4:$A$2503,A585,$B$4:$B$2503,B585),"Yes","No"))</f>
        <v/>
      </c>
      <c r="M585" s="30">
        <f>IF(B585="","",IFERROR(INDEX('Share classes'!$F$4:$F$203,MATCH(B585,'Share classes'!$B$4:$B$203,0)),""))</f>
        <v/>
      </c>
      <c r="N585" s="30">
        <f>IF(A585="","",IF(K585="","Unknown holder ID",IF(J585="","Unknown class code",IF(OR(C585="",D585=""),"Missing shares or date",IF(OR(C585&lt;0,C585&lt;&gt;INT(C585)),"Shares must be a whole number",IF(COUNTIFS($A$4:$A$2503,A585,$B$4:$B$2503,B585,$D$4:$D$2503,D585)&gt;1,"Duplicate row (same date)","OK"))))))</f>
        <v/>
      </c>
    </row>
    <row r="586">
      <c r="A586" s="26" t="n"/>
      <c r="B586" s="26" t="n"/>
      <c r="C586" s="34" t="n"/>
      <c r="D586" s="28" t="n"/>
      <c r="E586" s="26" t="n"/>
      <c r="F586" s="26" t="n"/>
      <c r="G586" s="26" t="n"/>
      <c r="H586" s="38" t="n"/>
      <c r="I586" s="28" t="n"/>
      <c r="J586" s="30">
        <f>IF(B586="","",IFERROR(INDEX('Share classes'!$A$4:$A$203,MATCH(B586,'Share classes'!$B$4:$B$203,0)),""))</f>
        <v/>
      </c>
      <c r="K586" s="30">
        <f>IF(A586="","",IFERROR(INDEX('Holders'!$B$4:$B$1003,MATCH(A586,'Holders'!$A$4:$A$1003,0)),""))</f>
        <v/>
      </c>
      <c r="L586" s="30">
        <f>IF(OR(A586="",B586="",D586=""),"",IF(D586=_xlfn.MAXIFS($D$4:$D$2503,$A$4:$A$2503,A586,$B$4:$B$2503,B586),"Yes","No"))</f>
        <v/>
      </c>
      <c r="M586" s="30">
        <f>IF(B586="","",IFERROR(INDEX('Share classes'!$F$4:$F$203,MATCH(B586,'Share classes'!$B$4:$B$203,0)),""))</f>
        <v/>
      </c>
      <c r="N586" s="30">
        <f>IF(A586="","",IF(K586="","Unknown holder ID",IF(J586="","Unknown class code",IF(OR(C586="",D586=""),"Missing shares or date",IF(OR(C586&lt;0,C586&lt;&gt;INT(C586)),"Shares must be a whole number",IF(COUNTIFS($A$4:$A$2503,A586,$B$4:$B$2503,B586,$D$4:$D$2503,D586)&gt;1,"Duplicate row (same date)","OK"))))))</f>
        <v/>
      </c>
    </row>
    <row r="587">
      <c r="A587" s="26" t="n"/>
      <c r="B587" s="26" t="n"/>
      <c r="C587" s="34" t="n"/>
      <c r="D587" s="28" t="n"/>
      <c r="E587" s="26" t="n"/>
      <c r="F587" s="26" t="n"/>
      <c r="G587" s="26" t="n"/>
      <c r="H587" s="38" t="n"/>
      <c r="I587" s="28" t="n"/>
      <c r="J587" s="30">
        <f>IF(B587="","",IFERROR(INDEX('Share classes'!$A$4:$A$203,MATCH(B587,'Share classes'!$B$4:$B$203,0)),""))</f>
        <v/>
      </c>
      <c r="K587" s="30">
        <f>IF(A587="","",IFERROR(INDEX('Holders'!$B$4:$B$1003,MATCH(A587,'Holders'!$A$4:$A$1003,0)),""))</f>
        <v/>
      </c>
      <c r="L587" s="30">
        <f>IF(OR(A587="",B587="",D587=""),"",IF(D587=_xlfn.MAXIFS($D$4:$D$2503,$A$4:$A$2503,A587,$B$4:$B$2503,B587),"Yes","No"))</f>
        <v/>
      </c>
      <c r="M587" s="30">
        <f>IF(B587="","",IFERROR(INDEX('Share classes'!$F$4:$F$203,MATCH(B587,'Share classes'!$B$4:$B$203,0)),""))</f>
        <v/>
      </c>
      <c r="N587" s="30">
        <f>IF(A587="","",IF(K587="","Unknown holder ID",IF(J587="","Unknown class code",IF(OR(C587="",D587=""),"Missing shares or date",IF(OR(C587&lt;0,C587&lt;&gt;INT(C587)),"Shares must be a whole number",IF(COUNTIFS($A$4:$A$2503,A587,$B$4:$B$2503,B587,$D$4:$D$2503,D587)&gt;1,"Duplicate row (same date)","OK"))))))</f>
        <v/>
      </c>
    </row>
    <row r="588">
      <c r="A588" s="26" t="n"/>
      <c r="B588" s="26" t="n"/>
      <c r="C588" s="34" t="n"/>
      <c r="D588" s="28" t="n"/>
      <c r="E588" s="26" t="n"/>
      <c r="F588" s="26" t="n"/>
      <c r="G588" s="26" t="n"/>
      <c r="H588" s="38" t="n"/>
      <c r="I588" s="28" t="n"/>
      <c r="J588" s="30">
        <f>IF(B588="","",IFERROR(INDEX('Share classes'!$A$4:$A$203,MATCH(B588,'Share classes'!$B$4:$B$203,0)),""))</f>
        <v/>
      </c>
      <c r="K588" s="30">
        <f>IF(A588="","",IFERROR(INDEX('Holders'!$B$4:$B$1003,MATCH(A588,'Holders'!$A$4:$A$1003,0)),""))</f>
        <v/>
      </c>
      <c r="L588" s="30">
        <f>IF(OR(A588="",B588="",D588=""),"",IF(D588=_xlfn.MAXIFS($D$4:$D$2503,$A$4:$A$2503,A588,$B$4:$B$2503,B588),"Yes","No"))</f>
        <v/>
      </c>
      <c r="M588" s="30">
        <f>IF(B588="","",IFERROR(INDEX('Share classes'!$F$4:$F$203,MATCH(B588,'Share classes'!$B$4:$B$203,0)),""))</f>
        <v/>
      </c>
      <c r="N588" s="30">
        <f>IF(A588="","",IF(K588="","Unknown holder ID",IF(J588="","Unknown class code",IF(OR(C588="",D588=""),"Missing shares or date",IF(OR(C588&lt;0,C588&lt;&gt;INT(C588)),"Shares must be a whole number",IF(COUNTIFS($A$4:$A$2503,A588,$B$4:$B$2503,B588,$D$4:$D$2503,D588)&gt;1,"Duplicate row (same date)","OK"))))))</f>
        <v/>
      </c>
    </row>
    <row r="589">
      <c r="A589" s="26" t="n"/>
      <c r="B589" s="26" t="n"/>
      <c r="C589" s="34" t="n"/>
      <c r="D589" s="28" t="n"/>
      <c r="E589" s="26" t="n"/>
      <c r="F589" s="26" t="n"/>
      <c r="G589" s="26" t="n"/>
      <c r="H589" s="38" t="n"/>
      <c r="I589" s="28" t="n"/>
      <c r="J589" s="30">
        <f>IF(B589="","",IFERROR(INDEX('Share classes'!$A$4:$A$203,MATCH(B589,'Share classes'!$B$4:$B$203,0)),""))</f>
        <v/>
      </c>
      <c r="K589" s="30">
        <f>IF(A589="","",IFERROR(INDEX('Holders'!$B$4:$B$1003,MATCH(A589,'Holders'!$A$4:$A$1003,0)),""))</f>
        <v/>
      </c>
      <c r="L589" s="30">
        <f>IF(OR(A589="",B589="",D589=""),"",IF(D589=_xlfn.MAXIFS($D$4:$D$2503,$A$4:$A$2503,A589,$B$4:$B$2503,B589),"Yes","No"))</f>
        <v/>
      </c>
      <c r="M589" s="30">
        <f>IF(B589="","",IFERROR(INDEX('Share classes'!$F$4:$F$203,MATCH(B589,'Share classes'!$B$4:$B$203,0)),""))</f>
        <v/>
      </c>
      <c r="N589" s="30">
        <f>IF(A589="","",IF(K589="","Unknown holder ID",IF(J589="","Unknown class code",IF(OR(C589="",D589=""),"Missing shares or date",IF(OR(C589&lt;0,C589&lt;&gt;INT(C589)),"Shares must be a whole number",IF(COUNTIFS($A$4:$A$2503,A589,$B$4:$B$2503,B589,$D$4:$D$2503,D589)&gt;1,"Duplicate row (same date)","OK"))))))</f>
        <v/>
      </c>
    </row>
    <row r="590">
      <c r="A590" s="26" t="n"/>
      <c r="B590" s="26" t="n"/>
      <c r="C590" s="34" t="n"/>
      <c r="D590" s="28" t="n"/>
      <c r="E590" s="26" t="n"/>
      <c r="F590" s="26" t="n"/>
      <c r="G590" s="26" t="n"/>
      <c r="H590" s="38" t="n"/>
      <c r="I590" s="28" t="n"/>
      <c r="J590" s="30">
        <f>IF(B590="","",IFERROR(INDEX('Share classes'!$A$4:$A$203,MATCH(B590,'Share classes'!$B$4:$B$203,0)),""))</f>
        <v/>
      </c>
      <c r="K590" s="30">
        <f>IF(A590="","",IFERROR(INDEX('Holders'!$B$4:$B$1003,MATCH(A590,'Holders'!$A$4:$A$1003,0)),""))</f>
        <v/>
      </c>
      <c r="L590" s="30">
        <f>IF(OR(A590="",B590="",D590=""),"",IF(D590=_xlfn.MAXIFS($D$4:$D$2503,$A$4:$A$2503,A590,$B$4:$B$2503,B590),"Yes","No"))</f>
        <v/>
      </c>
      <c r="M590" s="30">
        <f>IF(B590="","",IFERROR(INDEX('Share classes'!$F$4:$F$203,MATCH(B590,'Share classes'!$B$4:$B$203,0)),""))</f>
        <v/>
      </c>
      <c r="N590" s="30">
        <f>IF(A590="","",IF(K590="","Unknown holder ID",IF(J590="","Unknown class code",IF(OR(C590="",D590=""),"Missing shares or date",IF(OR(C590&lt;0,C590&lt;&gt;INT(C590)),"Shares must be a whole number",IF(COUNTIFS($A$4:$A$2503,A590,$B$4:$B$2503,B590,$D$4:$D$2503,D590)&gt;1,"Duplicate row (same date)","OK"))))))</f>
        <v/>
      </c>
    </row>
    <row r="591">
      <c r="A591" s="26" t="n"/>
      <c r="B591" s="26" t="n"/>
      <c r="C591" s="34" t="n"/>
      <c r="D591" s="28" t="n"/>
      <c r="E591" s="26" t="n"/>
      <c r="F591" s="26" t="n"/>
      <c r="G591" s="26" t="n"/>
      <c r="H591" s="38" t="n"/>
      <c r="I591" s="28" t="n"/>
      <c r="J591" s="30">
        <f>IF(B591="","",IFERROR(INDEX('Share classes'!$A$4:$A$203,MATCH(B591,'Share classes'!$B$4:$B$203,0)),""))</f>
        <v/>
      </c>
      <c r="K591" s="30">
        <f>IF(A591="","",IFERROR(INDEX('Holders'!$B$4:$B$1003,MATCH(A591,'Holders'!$A$4:$A$1003,0)),""))</f>
        <v/>
      </c>
      <c r="L591" s="30">
        <f>IF(OR(A591="",B591="",D591=""),"",IF(D591=_xlfn.MAXIFS($D$4:$D$2503,$A$4:$A$2503,A591,$B$4:$B$2503,B591),"Yes","No"))</f>
        <v/>
      </c>
      <c r="M591" s="30">
        <f>IF(B591="","",IFERROR(INDEX('Share classes'!$F$4:$F$203,MATCH(B591,'Share classes'!$B$4:$B$203,0)),""))</f>
        <v/>
      </c>
      <c r="N591" s="30">
        <f>IF(A591="","",IF(K591="","Unknown holder ID",IF(J591="","Unknown class code",IF(OR(C591="",D591=""),"Missing shares or date",IF(OR(C591&lt;0,C591&lt;&gt;INT(C591)),"Shares must be a whole number",IF(COUNTIFS($A$4:$A$2503,A591,$B$4:$B$2503,B591,$D$4:$D$2503,D591)&gt;1,"Duplicate row (same date)","OK"))))))</f>
        <v/>
      </c>
    </row>
    <row r="592">
      <c r="A592" s="26" t="n"/>
      <c r="B592" s="26" t="n"/>
      <c r="C592" s="34" t="n"/>
      <c r="D592" s="28" t="n"/>
      <c r="E592" s="26" t="n"/>
      <c r="F592" s="26" t="n"/>
      <c r="G592" s="26" t="n"/>
      <c r="H592" s="38" t="n"/>
      <c r="I592" s="28" t="n"/>
      <c r="J592" s="30">
        <f>IF(B592="","",IFERROR(INDEX('Share classes'!$A$4:$A$203,MATCH(B592,'Share classes'!$B$4:$B$203,0)),""))</f>
        <v/>
      </c>
      <c r="K592" s="30">
        <f>IF(A592="","",IFERROR(INDEX('Holders'!$B$4:$B$1003,MATCH(A592,'Holders'!$A$4:$A$1003,0)),""))</f>
        <v/>
      </c>
      <c r="L592" s="30">
        <f>IF(OR(A592="",B592="",D592=""),"",IF(D592=_xlfn.MAXIFS($D$4:$D$2503,$A$4:$A$2503,A592,$B$4:$B$2503,B592),"Yes","No"))</f>
        <v/>
      </c>
      <c r="M592" s="30">
        <f>IF(B592="","",IFERROR(INDEX('Share classes'!$F$4:$F$203,MATCH(B592,'Share classes'!$B$4:$B$203,0)),""))</f>
        <v/>
      </c>
      <c r="N592" s="30">
        <f>IF(A592="","",IF(K592="","Unknown holder ID",IF(J592="","Unknown class code",IF(OR(C592="",D592=""),"Missing shares or date",IF(OR(C592&lt;0,C592&lt;&gt;INT(C592)),"Shares must be a whole number",IF(COUNTIFS($A$4:$A$2503,A592,$B$4:$B$2503,B592,$D$4:$D$2503,D592)&gt;1,"Duplicate row (same date)","OK"))))))</f>
        <v/>
      </c>
    </row>
    <row r="593">
      <c r="A593" s="26" t="n"/>
      <c r="B593" s="26" t="n"/>
      <c r="C593" s="34" t="n"/>
      <c r="D593" s="28" t="n"/>
      <c r="E593" s="26" t="n"/>
      <c r="F593" s="26" t="n"/>
      <c r="G593" s="26" t="n"/>
      <c r="H593" s="38" t="n"/>
      <c r="I593" s="28" t="n"/>
      <c r="J593" s="30">
        <f>IF(B593="","",IFERROR(INDEX('Share classes'!$A$4:$A$203,MATCH(B593,'Share classes'!$B$4:$B$203,0)),""))</f>
        <v/>
      </c>
      <c r="K593" s="30">
        <f>IF(A593="","",IFERROR(INDEX('Holders'!$B$4:$B$1003,MATCH(A593,'Holders'!$A$4:$A$1003,0)),""))</f>
        <v/>
      </c>
      <c r="L593" s="30">
        <f>IF(OR(A593="",B593="",D593=""),"",IF(D593=_xlfn.MAXIFS($D$4:$D$2503,$A$4:$A$2503,A593,$B$4:$B$2503,B593),"Yes","No"))</f>
        <v/>
      </c>
      <c r="M593" s="30">
        <f>IF(B593="","",IFERROR(INDEX('Share classes'!$F$4:$F$203,MATCH(B593,'Share classes'!$B$4:$B$203,0)),""))</f>
        <v/>
      </c>
      <c r="N593" s="30">
        <f>IF(A593="","",IF(K593="","Unknown holder ID",IF(J593="","Unknown class code",IF(OR(C593="",D593=""),"Missing shares or date",IF(OR(C593&lt;0,C593&lt;&gt;INT(C593)),"Shares must be a whole number",IF(COUNTIFS($A$4:$A$2503,A593,$B$4:$B$2503,B593,$D$4:$D$2503,D593)&gt;1,"Duplicate row (same date)","OK"))))))</f>
        <v/>
      </c>
    </row>
    <row r="594">
      <c r="A594" s="26" t="n"/>
      <c r="B594" s="26" t="n"/>
      <c r="C594" s="34" t="n"/>
      <c r="D594" s="28" t="n"/>
      <c r="E594" s="26" t="n"/>
      <c r="F594" s="26" t="n"/>
      <c r="G594" s="26" t="n"/>
      <c r="H594" s="38" t="n"/>
      <c r="I594" s="28" t="n"/>
      <c r="J594" s="30">
        <f>IF(B594="","",IFERROR(INDEX('Share classes'!$A$4:$A$203,MATCH(B594,'Share classes'!$B$4:$B$203,0)),""))</f>
        <v/>
      </c>
      <c r="K594" s="30">
        <f>IF(A594="","",IFERROR(INDEX('Holders'!$B$4:$B$1003,MATCH(A594,'Holders'!$A$4:$A$1003,0)),""))</f>
        <v/>
      </c>
      <c r="L594" s="30">
        <f>IF(OR(A594="",B594="",D594=""),"",IF(D594=_xlfn.MAXIFS($D$4:$D$2503,$A$4:$A$2503,A594,$B$4:$B$2503,B594),"Yes","No"))</f>
        <v/>
      </c>
      <c r="M594" s="30">
        <f>IF(B594="","",IFERROR(INDEX('Share classes'!$F$4:$F$203,MATCH(B594,'Share classes'!$B$4:$B$203,0)),""))</f>
        <v/>
      </c>
      <c r="N594" s="30">
        <f>IF(A594="","",IF(K594="","Unknown holder ID",IF(J594="","Unknown class code",IF(OR(C594="",D594=""),"Missing shares or date",IF(OR(C594&lt;0,C594&lt;&gt;INT(C594)),"Shares must be a whole number",IF(COUNTIFS($A$4:$A$2503,A594,$B$4:$B$2503,B594,$D$4:$D$2503,D594)&gt;1,"Duplicate row (same date)","OK"))))))</f>
        <v/>
      </c>
    </row>
    <row r="595">
      <c r="A595" s="26" t="n"/>
      <c r="B595" s="26" t="n"/>
      <c r="C595" s="34" t="n"/>
      <c r="D595" s="28" t="n"/>
      <c r="E595" s="26" t="n"/>
      <c r="F595" s="26" t="n"/>
      <c r="G595" s="26" t="n"/>
      <c r="H595" s="38" t="n"/>
      <c r="I595" s="28" t="n"/>
      <c r="J595" s="30">
        <f>IF(B595="","",IFERROR(INDEX('Share classes'!$A$4:$A$203,MATCH(B595,'Share classes'!$B$4:$B$203,0)),""))</f>
        <v/>
      </c>
      <c r="K595" s="30">
        <f>IF(A595="","",IFERROR(INDEX('Holders'!$B$4:$B$1003,MATCH(A595,'Holders'!$A$4:$A$1003,0)),""))</f>
        <v/>
      </c>
      <c r="L595" s="30">
        <f>IF(OR(A595="",B595="",D595=""),"",IF(D595=_xlfn.MAXIFS($D$4:$D$2503,$A$4:$A$2503,A595,$B$4:$B$2503,B595),"Yes","No"))</f>
        <v/>
      </c>
      <c r="M595" s="30">
        <f>IF(B595="","",IFERROR(INDEX('Share classes'!$F$4:$F$203,MATCH(B595,'Share classes'!$B$4:$B$203,0)),""))</f>
        <v/>
      </c>
      <c r="N595" s="30">
        <f>IF(A595="","",IF(K595="","Unknown holder ID",IF(J595="","Unknown class code",IF(OR(C595="",D595=""),"Missing shares or date",IF(OR(C595&lt;0,C595&lt;&gt;INT(C595)),"Shares must be a whole number",IF(COUNTIFS($A$4:$A$2503,A595,$B$4:$B$2503,B595,$D$4:$D$2503,D595)&gt;1,"Duplicate row (same date)","OK"))))))</f>
        <v/>
      </c>
    </row>
    <row r="596">
      <c r="A596" s="26" t="n"/>
      <c r="B596" s="26" t="n"/>
      <c r="C596" s="34" t="n"/>
      <c r="D596" s="28" t="n"/>
      <c r="E596" s="26" t="n"/>
      <c r="F596" s="26" t="n"/>
      <c r="G596" s="26" t="n"/>
      <c r="H596" s="38" t="n"/>
      <c r="I596" s="28" t="n"/>
      <c r="J596" s="30">
        <f>IF(B596="","",IFERROR(INDEX('Share classes'!$A$4:$A$203,MATCH(B596,'Share classes'!$B$4:$B$203,0)),""))</f>
        <v/>
      </c>
      <c r="K596" s="30">
        <f>IF(A596="","",IFERROR(INDEX('Holders'!$B$4:$B$1003,MATCH(A596,'Holders'!$A$4:$A$1003,0)),""))</f>
        <v/>
      </c>
      <c r="L596" s="30">
        <f>IF(OR(A596="",B596="",D596=""),"",IF(D596=_xlfn.MAXIFS($D$4:$D$2503,$A$4:$A$2503,A596,$B$4:$B$2503,B596),"Yes","No"))</f>
        <v/>
      </c>
      <c r="M596" s="30">
        <f>IF(B596="","",IFERROR(INDEX('Share classes'!$F$4:$F$203,MATCH(B596,'Share classes'!$B$4:$B$203,0)),""))</f>
        <v/>
      </c>
      <c r="N596" s="30">
        <f>IF(A596="","",IF(K596="","Unknown holder ID",IF(J596="","Unknown class code",IF(OR(C596="",D596=""),"Missing shares or date",IF(OR(C596&lt;0,C596&lt;&gt;INT(C596)),"Shares must be a whole number",IF(COUNTIFS($A$4:$A$2503,A596,$B$4:$B$2503,B596,$D$4:$D$2503,D596)&gt;1,"Duplicate row (same date)","OK"))))))</f>
        <v/>
      </c>
    </row>
    <row r="597">
      <c r="A597" s="26" t="n"/>
      <c r="B597" s="26" t="n"/>
      <c r="C597" s="34" t="n"/>
      <c r="D597" s="28" t="n"/>
      <c r="E597" s="26" t="n"/>
      <c r="F597" s="26" t="n"/>
      <c r="G597" s="26" t="n"/>
      <c r="H597" s="38" t="n"/>
      <c r="I597" s="28" t="n"/>
      <c r="J597" s="30">
        <f>IF(B597="","",IFERROR(INDEX('Share classes'!$A$4:$A$203,MATCH(B597,'Share classes'!$B$4:$B$203,0)),""))</f>
        <v/>
      </c>
      <c r="K597" s="30">
        <f>IF(A597="","",IFERROR(INDEX('Holders'!$B$4:$B$1003,MATCH(A597,'Holders'!$A$4:$A$1003,0)),""))</f>
        <v/>
      </c>
      <c r="L597" s="30">
        <f>IF(OR(A597="",B597="",D597=""),"",IF(D597=_xlfn.MAXIFS($D$4:$D$2503,$A$4:$A$2503,A597,$B$4:$B$2503,B597),"Yes","No"))</f>
        <v/>
      </c>
      <c r="M597" s="30">
        <f>IF(B597="","",IFERROR(INDEX('Share classes'!$F$4:$F$203,MATCH(B597,'Share classes'!$B$4:$B$203,0)),""))</f>
        <v/>
      </c>
      <c r="N597" s="30">
        <f>IF(A597="","",IF(K597="","Unknown holder ID",IF(J597="","Unknown class code",IF(OR(C597="",D597=""),"Missing shares or date",IF(OR(C597&lt;0,C597&lt;&gt;INT(C597)),"Shares must be a whole number",IF(COUNTIFS($A$4:$A$2503,A597,$B$4:$B$2503,B597,$D$4:$D$2503,D597)&gt;1,"Duplicate row (same date)","OK"))))))</f>
        <v/>
      </c>
    </row>
    <row r="598">
      <c r="A598" s="26" t="n"/>
      <c r="B598" s="26" t="n"/>
      <c r="C598" s="34" t="n"/>
      <c r="D598" s="28" t="n"/>
      <c r="E598" s="26" t="n"/>
      <c r="F598" s="26" t="n"/>
      <c r="G598" s="26" t="n"/>
      <c r="H598" s="38" t="n"/>
      <c r="I598" s="28" t="n"/>
      <c r="J598" s="30">
        <f>IF(B598="","",IFERROR(INDEX('Share classes'!$A$4:$A$203,MATCH(B598,'Share classes'!$B$4:$B$203,0)),""))</f>
        <v/>
      </c>
      <c r="K598" s="30">
        <f>IF(A598="","",IFERROR(INDEX('Holders'!$B$4:$B$1003,MATCH(A598,'Holders'!$A$4:$A$1003,0)),""))</f>
        <v/>
      </c>
      <c r="L598" s="30">
        <f>IF(OR(A598="",B598="",D598=""),"",IF(D598=_xlfn.MAXIFS($D$4:$D$2503,$A$4:$A$2503,A598,$B$4:$B$2503,B598),"Yes","No"))</f>
        <v/>
      </c>
      <c r="M598" s="30">
        <f>IF(B598="","",IFERROR(INDEX('Share classes'!$F$4:$F$203,MATCH(B598,'Share classes'!$B$4:$B$203,0)),""))</f>
        <v/>
      </c>
      <c r="N598" s="30">
        <f>IF(A598="","",IF(K598="","Unknown holder ID",IF(J598="","Unknown class code",IF(OR(C598="",D598=""),"Missing shares or date",IF(OR(C598&lt;0,C598&lt;&gt;INT(C598)),"Shares must be a whole number",IF(COUNTIFS($A$4:$A$2503,A598,$B$4:$B$2503,B598,$D$4:$D$2503,D598)&gt;1,"Duplicate row (same date)","OK"))))))</f>
        <v/>
      </c>
    </row>
    <row r="599">
      <c r="A599" s="26" t="n"/>
      <c r="B599" s="26" t="n"/>
      <c r="C599" s="34" t="n"/>
      <c r="D599" s="28" t="n"/>
      <c r="E599" s="26" t="n"/>
      <c r="F599" s="26" t="n"/>
      <c r="G599" s="26" t="n"/>
      <c r="H599" s="38" t="n"/>
      <c r="I599" s="28" t="n"/>
      <c r="J599" s="30">
        <f>IF(B599="","",IFERROR(INDEX('Share classes'!$A$4:$A$203,MATCH(B599,'Share classes'!$B$4:$B$203,0)),""))</f>
        <v/>
      </c>
      <c r="K599" s="30">
        <f>IF(A599="","",IFERROR(INDEX('Holders'!$B$4:$B$1003,MATCH(A599,'Holders'!$A$4:$A$1003,0)),""))</f>
        <v/>
      </c>
      <c r="L599" s="30">
        <f>IF(OR(A599="",B599="",D599=""),"",IF(D599=_xlfn.MAXIFS($D$4:$D$2503,$A$4:$A$2503,A599,$B$4:$B$2503,B599),"Yes","No"))</f>
        <v/>
      </c>
      <c r="M599" s="30">
        <f>IF(B599="","",IFERROR(INDEX('Share classes'!$F$4:$F$203,MATCH(B599,'Share classes'!$B$4:$B$203,0)),""))</f>
        <v/>
      </c>
      <c r="N599" s="30">
        <f>IF(A599="","",IF(K599="","Unknown holder ID",IF(J599="","Unknown class code",IF(OR(C599="",D599=""),"Missing shares or date",IF(OR(C599&lt;0,C599&lt;&gt;INT(C599)),"Shares must be a whole number",IF(COUNTIFS($A$4:$A$2503,A599,$B$4:$B$2503,B599,$D$4:$D$2503,D599)&gt;1,"Duplicate row (same date)","OK"))))))</f>
        <v/>
      </c>
    </row>
    <row r="600">
      <c r="A600" s="26" t="n"/>
      <c r="B600" s="26" t="n"/>
      <c r="C600" s="34" t="n"/>
      <c r="D600" s="28" t="n"/>
      <c r="E600" s="26" t="n"/>
      <c r="F600" s="26" t="n"/>
      <c r="G600" s="26" t="n"/>
      <c r="H600" s="38" t="n"/>
      <c r="I600" s="28" t="n"/>
      <c r="J600" s="30">
        <f>IF(B600="","",IFERROR(INDEX('Share classes'!$A$4:$A$203,MATCH(B600,'Share classes'!$B$4:$B$203,0)),""))</f>
        <v/>
      </c>
      <c r="K600" s="30">
        <f>IF(A600="","",IFERROR(INDEX('Holders'!$B$4:$B$1003,MATCH(A600,'Holders'!$A$4:$A$1003,0)),""))</f>
        <v/>
      </c>
      <c r="L600" s="30">
        <f>IF(OR(A600="",B600="",D600=""),"",IF(D600=_xlfn.MAXIFS($D$4:$D$2503,$A$4:$A$2503,A600,$B$4:$B$2503,B600),"Yes","No"))</f>
        <v/>
      </c>
      <c r="M600" s="30">
        <f>IF(B600="","",IFERROR(INDEX('Share classes'!$F$4:$F$203,MATCH(B600,'Share classes'!$B$4:$B$203,0)),""))</f>
        <v/>
      </c>
      <c r="N600" s="30">
        <f>IF(A600="","",IF(K600="","Unknown holder ID",IF(J600="","Unknown class code",IF(OR(C600="",D600=""),"Missing shares or date",IF(OR(C600&lt;0,C600&lt;&gt;INT(C600)),"Shares must be a whole number",IF(COUNTIFS($A$4:$A$2503,A600,$B$4:$B$2503,B600,$D$4:$D$2503,D600)&gt;1,"Duplicate row (same date)","OK"))))))</f>
        <v/>
      </c>
    </row>
    <row r="601">
      <c r="A601" s="26" t="n"/>
      <c r="B601" s="26" t="n"/>
      <c r="C601" s="34" t="n"/>
      <c r="D601" s="28" t="n"/>
      <c r="E601" s="26" t="n"/>
      <c r="F601" s="26" t="n"/>
      <c r="G601" s="26" t="n"/>
      <c r="H601" s="38" t="n"/>
      <c r="I601" s="28" t="n"/>
      <c r="J601" s="30">
        <f>IF(B601="","",IFERROR(INDEX('Share classes'!$A$4:$A$203,MATCH(B601,'Share classes'!$B$4:$B$203,0)),""))</f>
        <v/>
      </c>
      <c r="K601" s="30">
        <f>IF(A601="","",IFERROR(INDEX('Holders'!$B$4:$B$1003,MATCH(A601,'Holders'!$A$4:$A$1003,0)),""))</f>
        <v/>
      </c>
      <c r="L601" s="30">
        <f>IF(OR(A601="",B601="",D601=""),"",IF(D601=_xlfn.MAXIFS($D$4:$D$2503,$A$4:$A$2503,A601,$B$4:$B$2503,B601),"Yes","No"))</f>
        <v/>
      </c>
      <c r="M601" s="30">
        <f>IF(B601="","",IFERROR(INDEX('Share classes'!$F$4:$F$203,MATCH(B601,'Share classes'!$B$4:$B$203,0)),""))</f>
        <v/>
      </c>
      <c r="N601" s="30">
        <f>IF(A601="","",IF(K601="","Unknown holder ID",IF(J601="","Unknown class code",IF(OR(C601="",D601=""),"Missing shares or date",IF(OR(C601&lt;0,C601&lt;&gt;INT(C601)),"Shares must be a whole number",IF(COUNTIFS($A$4:$A$2503,A601,$B$4:$B$2503,B601,$D$4:$D$2503,D601)&gt;1,"Duplicate row (same date)","OK"))))))</f>
        <v/>
      </c>
    </row>
    <row r="602">
      <c r="A602" s="26" t="n"/>
      <c r="B602" s="26" t="n"/>
      <c r="C602" s="34" t="n"/>
      <c r="D602" s="28" t="n"/>
      <c r="E602" s="26" t="n"/>
      <c r="F602" s="26" t="n"/>
      <c r="G602" s="26" t="n"/>
      <c r="H602" s="38" t="n"/>
      <c r="I602" s="28" t="n"/>
      <c r="J602" s="30">
        <f>IF(B602="","",IFERROR(INDEX('Share classes'!$A$4:$A$203,MATCH(B602,'Share classes'!$B$4:$B$203,0)),""))</f>
        <v/>
      </c>
      <c r="K602" s="30">
        <f>IF(A602="","",IFERROR(INDEX('Holders'!$B$4:$B$1003,MATCH(A602,'Holders'!$A$4:$A$1003,0)),""))</f>
        <v/>
      </c>
      <c r="L602" s="30">
        <f>IF(OR(A602="",B602="",D602=""),"",IF(D602=_xlfn.MAXIFS($D$4:$D$2503,$A$4:$A$2503,A602,$B$4:$B$2503,B602),"Yes","No"))</f>
        <v/>
      </c>
      <c r="M602" s="30">
        <f>IF(B602="","",IFERROR(INDEX('Share classes'!$F$4:$F$203,MATCH(B602,'Share classes'!$B$4:$B$203,0)),""))</f>
        <v/>
      </c>
      <c r="N602" s="30">
        <f>IF(A602="","",IF(K602="","Unknown holder ID",IF(J602="","Unknown class code",IF(OR(C602="",D602=""),"Missing shares or date",IF(OR(C602&lt;0,C602&lt;&gt;INT(C602)),"Shares must be a whole number",IF(COUNTIFS($A$4:$A$2503,A602,$B$4:$B$2503,B602,$D$4:$D$2503,D602)&gt;1,"Duplicate row (same date)","OK"))))))</f>
        <v/>
      </c>
    </row>
    <row r="603">
      <c r="A603" s="26" t="n"/>
      <c r="B603" s="26" t="n"/>
      <c r="C603" s="34" t="n"/>
      <c r="D603" s="28" t="n"/>
      <c r="E603" s="26" t="n"/>
      <c r="F603" s="26" t="n"/>
      <c r="G603" s="26" t="n"/>
      <c r="H603" s="38" t="n"/>
      <c r="I603" s="28" t="n"/>
      <c r="J603" s="30">
        <f>IF(B603="","",IFERROR(INDEX('Share classes'!$A$4:$A$203,MATCH(B603,'Share classes'!$B$4:$B$203,0)),""))</f>
        <v/>
      </c>
      <c r="K603" s="30">
        <f>IF(A603="","",IFERROR(INDEX('Holders'!$B$4:$B$1003,MATCH(A603,'Holders'!$A$4:$A$1003,0)),""))</f>
        <v/>
      </c>
      <c r="L603" s="30">
        <f>IF(OR(A603="",B603="",D603=""),"",IF(D603=_xlfn.MAXIFS($D$4:$D$2503,$A$4:$A$2503,A603,$B$4:$B$2503,B603),"Yes","No"))</f>
        <v/>
      </c>
      <c r="M603" s="30">
        <f>IF(B603="","",IFERROR(INDEX('Share classes'!$F$4:$F$203,MATCH(B603,'Share classes'!$B$4:$B$203,0)),""))</f>
        <v/>
      </c>
      <c r="N603" s="30">
        <f>IF(A603="","",IF(K603="","Unknown holder ID",IF(J603="","Unknown class code",IF(OR(C603="",D603=""),"Missing shares or date",IF(OR(C603&lt;0,C603&lt;&gt;INT(C603)),"Shares must be a whole number",IF(COUNTIFS($A$4:$A$2503,A603,$B$4:$B$2503,B603,$D$4:$D$2503,D603)&gt;1,"Duplicate row (same date)","OK"))))))</f>
        <v/>
      </c>
    </row>
    <row r="604">
      <c r="A604" s="26" t="n"/>
      <c r="B604" s="26" t="n"/>
      <c r="C604" s="34" t="n"/>
      <c r="D604" s="28" t="n"/>
      <c r="E604" s="26" t="n"/>
      <c r="F604" s="26" t="n"/>
      <c r="G604" s="26" t="n"/>
      <c r="H604" s="38" t="n"/>
      <c r="I604" s="28" t="n"/>
      <c r="J604" s="30">
        <f>IF(B604="","",IFERROR(INDEX('Share classes'!$A$4:$A$203,MATCH(B604,'Share classes'!$B$4:$B$203,0)),""))</f>
        <v/>
      </c>
      <c r="K604" s="30">
        <f>IF(A604="","",IFERROR(INDEX('Holders'!$B$4:$B$1003,MATCH(A604,'Holders'!$A$4:$A$1003,0)),""))</f>
        <v/>
      </c>
      <c r="L604" s="30">
        <f>IF(OR(A604="",B604="",D604=""),"",IF(D604=_xlfn.MAXIFS($D$4:$D$2503,$A$4:$A$2503,A604,$B$4:$B$2503,B604),"Yes","No"))</f>
        <v/>
      </c>
      <c r="M604" s="30">
        <f>IF(B604="","",IFERROR(INDEX('Share classes'!$F$4:$F$203,MATCH(B604,'Share classes'!$B$4:$B$203,0)),""))</f>
        <v/>
      </c>
      <c r="N604" s="30">
        <f>IF(A604="","",IF(K604="","Unknown holder ID",IF(J604="","Unknown class code",IF(OR(C604="",D604=""),"Missing shares or date",IF(OR(C604&lt;0,C604&lt;&gt;INT(C604)),"Shares must be a whole number",IF(COUNTIFS($A$4:$A$2503,A604,$B$4:$B$2503,B604,$D$4:$D$2503,D604)&gt;1,"Duplicate row (same date)","OK"))))))</f>
        <v/>
      </c>
    </row>
    <row r="605">
      <c r="A605" s="26" t="n"/>
      <c r="B605" s="26" t="n"/>
      <c r="C605" s="34" t="n"/>
      <c r="D605" s="28" t="n"/>
      <c r="E605" s="26" t="n"/>
      <c r="F605" s="26" t="n"/>
      <c r="G605" s="26" t="n"/>
      <c r="H605" s="38" t="n"/>
      <c r="I605" s="28" t="n"/>
      <c r="J605" s="30">
        <f>IF(B605="","",IFERROR(INDEX('Share classes'!$A$4:$A$203,MATCH(B605,'Share classes'!$B$4:$B$203,0)),""))</f>
        <v/>
      </c>
      <c r="K605" s="30">
        <f>IF(A605="","",IFERROR(INDEX('Holders'!$B$4:$B$1003,MATCH(A605,'Holders'!$A$4:$A$1003,0)),""))</f>
        <v/>
      </c>
      <c r="L605" s="30">
        <f>IF(OR(A605="",B605="",D605=""),"",IF(D605=_xlfn.MAXIFS($D$4:$D$2503,$A$4:$A$2503,A605,$B$4:$B$2503,B605),"Yes","No"))</f>
        <v/>
      </c>
      <c r="M605" s="30">
        <f>IF(B605="","",IFERROR(INDEX('Share classes'!$F$4:$F$203,MATCH(B605,'Share classes'!$B$4:$B$203,0)),""))</f>
        <v/>
      </c>
      <c r="N605" s="30">
        <f>IF(A605="","",IF(K605="","Unknown holder ID",IF(J605="","Unknown class code",IF(OR(C605="",D605=""),"Missing shares or date",IF(OR(C605&lt;0,C605&lt;&gt;INT(C605)),"Shares must be a whole number",IF(COUNTIFS($A$4:$A$2503,A605,$B$4:$B$2503,B605,$D$4:$D$2503,D605)&gt;1,"Duplicate row (same date)","OK"))))))</f>
        <v/>
      </c>
    </row>
    <row r="606">
      <c r="A606" s="26" t="n"/>
      <c r="B606" s="26" t="n"/>
      <c r="C606" s="34" t="n"/>
      <c r="D606" s="28" t="n"/>
      <c r="E606" s="26" t="n"/>
      <c r="F606" s="26" t="n"/>
      <c r="G606" s="26" t="n"/>
      <c r="H606" s="38" t="n"/>
      <c r="I606" s="28" t="n"/>
      <c r="J606" s="30">
        <f>IF(B606="","",IFERROR(INDEX('Share classes'!$A$4:$A$203,MATCH(B606,'Share classes'!$B$4:$B$203,0)),""))</f>
        <v/>
      </c>
      <c r="K606" s="30">
        <f>IF(A606="","",IFERROR(INDEX('Holders'!$B$4:$B$1003,MATCH(A606,'Holders'!$A$4:$A$1003,0)),""))</f>
        <v/>
      </c>
      <c r="L606" s="30">
        <f>IF(OR(A606="",B606="",D606=""),"",IF(D606=_xlfn.MAXIFS($D$4:$D$2503,$A$4:$A$2503,A606,$B$4:$B$2503,B606),"Yes","No"))</f>
        <v/>
      </c>
      <c r="M606" s="30">
        <f>IF(B606="","",IFERROR(INDEX('Share classes'!$F$4:$F$203,MATCH(B606,'Share classes'!$B$4:$B$203,0)),""))</f>
        <v/>
      </c>
      <c r="N606" s="30">
        <f>IF(A606="","",IF(K606="","Unknown holder ID",IF(J606="","Unknown class code",IF(OR(C606="",D606=""),"Missing shares or date",IF(OR(C606&lt;0,C606&lt;&gt;INT(C606)),"Shares must be a whole number",IF(COUNTIFS($A$4:$A$2503,A606,$B$4:$B$2503,B606,$D$4:$D$2503,D606)&gt;1,"Duplicate row (same date)","OK"))))))</f>
        <v/>
      </c>
    </row>
    <row r="607">
      <c r="A607" s="26" t="n"/>
      <c r="B607" s="26" t="n"/>
      <c r="C607" s="34" t="n"/>
      <c r="D607" s="28" t="n"/>
      <c r="E607" s="26" t="n"/>
      <c r="F607" s="26" t="n"/>
      <c r="G607" s="26" t="n"/>
      <c r="H607" s="38" t="n"/>
      <c r="I607" s="28" t="n"/>
      <c r="J607" s="30">
        <f>IF(B607="","",IFERROR(INDEX('Share classes'!$A$4:$A$203,MATCH(B607,'Share classes'!$B$4:$B$203,0)),""))</f>
        <v/>
      </c>
      <c r="K607" s="30">
        <f>IF(A607="","",IFERROR(INDEX('Holders'!$B$4:$B$1003,MATCH(A607,'Holders'!$A$4:$A$1003,0)),""))</f>
        <v/>
      </c>
      <c r="L607" s="30">
        <f>IF(OR(A607="",B607="",D607=""),"",IF(D607=_xlfn.MAXIFS($D$4:$D$2503,$A$4:$A$2503,A607,$B$4:$B$2503,B607),"Yes","No"))</f>
        <v/>
      </c>
      <c r="M607" s="30">
        <f>IF(B607="","",IFERROR(INDEX('Share classes'!$F$4:$F$203,MATCH(B607,'Share classes'!$B$4:$B$203,0)),""))</f>
        <v/>
      </c>
      <c r="N607" s="30">
        <f>IF(A607="","",IF(K607="","Unknown holder ID",IF(J607="","Unknown class code",IF(OR(C607="",D607=""),"Missing shares or date",IF(OR(C607&lt;0,C607&lt;&gt;INT(C607)),"Shares must be a whole number",IF(COUNTIFS($A$4:$A$2503,A607,$B$4:$B$2503,B607,$D$4:$D$2503,D607)&gt;1,"Duplicate row (same date)","OK"))))))</f>
        <v/>
      </c>
    </row>
    <row r="608">
      <c r="A608" s="26" t="n"/>
      <c r="B608" s="26" t="n"/>
      <c r="C608" s="34" t="n"/>
      <c r="D608" s="28" t="n"/>
      <c r="E608" s="26" t="n"/>
      <c r="F608" s="26" t="n"/>
      <c r="G608" s="26" t="n"/>
      <c r="H608" s="38" t="n"/>
      <c r="I608" s="28" t="n"/>
      <c r="J608" s="30">
        <f>IF(B608="","",IFERROR(INDEX('Share classes'!$A$4:$A$203,MATCH(B608,'Share classes'!$B$4:$B$203,0)),""))</f>
        <v/>
      </c>
      <c r="K608" s="30">
        <f>IF(A608="","",IFERROR(INDEX('Holders'!$B$4:$B$1003,MATCH(A608,'Holders'!$A$4:$A$1003,0)),""))</f>
        <v/>
      </c>
      <c r="L608" s="30">
        <f>IF(OR(A608="",B608="",D608=""),"",IF(D608=_xlfn.MAXIFS($D$4:$D$2503,$A$4:$A$2503,A608,$B$4:$B$2503,B608),"Yes","No"))</f>
        <v/>
      </c>
      <c r="M608" s="30">
        <f>IF(B608="","",IFERROR(INDEX('Share classes'!$F$4:$F$203,MATCH(B608,'Share classes'!$B$4:$B$203,0)),""))</f>
        <v/>
      </c>
      <c r="N608" s="30">
        <f>IF(A608="","",IF(K608="","Unknown holder ID",IF(J608="","Unknown class code",IF(OR(C608="",D608=""),"Missing shares or date",IF(OR(C608&lt;0,C608&lt;&gt;INT(C608)),"Shares must be a whole number",IF(COUNTIFS($A$4:$A$2503,A608,$B$4:$B$2503,B608,$D$4:$D$2503,D608)&gt;1,"Duplicate row (same date)","OK"))))))</f>
        <v/>
      </c>
    </row>
    <row r="609">
      <c r="A609" s="26" t="n"/>
      <c r="B609" s="26" t="n"/>
      <c r="C609" s="34" t="n"/>
      <c r="D609" s="28" t="n"/>
      <c r="E609" s="26" t="n"/>
      <c r="F609" s="26" t="n"/>
      <c r="G609" s="26" t="n"/>
      <c r="H609" s="38" t="n"/>
      <c r="I609" s="28" t="n"/>
      <c r="J609" s="30">
        <f>IF(B609="","",IFERROR(INDEX('Share classes'!$A$4:$A$203,MATCH(B609,'Share classes'!$B$4:$B$203,0)),""))</f>
        <v/>
      </c>
      <c r="K609" s="30">
        <f>IF(A609="","",IFERROR(INDEX('Holders'!$B$4:$B$1003,MATCH(A609,'Holders'!$A$4:$A$1003,0)),""))</f>
        <v/>
      </c>
      <c r="L609" s="30">
        <f>IF(OR(A609="",B609="",D609=""),"",IF(D609=_xlfn.MAXIFS($D$4:$D$2503,$A$4:$A$2503,A609,$B$4:$B$2503,B609),"Yes","No"))</f>
        <v/>
      </c>
      <c r="M609" s="30">
        <f>IF(B609="","",IFERROR(INDEX('Share classes'!$F$4:$F$203,MATCH(B609,'Share classes'!$B$4:$B$203,0)),""))</f>
        <v/>
      </c>
      <c r="N609" s="30">
        <f>IF(A609="","",IF(K609="","Unknown holder ID",IF(J609="","Unknown class code",IF(OR(C609="",D609=""),"Missing shares or date",IF(OR(C609&lt;0,C609&lt;&gt;INT(C609)),"Shares must be a whole number",IF(COUNTIFS($A$4:$A$2503,A609,$B$4:$B$2503,B609,$D$4:$D$2503,D609)&gt;1,"Duplicate row (same date)","OK"))))))</f>
        <v/>
      </c>
    </row>
    <row r="610">
      <c r="A610" s="26" t="n"/>
      <c r="B610" s="26" t="n"/>
      <c r="C610" s="34" t="n"/>
      <c r="D610" s="28" t="n"/>
      <c r="E610" s="26" t="n"/>
      <c r="F610" s="26" t="n"/>
      <c r="G610" s="26" t="n"/>
      <c r="H610" s="38" t="n"/>
      <c r="I610" s="28" t="n"/>
      <c r="J610" s="30">
        <f>IF(B610="","",IFERROR(INDEX('Share classes'!$A$4:$A$203,MATCH(B610,'Share classes'!$B$4:$B$203,0)),""))</f>
        <v/>
      </c>
      <c r="K610" s="30">
        <f>IF(A610="","",IFERROR(INDEX('Holders'!$B$4:$B$1003,MATCH(A610,'Holders'!$A$4:$A$1003,0)),""))</f>
        <v/>
      </c>
      <c r="L610" s="30">
        <f>IF(OR(A610="",B610="",D610=""),"",IF(D610=_xlfn.MAXIFS($D$4:$D$2503,$A$4:$A$2503,A610,$B$4:$B$2503,B610),"Yes","No"))</f>
        <v/>
      </c>
      <c r="M610" s="30">
        <f>IF(B610="","",IFERROR(INDEX('Share classes'!$F$4:$F$203,MATCH(B610,'Share classes'!$B$4:$B$203,0)),""))</f>
        <v/>
      </c>
      <c r="N610" s="30">
        <f>IF(A610="","",IF(K610="","Unknown holder ID",IF(J610="","Unknown class code",IF(OR(C610="",D610=""),"Missing shares or date",IF(OR(C610&lt;0,C610&lt;&gt;INT(C610)),"Shares must be a whole number",IF(COUNTIFS($A$4:$A$2503,A610,$B$4:$B$2503,B610,$D$4:$D$2503,D610)&gt;1,"Duplicate row (same date)","OK"))))))</f>
        <v/>
      </c>
    </row>
    <row r="611">
      <c r="A611" s="26" t="n"/>
      <c r="B611" s="26" t="n"/>
      <c r="C611" s="34" t="n"/>
      <c r="D611" s="28" t="n"/>
      <c r="E611" s="26" t="n"/>
      <c r="F611" s="26" t="n"/>
      <c r="G611" s="26" t="n"/>
      <c r="H611" s="38" t="n"/>
      <c r="I611" s="28" t="n"/>
      <c r="J611" s="30">
        <f>IF(B611="","",IFERROR(INDEX('Share classes'!$A$4:$A$203,MATCH(B611,'Share classes'!$B$4:$B$203,0)),""))</f>
        <v/>
      </c>
      <c r="K611" s="30">
        <f>IF(A611="","",IFERROR(INDEX('Holders'!$B$4:$B$1003,MATCH(A611,'Holders'!$A$4:$A$1003,0)),""))</f>
        <v/>
      </c>
      <c r="L611" s="30">
        <f>IF(OR(A611="",B611="",D611=""),"",IF(D611=_xlfn.MAXIFS($D$4:$D$2503,$A$4:$A$2503,A611,$B$4:$B$2503,B611),"Yes","No"))</f>
        <v/>
      </c>
      <c r="M611" s="30">
        <f>IF(B611="","",IFERROR(INDEX('Share classes'!$F$4:$F$203,MATCH(B611,'Share classes'!$B$4:$B$203,0)),""))</f>
        <v/>
      </c>
      <c r="N611" s="30">
        <f>IF(A611="","",IF(K611="","Unknown holder ID",IF(J611="","Unknown class code",IF(OR(C611="",D611=""),"Missing shares or date",IF(OR(C611&lt;0,C611&lt;&gt;INT(C611)),"Shares must be a whole number",IF(COUNTIFS($A$4:$A$2503,A611,$B$4:$B$2503,B611,$D$4:$D$2503,D611)&gt;1,"Duplicate row (same date)","OK"))))))</f>
        <v/>
      </c>
    </row>
    <row r="612">
      <c r="A612" s="26" t="n"/>
      <c r="B612" s="26" t="n"/>
      <c r="C612" s="34" t="n"/>
      <c r="D612" s="28" t="n"/>
      <c r="E612" s="26" t="n"/>
      <c r="F612" s="26" t="n"/>
      <c r="G612" s="26" t="n"/>
      <c r="H612" s="38" t="n"/>
      <c r="I612" s="28" t="n"/>
      <c r="J612" s="30">
        <f>IF(B612="","",IFERROR(INDEX('Share classes'!$A$4:$A$203,MATCH(B612,'Share classes'!$B$4:$B$203,0)),""))</f>
        <v/>
      </c>
      <c r="K612" s="30">
        <f>IF(A612="","",IFERROR(INDEX('Holders'!$B$4:$B$1003,MATCH(A612,'Holders'!$A$4:$A$1003,0)),""))</f>
        <v/>
      </c>
      <c r="L612" s="30">
        <f>IF(OR(A612="",B612="",D612=""),"",IF(D612=_xlfn.MAXIFS($D$4:$D$2503,$A$4:$A$2503,A612,$B$4:$B$2503,B612),"Yes","No"))</f>
        <v/>
      </c>
      <c r="M612" s="30">
        <f>IF(B612="","",IFERROR(INDEX('Share classes'!$F$4:$F$203,MATCH(B612,'Share classes'!$B$4:$B$203,0)),""))</f>
        <v/>
      </c>
      <c r="N612" s="30">
        <f>IF(A612="","",IF(K612="","Unknown holder ID",IF(J612="","Unknown class code",IF(OR(C612="",D612=""),"Missing shares or date",IF(OR(C612&lt;0,C612&lt;&gt;INT(C612)),"Shares must be a whole number",IF(COUNTIFS($A$4:$A$2503,A612,$B$4:$B$2503,B612,$D$4:$D$2503,D612)&gt;1,"Duplicate row (same date)","OK"))))))</f>
        <v/>
      </c>
    </row>
    <row r="613">
      <c r="A613" s="26" t="n"/>
      <c r="B613" s="26" t="n"/>
      <c r="C613" s="34" t="n"/>
      <c r="D613" s="28" t="n"/>
      <c r="E613" s="26" t="n"/>
      <c r="F613" s="26" t="n"/>
      <c r="G613" s="26" t="n"/>
      <c r="H613" s="38" t="n"/>
      <c r="I613" s="28" t="n"/>
      <c r="J613" s="30">
        <f>IF(B613="","",IFERROR(INDEX('Share classes'!$A$4:$A$203,MATCH(B613,'Share classes'!$B$4:$B$203,0)),""))</f>
        <v/>
      </c>
      <c r="K613" s="30">
        <f>IF(A613="","",IFERROR(INDEX('Holders'!$B$4:$B$1003,MATCH(A613,'Holders'!$A$4:$A$1003,0)),""))</f>
        <v/>
      </c>
      <c r="L613" s="30">
        <f>IF(OR(A613="",B613="",D613=""),"",IF(D613=_xlfn.MAXIFS($D$4:$D$2503,$A$4:$A$2503,A613,$B$4:$B$2503,B613),"Yes","No"))</f>
        <v/>
      </c>
      <c r="M613" s="30">
        <f>IF(B613="","",IFERROR(INDEX('Share classes'!$F$4:$F$203,MATCH(B613,'Share classes'!$B$4:$B$203,0)),""))</f>
        <v/>
      </c>
      <c r="N613" s="30">
        <f>IF(A613="","",IF(K613="","Unknown holder ID",IF(J613="","Unknown class code",IF(OR(C613="",D613=""),"Missing shares or date",IF(OR(C613&lt;0,C613&lt;&gt;INT(C613)),"Shares must be a whole number",IF(COUNTIFS($A$4:$A$2503,A613,$B$4:$B$2503,B613,$D$4:$D$2503,D613)&gt;1,"Duplicate row (same date)","OK"))))))</f>
        <v/>
      </c>
    </row>
    <row r="614">
      <c r="A614" s="26" t="n"/>
      <c r="B614" s="26" t="n"/>
      <c r="C614" s="34" t="n"/>
      <c r="D614" s="28" t="n"/>
      <c r="E614" s="26" t="n"/>
      <c r="F614" s="26" t="n"/>
      <c r="G614" s="26" t="n"/>
      <c r="H614" s="38" t="n"/>
      <c r="I614" s="28" t="n"/>
      <c r="J614" s="30">
        <f>IF(B614="","",IFERROR(INDEX('Share classes'!$A$4:$A$203,MATCH(B614,'Share classes'!$B$4:$B$203,0)),""))</f>
        <v/>
      </c>
      <c r="K614" s="30">
        <f>IF(A614="","",IFERROR(INDEX('Holders'!$B$4:$B$1003,MATCH(A614,'Holders'!$A$4:$A$1003,0)),""))</f>
        <v/>
      </c>
      <c r="L614" s="30">
        <f>IF(OR(A614="",B614="",D614=""),"",IF(D614=_xlfn.MAXIFS($D$4:$D$2503,$A$4:$A$2503,A614,$B$4:$B$2503,B614),"Yes","No"))</f>
        <v/>
      </c>
      <c r="M614" s="30">
        <f>IF(B614="","",IFERROR(INDEX('Share classes'!$F$4:$F$203,MATCH(B614,'Share classes'!$B$4:$B$203,0)),""))</f>
        <v/>
      </c>
      <c r="N614" s="30">
        <f>IF(A614="","",IF(K614="","Unknown holder ID",IF(J614="","Unknown class code",IF(OR(C614="",D614=""),"Missing shares or date",IF(OR(C614&lt;0,C614&lt;&gt;INT(C614)),"Shares must be a whole number",IF(COUNTIFS($A$4:$A$2503,A614,$B$4:$B$2503,B614,$D$4:$D$2503,D614)&gt;1,"Duplicate row (same date)","OK"))))))</f>
        <v/>
      </c>
    </row>
    <row r="615">
      <c r="A615" s="26" t="n"/>
      <c r="B615" s="26" t="n"/>
      <c r="C615" s="34" t="n"/>
      <c r="D615" s="28" t="n"/>
      <c r="E615" s="26" t="n"/>
      <c r="F615" s="26" t="n"/>
      <c r="G615" s="26" t="n"/>
      <c r="H615" s="38" t="n"/>
      <c r="I615" s="28" t="n"/>
      <c r="J615" s="30">
        <f>IF(B615="","",IFERROR(INDEX('Share classes'!$A$4:$A$203,MATCH(B615,'Share classes'!$B$4:$B$203,0)),""))</f>
        <v/>
      </c>
      <c r="K615" s="30">
        <f>IF(A615="","",IFERROR(INDEX('Holders'!$B$4:$B$1003,MATCH(A615,'Holders'!$A$4:$A$1003,0)),""))</f>
        <v/>
      </c>
      <c r="L615" s="30">
        <f>IF(OR(A615="",B615="",D615=""),"",IF(D615=_xlfn.MAXIFS($D$4:$D$2503,$A$4:$A$2503,A615,$B$4:$B$2503,B615),"Yes","No"))</f>
        <v/>
      </c>
      <c r="M615" s="30">
        <f>IF(B615="","",IFERROR(INDEX('Share classes'!$F$4:$F$203,MATCH(B615,'Share classes'!$B$4:$B$203,0)),""))</f>
        <v/>
      </c>
      <c r="N615" s="30">
        <f>IF(A615="","",IF(K615="","Unknown holder ID",IF(J615="","Unknown class code",IF(OR(C615="",D615=""),"Missing shares or date",IF(OR(C615&lt;0,C615&lt;&gt;INT(C615)),"Shares must be a whole number",IF(COUNTIFS($A$4:$A$2503,A615,$B$4:$B$2503,B615,$D$4:$D$2503,D615)&gt;1,"Duplicate row (same date)","OK"))))))</f>
        <v/>
      </c>
    </row>
    <row r="616">
      <c r="A616" s="26" t="n"/>
      <c r="B616" s="26" t="n"/>
      <c r="C616" s="34" t="n"/>
      <c r="D616" s="28" t="n"/>
      <c r="E616" s="26" t="n"/>
      <c r="F616" s="26" t="n"/>
      <c r="G616" s="26" t="n"/>
      <c r="H616" s="38" t="n"/>
      <c r="I616" s="28" t="n"/>
      <c r="J616" s="30">
        <f>IF(B616="","",IFERROR(INDEX('Share classes'!$A$4:$A$203,MATCH(B616,'Share classes'!$B$4:$B$203,0)),""))</f>
        <v/>
      </c>
      <c r="K616" s="30">
        <f>IF(A616="","",IFERROR(INDEX('Holders'!$B$4:$B$1003,MATCH(A616,'Holders'!$A$4:$A$1003,0)),""))</f>
        <v/>
      </c>
      <c r="L616" s="30">
        <f>IF(OR(A616="",B616="",D616=""),"",IF(D616=_xlfn.MAXIFS($D$4:$D$2503,$A$4:$A$2503,A616,$B$4:$B$2503,B616),"Yes","No"))</f>
        <v/>
      </c>
      <c r="M616" s="30">
        <f>IF(B616="","",IFERROR(INDEX('Share classes'!$F$4:$F$203,MATCH(B616,'Share classes'!$B$4:$B$203,0)),""))</f>
        <v/>
      </c>
      <c r="N616" s="30">
        <f>IF(A616="","",IF(K616="","Unknown holder ID",IF(J616="","Unknown class code",IF(OR(C616="",D616=""),"Missing shares or date",IF(OR(C616&lt;0,C616&lt;&gt;INT(C616)),"Shares must be a whole number",IF(COUNTIFS($A$4:$A$2503,A616,$B$4:$B$2503,B616,$D$4:$D$2503,D616)&gt;1,"Duplicate row (same date)","OK"))))))</f>
        <v/>
      </c>
    </row>
    <row r="617">
      <c r="A617" s="26" t="n"/>
      <c r="B617" s="26" t="n"/>
      <c r="C617" s="34" t="n"/>
      <c r="D617" s="28" t="n"/>
      <c r="E617" s="26" t="n"/>
      <c r="F617" s="26" t="n"/>
      <c r="G617" s="26" t="n"/>
      <c r="H617" s="38" t="n"/>
      <c r="I617" s="28" t="n"/>
      <c r="J617" s="30">
        <f>IF(B617="","",IFERROR(INDEX('Share classes'!$A$4:$A$203,MATCH(B617,'Share classes'!$B$4:$B$203,0)),""))</f>
        <v/>
      </c>
      <c r="K617" s="30">
        <f>IF(A617="","",IFERROR(INDEX('Holders'!$B$4:$B$1003,MATCH(A617,'Holders'!$A$4:$A$1003,0)),""))</f>
        <v/>
      </c>
      <c r="L617" s="30">
        <f>IF(OR(A617="",B617="",D617=""),"",IF(D617=_xlfn.MAXIFS($D$4:$D$2503,$A$4:$A$2503,A617,$B$4:$B$2503,B617),"Yes","No"))</f>
        <v/>
      </c>
      <c r="M617" s="30">
        <f>IF(B617="","",IFERROR(INDEX('Share classes'!$F$4:$F$203,MATCH(B617,'Share classes'!$B$4:$B$203,0)),""))</f>
        <v/>
      </c>
      <c r="N617" s="30">
        <f>IF(A617="","",IF(K617="","Unknown holder ID",IF(J617="","Unknown class code",IF(OR(C617="",D617=""),"Missing shares or date",IF(OR(C617&lt;0,C617&lt;&gt;INT(C617)),"Shares must be a whole number",IF(COUNTIFS($A$4:$A$2503,A617,$B$4:$B$2503,B617,$D$4:$D$2503,D617)&gt;1,"Duplicate row (same date)","OK"))))))</f>
        <v/>
      </c>
    </row>
    <row r="618">
      <c r="A618" s="26" t="n"/>
      <c r="B618" s="26" t="n"/>
      <c r="C618" s="34" t="n"/>
      <c r="D618" s="28" t="n"/>
      <c r="E618" s="26" t="n"/>
      <c r="F618" s="26" t="n"/>
      <c r="G618" s="26" t="n"/>
      <c r="H618" s="38" t="n"/>
      <c r="I618" s="28" t="n"/>
      <c r="J618" s="30">
        <f>IF(B618="","",IFERROR(INDEX('Share classes'!$A$4:$A$203,MATCH(B618,'Share classes'!$B$4:$B$203,0)),""))</f>
        <v/>
      </c>
      <c r="K618" s="30">
        <f>IF(A618="","",IFERROR(INDEX('Holders'!$B$4:$B$1003,MATCH(A618,'Holders'!$A$4:$A$1003,0)),""))</f>
        <v/>
      </c>
      <c r="L618" s="30">
        <f>IF(OR(A618="",B618="",D618=""),"",IF(D618=_xlfn.MAXIFS($D$4:$D$2503,$A$4:$A$2503,A618,$B$4:$B$2503,B618),"Yes","No"))</f>
        <v/>
      </c>
      <c r="M618" s="30">
        <f>IF(B618="","",IFERROR(INDEX('Share classes'!$F$4:$F$203,MATCH(B618,'Share classes'!$B$4:$B$203,0)),""))</f>
        <v/>
      </c>
      <c r="N618" s="30">
        <f>IF(A618="","",IF(K618="","Unknown holder ID",IF(J618="","Unknown class code",IF(OR(C618="",D618=""),"Missing shares or date",IF(OR(C618&lt;0,C618&lt;&gt;INT(C618)),"Shares must be a whole number",IF(COUNTIFS($A$4:$A$2503,A618,$B$4:$B$2503,B618,$D$4:$D$2503,D618)&gt;1,"Duplicate row (same date)","OK"))))))</f>
        <v/>
      </c>
    </row>
    <row r="619">
      <c r="A619" s="26" t="n"/>
      <c r="B619" s="26" t="n"/>
      <c r="C619" s="34" t="n"/>
      <c r="D619" s="28" t="n"/>
      <c r="E619" s="26" t="n"/>
      <c r="F619" s="26" t="n"/>
      <c r="G619" s="26" t="n"/>
      <c r="H619" s="38" t="n"/>
      <c r="I619" s="28" t="n"/>
      <c r="J619" s="30">
        <f>IF(B619="","",IFERROR(INDEX('Share classes'!$A$4:$A$203,MATCH(B619,'Share classes'!$B$4:$B$203,0)),""))</f>
        <v/>
      </c>
      <c r="K619" s="30">
        <f>IF(A619="","",IFERROR(INDEX('Holders'!$B$4:$B$1003,MATCH(A619,'Holders'!$A$4:$A$1003,0)),""))</f>
        <v/>
      </c>
      <c r="L619" s="30">
        <f>IF(OR(A619="",B619="",D619=""),"",IF(D619=_xlfn.MAXIFS($D$4:$D$2503,$A$4:$A$2503,A619,$B$4:$B$2503,B619),"Yes","No"))</f>
        <v/>
      </c>
      <c r="M619" s="30">
        <f>IF(B619="","",IFERROR(INDEX('Share classes'!$F$4:$F$203,MATCH(B619,'Share classes'!$B$4:$B$203,0)),""))</f>
        <v/>
      </c>
      <c r="N619" s="30">
        <f>IF(A619="","",IF(K619="","Unknown holder ID",IF(J619="","Unknown class code",IF(OR(C619="",D619=""),"Missing shares or date",IF(OR(C619&lt;0,C619&lt;&gt;INT(C619)),"Shares must be a whole number",IF(COUNTIFS($A$4:$A$2503,A619,$B$4:$B$2503,B619,$D$4:$D$2503,D619)&gt;1,"Duplicate row (same date)","OK"))))))</f>
        <v/>
      </c>
    </row>
    <row r="620">
      <c r="A620" s="26" t="n"/>
      <c r="B620" s="26" t="n"/>
      <c r="C620" s="34" t="n"/>
      <c r="D620" s="28" t="n"/>
      <c r="E620" s="26" t="n"/>
      <c r="F620" s="26" t="n"/>
      <c r="G620" s="26" t="n"/>
      <c r="H620" s="38" t="n"/>
      <c r="I620" s="28" t="n"/>
      <c r="J620" s="30">
        <f>IF(B620="","",IFERROR(INDEX('Share classes'!$A$4:$A$203,MATCH(B620,'Share classes'!$B$4:$B$203,0)),""))</f>
        <v/>
      </c>
      <c r="K620" s="30">
        <f>IF(A620="","",IFERROR(INDEX('Holders'!$B$4:$B$1003,MATCH(A620,'Holders'!$A$4:$A$1003,0)),""))</f>
        <v/>
      </c>
      <c r="L620" s="30">
        <f>IF(OR(A620="",B620="",D620=""),"",IF(D620=_xlfn.MAXIFS($D$4:$D$2503,$A$4:$A$2503,A620,$B$4:$B$2503,B620),"Yes","No"))</f>
        <v/>
      </c>
      <c r="M620" s="30">
        <f>IF(B620="","",IFERROR(INDEX('Share classes'!$F$4:$F$203,MATCH(B620,'Share classes'!$B$4:$B$203,0)),""))</f>
        <v/>
      </c>
      <c r="N620" s="30">
        <f>IF(A620="","",IF(K620="","Unknown holder ID",IF(J620="","Unknown class code",IF(OR(C620="",D620=""),"Missing shares or date",IF(OR(C620&lt;0,C620&lt;&gt;INT(C620)),"Shares must be a whole number",IF(COUNTIFS($A$4:$A$2503,A620,$B$4:$B$2503,B620,$D$4:$D$2503,D620)&gt;1,"Duplicate row (same date)","OK"))))))</f>
        <v/>
      </c>
    </row>
    <row r="621">
      <c r="A621" s="26" t="n"/>
      <c r="B621" s="26" t="n"/>
      <c r="C621" s="34" t="n"/>
      <c r="D621" s="28" t="n"/>
      <c r="E621" s="26" t="n"/>
      <c r="F621" s="26" t="n"/>
      <c r="G621" s="26" t="n"/>
      <c r="H621" s="38" t="n"/>
      <c r="I621" s="28" t="n"/>
      <c r="J621" s="30">
        <f>IF(B621="","",IFERROR(INDEX('Share classes'!$A$4:$A$203,MATCH(B621,'Share classes'!$B$4:$B$203,0)),""))</f>
        <v/>
      </c>
      <c r="K621" s="30">
        <f>IF(A621="","",IFERROR(INDEX('Holders'!$B$4:$B$1003,MATCH(A621,'Holders'!$A$4:$A$1003,0)),""))</f>
        <v/>
      </c>
      <c r="L621" s="30">
        <f>IF(OR(A621="",B621="",D621=""),"",IF(D621=_xlfn.MAXIFS($D$4:$D$2503,$A$4:$A$2503,A621,$B$4:$B$2503,B621),"Yes","No"))</f>
        <v/>
      </c>
      <c r="M621" s="30">
        <f>IF(B621="","",IFERROR(INDEX('Share classes'!$F$4:$F$203,MATCH(B621,'Share classes'!$B$4:$B$203,0)),""))</f>
        <v/>
      </c>
      <c r="N621" s="30">
        <f>IF(A621="","",IF(K621="","Unknown holder ID",IF(J621="","Unknown class code",IF(OR(C621="",D621=""),"Missing shares or date",IF(OR(C621&lt;0,C621&lt;&gt;INT(C621)),"Shares must be a whole number",IF(COUNTIFS($A$4:$A$2503,A621,$B$4:$B$2503,B621,$D$4:$D$2503,D621)&gt;1,"Duplicate row (same date)","OK"))))))</f>
        <v/>
      </c>
    </row>
    <row r="622">
      <c r="A622" s="26" t="n"/>
      <c r="B622" s="26" t="n"/>
      <c r="C622" s="34" t="n"/>
      <c r="D622" s="28" t="n"/>
      <c r="E622" s="26" t="n"/>
      <c r="F622" s="26" t="n"/>
      <c r="G622" s="26" t="n"/>
      <c r="H622" s="38" t="n"/>
      <c r="I622" s="28" t="n"/>
      <c r="J622" s="30">
        <f>IF(B622="","",IFERROR(INDEX('Share classes'!$A$4:$A$203,MATCH(B622,'Share classes'!$B$4:$B$203,0)),""))</f>
        <v/>
      </c>
      <c r="K622" s="30">
        <f>IF(A622="","",IFERROR(INDEX('Holders'!$B$4:$B$1003,MATCH(A622,'Holders'!$A$4:$A$1003,0)),""))</f>
        <v/>
      </c>
      <c r="L622" s="30">
        <f>IF(OR(A622="",B622="",D622=""),"",IF(D622=_xlfn.MAXIFS($D$4:$D$2503,$A$4:$A$2503,A622,$B$4:$B$2503,B622),"Yes","No"))</f>
        <v/>
      </c>
      <c r="M622" s="30">
        <f>IF(B622="","",IFERROR(INDEX('Share classes'!$F$4:$F$203,MATCH(B622,'Share classes'!$B$4:$B$203,0)),""))</f>
        <v/>
      </c>
      <c r="N622" s="30">
        <f>IF(A622="","",IF(K622="","Unknown holder ID",IF(J622="","Unknown class code",IF(OR(C622="",D622=""),"Missing shares or date",IF(OR(C622&lt;0,C622&lt;&gt;INT(C622)),"Shares must be a whole number",IF(COUNTIFS($A$4:$A$2503,A622,$B$4:$B$2503,B622,$D$4:$D$2503,D622)&gt;1,"Duplicate row (same date)","OK"))))))</f>
        <v/>
      </c>
    </row>
    <row r="623">
      <c r="A623" s="26" t="n"/>
      <c r="B623" s="26" t="n"/>
      <c r="C623" s="34" t="n"/>
      <c r="D623" s="28" t="n"/>
      <c r="E623" s="26" t="n"/>
      <c r="F623" s="26" t="n"/>
      <c r="G623" s="26" t="n"/>
      <c r="H623" s="38" t="n"/>
      <c r="I623" s="28" t="n"/>
      <c r="J623" s="30">
        <f>IF(B623="","",IFERROR(INDEX('Share classes'!$A$4:$A$203,MATCH(B623,'Share classes'!$B$4:$B$203,0)),""))</f>
        <v/>
      </c>
      <c r="K623" s="30">
        <f>IF(A623="","",IFERROR(INDEX('Holders'!$B$4:$B$1003,MATCH(A623,'Holders'!$A$4:$A$1003,0)),""))</f>
        <v/>
      </c>
      <c r="L623" s="30">
        <f>IF(OR(A623="",B623="",D623=""),"",IF(D623=_xlfn.MAXIFS($D$4:$D$2503,$A$4:$A$2503,A623,$B$4:$B$2503,B623),"Yes","No"))</f>
        <v/>
      </c>
      <c r="M623" s="30">
        <f>IF(B623="","",IFERROR(INDEX('Share classes'!$F$4:$F$203,MATCH(B623,'Share classes'!$B$4:$B$203,0)),""))</f>
        <v/>
      </c>
      <c r="N623" s="30">
        <f>IF(A623="","",IF(K623="","Unknown holder ID",IF(J623="","Unknown class code",IF(OR(C623="",D623=""),"Missing shares or date",IF(OR(C623&lt;0,C623&lt;&gt;INT(C623)),"Shares must be a whole number",IF(COUNTIFS($A$4:$A$2503,A623,$B$4:$B$2503,B623,$D$4:$D$2503,D623)&gt;1,"Duplicate row (same date)","OK"))))))</f>
        <v/>
      </c>
    </row>
    <row r="624">
      <c r="A624" s="26" t="n"/>
      <c r="B624" s="26" t="n"/>
      <c r="C624" s="34" t="n"/>
      <c r="D624" s="28" t="n"/>
      <c r="E624" s="26" t="n"/>
      <c r="F624" s="26" t="n"/>
      <c r="G624" s="26" t="n"/>
      <c r="H624" s="38" t="n"/>
      <c r="I624" s="28" t="n"/>
      <c r="J624" s="30">
        <f>IF(B624="","",IFERROR(INDEX('Share classes'!$A$4:$A$203,MATCH(B624,'Share classes'!$B$4:$B$203,0)),""))</f>
        <v/>
      </c>
      <c r="K624" s="30">
        <f>IF(A624="","",IFERROR(INDEX('Holders'!$B$4:$B$1003,MATCH(A624,'Holders'!$A$4:$A$1003,0)),""))</f>
        <v/>
      </c>
      <c r="L624" s="30">
        <f>IF(OR(A624="",B624="",D624=""),"",IF(D624=_xlfn.MAXIFS($D$4:$D$2503,$A$4:$A$2503,A624,$B$4:$B$2503,B624),"Yes","No"))</f>
        <v/>
      </c>
      <c r="M624" s="30">
        <f>IF(B624="","",IFERROR(INDEX('Share classes'!$F$4:$F$203,MATCH(B624,'Share classes'!$B$4:$B$203,0)),""))</f>
        <v/>
      </c>
      <c r="N624" s="30">
        <f>IF(A624="","",IF(K624="","Unknown holder ID",IF(J624="","Unknown class code",IF(OR(C624="",D624=""),"Missing shares or date",IF(OR(C624&lt;0,C624&lt;&gt;INT(C624)),"Shares must be a whole number",IF(COUNTIFS($A$4:$A$2503,A624,$B$4:$B$2503,B624,$D$4:$D$2503,D624)&gt;1,"Duplicate row (same date)","OK"))))))</f>
        <v/>
      </c>
    </row>
    <row r="625">
      <c r="A625" s="26" t="n"/>
      <c r="B625" s="26" t="n"/>
      <c r="C625" s="34" t="n"/>
      <c r="D625" s="28" t="n"/>
      <c r="E625" s="26" t="n"/>
      <c r="F625" s="26" t="n"/>
      <c r="G625" s="26" t="n"/>
      <c r="H625" s="38" t="n"/>
      <c r="I625" s="28" t="n"/>
      <c r="J625" s="30">
        <f>IF(B625="","",IFERROR(INDEX('Share classes'!$A$4:$A$203,MATCH(B625,'Share classes'!$B$4:$B$203,0)),""))</f>
        <v/>
      </c>
      <c r="K625" s="30">
        <f>IF(A625="","",IFERROR(INDEX('Holders'!$B$4:$B$1003,MATCH(A625,'Holders'!$A$4:$A$1003,0)),""))</f>
        <v/>
      </c>
      <c r="L625" s="30">
        <f>IF(OR(A625="",B625="",D625=""),"",IF(D625=_xlfn.MAXIFS($D$4:$D$2503,$A$4:$A$2503,A625,$B$4:$B$2503,B625),"Yes","No"))</f>
        <v/>
      </c>
      <c r="M625" s="30">
        <f>IF(B625="","",IFERROR(INDEX('Share classes'!$F$4:$F$203,MATCH(B625,'Share classes'!$B$4:$B$203,0)),""))</f>
        <v/>
      </c>
      <c r="N625" s="30">
        <f>IF(A625="","",IF(K625="","Unknown holder ID",IF(J625="","Unknown class code",IF(OR(C625="",D625=""),"Missing shares or date",IF(OR(C625&lt;0,C625&lt;&gt;INT(C625)),"Shares must be a whole number",IF(COUNTIFS($A$4:$A$2503,A625,$B$4:$B$2503,B625,$D$4:$D$2503,D625)&gt;1,"Duplicate row (same date)","OK"))))))</f>
        <v/>
      </c>
    </row>
    <row r="626">
      <c r="A626" s="26" t="n"/>
      <c r="B626" s="26" t="n"/>
      <c r="C626" s="34" t="n"/>
      <c r="D626" s="28" t="n"/>
      <c r="E626" s="26" t="n"/>
      <c r="F626" s="26" t="n"/>
      <c r="G626" s="26" t="n"/>
      <c r="H626" s="38" t="n"/>
      <c r="I626" s="28" t="n"/>
      <c r="J626" s="30">
        <f>IF(B626="","",IFERROR(INDEX('Share classes'!$A$4:$A$203,MATCH(B626,'Share classes'!$B$4:$B$203,0)),""))</f>
        <v/>
      </c>
      <c r="K626" s="30">
        <f>IF(A626="","",IFERROR(INDEX('Holders'!$B$4:$B$1003,MATCH(A626,'Holders'!$A$4:$A$1003,0)),""))</f>
        <v/>
      </c>
      <c r="L626" s="30">
        <f>IF(OR(A626="",B626="",D626=""),"",IF(D626=_xlfn.MAXIFS($D$4:$D$2503,$A$4:$A$2503,A626,$B$4:$B$2503,B626),"Yes","No"))</f>
        <v/>
      </c>
      <c r="M626" s="30">
        <f>IF(B626="","",IFERROR(INDEX('Share classes'!$F$4:$F$203,MATCH(B626,'Share classes'!$B$4:$B$203,0)),""))</f>
        <v/>
      </c>
      <c r="N626" s="30">
        <f>IF(A626="","",IF(K626="","Unknown holder ID",IF(J626="","Unknown class code",IF(OR(C626="",D626=""),"Missing shares or date",IF(OR(C626&lt;0,C626&lt;&gt;INT(C626)),"Shares must be a whole number",IF(COUNTIFS($A$4:$A$2503,A626,$B$4:$B$2503,B626,$D$4:$D$2503,D626)&gt;1,"Duplicate row (same date)","OK"))))))</f>
        <v/>
      </c>
    </row>
    <row r="627">
      <c r="A627" s="26" t="n"/>
      <c r="B627" s="26" t="n"/>
      <c r="C627" s="34" t="n"/>
      <c r="D627" s="28" t="n"/>
      <c r="E627" s="26" t="n"/>
      <c r="F627" s="26" t="n"/>
      <c r="G627" s="26" t="n"/>
      <c r="H627" s="38" t="n"/>
      <c r="I627" s="28" t="n"/>
      <c r="J627" s="30">
        <f>IF(B627="","",IFERROR(INDEX('Share classes'!$A$4:$A$203,MATCH(B627,'Share classes'!$B$4:$B$203,0)),""))</f>
        <v/>
      </c>
      <c r="K627" s="30">
        <f>IF(A627="","",IFERROR(INDEX('Holders'!$B$4:$B$1003,MATCH(A627,'Holders'!$A$4:$A$1003,0)),""))</f>
        <v/>
      </c>
      <c r="L627" s="30">
        <f>IF(OR(A627="",B627="",D627=""),"",IF(D627=_xlfn.MAXIFS($D$4:$D$2503,$A$4:$A$2503,A627,$B$4:$B$2503,B627),"Yes","No"))</f>
        <v/>
      </c>
      <c r="M627" s="30">
        <f>IF(B627="","",IFERROR(INDEX('Share classes'!$F$4:$F$203,MATCH(B627,'Share classes'!$B$4:$B$203,0)),""))</f>
        <v/>
      </c>
      <c r="N627" s="30">
        <f>IF(A627="","",IF(K627="","Unknown holder ID",IF(J627="","Unknown class code",IF(OR(C627="",D627=""),"Missing shares or date",IF(OR(C627&lt;0,C627&lt;&gt;INT(C627)),"Shares must be a whole number",IF(COUNTIFS($A$4:$A$2503,A627,$B$4:$B$2503,B627,$D$4:$D$2503,D627)&gt;1,"Duplicate row (same date)","OK"))))))</f>
        <v/>
      </c>
    </row>
    <row r="628">
      <c r="A628" s="26" t="n"/>
      <c r="B628" s="26" t="n"/>
      <c r="C628" s="34" t="n"/>
      <c r="D628" s="28" t="n"/>
      <c r="E628" s="26" t="n"/>
      <c r="F628" s="26" t="n"/>
      <c r="G628" s="26" t="n"/>
      <c r="H628" s="38" t="n"/>
      <c r="I628" s="28" t="n"/>
      <c r="J628" s="30">
        <f>IF(B628="","",IFERROR(INDEX('Share classes'!$A$4:$A$203,MATCH(B628,'Share classes'!$B$4:$B$203,0)),""))</f>
        <v/>
      </c>
      <c r="K628" s="30">
        <f>IF(A628="","",IFERROR(INDEX('Holders'!$B$4:$B$1003,MATCH(A628,'Holders'!$A$4:$A$1003,0)),""))</f>
        <v/>
      </c>
      <c r="L628" s="30">
        <f>IF(OR(A628="",B628="",D628=""),"",IF(D628=_xlfn.MAXIFS($D$4:$D$2503,$A$4:$A$2503,A628,$B$4:$B$2503,B628),"Yes","No"))</f>
        <v/>
      </c>
      <c r="M628" s="30">
        <f>IF(B628="","",IFERROR(INDEX('Share classes'!$F$4:$F$203,MATCH(B628,'Share classes'!$B$4:$B$203,0)),""))</f>
        <v/>
      </c>
      <c r="N628" s="30">
        <f>IF(A628="","",IF(K628="","Unknown holder ID",IF(J628="","Unknown class code",IF(OR(C628="",D628=""),"Missing shares or date",IF(OR(C628&lt;0,C628&lt;&gt;INT(C628)),"Shares must be a whole number",IF(COUNTIFS($A$4:$A$2503,A628,$B$4:$B$2503,B628,$D$4:$D$2503,D628)&gt;1,"Duplicate row (same date)","OK"))))))</f>
        <v/>
      </c>
    </row>
    <row r="629">
      <c r="A629" s="26" t="n"/>
      <c r="B629" s="26" t="n"/>
      <c r="C629" s="34" t="n"/>
      <c r="D629" s="28" t="n"/>
      <c r="E629" s="26" t="n"/>
      <c r="F629" s="26" t="n"/>
      <c r="G629" s="26" t="n"/>
      <c r="H629" s="38" t="n"/>
      <c r="I629" s="28" t="n"/>
      <c r="J629" s="30">
        <f>IF(B629="","",IFERROR(INDEX('Share classes'!$A$4:$A$203,MATCH(B629,'Share classes'!$B$4:$B$203,0)),""))</f>
        <v/>
      </c>
      <c r="K629" s="30">
        <f>IF(A629="","",IFERROR(INDEX('Holders'!$B$4:$B$1003,MATCH(A629,'Holders'!$A$4:$A$1003,0)),""))</f>
        <v/>
      </c>
      <c r="L629" s="30">
        <f>IF(OR(A629="",B629="",D629=""),"",IF(D629=_xlfn.MAXIFS($D$4:$D$2503,$A$4:$A$2503,A629,$B$4:$B$2503,B629),"Yes","No"))</f>
        <v/>
      </c>
      <c r="M629" s="30">
        <f>IF(B629="","",IFERROR(INDEX('Share classes'!$F$4:$F$203,MATCH(B629,'Share classes'!$B$4:$B$203,0)),""))</f>
        <v/>
      </c>
      <c r="N629" s="30">
        <f>IF(A629="","",IF(K629="","Unknown holder ID",IF(J629="","Unknown class code",IF(OR(C629="",D629=""),"Missing shares or date",IF(OR(C629&lt;0,C629&lt;&gt;INT(C629)),"Shares must be a whole number",IF(COUNTIFS($A$4:$A$2503,A629,$B$4:$B$2503,B629,$D$4:$D$2503,D629)&gt;1,"Duplicate row (same date)","OK"))))))</f>
        <v/>
      </c>
    </row>
    <row r="630">
      <c r="A630" s="26" t="n"/>
      <c r="B630" s="26" t="n"/>
      <c r="C630" s="34" t="n"/>
      <c r="D630" s="28" t="n"/>
      <c r="E630" s="26" t="n"/>
      <c r="F630" s="26" t="n"/>
      <c r="G630" s="26" t="n"/>
      <c r="H630" s="38" t="n"/>
      <c r="I630" s="28" t="n"/>
      <c r="J630" s="30">
        <f>IF(B630="","",IFERROR(INDEX('Share classes'!$A$4:$A$203,MATCH(B630,'Share classes'!$B$4:$B$203,0)),""))</f>
        <v/>
      </c>
      <c r="K630" s="30">
        <f>IF(A630="","",IFERROR(INDEX('Holders'!$B$4:$B$1003,MATCH(A630,'Holders'!$A$4:$A$1003,0)),""))</f>
        <v/>
      </c>
      <c r="L630" s="30">
        <f>IF(OR(A630="",B630="",D630=""),"",IF(D630=_xlfn.MAXIFS($D$4:$D$2503,$A$4:$A$2503,A630,$B$4:$B$2503,B630),"Yes","No"))</f>
        <v/>
      </c>
      <c r="M630" s="30">
        <f>IF(B630="","",IFERROR(INDEX('Share classes'!$F$4:$F$203,MATCH(B630,'Share classes'!$B$4:$B$203,0)),""))</f>
        <v/>
      </c>
      <c r="N630" s="30">
        <f>IF(A630="","",IF(K630="","Unknown holder ID",IF(J630="","Unknown class code",IF(OR(C630="",D630=""),"Missing shares or date",IF(OR(C630&lt;0,C630&lt;&gt;INT(C630)),"Shares must be a whole number",IF(COUNTIFS($A$4:$A$2503,A630,$B$4:$B$2503,B630,$D$4:$D$2503,D630)&gt;1,"Duplicate row (same date)","OK"))))))</f>
        <v/>
      </c>
    </row>
    <row r="631">
      <c r="A631" s="26" t="n"/>
      <c r="B631" s="26" t="n"/>
      <c r="C631" s="34" t="n"/>
      <c r="D631" s="28" t="n"/>
      <c r="E631" s="26" t="n"/>
      <c r="F631" s="26" t="n"/>
      <c r="G631" s="26" t="n"/>
      <c r="H631" s="38" t="n"/>
      <c r="I631" s="28" t="n"/>
      <c r="J631" s="30">
        <f>IF(B631="","",IFERROR(INDEX('Share classes'!$A$4:$A$203,MATCH(B631,'Share classes'!$B$4:$B$203,0)),""))</f>
        <v/>
      </c>
      <c r="K631" s="30">
        <f>IF(A631="","",IFERROR(INDEX('Holders'!$B$4:$B$1003,MATCH(A631,'Holders'!$A$4:$A$1003,0)),""))</f>
        <v/>
      </c>
      <c r="L631" s="30">
        <f>IF(OR(A631="",B631="",D631=""),"",IF(D631=_xlfn.MAXIFS($D$4:$D$2503,$A$4:$A$2503,A631,$B$4:$B$2503,B631),"Yes","No"))</f>
        <v/>
      </c>
      <c r="M631" s="30">
        <f>IF(B631="","",IFERROR(INDEX('Share classes'!$F$4:$F$203,MATCH(B631,'Share classes'!$B$4:$B$203,0)),""))</f>
        <v/>
      </c>
      <c r="N631" s="30">
        <f>IF(A631="","",IF(K631="","Unknown holder ID",IF(J631="","Unknown class code",IF(OR(C631="",D631=""),"Missing shares or date",IF(OR(C631&lt;0,C631&lt;&gt;INT(C631)),"Shares must be a whole number",IF(COUNTIFS($A$4:$A$2503,A631,$B$4:$B$2503,B631,$D$4:$D$2503,D631)&gt;1,"Duplicate row (same date)","OK"))))))</f>
        <v/>
      </c>
    </row>
    <row r="632">
      <c r="A632" s="26" t="n"/>
      <c r="B632" s="26" t="n"/>
      <c r="C632" s="34" t="n"/>
      <c r="D632" s="28" t="n"/>
      <c r="E632" s="26" t="n"/>
      <c r="F632" s="26" t="n"/>
      <c r="G632" s="26" t="n"/>
      <c r="H632" s="38" t="n"/>
      <c r="I632" s="28" t="n"/>
      <c r="J632" s="30">
        <f>IF(B632="","",IFERROR(INDEX('Share classes'!$A$4:$A$203,MATCH(B632,'Share classes'!$B$4:$B$203,0)),""))</f>
        <v/>
      </c>
      <c r="K632" s="30">
        <f>IF(A632="","",IFERROR(INDEX('Holders'!$B$4:$B$1003,MATCH(A632,'Holders'!$A$4:$A$1003,0)),""))</f>
        <v/>
      </c>
      <c r="L632" s="30">
        <f>IF(OR(A632="",B632="",D632=""),"",IF(D632=_xlfn.MAXIFS($D$4:$D$2503,$A$4:$A$2503,A632,$B$4:$B$2503,B632),"Yes","No"))</f>
        <v/>
      </c>
      <c r="M632" s="30">
        <f>IF(B632="","",IFERROR(INDEX('Share classes'!$F$4:$F$203,MATCH(B632,'Share classes'!$B$4:$B$203,0)),""))</f>
        <v/>
      </c>
      <c r="N632" s="30">
        <f>IF(A632="","",IF(K632="","Unknown holder ID",IF(J632="","Unknown class code",IF(OR(C632="",D632=""),"Missing shares or date",IF(OR(C632&lt;0,C632&lt;&gt;INT(C632)),"Shares must be a whole number",IF(COUNTIFS($A$4:$A$2503,A632,$B$4:$B$2503,B632,$D$4:$D$2503,D632)&gt;1,"Duplicate row (same date)","OK"))))))</f>
        <v/>
      </c>
    </row>
    <row r="633">
      <c r="A633" s="26" t="n"/>
      <c r="B633" s="26" t="n"/>
      <c r="C633" s="34" t="n"/>
      <c r="D633" s="28" t="n"/>
      <c r="E633" s="26" t="n"/>
      <c r="F633" s="26" t="n"/>
      <c r="G633" s="26" t="n"/>
      <c r="H633" s="38" t="n"/>
      <c r="I633" s="28" t="n"/>
      <c r="J633" s="30">
        <f>IF(B633="","",IFERROR(INDEX('Share classes'!$A$4:$A$203,MATCH(B633,'Share classes'!$B$4:$B$203,0)),""))</f>
        <v/>
      </c>
      <c r="K633" s="30">
        <f>IF(A633="","",IFERROR(INDEX('Holders'!$B$4:$B$1003,MATCH(A633,'Holders'!$A$4:$A$1003,0)),""))</f>
        <v/>
      </c>
      <c r="L633" s="30">
        <f>IF(OR(A633="",B633="",D633=""),"",IF(D633=_xlfn.MAXIFS($D$4:$D$2503,$A$4:$A$2503,A633,$B$4:$B$2503,B633),"Yes","No"))</f>
        <v/>
      </c>
      <c r="M633" s="30">
        <f>IF(B633="","",IFERROR(INDEX('Share classes'!$F$4:$F$203,MATCH(B633,'Share classes'!$B$4:$B$203,0)),""))</f>
        <v/>
      </c>
      <c r="N633" s="30">
        <f>IF(A633="","",IF(K633="","Unknown holder ID",IF(J633="","Unknown class code",IF(OR(C633="",D633=""),"Missing shares or date",IF(OR(C633&lt;0,C633&lt;&gt;INT(C633)),"Shares must be a whole number",IF(COUNTIFS($A$4:$A$2503,A633,$B$4:$B$2503,B633,$D$4:$D$2503,D633)&gt;1,"Duplicate row (same date)","OK"))))))</f>
        <v/>
      </c>
    </row>
    <row r="634">
      <c r="A634" s="26" t="n"/>
      <c r="B634" s="26" t="n"/>
      <c r="C634" s="34" t="n"/>
      <c r="D634" s="28" t="n"/>
      <c r="E634" s="26" t="n"/>
      <c r="F634" s="26" t="n"/>
      <c r="G634" s="26" t="n"/>
      <c r="H634" s="38" t="n"/>
      <c r="I634" s="28" t="n"/>
      <c r="J634" s="30">
        <f>IF(B634="","",IFERROR(INDEX('Share classes'!$A$4:$A$203,MATCH(B634,'Share classes'!$B$4:$B$203,0)),""))</f>
        <v/>
      </c>
      <c r="K634" s="30">
        <f>IF(A634="","",IFERROR(INDEX('Holders'!$B$4:$B$1003,MATCH(A634,'Holders'!$A$4:$A$1003,0)),""))</f>
        <v/>
      </c>
      <c r="L634" s="30">
        <f>IF(OR(A634="",B634="",D634=""),"",IF(D634=_xlfn.MAXIFS($D$4:$D$2503,$A$4:$A$2503,A634,$B$4:$B$2503,B634),"Yes","No"))</f>
        <v/>
      </c>
      <c r="M634" s="30">
        <f>IF(B634="","",IFERROR(INDEX('Share classes'!$F$4:$F$203,MATCH(B634,'Share classes'!$B$4:$B$203,0)),""))</f>
        <v/>
      </c>
      <c r="N634" s="30">
        <f>IF(A634="","",IF(K634="","Unknown holder ID",IF(J634="","Unknown class code",IF(OR(C634="",D634=""),"Missing shares or date",IF(OR(C634&lt;0,C634&lt;&gt;INT(C634)),"Shares must be a whole number",IF(COUNTIFS($A$4:$A$2503,A634,$B$4:$B$2503,B634,$D$4:$D$2503,D634)&gt;1,"Duplicate row (same date)","OK"))))))</f>
        <v/>
      </c>
    </row>
    <row r="635">
      <c r="A635" s="26" t="n"/>
      <c r="B635" s="26" t="n"/>
      <c r="C635" s="34" t="n"/>
      <c r="D635" s="28" t="n"/>
      <c r="E635" s="26" t="n"/>
      <c r="F635" s="26" t="n"/>
      <c r="G635" s="26" t="n"/>
      <c r="H635" s="38" t="n"/>
      <c r="I635" s="28" t="n"/>
      <c r="J635" s="30">
        <f>IF(B635="","",IFERROR(INDEX('Share classes'!$A$4:$A$203,MATCH(B635,'Share classes'!$B$4:$B$203,0)),""))</f>
        <v/>
      </c>
      <c r="K635" s="30">
        <f>IF(A635="","",IFERROR(INDEX('Holders'!$B$4:$B$1003,MATCH(A635,'Holders'!$A$4:$A$1003,0)),""))</f>
        <v/>
      </c>
      <c r="L635" s="30">
        <f>IF(OR(A635="",B635="",D635=""),"",IF(D635=_xlfn.MAXIFS($D$4:$D$2503,$A$4:$A$2503,A635,$B$4:$B$2503,B635),"Yes","No"))</f>
        <v/>
      </c>
      <c r="M635" s="30">
        <f>IF(B635="","",IFERROR(INDEX('Share classes'!$F$4:$F$203,MATCH(B635,'Share classes'!$B$4:$B$203,0)),""))</f>
        <v/>
      </c>
      <c r="N635" s="30">
        <f>IF(A635="","",IF(K635="","Unknown holder ID",IF(J635="","Unknown class code",IF(OR(C635="",D635=""),"Missing shares or date",IF(OR(C635&lt;0,C635&lt;&gt;INT(C635)),"Shares must be a whole number",IF(COUNTIFS($A$4:$A$2503,A635,$B$4:$B$2503,B635,$D$4:$D$2503,D635)&gt;1,"Duplicate row (same date)","OK"))))))</f>
        <v/>
      </c>
    </row>
    <row r="636">
      <c r="A636" s="26" t="n"/>
      <c r="B636" s="26" t="n"/>
      <c r="C636" s="34" t="n"/>
      <c r="D636" s="28" t="n"/>
      <c r="E636" s="26" t="n"/>
      <c r="F636" s="26" t="n"/>
      <c r="G636" s="26" t="n"/>
      <c r="H636" s="38" t="n"/>
      <c r="I636" s="28" t="n"/>
      <c r="J636" s="30">
        <f>IF(B636="","",IFERROR(INDEX('Share classes'!$A$4:$A$203,MATCH(B636,'Share classes'!$B$4:$B$203,0)),""))</f>
        <v/>
      </c>
      <c r="K636" s="30">
        <f>IF(A636="","",IFERROR(INDEX('Holders'!$B$4:$B$1003,MATCH(A636,'Holders'!$A$4:$A$1003,0)),""))</f>
        <v/>
      </c>
      <c r="L636" s="30">
        <f>IF(OR(A636="",B636="",D636=""),"",IF(D636=_xlfn.MAXIFS($D$4:$D$2503,$A$4:$A$2503,A636,$B$4:$B$2503,B636),"Yes","No"))</f>
        <v/>
      </c>
      <c r="M636" s="30">
        <f>IF(B636="","",IFERROR(INDEX('Share classes'!$F$4:$F$203,MATCH(B636,'Share classes'!$B$4:$B$203,0)),""))</f>
        <v/>
      </c>
      <c r="N636" s="30">
        <f>IF(A636="","",IF(K636="","Unknown holder ID",IF(J636="","Unknown class code",IF(OR(C636="",D636=""),"Missing shares or date",IF(OR(C636&lt;0,C636&lt;&gt;INT(C636)),"Shares must be a whole number",IF(COUNTIFS($A$4:$A$2503,A636,$B$4:$B$2503,B636,$D$4:$D$2503,D636)&gt;1,"Duplicate row (same date)","OK"))))))</f>
        <v/>
      </c>
    </row>
    <row r="637">
      <c r="A637" s="26" t="n"/>
      <c r="B637" s="26" t="n"/>
      <c r="C637" s="34" t="n"/>
      <c r="D637" s="28" t="n"/>
      <c r="E637" s="26" t="n"/>
      <c r="F637" s="26" t="n"/>
      <c r="G637" s="26" t="n"/>
      <c r="H637" s="38" t="n"/>
      <c r="I637" s="28" t="n"/>
      <c r="J637" s="30">
        <f>IF(B637="","",IFERROR(INDEX('Share classes'!$A$4:$A$203,MATCH(B637,'Share classes'!$B$4:$B$203,0)),""))</f>
        <v/>
      </c>
      <c r="K637" s="30">
        <f>IF(A637="","",IFERROR(INDEX('Holders'!$B$4:$B$1003,MATCH(A637,'Holders'!$A$4:$A$1003,0)),""))</f>
        <v/>
      </c>
      <c r="L637" s="30">
        <f>IF(OR(A637="",B637="",D637=""),"",IF(D637=_xlfn.MAXIFS($D$4:$D$2503,$A$4:$A$2503,A637,$B$4:$B$2503,B637),"Yes","No"))</f>
        <v/>
      </c>
      <c r="M637" s="30">
        <f>IF(B637="","",IFERROR(INDEX('Share classes'!$F$4:$F$203,MATCH(B637,'Share classes'!$B$4:$B$203,0)),""))</f>
        <v/>
      </c>
      <c r="N637" s="30">
        <f>IF(A637="","",IF(K637="","Unknown holder ID",IF(J637="","Unknown class code",IF(OR(C637="",D637=""),"Missing shares or date",IF(OR(C637&lt;0,C637&lt;&gt;INT(C637)),"Shares must be a whole number",IF(COUNTIFS($A$4:$A$2503,A637,$B$4:$B$2503,B637,$D$4:$D$2503,D637)&gt;1,"Duplicate row (same date)","OK"))))))</f>
        <v/>
      </c>
    </row>
    <row r="638">
      <c r="A638" s="26" t="n"/>
      <c r="B638" s="26" t="n"/>
      <c r="C638" s="34" t="n"/>
      <c r="D638" s="28" t="n"/>
      <c r="E638" s="26" t="n"/>
      <c r="F638" s="26" t="n"/>
      <c r="G638" s="26" t="n"/>
      <c r="H638" s="38" t="n"/>
      <c r="I638" s="28" t="n"/>
      <c r="J638" s="30">
        <f>IF(B638="","",IFERROR(INDEX('Share classes'!$A$4:$A$203,MATCH(B638,'Share classes'!$B$4:$B$203,0)),""))</f>
        <v/>
      </c>
      <c r="K638" s="30">
        <f>IF(A638="","",IFERROR(INDEX('Holders'!$B$4:$B$1003,MATCH(A638,'Holders'!$A$4:$A$1003,0)),""))</f>
        <v/>
      </c>
      <c r="L638" s="30">
        <f>IF(OR(A638="",B638="",D638=""),"",IF(D638=_xlfn.MAXIFS($D$4:$D$2503,$A$4:$A$2503,A638,$B$4:$B$2503,B638),"Yes","No"))</f>
        <v/>
      </c>
      <c r="M638" s="30">
        <f>IF(B638="","",IFERROR(INDEX('Share classes'!$F$4:$F$203,MATCH(B638,'Share classes'!$B$4:$B$203,0)),""))</f>
        <v/>
      </c>
      <c r="N638" s="30">
        <f>IF(A638="","",IF(K638="","Unknown holder ID",IF(J638="","Unknown class code",IF(OR(C638="",D638=""),"Missing shares or date",IF(OR(C638&lt;0,C638&lt;&gt;INT(C638)),"Shares must be a whole number",IF(COUNTIFS($A$4:$A$2503,A638,$B$4:$B$2503,B638,$D$4:$D$2503,D638)&gt;1,"Duplicate row (same date)","OK"))))))</f>
        <v/>
      </c>
    </row>
    <row r="639">
      <c r="A639" s="26" t="n"/>
      <c r="B639" s="26" t="n"/>
      <c r="C639" s="34" t="n"/>
      <c r="D639" s="28" t="n"/>
      <c r="E639" s="26" t="n"/>
      <c r="F639" s="26" t="n"/>
      <c r="G639" s="26" t="n"/>
      <c r="H639" s="38" t="n"/>
      <c r="I639" s="28" t="n"/>
      <c r="J639" s="30">
        <f>IF(B639="","",IFERROR(INDEX('Share classes'!$A$4:$A$203,MATCH(B639,'Share classes'!$B$4:$B$203,0)),""))</f>
        <v/>
      </c>
      <c r="K639" s="30">
        <f>IF(A639="","",IFERROR(INDEX('Holders'!$B$4:$B$1003,MATCH(A639,'Holders'!$A$4:$A$1003,0)),""))</f>
        <v/>
      </c>
      <c r="L639" s="30">
        <f>IF(OR(A639="",B639="",D639=""),"",IF(D639=_xlfn.MAXIFS($D$4:$D$2503,$A$4:$A$2503,A639,$B$4:$B$2503,B639),"Yes","No"))</f>
        <v/>
      </c>
      <c r="M639" s="30">
        <f>IF(B639="","",IFERROR(INDEX('Share classes'!$F$4:$F$203,MATCH(B639,'Share classes'!$B$4:$B$203,0)),""))</f>
        <v/>
      </c>
      <c r="N639" s="30">
        <f>IF(A639="","",IF(K639="","Unknown holder ID",IF(J639="","Unknown class code",IF(OR(C639="",D639=""),"Missing shares or date",IF(OR(C639&lt;0,C639&lt;&gt;INT(C639)),"Shares must be a whole number",IF(COUNTIFS($A$4:$A$2503,A639,$B$4:$B$2503,B639,$D$4:$D$2503,D639)&gt;1,"Duplicate row (same date)","OK"))))))</f>
        <v/>
      </c>
    </row>
    <row r="640">
      <c r="A640" s="26" t="n"/>
      <c r="B640" s="26" t="n"/>
      <c r="C640" s="34" t="n"/>
      <c r="D640" s="28" t="n"/>
      <c r="E640" s="26" t="n"/>
      <c r="F640" s="26" t="n"/>
      <c r="G640" s="26" t="n"/>
      <c r="H640" s="38" t="n"/>
      <c r="I640" s="28" t="n"/>
      <c r="J640" s="30">
        <f>IF(B640="","",IFERROR(INDEX('Share classes'!$A$4:$A$203,MATCH(B640,'Share classes'!$B$4:$B$203,0)),""))</f>
        <v/>
      </c>
      <c r="K640" s="30">
        <f>IF(A640="","",IFERROR(INDEX('Holders'!$B$4:$B$1003,MATCH(A640,'Holders'!$A$4:$A$1003,0)),""))</f>
        <v/>
      </c>
      <c r="L640" s="30">
        <f>IF(OR(A640="",B640="",D640=""),"",IF(D640=_xlfn.MAXIFS($D$4:$D$2503,$A$4:$A$2503,A640,$B$4:$B$2503,B640),"Yes","No"))</f>
        <v/>
      </c>
      <c r="M640" s="30">
        <f>IF(B640="","",IFERROR(INDEX('Share classes'!$F$4:$F$203,MATCH(B640,'Share classes'!$B$4:$B$203,0)),""))</f>
        <v/>
      </c>
      <c r="N640" s="30">
        <f>IF(A640="","",IF(K640="","Unknown holder ID",IF(J640="","Unknown class code",IF(OR(C640="",D640=""),"Missing shares or date",IF(OR(C640&lt;0,C640&lt;&gt;INT(C640)),"Shares must be a whole number",IF(COUNTIFS($A$4:$A$2503,A640,$B$4:$B$2503,B640,$D$4:$D$2503,D640)&gt;1,"Duplicate row (same date)","OK"))))))</f>
        <v/>
      </c>
    </row>
    <row r="641">
      <c r="A641" s="26" t="n"/>
      <c r="B641" s="26" t="n"/>
      <c r="C641" s="34" t="n"/>
      <c r="D641" s="28" t="n"/>
      <c r="E641" s="26" t="n"/>
      <c r="F641" s="26" t="n"/>
      <c r="G641" s="26" t="n"/>
      <c r="H641" s="38" t="n"/>
      <c r="I641" s="28" t="n"/>
      <c r="J641" s="30">
        <f>IF(B641="","",IFERROR(INDEX('Share classes'!$A$4:$A$203,MATCH(B641,'Share classes'!$B$4:$B$203,0)),""))</f>
        <v/>
      </c>
      <c r="K641" s="30">
        <f>IF(A641="","",IFERROR(INDEX('Holders'!$B$4:$B$1003,MATCH(A641,'Holders'!$A$4:$A$1003,0)),""))</f>
        <v/>
      </c>
      <c r="L641" s="30">
        <f>IF(OR(A641="",B641="",D641=""),"",IF(D641=_xlfn.MAXIFS($D$4:$D$2503,$A$4:$A$2503,A641,$B$4:$B$2503,B641),"Yes","No"))</f>
        <v/>
      </c>
      <c r="M641" s="30">
        <f>IF(B641="","",IFERROR(INDEX('Share classes'!$F$4:$F$203,MATCH(B641,'Share classes'!$B$4:$B$203,0)),""))</f>
        <v/>
      </c>
      <c r="N641" s="30">
        <f>IF(A641="","",IF(K641="","Unknown holder ID",IF(J641="","Unknown class code",IF(OR(C641="",D641=""),"Missing shares or date",IF(OR(C641&lt;0,C641&lt;&gt;INT(C641)),"Shares must be a whole number",IF(COUNTIFS($A$4:$A$2503,A641,$B$4:$B$2503,B641,$D$4:$D$2503,D641)&gt;1,"Duplicate row (same date)","OK"))))))</f>
        <v/>
      </c>
    </row>
    <row r="642">
      <c r="A642" s="26" t="n"/>
      <c r="B642" s="26" t="n"/>
      <c r="C642" s="34" t="n"/>
      <c r="D642" s="28" t="n"/>
      <c r="E642" s="26" t="n"/>
      <c r="F642" s="26" t="n"/>
      <c r="G642" s="26" t="n"/>
      <c r="H642" s="38" t="n"/>
      <c r="I642" s="28" t="n"/>
      <c r="J642" s="30">
        <f>IF(B642="","",IFERROR(INDEX('Share classes'!$A$4:$A$203,MATCH(B642,'Share classes'!$B$4:$B$203,0)),""))</f>
        <v/>
      </c>
      <c r="K642" s="30">
        <f>IF(A642="","",IFERROR(INDEX('Holders'!$B$4:$B$1003,MATCH(A642,'Holders'!$A$4:$A$1003,0)),""))</f>
        <v/>
      </c>
      <c r="L642" s="30">
        <f>IF(OR(A642="",B642="",D642=""),"",IF(D642=_xlfn.MAXIFS($D$4:$D$2503,$A$4:$A$2503,A642,$B$4:$B$2503,B642),"Yes","No"))</f>
        <v/>
      </c>
      <c r="M642" s="30">
        <f>IF(B642="","",IFERROR(INDEX('Share classes'!$F$4:$F$203,MATCH(B642,'Share classes'!$B$4:$B$203,0)),""))</f>
        <v/>
      </c>
      <c r="N642" s="30">
        <f>IF(A642="","",IF(K642="","Unknown holder ID",IF(J642="","Unknown class code",IF(OR(C642="",D642=""),"Missing shares or date",IF(OR(C642&lt;0,C642&lt;&gt;INT(C642)),"Shares must be a whole number",IF(COUNTIFS($A$4:$A$2503,A642,$B$4:$B$2503,B642,$D$4:$D$2503,D642)&gt;1,"Duplicate row (same date)","OK"))))))</f>
        <v/>
      </c>
    </row>
    <row r="643">
      <c r="A643" s="26" t="n"/>
      <c r="B643" s="26" t="n"/>
      <c r="C643" s="34" t="n"/>
      <c r="D643" s="28" t="n"/>
      <c r="E643" s="26" t="n"/>
      <c r="F643" s="26" t="n"/>
      <c r="G643" s="26" t="n"/>
      <c r="H643" s="38" t="n"/>
      <c r="I643" s="28" t="n"/>
      <c r="J643" s="30">
        <f>IF(B643="","",IFERROR(INDEX('Share classes'!$A$4:$A$203,MATCH(B643,'Share classes'!$B$4:$B$203,0)),""))</f>
        <v/>
      </c>
      <c r="K643" s="30">
        <f>IF(A643="","",IFERROR(INDEX('Holders'!$B$4:$B$1003,MATCH(A643,'Holders'!$A$4:$A$1003,0)),""))</f>
        <v/>
      </c>
      <c r="L643" s="30">
        <f>IF(OR(A643="",B643="",D643=""),"",IF(D643=_xlfn.MAXIFS($D$4:$D$2503,$A$4:$A$2503,A643,$B$4:$B$2503,B643),"Yes","No"))</f>
        <v/>
      </c>
      <c r="M643" s="30">
        <f>IF(B643="","",IFERROR(INDEX('Share classes'!$F$4:$F$203,MATCH(B643,'Share classes'!$B$4:$B$203,0)),""))</f>
        <v/>
      </c>
      <c r="N643" s="30">
        <f>IF(A643="","",IF(K643="","Unknown holder ID",IF(J643="","Unknown class code",IF(OR(C643="",D643=""),"Missing shares or date",IF(OR(C643&lt;0,C643&lt;&gt;INT(C643)),"Shares must be a whole number",IF(COUNTIFS($A$4:$A$2503,A643,$B$4:$B$2503,B643,$D$4:$D$2503,D643)&gt;1,"Duplicate row (same date)","OK"))))))</f>
        <v/>
      </c>
    </row>
    <row r="644">
      <c r="A644" s="26" t="n"/>
      <c r="B644" s="26" t="n"/>
      <c r="C644" s="34" t="n"/>
      <c r="D644" s="28" t="n"/>
      <c r="E644" s="26" t="n"/>
      <c r="F644" s="26" t="n"/>
      <c r="G644" s="26" t="n"/>
      <c r="H644" s="38" t="n"/>
      <c r="I644" s="28" t="n"/>
      <c r="J644" s="30">
        <f>IF(B644="","",IFERROR(INDEX('Share classes'!$A$4:$A$203,MATCH(B644,'Share classes'!$B$4:$B$203,0)),""))</f>
        <v/>
      </c>
      <c r="K644" s="30">
        <f>IF(A644="","",IFERROR(INDEX('Holders'!$B$4:$B$1003,MATCH(A644,'Holders'!$A$4:$A$1003,0)),""))</f>
        <v/>
      </c>
      <c r="L644" s="30">
        <f>IF(OR(A644="",B644="",D644=""),"",IF(D644=_xlfn.MAXIFS($D$4:$D$2503,$A$4:$A$2503,A644,$B$4:$B$2503,B644),"Yes","No"))</f>
        <v/>
      </c>
      <c r="M644" s="30">
        <f>IF(B644="","",IFERROR(INDEX('Share classes'!$F$4:$F$203,MATCH(B644,'Share classes'!$B$4:$B$203,0)),""))</f>
        <v/>
      </c>
      <c r="N644" s="30">
        <f>IF(A644="","",IF(K644="","Unknown holder ID",IF(J644="","Unknown class code",IF(OR(C644="",D644=""),"Missing shares or date",IF(OR(C644&lt;0,C644&lt;&gt;INT(C644)),"Shares must be a whole number",IF(COUNTIFS($A$4:$A$2503,A644,$B$4:$B$2503,B644,$D$4:$D$2503,D644)&gt;1,"Duplicate row (same date)","OK"))))))</f>
        <v/>
      </c>
    </row>
    <row r="645">
      <c r="A645" s="26" t="n"/>
      <c r="B645" s="26" t="n"/>
      <c r="C645" s="34" t="n"/>
      <c r="D645" s="28" t="n"/>
      <c r="E645" s="26" t="n"/>
      <c r="F645" s="26" t="n"/>
      <c r="G645" s="26" t="n"/>
      <c r="H645" s="38" t="n"/>
      <c r="I645" s="28" t="n"/>
      <c r="J645" s="30">
        <f>IF(B645="","",IFERROR(INDEX('Share classes'!$A$4:$A$203,MATCH(B645,'Share classes'!$B$4:$B$203,0)),""))</f>
        <v/>
      </c>
      <c r="K645" s="30">
        <f>IF(A645="","",IFERROR(INDEX('Holders'!$B$4:$B$1003,MATCH(A645,'Holders'!$A$4:$A$1003,0)),""))</f>
        <v/>
      </c>
      <c r="L645" s="30">
        <f>IF(OR(A645="",B645="",D645=""),"",IF(D645=_xlfn.MAXIFS($D$4:$D$2503,$A$4:$A$2503,A645,$B$4:$B$2503,B645),"Yes","No"))</f>
        <v/>
      </c>
      <c r="M645" s="30">
        <f>IF(B645="","",IFERROR(INDEX('Share classes'!$F$4:$F$203,MATCH(B645,'Share classes'!$B$4:$B$203,0)),""))</f>
        <v/>
      </c>
      <c r="N645" s="30">
        <f>IF(A645="","",IF(K645="","Unknown holder ID",IF(J645="","Unknown class code",IF(OR(C645="",D645=""),"Missing shares or date",IF(OR(C645&lt;0,C645&lt;&gt;INT(C645)),"Shares must be a whole number",IF(COUNTIFS($A$4:$A$2503,A645,$B$4:$B$2503,B645,$D$4:$D$2503,D645)&gt;1,"Duplicate row (same date)","OK"))))))</f>
        <v/>
      </c>
    </row>
    <row r="646">
      <c r="A646" s="26" t="n"/>
      <c r="B646" s="26" t="n"/>
      <c r="C646" s="34" t="n"/>
      <c r="D646" s="28" t="n"/>
      <c r="E646" s="26" t="n"/>
      <c r="F646" s="26" t="n"/>
      <c r="G646" s="26" t="n"/>
      <c r="H646" s="38" t="n"/>
      <c r="I646" s="28" t="n"/>
      <c r="J646" s="30">
        <f>IF(B646="","",IFERROR(INDEX('Share classes'!$A$4:$A$203,MATCH(B646,'Share classes'!$B$4:$B$203,0)),""))</f>
        <v/>
      </c>
      <c r="K646" s="30">
        <f>IF(A646="","",IFERROR(INDEX('Holders'!$B$4:$B$1003,MATCH(A646,'Holders'!$A$4:$A$1003,0)),""))</f>
        <v/>
      </c>
      <c r="L646" s="30">
        <f>IF(OR(A646="",B646="",D646=""),"",IF(D646=_xlfn.MAXIFS($D$4:$D$2503,$A$4:$A$2503,A646,$B$4:$B$2503,B646),"Yes","No"))</f>
        <v/>
      </c>
      <c r="M646" s="30">
        <f>IF(B646="","",IFERROR(INDEX('Share classes'!$F$4:$F$203,MATCH(B646,'Share classes'!$B$4:$B$203,0)),""))</f>
        <v/>
      </c>
      <c r="N646" s="30">
        <f>IF(A646="","",IF(K646="","Unknown holder ID",IF(J646="","Unknown class code",IF(OR(C646="",D646=""),"Missing shares or date",IF(OR(C646&lt;0,C646&lt;&gt;INT(C646)),"Shares must be a whole number",IF(COUNTIFS($A$4:$A$2503,A646,$B$4:$B$2503,B646,$D$4:$D$2503,D646)&gt;1,"Duplicate row (same date)","OK"))))))</f>
        <v/>
      </c>
    </row>
    <row r="647">
      <c r="A647" s="26" t="n"/>
      <c r="B647" s="26" t="n"/>
      <c r="C647" s="34" t="n"/>
      <c r="D647" s="28" t="n"/>
      <c r="E647" s="26" t="n"/>
      <c r="F647" s="26" t="n"/>
      <c r="G647" s="26" t="n"/>
      <c r="H647" s="38" t="n"/>
      <c r="I647" s="28" t="n"/>
      <c r="J647" s="30">
        <f>IF(B647="","",IFERROR(INDEX('Share classes'!$A$4:$A$203,MATCH(B647,'Share classes'!$B$4:$B$203,0)),""))</f>
        <v/>
      </c>
      <c r="K647" s="30">
        <f>IF(A647="","",IFERROR(INDEX('Holders'!$B$4:$B$1003,MATCH(A647,'Holders'!$A$4:$A$1003,0)),""))</f>
        <v/>
      </c>
      <c r="L647" s="30">
        <f>IF(OR(A647="",B647="",D647=""),"",IF(D647=_xlfn.MAXIFS($D$4:$D$2503,$A$4:$A$2503,A647,$B$4:$B$2503,B647),"Yes","No"))</f>
        <v/>
      </c>
      <c r="M647" s="30">
        <f>IF(B647="","",IFERROR(INDEX('Share classes'!$F$4:$F$203,MATCH(B647,'Share classes'!$B$4:$B$203,0)),""))</f>
        <v/>
      </c>
      <c r="N647" s="30">
        <f>IF(A647="","",IF(K647="","Unknown holder ID",IF(J647="","Unknown class code",IF(OR(C647="",D647=""),"Missing shares or date",IF(OR(C647&lt;0,C647&lt;&gt;INT(C647)),"Shares must be a whole number",IF(COUNTIFS($A$4:$A$2503,A647,$B$4:$B$2503,B647,$D$4:$D$2503,D647)&gt;1,"Duplicate row (same date)","OK"))))))</f>
        <v/>
      </c>
    </row>
    <row r="648">
      <c r="A648" s="26" t="n"/>
      <c r="B648" s="26" t="n"/>
      <c r="C648" s="34" t="n"/>
      <c r="D648" s="28" t="n"/>
      <c r="E648" s="26" t="n"/>
      <c r="F648" s="26" t="n"/>
      <c r="G648" s="26" t="n"/>
      <c r="H648" s="38" t="n"/>
      <c r="I648" s="28" t="n"/>
      <c r="J648" s="30">
        <f>IF(B648="","",IFERROR(INDEX('Share classes'!$A$4:$A$203,MATCH(B648,'Share classes'!$B$4:$B$203,0)),""))</f>
        <v/>
      </c>
      <c r="K648" s="30">
        <f>IF(A648="","",IFERROR(INDEX('Holders'!$B$4:$B$1003,MATCH(A648,'Holders'!$A$4:$A$1003,0)),""))</f>
        <v/>
      </c>
      <c r="L648" s="30">
        <f>IF(OR(A648="",B648="",D648=""),"",IF(D648=_xlfn.MAXIFS($D$4:$D$2503,$A$4:$A$2503,A648,$B$4:$B$2503,B648),"Yes","No"))</f>
        <v/>
      </c>
      <c r="M648" s="30">
        <f>IF(B648="","",IFERROR(INDEX('Share classes'!$F$4:$F$203,MATCH(B648,'Share classes'!$B$4:$B$203,0)),""))</f>
        <v/>
      </c>
      <c r="N648" s="30">
        <f>IF(A648="","",IF(K648="","Unknown holder ID",IF(J648="","Unknown class code",IF(OR(C648="",D648=""),"Missing shares or date",IF(OR(C648&lt;0,C648&lt;&gt;INT(C648)),"Shares must be a whole number",IF(COUNTIFS($A$4:$A$2503,A648,$B$4:$B$2503,B648,$D$4:$D$2503,D648)&gt;1,"Duplicate row (same date)","OK"))))))</f>
        <v/>
      </c>
    </row>
    <row r="649">
      <c r="A649" s="26" t="n"/>
      <c r="B649" s="26" t="n"/>
      <c r="C649" s="34" t="n"/>
      <c r="D649" s="28" t="n"/>
      <c r="E649" s="26" t="n"/>
      <c r="F649" s="26" t="n"/>
      <c r="G649" s="26" t="n"/>
      <c r="H649" s="38" t="n"/>
      <c r="I649" s="28" t="n"/>
      <c r="J649" s="30">
        <f>IF(B649="","",IFERROR(INDEX('Share classes'!$A$4:$A$203,MATCH(B649,'Share classes'!$B$4:$B$203,0)),""))</f>
        <v/>
      </c>
      <c r="K649" s="30">
        <f>IF(A649="","",IFERROR(INDEX('Holders'!$B$4:$B$1003,MATCH(A649,'Holders'!$A$4:$A$1003,0)),""))</f>
        <v/>
      </c>
      <c r="L649" s="30">
        <f>IF(OR(A649="",B649="",D649=""),"",IF(D649=_xlfn.MAXIFS($D$4:$D$2503,$A$4:$A$2503,A649,$B$4:$B$2503,B649),"Yes","No"))</f>
        <v/>
      </c>
      <c r="M649" s="30">
        <f>IF(B649="","",IFERROR(INDEX('Share classes'!$F$4:$F$203,MATCH(B649,'Share classes'!$B$4:$B$203,0)),""))</f>
        <v/>
      </c>
      <c r="N649" s="30">
        <f>IF(A649="","",IF(K649="","Unknown holder ID",IF(J649="","Unknown class code",IF(OR(C649="",D649=""),"Missing shares or date",IF(OR(C649&lt;0,C649&lt;&gt;INT(C649)),"Shares must be a whole number",IF(COUNTIFS($A$4:$A$2503,A649,$B$4:$B$2503,B649,$D$4:$D$2503,D649)&gt;1,"Duplicate row (same date)","OK"))))))</f>
        <v/>
      </c>
    </row>
    <row r="650">
      <c r="A650" s="26" t="n"/>
      <c r="B650" s="26" t="n"/>
      <c r="C650" s="34" t="n"/>
      <c r="D650" s="28" t="n"/>
      <c r="E650" s="26" t="n"/>
      <c r="F650" s="26" t="n"/>
      <c r="G650" s="26" t="n"/>
      <c r="H650" s="38" t="n"/>
      <c r="I650" s="28" t="n"/>
      <c r="J650" s="30">
        <f>IF(B650="","",IFERROR(INDEX('Share classes'!$A$4:$A$203,MATCH(B650,'Share classes'!$B$4:$B$203,0)),""))</f>
        <v/>
      </c>
      <c r="K650" s="30">
        <f>IF(A650="","",IFERROR(INDEX('Holders'!$B$4:$B$1003,MATCH(A650,'Holders'!$A$4:$A$1003,0)),""))</f>
        <v/>
      </c>
      <c r="L650" s="30">
        <f>IF(OR(A650="",B650="",D650=""),"",IF(D650=_xlfn.MAXIFS($D$4:$D$2503,$A$4:$A$2503,A650,$B$4:$B$2503,B650),"Yes","No"))</f>
        <v/>
      </c>
      <c r="M650" s="30">
        <f>IF(B650="","",IFERROR(INDEX('Share classes'!$F$4:$F$203,MATCH(B650,'Share classes'!$B$4:$B$203,0)),""))</f>
        <v/>
      </c>
      <c r="N650" s="30">
        <f>IF(A650="","",IF(K650="","Unknown holder ID",IF(J650="","Unknown class code",IF(OR(C650="",D650=""),"Missing shares or date",IF(OR(C650&lt;0,C650&lt;&gt;INT(C650)),"Shares must be a whole number",IF(COUNTIFS($A$4:$A$2503,A650,$B$4:$B$2503,B650,$D$4:$D$2503,D650)&gt;1,"Duplicate row (same date)","OK"))))))</f>
        <v/>
      </c>
    </row>
    <row r="651">
      <c r="A651" s="26" t="n"/>
      <c r="B651" s="26" t="n"/>
      <c r="C651" s="34" t="n"/>
      <c r="D651" s="28" t="n"/>
      <c r="E651" s="26" t="n"/>
      <c r="F651" s="26" t="n"/>
      <c r="G651" s="26" t="n"/>
      <c r="H651" s="38" t="n"/>
      <c r="I651" s="28" t="n"/>
      <c r="J651" s="30">
        <f>IF(B651="","",IFERROR(INDEX('Share classes'!$A$4:$A$203,MATCH(B651,'Share classes'!$B$4:$B$203,0)),""))</f>
        <v/>
      </c>
      <c r="K651" s="30">
        <f>IF(A651="","",IFERROR(INDEX('Holders'!$B$4:$B$1003,MATCH(A651,'Holders'!$A$4:$A$1003,0)),""))</f>
        <v/>
      </c>
      <c r="L651" s="30">
        <f>IF(OR(A651="",B651="",D651=""),"",IF(D651=_xlfn.MAXIFS($D$4:$D$2503,$A$4:$A$2503,A651,$B$4:$B$2503,B651),"Yes","No"))</f>
        <v/>
      </c>
      <c r="M651" s="30">
        <f>IF(B651="","",IFERROR(INDEX('Share classes'!$F$4:$F$203,MATCH(B651,'Share classes'!$B$4:$B$203,0)),""))</f>
        <v/>
      </c>
      <c r="N651" s="30">
        <f>IF(A651="","",IF(K651="","Unknown holder ID",IF(J651="","Unknown class code",IF(OR(C651="",D651=""),"Missing shares or date",IF(OR(C651&lt;0,C651&lt;&gt;INT(C651)),"Shares must be a whole number",IF(COUNTIFS($A$4:$A$2503,A651,$B$4:$B$2503,B651,$D$4:$D$2503,D651)&gt;1,"Duplicate row (same date)","OK"))))))</f>
        <v/>
      </c>
    </row>
    <row r="652">
      <c r="A652" s="26" t="n"/>
      <c r="B652" s="26" t="n"/>
      <c r="C652" s="34" t="n"/>
      <c r="D652" s="28" t="n"/>
      <c r="E652" s="26" t="n"/>
      <c r="F652" s="26" t="n"/>
      <c r="G652" s="26" t="n"/>
      <c r="H652" s="38" t="n"/>
      <c r="I652" s="28" t="n"/>
      <c r="J652" s="30">
        <f>IF(B652="","",IFERROR(INDEX('Share classes'!$A$4:$A$203,MATCH(B652,'Share classes'!$B$4:$B$203,0)),""))</f>
        <v/>
      </c>
      <c r="K652" s="30">
        <f>IF(A652="","",IFERROR(INDEX('Holders'!$B$4:$B$1003,MATCH(A652,'Holders'!$A$4:$A$1003,0)),""))</f>
        <v/>
      </c>
      <c r="L652" s="30">
        <f>IF(OR(A652="",B652="",D652=""),"",IF(D652=_xlfn.MAXIFS($D$4:$D$2503,$A$4:$A$2503,A652,$B$4:$B$2503,B652),"Yes","No"))</f>
        <v/>
      </c>
      <c r="M652" s="30">
        <f>IF(B652="","",IFERROR(INDEX('Share classes'!$F$4:$F$203,MATCH(B652,'Share classes'!$B$4:$B$203,0)),""))</f>
        <v/>
      </c>
      <c r="N652" s="30">
        <f>IF(A652="","",IF(K652="","Unknown holder ID",IF(J652="","Unknown class code",IF(OR(C652="",D652=""),"Missing shares or date",IF(OR(C652&lt;0,C652&lt;&gt;INT(C652)),"Shares must be a whole number",IF(COUNTIFS($A$4:$A$2503,A652,$B$4:$B$2503,B652,$D$4:$D$2503,D652)&gt;1,"Duplicate row (same date)","OK"))))))</f>
        <v/>
      </c>
    </row>
    <row r="653">
      <c r="A653" s="26" t="n"/>
      <c r="B653" s="26" t="n"/>
      <c r="C653" s="34" t="n"/>
      <c r="D653" s="28" t="n"/>
      <c r="E653" s="26" t="n"/>
      <c r="F653" s="26" t="n"/>
      <c r="G653" s="26" t="n"/>
      <c r="H653" s="38" t="n"/>
      <c r="I653" s="28" t="n"/>
      <c r="J653" s="30">
        <f>IF(B653="","",IFERROR(INDEX('Share classes'!$A$4:$A$203,MATCH(B653,'Share classes'!$B$4:$B$203,0)),""))</f>
        <v/>
      </c>
      <c r="K653" s="30">
        <f>IF(A653="","",IFERROR(INDEX('Holders'!$B$4:$B$1003,MATCH(A653,'Holders'!$A$4:$A$1003,0)),""))</f>
        <v/>
      </c>
      <c r="L653" s="30">
        <f>IF(OR(A653="",B653="",D653=""),"",IF(D653=_xlfn.MAXIFS($D$4:$D$2503,$A$4:$A$2503,A653,$B$4:$B$2503,B653),"Yes","No"))</f>
        <v/>
      </c>
      <c r="M653" s="30">
        <f>IF(B653="","",IFERROR(INDEX('Share classes'!$F$4:$F$203,MATCH(B653,'Share classes'!$B$4:$B$203,0)),""))</f>
        <v/>
      </c>
      <c r="N653" s="30">
        <f>IF(A653="","",IF(K653="","Unknown holder ID",IF(J653="","Unknown class code",IF(OR(C653="",D653=""),"Missing shares or date",IF(OR(C653&lt;0,C653&lt;&gt;INT(C653)),"Shares must be a whole number",IF(COUNTIFS($A$4:$A$2503,A653,$B$4:$B$2503,B653,$D$4:$D$2503,D653)&gt;1,"Duplicate row (same date)","OK"))))))</f>
        <v/>
      </c>
    </row>
    <row r="654">
      <c r="A654" s="26" t="n"/>
      <c r="B654" s="26" t="n"/>
      <c r="C654" s="34" t="n"/>
      <c r="D654" s="28" t="n"/>
      <c r="E654" s="26" t="n"/>
      <c r="F654" s="26" t="n"/>
      <c r="G654" s="26" t="n"/>
      <c r="H654" s="38" t="n"/>
      <c r="I654" s="28" t="n"/>
      <c r="J654" s="30">
        <f>IF(B654="","",IFERROR(INDEX('Share classes'!$A$4:$A$203,MATCH(B654,'Share classes'!$B$4:$B$203,0)),""))</f>
        <v/>
      </c>
      <c r="K654" s="30">
        <f>IF(A654="","",IFERROR(INDEX('Holders'!$B$4:$B$1003,MATCH(A654,'Holders'!$A$4:$A$1003,0)),""))</f>
        <v/>
      </c>
      <c r="L654" s="30">
        <f>IF(OR(A654="",B654="",D654=""),"",IF(D654=_xlfn.MAXIFS($D$4:$D$2503,$A$4:$A$2503,A654,$B$4:$B$2503,B654),"Yes","No"))</f>
        <v/>
      </c>
      <c r="M654" s="30">
        <f>IF(B654="","",IFERROR(INDEX('Share classes'!$F$4:$F$203,MATCH(B654,'Share classes'!$B$4:$B$203,0)),""))</f>
        <v/>
      </c>
      <c r="N654" s="30">
        <f>IF(A654="","",IF(K654="","Unknown holder ID",IF(J654="","Unknown class code",IF(OR(C654="",D654=""),"Missing shares or date",IF(OR(C654&lt;0,C654&lt;&gt;INT(C654)),"Shares must be a whole number",IF(COUNTIFS($A$4:$A$2503,A654,$B$4:$B$2503,B654,$D$4:$D$2503,D654)&gt;1,"Duplicate row (same date)","OK"))))))</f>
        <v/>
      </c>
    </row>
    <row r="655">
      <c r="A655" s="26" t="n"/>
      <c r="B655" s="26" t="n"/>
      <c r="C655" s="34" t="n"/>
      <c r="D655" s="28" t="n"/>
      <c r="E655" s="26" t="n"/>
      <c r="F655" s="26" t="n"/>
      <c r="G655" s="26" t="n"/>
      <c r="H655" s="38" t="n"/>
      <c r="I655" s="28" t="n"/>
      <c r="J655" s="30">
        <f>IF(B655="","",IFERROR(INDEX('Share classes'!$A$4:$A$203,MATCH(B655,'Share classes'!$B$4:$B$203,0)),""))</f>
        <v/>
      </c>
      <c r="K655" s="30">
        <f>IF(A655="","",IFERROR(INDEX('Holders'!$B$4:$B$1003,MATCH(A655,'Holders'!$A$4:$A$1003,0)),""))</f>
        <v/>
      </c>
      <c r="L655" s="30">
        <f>IF(OR(A655="",B655="",D655=""),"",IF(D655=_xlfn.MAXIFS($D$4:$D$2503,$A$4:$A$2503,A655,$B$4:$B$2503,B655),"Yes","No"))</f>
        <v/>
      </c>
      <c r="M655" s="30">
        <f>IF(B655="","",IFERROR(INDEX('Share classes'!$F$4:$F$203,MATCH(B655,'Share classes'!$B$4:$B$203,0)),""))</f>
        <v/>
      </c>
      <c r="N655" s="30">
        <f>IF(A655="","",IF(K655="","Unknown holder ID",IF(J655="","Unknown class code",IF(OR(C655="",D655=""),"Missing shares or date",IF(OR(C655&lt;0,C655&lt;&gt;INT(C655)),"Shares must be a whole number",IF(COUNTIFS($A$4:$A$2503,A655,$B$4:$B$2503,B655,$D$4:$D$2503,D655)&gt;1,"Duplicate row (same date)","OK"))))))</f>
        <v/>
      </c>
    </row>
    <row r="656">
      <c r="A656" s="26" t="n"/>
      <c r="B656" s="26" t="n"/>
      <c r="C656" s="34" t="n"/>
      <c r="D656" s="28" t="n"/>
      <c r="E656" s="26" t="n"/>
      <c r="F656" s="26" t="n"/>
      <c r="G656" s="26" t="n"/>
      <c r="H656" s="38" t="n"/>
      <c r="I656" s="28" t="n"/>
      <c r="J656" s="30">
        <f>IF(B656="","",IFERROR(INDEX('Share classes'!$A$4:$A$203,MATCH(B656,'Share classes'!$B$4:$B$203,0)),""))</f>
        <v/>
      </c>
      <c r="K656" s="30">
        <f>IF(A656="","",IFERROR(INDEX('Holders'!$B$4:$B$1003,MATCH(A656,'Holders'!$A$4:$A$1003,0)),""))</f>
        <v/>
      </c>
      <c r="L656" s="30">
        <f>IF(OR(A656="",B656="",D656=""),"",IF(D656=_xlfn.MAXIFS($D$4:$D$2503,$A$4:$A$2503,A656,$B$4:$B$2503,B656),"Yes","No"))</f>
        <v/>
      </c>
      <c r="M656" s="30">
        <f>IF(B656="","",IFERROR(INDEX('Share classes'!$F$4:$F$203,MATCH(B656,'Share classes'!$B$4:$B$203,0)),""))</f>
        <v/>
      </c>
      <c r="N656" s="30">
        <f>IF(A656="","",IF(K656="","Unknown holder ID",IF(J656="","Unknown class code",IF(OR(C656="",D656=""),"Missing shares or date",IF(OR(C656&lt;0,C656&lt;&gt;INT(C656)),"Shares must be a whole number",IF(COUNTIFS($A$4:$A$2503,A656,$B$4:$B$2503,B656,$D$4:$D$2503,D656)&gt;1,"Duplicate row (same date)","OK"))))))</f>
        <v/>
      </c>
    </row>
    <row r="657">
      <c r="A657" s="26" t="n"/>
      <c r="B657" s="26" t="n"/>
      <c r="C657" s="34" t="n"/>
      <c r="D657" s="28" t="n"/>
      <c r="E657" s="26" t="n"/>
      <c r="F657" s="26" t="n"/>
      <c r="G657" s="26" t="n"/>
      <c r="H657" s="38" t="n"/>
      <c r="I657" s="28" t="n"/>
      <c r="J657" s="30">
        <f>IF(B657="","",IFERROR(INDEX('Share classes'!$A$4:$A$203,MATCH(B657,'Share classes'!$B$4:$B$203,0)),""))</f>
        <v/>
      </c>
      <c r="K657" s="30">
        <f>IF(A657="","",IFERROR(INDEX('Holders'!$B$4:$B$1003,MATCH(A657,'Holders'!$A$4:$A$1003,0)),""))</f>
        <v/>
      </c>
      <c r="L657" s="30">
        <f>IF(OR(A657="",B657="",D657=""),"",IF(D657=_xlfn.MAXIFS($D$4:$D$2503,$A$4:$A$2503,A657,$B$4:$B$2503,B657),"Yes","No"))</f>
        <v/>
      </c>
      <c r="M657" s="30">
        <f>IF(B657="","",IFERROR(INDEX('Share classes'!$F$4:$F$203,MATCH(B657,'Share classes'!$B$4:$B$203,0)),""))</f>
        <v/>
      </c>
      <c r="N657" s="30">
        <f>IF(A657="","",IF(K657="","Unknown holder ID",IF(J657="","Unknown class code",IF(OR(C657="",D657=""),"Missing shares or date",IF(OR(C657&lt;0,C657&lt;&gt;INT(C657)),"Shares must be a whole number",IF(COUNTIFS($A$4:$A$2503,A657,$B$4:$B$2503,B657,$D$4:$D$2503,D657)&gt;1,"Duplicate row (same date)","OK"))))))</f>
        <v/>
      </c>
    </row>
    <row r="658">
      <c r="A658" s="26" t="n"/>
      <c r="B658" s="26" t="n"/>
      <c r="C658" s="34" t="n"/>
      <c r="D658" s="28" t="n"/>
      <c r="E658" s="26" t="n"/>
      <c r="F658" s="26" t="n"/>
      <c r="G658" s="26" t="n"/>
      <c r="H658" s="38" t="n"/>
      <c r="I658" s="28" t="n"/>
      <c r="J658" s="30">
        <f>IF(B658="","",IFERROR(INDEX('Share classes'!$A$4:$A$203,MATCH(B658,'Share classes'!$B$4:$B$203,0)),""))</f>
        <v/>
      </c>
      <c r="K658" s="30">
        <f>IF(A658="","",IFERROR(INDEX('Holders'!$B$4:$B$1003,MATCH(A658,'Holders'!$A$4:$A$1003,0)),""))</f>
        <v/>
      </c>
      <c r="L658" s="30">
        <f>IF(OR(A658="",B658="",D658=""),"",IF(D658=_xlfn.MAXIFS($D$4:$D$2503,$A$4:$A$2503,A658,$B$4:$B$2503,B658),"Yes","No"))</f>
        <v/>
      </c>
      <c r="M658" s="30">
        <f>IF(B658="","",IFERROR(INDEX('Share classes'!$F$4:$F$203,MATCH(B658,'Share classes'!$B$4:$B$203,0)),""))</f>
        <v/>
      </c>
      <c r="N658" s="30">
        <f>IF(A658="","",IF(K658="","Unknown holder ID",IF(J658="","Unknown class code",IF(OR(C658="",D658=""),"Missing shares or date",IF(OR(C658&lt;0,C658&lt;&gt;INT(C658)),"Shares must be a whole number",IF(COUNTIFS($A$4:$A$2503,A658,$B$4:$B$2503,B658,$D$4:$D$2503,D658)&gt;1,"Duplicate row (same date)","OK"))))))</f>
        <v/>
      </c>
    </row>
    <row r="659">
      <c r="A659" s="26" t="n"/>
      <c r="B659" s="26" t="n"/>
      <c r="C659" s="34" t="n"/>
      <c r="D659" s="28" t="n"/>
      <c r="E659" s="26" t="n"/>
      <c r="F659" s="26" t="n"/>
      <c r="G659" s="26" t="n"/>
      <c r="H659" s="38" t="n"/>
      <c r="I659" s="28" t="n"/>
      <c r="J659" s="30">
        <f>IF(B659="","",IFERROR(INDEX('Share classes'!$A$4:$A$203,MATCH(B659,'Share classes'!$B$4:$B$203,0)),""))</f>
        <v/>
      </c>
      <c r="K659" s="30">
        <f>IF(A659="","",IFERROR(INDEX('Holders'!$B$4:$B$1003,MATCH(A659,'Holders'!$A$4:$A$1003,0)),""))</f>
        <v/>
      </c>
      <c r="L659" s="30">
        <f>IF(OR(A659="",B659="",D659=""),"",IF(D659=_xlfn.MAXIFS($D$4:$D$2503,$A$4:$A$2503,A659,$B$4:$B$2503,B659),"Yes","No"))</f>
        <v/>
      </c>
      <c r="M659" s="30">
        <f>IF(B659="","",IFERROR(INDEX('Share classes'!$F$4:$F$203,MATCH(B659,'Share classes'!$B$4:$B$203,0)),""))</f>
        <v/>
      </c>
      <c r="N659" s="30">
        <f>IF(A659="","",IF(K659="","Unknown holder ID",IF(J659="","Unknown class code",IF(OR(C659="",D659=""),"Missing shares or date",IF(OR(C659&lt;0,C659&lt;&gt;INT(C659)),"Shares must be a whole number",IF(COUNTIFS($A$4:$A$2503,A659,$B$4:$B$2503,B659,$D$4:$D$2503,D659)&gt;1,"Duplicate row (same date)","OK"))))))</f>
        <v/>
      </c>
    </row>
    <row r="660">
      <c r="A660" s="26" t="n"/>
      <c r="B660" s="26" t="n"/>
      <c r="C660" s="34" t="n"/>
      <c r="D660" s="28" t="n"/>
      <c r="E660" s="26" t="n"/>
      <c r="F660" s="26" t="n"/>
      <c r="G660" s="26" t="n"/>
      <c r="H660" s="38" t="n"/>
      <c r="I660" s="28" t="n"/>
      <c r="J660" s="30">
        <f>IF(B660="","",IFERROR(INDEX('Share classes'!$A$4:$A$203,MATCH(B660,'Share classes'!$B$4:$B$203,0)),""))</f>
        <v/>
      </c>
      <c r="K660" s="30">
        <f>IF(A660="","",IFERROR(INDEX('Holders'!$B$4:$B$1003,MATCH(A660,'Holders'!$A$4:$A$1003,0)),""))</f>
        <v/>
      </c>
      <c r="L660" s="30">
        <f>IF(OR(A660="",B660="",D660=""),"",IF(D660=_xlfn.MAXIFS($D$4:$D$2503,$A$4:$A$2503,A660,$B$4:$B$2503,B660),"Yes","No"))</f>
        <v/>
      </c>
      <c r="M660" s="30">
        <f>IF(B660="","",IFERROR(INDEX('Share classes'!$F$4:$F$203,MATCH(B660,'Share classes'!$B$4:$B$203,0)),""))</f>
        <v/>
      </c>
      <c r="N660" s="30">
        <f>IF(A660="","",IF(K660="","Unknown holder ID",IF(J660="","Unknown class code",IF(OR(C660="",D660=""),"Missing shares or date",IF(OR(C660&lt;0,C660&lt;&gt;INT(C660)),"Shares must be a whole number",IF(COUNTIFS($A$4:$A$2503,A660,$B$4:$B$2503,B660,$D$4:$D$2503,D660)&gt;1,"Duplicate row (same date)","OK"))))))</f>
        <v/>
      </c>
    </row>
    <row r="661">
      <c r="A661" s="26" t="n"/>
      <c r="B661" s="26" t="n"/>
      <c r="C661" s="34" t="n"/>
      <c r="D661" s="28" t="n"/>
      <c r="E661" s="26" t="n"/>
      <c r="F661" s="26" t="n"/>
      <c r="G661" s="26" t="n"/>
      <c r="H661" s="38" t="n"/>
      <c r="I661" s="28" t="n"/>
      <c r="J661" s="30">
        <f>IF(B661="","",IFERROR(INDEX('Share classes'!$A$4:$A$203,MATCH(B661,'Share classes'!$B$4:$B$203,0)),""))</f>
        <v/>
      </c>
      <c r="K661" s="30">
        <f>IF(A661="","",IFERROR(INDEX('Holders'!$B$4:$B$1003,MATCH(A661,'Holders'!$A$4:$A$1003,0)),""))</f>
        <v/>
      </c>
      <c r="L661" s="30">
        <f>IF(OR(A661="",B661="",D661=""),"",IF(D661=_xlfn.MAXIFS($D$4:$D$2503,$A$4:$A$2503,A661,$B$4:$B$2503,B661),"Yes","No"))</f>
        <v/>
      </c>
      <c r="M661" s="30">
        <f>IF(B661="","",IFERROR(INDEX('Share classes'!$F$4:$F$203,MATCH(B661,'Share classes'!$B$4:$B$203,0)),""))</f>
        <v/>
      </c>
      <c r="N661" s="30">
        <f>IF(A661="","",IF(K661="","Unknown holder ID",IF(J661="","Unknown class code",IF(OR(C661="",D661=""),"Missing shares or date",IF(OR(C661&lt;0,C661&lt;&gt;INT(C661)),"Shares must be a whole number",IF(COUNTIFS($A$4:$A$2503,A661,$B$4:$B$2503,B661,$D$4:$D$2503,D661)&gt;1,"Duplicate row (same date)","OK"))))))</f>
        <v/>
      </c>
    </row>
    <row r="662">
      <c r="A662" s="26" t="n"/>
      <c r="B662" s="26" t="n"/>
      <c r="C662" s="34" t="n"/>
      <c r="D662" s="28" t="n"/>
      <c r="E662" s="26" t="n"/>
      <c r="F662" s="26" t="n"/>
      <c r="G662" s="26" t="n"/>
      <c r="H662" s="38" t="n"/>
      <c r="I662" s="28" t="n"/>
      <c r="J662" s="30">
        <f>IF(B662="","",IFERROR(INDEX('Share classes'!$A$4:$A$203,MATCH(B662,'Share classes'!$B$4:$B$203,0)),""))</f>
        <v/>
      </c>
      <c r="K662" s="30">
        <f>IF(A662="","",IFERROR(INDEX('Holders'!$B$4:$B$1003,MATCH(A662,'Holders'!$A$4:$A$1003,0)),""))</f>
        <v/>
      </c>
      <c r="L662" s="30">
        <f>IF(OR(A662="",B662="",D662=""),"",IF(D662=_xlfn.MAXIFS($D$4:$D$2503,$A$4:$A$2503,A662,$B$4:$B$2503,B662),"Yes","No"))</f>
        <v/>
      </c>
      <c r="M662" s="30">
        <f>IF(B662="","",IFERROR(INDEX('Share classes'!$F$4:$F$203,MATCH(B662,'Share classes'!$B$4:$B$203,0)),""))</f>
        <v/>
      </c>
      <c r="N662" s="30">
        <f>IF(A662="","",IF(K662="","Unknown holder ID",IF(J662="","Unknown class code",IF(OR(C662="",D662=""),"Missing shares or date",IF(OR(C662&lt;0,C662&lt;&gt;INT(C662)),"Shares must be a whole number",IF(COUNTIFS($A$4:$A$2503,A662,$B$4:$B$2503,B662,$D$4:$D$2503,D662)&gt;1,"Duplicate row (same date)","OK"))))))</f>
        <v/>
      </c>
    </row>
    <row r="663">
      <c r="A663" s="26" t="n"/>
      <c r="B663" s="26" t="n"/>
      <c r="C663" s="34" t="n"/>
      <c r="D663" s="28" t="n"/>
      <c r="E663" s="26" t="n"/>
      <c r="F663" s="26" t="n"/>
      <c r="G663" s="26" t="n"/>
      <c r="H663" s="38" t="n"/>
      <c r="I663" s="28" t="n"/>
      <c r="J663" s="30">
        <f>IF(B663="","",IFERROR(INDEX('Share classes'!$A$4:$A$203,MATCH(B663,'Share classes'!$B$4:$B$203,0)),""))</f>
        <v/>
      </c>
      <c r="K663" s="30">
        <f>IF(A663="","",IFERROR(INDEX('Holders'!$B$4:$B$1003,MATCH(A663,'Holders'!$A$4:$A$1003,0)),""))</f>
        <v/>
      </c>
      <c r="L663" s="30">
        <f>IF(OR(A663="",B663="",D663=""),"",IF(D663=_xlfn.MAXIFS($D$4:$D$2503,$A$4:$A$2503,A663,$B$4:$B$2503,B663),"Yes","No"))</f>
        <v/>
      </c>
      <c r="M663" s="30">
        <f>IF(B663="","",IFERROR(INDEX('Share classes'!$F$4:$F$203,MATCH(B663,'Share classes'!$B$4:$B$203,0)),""))</f>
        <v/>
      </c>
      <c r="N663" s="30">
        <f>IF(A663="","",IF(K663="","Unknown holder ID",IF(J663="","Unknown class code",IF(OR(C663="",D663=""),"Missing shares or date",IF(OR(C663&lt;0,C663&lt;&gt;INT(C663)),"Shares must be a whole number",IF(COUNTIFS($A$4:$A$2503,A663,$B$4:$B$2503,B663,$D$4:$D$2503,D663)&gt;1,"Duplicate row (same date)","OK"))))))</f>
        <v/>
      </c>
    </row>
    <row r="664">
      <c r="A664" s="26" t="n"/>
      <c r="B664" s="26" t="n"/>
      <c r="C664" s="34" t="n"/>
      <c r="D664" s="28" t="n"/>
      <c r="E664" s="26" t="n"/>
      <c r="F664" s="26" t="n"/>
      <c r="G664" s="26" t="n"/>
      <c r="H664" s="38" t="n"/>
      <c r="I664" s="28" t="n"/>
      <c r="J664" s="30">
        <f>IF(B664="","",IFERROR(INDEX('Share classes'!$A$4:$A$203,MATCH(B664,'Share classes'!$B$4:$B$203,0)),""))</f>
        <v/>
      </c>
      <c r="K664" s="30">
        <f>IF(A664="","",IFERROR(INDEX('Holders'!$B$4:$B$1003,MATCH(A664,'Holders'!$A$4:$A$1003,0)),""))</f>
        <v/>
      </c>
      <c r="L664" s="30">
        <f>IF(OR(A664="",B664="",D664=""),"",IF(D664=_xlfn.MAXIFS($D$4:$D$2503,$A$4:$A$2503,A664,$B$4:$B$2503,B664),"Yes","No"))</f>
        <v/>
      </c>
      <c r="M664" s="30">
        <f>IF(B664="","",IFERROR(INDEX('Share classes'!$F$4:$F$203,MATCH(B664,'Share classes'!$B$4:$B$203,0)),""))</f>
        <v/>
      </c>
      <c r="N664" s="30">
        <f>IF(A664="","",IF(K664="","Unknown holder ID",IF(J664="","Unknown class code",IF(OR(C664="",D664=""),"Missing shares or date",IF(OR(C664&lt;0,C664&lt;&gt;INT(C664)),"Shares must be a whole number",IF(COUNTIFS($A$4:$A$2503,A664,$B$4:$B$2503,B664,$D$4:$D$2503,D664)&gt;1,"Duplicate row (same date)","OK"))))))</f>
        <v/>
      </c>
    </row>
    <row r="665">
      <c r="A665" s="26" t="n"/>
      <c r="B665" s="26" t="n"/>
      <c r="C665" s="34" t="n"/>
      <c r="D665" s="28" t="n"/>
      <c r="E665" s="26" t="n"/>
      <c r="F665" s="26" t="n"/>
      <c r="G665" s="26" t="n"/>
      <c r="H665" s="38" t="n"/>
      <c r="I665" s="28" t="n"/>
      <c r="J665" s="30">
        <f>IF(B665="","",IFERROR(INDEX('Share classes'!$A$4:$A$203,MATCH(B665,'Share classes'!$B$4:$B$203,0)),""))</f>
        <v/>
      </c>
      <c r="K665" s="30">
        <f>IF(A665="","",IFERROR(INDEX('Holders'!$B$4:$B$1003,MATCH(A665,'Holders'!$A$4:$A$1003,0)),""))</f>
        <v/>
      </c>
      <c r="L665" s="30">
        <f>IF(OR(A665="",B665="",D665=""),"",IF(D665=_xlfn.MAXIFS($D$4:$D$2503,$A$4:$A$2503,A665,$B$4:$B$2503,B665),"Yes","No"))</f>
        <v/>
      </c>
      <c r="M665" s="30">
        <f>IF(B665="","",IFERROR(INDEX('Share classes'!$F$4:$F$203,MATCH(B665,'Share classes'!$B$4:$B$203,0)),""))</f>
        <v/>
      </c>
      <c r="N665" s="30">
        <f>IF(A665="","",IF(K665="","Unknown holder ID",IF(J665="","Unknown class code",IF(OR(C665="",D665=""),"Missing shares or date",IF(OR(C665&lt;0,C665&lt;&gt;INT(C665)),"Shares must be a whole number",IF(COUNTIFS($A$4:$A$2503,A665,$B$4:$B$2503,B665,$D$4:$D$2503,D665)&gt;1,"Duplicate row (same date)","OK"))))))</f>
        <v/>
      </c>
    </row>
    <row r="666">
      <c r="A666" s="26" t="n"/>
      <c r="B666" s="26" t="n"/>
      <c r="C666" s="34" t="n"/>
      <c r="D666" s="28" t="n"/>
      <c r="E666" s="26" t="n"/>
      <c r="F666" s="26" t="n"/>
      <c r="G666" s="26" t="n"/>
      <c r="H666" s="38" t="n"/>
      <c r="I666" s="28" t="n"/>
      <c r="J666" s="30">
        <f>IF(B666="","",IFERROR(INDEX('Share classes'!$A$4:$A$203,MATCH(B666,'Share classes'!$B$4:$B$203,0)),""))</f>
        <v/>
      </c>
      <c r="K666" s="30">
        <f>IF(A666="","",IFERROR(INDEX('Holders'!$B$4:$B$1003,MATCH(A666,'Holders'!$A$4:$A$1003,0)),""))</f>
        <v/>
      </c>
      <c r="L666" s="30">
        <f>IF(OR(A666="",B666="",D666=""),"",IF(D666=_xlfn.MAXIFS($D$4:$D$2503,$A$4:$A$2503,A666,$B$4:$B$2503,B666),"Yes","No"))</f>
        <v/>
      </c>
      <c r="M666" s="30">
        <f>IF(B666="","",IFERROR(INDEX('Share classes'!$F$4:$F$203,MATCH(B666,'Share classes'!$B$4:$B$203,0)),""))</f>
        <v/>
      </c>
      <c r="N666" s="30">
        <f>IF(A666="","",IF(K666="","Unknown holder ID",IF(J666="","Unknown class code",IF(OR(C666="",D666=""),"Missing shares or date",IF(OR(C666&lt;0,C666&lt;&gt;INT(C666)),"Shares must be a whole number",IF(COUNTIFS($A$4:$A$2503,A666,$B$4:$B$2503,B666,$D$4:$D$2503,D666)&gt;1,"Duplicate row (same date)","OK"))))))</f>
        <v/>
      </c>
    </row>
    <row r="667">
      <c r="A667" s="26" t="n"/>
      <c r="B667" s="26" t="n"/>
      <c r="C667" s="34" t="n"/>
      <c r="D667" s="28" t="n"/>
      <c r="E667" s="26" t="n"/>
      <c r="F667" s="26" t="n"/>
      <c r="G667" s="26" t="n"/>
      <c r="H667" s="38" t="n"/>
      <c r="I667" s="28" t="n"/>
      <c r="J667" s="30">
        <f>IF(B667="","",IFERROR(INDEX('Share classes'!$A$4:$A$203,MATCH(B667,'Share classes'!$B$4:$B$203,0)),""))</f>
        <v/>
      </c>
      <c r="K667" s="30">
        <f>IF(A667="","",IFERROR(INDEX('Holders'!$B$4:$B$1003,MATCH(A667,'Holders'!$A$4:$A$1003,0)),""))</f>
        <v/>
      </c>
      <c r="L667" s="30">
        <f>IF(OR(A667="",B667="",D667=""),"",IF(D667=_xlfn.MAXIFS($D$4:$D$2503,$A$4:$A$2503,A667,$B$4:$B$2503,B667),"Yes","No"))</f>
        <v/>
      </c>
      <c r="M667" s="30">
        <f>IF(B667="","",IFERROR(INDEX('Share classes'!$F$4:$F$203,MATCH(B667,'Share classes'!$B$4:$B$203,0)),""))</f>
        <v/>
      </c>
      <c r="N667" s="30">
        <f>IF(A667="","",IF(K667="","Unknown holder ID",IF(J667="","Unknown class code",IF(OR(C667="",D667=""),"Missing shares or date",IF(OR(C667&lt;0,C667&lt;&gt;INT(C667)),"Shares must be a whole number",IF(COUNTIFS($A$4:$A$2503,A667,$B$4:$B$2503,B667,$D$4:$D$2503,D667)&gt;1,"Duplicate row (same date)","OK"))))))</f>
        <v/>
      </c>
    </row>
    <row r="668">
      <c r="A668" s="26" t="n"/>
      <c r="B668" s="26" t="n"/>
      <c r="C668" s="34" t="n"/>
      <c r="D668" s="28" t="n"/>
      <c r="E668" s="26" t="n"/>
      <c r="F668" s="26" t="n"/>
      <c r="G668" s="26" t="n"/>
      <c r="H668" s="38" t="n"/>
      <c r="I668" s="28" t="n"/>
      <c r="J668" s="30">
        <f>IF(B668="","",IFERROR(INDEX('Share classes'!$A$4:$A$203,MATCH(B668,'Share classes'!$B$4:$B$203,0)),""))</f>
        <v/>
      </c>
      <c r="K668" s="30">
        <f>IF(A668="","",IFERROR(INDEX('Holders'!$B$4:$B$1003,MATCH(A668,'Holders'!$A$4:$A$1003,0)),""))</f>
        <v/>
      </c>
      <c r="L668" s="30">
        <f>IF(OR(A668="",B668="",D668=""),"",IF(D668=_xlfn.MAXIFS($D$4:$D$2503,$A$4:$A$2503,A668,$B$4:$B$2503,B668),"Yes","No"))</f>
        <v/>
      </c>
      <c r="M668" s="30">
        <f>IF(B668="","",IFERROR(INDEX('Share classes'!$F$4:$F$203,MATCH(B668,'Share classes'!$B$4:$B$203,0)),""))</f>
        <v/>
      </c>
      <c r="N668" s="30">
        <f>IF(A668="","",IF(K668="","Unknown holder ID",IF(J668="","Unknown class code",IF(OR(C668="",D668=""),"Missing shares or date",IF(OR(C668&lt;0,C668&lt;&gt;INT(C668)),"Shares must be a whole number",IF(COUNTIFS($A$4:$A$2503,A668,$B$4:$B$2503,B668,$D$4:$D$2503,D668)&gt;1,"Duplicate row (same date)","OK"))))))</f>
        <v/>
      </c>
    </row>
    <row r="669">
      <c r="A669" s="26" t="n"/>
      <c r="B669" s="26" t="n"/>
      <c r="C669" s="34" t="n"/>
      <c r="D669" s="28" t="n"/>
      <c r="E669" s="26" t="n"/>
      <c r="F669" s="26" t="n"/>
      <c r="G669" s="26" t="n"/>
      <c r="H669" s="38" t="n"/>
      <c r="I669" s="28" t="n"/>
      <c r="J669" s="30">
        <f>IF(B669="","",IFERROR(INDEX('Share classes'!$A$4:$A$203,MATCH(B669,'Share classes'!$B$4:$B$203,0)),""))</f>
        <v/>
      </c>
      <c r="K669" s="30">
        <f>IF(A669="","",IFERROR(INDEX('Holders'!$B$4:$B$1003,MATCH(A669,'Holders'!$A$4:$A$1003,0)),""))</f>
        <v/>
      </c>
      <c r="L669" s="30">
        <f>IF(OR(A669="",B669="",D669=""),"",IF(D669=_xlfn.MAXIFS($D$4:$D$2503,$A$4:$A$2503,A669,$B$4:$B$2503,B669),"Yes","No"))</f>
        <v/>
      </c>
      <c r="M669" s="30">
        <f>IF(B669="","",IFERROR(INDEX('Share classes'!$F$4:$F$203,MATCH(B669,'Share classes'!$B$4:$B$203,0)),""))</f>
        <v/>
      </c>
      <c r="N669" s="30">
        <f>IF(A669="","",IF(K669="","Unknown holder ID",IF(J669="","Unknown class code",IF(OR(C669="",D669=""),"Missing shares or date",IF(OR(C669&lt;0,C669&lt;&gt;INT(C669)),"Shares must be a whole number",IF(COUNTIFS($A$4:$A$2503,A669,$B$4:$B$2503,B669,$D$4:$D$2503,D669)&gt;1,"Duplicate row (same date)","OK"))))))</f>
        <v/>
      </c>
    </row>
    <row r="670">
      <c r="A670" s="26" t="n"/>
      <c r="B670" s="26" t="n"/>
      <c r="C670" s="34" t="n"/>
      <c r="D670" s="28" t="n"/>
      <c r="E670" s="26" t="n"/>
      <c r="F670" s="26" t="n"/>
      <c r="G670" s="26" t="n"/>
      <c r="H670" s="38" t="n"/>
      <c r="I670" s="28" t="n"/>
      <c r="J670" s="30">
        <f>IF(B670="","",IFERROR(INDEX('Share classes'!$A$4:$A$203,MATCH(B670,'Share classes'!$B$4:$B$203,0)),""))</f>
        <v/>
      </c>
      <c r="K670" s="30">
        <f>IF(A670="","",IFERROR(INDEX('Holders'!$B$4:$B$1003,MATCH(A670,'Holders'!$A$4:$A$1003,0)),""))</f>
        <v/>
      </c>
      <c r="L670" s="30">
        <f>IF(OR(A670="",B670="",D670=""),"",IF(D670=_xlfn.MAXIFS($D$4:$D$2503,$A$4:$A$2503,A670,$B$4:$B$2503,B670),"Yes","No"))</f>
        <v/>
      </c>
      <c r="M670" s="30">
        <f>IF(B670="","",IFERROR(INDEX('Share classes'!$F$4:$F$203,MATCH(B670,'Share classes'!$B$4:$B$203,0)),""))</f>
        <v/>
      </c>
      <c r="N670" s="30">
        <f>IF(A670="","",IF(K670="","Unknown holder ID",IF(J670="","Unknown class code",IF(OR(C670="",D670=""),"Missing shares or date",IF(OR(C670&lt;0,C670&lt;&gt;INT(C670)),"Shares must be a whole number",IF(COUNTIFS($A$4:$A$2503,A670,$B$4:$B$2503,B670,$D$4:$D$2503,D670)&gt;1,"Duplicate row (same date)","OK"))))))</f>
        <v/>
      </c>
    </row>
    <row r="671">
      <c r="A671" s="26" t="n"/>
      <c r="B671" s="26" t="n"/>
      <c r="C671" s="34" t="n"/>
      <c r="D671" s="28" t="n"/>
      <c r="E671" s="26" t="n"/>
      <c r="F671" s="26" t="n"/>
      <c r="G671" s="26" t="n"/>
      <c r="H671" s="38" t="n"/>
      <c r="I671" s="28" t="n"/>
      <c r="J671" s="30">
        <f>IF(B671="","",IFERROR(INDEX('Share classes'!$A$4:$A$203,MATCH(B671,'Share classes'!$B$4:$B$203,0)),""))</f>
        <v/>
      </c>
      <c r="K671" s="30">
        <f>IF(A671="","",IFERROR(INDEX('Holders'!$B$4:$B$1003,MATCH(A671,'Holders'!$A$4:$A$1003,0)),""))</f>
        <v/>
      </c>
      <c r="L671" s="30">
        <f>IF(OR(A671="",B671="",D671=""),"",IF(D671=_xlfn.MAXIFS($D$4:$D$2503,$A$4:$A$2503,A671,$B$4:$B$2503,B671),"Yes","No"))</f>
        <v/>
      </c>
      <c r="M671" s="30">
        <f>IF(B671="","",IFERROR(INDEX('Share classes'!$F$4:$F$203,MATCH(B671,'Share classes'!$B$4:$B$203,0)),""))</f>
        <v/>
      </c>
      <c r="N671" s="30">
        <f>IF(A671="","",IF(K671="","Unknown holder ID",IF(J671="","Unknown class code",IF(OR(C671="",D671=""),"Missing shares or date",IF(OR(C671&lt;0,C671&lt;&gt;INT(C671)),"Shares must be a whole number",IF(COUNTIFS($A$4:$A$2503,A671,$B$4:$B$2503,B671,$D$4:$D$2503,D671)&gt;1,"Duplicate row (same date)","OK"))))))</f>
        <v/>
      </c>
    </row>
    <row r="672">
      <c r="A672" s="26" t="n"/>
      <c r="B672" s="26" t="n"/>
      <c r="C672" s="34" t="n"/>
      <c r="D672" s="28" t="n"/>
      <c r="E672" s="26" t="n"/>
      <c r="F672" s="26" t="n"/>
      <c r="G672" s="26" t="n"/>
      <c r="H672" s="38" t="n"/>
      <c r="I672" s="28" t="n"/>
      <c r="J672" s="30">
        <f>IF(B672="","",IFERROR(INDEX('Share classes'!$A$4:$A$203,MATCH(B672,'Share classes'!$B$4:$B$203,0)),""))</f>
        <v/>
      </c>
      <c r="K672" s="30">
        <f>IF(A672="","",IFERROR(INDEX('Holders'!$B$4:$B$1003,MATCH(A672,'Holders'!$A$4:$A$1003,0)),""))</f>
        <v/>
      </c>
      <c r="L672" s="30">
        <f>IF(OR(A672="",B672="",D672=""),"",IF(D672=_xlfn.MAXIFS($D$4:$D$2503,$A$4:$A$2503,A672,$B$4:$B$2503,B672),"Yes","No"))</f>
        <v/>
      </c>
      <c r="M672" s="30">
        <f>IF(B672="","",IFERROR(INDEX('Share classes'!$F$4:$F$203,MATCH(B672,'Share classes'!$B$4:$B$203,0)),""))</f>
        <v/>
      </c>
      <c r="N672" s="30">
        <f>IF(A672="","",IF(K672="","Unknown holder ID",IF(J672="","Unknown class code",IF(OR(C672="",D672=""),"Missing shares or date",IF(OR(C672&lt;0,C672&lt;&gt;INT(C672)),"Shares must be a whole number",IF(COUNTIFS($A$4:$A$2503,A672,$B$4:$B$2503,B672,$D$4:$D$2503,D672)&gt;1,"Duplicate row (same date)","OK"))))))</f>
        <v/>
      </c>
    </row>
    <row r="673">
      <c r="A673" s="26" t="n"/>
      <c r="B673" s="26" t="n"/>
      <c r="C673" s="34" t="n"/>
      <c r="D673" s="28" t="n"/>
      <c r="E673" s="26" t="n"/>
      <c r="F673" s="26" t="n"/>
      <c r="G673" s="26" t="n"/>
      <c r="H673" s="38" t="n"/>
      <c r="I673" s="28" t="n"/>
      <c r="J673" s="30">
        <f>IF(B673="","",IFERROR(INDEX('Share classes'!$A$4:$A$203,MATCH(B673,'Share classes'!$B$4:$B$203,0)),""))</f>
        <v/>
      </c>
      <c r="K673" s="30">
        <f>IF(A673="","",IFERROR(INDEX('Holders'!$B$4:$B$1003,MATCH(A673,'Holders'!$A$4:$A$1003,0)),""))</f>
        <v/>
      </c>
      <c r="L673" s="30">
        <f>IF(OR(A673="",B673="",D673=""),"",IF(D673=_xlfn.MAXIFS($D$4:$D$2503,$A$4:$A$2503,A673,$B$4:$B$2503,B673),"Yes","No"))</f>
        <v/>
      </c>
      <c r="M673" s="30">
        <f>IF(B673="","",IFERROR(INDEX('Share classes'!$F$4:$F$203,MATCH(B673,'Share classes'!$B$4:$B$203,0)),""))</f>
        <v/>
      </c>
      <c r="N673" s="30">
        <f>IF(A673="","",IF(K673="","Unknown holder ID",IF(J673="","Unknown class code",IF(OR(C673="",D673=""),"Missing shares or date",IF(OR(C673&lt;0,C673&lt;&gt;INT(C673)),"Shares must be a whole number",IF(COUNTIFS($A$4:$A$2503,A673,$B$4:$B$2503,B673,$D$4:$D$2503,D673)&gt;1,"Duplicate row (same date)","OK"))))))</f>
        <v/>
      </c>
    </row>
    <row r="674">
      <c r="A674" s="26" t="n"/>
      <c r="B674" s="26" t="n"/>
      <c r="C674" s="34" t="n"/>
      <c r="D674" s="28" t="n"/>
      <c r="E674" s="26" t="n"/>
      <c r="F674" s="26" t="n"/>
      <c r="G674" s="26" t="n"/>
      <c r="H674" s="38" t="n"/>
      <c r="I674" s="28" t="n"/>
      <c r="J674" s="30">
        <f>IF(B674="","",IFERROR(INDEX('Share classes'!$A$4:$A$203,MATCH(B674,'Share classes'!$B$4:$B$203,0)),""))</f>
        <v/>
      </c>
      <c r="K674" s="30">
        <f>IF(A674="","",IFERROR(INDEX('Holders'!$B$4:$B$1003,MATCH(A674,'Holders'!$A$4:$A$1003,0)),""))</f>
        <v/>
      </c>
      <c r="L674" s="30">
        <f>IF(OR(A674="",B674="",D674=""),"",IF(D674=_xlfn.MAXIFS($D$4:$D$2503,$A$4:$A$2503,A674,$B$4:$B$2503,B674),"Yes","No"))</f>
        <v/>
      </c>
      <c r="M674" s="30">
        <f>IF(B674="","",IFERROR(INDEX('Share classes'!$F$4:$F$203,MATCH(B674,'Share classes'!$B$4:$B$203,0)),""))</f>
        <v/>
      </c>
      <c r="N674" s="30">
        <f>IF(A674="","",IF(K674="","Unknown holder ID",IF(J674="","Unknown class code",IF(OR(C674="",D674=""),"Missing shares or date",IF(OR(C674&lt;0,C674&lt;&gt;INT(C674)),"Shares must be a whole number",IF(COUNTIFS($A$4:$A$2503,A674,$B$4:$B$2503,B674,$D$4:$D$2503,D674)&gt;1,"Duplicate row (same date)","OK"))))))</f>
        <v/>
      </c>
    </row>
    <row r="675">
      <c r="A675" s="26" t="n"/>
      <c r="B675" s="26" t="n"/>
      <c r="C675" s="34" t="n"/>
      <c r="D675" s="28" t="n"/>
      <c r="E675" s="26" t="n"/>
      <c r="F675" s="26" t="n"/>
      <c r="G675" s="26" t="n"/>
      <c r="H675" s="38" t="n"/>
      <c r="I675" s="28" t="n"/>
      <c r="J675" s="30">
        <f>IF(B675="","",IFERROR(INDEX('Share classes'!$A$4:$A$203,MATCH(B675,'Share classes'!$B$4:$B$203,0)),""))</f>
        <v/>
      </c>
      <c r="K675" s="30">
        <f>IF(A675="","",IFERROR(INDEX('Holders'!$B$4:$B$1003,MATCH(A675,'Holders'!$A$4:$A$1003,0)),""))</f>
        <v/>
      </c>
      <c r="L675" s="30">
        <f>IF(OR(A675="",B675="",D675=""),"",IF(D675=_xlfn.MAXIFS($D$4:$D$2503,$A$4:$A$2503,A675,$B$4:$B$2503,B675),"Yes","No"))</f>
        <v/>
      </c>
      <c r="M675" s="30">
        <f>IF(B675="","",IFERROR(INDEX('Share classes'!$F$4:$F$203,MATCH(B675,'Share classes'!$B$4:$B$203,0)),""))</f>
        <v/>
      </c>
      <c r="N675" s="30">
        <f>IF(A675="","",IF(K675="","Unknown holder ID",IF(J675="","Unknown class code",IF(OR(C675="",D675=""),"Missing shares or date",IF(OR(C675&lt;0,C675&lt;&gt;INT(C675)),"Shares must be a whole number",IF(COUNTIFS($A$4:$A$2503,A675,$B$4:$B$2503,B675,$D$4:$D$2503,D675)&gt;1,"Duplicate row (same date)","OK"))))))</f>
        <v/>
      </c>
    </row>
    <row r="676">
      <c r="A676" s="26" t="n"/>
      <c r="B676" s="26" t="n"/>
      <c r="C676" s="34" t="n"/>
      <c r="D676" s="28" t="n"/>
      <c r="E676" s="26" t="n"/>
      <c r="F676" s="26" t="n"/>
      <c r="G676" s="26" t="n"/>
      <c r="H676" s="38" t="n"/>
      <c r="I676" s="28" t="n"/>
      <c r="J676" s="30">
        <f>IF(B676="","",IFERROR(INDEX('Share classes'!$A$4:$A$203,MATCH(B676,'Share classes'!$B$4:$B$203,0)),""))</f>
        <v/>
      </c>
      <c r="K676" s="30">
        <f>IF(A676="","",IFERROR(INDEX('Holders'!$B$4:$B$1003,MATCH(A676,'Holders'!$A$4:$A$1003,0)),""))</f>
        <v/>
      </c>
      <c r="L676" s="30">
        <f>IF(OR(A676="",B676="",D676=""),"",IF(D676=_xlfn.MAXIFS($D$4:$D$2503,$A$4:$A$2503,A676,$B$4:$B$2503,B676),"Yes","No"))</f>
        <v/>
      </c>
      <c r="M676" s="30">
        <f>IF(B676="","",IFERROR(INDEX('Share classes'!$F$4:$F$203,MATCH(B676,'Share classes'!$B$4:$B$203,0)),""))</f>
        <v/>
      </c>
      <c r="N676" s="30">
        <f>IF(A676="","",IF(K676="","Unknown holder ID",IF(J676="","Unknown class code",IF(OR(C676="",D676=""),"Missing shares or date",IF(OR(C676&lt;0,C676&lt;&gt;INT(C676)),"Shares must be a whole number",IF(COUNTIFS($A$4:$A$2503,A676,$B$4:$B$2503,B676,$D$4:$D$2503,D676)&gt;1,"Duplicate row (same date)","OK"))))))</f>
        <v/>
      </c>
    </row>
    <row r="677">
      <c r="A677" s="26" t="n"/>
      <c r="B677" s="26" t="n"/>
      <c r="C677" s="34" t="n"/>
      <c r="D677" s="28" t="n"/>
      <c r="E677" s="26" t="n"/>
      <c r="F677" s="26" t="n"/>
      <c r="G677" s="26" t="n"/>
      <c r="H677" s="38" t="n"/>
      <c r="I677" s="28" t="n"/>
      <c r="J677" s="30">
        <f>IF(B677="","",IFERROR(INDEX('Share classes'!$A$4:$A$203,MATCH(B677,'Share classes'!$B$4:$B$203,0)),""))</f>
        <v/>
      </c>
      <c r="K677" s="30">
        <f>IF(A677="","",IFERROR(INDEX('Holders'!$B$4:$B$1003,MATCH(A677,'Holders'!$A$4:$A$1003,0)),""))</f>
        <v/>
      </c>
      <c r="L677" s="30">
        <f>IF(OR(A677="",B677="",D677=""),"",IF(D677=_xlfn.MAXIFS($D$4:$D$2503,$A$4:$A$2503,A677,$B$4:$B$2503,B677),"Yes","No"))</f>
        <v/>
      </c>
      <c r="M677" s="30">
        <f>IF(B677="","",IFERROR(INDEX('Share classes'!$F$4:$F$203,MATCH(B677,'Share classes'!$B$4:$B$203,0)),""))</f>
        <v/>
      </c>
      <c r="N677" s="30">
        <f>IF(A677="","",IF(K677="","Unknown holder ID",IF(J677="","Unknown class code",IF(OR(C677="",D677=""),"Missing shares or date",IF(OR(C677&lt;0,C677&lt;&gt;INT(C677)),"Shares must be a whole number",IF(COUNTIFS($A$4:$A$2503,A677,$B$4:$B$2503,B677,$D$4:$D$2503,D677)&gt;1,"Duplicate row (same date)","OK"))))))</f>
        <v/>
      </c>
    </row>
    <row r="678">
      <c r="A678" s="26" t="n"/>
      <c r="B678" s="26" t="n"/>
      <c r="C678" s="34" t="n"/>
      <c r="D678" s="28" t="n"/>
      <c r="E678" s="26" t="n"/>
      <c r="F678" s="26" t="n"/>
      <c r="G678" s="26" t="n"/>
      <c r="H678" s="38" t="n"/>
      <c r="I678" s="28" t="n"/>
      <c r="J678" s="30">
        <f>IF(B678="","",IFERROR(INDEX('Share classes'!$A$4:$A$203,MATCH(B678,'Share classes'!$B$4:$B$203,0)),""))</f>
        <v/>
      </c>
      <c r="K678" s="30">
        <f>IF(A678="","",IFERROR(INDEX('Holders'!$B$4:$B$1003,MATCH(A678,'Holders'!$A$4:$A$1003,0)),""))</f>
        <v/>
      </c>
      <c r="L678" s="30">
        <f>IF(OR(A678="",B678="",D678=""),"",IF(D678=_xlfn.MAXIFS($D$4:$D$2503,$A$4:$A$2503,A678,$B$4:$B$2503,B678),"Yes","No"))</f>
        <v/>
      </c>
      <c r="M678" s="30">
        <f>IF(B678="","",IFERROR(INDEX('Share classes'!$F$4:$F$203,MATCH(B678,'Share classes'!$B$4:$B$203,0)),""))</f>
        <v/>
      </c>
      <c r="N678" s="30">
        <f>IF(A678="","",IF(K678="","Unknown holder ID",IF(J678="","Unknown class code",IF(OR(C678="",D678=""),"Missing shares or date",IF(OR(C678&lt;0,C678&lt;&gt;INT(C678)),"Shares must be a whole number",IF(COUNTIFS($A$4:$A$2503,A678,$B$4:$B$2503,B678,$D$4:$D$2503,D678)&gt;1,"Duplicate row (same date)","OK"))))))</f>
        <v/>
      </c>
    </row>
    <row r="679">
      <c r="A679" s="26" t="n"/>
      <c r="B679" s="26" t="n"/>
      <c r="C679" s="34" t="n"/>
      <c r="D679" s="28" t="n"/>
      <c r="E679" s="26" t="n"/>
      <c r="F679" s="26" t="n"/>
      <c r="G679" s="26" t="n"/>
      <c r="H679" s="38" t="n"/>
      <c r="I679" s="28" t="n"/>
      <c r="J679" s="30">
        <f>IF(B679="","",IFERROR(INDEX('Share classes'!$A$4:$A$203,MATCH(B679,'Share classes'!$B$4:$B$203,0)),""))</f>
        <v/>
      </c>
      <c r="K679" s="30">
        <f>IF(A679="","",IFERROR(INDEX('Holders'!$B$4:$B$1003,MATCH(A679,'Holders'!$A$4:$A$1003,0)),""))</f>
        <v/>
      </c>
      <c r="L679" s="30">
        <f>IF(OR(A679="",B679="",D679=""),"",IF(D679=_xlfn.MAXIFS($D$4:$D$2503,$A$4:$A$2503,A679,$B$4:$B$2503,B679),"Yes","No"))</f>
        <v/>
      </c>
      <c r="M679" s="30">
        <f>IF(B679="","",IFERROR(INDEX('Share classes'!$F$4:$F$203,MATCH(B679,'Share classes'!$B$4:$B$203,0)),""))</f>
        <v/>
      </c>
      <c r="N679" s="30">
        <f>IF(A679="","",IF(K679="","Unknown holder ID",IF(J679="","Unknown class code",IF(OR(C679="",D679=""),"Missing shares or date",IF(OR(C679&lt;0,C679&lt;&gt;INT(C679)),"Shares must be a whole number",IF(COUNTIFS($A$4:$A$2503,A679,$B$4:$B$2503,B679,$D$4:$D$2503,D679)&gt;1,"Duplicate row (same date)","OK"))))))</f>
        <v/>
      </c>
    </row>
    <row r="680">
      <c r="A680" s="26" t="n"/>
      <c r="B680" s="26" t="n"/>
      <c r="C680" s="34" t="n"/>
      <c r="D680" s="28" t="n"/>
      <c r="E680" s="26" t="n"/>
      <c r="F680" s="26" t="n"/>
      <c r="G680" s="26" t="n"/>
      <c r="H680" s="38" t="n"/>
      <c r="I680" s="28" t="n"/>
      <c r="J680" s="30">
        <f>IF(B680="","",IFERROR(INDEX('Share classes'!$A$4:$A$203,MATCH(B680,'Share classes'!$B$4:$B$203,0)),""))</f>
        <v/>
      </c>
      <c r="K680" s="30">
        <f>IF(A680="","",IFERROR(INDEX('Holders'!$B$4:$B$1003,MATCH(A680,'Holders'!$A$4:$A$1003,0)),""))</f>
        <v/>
      </c>
      <c r="L680" s="30">
        <f>IF(OR(A680="",B680="",D680=""),"",IF(D680=_xlfn.MAXIFS($D$4:$D$2503,$A$4:$A$2503,A680,$B$4:$B$2503,B680),"Yes","No"))</f>
        <v/>
      </c>
      <c r="M680" s="30">
        <f>IF(B680="","",IFERROR(INDEX('Share classes'!$F$4:$F$203,MATCH(B680,'Share classes'!$B$4:$B$203,0)),""))</f>
        <v/>
      </c>
      <c r="N680" s="30">
        <f>IF(A680="","",IF(K680="","Unknown holder ID",IF(J680="","Unknown class code",IF(OR(C680="",D680=""),"Missing shares or date",IF(OR(C680&lt;0,C680&lt;&gt;INT(C680)),"Shares must be a whole number",IF(COUNTIFS($A$4:$A$2503,A680,$B$4:$B$2503,B680,$D$4:$D$2503,D680)&gt;1,"Duplicate row (same date)","OK"))))))</f>
        <v/>
      </c>
    </row>
    <row r="681">
      <c r="A681" s="26" t="n"/>
      <c r="B681" s="26" t="n"/>
      <c r="C681" s="34" t="n"/>
      <c r="D681" s="28" t="n"/>
      <c r="E681" s="26" t="n"/>
      <c r="F681" s="26" t="n"/>
      <c r="G681" s="26" t="n"/>
      <c r="H681" s="38" t="n"/>
      <c r="I681" s="28" t="n"/>
      <c r="J681" s="30">
        <f>IF(B681="","",IFERROR(INDEX('Share classes'!$A$4:$A$203,MATCH(B681,'Share classes'!$B$4:$B$203,0)),""))</f>
        <v/>
      </c>
      <c r="K681" s="30">
        <f>IF(A681="","",IFERROR(INDEX('Holders'!$B$4:$B$1003,MATCH(A681,'Holders'!$A$4:$A$1003,0)),""))</f>
        <v/>
      </c>
      <c r="L681" s="30">
        <f>IF(OR(A681="",B681="",D681=""),"",IF(D681=_xlfn.MAXIFS($D$4:$D$2503,$A$4:$A$2503,A681,$B$4:$B$2503,B681),"Yes","No"))</f>
        <v/>
      </c>
      <c r="M681" s="30">
        <f>IF(B681="","",IFERROR(INDEX('Share classes'!$F$4:$F$203,MATCH(B681,'Share classes'!$B$4:$B$203,0)),""))</f>
        <v/>
      </c>
      <c r="N681" s="30">
        <f>IF(A681="","",IF(K681="","Unknown holder ID",IF(J681="","Unknown class code",IF(OR(C681="",D681=""),"Missing shares or date",IF(OR(C681&lt;0,C681&lt;&gt;INT(C681)),"Shares must be a whole number",IF(COUNTIFS($A$4:$A$2503,A681,$B$4:$B$2503,B681,$D$4:$D$2503,D681)&gt;1,"Duplicate row (same date)","OK"))))))</f>
        <v/>
      </c>
    </row>
    <row r="682">
      <c r="A682" s="26" t="n"/>
      <c r="B682" s="26" t="n"/>
      <c r="C682" s="34" t="n"/>
      <c r="D682" s="28" t="n"/>
      <c r="E682" s="26" t="n"/>
      <c r="F682" s="26" t="n"/>
      <c r="G682" s="26" t="n"/>
      <c r="H682" s="38" t="n"/>
      <c r="I682" s="28" t="n"/>
      <c r="J682" s="30">
        <f>IF(B682="","",IFERROR(INDEX('Share classes'!$A$4:$A$203,MATCH(B682,'Share classes'!$B$4:$B$203,0)),""))</f>
        <v/>
      </c>
      <c r="K682" s="30">
        <f>IF(A682="","",IFERROR(INDEX('Holders'!$B$4:$B$1003,MATCH(A682,'Holders'!$A$4:$A$1003,0)),""))</f>
        <v/>
      </c>
      <c r="L682" s="30">
        <f>IF(OR(A682="",B682="",D682=""),"",IF(D682=_xlfn.MAXIFS($D$4:$D$2503,$A$4:$A$2503,A682,$B$4:$B$2503,B682),"Yes","No"))</f>
        <v/>
      </c>
      <c r="M682" s="30">
        <f>IF(B682="","",IFERROR(INDEX('Share classes'!$F$4:$F$203,MATCH(B682,'Share classes'!$B$4:$B$203,0)),""))</f>
        <v/>
      </c>
      <c r="N682" s="30">
        <f>IF(A682="","",IF(K682="","Unknown holder ID",IF(J682="","Unknown class code",IF(OR(C682="",D682=""),"Missing shares or date",IF(OR(C682&lt;0,C682&lt;&gt;INT(C682)),"Shares must be a whole number",IF(COUNTIFS($A$4:$A$2503,A682,$B$4:$B$2503,B682,$D$4:$D$2503,D682)&gt;1,"Duplicate row (same date)","OK"))))))</f>
        <v/>
      </c>
    </row>
    <row r="683">
      <c r="A683" s="26" t="n"/>
      <c r="B683" s="26" t="n"/>
      <c r="C683" s="34" t="n"/>
      <c r="D683" s="28" t="n"/>
      <c r="E683" s="26" t="n"/>
      <c r="F683" s="26" t="n"/>
      <c r="G683" s="26" t="n"/>
      <c r="H683" s="38" t="n"/>
      <c r="I683" s="28" t="n"/>
      <c r="J683" s="30">
        <f>IF(B683="","",IFERROR(INDEX('Share classes'!$A$4:$A$203,MATCH(B683,'Share classes'!$B$4:$B$203,0)),""))</f>
        <v/>
      </c>
      <c r="K683" s="30">
        <f>IF(A683="","",IFERROR(INDEX('Holders'!$B$4:$B$1003,MATCH(A683,'Holders'!$A$4:$A$1003,0)),""))</f>
        <v/>
      </c>
      <c r="L683" s="30">
        <f>IF(OR(A683="",B683="",D683=""),"",IF(D683=_xlfn.MAXIFS($D$4:$D$2503,$A$4:$A$2503,A683,$B$4:$B$2503,B683),"Yes","No"))</f>
        <v/>
      </c>
      <c r="M683" s="30">
        <f>IF(B683="","",IFERROR(INDEX('Share classes'!$F$4:$F$203,MATCH(B683,'Share classes'!$B$4:$B$203,0)),""))</f>
        <v/>
      </c>
      <c r="N683" s="30">
        <f>IF(A683="","",IF(K683="","Unknown holder ID",IF(J683="","Unknown class code",IF(OR(C683="",D683=""),"Missing shares or date",IF(OR(C683&lt;0,C683&lt;&gt;INT(C683)),"Shares must be a whole number",IF(COUNTIFS($A$4:$A$2503,A683,$B$4:$B$2503,B683,$D$4:$D$2503,D683)&gt;1,"Duplicate row (same date)","OK"))))))</f>
        <v/>
      </c>
    </row>
    <row r="684">
      <c r="A684" s="26" t="n"/>
      <c r="B684" s="26" t="n"/>
      <c r="C684" s="34" t="n"/>
      <c r="D684" s="28" t="n"/>
      <c r="E684" s="26" t="n"/>
      <c r="F684" s="26" t="n"/>
      <c r="G684" s="26" t="n"/>
      <c r="H684" s="38" t="n"/>
      <c r="I684" s="28" t="n"/>
      <c r="J684" s="30">
        <f>IF(B684="","",IFERROR(INDEX('Share classes'!$A$4:$A$203,MATCH(B684,'Share classes'!$B$4:$B$203,0)),""))</f>
        <v/>
      </c>
      <c r="K684" s="30">
        <f>IF(A684="","",IFERROR(INDEX('Holders'!$B$4:$B$1003,MATCH(A684,'Holders'!$A$4:$A$1003,0)),""))</f>
        <v/>
      </c>
      <c r="L684" s="30">
        <f>IF(OR(A684="",B684="",D684=""),"",IF(D684=_xlfn.MAXIFS($D$4:$D$2503,$A$4:$A$2503,A684,$B$4:$B$2503,B684),"Yes","No"))</f>
        <v/>
      </c>
      <c r="M684" s="30">
        <f>IF(B684="","",IFERROR(INDEX('Share classes'!$F$4:$F$203,MATCH(B684,'Share classes'!$B$4:$B$203,0)),""))</f>
        <v/>
      </c>
      <c r="N684" s="30">
        <f>IF(A684="","",IF(K684="","Unknown holder ID",IF(J684="","Unknown class code",IF(OR(C684="",D684=""),"Missing shares or date",IF(OR(C684&lt;0,C684&lt;&gt;INT(C684)),"Shares must be a whole number",IF(COUNTIFS($A$4:$A$2503,A684,$B$4:$B$2503,B684,$D$4:$D$2503,D684)&gt;1,"Duplicate row (same date)","OK"))))))</f>
        <v/>
      </c>
    </row>
    <row r="685">
      <c r="A685" s="26" t="n"/>
      <c r="B685" s="26" t="n"/>
      <c r="C685" s="34" t="n"/>
      <c r="D685" s="28" t="n"/>
      <c r="E685" s="26" t="n"/>
      <c r="F685" s="26" t="n"/>
      <c r="G685" s="26" t="n"/>
      <c r="H685" s="38" t="n"/>
      <c r="I685" s="28" t="n"/>
      <c r="J685" s="30">
        <f>IF(B685="","",IFERROR(INDEX('Share classes'!$A$4:$A$203,MATCH(B685,'Share classes'!$B$4:$B$203,0)),""))</f>
        <v/>
      </c>
      <c r="K685" s="30">
        <f>IF(A685="","",IFERROR(INDEX('Holders'!$B$4:$B$1003,MATCH(A685,'Holders'!$A$4:$A$1003,0)),""))</f>
        <v/>
      </c>
      <c r="L685" s="30">
        <f>IF(OR(A685="",B685="",D685=""),"",IF(D685=_xlfn.MAXIFS($D$4:$D$2503,$A$4:$A$2503,A685,$B$4:$B$2503,B685),"Yes","No"))</f>
        <v/>
      </c>
      <c r="M685" s="30">
        <f>IF(B685="","",IFERROR(INDEX('Share classes'!$F$4:$F$203,MATCH(B685,'Share classes'!$B$4:$B$203,0)),""))</f>
        <v/>
      </c>
      <c r="N685" s="30">
        <f>IF(A685="","",IF(K685="","Unknown holder ID",IF(J685="","Unknown class code",IF(OR(C685="",D685=""),"Missing shares or date",IF(OR(C685&lt;0,C685&lt;&gt;INT(C685)),"Shares must be a whole number",IF(COUNTIFS($A$4:$A$2503,A685,$B$4:$B$2503,B685,$D$4:$D$2503,D685)&gt;1,"Duplicate row (same date)","OK"))))))</f>
        <v/>
      </c>
    </row>
    <row r="686">
      <c r="A686" s="26" t="n"/>
      <c r="B686" s="26" t="n"/>
      <c r="C686" s="34" t="n"/>
      <c r="D686" s="28" t="n"/>
      <c r="E686" s="26" t="n"/>
      <c r="F686" s="26" t="n"/>
      <c r="G686" s="26" t="n"/>
      <c r="H686" s="38" t="n"/>
      <c r="I686" s="28" t="n"/>
      <c r="J686" s="30">
        <f>IF(B686="","",IFERROR(INDEX('Share classes'!$A$4:$A$203,MATCH(B686,'Share classes'!$B$4:$B$203,0)),""))</f>
        <v/>
      </c>
      <c r="K686" s="30">
        <f>IF(A686="","",IFERROR(INDEX('Holders'!$B$4:$B$1003,MATCH(A686,'Holders'!$A$4:$A$1003,0)),""))</f>
        <v/>
      </c>
      <c r="L686" s="30">
        <f>IF(OR(A686="",B686="",D686=""),"",IF(D686=_xlfn.MAXIFS($D$4:$D$2503,$A$4:$A$2503,A686,$B$4:$B$2503,B686),"Yes","No"))</f>
        <v/>
      </c>
      <c r="M686" s="30">
        <f>IF(B686="","",IFERROR(INDEX('Share classes'!$F$4:$F$203,MATCH(B686,'Share classes'!$B$4:$B$203,0)),""))</f>
        <v/>
      </c>
      <c r="N686" s="30">
        <f>IF(A686="","",IF(K686="","Unknown holder ID",IF(J686="","Unknown class code",IF(OR(C686="",D686=""),"Missing shares or date",IF(OR(C686&lt;0,C686&lt;&gt;INT(C686)),"Shares must be a whole number",IF(COUNTIFS($A$4:$A$2503,A686,$B$4:$B$2503,B686,$D$4:$D$2503,D686)&gt;1,"Duplicate row (same date)","OK"))))))</f>
        <v/>
      </c>
    </row>
    <row r="687">
      <c r="A687" s="26" t="n"/>
      <c r="B687" s="26" t="n"/>
      <c r="C687" s="34" t="n"/>
      <c r="D687" s="28" t="n"/>
      <c r="E687" s="26" t="n"/>
      <c r="F687" s="26" t="n"/>
      <c r="G687" s="26" t="n"/>
      <c r="H687" s="38" t="n"/>
      <c r="I687" s="28" t="n"/>
      <c r="J687" s="30">
        <f>IF(B687="","",IFERROR(INDEX('Share classes'!$A$4:$A$203,MATCH(B687,'Share classes'!$B$4:$B$203,0)),""))</f>
        <v/>
      </c>
      <c r="K687" s="30">
        <f>IF(A687="","",IFERROR(INDEX('Holders'!$B$4:$B$1003,MATCH(A687,'Holders'!$A$4:$A$1003,0)),""))</f>
        <v/>
      </c>
      <c r="L687" s="30">
        <f>IF(OR(A687="",B687="",D687=""),"",IF(D687=_xlfn.MAXIFS($D$4:$D$2503,$A$4:$A$2503,A687,$B$4:$B$2503,B687),"Yes","No"))</f>
        <v/>
      </c>
      <c r="M687" s="30">
        <f>IF(B687="","",IFERROR(INDEX('Share classes'!$F$4:$F$203,MATCH(B687,'Share classes'!$B$4:$B$203,0)),""))</f>
        <v/>
      </c>
      <c r="N687" s="30">
        <f>IF(A687="","",IF(K687="","Unknown holder ID",IF(J687="","Unknown class code",IF(OR(C687="",D687=""),"Missing shares or date",IF(OR(C687&lt;0,C687&lt;&gt;INT(C687)),"Shares must be a whole number",IF(COUNTIFS($A$4:$A$2503,A687,$B$4:$B$2503,B687,$D$4:$D$2503,D687)&gt;1,"Duplicate row (same date)","OK"))))))</f>
        <v/>
      </c>
    </row>
    <row r="688">
      <c r="A688" s="26" t="n"/>
      <c r="B688" s="26" t="n"/>
      <c r="C688" s="34" t="n"/>
      <c r="D688" s="28" t="n"/>
      <c r="E688" s="26" t="n"/>
      <c r="F688" s="26" t="n"/>
      <c r="G688" s="26" t="n"/>
      <c r="H688" s="38" t="n"/>
      <c r="I688" s="28" t="n"/>
      <c r="J688" s="30">
        <f>IF(B688="","",IFERROR(INDEX('Share classes'!$A$4:$A$203,MATCH(B688,'Share classes'!$B$4:$B$203,0)),""))</f>
        <v/>
      </c>
      <c r="K688" s="30">
        <f>IF(A688="","",IFERROR(INDEX('Holders'!$B$4:$B$1003,MATCH(A688,'Holders'!$A$4:$A$1003,0)),""))</f>
        <v/>
      </c>
      <c r="L688" s="30">
        <f>IF(OR(A688="",B688="",D688=""),"",IF(D688=_xlfn.MAXIFS($D$4:$D$2503,$A$4:$A$2503,A688,$B$4:$B$2503,B688),"Yes","No"))</f>
        <v/>
      </c>
      <c r="M688" s="30">
        <f>IF(B688="","",IFERROR(INDEX('Share classes'!$F$4:$F$203,MATCH(B688,'Share classes'!$B$4:$B$203,0)),""))</f>
        <v/>
      </c>
      <c r="N688" s="30">
        <f>IF(A688="","",IF(K688="","Unknown holder ID",IF(J688="","Unknown class code",IF(OR(C688="",D688=""),"Missing shares or date",IF(OR(C688&lt;0,C688&lt;&gt;INT(C688)),"Shares must be a whole number",IF(COUNTIFS($A$4:$A$2503,A688,$B$4:$B$2503,B688,$D$4:$D$2503,D688)&gt;1,"Duplicate row (same date)","OK"))))))</f>
        <v/>
      </c>
    </row>
    <row r="689">
      <c r="A689" s="26" t="n"/>
      <c r="B689" s="26" t="n"/>
      <c r="C689" s="34" t="n"/>
      <c r="D689" s="28" t="n"/>
      <c r="E689" s="26" t="n"/>
      <c r="F689" s="26" t="n"/>
      <c r="G689" s="26" t="n"/>
      <c r="H689" s="38" t="n"/>
      <c r="I689" s="28" t="n"/>
      <c r="J689" s="30">
        <f>IF(B689="","",IFERROR(INDEX('Share classes'!$A$4:$A$203,MATCH(B689,'Share classes'!$B$4:$B$203,0)),""))</f>
        <v/>
      </c>
      <c r="K689" s="30">
        <f>IF(A689="","",IFERROR(INDEX('Holders'!$B$4:$B$1003,MATCH(A689,'Holders'!$A$4:$A$1003,0)),""))</f>
        <v/>
      </c>
      <c r="L689" s="30">
        <f>IF(OR(A689="",B689="",D689=""),"",IF(D689=_xlfn.MAXIFS($D$4:$D$2503,$A$4:$A$2503,A689,$B$4:$B$2503,B689),"Yes","No"))</f>
        <v/>
      </c>
      <c r="M689" s="30">
        <f>IF(B689="","",IFERROR(INDEX('Share classes'!$F$4:$F$203,MATCH(B689,'Share classes'!$B$4:$B$203,0)),""))</f>
        <v/>
      </c>
      <c r="N689" s="30">
        <f>IF(A689="","",IF(K689="","Unknown holder ID",IF(J689="","Unknown class code",IF(OR(C689="",D689=""),"Missing shares or date",IF(OR(C689&lt;0,C689&lt;&gt;INT(C689)),"Shares must be a whole number",IF(COUNTIFS($A$4:$A$2503,A689,$B$4:$B$2503,B689,$D$4:$D$2503,D689)&gt;1,"Duplicate row (same date)","OK"))))))</f>
        <v/>
      </c>
    </row>
    <row r="690">
      <c r="A690" s="26" t="n"/>
      <c r="B690" s="26" t="n"/>
      <c r="C690" s="34" t="n"/>
      <c r="D690" s="28" t="n"/>
      <c r="E690" s="26" t="n"/>
      <c r="F690" s="26" t="n"/>
      <c r="G690" s="26" t="n"/>
      <c r="H690" s="38" t="n"/>
      <c r="I690" s="28" t="n"/>
      <c r="J690" s="30">
        <f>IF(B690="","",IFERROR(INDEX('Share classes'!$A$4:$A$203,MATCH(B690,'Share classes'!$B$4:$B$203,0)),""))</f>
        <v/>
      </c>
      <c r="K690" s="30">
        <f>IF(A690="","",IFERROR(INDEX('Holders'!$B$4:$B$1003,MATCH(A690,'Holders'!$A$4:$A$1003,0)),""))</f>
        <v/>
      </c>
      <c r="L690" s="30">
        <f>IF(OR(A690="",B690="",D690=""),"",IF(D690=_xlfn.MAXIFS($D$4:$D$2503,$A$4:$A$2503,A690,$B$4:$B$2503,B690),"Yes","No"))</f>
        <v/>
      </c>
      <c r="M690" s="30">
        <f>IF(B690="","",IFERROR(INDEX('Share classes'!$F$4:$F$203,MATCH(B690,'Share classes'!$B$4:$B$203,0)),""))</f>
        <v/>
      </c>
      <c r="N690" s="30">
        <f>IF(A690="","",IF(K690="","Unknown holder ID",IF(J690="","Unknown class code",IF(OR(C690="",D690=""),"Missing shares or date",IF(OR(C690&lt;0,C690&lt;&gt;INT(C690)),"Shares must be a whole number",IF(COUNTIFS($A$4:$A$2503,A690,$B$4:$B$2503,B690,$D$4:$D$2503,D690)&gt;1,"Duplicate row (same date)","OK"))))))</f>
        <v/>
      </c>
    </row>
    <row r="691">
      <c r="A691" s="26" t="n"/>
      <c r="B691" s="26" t="n"/>
      <c r="C691" s="34" t="n"/>
      <c r="D691" s="28" t="n"/>
      <c r="E691" s="26" t="n"/>
      <c r="F691" s="26" t="n"/>
      <c r="G691" s="26" t="n"/>
      <c r="H691" s="38" t="n"/>
      <c r="I691" s="28" t="n"/>
      <c r="J691" s="30">
        <f>IF(B691="","",IFERROR(INDEX('Share classes'!$A$4:$A$203,MATCH(B691,'Share classes'!$B$4:$B$203,0)),""))</f>
        <v/>
      </c>
      <c r="K691" s="30">
        <f>IF(A691="","",IFERROR(INDEX('Holders'!$B$4:$B$1003,MATCH(A691,'Holders'!$A$4:$A$1003,0)),""))</f>
        <v/>
      </c>
      <c r="L691" s="30">
        <f>IF(OR(A691="",B691="",D691=""),"",IF(D691=_xlfn.MAXIFS($D$4:$D$2503,$A$4:$A$2503,A691,$B$4:$B$2503,B691),"Yes","No"))</f>
        <v/>
      </c>
      <c r="M691" s="30">
        <f>IF(B691="","",IFERROR(INDEX('Share classes'!$F$4:$F$203,MATCH(B691,'Share classes'!$B$4:$B$203,0)),""))</f>
        <v/>
      </c>
      <c r="N691" s="30">
        <f>IF(A691="","",IF(K691="","Unknown holder ID",IF(J691="","Unknown class code",IF(OR(C691="",D691=""),"Missing shares or date",IF(OR(C691&lt;0,C691&lt;&gt;INT(C691)),"Shares must be a whole number",IF(COUNTIFS($A$4:$A$2503,A691,$B$4:$B$2503,B691,$D$4:$D$2503,D691)&gt;1,"Duplicate row (same date)","OK"))))))</f>
        <v/>
      </c>
    </row>
    <row r="692">
      <c r="A692" s="26" t="n"/>
      <c r="B692" s="26" t="n"/>
      <c r="C692" s="34" t="n"/>
      <c r="D692" s="28" t="n"/>
      <c r="E692" s="26" t="n"/>
      <c r="F692" s="26" t="n"/>
      <c r="G692" s="26" t="n"/>
      <c r="H692" s="38" t="n"/>
      <c r="I692" s="28" t="n"/>
      <c r="J692" s="30">
        <f>IF(B692="","",IFERROR(INDEX('Share classes'!$A$4:$A$203,MATCH(B692,'Share classes'!$B$4:$B$203,0)),""))</f>
        <v/>
      </c>
      <c r="K692" s="30">
        <f>IF(A692="","",IFERROR(INDEX('Holders'!$B$4:$B$1003,MATCH(A692,'Holders'!$A$4:$A$1003,0)),""))</f>
        <v/>
      </c>
      <c r="L692" s="30">
        <f>IF(OR(A692="",B692="",D692=""),"",IF(D692=_xlfn.MAXIFS($D$4:$D$2503,$A$4:$A$2503,A692,$B$4:$B$2503,B692),"Yes","No"))</f>
        <v/>
      </c>
      <c r="M692" s="30">
        <f>IF(B692="","",IFERROR(INDEX('Share classes'!$F$4:$F$203,MATCH(B692,'Share classes'!$B$4:$B$203,0)),""))</f>
        <v/>
      </c>
      <c r="N692" s="30">
        <f>IF(A692="","",IF(K692="","Unknown holder ID",IF(J692="","Unknown class code",IF(OR(C692="",D692=""),"Missing shares or date",IF(OR(C692&lt;0,C692&lt;&gt;INT(C692)),"Shares must be a whole number",IF(COUNTIFS($A$4:$A$2503,A692,$B$4:$B$2503,B692,$D$4:$D$2503,D692)&gt;1,"Duplicate row (same date)","OK"))))))</f>
        <v/>
      </c>
    </row>
    <row r="693">
      <c r="A693" s="26" t="n"/>
      <c r="B693" s="26" t="n"/>
      <c r="C693" s="34" t="n"/>
      <c r="D693" s="28" t="n"/>
      <c r="E693" s="26" t="n"/>
      <c r="F693" s="26" t="n"/>
      <c r="G693" s="26" t="n"/>
      <c r="H693" s="38" t="n"/>
      <c r="I693" s="28" t="n"/>
      <c r="J693" s="30">
        <f>IF(B693="","",IFERROR(INDEX('Share classes'!$A$4:$A$203,MATCH(B693,'Share classes'!$B$4:$B$203,0)),""))</f>
        <v/>
      </c>
      <c r="K693" s="30">
        <f>IF(A693="","",IFERROR(INDEX('Holders'!$B$4:$B$1003,MATCH(A693,'Holders'!$A$4:$A$1003,0)),""))</f>
        <v/>
      </c>
      <c r="L693" s="30">
        <f>IF(OR(A693="",B693="",D693=""),"",IF(D693=_xlfn.MAXIFS($D$4:$D$2503,$A$4:$A$2503,A693,$B$4:$B$2503,B693),"Yes","No"))</f>
        <v/>
      </c>
      <c r="M693" s="30">
        <f>IF(B693="","",IFERROR(INDEX('Share classes'!$F$4:$F$203,MATCH(B693,'Share classes'!$B$4:$B$203,0)),""))</f>
        <v/>
      </c>
      <c r="N693" s="30">
        <f>IF(A693="","",IF(K693="","Unknown holder ID",IF(J693="","Unknown class code",IF(OR(C693="",D693=""),"Missing shares or date",IF(OR(C693&lt;0,C693&lt;&gt;INT(C693)),"Shares must be a whole number",IF(COUNTIFS($A$4:$A$2503,A693,$B$4:$B$2503,B693,$D$4:$D$2503,D693)&gt;1,"Duplicate row (same date)","OK"))))))</f>
        <v/>
      </c>
    </row>
    <row r="694">
      <c r="A694" s="26" t="n"/>
      <c r="B694" s="26" t="n"/>
      <c r="C694" s="34" t="n"/>
      <c r="D694" s="28" t="n"/>
      <c r="E694" s="26" t="n"/>
      <c r="F694" s="26" t="n"/>
      <c r="G694" s="26" t="n"/>
      <c r="H694" s="38" t="n"/>
      <c r="I694" s="28" t="n"/>
      <c r="J694" s="30">
        <f>IF(B694="","",IFERROR(INDEX('Share classes'!$A$4:$A$203,MATCH(B694,'Share classes'!$B$4:$B$203,0)),""))</f>
        <v/>
      </c>
      <c r="K694" s="30">
        <f>IF(A694="","",IFERROR(INDEX('Holders'!$B$4:$B$1003,MATCH(A694,'Holders'!$A$4:$A$1003,0)),""))</f>
        <v/>
      </c>
      <c r="L694" s="30">
        <f>IF(OR(A694="",B694="",D694=""),"",IF(D694=_xlfn.MAXIFS($D$4:$D$2503,$A$4:$A$2503,A694,$B$4:$B$2503,B694),"Yes","No"))</f>
        <v/>
      </c>
      <c r="M694" s="30">
        <f>IF(B694="","",IFERROR(INDEX('Share classes'!$F$4:$F$203,MATCH(B694,'Share classes'!$B$4:$B$203,0)),""))</f>
        <v/>
      </c>
      <c r="N694" s="30">
        <f>IF(A694="","",IF(K694="","Unknown holder ID",IF(J694="","Unknown class code",IF(OR(C694="",D694=""),"Missing shares or date",IF(OR(C694&lt;0,C694&lt;&gt;INT(C694)),"Shares must be a whole number",IF(COUNTIFS($A$4:$A$2503,A694,$B$4:$B$2503,B694,$D$4:$D$2503,D694)&gt;1,"Duplicate row (same date)","OK"))))))</f>
        <v/>
      </c>
    </row>
    <row r="695">
      <c r="A695" s="26" t="n"/>
      <c r="B695" s="26" t="n"/>
      <c r="C695" s="34" t="n"/>
      <c r="D695" s="28" t="n"/>
      <c r="E695" s="26" t="n"/>
      <c r="F695" s="26" t="n"/>
      <c r="G695" s="26" t="n"/>
      <c r="H695" s="38" t="n"/>
      <c r="I695" s="28" t="n"/>
      <c r="J695" s="30">
        <f>IF(B695="","",IFERROR(INDEX('Share classes'!$A$4:$A$203,MATCH(B695,'Share classes'!$B$4:$B$203,0)),""))</f>
        <v/>
      </c>
      <c r="K695" s="30">
        <f>IF(A695="","",IFERROR(INDEX('Holders'!$B$4:$B$1003,MATCH(A695,'Holders'!$A$4:$A$1003,0)),""))</f>
        <v/>
      </c>
      <c r="L695" s="30">
        <f>IF(OR(A695="",B695="",D695=""),"",IF(D695=_xlfn.MAXIFS($D$4:$D$2503,$A$4:$A$2503,A695,$B$4:$B$2503,B695),"Yes","No"))</f>
        <v/>
      </c>
      <c r="M695" s="30">
        <f>IF(B695="","",IFERROR(INDEX('Share classes'!$F$4:$F$203,MATCH(B695,'Share classes'!$B$4:$B$203,0)),""))</f>
        <v/>
      </c>
      <c r="N695" s="30">
        <f>IF(A695="","",IF(K695="","Unknown holder ID",IF(J695="","Unknown class code",IF(OR(C695="",D695=""),"Missing shares or date",IF(OR(C695&lt;0,C695&lt;&gt;INT(C695)),"Shares must be a whole number",IF(COUNTIFS($A$4:$A$2503,A695,$B$4:$B$2503,B695,$D$4:$D$2503,D695)&gt;1,"Duplicate row (same date)","OK"))))))</f>
        <v/>
      </c>
    </row>
    <row r="696">
      <c r="A696" s="26" t="n"/>
      <c r="B696" s="26" t="n"/>
      <c r="C696" s="34" t="n"/>
      <c r="D696" s="28" t="n"/>
      <c r="E696" s="26" t="n"/>
      <c r="F696" s="26" t="n"/>
      <c r="G696" s="26" t="n"/>
      <c r="H696" s="38" t="n"/>
      <c r="I696" s="28" t="n"/>
      <c r="J696" s="30">
        <f>IF(B696="","",IFERROR(INDEX('Share classes'!$A$4:$A$203,MATCH(B696,'Share classes'!$B$4:$B$203,0)),""))</f>
        <v/>
      </c>
      <c r="K696" s="30">
        <f>IF(A696="","",IFERROR(INDEX('Holders'!$B$4:$B$1003,MATCH(A696,'Holders'!$A$4:$A$1003,0)),""))</f>
        <v/>
      </c>
      <c r="L696" s="30">
        <f>IF(OR(A696="",B696="",D696=""),"",IF(D696=_xlfn.MAXIFS($D$4:$D$2503,$A$4:$A$2503,A696,$B$4:$B$2503,B696),"Yes","No"))</f>
        <v/>
      </c>
      <c r="M696" s="30">
        <f>IF(B696="","",IFERROR(INDEX('Share classes'!$F$4:$F$203,MATCH(B696,'Share classes'!$B$4:$B$203,0)),""))</f>
        <v/>
      </c>
      <c r="N696" s="30">
        <f>IF(A696="","",IF(K696="","Unknown holder ID",IF(J696="","Unknown class code",IF(OR(C696="",D696=""),"Missing shares or date",IF(OR(C696&lt;0,C696&lt;&gt;INT(C696)),"Shares must be a whole number",IF(COUNTIFS($A$4:$A$2503,A696,$B$4:$B$2503,B696,$D$4:$D$2503,D696)&gt;1,"Duplicate row (same date)","OK"))))))</f>
        <v/>
      </c>
    </row>
    <row r="697">
      <c r="A697" s="26" t="n"/>
      <c r="B697" s="26" t="n"/>
      <c r="C697" s="34" t="n"/>
      <c r="D697" s="28" t="n"/>
      <c r="E697" s="26" t="n"/>
      <c r="F697" s="26" t="n"/>
      <c r="G697" s="26" t="n"/>
      <c r="H697" s="38" t="n"/>
      <c r="I697" s="28" t="n"/>
      <c r="J697" s="30">
        <f>IF(B697="","",IFERROR(INDEX('Share classes'!$A$4:$A$203,MATCH(B697,'Share classes'!$B$4:$B$203,0)),""))</f>
        <v/>
      </c>
      <c r="K697" s="30">
        <f>IF(A697="","",IFERROR(INDEX('Holders'!$B$4:$B$1003,MATCH(A697,'Holders'!$A$4:$A$1003,0)),""))</f>
        <v/>
      </c>
      <c r="L697" s="30">
        <f>IF(OR(A697="",B697="",D697=""),"",IF(D697=_xlfn.MAXIFS($D$4:$D$2503,$A$4:$A$2503,A697,$B$4:$B$2503,B697),"Yes","No"))</f>
        <v/>
      </c>
      <c r="M697" s="30">
        <f>IF(B697="","",IFERROR(INDEX('Share classes'!$F$4:$F$203,MATCH(B697,'Share classes'!$B$4:$B$203,0)),""))</f>
        <v/>
      </c>
      <c r="N697" s="30">
        <f>IF(A697="","",IF(K697="","Unknown holder ID",IF(J697="","Unknown class code",IF(OR(C697="",D697=""),"Missing shares or date",IF(OR(C697&lt;0,C697&lt;&gt;INT(C697)),"Shares must be a whole number",IF(COUNTIFS($A$4:$A$2503,A697,$B$4:$B$2503,B697,$D$4:$D$2503,D697)&gt;1,"Duplicate row (same date)","OK"))))))</f>
        <v/>
      </c>
    </row>
    <row r="698">
      <c r="A698" s="26" t="n"/>
      <c r="B698" s="26" t="n"/>
      <c r="C698" s="34" t="n"/>
      <c r="D698" s="28" t="n"/>
      <c r="E698" s="26" t="n"/>
      <c r="F698" s="26" t="n"/>
      <c r="G698" s="26" t="n"/>
      <c r="H698" s="38" t="n"/>
      <c r="I698" s="28" t="n"/>
      <c r="J698" s="30">
        <f>IF(B698="","",IFERROR(INDEX('Share classes'!$A$4:$A$203,MATCH(B698,'Share classes'!$B$4:$B$203,0)),""))</f>
        <v/>
      </c>
      <c r="K698" s="30">
        <f>IF(A698="","",IFERROR(INDEX('Holders'!$B$4:$B$1003,MATCH(A698,'Holders'!$A$4:$A$1003,0)),""))</f>
        <v/>
      </c>
      <c r="L698" s="30">
        <f>IF(OR(A698="",B698="",D698=""),"",IF(D698=_xlfn.MAXIFS($D$4:$D$2503,$A$4:$A$2503,A698,$B$4:$B$2503,B698),"Yes","No"))</f>
        <v/>
      </c>
      <c r="M698" s="30">
        <f>IF(B698="","",IFERROR(INDEX('Share classes'!$F$4:$F$203,MATCH(B698,'Share classes'!$B$4:$B$203,0)),""))</f>
        <v/>
      </c>
      <c r="N698" s="30">
        <f>IF(A698="","",IF(K698="","Unknown holder ID",IF(J698="","Unknown class code",IF(OR(C698="",D698=""),"Missing shares or date",IF(OR(C698&lt;0,C698&lt;&gt;INT(C698)),"Shares must be a whole number",IF(COUNTIFS($A$4:$A$2503,A698,$B$4:$B$2503,B698,$D$4:$D$2503,D698)&gt;1,"Duplicate row (same date)","OK"))))))</f>
        <v/>
      </c>
    </row>
    <row r="699">
      <c r="A699" s="26" t="n"/>
      <c r="B699" s="26" t="n"/>
      <c r="C699" s="34" t="n"/>
      <c r="D699" s="28" t="n"/>
      <c r="E699" s="26" t="n"/>
      <c r="F699" s="26" t="n"/>
      <c r="G699" s="26" t="n"/>
      <c r="H699" s="38" t="n"/>
      <c r="I699" s="28" t="n"/>
      <c r="J699" s="30">
        <f>IF(B699="","",IFERROR(INDEX('Share classes'!$A$4:$A$203,MATCH(B699,'Share classes'!$B$4:$B$203,0)),""))</f>
        <v/>
      </c>
      <c r="K699" s="30">
        <f>IF(A699="","",IFERROR(INDEX('Holders'!$B$4:$B$1003,MATCH(A699,'Holders'!$A$4:$A$1003,0)),""))</f>
        <v/>
      </c>
      <c r="L699" s="30">
        <f>IF(OR(A699="",B699="",D699=""),"",IF(D699=_xlfn.MAXIFS($D$4:$D$2503,$A$4:$A$2503,A699,$B$4:$B$2503,B699),"Yes","No"))</f>
        <v/>
      </c>
      <c r="M699" s="30">
        <f>IF(B699="","",IFERROR(INDEX('Share classes'!$F$4:$F$203,MATCH(B699,'Share classes'!$B$4:$B$203,0)),""))</f>
        <v/>
      </c>
      <c r="N699" s="30">
        <f>IF(A699="","",IF(K699="","Unknown holder ID",IF(J699="","Unknown class code",IF(OR(C699="",D699=""),"Missing shares or date",IF(OR(C699&lt;0,C699&lt;&gt;INT(C699)),"Shares must be a whole number",IF(COUNTIFS($A$4:$A$2503,A699,$B$4:$B$2503,B699,$D$4:$D$2503,D699)&gt;1,"Duplicate row (same date)","OK"))))))</f>
        <v/>
      </c>
    </row>
    <row r="700">
      <c r="A700" s="26" t="n"/>
      <c r="B700" s="26" t="n"/>
      <c r="C700" s="34" t="n"/>
      <c r="D700" s="28" t="n"/>
      <c r="E700" s="26" t="n"/>
      <c r="F700" s="26" t="n"/>
      <c r="G700" s="26" t="n"/>
      <c r="H700" s="38" t="n"/>
      <c r="I700" s="28" t="n"/>
      <c r="J700" s="30">
        <f>IF(B700="","",IFERROR(INDEX('Share classes'!$A$4:$A$203,MATCH(B700,'Share classes'!$B$4:$B$203,0)),""))</f>
        <v/>
      </c>
      <c r="K700" s="30">
        <f>IF(A700="","",IFERROR(INDEX('Holders'!$B$4:$B$1003,MATCH(A700,'Holders'!$A$4:$A$1003,0)),""))</f>
        <v/>
      </c>
      <c r="L700" s="30">
        <f>IF(OR(A700="",B700="",D700=""),"",IF(D700=_xlfn.MAXIFS($D$4:$D$2503,$A$4:$A$2503,A700,$B$4:$B$2503,B700),"Yes","No"))</f>
        <v/>
      </c>
      <c r="M700" s="30">
        <f>IF(B700="","",IFERROR(INDEX('Share classes'!$F$4:$F$203,MATCH(B700,'Share classes'!$B$4:$B$203,0)),""))</f>
        <v/>
      </c>
      <c r="N700" s="30">
        <f>IF(A700="","",IF(K700="","Unknown holder ID",IF(J700="","Unknown class code",IF(OR(C700="",D700=""),"Missing shares or date",IF(OR(C700&lt;0,C700&lt;&gt;INT(C700)),"Shares must be a whole number",IF(COUNTIFS($A$4:$A$2503,A700,$B$4:$B$2503,B700,$D$4:$D$2503,D700)&gt;1,"Duplicate row (same date)","OK"))))))</f>
        <v/>
      </c>
    </row>
    <row r="701">
      <c r="A701" s="26" t="n"/>
      <c r="B701" s="26" t="n"/>
      <c r="C701" s="34" t="n"/>
      <c r="D701" s="28" t="n"/>
      <c r="E701" s="26" t="n"/>
      <c r="F701" s="26" t="n"/>
      <c r="G701" s="26" t="n"/>
      <c r="H701" s="38" t="n"/>
      <c r="I701" s="28" t="n"/>
      <c r="J701" s="30">
        <f>IF(B701="","",IFERROR(INDEX('Share classes'!$A$4:$A$203,MATCH(B701,'Share classes'!$B$4:$B$203,0)),""))</f>
        <v/>
      </c>
      <c r="K701" s="30">
        <f>IF(A701="","",IFERROR(INDEX('Holders'!$B$4:$B$1003,MATCH(A701,'Holders'!$A$4:$A$1003,0)),""))</f>
        <v/>
      </c>
      <c r="L701" s="30">
        <f>IF(OR(A701="",B701="",D701=""),"",IF(D701=_xlfn.MAXIFS($D$4:$D$2503,$A$4:$A$2503,A701,$B$4:$B$2503,B701),"Yes","No"))</f>
        <v/>
      </c>
      <c r="M701" s="30">
        <f>IF(B701="","",IFERROR(INDEX('Share classes'!$F$4:$F$203,MATCH(B701,'Share classes'!$B$4:$B$203,0)),""))</f>
        <v/>
      </c>
      <c r="N701" s="30">
        <f>IF(A701="","",IF(K701="","Unknown holder ID",IF(J701="","Unknown class code",IF(OR(C701="",D701=""),"Missing shares or date",IF(OR(C701&lt;0,C701&lt;&gt;INT(C701)),"Shares must be a whole number",IF(COUNTIFS($A$4:$A$2503,A701,$B$4:$B$2503,B701,$D$4:$D$2503,D701)&gt;1,"Duplicate row (same date)","OK"))))))</f>
        <v/>
      </c>
    </row>
    <row r="702">
      <c r="A702" s="26" t="n"/>
      <c r="B702" s="26" t="n"/>
      <c r="C702" s="34" t="n"/>
      <c r="D702" s="28" t="n"/>
      <c r="E702" s="26" t="n"/>
      <c r="F702" s="26" t="n"/>
      <c r="G702" s="26" t="n"/>
      <c r="H702" s="38" t="n"/>
      <c r="I702" s="28" t="n"/>
      <c r="J702" s="30">
        <f>IF(B702="","",IFERROR(INDEX('Share classes'!$A$4:$A$203,MATCH(B702,'Share classes'!$B$4:$B$203,0)),""))</f>
        <v/>
      </c>
      <c r="K702" s="30">
        <f>IF(A702="","",IFERROR(INDEX('Holders'!$B$4:$B$1003,MATCH(A702,'Holders'!$A$4:$A$1003,0)),""))</f>
        <v/>
      </c>
      <c r="L702" s="30">
        <f>IF(OR(A702="",B702="",D702=""),"",IF(D702=_xlfn.MAXIFS($D$4:$D$2503,$A$4:$A$2503,A702,$B$4:$B$2503,B702),"Yes","No"))</f>
        <v/>
      </c>
      <c r="M702" s="30">
        <f>IF(B702="","",IFERROR(INDEX('Share classes'!$F$4:$F$203,MATCH(B702,'Share classes'!$B$4:$B$203,0)),""))</f>
        <v/>
      </c>
      <c r="N702" s="30">
        <f>IF(A702="","",IF(K702="","Unknown holder ID",IF(J702="","Unknown class code",IF(OR(C702="",D702=""),"Missing shares or date",IF(OR(C702&lt;0,C702&lt;&gt;INT(C702)),"Shares must be a whole number",IF(COUNTIFS($A$4:$A$2503,A702,$B$4:$B$2503,B702,$D$4:$D$2503,D702)&gt;1,"Duplicate row (same date)","OK"))))))</f>
        <v/>
      </c>
    </row>
    <row r="703">
      <c r="A703" s="26" t="n"/>
      <c r="B703" s="26" t="n"/>
      <c r="C703" s="34" t="n"/>
      <c r="D703" s="28" t="n"/>
      <c r="E703" s="26" t="n"/>
      <c r="F703" s="26" t="n"/>
      <c r="G703" s="26" t="n"/>
      <c r="H703" s="38" t="n"/>
      <c r="I703" s="28" t="n"/>
      <c r="J703" s="30">
        <f>IF(B703="","",IFERROR(INDEX('Share classes'!$A$4:$A$203,MATCH(B703,'Share classes'!$B$4:$B$203,0)),""))</f>
        <v/>
      </c>
      <c r="K703" s="30">
        <f>IF(A703="","",IFERROR(INDEX('Holders'!$B$4:$B$1003,MATCH(A703,'Holders'!$A$4:$A$1003,0)),""))</f>
        <v/>
      </c>
      <c r="L703" s="30">
        <f>IF(OR(A703="",B703="",D703=""),"",IF(D703=_xlfn.MAXIFS($D$4:$D$2503,$A$4:$A$2503,A703,$B$4:$B$2503,B703),"Yes","No"))</f>
        <v/>
      </c>
      <c r="M703" s="30">
        <f>IF(B703="","",IFERROR(INDEX('Share classes'!$F$4:$F$203,MATCH(B703,'Share classes'!$B$4:$B$203,0)),""))</f>
        <v/>
      </c>
      <c r="N703" s="30">
        <f>IF(A703="","",IF(K703="","Unknown holder ID",IF(J703="","Unknown class code",IF(OR(C703="",D703=""),"Missing shares or date",IF(OR(C703&lt;0,C703&lt;&gt;INT(C703)),"Shares must be a whole number",IF(COUNTIFS($A$4:$A$2503,A703,$B$4:$B$2503,B703,$D$4:$D$2503,D703)&gt;1,"Duplicate row (same date)","OK"))))))</f>
        <v/>
      </c>
    </row>
    <row r="704">
      <c r="A704" s="26" t="n"/>
      <c r="B704" s="26" t="n"/>
      <c r="C704" s="34" t="n"/>
      <c r="D704" s="28" t="n"/>
      <c r="E704" s="26" t="n"/>
      <c r="F704" s="26" t="n"/>
      <c r="G704" s="26" t="n"/>
      <c r="H704" s="38" t="n"/>
      <c r="I704" s="28" t="n"/>
      <c r="J704" s="30">
        <f>IF(B704="","",IFERROR(INDEX('Share classes'!$A$4:$A$203,MATCH(B704,'Share classes'!$B$4:$B$203,0)),""))</f>
        <v/>
      </c>
      <c r="K704" s="30">
        <f>IF(A704="","",IFERROR(INDEX('Holders'!$B$4:$B$1003,MATCH(A704,'Holders'!$A$4:$A$1003,0)),""))</f>
        <v/>
      </c>
      <c r="L704" s="30">
        <f>IF(OR(A704="",B704="",D704=""),"",IF(D704=_xlfn.MAXIFS($D$4:$D$2503,$A$4:$A$2503,A704,$B$4:$B$2503,B704),"Yes","No"))</f>
        <v/>
      </c>
      <c r="M704" s="30">
        <f>IF(B704="","",IFERROR(INDEX('Share classes'!$F$4:$F$203,MATCH(B704,'Share classes'!$B$4:$B$203,0)),""))</f>
        <v/>
      </c>
      <c r="N704" s="30">
        <f>IF(A704="","",IF(K704="","Unknown holder ID",IF(J704="","Unknown class code",IF(OR(C704="",D704=""),"Missing shares or date",IF(OR(C704&lt;0,C704&lt;&gt;INT(C704)),"Shares must be a whole number",IF(COUNTIFS($A$4:$A$2503,A704,$B$4:$B$2503,B704,$D$4:$D$2503,D704)&gt;1,"Duplicate row (same date)","OK"))))))</f>
        <v/>
      </c>
    </row>
    <row r="705">
      <c r="A705" s="26" t="n"/>
      <c r="B705" s="26" t="n"/>
      <c r="C705" s="34" t="n"/>
      <c r="D705" s="28" t="n"/>
      <c r="E705" s="26" t="n"/>
      <c r="F705" s="26" t="n"/>
      <c r="G705" s="26" t="n"/>
      <c r="H705" s="38" t="n"/>
      <c r="I705" s="28" t="n"/>
      <c r="J705" s="30">
        <f>IF(B705="","",IFERROR(INDEX('Share classes'!$A$4:$A$203,MATCH(B705,'Share classes'!$B$4:$B$203,0)),""))</f>
        <v/>
      </c>
      <c r="K705" s="30">
        <f>IF(A705="","",IFERROR(INDEX('Holders'!$B$4:$B$1003,MATCH(A705,'Holders'!$A$4:$A$1003,0)),""))</f>
        <v/>
      </c>
      <c r="L705" s="30">
        <f>IF(OR(A705="",B705="",D705=""),"",IF(D705=_xlfn.MAXIFS($D$4:$D$2503,$A$4:$A$2503,A705,$B$4:$B$2503,B705),"Yes","No"))</f>
        <v/>
      </c>
      <c r="M705" s="30">
        <f>IF(B705="","",IFERROR(INDEX('Share classes'!$F$4:$F$203,MATCH(B705,'Share classes'!$B$4:$B$203,0)),""))</f>
        <v/>
      </c>
      <c r="N705" s="30">
        <f>IF(A705="","",IF(K705="","Unknown holder ID",IF(J705="","Unknown class code",IF(OR(C705="",D705=""),"Missing shares or date",IF(OR(C705&lt;0,C705&lt;&gt;INT(C705)),"Shares must be a whole number",IF(COUNTIFS($A$4:$A$2503,A705,$B$4:$B$2503,B705,$D$4:$D$2503,D705)&gt;1,"Duplicate row (same date)","OK"))))))</f>
        <v/>
      </c>
    </row>
    <row r="706">
      <c r="A706" s="26" t="n"/>
      <c r="B706" s="26" t="n"/>
      <c r="C706" s="34" t="n"/>
      <c r="D706" s="28" t="n"/>
      <c r="E706" s="26" t="n"/>
      <c r="F706" s="26" t="n"/>
      <c r="G706" s="26" t="n"/>
      <c r="H706" s="38" t="n"/>
      <c r="I706" s="28" t="n"/>
      <c r="J706" s="30">
        <f>IF(B706="","",IFERROR(INDEX('Share classes'!$A$4:$A$203,MATCH(B706,'Share classes'!$B$4:$B$203,0)),""))</f>
        <v/>
      </c>
      <c r="K706" s="30">
        <f>IF(A706="","",IFERROR(INDEX('Holders'!$B$4:$B$1003,MATCH(A706,'Holders'!$A$4:$A$1003,0)),""))</f>
        <v/>
      </c>
      <c r="L706" s="30">
        <f>IF(OR(A706="",B706="",D706=""),"",IF(D706=_xlfn.MAXIFS($D$4:$D$2503,$A$4:$A$2503,A706,$B$4:$B$2503,B706),"Yes","No"))</f>
        <v/>
      </c>
      <c r="M706" s="30">
        <f>IF(B706="","",IFERROR(INDEX('Share classes'!$F$4:$F$203,MATCH(B706,'Share classes'!$B$4:$B$203,0)),""))</f>
        <v/>
      </c>
      <c r="N706" s="30">
        <f>IF(A706="","",IF(K706="","Unknown holder ID",IF(J706="","Unknown class code",IF(OR(C706="",D706=""),"Missing shares or date",IF(OR(C706&lt;0,C706&lt;&gt;INT(C706)),"Shares must be a whole number",IF(COUNTIFS($A$4:$A$2503,A706,$B$4:$B$2503,B706,$D$4:$D$2503,D706)&gt;1,"Duplicate row (same date)","OK"))))))</f>
        <v/>
      </c>
    </row>
    <row r="707">
      <c r="A707" s="26" t="n"/>
      <c r="B707" s="26" t="n"/>
      <c r="C707" s="34" t="n"/>
      <c r="D707" s="28" t="n"/>
      <c r="E707" s="26" t="n"/>
      <c r="F707" s="26" t="n"/>
      <c r="G707" s="26" t="n"/>
      <c r="H707" s="38" t="n"/>
      <c r="I707" s="28" t="n"/>
      <c r="J707" s="30">
        <f>IF(B707="","",IFERROR(INDEX('Share classes'!$A$4:$A$203,MATCH(B707,'Share classes'!$B$4:$B$203,0)),""))</f>
        <v/>
      </c>
      <c r="K707" s="30">
        <f>IF(A707="","",IFERROR(INDEX('Holders'!$B$4:$B$1003,MATCH(A707,'Holders'!$A$4:$A$1003,0)),""))</f>
        <v/>
      </c>
      <c r="L707" s="30">
        <f>IF(OR(A707="",B707="",D707=""),"",IF(D707=_xlfn.MAXIFS($D$4:$D$2503,$A$4:$A$2503,A707,$B$4:$B$2503,B707),"Yes","No"))</f>
        <v/>
      </c>
      <c r="M707" s="30">
        <f>IF(B707="","",IFERROR(INDEX('Share classes'!$F$4:$F$203,MATCH(B707,'Share classes'!$B$4:$B$203,0)),""))</f>
        <v/>
      </c>
      <c r="N707" s="30">
        <f>IF(A707="","",IF(K707="","Unknown holder ID",IF(J707="","Unknown class code",IF(OR(C707="",D707=""),"Missing shares or date",IF(OR(C707&lt;0,C707&lt;&gt;INT(C707)),"Shares must be a whole number",IF(COUNTIFS($A$4:$A$2503,A707,$B$4:$B$2503,B707,$D$4:$D$2503,D707)&gt;1,"Duplicate row (same date)","OK"))))))</f>
        <v/>
      </c>
    </row>
    <row r="708">
      <c r="A708" s="26" t="n"/>
      <c r="B708" s="26" t="n"/>
      <c r="C708" s="34" t="n"/>
      <c r="D708" s="28" t="n"/>
      <c r="E708" s="26" t="n"/>
      <c r="F708" s="26" t="n"/>
      <c r="G708" s="26" t="n"/>
      <c r="H708" s="38" t="n"/>
      <c r="I708" s="28" t="n"/>
      <c r="J708" s="30">
        <f>IF(B708="","",IFERROR(INDEX('Share classes'!$A$4:$A$203,MATCH(B708,'Share classes'!$B$4:$B$203,0)),""))</f>
        <v/>
      </c>
      <c r="K708" s="30">
        <f>IF(A708="","",IFERROR(INDEX('Holders'!$B$4:$B$1003,MATCH(A708,'Holders'!$A$4:$A$1003,0)),""))</f>
        <v/>
      </c>
      <c r="L708" s="30">
        <f>IF(OR(A708="",B708="",D708=""),"",IF(D708=_xlfn.MAXIFS($D$4:$D$2503,$A$4:$A$2503,A708,$B$4:$B$2503,B708),"Yes","No"))</f>
        <v/>
      </c>
      <c r="M708" s="30">
        <f>IF(B708="","",IFERROR(INDEX('Share classes'!$F$4:$F$203,MATCH(B708,'Share classes'!$B$4:$B$203,0)),""))</f>
        <v/>
      </c>
      <c r="N708" s="30">
        <f>IF(A708="","",IF(K708="","Unknown holder ID",IF(J708="","Unknown class code",IF(OR(C708="",D708=""),"Missing shares or date",IF(OR(C708&lt;0,C708&lt;&gt;INT(C708)),"Shares must be a whole number",IF(COUNTIFS($A$4:$A$2503,A708,$B$4:$B$2503,B708,$D$4:$D$2503,D708)&gt;1,"Duplicate row (same date)","OK"))))))</f>
        <v/>
      </c>
    </row>
    <row r="709">
      <c r="A709" s="26" t="n"/>
      <c r="B709" s="26" t="n"/>
      <c r="C709" s="34" t="n"/>
      <c r="D709" s="28" t="n"/>
      <c r="E709" s="26" t="n"/>
      <c r="F709" s="26" t="n"/>
      <c r="G709" s="26" t="n"/>
      <c r="H709" s="38" t="n"/>
      <c r="I709" s="28" t="n"/>
      <c r="J709" s="30">
        <f>IF(B709="","",IFERROR(INDEX('Share classes'!$A$4:$A$203,MATCH(B709,'Share classes'!$B$4:$B$203,0)),""))</f>
        <v/>
      </c>
      <c r="K709" s="30">
        <f>IF(A709="","",IFERROR(INDEX('Holders'!$B$4:$B$1003,MATCH(A709,'Holders'!$A$4:$A$1003,0)),""))</f>
        <v/>
      </c>
      <c r="L709" s="30">
        <f>IF(OR(A709="",B709="",D709=""),"",IF(D709=_xlfn.MAXIFS($D$4:$D$2503,$A$4:$A$2503,A709,$B$4:$B$2503,B709),"Yes","No"))</f>
        <v/>
      </c>
      <c r="M709" s="30">
        <f>IF(B709="","",IFERROR(INDEX('Share classes'!$F$4:$F$203,MATCH(B709,'Share classes'!$B$4:$B$203,0)),""))</f>
        <v/>
      </c>
      <c r="N709" s="30">
        <f>IF(A709="","",IF(K709="","Unknown holder ID",IF(J709="","Unknown class code",IF(OR(C709="",D709=""),"Missing shares or date",IF(OR(C709&lt;0,C709&lt;&gt;INT(C709)),"Shares must be a whole number",IF(COUNTIFS($A$4:$A$2503,A709,$B$4:$B$2503,B709,$D$4:$D$2503,D709)&gt;1,"Duplicate row (same date)","OK"))))))</f>
        <v/>
      </c>
    </row>
    <row r="710">
      <c r="A710" s="26" t="n"/>
      <c r="B710" s="26" t="n"/>
      <c r="C710" s="34" t="n"/>
      <c r="D710" s="28" t="n"/>
      <c r="E710" s="26" t="n"/>
      <c r="F710" s="26" t="n"/>
      <c r="G710" s="26" t="n"/>
      <c r="H710" s="38" t="n"/>
      <c r="I710" s="28" t="n"/>
      <c r="J710" s="30">
        <f>IF(B710="","",IFERROR(INDEX('Share classes'!$A$4:$A$203,MATCH(B710,'Share classes'!$B$4:$B$203,0)),""))</f>
        <v/>
      </c>
      <c r="K710" s="30">
        <f>IF(A710="","",IFERROR(INDEX('Holders'!$B$4:$B$1003,MATCH(A710,'Holders'!$A$4:$A$1003,0)),""))</f>
        <v/>
      </c>
      <c r="L710" s="30">
        <f>IF(OR(A710="",B710="",D710=""),"",IF(D710=_xlfn.MAXIFS($D$4:$D$2503,$A$4:$A$2503,A710,$B$4:$B$2503,B710),"Yes","No"))</f>
        <v/>
      </c>
      <c r="M710" s="30">
        <f>IF(B710="","",IFERROR(INDEX('Share classes'!$F$4:$F$203,MATCH(B710,'Share classes'!$B$4:$B$203,0)),""))</f>
        <v/>
      </c>
      <c r="N710" s="30">
        <f>IF(A710="","",IF(K710="","Unknown holder ID",IF(J710="","Unknown class code",IF(OR(C710="",D710=""),"Missing shares or date",IF(OR(C710&lt;0,C710&lt;&gt;INT(C710)),"Shares must be a whole number",IF(COUNTIFS($A$4:$A$2503,A710,$B$4:$B$2503,B710,$D$4:$D$2503,D710)&gt;1,"Duplicate row (same date)","OK"))))))</f>
        <v/>
      </c>
    </row>
    <row r="711">
      <c r="A711" s="26" t="n"/>
      <c r="B711" s="26" t="n"/>
      <c r="C711" s="34" t="n"/>
      <c r="D711" s="28" t="n"/>
      <c r="E711" s="26" t="n"/>
      <c r="F711" s="26" t="n"/>
      <c r="G711" s="26" t="n"/>
      <c r="H711" s="38" t="n"/>
      <c r="I711" s="28" t="n"/>
      <c r="J711" s="30">
        <f>IF(B711="","",IFERROR(INDEX('Share classes'!$A$4:$A$203,MATCH(B711,'Share classes'!$B$4:$B$203,0)),""))</f>
        <v/>
      </c>
      <c r="K711" s="30">
        <f>IF(A711="","",IFERROR(INDEX('Holders'!$B$4:$B$1003,MATCH(A711,'Holders'!$A$4:$A$1003,0)),""))</f>
        <v/>
      </c>
      <c r="L711" s="30">
        <f>IF(OR(A711="",B711="",D711=""),"",IF(D711=_xlfn.MAXIFS($D$4:$D$2503,$A$4:$A$2503,A711,$B$4:$B$2503,B711),"Yes","No"))</f>
        <v/>
      </c>
      <c r="M711" s="30">
        <f>IF(B711="","",IFERROR(INDEX('Share classes'!$F$4:$F$203,MATCH(B711,'Share classes'!$B$4:$B$203,0)),""))</f>
        <v/>
      </c>
      <c r="N711" s="30">
        <f>IF(A711="","",IF(K711="","Unknown holder ID",IF(J711="","Unknown class code",IF(OR(C711="",D711=""),"Missing shares or date",IF(OR(C711&lt;0,C711&lt;&gt;INT(C711)),"Shares must be a whole number",IF(COUNTIFS($A$4:$A$2503,A711,$B$4:$B$2503,B711,$D$4:$D$2503,D711)&gt;1,"Duplicate row (same date)","OK"))))))</f>
        <v/>
      </c>
    </row>
    <row r="712">
      <c r="A712" s="26" t="n"/>
      <c r="B712" s="26" t="n"/>
      <c r="C712" s="34" t="n"/>
      <c r="D712" s="28" t="n"/>
      <c r="E712" s="26" t="n"/>
      <c r="F712" s="26" t="n"/>
      <c r="G712" s="26" t="n"/>
      <c r="H712" s="38" t="n"/>
      <c r="I712" s="28" t="n"/>
      <c r="J712" s="30">
        <f>IF(B712="","",IFERROR(INDEX('Share classes'!$A$4:$A$203,MATCH(B712,'Share classes'!$B$4:$B$203,0)),""))</f>
        <v/>
      </c>
      <c r="K712" s="30">
        <f>IF(A712="","",IFERROR(INDEX('Holders'!$B$4:$B$1003,MATCH(A712,'Holders'!$A$4:$A$1003,0)),""))</f>
        <v/>
      </c>
      <c r="L712" s="30">
        <f>IF(OR(A712="",B712="",D712=""),"",IF(D712=_xlfn.MAXIFS($D$4:$D$2503,$A$4:$A$2503,A712,$B$4:$B$2503,B712),"Yes","No"))</f>
        <v/>
      </c>
      <c r="M712" s="30">
        <f>IF(B712="","",IFERROR(INDEX('Share classes'!$F$4:$F$203,MATCH(B712,'Share classes'!$B$4:$B$203,0)),""))</f>
        <v/>
      </c>
      <c r="N712" s="30">
        <f>IF(A712="","",IF(K712="","Unknown holder ID",IF(J712="","Unknown class code",IF(OR(C712="",D712=""),"Missing shares or date",IF(OR(C712&lt;0,C712&lt;&gt;INT(C712)),"Shares must be a whole number",IF(COUNTIFS($A$4:$A$2503,A712,$B$4:$B$2503,B712,$D$4:$D$2503,D712)&gt;1,"Duplicate row (same date)","OK"))))))</f>
        <v/>
      </c>
    </row>
    <row r="713">
      <c r="A713" s="26" t="n"/>
      <c r="B713" s="26" t="n"/>
      <c r="C713" s="34" t="n"/>
      <c r="D713" s="28" t="n"/>
      <c r="E713" s="26" t="n"/>
      <c r="F713" s="26" t="n"/>
      <c r="G713" s="26" t="n"/>
      <c r="H713" s="38" t="n"/>
      <c r="I713" s="28" t="n"/>
      <c r="J713" s="30">
        <f>IF(B713="","",IFERROR(INDEX('Share classes'!$A$4:$A$203,MATCH(B713,'Share classes'!$B$4:$B$203,0)),""))</f>
        <v/>
      </c>
      <c r="K713" s="30">
        <f>IF(A713="","",IFERROR(INDEX('Holders'!$B$4:$B$1003,MATCH(A713,'Holders'!$A$4:$A$1003,0)),""))</f>
        <v/>
      </c>
      <c r="L713" s="30">
        <f>IF(OR(A713="",B713="",D713=""),"",IF(D713=_xlfn.MAXIFS($D$4:$D$2503,$A$4:$A$2503,A713,$B$4:$B$2503,B713),"Yes","No"))</f>
        <v/>
      </c>
      <c r="M713" s="30">
        <f>IF(B713="","",IFERROR(INDEX('Share classes'!$F$4:$F$203,MATCH(B713,'Share classes'!$B$4:$B$203,0)),""))</f>
        <v/>
      </c>
      <c r="N713" s="30">
        <f>IF(A713="","",IF(K713="","Unknown holder ID",IF(J713="","Unknown class code",IF(OR(C713="",D713=""),"Missing shares or date",IF(OR(C713&lt;0,C713&lt;&gt;INT(C713)),"Shares must be a whole number",IF(COUNTIFS($A$4:$A$2503,A713,$B$4:$B$2503,B713,$D$4:$D$2503,D713)&gt;1,"Duplicate row (same date)","OK"))))))</f>
        <v/>
      </c>
    </row>
    <row r="714">
      <c r="A714" s="26" t="n"/>
      <c r="B714" s="26" t="n"/>
      <c r="C714" s="34" t="n"/>
      <c r="D714" s="28" t="n"/>
      <c r="E714" s="26" t="n"/>
      <c r="F714" s="26" t="n"/>
      <c r="G714" s="26" t="n"/>
      <c r="H714" s="38" t="n"/>
      <c r="I714" s="28" t="n"/>
      <c r="J714" s="30">
        <f>IF(B714="","",IFERROR(INDEX('Share classes'!$A$4:$A$203,MATCH(B714,'Share classes'!$B$4:$B$203,0)),""))</f>
        <v/>
      </c>
      <c r="K714" s="30">
        <f>IF(A714="","",IFERROR(INDEX('Holders'!$B$4:$B$1003,MATCH(A714,'Holders'!$A$4:$A$1003,0)),""))</f>
        <v/>
      </c>
      <c r="L714" s="30">
        <f>IF(OR(A714="",B714="",D714=""),"",IF(D714=_xlfn.MAXIFS($D$4:$D$2503,$A$4:$A$2503,A714,$B$4:$B$2503,B714),"Yes","No"))</f>
        <v/>
      </c>
      <c r="M714" s="30">
        <f>IF(B714="","",IFERROR(INDEX('Share classes'!$F$4:$F$203,MATCH(B714,'Share classes'!$B$4:$B$203,0)),""))</f>
        <v/>
      </c>
      <c r="N714" s="30">
        <f>IF(A714="","",IF(K714="","Unknown holder ID",IF(J714="","Unknown class code",IF(OR(C714="",D714=""),"Missing shares or date",IF(OR(C714&lt;0,C714&lt;&gt;INT(C714)),"Shares must be a whole number",IF(COUNTIFS($A$4:$A$2503,A714,$B$4:$B$2503,B714,$D$4:$D$2503,D714)&gt;1,"Duplicate row (same date)","OK"))))))</f>
        <v/>
      </c>
    </row>
    <row r="715">
      <c r="A715" s="26" t="n"/>
      <c r="B715" s="26" t="n"/>
      <c r="C715" s="34" t="n"/>
      <c r="D715" s="28" t="n"/>
      <c r="E715" s="26" t="n"/>
      <c r="F715" s="26" t="n"/>
      <c r="G715" s="26" t="n"/>
      <c r="H715" s="38" t="n"/>
      <c r="I715" s="28" t="n"/>
      <c r="J715" s="30">
        <f>IF(B715="","",IFERROR(INDEX('Share classes'!$A$4:$A$203,MATCH(B715,'Share classes'!$B$4:$B$203,0)),""))</f>
        <v/>
      </c>
      <c r="K715" s="30">
        <f>IF(A715="","",IFERROR(INDEX('Holders'!$B$4:$B$1003,MATCH(A715,'Holders'!$A$4:$A$1003,0)),""))</f>
        <v/>
      </c>
      <c r="L715" s="30">
        <f>IF(OR(A715="",B715="",D715=""),"",IF(D715=_xlfn.MAXIFS($D$4:$D$2503,$A$4:$A$2503,A715,$B$4:$B$2503,B715),"Yes","No"))</f>
        <v/>
      </c>
      <c r="M715" s="30">
        <f>IF(B715="","",IFERROR(INDEX('Share classes'!$F$4:$F$203,MATCH(B715,'Share classes'!$B$4:$B$203,0)),""))</f>
        <v/>
      </c>
      <c r="N715" s="30">
        <f>IF(A715="","",IF(K715="","Unknown holder ID",IF(J715="","Unknown class code",IF(OR(C715="",D715=""),"Missing shares or date",IF(OR(C715&lt;0,C715&lt;&gt;INT(C715)),"Shares must be a whole number",IF(COUNTIFS($A$4:$A$2503,A715,$B$4:$B$2503,B715,$D$4:$D$2503,D715)&gt;1,"Duplicate row (same date)","OK"))))))</f>
        <v/>
      </c>
    </row>
    <row r="716">
      <c r="A716" s="26" t="n"/>
      <c r="B716" s="26" t="n"/>
      <c r="C716" s="34" t="n"/>
      <c r="D716" s="28" t="n"/>
      <c r="E716" s="26" t="n"/>
      <c r="F716" s="26" t="n"/>
      <c r="G716" s="26" t="n"/>
      <c r="H716" s="38" t="n"/>
      <c r="I716" s="28" t="n"/>
      <c r="J716" s="30">
        <f>IF(B716="","",IFERROR(INDEX('Share classes'!$A$4:$A$203,MATCH(B716,'Share classes'!$B$4:$B$203,0)),""))</f>
        <v/>
      </c>
      <c r="K716" s="30">
        <f>IF(A716="","",IFERROR(INDEX('Holders'!$B$4:$B$1003,MATCH(A716,'Holders'!$A$4:$A$1003,0)),""))</f>
        <v/>
      </c>
      <c r="L716" s="30">
        <f>IF(OR(A716="",B716="",D716=""),"",IF(D716=_xlfn.MAXIFS($D$4:$D$2503,$A$4:$A$2503,A716,$B$4:$B$2503,B716),"Yes","No"))</f>
        <v/>
      </c>
      <c r="M716" s="30">
        <f>IF(B716="","",IFERROR(INDEX('Share classes'!$F$4:$F$203,MATCH(B716,'Share classes'!$B$4:$B$203,0)),""))</f>
        <v/>
      </c>
      <c r="N716" s="30">
        <f>IF(A716="","",IF(K716="","Unknown holder ID",IF(J716="","Unknown class code",IF(OR(C716="",D716=""),"Missing shares or date",IF(OR(C716&lt;0,C716&lt;&gt;INT(C716)),"Shares must be a whole number",IF(COUNTIFS($A$4:$A$2503,A716,$B$4:$B$2503,B716,$D$4:$D$2503,D716)&gt;1,"Duplicate row (same date)","OK"))))))</f>
        <v/>
      </c>
    </row>
    <row r="717">
      <c r="A717" s="26" t="n"/>
      <c r="B717" s="26" t="n"/>
      <c r="C717" s="34" t="n"/>
      <c r="D717" s="28" t="n"/>
      <c r="E717" s="26" t="n"/>
      <c r="F717" s="26" t="n"/>
      <c r="G717" s="26" t="n"/>
      <c r="H717" s="38" t="n"/>
      <c r="I717" s="28" t="n"/>
      <c r="J717" s="30">
        <f>IF(B717="","",IFERROR(INDEX('Share classes'!$A$4:$A$203,MATCH(B717,'Share classes'!$B$4:$B$203,0)),""))</f>
        <v/>
      </c>
      <c r="K717" s="30">
        <f>IF(A717="","",IFERROR(INDEX('Holders'!$B$4:$B$1003,MATCH(A717,'Holders'!$A$4:$A$1003,0)),""))</f>
        <v/>
      </c>
      <c r="L717" s="30">
        <f>IF(OR(A717="",B717="",D717=""),"",IF(D717=_xlfn.MAXIFS($D$4:$D$2503,$A$4:$A$2503,A717,$B$4:$B$2503,B717),"Yes","No"))</f>
        <v/>
      </c>
      <c r="M717" s="30">
        <f>IF(B717="","",IFERROR(INDEX('Share classes'!$F$4:$F$203,MATCH(B717,'Share classes'!$B$4:$B$203,0)),""))</f>
        <v/>
      </c>
      <c r="N717" s="30">
        <f>IF(A717="","",IF(K717="","Unknown holder ID",IF(J717="","Unknown class code",IF(OR(C717="",D717=""),"Missing shares or date",IF(OR(C717&lt;0,C717&lt;&gt;INT(C717)),"Shares must be a whole number",IF(COUNTIFS($A$4:$A$2503,A717,$B$4:$B$2503,B717,$D$4:$D$2503,D717)&gt;1,"Duplicate row (same date)","OK"))))))</f>
        <v/>
      </c>
    </row>
    <row r="718">
      <c r="A718" s="26" t="n"/>
      <c r="B718" s="26" t="n"/>
      <c r="C718" s="34" t="n"/>
      <c r="D718" s="28" t="n"/>
      <c r="E718" s="26" t="n"/>
      <c r="F718" s="26" t="n"/>
      <c r="G718" s="26" t="n"/>
      <c r="H718" s="38" t="n"/>
      <c r="I718" s="28" t="n"/>
      <c r="J718" s="30">
        <f>IF(B718="","",IFERROR(INDEX('Share classes'!$A$4:$A$203,MATCH(B718,'Share classes'!$B$4:$B$203,0)),""))</f>
        <v/>
      </c>
      <c r="K718" s="30">
        <f>IF(A718="","",IFERROR(INDEX('Holders'!$B$4:$B$1003,MATCH(A718,'Holders'!$A$4:$A$1003,0)),""))</f>
        <v/>
      </c>
      <c r="L718" s="30">
        <f>IF(OR(A718="",B718="",D718=""),"",IF(D718=_xlfn.MAXIFS($D$4:$D$2503,$A$4:$A$2503,A718,$B$4:$B$2503,B718),"Yes","No"))</f>
        <v/>
      </c>
      <c r="M718" s="30">
        <f>IF(B718="","",IFERROR(INDEX('Share classes'!$F$4:$F$203,MATCH(B718,'Share classes'!$B$4:$B$203,0)),""))</f>
        <v/>
      </c>
      <c r="N718" s="30">
        <f>IF(A718="","",IF(K718="","Unknown holder ID",IF(J718="","Unknown class code",IF(OR(C718="",D718=""),"Missing shares or date",IF(OR(C718&lt;0,C718&lt;&gt;INT(C718)),"Shares must be a whole number",IF(COUNTIFS($A$4:$A$2503,A718,$B$4:$B$2503,B718,$D$4:$D$2503,D718)&gt;1,"Duplicate row (same date)","OK"))))))</f>
        <v/>
      </c>
    </row>
    <row r="719">
      <c r="A719" s="26" t="n"/>
      <c r="B719" s="26" t="n"/>
      <c r="C719" s="34" t="n"/>
      <c r="D719" s="28" t="n"/>
      <c r="E719" s="26" t="n"/>
      <c r="F719" s="26" t="n"/>
      <c r="G719" s="26" t="n"/>
      <c r="H719" s="38" t="n"/>
      <c r="I719" s="28" t="n"/>
      <c r="J719" s="30">
        <f>IF(B719="","",IFERROR(INDEX('Share classes'!$A$4:$A$203,MATCH(B719,'Share classes'!$B$4:$B$203,0)),""))</f>
        <v/>
      </c>
      <c r="K719" s="30">
        <f>IF(A719="","",IFERROR(INDEX('Holders'!$B$4:$B$1003,MATCH(A719,'Holders'!$A$4:$A$1003,0)),""))</f>
        <v/>
      </c>
      <c r="L719" s="30">
        <f>IF(OR(A719="",B719="",D719=""),"",IF(D719=_xlfn.MAXIFS($D$4:$D$2503,$A$4:$A$2503,A719,$B$4:$B$2503,B719),"Yes","No"))</f>
        <v/>
      </c>
      <c r="M719" s="30">
        <f>IF(B719="","",IFERROR(INDEX('Share classes'!$F$4:$F$203,MATCH(B719,'Share classes'!$B$4:$B$203,0)),""))</f>
        <v/>
      </c>
      <c r="N719" s="30">
        <f>IF(A719="","",IF(K719="","Unknown holder ID",IF(J719="","Unknown class code",IF(OR(C719="",D719=""),"Missing shares or date",IF(OR(C719&lt;0,C719&lt;&gt;INT(C719)),"Shares must be a whole number",IF(COUNTIFS($A$4:$A$2503,A719,$B$4:$B$2503,B719,$D$4:$D$2503,D719)&gt;1,"Duplicate row (same date)","OK"))))))</f>
        <v/>
      </c>
    </row>
    <row r="720">
      <c r="A720" s="26" t="n"/>
      <c r="B720" s="26" t="n"/>
      <c r="C720" s="34" t="n"/>
      <c r="D720" s="28" t="n"/>
      <c r="E720" s="26" t="n"/>
      <c r="F720" s="26" t="n"/>
      <c r="G720" s="26" t="n"/>
      <c r="H720" s="38" t="n"/>
      <c r="I720" s="28" t="n"/>
      <c r="J720" s="30">
        <f>IF(B720="","",IFERROR(INDEX('Share classes'!$A$4:$A$203,MATCH(B720,'Share classes'!$B$4:$B$203,0)),""))</f>
        <v/>
      </c>
      <c r="K720" s="30">
        <f>IF(A720="","",IFERROR(INDEX('Holders'!$B$4:$B$1003,MATCH(A720,'Holders'!$A$4:$A$1003,0)),""))</f>
        <v/>
      </c>
      <c r="L720" s="30">
        <f>IF(OR(A720="",B720="",D720=""),"",IF(D720=_xlfn.MAXIFS($D$4:$D$2503,$A$4:$A$2503,A720,$B$4:$B$2503,B720),"Yes","No"))</f>
        <v/>
      </c>
      <c r="M720" s="30">
        <f>IF(B720="","",IFERROR(INDEX('Share classes'!$F$4:$F$203,MATCH(B720,'Share classes'!$B$4:$B$203,0)),""))</f>
        <v/>
      </c>
      <c r="N720" s="30">
        <f>IF(A720="","",IF(K720="","Unknown holder ID",IF(J720="","Unknown class code",IF(OR(C720="",D720=""),"Missing shares or date",IF(OR(C720&lt;0,C720&lt;&gt;INT(C720)),"Shares must be a whole number",IF(COUNTIFS($A$4:$A$2503,A720,$B$4:$B$2503,B720,$D$4:$D$2503,D720)&gt;1,"Duplicate row (same date)","OK"))))))</f>
        <v/>
      </c>
    </row>
    <row r="721">
      <c r="A721" s="26" t="n"/>
      <c r="B721" s="26" t="n"/>
      <c r="C721" s="34" t="n"/>
      <c r="D721" s="28" t="n"/>
      <c r="E721" s="26" t="n"/>
      <c r="F721" s="26" t="n"/>
      <c r="G721" s="26" t="n"/>
      <c r="H721" s="38" t="n"/>
      <c r="I721" s="28" t="n"/>
      <c r="J721" s="30">
        <f>IF(B721="","",IFERROR(INDEX('Share classes'!$A$4:$A$203,MATCH(B721,'Share classes'!$B$4:$B$203,0)),""))</f>
        <v/>
      </c>
      <c r="K721" s="30">
        <f>IF(A721="","",IFERROR(INDEX('Holders'!$B$4:$B$1003,MATCH(A721,'Holders'!$A$4:$A$1003,0)),""))</f>
        <v/>
      </c>
      <c r="L721" s="30">
        <f>IF(OR(A721="",B721="",D721=""),"",IF(D721=_xlfn.MAXIFS($D$4:$D$2503,$A$4:$A$2503,A721,$B$4:$B$2503,B721),"Yes","No"))</f>
        <v/>
      </c>
      <c r="M721" s="30">
        <f>IF(B721="","",IFERROR(INDEX('Share classes'!$F$4:$F$203,MATCH(B721,'Share classes'!$B$4:$B$203,0)),""))</f>
        <v/>
      </c>
      <c r="N721" s="30">
        <f>IF(A721="","",IF(K721="","Unknown holder ID",IF(J721="","Unknown class code",IF(OR(C721="",D721=""),"Missing shares or date",IF(OR(C721&lt;0,C721&lt;&gt;INT(C721)),"Shares must be a whole number",IF(COUNTIFS($A$4:$A$2503,A721,$B$4:$B$2503,B721,$D$4:$D$2503,D721)&gt;1,"Duplicate row (same date)","OK"))))))</f>
        <v/>
      </c>
    </row>
    <row r="722">
      <c r="A722" s="26" t="n"/>
      <c r="B722" s="26" t="n"/>
      <c r="C722" s="34" t="n"/>
      <c r="D722" s="28" t="n"/>
      <c r="E722" s="26" t="n"/>
      <c r="F722" s="26" t="n"/>
      <c r="G722" s="26" t="n"/>
      <c r="H722" s="38" t="n"/>
      <c r="I722" s="28" t="n"/>
      <c r="J722" s="30">
        <f>IF(B722="","",IFERROR(INDEX('Share classes'!$A$4:$A$203,MATCH(B722,'Share classes'!$B$4:$B$203,0)),""))</f>
        <v/>
      </c>
      <c r="K722" s="30">
        <f>IF(A722="","",IFERROR(INDEX('Holders'!$B$4:$B$1003,MATCH(A722,'Holders'!$A$4:$A$1003,0)),""))</f>
        <v/>
      </c>
      <c r="L722" s="30">
        <f>IF(OR(A722="",B722="",D722=""),"",IF(D722=_xlfn.MAXIFS($D$4:$D$2503,$A$4:$A$2503,A722,$B$4:$B$2503,B722),"Yes","No"))</f>
        <v/>
      </c>
      <c r="M722" s="30">
        <f>IF(B722="","",IFERROR(INDEX('Share classes'!$F$4:$F$203,MATCH(B722,'Share classes'!$B$4:$B$203,0)),""))</f>
        <v/>
      </c>
      <c r="N722" s="30">
        <f>IF(A722="","",IF(K722="","Unknown holder ID",IF(J722="","Unknown class code",IF(OR(C722="",D722=""),"Missing shares or date",IF(OR(C722&lt;0,C722&lt;&gt;INT(C722)),"Shares must be a whole number",IF(COUNTIFS($A$4:$A$2503,A722,$B$4:$B$2503,B722,$D$4:$D$2503,D722)&gt;1,"Duplicate row (same date)","OK"))))))</f>
        <v/>
      </c>
    </row>
    <row r="723">
      <c r="A723" s="26" t="n"/>
      <c r="B723" s="26" t="n"/>
      <c r="C723" s="34" t="n"/>
      <c r="D723" s="28" t="n"/>
      <c r="E723" s="26" t="n"/>
      <c r="F723" s="26" t="n"/>
      <c r="G723" s="26" t="n"/>
      <c r="H723" s="38" t="n"/>
      <c r="I723" s="28" t="n"/>
      <c r="J723" s="30">
        <f>IF(B723="","",IFERROR(INDEX('Share classes'!$A$4:$A$203,MATCH(B723,'Share classes'!$B$4:$B$203,0)),""))</f>
        <v/>
      </c>
      <c r="K723" s="30">
        <f>IF(A723="","",IFERROR(INDEX('Holders'!$B$4:$B$1003,MATCH(A723,'Holders'!$A$4:$A$1003,0)),""))</f>
        <v/>
      </c>
      <c r="L723" s="30">
        <f>IF(OR(A723="",B723="",D723=""),"",IF(D723=_xlfn.MAXIFS($D$4:$D$2503,$A$4:$A$2503,A723,$B$4:$B$2503,B723),"Yes","No"))</f>
        <v/>
      </c>
      <c r="M723" s="30">
        <f>IF(B723="","",IFERROR(INDEX('Share classes'!$F$4:$F$203,MATCH(B723,'Share classes'!$B$4:$B$203,0)),""))</f>
        <v/>
      </c>
      <c r="N723" s="30">
        <f>IF(A723="","",IF(K723="","Unknown holder ID",IF(J723="","Unknown class code",IF(OR(C723="",D723=""),"Missing shares or date",IF(OR(C723&lt;0,C723&lt;&gt;INT(C723)),"Shares must be a whole number",IF(COUNTIFS($A$4:$A$2503,A723,$B$4:$B$2503,B723,$D$4:$D$2503,D723)&gt;1,"Duplicate row (same date)","OK"))))))</f>
        <v/>
      </c>
    </row>
    <row r="724">
      <c r="A724" s="26" t="n"/>
      <c r="B724" s="26" t="n"/>
      <c r="C724" s="34" t="n"/>
      <c r="D724" s="28" t="n"/>
      <c r="E724" s="26" t="n"/>
      <c r="F724" s="26" t="n"/>
      <c r="G724" s="26" t="n"/>
      <c r="H724" s="38" t="n"/>
      <c r="I724" s="28" t="n"/>
      <c r="J724" s="30">
        <f>IF(B724="","",IFERROR(INDEX('Share classes'!$A$4:$A$203,MATCH(B724,'Share classes'!$B$4:$B$203,0)),""))</f>
        <v/>
      </c>
      <c r="K724" s="30">
        <f>IF(A724="","",IFERROR(INDEX('Holders'!$B$4:$B$1003,MATCH(A724,'Holders'!$A$4:$A$1003,0)),""))</f>
        <v/>
      </c>
      <c r="L724" s="30">
        <f>IF(OR(A724="",B724="",D724=""),"",IF(D724=_xlfn.MAXIFS($D$4:$D$2503,$A$4:$A$2503,A724,$B$4:$B$2503,B724),"Yes","No"))</f>
        <v/>
      </c>
      <c r="M724" s="30">
        <f>IF(B724="","",IFERROR(INDEX('Share classes'!$F$4:$F$203,MATCH(B724,'Share classes'!$B$4:$B$203,0)),""))</f>
        <v/>
      </c>
      <c r="N724" s="30">
        <f>IF(A724="","",IF(K724="","Unknown holder ID",IF(J724="","Unknown class code",IF(OR(C724="",D724=""),"Missing shares or date",IF(OR(C724&lt;0,C724&lt;&gt;INT(C724)),"Shares must be a whole number",IF(COUNTIFS($A$4:$A$2503,A724,$B$4:$B$2503,B724,$D$4:$D$2503,D724)&gt;1,"Duplicate row (same date)","OK"))))))</f>
        <v/>
      </c>
    </row>
    <row r="725">
      <c r="A725" s="26" t="n"/>
      <c r="B725" s="26" t="n"/>
      <c r="C725" s="34" t="n"/>
      <c r="D725" s="28" t="n"/>
      <c r="E725" s="26" t="n"/>
      <c r="F725" s="26" t="n"/>
      <c r="G725" s="26" t="n"/>
      <c r="H725" s="38" t="n"/>
      <c r="I725" s="28" t="n"/>
      <c r="J725" s="30">
        <f>IF(B725="","",IFERROR(INDEX('Share classes'!$A$4:$A$203,MATCH(B725,'Share classes'!$B$4:$B$203,0)),""))</f>
        <v/>
      </c>
      <c r="K725" s="30">
        <f>IF(A725="","",IFERROR(INDEX('Holders'!$B$4:$B$1003,MATCH(A725,'Holders'!$A$4:$A$1003,0)),""))</f>
        <v/>
      </c>
      <c r="L725" s="30">
        <f>IF(OR(A725="",B725="",D725=""),"",IF(D725=_xlfn.MAXIFS($D$4:$D$2503,$A$4:$A$2503,A725,$B$4:$B$2503,B725),"Yes","No"))</f>
        <v/>
      </c>
      <c r="M725" s="30">
        <f>IF(B725="","",IFERROR(INDEX('Share classes'!$F$4:$F$203,MATCH(B725,'Share classes'!$B$4:$B$203,0)),""))</f>
        <v/>
      </c>
      <c r="N725" s="30">
        <f>IF(A725="","",IF(K725="","Unknown holder ID",IF(J725="","Unknown class code",IF(OR(C725="",D725=""),"Missing shares or date",IF(OR(C725&lt;0,C725&lt;&gt;INT(C725)),"Shares must be a whole number",IF(COUNTIFS($A$4:$A$2503,A725,$B$4:$B$2503,B725,$D$4:$D$2503,D725)&gt;1,"Duplicate row (same date)","OK"))))))</f>
        <v/>
      </c>
    </row>
    <row r="726">
      <c r="A726" s="26" t="n"/>
      <c r="B726" s="26" t="n"/>
      <c r="C726" s="34" t="n"/>
      <c r="D726" s="28" t="n"/>
      <c r="E726" s="26" t="n"/>
      <c r="F726" s="26" t="n"/>
      <c r="G726" s="26" t="n"/>
      <c r="H726" s="38" t="n"/>
      <c r="I726" s="28" t="n"/>
      <c r="J726" s="30">
        <f>IF(B726="","",IFERROR(INDEX('Share classes'!$A$4:$A$203,MATCH(B726,'Share classes'!$B$4:$B$203,0)),""))</f>
        <v/>
      </c>
      <c r="K726" s="30">
        <f>IF(A726="","",IFERROR(INDEX('Holders'!$B$4:$B$1003,MATCH(A726,'Holders'!$A$4:$A$1003,0)),""))</f>
        <v/>
      </c>
      <c r="L726" s="30">
        <f>IF(OR(A726="",B726="",D726=""),"",IF(D726=_xlfn.MAXIFS($D$4:$D$2503,$A$4:$A$2503,A726,$B$4:$B$2503,B726),"Yes","No"))</f>
        <v/>
      </c>
      <c r="M726" s="30">
        <f>IF(B726="","",IFERROR(INDEX('Share classes'!$F$4:$F$203,MATCH(B726,'Share classes'!$B$4:$B$203,0)),""))</f>
        <v/>
      </c>
      <c r="N726" s="30">
        <f>IF(A726="","",IF(K726="","Unknown holder ID",IF(J726="","Unknown class code",IF(OR(C726="",D726=""),"Missing shares or date",IF(OR(C726&lt;0,C726&lt;&gt;INT(C726)),"Shares must be a whole number",IF(COUNTIFS($A$4:$A$2503,A726,$B$4:$B$2503,B726,$D$4:$D$2503,D726)&gt;1,"Duplicate row (same date)","OK"))))))</f>
        <v/>
      </c>
    </row>
    <row r="727">
      <c r="A727" s="26" t="n"/>
      <c r="B727" s="26" t="n"/>
      <c r="C727" s="34" t="n"/>
      <c r="D727" s="28" t="n"/>
      <c r="E727" s="26" t="n"/>
      <c r="F727" s="26" t="n"/>
      <c r="G727" s="26" t="n"/>
      <c r="H727" s="38" t="n"/>
      <c r="I727" s="28" t="n"/>
      <c r="J727" s="30">
        <f>IF(B727="","",IFERROR(INDEX('Share classes'!$A$4:$A$203,MATCH(B727,'Share classes'!$B$4:$B$203,0)),""))</f>
        <v/>
      </c>
      <c r="K727" s="30">
        <f>IF(A727="","",IFERROR(INDEX('Holders'!$B$4:$B$1003,MATCH(A727,'Holders'!$A$4:$A$1003,0)),""))</f>
        <v/>
      </c>
      <c r="L727" s="30">
        <f>IF(OR(A727="",B727="",D727=""),"",IF(D727=_xlfn.MAXIFS($D$4:$D$2503,$A$4:$A$2503,A727,$B$4:$B$2503,B727),"Yes","No"))</f>
        <v/>
      </c>
      <c r="M727" s="30">
        <f>IF(B727="","",IFERROR(INDEX('Share classes'!$F$4:$F$203,MATCH(B727,'Share classes'!$B$4:$B$203,0)),""))</f>
        <v/>
      </c>
      <c r="N727" s="30">
        <f>IF(A727="","",IF(K727="","Unknown holder ID",IF(J727="","Unknown class code",IF(OR(C727="",D727=""),"Missing shares or date",IF(OR(C727&lt;0,C727&lt;&gt;INT(C727)),"Shares must be a whole number",IF(COUNTIFS($A$4:$A$2503,A727,$B$4:$B$2503,B727,$D$4:$D$2503,D727)&gt;1,"Duplicate row (same date)","OK"))))))</f>
        <v/>
      </c>
    </row>
    <row r="728">
      <c r="A728" s="26" t="n"/>
      <c r="B728" s="26" t="n"/>
      <c r="C728" s="34" t="n"/>
      <c r="D728" s="28" t="n"/>
      <c r="E728" s="26" t="n"/>
      <c r="F728" s="26" t="n"/>
      <c r="G728" s="26" t="n"/>
      <c r="H728" s="38" t="n"/>
      <c r="I728" s="28" t="n"/>
      <c r="J728" s="30">
        <f>IF(B728="","",IFERROR(INDEX('Share classes'!$A$4:$A$203,MATCH(B728,'Share classes'!$B$4:$B$203,0)),""))</f>
        <v/>
      </c>
      <c r="K728" s="30">
        <f>IF(A728="","",IFERROR(INDEX('Holders'!$B$4:$B$1003,MATCH(A728,'Holders'!$A$4:$A$1003,0)),""))</f>
        <v/>
      </c>
      <c r="L728" s="30">
        <f>IF(OR(A728="",B728="",D728=""),"",IF(D728=_xlfn.MAXIFS($D$4:$D$2503,$A$4:$A$2503,A728,$B$4:$B$2503,B728),"Yes","No"))</f>
        <v/>
      </c>
      <c r="M728" s="30">
        <f>IF(B728="","",IFERROR(INDEX('Share classes'!$F$4:$F$203,MATCH(B728,'Share classes'!$B$4:$B$203,0)),""))</f>
        <v/>
      </c>
      <c r="N728" s="30">
        <f>IF(A728="","",IF(K728="","Unknown holder ID",IF(J728="","Unknown class code",IF(OR(C728="",D728=""),"Missing shares or date",IF(OR(C728&lt;0,C728&lt;&gt;INT(C728)),"Shares must be a whole number",IF(COUNTIFS($A$4:$A$2503,A728,$B$4:$B$2503,B728,$D$4:$D$2503,D728)&gt;1,"Duplicate row (same date)","OK"))))))</f>
        <v/>
      </c>
    </row>
    <row r="729">
      <c r="A729" s="26" t="n"/>
      <c r="B729" s="26" t="n"/>
      <c r="C729" s="34" t="n"/>
      <c r="D729" s="28" t="n"/>
      <c r="E729" s="26" t="n"/>
      <c r="F729" s="26" t="n"/>
      <c r="G729" s="26" t="n"/>
      <c r="H729" s="38" t="n"/>
      <c r="I729" s="28" t="n"/>
      <c r="J729" s="30">
        <f>IF(B729="","",IFERROR(INDEX('Share classes'!$A$4:$A$203,MATCH(B729,'Share classes'!$B$4:$B$203,0)),""))</f>
        <v/>
      </c>
      <c r="K729" s="30">
        <f>IF(A729="","",IFERROR(INDEX('Holders'!$B$4:$B$1003,MATCH(A729,'Holders'!$A$4:$A$1003,0)),""))</f>
        <v/>
      </c>
      <c r="L729" s="30">
        <f>IF(OR(A729="",B729="",D729=""),"",IF(D729=_xlfn.MAXIFS($D$4:$D$2503,$A$4:$A$2503,A729,$B$4:$B$2503,B729),"Yes","No"))</f>
        <v/>
      </c>
      <c r="M729" s="30">
        <f>IF(B729="","",IFERROR(INDEX('Share classes'!$F$4:$F$203,MATCH(B729,'Share classes'!$B$4:$B$203,0)),""))</f>
        <v/>
      </c>
      <c r="N729" s="30">
        <f>IF(A729="","",IF(K729="","Unknown holder ID",IF(J729="","Unknown class code",IF(OR(C729="",D729=""),"Missing shares or date",IF(OR(C729&lt;0,C729&lt;&gt;INT(C729)),"Shares must be a whole number",IF(COUNTIFS($A$4:$A$2503,A729,$B$4:$B$2503,B729,$D$4:$D$2503,D729)&gt;1,"Duplicate row (same date)","OK"))))))</f>
        <v/>
      </c>
    </row>
    <row r="730">
      <c r="A730" s="26" t="n"/>
      <c r="B730" s="26" t="n"/>
      <c r="C730" s="34" t="n"/>
      <c r="D730" s="28" t="n"/>
      <c r="E730" s="26" t="n"/>
      <c r="F730" s="26" t="n"/>
      <c r="G730" s="26" t="n"/>
      <c r="H730" s="38" t="n"/>
      <c r="I730" s="28" t="n"/>
      <c r="J730" s="30">
        <f>IF(B730="","",IFERROR(INDEX('Share classes'!$A$4:$A$203,MATCH(B730,'Share classes'!$B$4:$B$203,0)),""))</f>
        <v/>
      </c>
      <c r="K730" s="30">
        <f>IF(A730="","",IFERROR(INDEX('Holders'!$B$4:$B$1003,MATCH(A730,'Holders'!$A$4:$A$1003,0)),""))</f>
        <v/>
      </c>
      <c r="L730" s="30">
        <f>IF(OR(A730="",B730="",D730=""),"",IF(D730=_xlfn.MAXIFS($D$4:$D$2503,$A$4:$A$2503,A730,$B$4:$B$2503,B730),"Yes","No"))</f>
        <v/>
      </c>
      <c r="M730" s="30">
        <f>IF(B730="","",IFERROR(INDEX('Share classes'!$F$4:$F$203,MATCH(B730,'Share classes'!$B$4:$B$203,0)),""))</f>
        <v/>
      </c>
      <c r="N730" s="30">
        <f>IF(A730="","",IF(K730="","Unknown holder ID",IF(J730="","Unknown class code",IF(OR(C730="",D730=""),"Missing shares or date",IF(OR(C730&lt;0,C730&lt;&gt;INT(C730)),"Shares must be a whole number",IF(COUNTIFS($A$4:$A$2503,A730,$B$4:$B$2503,B730,$D$4:$D$2503,D730)&gt;1,"Duplicate row (same date)","OK"))))))</f>
        <v/>
      </c>
    </row>
    <row r="731">
      <c r="A731" s="26" t="n"/>
      <c r="B731" s="26" t="n"/>
      <c r="C731" s="34" t="n"/>
      <c r="D731" s="28" t="n"/>
      <c r="E731" s="26" t="n"/>
      <c r="F731" s="26" t="n"/>
      <c r="G731" s="26" t="n"/>
      <c r="H731" s="38" t="n"/>
      <c r="I731" s="28" t="n"/>
      <c r="J731" s="30">
        <f>IF(B731="","",IFERROR(INDEX('Share classes'!$A$4:$A$203,MATCH(B731,'Share classes'!$B$4:$B$203,0)),""))</f>
        <v/>
      </c>
      <c r="K731" s="30">
        <f>IF(A731="","",IFERROR(INDEX('Holders'!$B$4:$B$1003,MATCH(A731,'Holders'!$A$4:$A$1003,0)),""))</f>
        <v/>
      </c>
      <c r="L731" s="30">
        <f>IF(OR(A731="",B731="",D731=""),"",IF(D731=_xlfn.MAXIFS($D$4:$D$2503,$A$4:$A$2503,A731,$B$4:$B$2503,B731),"Yes","No"))</f>
        <v/>
      </c>
      <c r="M731" s="30">
        <f>IF(B731="","",IFERROR(INDEX('Share classes'!$F$4:$F$203,MATCH(B731,'Share classes'!$B$4:$B$203,0)),""))</f>
        <v/>
      </c>
      <c r="N731" s="30">
        <f>IF(A731="","",IF(K731="","Unknown holder ID",IF(J731="","Unknown class code",IF(OR(C731="",D731=""),"Missing shares or date",IF(OR(C731&lt;0,C731&lt;&gt;INT(C731)),"Shares must be a whole number",IF(COUNTIFS($A$4:$A$2503,A731,$B$4:$B$2503,B731,$D$4:$D$2503,D731)&gt;1,"Duplicate row (same date)","OK"))))))</f>
        <v/>
      </c>
    </row>
    <row r="732">
      <c r="A732" s="26" t="n"/>
      <c r="B732" s="26" t="n"/>
      <c r="C732" s="34" t="n"/>
      <c r="D732" s="28" t="n"/>
      <c r="E732" s="26" t="n"/>
      <c r="F732" s="26" t="n"/>
      <c r="G732" s="26" t="n"/>
      <c r="H732" s="38" t="n"/>
      <c r="I732" s="28" t="n"/>
      <c r="J732" s="30">
        <f>IF(B732="","",IFERROR(INDEX('Share classes'!$A$4:$A$203,MATCH(B732,'Share classes'!$B$4:$B$203,0)),""))</f>
        <v/>
      </c>
      <c r="K732" s="30">
        <f>IF(A732="","",IFERROR(INDEX('Holders'!$B$4:$B$1003,MATCH(A732,'Holders'!$A$4:$A$1003,0)),""))</f>
        <v/>
      </c>
      <c r="L732" s="30">
        <f>IF(OR(A732="",B732="",D732=""),"",IF(D732=_xlfn.MAXIFS($D$4:$D$2503,$A$4:$A$2503,A732,$B$4:$B$2503,B732),"Yes","No"))</f>
        <v/>
      </c>
      <c r="M732" s="30">
        <f>IF(B732="","",IFERROR(INDEX('Share classes'!$F$4:$F$203,MATCH(B732,'Share classes'!$B$4:$B$203,0)),""))</f>
        <v/>
      </c>
      <c r="N732" s="30">
        <f>IF(A732="","",IF(K732="","Unknown holder ID",IF(J732="","Unknown class code",IF(OR(C732="",D732=""),"Missing shares or date",IF(OR(C732&lt;0,C732&lt;&gt;INT(C732)),"Shares must be a whole number",IF(COUNTIFS($A$4:$A$2503,A732,$B$4:$B$2503,B732,$D$4:$D$2503,D732)&gt;1,"Duplicate row (same date)","OK"))))))</f>
        <v/>
      </c>
    </row>
    <row r="733">
      <c r="A733" s="26" t="n"/>
      <c r="B733" s="26" t="n"/>
      <c r="C733" s="34" t="n"/>
      <c r="D733" s="28" t="n"/>
      <c r="E733" s="26" t="n"/>
      <c r="F733" s="26" t="n"/>
      <c r="G733" s="26" t="n"/>
      <c r="H733" s="38" t="n"/>
      <c r="I733" s="28" t="n"/>
      <c r="J733" s="30">
        <f>IF(B733="","",IFERROR(INDEX('Share classes'!$A$4:$A$203,MATCH(B733,'Share classes'!$B$4:$B$203,0)),""))</f>
        <v/>
      </c>
      <c r="K733" s="30">
        <f>IF(A733="","",IFERROR(INDEX('Holders'!$B$4:$B$1003,MATCH(A733,'Holders'!$A$4:$A$1003,0)),""))</f>
        <v/>
      </c>
      <c r="L733" s="30">
        <f>IF(OR(A733="",B733="",D733=""),"",IF(D733=_xlfn.MAXIFS($D$4:$D$2503,$A$4:$A$2503,A733,$B$4:$B$2503,B733),"Yes","No"))</f>
        <v/>
      </c>
      <c r="M733" s="30">
        <f>IF(B733="","",IFERROR(INDEX('Share classes'!$F$4:$F$203,MATCH(B733,'Share classes'!$B$4:$B$203,0)),""))</f>
        <v/>
      </c>
      <c r="N733" s="30">
        <f>IF(A733="","",IF(K733="","Unknown holder ID",IF(J733="","Unknown class code",IF(OR(C733="",D733=""),"Missing shares or date",IF(OR(C733&lt;0,C733&lt;&gt;INT(C733)),"Shares must be a whole number",IF(COUNTIFS($A$4:$A$2503,A733,$B$4:$B$2503,B733,$D$4:$D$2503,D733)&gt;1,"Duplicate row (same date)","OK"))))))</f>
        <v/>
      </c>
    </row>
    <row r="734">
      <c r="A734" s="26" t="n"/>
      <c r="B734" s="26" t="n"/>
      <c r="C734" s="34" t="n"/>
      <c r="D734" s="28" t="n"/>
      <c r="E734" s="26" t="n"/>
      <c r="F734" s="26" t="n"/>
      <c r="G734" s="26" t="n"/>
      <c r="H734" s="38" t="n"/>
      <c r="I734" s="28" t="n"/>
      <c r="J734" s="30">
        <f>IF(B734="","",IFERROR(INDEX('Share classes'!$A$4:$A$203,MATCH(B734,'Share classes'!$B$4:$B$203,0)),""))</f>
        <v/>
      </c>
      <c r="K734" s="30">
        <f>IF(A734="","",IFERROR(INDEX('Holders'!$B$4:$B$1003,MATCH(A734,'Holders'!$A$4:$A$1003,0)),""))</f>
        <v/>
      </c>
      <c r="L734" s="30">
        <f>IF(OR(A734="",B734="",D734=""),"",IF(D734=_xlfn.MAXIFS($D$4:$D$2503,$A$4:$A$2503,A734,$B$4:$B$2503,B734),"Yes","No"))</f>
        <v/>
      </c>
      <c r="M734" s="30">
        <f>IF(B734="","",IFERROR(INDEX('Share classes'!$F$4:$F$203,MATCH(B734,'Share classes'!$B$4:$B$203,0)),""))</f>
        <v/>
      </c>
      <c r="N734" s="30">
        <f>IF(A734="","",IF(K734="","Unknown holder ID",IF(J734="","Unknown class code",IF(OR(C734="",D734=""),"Missing shares or date",IF(OR(C734&lt;0,C734&lt;&gt;INT(C734)),"Shares must be a whole number",IF(COUNTIFS($A$4:$A$2503,A734,$B$4:$B$2503,B734,$D$4:$D$2503,D734)&gt;1,"Duplicate row (same date)","OK"))))))</f>
        <v/>
      </c>
    </row>
    <row r="735">
      <c r="A735" s="26" t="n"/>
      <c r="B735" s="26" t="n"/>
      <c r="C735" s="34" t="n"/>
      <c r="D735" s="28" t="n"/>
      <c r="E735" s="26" t="n"/>
      <c r="F735" s="26" t="n"/>
      <c r="G735" s="26" t="n"/>
      <c r="H735" s="38" t="n"/>
      <c r="I735" s="28" t="n"/>
      <c r="J735" s="30">
        <f>IF(B735="","",IFERROR(INDEX('Share classes'!$A$4:$A$203,MATCH(B735,'Share classes'!$B$4:$B$203,0)),""))</f>
        <v/>
      </c>
      <c r="K735" s="30">
        <f>IF(A735="","",IFERROR(INDEX('Holders'!$B$4:$B$1003,MATCH(A735,'Holders'!$A$4:$A$1003,0)),""))</f>
        <v/>
      </c>
      <c r="L735" s="30">
        <f>IF(OR(A735="",B735="",D735=""),"",IF(D735=_xlfn.MAXIFS($D$4:$D$2503,$A$4:$A$2503,A735,$B$4:$B$2503,B735),"Yes","No"))</f>
        <v/>
      </c>
      <c r="M735" s="30">
        <f>IF(B735="","",IFERROR(INDEX('Share classes'!$F$4:$F$203,MATCH(B735,'Share classes'!$B$4:$B$203,0)),""))</f>
        <v/>
      </c>
      <c r="N735" s="30">
        <f>IF(A735="","",IF(K735="","Unknown holder ID",IF(J735="","Unknown class code",IF(OR(C735="",D735=""),"Missing shares or date",IF(OR(C735&lt;0,C735&lt;&gt;INT(C735)),"Shares must be a whole number",IF(COUNTIFS($A$4:$A$2503,A735,$B$4:$B$2503,B735,$D$4:$D$2503,D735)&gt;1,"Duplicate row (same date)","OK"))))))</f>
        <v/>
      </c>
    </row>
    <row r="736">
      <c r="A736" s="26" t="n"/>
      <c r="B736" s="26" t="n"/>
      <c r="C736" s="34" t="n"/>
      <c r="D736" s="28" t="n"/>
      <c r="E736" s="26" t="n"/>
      <c r="F736" s="26" t="n"/>
      <c r="G736" s="26" t="n"/>
      <c r="H736" s="38" t="n"/>
      <c r="I736" s="28" t="n"/>
      <c r="J736" s="30">
        <f>IF(B736="","",IFERROR(INDEX('Share classes'!$A$4:$A$203,MATCH(B736,'Share classes'!$B$4:$B$203,0)),""))</f>
        <v/>
      </c>
      <c r="K736" s="30">
        <f>IF(A736="","",IFERROR(INDEX('Holders'!$B$4:$B$1003,MATCH(A736,'Holders'!$A$4:$A$1003,0)),""))</f>
        <v/>
      </c>
      <c r="L736" s="30">
        <f>IF(OR(A736="",B736="",D736=""),"",IF(D736=_xlfn.MAXIFS($D$4:$D$2503,$A$4:$A$2503,A736,$B$4:$B$2503,B736),"Yes","No"))</f>
        <v/>
      </c>
      <c r="M736" s="30">
        <f>IF(B736="","",IFERROR(INDEX('Share classes'!$F$4:$F$203,MATCH(B736,'Share classes'!$B$4:$B$203,0)),""))</f>
        <v/>
      </c>
      <c r="N736" s="30">
        <f>IF(A736="","",IF(K736="","Unknown holder ID",IF(J736="","Unknown class code",IF(OR(C736="",D736=""),"Missing shares or date",IF(OR(C736&lt;0,C736&lt;&gt;INT(C736)),"Shares must be a whole number",IF(COUNTIFS($A$4:$A$2503,A736,$B$4:$B$2503,B736,$D$4:$D$2503,D736)&gt;1,"Duplicate row (same date)","OK"))))))</f>
        <v/>
      </c>
    </row>
    <row r="737">
      <c r="A737" s="26" t="n"/>
      <c r="B737" s="26" t="n"/>
      <c r="C737" s="34" t="n"/>
      <c r="D737" s="28" t="n"/>
      <c r="E737" s="26" t="n"/>
      <c r="F737" s="26" t="n"/>
      <c r="G737" s="26" t="n"/>
      <c r="H737" s="38" t="n"/>
      <c r="I737" s="28" t="n"/>
      <c r="J737" s="30">
        <f>IF(B737="","",IFERROR(INDEX('Share classes'!$A$4:$A$203,MATCH(B737,'Share classes'!$B$4:$B$203,0)),""))</f>
        <v/>
      </c>
      <c r="K737" s="30">
        <f>IF(A737="","",IFERROR(INDEX('Holders'!$B$4:$B$1003,MATCH(A737,'Holders'!$A$4:$A$1003,0)),""))</f>
        <v/>
      </c>
      <c r="L737" s="30">
        <f>IF(OR(A737="",B737="",D737=""),"",IF(D737=_xlfn.MAXIFS($D$4:$D$2503,$A$4:$A$2503,A737,$B$4:$B$2503,B737),"Yes","No"))</f>
        <v/>
      </c>
      <c r="M737" s="30">
        <f>IF(B737="","",IFERROR(INDEX('Share classes'!$F$4:$F$203,MATCH(B737,'Share classes'!$B$4:$B$203,0)),""))</f>
        <v/>
      </c>
      <c r="N737" s="30">
        <f>IF(A737="","",IF(K737="","Unknown holder ID",IF(J737="","Unknown class code",IF(OR(C737="",D737=""),"Missing shares or date",IF(OR(C737&lt;0,C737&lt;&gt;INT(C737)),"Shares must be a whole number",IF(COUNTIFS($A$4:$A$2503,A737,$B$4:$B$2503,B737,$D$4:$D$2503,D737)&gt;1,"Duplicate row (same date)","OK"))))))</f>
        <v/>
      </c>
    </row>
    <row r="738">
      <c r="A738" s="26" t="n"/>
      <c r="B738" s="26" t="n"/>
      <c r="C738" s="34" t="n"/>
      <c r="D738" s="28" t="n"/>
      <c r="E738" s="26" t="n"/>
      <c r="F738" s="26" t="n"/>
      <c r="G738" s="26" t="n"/>
      <c r="H738" s="38" t="n"/>
      <c r="I738" s="28" t="n"/>
      <c r="J738" s="30">
        <f>IF(B738="","",IFERROR(INDEX('Share classes'!$A$4:$A$203,MATCH(B738,'Share classes'!$B$4:$B$203,0)),""))</f>
        <v/>
      </c>
      <c r="K738" s="30">
        <f>IF(A738="","",IFERROR(INDEX('Holders'!$B$4:$B$1003,MATCH(A738,'Holders'!$A$4:$A$1003,0)),""))</f>
        <v/>
      </c>
      <c r="L738" s="30">
        <f>IF(OR(A738="",B738="",D738=""),"",IF(D738=_xlfn.MAXIFS($D$4:$D$2503,$A$4:$A$2503,A738,$B$4:$B$2503,B738),"Yes","No"))</f>
        <v/>
      </c>
      <c r="M738" s="30">
        <f>IF(B738="","",IFERROR(INDEX('Share classes'!$F$4:$F$203,MATCH(B738,'Share classes'!$B$4:$B$203,0)),""))</f>
        <v/>
      </c>
      <c r="N738" s="30">
        <f>IF(A738="","",IF(K738="","Unknown holder ID",IF(J738="","Unknown class code",IF(OR(C738="",D738=""),"Missing shares or date",IF(OR(C738&lt;0,C738&lt;&gt;INT(C738)),"Shares must be a whole number",IF(COUNTIFS($A$4:$A$2503,A738,$B$4:$B$2503,B738,$D$4:$D$2503,D738)&gt;1,"Duplicate row (same date)","OK"))))))</f>
        <v/>
      </c>
    </row>
    <row r="739">
      <c r="A739" s="26" t="n"/>
      <c r="B739" s="26" t="n"/>
      <c r="C739" s="34" t="n"/>
      <c r="D739" s="28" t="n"/>
      <c r="E739" s="26" t="n"/>
      <c r="F739" s="26" t="n"/>
      <c r="G739" s="26" t="n"/>
      <c r="H739" s="38" t="n"/>
      <c r="I739" s="28" t="n"/>
      <c r="J739" s="30">
        <f>IF(B739="","",IFERROR(INDEX('Share classes'!$A$4:$A$203,MATCH(B739,'Share classes'!$B$4:$B$203,0)),""))</f>
        <v/>
      </c>
      <c r="K739" s="30">
        <f>IF(A739="","",IFERROR(INDEX('Holders'!$B$4:$B$1003,MATCH(A739,'Holders'!$A$4:$A$1003,0)),""))</f>
        <v/>
      </c>
      <c r="L739" s="30">
        <f>IF(OR(A739="",B739="",D739=""),"",IF(D739=_xlfn.MAXIFS($D$4:$D$2503,$A$4:$A$2503,A739,$B$4:$B$2503,B739),"Yes","No"))</f>
        <v/>
      </c>
      <c r="M739" s="30">
        <f>IF(B739="","",IFERROR(INDEX('Share classes'!$F$4:$F$203,MATCH(B739,'Share classes'!$B$4:$B$203,0)),""))</f>
        <v/>
      </c>
      <c r="N739" s="30">
        <f>IF(A739="","",IF(K739="","Unknown holder ID",IF(J739="","Unknown class code",IF(OR(C739="",D739=""),"Missing shares or date",IF(OR(C739&lt;0,C739&lt;&gt;INT(C739)),"Shares must be a whole number",IF(COUNTIFS($A$4:$A$2503,A739,$B$4:$B$2503,B739,$D$4:$D$2503,D739)&gt;1,"Duplicate row (same date)","OK"))))))</f>
        <v/>
      </c>
    </row>
    <row r="740">
      <c r="A740" s="26" t="n"/>
      <c r="B740" s="26" t="n"/>
      <c r="C740" s="34" t="n"/>
      <c r="D740" s="28" t="n"/>
      <c r="E740" s="26" t="n"/>
      <c r="F740" s="26" t="n"/>
      <c r="G740" s="26" t="n"/>
      <c r="H740" s="38" t="n"/>
      <c r="I740" s="28" t="n"/>
      <c r="J740" s="30">
        <f>IF(B740="","",IFERROR(INDEX('Share classes'!$A$4:$A$203,MATCH(B740,'Share classes'!$B$4:$B$203,0)),""))</f>
        <v/>
      </c>
      <c r="K740" s="30">
        <f>IF(A740="","",IFERROR(INDEX('Holders'!$B$4:$B$1003,MATCH(A740,'Holders'!$A$4:$A$1003,0)),""))</f>
        <v/>
      </c>
      <c r="L740" s="30">
        <f>IF(OR(A740="",B740="",D740=""),"",IF(D740=_xlfn.MAXIFS($D$4:$D$2503,$A$4:$A$2503,A740,$B$4:$B$2503,B740),"Yes","No"))</f>
        <v/>
      </c>
      <c r="M740" s="30">
        <f>IF(B740="","",IFERROR(INDEX('Share classes'!$F$4:$F$203,MATCH(B740,'Share classes'!$B$4:$B$203,0)),""))</f>
        <v/>
      </c>
      <c r="N740" s="30">
        <f>IF(A740="","",IF(K740="","Unknown holder ID",IF(J740="","Unknown class code",IF(OR(C740="",D740=""),"Missing shares or date",IF(OR(C740&lt;0,C740&lt;&gt;INT(C740)),"Shares must be a whole number",IF(COUNTIFS($A$4:$A$2503,A740,$B$4:$B$2503,B740,$D$4:$D$2503,D740)&gt;1,"Duplicate row (same date)","OK"))))))</f>
        <v/>
      </c>
    </row>
    <row r="741">
      <c r="A741" s="26" t="n"/>
      <c r="B741" s="26" t="n"/>
      <c r="C741" s="34" t="n"/>
      <c r="D741" s="28" t="n"/>
      <c r="E741" s="26" t="n"/>
      <c r="F741" s="26" t="n"/>
      <c r="G741" s="26" t="n"/>
      <c r="H741" s="38" t="n"/>
      <c r="I741" s="28" t="n"/>
      <c r="J741" s="30">
        <f>IF(B741="","",IFERROR(INDEX('Share classes'!$A$4:$A$203,MATCH(B741,'Share classes'!$B$4:$B$203,0)),""))</f>
        <v/>
      </c>
      <c r="K741" s="30">
        <f>IF(A741="","",IFERROR(INDEX('Holders'!$B$4:$B$1003,MATCH(A741,'Holders'!$A$4:$A$1003,0)),""))</f>
        <v/>
      </c>
      <c r="L741" s="30">
        <f>IF(OR(A741="",B741="",D741=""),"",IF(D741=_xlfn.MAXIFS($D$4:$D$2503,$A$4:$A$2503,A741,$B$4:$B$2503,B741),"Yes","No"))</f>
        <v/>
      </c>
      <c r="M741" s="30">
        <f>IF(B741="","",IFERROR(INDEX('Share classes'!$F$4:$F$203,MATCH(B741,'Share classes'!$B$4:$B$203,0)),""))</f>
        <v/>
      </c>
      <c r="N741" s="30">
        <f>IF(A741="","",IF(K741="","Unknown holder ID",IF(J741="","Unknown class code",IF(OR(C741="",D741=""),"Missing shares or date",IF(OR(C741&lt;0,C741&lt;&gt;INT(C741)),"Shares must be a whole number",IF(COUNTIFS($A$4:$A$2503,A741,$B$4:$B$2503,B741,$D$4:$D$2503,D741)&gt;1,"Duplicate row (same date)","OK"))))))</f>
        <v/>
      </c>
    </row>
    <row r="742">
      <c r="A742" s="26" t="n"/>
      <c r="B742" s="26" t="n"/>
      <c r="C742" s="34" t="n"/>
      <c r="D742" s="28" t="n"/>
      <c r="E742" s="26" t="n"/>
      <c r="F742" s="26" t="n"/>
      <c r="G742" s="26" t="n"/>
      <c r="H742" s="38" t="n"/>
      <c r="I742" s="28" t="n"/>
      <c r="J742" s="30">
        <f>IF(B742="","",IFERROR(INDEX('Share classes'!$A$4:$A$203,MATCH(B742,'Share classes'!$B$4:$B$203,0)),""))</f>
        <v/>
      </c>
      <c r="K742" s="30">
        <f>IF(A742="","",IFERROR(INDEX('Holders'!$B$4:$B$1003,MATCH(A742,'Holders'!$A$4:$A$1003,0)),""))</f>
        <v/>
      </c>
      <c r="L742" s="30">
        <f>IF(OR(A742="",B742="",D742=""),"",IF(D742=_xlfn.MAXIFS($D$4:$D$2503,$A$4:$A$2503,A742,$B$4:$B$2503,B742),"Yes","No"))</f>
        <v/>
      </c>
      <c r="M742" s="30">
        <f>IF(B742="","",IFERROR(INDEX('Share classes'!$F$4:$F$203,MATCH(B742,'Share classes'!$B$4:$B$203,0)),""))</f>
        <v/>
      </c>
      <c r="N742" s="30">
        <f>IF(A742="","",IF(K742="","Unknown holder ID",IF(J742="","Unknown class code",IF(OR(C742="",D742=""),"Missing shares or date",IF(OR(C742&lt;0,C742&lt;&gt;INT(C742)),"Shares must be a whole number",IF(COUNTIFS($A$4:$A$2503,A742,$B$4:$B$2503,B742,$D$4:$D$2503,D742)&gt;1,"Duplicate row (same date)","OK"))))))</f>
        <v/>
      </c>
    </row>
    <row r="743">
      <c r="A743" s="26" t="n"/>
      <c r="B743" s="26" t="n"/>
      <c r="C743" s="34" t="n"/>
      <c r="D743" s="28" t="n"/>
      <c r="E743" s="26" t="n"/>
      <c r="F743" s="26" t="n"/>
      <c r="G743" s="26" t="n"/>
      <c r="H743" s="38" t="n"/>
      <c r="I743" s="28" t="n"/>
      <c r="J743" s="30">
        <f>IF(B743="","",IFERROR(INDEX('Share classes'!$A$4:$A$203,MATCH(B743,'Share classes'!$B$4:$B$203,0)),""))</f>
        <v/>
      </c>
      <c r="K743" s="30">
        <f>IF(A743="","",IFERROR(INDEX('Holders'!$B$4:$B$1003,MATCH(A743,'Holders'!$A$4:$A$1003,0)),""))</f>
        <v/>
      </c>
      <c r="L743" s="30">
        <f>IF(OR(A743="",B743="",D743=""),"",IF(D743=_xlfn.MAXIFS($D$4:$D$2503,$A$4:$A$2503,A743,$B$4:$B$2503,B743),"Yes","No"))</f>
        <v/>
      </c>
      <c r="M743" s="30">
        <f>IF(B743="","",IFERROR(INDEX('Share classes'!$F$4:$F$203,MATCH(B743,'Share classes'!$B$4:$B$203,0)),""))</f>
        <v/>
      </c>
      <c r="N743" s="30">
        <f>IF(A743="","",IF(K743="","Unknown holder ID",IF(J743="","Unknown class code",IF(OR(C743="",D743=""),"Missing shares or date",IF(OR(C743&lt;0,C743&lt;&gt;INT(C743)),"Shares must be a whole number",IF(COUNTIFS($A$4:$A$2503,A743,$B$4:$B$2503,B743,$D$4:$D$2503,D743)&gt;1,"Duplicate row (same date)","OK"))))))</f>
        <v/>
      </c>
    </row>
    <row r="744">
      <c r="A744" s="26" t="n"/>
      <c r="B744" s="26" t="n"/>
      <c r="C744" s="34" t="n"/>
      <c r="D744" s="28" t="n"/>
      <c r="E744" s="26" t="n"/>
      <c r="F744" s="26" t="n"/>
      <c r="G744" s="26" t="n"/>
      <c r="H744" s="38" t="n"/>
      <c r="I744" s="28" t="n"/>
      <c r="J744" s="30">
        <f>IF(B744="","",IFERROR(INDEX('Share classes'!$A$4:$A$203,MATCH(B744,'Share classes'!$B$4:$B$203,0)),""))</f>
        <v/>
      </c>
      <c r="K744" s="30">
        <f>IF(A744="","",IFERROR(INDEX('Holders'!$B$4:$B$1003,MATCH(A744,'Holders'!$A$4:$A$1003,0)),""))</f>
        <v/>
      </c>
      <c r="L744" s="30">
        <f>IF(OR(A744="",B744="",D744=""),"",IF(D744=_xlfn.MAXIFS($D$4:$D$2503,$A$4:$A$2503,A744,$B$4:$B$2503,B744),"Yes","No"))</f>
        <v/>
      </c>
      <c r="M744" s="30">
        <f>IF(B744="","",IFERROR(INDEX('Share classes'!$F$4:$F$203,MATCH(B744,'Share classes'!$B$4:$B$203,0)),""))</f>
        <v/>
      </c>
      <c r="N744" s="30">
        <f>IF(A744="","",IF(K744="","Unknown holder ID",IF(J744="","Unknown class code",IF(OR(C744="",D744=""),"Missing shares or date",IF(OR(C744&lt;0,C744&lt;&gt;INT(C744)),"Shares must be a whole number",IF(COUNTIFS($A$4:$A$2503,A744,$B$4:$B$2503,B744,$D$4:$D$2503,D744)&gt;1,"Duplicate row (same date)","OK"))))))</f>
        <v/>
      </c>
    </row>
    <row r="745">
      <c r="A745" s="26" t="n"/>
      <c r="B745" s="26" t="n"/>
      <c r="C745" s="34" t="n"/>
      <c r="D745" s="28" t="n"/>
      <c r="E745" s="26" t="n"/>
      <c r="F745" s="26" t="n"/>
      <c r="G745" s="26" t="n"/>
      <c r="H745" s="38" t="n"/>
      <c r="I745" s="28" t="n"/>
      <c r="J745" s="30">
        <f>IF(B745="","",IFERROR(INDEX('Share classes'!$A$4:$A$203,MATCH(B745,'Share classes'!$B$4:$B$203,0)),""))</f>
        <v/>
      </c>
      <c r="K745" s="30">
        <f>IF(A745="","",IFERROR(INDEX('Holders'!$B$4:$B$1003,MATCH(A745,'Holders'!$A$4:$A$1003,0)),""))</f>
        <v/>
      </c>
      <c r="L745" s="30">
        <f>IF(OR(A745="",B745="",D745=""),"",IF(D745=_xlfn.MAXIFS($D$4:$D$2503,$A$4:$A$2503,A745,$B$4:$B$2503,B745),"Yes","No"))</f>
        <v/>
      </c>
      <c r="M745" s="30">
        <f>IF(B745="","",IFERROR(INDEX('Share classes'!$F$4:$F$203,MATCH(B745,'Share classes'!$B$4:$B$203,0)),""))</f>
        <v/>
      </c>
      <c r="N745" s="30">
        <f>IF(A745="","",IF(K745="","Unknown holder ID",IF(J745="","Unknown class code",IF(OR(C745="",D745=""),"Missing shares or date",IF(OR(C745&lt;0,C745&lt;&gt;INT(C745)),"Shares must be a whole number",IF(COUNTIFS($A$4:$A$2503,A745,$B$4:$B$2503,B745,$D$4:$D$2503,D745)&gt;1,"Duplicate row (same date)","OK"))))))</f>
        <v/>
      </c>
    </row>
    <row r="746">
      <c r="A746" s="26" t="n"/>
      <c r="B746" s="26" t="n"/>
      <c r="C746" s="34" t="n"/>
      <c r="D746" s="28" t="n"/>
      <c r="E746" s="26" t="n"/>
      <c r="F746" s="26" t="n"/>
      <c r="G746" s="26" t="n"/>
      <c r="H746" s="38" t="n"/>
      <c r="I746" s="28" t="n"/>
      <c r="J746" s="30">
        <f>IF(B746="","",IFERROR(INDEX('Share classes'!$A$4:$A$203,MATCH(B746,'Share classes'!$B$4:$B$203,0)),""))</f>
        <v/>
      </c>
      <c r="K746" s="30">
        <f>IF(A746="","",IFERROR(INDEX('Holders'!$B$4:$B$1003,MATCH(A746,'Holders'!$A$4:$A$1003,0)),""))</f>
        <v/>
      </c>
      <c r="L746" s="30">
        <f>IF(OR(A746="",B746="",D746=""),"",IF(D746=_xlfn.MAXIFS($D$4:$D$2503,$A$4:$A$2503,A746,$B$4:$B$2503,B746),"Yes","No"))</f>
        <v/>
      </c>
      <c r="M746" s="30">
        <f>IF(B746="","",IFERROR(INDEX('Share classes'!$F$4:$F$203,MATCH(B746,'Share classes'!$B$4:$B$203,0)),""))</f>
        <v/>
      </c>
      <c r="N746" s="30">
        <f>IF(A746="","",IF(K746="","Unknown holder ID",IF(J746="","Unknown class code",IF(OR(C746="",D746=""),"Missing shares or date",IF(OR(C746&lt;0,C746&lt;&gt;INT(C746)),"Shares must be a whole number",IF(COUNTIFS($A$4:$A$2503,A746,$B$4:$B$2503,B746,$D$4:$D$2503,D746)&gt;1,"Duplicate row (same date)","OK"))))))</f>
        <v/>
      </c>
    </row>
    <row r="747">
      <c r="A747" s="26" t="n"/>
      <c r="B747" s="26" t="n"/>
      <c r="C747" s="34" t="n"/>
      <c r="D747" s="28" t="n"/>
      <c r="E747" s="26" t="n"/>
      <c r="F747" s="26" t="n"/>
      <c r="G747" s="26" t="n"/>
      <c r="H747" s="38" t="n"/>
      <c r="I747" s="28" t="n"/>
      <c r="J747" s="30">
        <f>IF(B747="","",IFERROR(INDEX('Share classes'!$A$4:$A$203,MATCH(B747,'Share classes'!$B$4:$B$203,0)),""))</f>
        <v/>
      </c>
      <c r="K747" s="30">
        <f>IF(A747="","",IFERROR(INDEX('Holders'!$B$4:$B$1003,MATCH(A747,'Holders'!$A$4:$A$1003,0)),""))</f>
        <v/>
      </c>
      <c r="L747" s="30">
        <f>IF(OR(A747="",B747="",D747=""),"",IF(D747=_xlfn.MAXIFS($D$4:$D$2503,$A$4:$A$2503,A747,$B$4:$B$2503,B747),"Yes","No"))</f>
        <v/>
      </c>
      <c r="M747" s="30">
        <f>IF(B747="","",IFERROR(INDEX('Share classes'!$F$4:$F$203,MATCH(B747,'Share classes'!$B$4:$B$203,0)),""))</f>
        <v/>
      </c>
      <c r="N747" s="30">
        <f>IF(A747="","",IF(K747="","Unknown holder ID",IF(J747="","Unknown class code",IF(OR(C747="",D747=""),"Missing shares or date",IF(OR(C747&lt;0,C747&lt;&gt;INT(C747)),"Shares must be a whole number",IF(COUNTIFS($A$4:$A$2503,A747,$B$4:$B$2503,B747,$D$4:$D$2503,D747)&gt;1,"Duplicate row (same date)","OK"))))))</f>
        <v/>
      </c>
    </row>
    <row r="748">
      <c r="A748" s="26" t="n"/>
      <c r="B748" s="26" t="n"/>
      <c r="C748" s="34" t="n"/>
      <c r="D748" s="28" t="n"/>
      <c r="E748" s="26" t="n"/>
      <c r="F748" s="26" t="n"/>
      <c r="G748" s="26" t="n"/>
      <c r="H748" s="38" t="n"/>
      <c r="I748" s="28" t="n"/>
      <c r="J748" s="30">
        <f>IF(B748="","",IFERROR(INDEX('Share classes'!$A$4:$A$203,MATCH(B748,'Share classes'!$B$4:$B$203,0)),""))</f>
        <v/>
      </c>
      <c r="K748" s="30">
        <f>IF(A748="","",IFERROR(INDEX('Holders'!$B$4:$B$1003,MATCH(A748,'Holders'!$A$4:$A$1003,0)),""))</f>
        <v/>
      </c>
      <c r="L748" s="30">
        <f>IF(OR(A748="",B748="",D748=""),"",IF(D748=_xlfn.MAXIFS($D$4:$D$2503,$A$4:$A$2503,A748,$B$4:$B$2503,B748),"Yes","No"))</f>
        <v/>
      </c>
      <c r="M748" s="30">
        <f>IF(B748="","",IFERROR(INDEX('Share classes'!$F$4:$F$203,MATCH(B748,'Share classes'!$B$4:$B$203,0)),""))</f>
        <v/>
      </c>
      <c r="N748" s="30">
        <f>IF(A748="","",IF(K748="","Unknown holder ID",IF(J748="","Unknown class code",IF(OR(C748="",D748=""),"Missing shares or date",IF(OR(C748&lt;0,C748&lt;&gt;INT(C748)),"Shares must be a whole number",IF(COUNTIFS($A$4:$A$2503,A748,$B$4:$B$2503,B748,$D$4:$D$2503,D748)&gt;1,"Duplicate row (same date)","OK"))))))</f>
        <v/>
      </c>
    </row>
    <row r="749">
      <c r="A749" s="26" t="n"/>
      <c r="B749" s="26" t="n"/>
      <c r="C749" s="34" t="n"/>
      <c r="D749" s="28" t="n"/>
      <c r="E749" s="26" t="n"/>
      <c r="F749" s="26" t="n"/>
      <c r="G749" s="26" t="n"/>
      <c r="H749" s="38" t="n"/>
      <c r="I749" s="28" t="n"/>
      <c r="J749" s="30">
        <f>IF(B749="","",IFERROR(INDEX('Share classes'!$A$4:$A$203,MATCH(B749,'Share classes'!$B$4:$B$203,0)),""))</f>
        <v/>
      </c>
      <c r="K749" s="30">
        <f>IF(A749="","",IFERROR(INDEX('Holders'!$B$4:$B$1003,MATCH(A749,'Holders'!$A$4:$A$1003,0)),""))</f>
        <v/>
      </c>
      <c r="L749" s="30">
        <f>IF(OR(A749="",B749="",D749=""),"",IF(D749=_xlfn.MAXIFS($D$4:$D$2503,$A$4:$A$2503,A749,$B$4:$B$2503,B749),"Yes","No"))</f>
        <v/>
      </c>
      <c r="M749" s="30">
        <f>IF(B749="","",IFERROR(INDEX('Share classes'!$F$4:$F$203,MATCH(B749,'Share classes'!$B$4:$B$203,0)),""))</f>
        <v/>
      </c>
      <c r="N749" s="30">
        <f>IF(A749="","",IF(K749="","Unknown holder ID",IF(J749="","Unknown class code",IF(OR(C749="",D749=""),"Missing shares or date",IF(OR(C749&lt;0,C749&lt;&gt;INT(C749)),"Shares must be a whole number",IF(COUNTIFS($A$4:$A$2503,A749,$B$4:$B$2503,B749,$D$4:$D$2503,D749)&gt;1,"Duplicate row (same date)","OK"))))))</f>
        <v/>
      </c>
    </row>
    <row r="750">
      <c r="A750" s="26" t="n"/>
      <c r="B750" s="26" t="n"/>
      <c r="C750" s="34" t="n"/>
      <c r="D750" s="28" t="n"/>
      <c r="E750" s="26" t="n"/>
      <c r="F750" s="26" t="n"/>
      <c r="G750" s="26" t="n"/>
      <c r="H750" s="38" t="n"/>
      <c r="I750" s="28" t="n"/>
      <c r="J750" s="30">
        <f>IF(B750="","",IFERROR(INDEX('Share classes'!$A$4:$A$203,MATCH(B750,'Share classes'!$B$4:$B$203,0)),""))</f>
        <v/>
      </c>
      <c r="K750" s="30">
        <f>IF(A750="","",IFERROR(INDEX('Holders'!$B$4:$B$1003,MATCH(A750,'Holders'!$A$4:$A$1003,0)),""))</f>
        <v/>
      </c>
      <c r="L750" s="30">
        <f>IF(OR(A750="",B750="",D750=""),"",IF(D750=_xlfn.MAXIFS($D$4:$D$2503,$A$4:$A$2503,A750,$B$4:$B$2503,B750),"Yes","No"))</f>
        <v/>
      </c>
      <c r="M750" s="30">
        <f>IF(B750="","",IFERROR(INDEX('Share classes'!$F$4:$F$203,MATCH(B750,'Share classes'!$B$4:$B$203,0)),""))</f>
        <v/>
      </c>
      <c r="N750" s="30">
        <f>IF(A750="","",IF(K750="","Unknown holder ID",IF(J750="","Unknown class code",IF(OR(C750="",D750=""),"Missing shares or date",IF(OR(C750&lt;0,C750&lt;&gt;INT(C750)),"Shares must be a whole number",IF(COUNTIFS($A$4:$A$2503,A750,$B$4:$B$2503,B750,$D$4:$D$2503,D750)&gt;1,"Duplicate row (same date)","OK"))))))</f>
        <v/>
      </c>
    </row>
    <row r="751">
      <c r="A751" s="26" t="n"/>
      <c r="B751" s="26" t="n"/>
      <c r="C751" s="34" t="n"/>
      <c r="D751" s="28" t="n"/>
      <c r="E751" s="26" t="n"/>
      <c r="F751" s="26" t="n"/>
      <c r="G751" s="26" t="n"/>
      <c r="H751" s="38" t="n"/>
      <c r="I751" s="28" t="n"/>
      <c r="J751" s="30">
        <f>IF(B751="","",IFERROR(INDEX('Share classes'!$A$4:$A$203,MATCH(B751,'Share classes'!$B$4:$B$203,0)),""))</f>
        <v/>
      </c>
      <c r="K751" s="30">
        <f>IF(A751="","",IFERROR(INDEX('Holders'!$B$4:$B$1003,MATCH(A751,'Holders'!$A$4:$A$1003,0)),""))</f>
        <v/>
      </c>
      <c r="L751" s="30">
        <f>IF(OR(A751="",B751="",D751=""),"",IF(D751=_xlfn.MAXIFS($D$4:$D$2503,$A$4:$A$2503,A751,$B$4:$B$2503,B751),"Yes","No"))</f>
        <v/>
      </c>
      <c r="M751" s="30">
        <f>IF(B751="","",IFERROR(INDEX('Share classes'!$F$4:$F$203,MATCH(B751,'Share classes'!$B$4:$B$203,0)),""))</f>
        <v/>
      </c>
      <c r="N751" s="30">
        <f>IF(A751="","",IF(K751="","Unknown holder ID",IF(J751="","Unknown class code",IF(OR(C751="",D751=""),"Missing shares or date",IF(OR(C751&lt;0,C751&lt;&gt;INT(C751)),"Shares must be a whole number",IF(COUNTIFS($A$4:$A$2503,A751,$B$4:$B$2503,B751,$D$4:$D$2503,D751)&gt;1,"Duplicate row (same date)","OK"))))))</f>
        <v/>
      </c>
    </row>
    <row r="752">
      <c r="A752" s="26" t="n"/>
      <c r="B752" s="26" t="n"/>
      <c r="C752" s="34" t="n"/>
      <c r="D752" s="28" t="n"/>
      <c r="E752" s="26" t="n"/>
      <c r="F752" s="26" t="n"/>
      <c r="G752" s="26" t="n"/>
      <c r="H752" s="38" t="n"/>
      <c r="I752" s="28" t="n"/>
      <c r="J752" s="30">
        <f>IF(B752="","",IFERROR(INDEX('Share classes'!$A$4:$A$203,MATCH(B752,'Share classes'!$B$4:$B$203,0)),""))</f>
        <v/>
      </c>
      <c r="K752" s="30">
        <f>IF(A752="","",IFERROR(INDEX('Holders'!$B$4:$B$1003,MATCH(A752,'Holders'!$A$4:$A$1003,0)),""))</f>
        <v/>
      </c>
      <c r="L752" s="30">
        <f>IF(OR(A752="",B752="",D752=""),"",IF(D752=_xlfn.MAXIFS($D$4:$D$2503,$A$4:$A$2503,A752,$B$4:$B$2503,B752),"Yes","No"))</f>
        <v/>
      </c>
      <c r="M752" s="30">
        <f>IF(B752="","",IFERROR(INDEX('Share classes'!$F$4:$F$203,MATCH(B752,'Share classes'!$B$4:$B$203,0)),""))</f>
        <v/>
      </c>
      <c r="N752" s="30">
        <f>IF(A752="","",IF(K752="","Unknown holder ID",IF(J752="","Unknown class code",IF(OR(C752="",D752=""),"Missing shares or date",IF(OR(C752&lt;0,C752&lt;&gt;INT(C752)),"Shares must be a whole number",IF(COUNTIFS($A$4:$A$2503,A752,$B$4:$B$2503,B752,$D$4:$D$2503,D752)&gt;1,"Duplicate row (same date)","OK"))))))</f>
        <v/>
      </c>
    </row>
    <row r="753">
      <c r="A753" s="26" t="n"/>
      <c r="B753" s="26" t="n"/>
      <c r="C753" s="34" t="n"/>
      <c r="D753" s="28" t="n"/>
      <c r="E753" s="26" t="n"/>
      <c r="F753" s="26" t="n"/>
      <c r="G753" s="26" t="n"/>
      <c r="H753" s="38" t="n"/>
      <c r="I753" s="28" t="n"/>
      <c r="J753" s="30">
        <f>IF(B753="","",IFERROR(INDEX('Share classes'!$A$4:$A$203,MATCH(B753,'Share classes'!$B$4:$B$203,0)),""))</f>
        <v/>
      </c>
      <c r="K753" s="30">
        <f>IF(A753="","",IFERROR(INDEX('Holders'!$B$4:$B$1003,MATCH(A753,'Holders'!$A$4:$A$1003,0)),""))</f>
        <v/>
      </c>
      <c r="L753" s="30">
        <f>IF(OR(A753="",B753="",D753=""),"",IF(D753=_xlfn.MAXIFS($D$4:$D$2503,$A$4:$A$2503,A753,$B$4:$B$2503,B753),"Yes","No"))</f>
        <v/>
      </c>
      <c r="M753" s="30">
        <f>IF(B753="","",IFERROR(INDEX('Share classes'!$F$4:$F$203,MATCH(B753,'Share classes'!$B$4:$B$203,0)),""))</f>
        <v/>
      </c>
      <c r="N753" s="30">
        <f>IF(A753="","",IF(K753="","Unknown holder ID",IF(J753="","Unknown class code",IF(OR(C753="",D753=""),"Missing shares or date",IF(OR(C753&lt;0,C753&lt;&gt;INT(C753)),"Shares must be a whole number",IF(COUNTIFS($A$4:$A$2503,A753,$B$4:$B$2503,B753,$D$4:$D$2503,D753)&gt;1,"Duplicate row (same date)","OK"))))))</f>
        <v/>
      </c>
    </row>
    <row r="754">
      <c r="A754" s="26" t="n"/>
      <c r="B754" s="26" t="n"/>
      <c r="C754" s="34" t="n"/>
      <c r="D754" s="28" t="n"/>
      <c r="E754" s="26" t="n"/>
      <c r="F754" s="26" t="n"/>
      <c r="G754" s="26" t="n"/>
      <c r="H754" s="38" t="n"/>
      <c r="I754" s="28" t="n"/>
      <c r="J754" s="30">
        <f>IF(B754="","",IFERROR(INDEX('Share classes'!$A$4:$A$203,MATCH(B754,'Share classes'!$B$4:$B$203,0)),""))</f>
        <v/>
      </c>
      <c r="K754" s="30">
        <f>IF(A754="","",IFERROR(INDEX('Holders'!$B$4:$B$1003,MATCH(A754,'Holders'!$A$4:$A$1003,0)),""))</f>
        <v/>
      </c>
      <c r="L754" s="30">
        <f>IF(OR(A754="",B754="",D754=""),"",IF(D754=_xlfn.MAXIFS($D$4:$D$2503,$A$4:$A$2503,A754,$B$4:$B$2503,B754),"Yes","No"))</f>
        <v/>
      </c>
      <c r="M754" s="30">
        <f>IF(B754="","",IFERROR(INDEX('Share classes'!$F$4:$F$203,MATCH(B754,'Share classes'!$B$4:$B$203,0)),""))</f>
        <v/>
      </c>
      <c r="N754" s="30">
        <f>IF(A754="","",IF(K754="","Unknown holder ID",IF(J754="","Unknown class code",IF(OR(C754="",D754=""),"Missing shares or date",IF(OR(C754&lt;0,C754&lt;&gt;INT(C754)),"Shares must be a whole number",IF(COUNTIFS($A$4:$A$2503,A754,$B$4:$B$2503,B754,$D$4:$D$2503,D754)&gt;1,"Duplicate row (same date)","OK"))))))</f>
        <v/>
      </c>
    </row>
    <row r="755">
      <c r="A755" s="26" t="n"/>
      <c r="B755" s="26" t="n"/>
      <c r="C755" s="34" t="n"/>
      <c r="D755" s="28" t="n"/>
      <c r="E755" s="26" t="n"/>
      <c r="F755" s="26" t="n"/>
      <c r="G755" s="26" t="n"/>
      <c r="H755" s="38" t="n"/>
      <c r="I755" s="28" t="n"/>
      <c r="J755" s="30">
        <f>IF(B755="","",IFERROR(INDEX('Share classes'!$A$4:$A$203,MATCH(B755,'Share classes'!$B$4:$B$203,0)),""))</f>
        <v/>
      </c>
      <c r="K755" s="30">
        <f>IF(A755="","",IFERROR(INDEX('Holders'!$B$4:$B$1003,MATCH(A755,'Holders'!$A$4:$A$1003,0)),""))</f>
        <v/>
      </c>
      <c r="L755" s="30">
        <f>IF(OR(A755="",B755="",D755=""),"",IF(D755=_xlfn.MAXIFS($D$4:$D$2503,$A$4:$A$2503,A755,$B$4:$B$2503,B755),"Yes","No"))</f>
        <v/>
      </c>
      <c r="M755" s="30">
        <f>IF(B755="","",IFERROR(INDEX('Share classes'!$F$4:$F$203,MATCH(B755,'Share classes'!$B$4:$B$203,0)),""))</f>
        <v/>
      </c>
      <c r="N755" s="30">
        <f>IF(A755="","",IF(K755="","Unknown holder ID",IF(J755="","Unknown class code",IF(OR(C755="",D755=""),"Missing shares or date",IF(OR(C755&lt;0,C755&lt;&gt;INT(C755)),"Shares must be a whole number",IF(COUNTIFS($A$4:$A$2503,A755,$B$4:$B$2503,B755,$D$4:$D$2503,D755)&gt;1,"Duplicate row (same date)","OK"))))))</f>
        <v/>
      </c>
    </row>
    <row r="756">
      <c r="A756" s="26" t="n"/>
      <c r="B756" s="26" t="n"/>
      <c r="C756" s="34" t="n"/>
      <c r="D756" s="28" t="n"/>
      <c r="E756" s="26" t="n"/>
      <c r="F756" s="26" t="n"/>
      <c r="G756" s="26" t="n"/>
      <c r="H756" s="38" t="n"/>
      <c r="I756" s="28" t="n"/>
      <c r="J756" s="30">
        <f>IF(B756="","",IFERROR(INDEX('Share classes'!$A$4:$A$203,MATCH(B756,'Share classes'!$B$4:$B$203,0)),""))</f>
        <v/>
      </c>
      <c r="K756" s="30">
        <f>IF(A756="","",IFERROR(INDEX('Holders'!$B$4:$B$1003,MATCH(A756,'Holders'!$A$4:$A$1003,0)),""))</f>
        <v/>
      </c>
      <c r="L756" s="30">
        <f>IF(OR(A756="",B756="",D756=""),"",IF(D756=_xlfn.MAXIFS($D$4:$D$2503,$A$4:$A$2503,A756,$B$4:$B$2503,B756),"Yes","No"))</f>
        <v/>
      </c>
      <c r="M756" s="30">
        <f>IF(B756="","",IFERROR(INDEX('Share classes'!$F$4:$F$203,MATCH(B756,'Share classes'!$B$4:$B$203,0)),""))</f>
        <v/>
      </c>
      <c r="N756" s="30">
        <f>IF(A756="","",IF(K756="","Unknown holder ID",IF(J756="","Unknown class code",IF(OR(C756="",D756=""),"Missing shares or date",IF(OR(C756&lt;0,C756&lt;&gt;INT(C756)),"Shares must be a whole number",IF(COUNTIFS($A$4:$A$2503,A756,$B$4:$B$2503,B756,$D$4:$D$2503,D756)&gt;1,"Duplicate row (same date)","OK"))))))</f>
        <v/>
      </c>
    </row>
    <row r="757">
      <c r="A757" s="26" t="n"/>
      <c r="B757" s="26" t="n"/>
      <c r="C757" s="34" t="n"/>
      <c r="D757" s="28" t="n"/>
      <c r="E757" s="26" t="n"/>
      <c r="F757" s="26" t="n"/>
      <c r="G757" s="26" t="n"/>
      <c r="H757" s="38" t="n"/>
      <c r="I757" s="28" t="n"/>
      <c r="J757" s="30">
        <f>IF(B757="","",IFERROR(INDEX('Share classes'!$A$4:$A$203,MATCH(B757,'Share classes'!$B$4:$B$203,0)),""))</f>
        <v/>
      </c>
      <c r="K757" s="30">
        <f>IF(A757="","",IFERROR(INDEX('Holders'!$B$4:$B$1003,MATCH(A757,'Holders'!$A$4:$A$1003,0)),""))</f>
        <v/>
      </c>
      <c r="L757" s="30">
        <f>IF(OR(A757="",B757="",D757=""),"",IF(D757=_xlfn.MAXIFS($D$4:$D$2503,$A$4:$A$2503,A757,$B$4:$B$2503,B757),"Yes","No"))</f>
        <v/>
      </c>
      <c r="M757" s="30">
        <f>IF(B757="","",IFERROR(INDEX('Share classes'!$F$4:$F$203,MATCH(B757,'Share classes'!$B$4:$B$203,0)),""))</f>
        <v/>
      </c>
      <c r="N757" s="30">
        <f>IF(A757="","",IF(K757="","Unknown holder ID",IF(J757="","Unknown class code",IF(OR(C757="",D757=""),"Missing shares or date",IF(OR(C757&lt;0,C757&lt;&gt;INT(C757)),"Shares must be a whole number",IF(COUNTIFS($A$4:$A$2503,A757,$B$4:$B$2503,B757,$D$4:$D$2503,D757)&gt;1,"Duplicate row (same date)","OK"))))))</f>
        <v/>
      </c>
    </row>
    <row r="758">
      <c r="A758" s="26" t="n"/>
      <c r="B758" s="26" t="n"/>
      <c r="C758" s="34" t="n"/>
      <c r="D758" s="28" t="n"/>
      <c r="E758" s="26" t="n"/>
      <c r="F758" s="26" t="n"/>
      <c r="G758" s="26" t="n"/>
      <c r="H758" s="38" t="n"/>
      <c r="I758" s="28" t="n"/>
      <c r="J758" s="30">
        <f>IF(B758="","",IFERROR(INDEX('Share classes'!$A$4:$A$203,MATCH(B758,'Share classes'!$B$4:$B$203,0)),""))</f>
        <v/>
      </c>
      <c r="K758" s="30">
        <f>IF(A758="","",IFERROR(INDEX('Holders'!$B$4:$B$1003,MATCH(A758,'Holders'!$A$4:$A$1003,0)),""))</f>
        <v/>
      </c>
      <c r="L758" s="30">
        <f>IF(OR(A758="",B758="",D758=""),"",IF(D758=_xlfn.MAXIFS($D$4:$D$2503,$A$4:$A$2503,A758,$B$4:$B$2503,B758),"Yes","No"))</f>
        <v/>
      </c>
      <c r="M758" s="30">
        <f>IF(B758="","",IFERROR(INDEX('Share classes'!$F$4:$F$203,MATCH(B758,'Share classes'!$B$4:$B$203,0)),""))</f>
        <v/>
      </c>
      <c r="N758" s="30">
        <f>IF(A758="","",IF(K758="","Unknown holder ID",IF(J758="","Unknown class code",IF(OR(C758="",D758=""),"Missing shares or date",IF(OR(C758&lt;0,C758&lt;&gt;INT(C758)),"Shares must be a whole number",IF(COUNTIFS($A$4:$A$2503,A758,$B$4:$B$2503,B758,$D$4:$D$2503,D758)&gt;1,"Duplicate row (same date)","OK"))))))</f>
        <v/>
      </c>
    </row>
    <row r="759">
      <c r="A759" s="26" t="n"/>
      <c r="B759" s="26" t="n"/>
      <c r="C759" s="34" t="n"/>
      <c r="D759" s="28" t="n"/>
      <c r="E759" s="26" t="n"/>
      <c r="F759" s="26" t="n"/>
      <c r="G759" s="26" t="n"/>
      <c r="H759" s="38" t="n"/>
      <c r="I759" s="28" t="n"/>
      <c r="J759" s="30">
        <f>IF(B759="","",IFERROR(INDEX('Share classes'!$A$4:$A$203,MATCH(B759,'Share classes'!$B$4:$B$203,0)),""))</f>
        <v/>
      </c>
      <c r="K759" s="30">
        <f>IF(A759="","",IFERROR(INDEX('Holders'!$B$4:$B$1003,MATCH(A759,'Holders'!$A$4:$A$1003,0)),""))</f>
        <v/>
      </c>
      <c r="L759" s="30">
        <f>IF(OR(A759="",B759="",D759=""),"",IF(D759=_xlfn.MAXIFS($D$4:$D$2503,$A$4:$A$2503,A759,$B$4:$B$2503,B759),"Yes","No"))</f>
        <v/>
      </c>
      <c r="M759" s="30">
        <f>IF(B759="","",IFERROR(INDEX('Share classes'!$F$4:$F$203,MATCH(B759,'Share classes'!$B$4:$B$203,0)),""))</f>
        <v/>
      </c>
      <c r="N759" s="30">
        <f>IF(A759="","",IF(K759="","Unknown holder ID",IF(J759="","Unknown class code",IF(OR(C759="",D759=""),"Missing shares or date",IF(OR(C759&lt;0,C759&lt;&gt;INT(C759)),"Shares must be a whole number",IF(COUNTIFS($A$4:$A$2503,A759,$B$4:$B$2503,B759,$D$4:$D$2503,D759)&gt;1,"Duplicate row (same date)","OK"))))))</f>
        <v/>
      </c>
    </row>
    <row r="760">
      <c r="A760" s="26" t="n"/>
      <c r="B760" s="26" t="n"/>
      <c r="C760" s="34" t="n"/>
      <c r="D760" s="28" t="n"/>
      <c r="E760" s="26" t="n"/>
      <c r="F760" s="26" t="n"/>
      <c r="G760" s="26" t="n"/>
      <c r="H760" s="38" t="n"/>
      <c r="I760" s="28" t="n"/>
      <c r="J760" s="30">
        <f>IF(B760="","",IFERROR(INDEX('Share classes'!$A$4:$A$203,MATCH(B760,'Share classes'!$B$4:$B$203,0)),""))</f>
        <v/>
      </c>
      <c r="K760" s="30">
        <f>IF(A760="","",IFERROR(INDEX('Holders'!$B$4:$B$1003,MATCH(A760,'Holders'!$A$4:$A$1003,0)),""))</f>
        <v/>
      </c>
      <c r="L760" s="30">
        <f>IF(OR(A760="",B760="",D760=""),"",IF(D760=_xlfn.MAXIFS($D$4:$D$2503,$A$4:$A$2503,A760,$B$4:$B$2503,B760),"Yes","No"))</f>
        <v/>
      </c>
      <c r="M760" s="30">
        <f>IF(B760="","",IFERROR(INDEX('Share classes'!$F$4:$F$203,MATCH(B760,'Share classes'!$B$4:$B$203,0)),""))</f>
        <v/>
      </c>
      <c r="N760" s="30">
        <f>IF(A760="","",IF(K760="","Unknown holder ID",IF(J760="","Unknown class code",IF(OR(C760="",D760=""),"Missing shares or date",IF(OR(C760&lt;0,C760&lt;&gt;INT(C760)),"Shares must be a whole number",IF(COUNTIFS($A$4:$A$2503,A760,$B$4:$B$2503,B760,$D$4:$D$2503,D760)&gt;1,"Duplicate row (same date)","OK"))))))</f>
        <v/>
      </c>
    </row>
    <row r="761">
      <c r="A761" s="26" t="n"/>
      <c r="B761" s="26" t="n"/>
      <c r="C761" s="34" t="n"/>
      <c r="D761" s="28" t="n"/>
      <c r="E761" s="26" t="n"/>
      <c r="F761" s="26" t="n"/>
      <c r="G761" s="26" t="n"/>
      <c r="H761" s="38" t="n"/>
      <c r="I761" s="28" t="n"/>
      <c r="J761" s="30">
        <f>IF(B761="","",IFERROR(INDEX('Share classes'!$A$4:$A$203,MATCH(B761,'Share classes'!$B$4:$B$203,0)),""))</f>
        <v/>
      </c>
      <c r="K761" s="30">
        <f>IF(A761="","",IFERROR(INDEX('Holders'!$B$4:$B$1003,MATCH(A761,'Holders'!$A$4:$A$1003,0)),""))</f>
        <v/>
      </c>
      <c r="L761" s="30">
        <f>IF(OR(A761="",B761="",D761=""),"",IF(D761=_xlfn.MAXIFS($D$4:$D$2503,$A$4:$A$2503,A761,$B$4:$B$2503,B761),"Yes","No"))</f>
        <v/>
      </c>
      <c r="M761" s="30">
        <f>IF(B761="","",IFERROR(INDEX('Share classes'!$F$4:$F$203,MATCH(B761,'Share classes'!$B$4:$B$203,0)),""))</f>
        <v/>
      </c>
      <c r="N761" s="30">
        <f>IF(A761="","",IF(K761="","Unknown holder ID",IF(J761="","Unknown class code",IF(OR(C761="",D761=""),"Missing shares or date",IF(OR(C761&lt;0,C761&lt;&gt;INT(C761)),"Shares must be a whole number",IF(COUNTIFS($A$4:$A$2503,A761,$B$4:$B$2503,B761,$D$4:$D$2503,D761)&gt;1,"Duplicate row (same date)","OK"))))))</f>
        <v/>
      </c>
    </row>
    <row r="762">
      <c r="A762" s="26" t="n"/>
      <c r="B762" s="26" t="n"/>
      <c r="C762" s="34" t="n"/>
      <c r="D762" s="28" t="n"/>
      <c r="E762" s="26" t="n"/>
      <c r="F762" s="26" t="n"/>
      <c r="G762" s="26" t="n"/>
      <c r="H762" s="38" t="n"/>
      <c r="I762" s="28" t="n"/>
      <c r="J762" s="30">
        <f>IF(B762="","",IFERROR(INDEX('Share classes'!$A$4:$A$203,MATCH(B762,'Share classes'!$B$4:$B$203,0)),""))</f>
        <v/>
      </c>
      <c r="K762" s="30">
        <f>IF(A762="","",IFERROR(INDEX('Holders'!$B$4:$B$1003,MATCH(A762,'Holders'!$A$4:$A$1003,0)),""))</f>
        <v/>
      </c>
      <c r="L762" s="30">
        <f>IF(OR(A762="",B762="",D762=""),"",IF(D762=_xlfn.MAXIFS($D$4:$D$2503,$A$4:$A$2503,A762,$B$4:$B$2503,B762),"Yes","No"))</f>
        <v/>
      </c>
      <c r="M762" s="30">
        <f>IF(B762="","",IFERROR(INDEX('Share classes'!$F$4:$F$203,MATCH(B762,'Share classes'!$B$4:$B$203,0)),""))</f>
        <v/>
      </c>
      <c r="N762" s="30">
        <f>IF(A762="","",IF(K762="","Unknown holder ID",IF(J762="","Unknown class code",IF(OR(C762="",D762=""),"Missing shares or date",IF(OR(C762&lt;0,C762&lt;&gt;INT(C762)),"Shares must be a whole number",IF(COUNTIFS($A$4:$A$2503,A762,$B$4:$B$2503,B762,$D$4:$D$2503,D762)&gt;1,"Duplicate row (same date)","OK"))))))</f>
        <v/>
      </c>
    </row>
    <row r="763">
      <c r="A763" s="26" t="n"/>
      <c r="B763" s="26" t="n"/>
      <c r="C763" s="34" t="n"/>
      <c r="D763" s="28" t="n"/>
      <c r="E763" s="26" t="n"/>
      <c r="F763" s="26" t="n"/>
      <c r="G763" s="26" t="n"/>
      <c r="H763" s="38" t="n"/>
      <c r="I763" s="28" t="n"/>
      <c r="J763" s="30">
        <f>IF(B763="","",IFERROR(INDEX('Share classes'!$A$4:$A$203,MATCH(B763,'Share classes'!$B$4:$B$203,0)),""))</f>
        <v/>
      </c>
      <c r="K763" s="30">
        <f>IF(A763="","",IFERROR(INDEX('Holders'!$B$4:$B$1003,MATCH(A763,'Holders'!$A$4:$A$1003,0)),""))</f>
        <v/>
      </c>
      <c r="L763" s="30">
        <f>IF(OR(A763="",B763="",D763=""),"",IF(D763=_xlfn.MAXIFS($D$4:$D$2503,$A$4:$A$2503,A763,$B$4:$B$2503,B763),"Yes","No"))</f>
        <v/>
      </c>
      <c r="M763" s="30">
        <f>IF(B763="","",IFERROR(INDEX('Share classes'!$F$4:$F$203,MATCH(B763,'Share classes'!$B$4:$B$203,0)),""))</f>
        <v/>
      </c>
      <c r="N763" s="30">
        <f>IF(A763="","",IF(K763="","Unknown holder ID",IF(J763="","Unknown class code",IF(OR(C763="",D763=""),"Missing shares or date",IF(OR(C763&lt;0,C763&lt;&gt;INT(C763)),"Shares must be a whole number",IF(COUNTIFS($A$4:$A$2503,A763,$B$4:$B$2503,B763,$D$4:$D$2503,D763)&gt;1,"Duplicate row (same date)","OK"))))))</f>
        <v/>
      </c>
    </row>
    <row r="764">
      <c r="A764" s="26" t="n"/>
      <c r="B764" s="26" t="n"/>
      <c r="C764" s="34" t="n"/>
      <c r="D764" s="28" t="n"/>
      <c r="E764" s="26" t="n"/>
      <c r="F764" s="26" t="n"/>
      <c r="G764" s="26" t="n"/>
      <c r="H764" s="38" t="n"/>
      <c r="I764" s="28" t="n"/>
      <c r="J764" s="30">
        <f>IF(B764="","",IFERROR(INDEX('Share classes'!$A$4:$A$203,MATCH(B764,'Share classes'!$B$4:$B$203,0)),""))</f>
        <v/>
      </c>
      <c r="K764" s="30">
        <f>IF(A764="","",IFERROR(INDEX('Holders'!$B$4:$B$1003,MATCH(A764,'Holders'!$A$4:$A$1003,0)),""))</f>
        <v/>
      </c>
      <c r="L764" s="30">
        <f>IF(OR(A764="",B764="",D764=""),"",IF(D764=_xlfn.MAXIFS($D$4:$D$2503,$A$4:$A$2503,A764,$B$4:$B$2503,B764),"Yes","No"))</f>
        <v/>
      </c>
      <c r="M764" s="30">
        <f>IF(B764="","",IFERROR(INDEX('Share classes'!$F$4:$F$203,MATCH(B764,'Share classes'!$B$4:$B$203,0)),""))</f>
        <v/>
      </c>
      <c r="N764" s="30">
        <f>IF(A764="","",IF(K764="","Unknown holder ID",IF(J764="","Unknown class code",IF(OR(C764="",D764=""),"Missing shares or date",IF(OR(C764&lt;0,C764&lt;&gt;INT(C764)),"Shares must be a whole number",IF(COUNTIFS($A$4:$A$2503,A764,$B$4:$B$2503,B764,$D$4:$D$2503,D764)&gt;1,"Duplicate row (same date)","OK"))))))</f>
        <v/>
      </c>
    </row>
    <row r="765">
      <c r="A765" s="26" t="n"/>
      <c r="B765" s="26" t="n"/>
      <c r="C765" s="34" t="n"/>
      <c r="D765" s="28" t="n"/>
      <c r="E765" s="26" t="n"/>
      <c r="F765" s="26" t="n"/>
      <c r="G765" s="26" t="n"/>
      <c r="H765" s="38" t="n"/>
      <c r="I765" s="28" t="n"/>
      <c r="J765" s="30">
        <f>IF(B765="","",IFERROR(INDEX('Share classes'!$A$4:$A$203,MATCH(B765,'Share classes'!$B$4:$B$203,0)),""))</f>
        <v/>
      </c>
      <c r="K765" s="30">
        <f>IF(A765="","",IFERROR(INDEX('Holders'!$B$4:$B$1003,MATCH(A765,'Holders'!$A$4:$A$1003,0)),""))</f>
        <v/>
      </c>
      <c r="L765" s="30">
        <f>IF(OR(A765="",B765="",D765=""),"",IF(D765=_xlfn.MAXIFS($D$4:$D$2503,$A$4:$A$2503,A765,$B$4:$B$2503,B765),"Yes","No"))</f>
        <v/>
      </c>
      <c r="M765" s="30">
        <f>IF(B765="","",IFERROR(INDEX('Share classes'!$F$4:$F$203,MATCH(B765,'Share classes'!$B$4:$B$203,0)),""))</f>
        <v/>
      </c>
      <c r="N765" s="30">
        <f>IF(A765="","",IF(K765="","Unknown holder ID",IF(J765="","Unknown class code",IF(OR(C765="",D765=""),"Missing shares or date",IF(OR(C765&lt;0,C765&lt;&gt;INT(C765)),"Shares must be a whole number",IF(COUNTIFS($A$4:$A$2503,A765,$B$4:$B$2503,B765,$D$4:$D$2503,D765)&gt;1,"Duplicate row (same date)","OK"))))))</f>
        <v/>
      </c>
    </row>
    <row r="766">
      <c r="A766" s="26" t="n"/>
      <c r="B766" s="26" t="n"/>
      <c r="C766" s="34" t="n"/>
      <c r="D766" s="28" t="n"/>
      <c r="E766" s="26" t="n"/>
      <c r="F766" s="26" t="n"/>
      <c r="G766" s="26" t="n"/>
      <c r="H766" s="38" t="n"/>
      <c r="I766" s="28" t="n"/>
      <c r="J766" s="30">
        <f>IF(B766="","",IFERROR(INDEX('Share classes'!$A$4:$A$203,MATCH(B766,'Share classes'!$B$4:$B$203,0)),""))</f>
        <v/>
      </c>
      <c r="K766" s="30">
        <f>IF(A766="","",IFERROR(INDEX('Holders'!$B$4:$B$1003,MATCH(A766,'Holders'!$A$4:$A$1003,0)),""))</f>
        <v/>
      </c>
      <c r="L766" s="30">
        <f>IF(OR(A766="",B766="",D766=""),"",IF(D766=_xlfn.MAXIFS($D$4:$D$2503,$A$4:$A$2503,A766,$B$4:$B$2503,B766),"Yes","No"))</f>
        <v/>
      </c>
      <c r="M766" s="30">
        <f>IF(B766="","",IFERROR(INDEX('Share classes'!$F$4:$F$203,MATCH(B766,'Share classes'!$B$4:$B$203,0)),""))</f>
        <v/>
      </c>
      <c r="N766" s="30">
        <f>IF(A766="","",IF(K766="","Unknown holder ID",IF(J766="","Unknown class code",IF(OR(C766="",D766=""),"Missing shares or date",IF(OR(C766&lt;0,C766&lt;&gt;INT(C766)),"Shares must be a whole number",IF(COUNTIFS($A$4:$A$2503,A766,$B$4:$B$2503,B766,$D$4:$D$2503,D766)&gt;1,"Duplicate row (same date)","OK"))))))</f>
        <v/>
      </c>
    </row>
    <row r="767">
      <c r="A767" s="26" t="n"/>
      <c r="B767" s="26" t="n"/>
      <c r="C767" s="34" t="n"/>
      <c r="D767" s="28" t="n"/>
      <c r="E767" s="26" t="n"/>
      <c r="F767" s="26" t="n"/>
      <c r="G767" s="26" t="n"/>
      <c r="H767" s="38" t="n"/>
      <c r="I767" s="28" t="n"/>
      <c r="J767" s="30">
        <f>IF(B767="","",IFERROR(INDEX('Share classes'!$A$4:$A$203,MATCH(B767,'Share classes'!$B$4:$B$203,0)),""))</f>
        <v/>
      </c>
      <c r="K767" s="30">
        <f>IF(A767="","",IFERROR(INDEX('Holders'!$B$4:$B$1003,MATCH(A767,'Holders'!$A$4:$A$1003,0)),""))</f>
        <v/>
      </c>
      <c r="L767" s="30">
        <f>IF(OR(A767="",B767="",D767=""),"",IF(D767=_xlfn.MAXIFS($D$4:$D$2503,$A$4:$A$2503,A767,$B$4:$B$2503,B767),"Yes","No"))</f>
        <v/>
      </c>
      <c r="M767" s="30">
        <f>IF(B767="","",IFERROR(INDEX('Share classes'!$F$4:$F$203,MATCH(B767,'Share classes'!$B$4:$B$203,0)),""))</f>
        <v/>
      </c>
      <c r="N767" s="30">
        <f>IF(A767="","",IF(K767="","Unknown holder ID",IF(J767="","Unknown class code",IF(OR(C767="",D767=""),"Missing shares or date",IF(OR(C767&lt;0,C767&lt;&gt;INT(C767)),"Shares must be a whole number",IF(COUNTIFS($A$4:$A$2503,A767,$B$4:$B$2503,B767,$D$4:$D$2503,D767)&gt;1,"Duplicate row (same date)","OK"))))))</f>
        <v/>
      </c>
    </row>
    <row r="768">
      <c r="A768" s="26" t="n"/>
      <c r="B768" s="26" t="n"/>
      <c r="C768" s="34" t="n"/>
      <c r="D768" s="28" t="n"/>
      <c r="E768" s="26" t="n"/>
      <c r="F768" s="26" t="n"/>
      <c r="G768" s="26" t="n"/>
      <c r="H768" s="38" t="n"/>
      <c r="I768" s="28" t="n"/>
      <c r="J768" s="30">
        <f>IF(B768="","",IFERROR(INDEX('Share classes'!$A$4:$A$203,MATCH(B768,'Share classes'!$B$4:$B$203,0)),""))</f>
        <v/>
      </c>
      <c r="K768" s="30">
        <f>IF(A768="","",IFERROR(INDEX('Holders'!$B$4:$B$1003,MATCH(A768,'Holders'!$A$4:$A$1003,0)),""))</f>
        <v/>
      </c>
      <c r="L768" s="30">
        <f>IF(OR(A768="",B768="",D768=""),"",IF(D768=_xlfn.MAXIFS($D$4:$D$2503,$A$4:$A$2503,A768,$B$4:$B$2503,B768),"Yes","No"))</f>
        <v/>
      </c>
      <c r="M768" s="30">
        <f>IF(B768="","",IFERROR(INDEX('Share classes'!$F$4:$F$203,MATCH(B768,'Share classes'!$B$4:$B$203,0)),""))</f>
        <v/>
      </c>
      <c r="N768" s="30">
        <f>IF(A768="","",IF(K768="","Unknown holder ID",IF(J768="","Unknown class code",IF(OR(C768="",D768=""),"Missing shares or date",IF(OR(C768&lt;0,C768&lt;&gt;INT(C768)),"Shares must be a whole number",IF(COUNTIFS($A$4:$A$2503,A768,$B$4:$B$2503,B768,$D$4:$D$2503,D768)&gt;1,"Duplicate row (same date)","OK"))))))</f>
        <v/>
      </c>
    </row>
    <row r="769">
      <c r="A769" s="26" t="n"/>
      <c r="B769" s="26" t="n"/>
      <c r="C769" s="34" t="n"/>
      <c r="D769" s="28" t="n"/>
      <c r="E769" s="26" t="n"/>
      <c r="F769" s="26" t="n"/>
      <c r="G769" s="26" t="n"/>
      <c r="H769" s="38" t="n"/>
      <c r="I769" s="28" t="n"/>
      <c r="J769" s="30">
        <f>IF(B769="","",IFERROR(INDEX('Share classes'!$A$4:$A$203,MATCH(B769,'Share classes'!$B$4:$B$203,0)),""))</f>
        <v/>
      </c>
      <c r="K769" s="30">
        <f>IF(A769="","",IFERROR(INDEX('Holders'!$B$4:$B$1003,MATCH(A769,'Holders'!$A$4:$A$1003,0)),""))</f>
        <v/>
      </c>
      <c r="L769" s="30">
        <f>IF(OR(A769="",B769="",D769=""),"",IF(D769=_xlfn.MAXIFS($D$4:$D$2503,$A$4:$A$2503,A769,$B$4:$B$2503,B769),"Yes","No"))</f>
        <v/>
      </c>
      <c r="M769" s="30">
        <f>IF(B769="","",IFERROR(INDEX('Share classes'!$F$4:$F$203,MATCH(B769,'Share classes'!$B$4:$B$203,0)),""))</f>
        <v/>
      </c>
      <c r="N769" s="30">
        <f>IF(A769="","",IF(K769="","Unknown holder ID",IF(J769="","Unknown class code",IF(OR(C769="",D769=""),"Missing shares or date",IF(OR(C769&lt;0,C769&lt;&gt;INT(C769)),"Shares must be a whole number",IF(COUNTIFS($A$4:$A$2503,A769,$B$4:$B$2503,B769,$D$4:$D$2503,D769)&gt;1,"Duplicate row (same date)","OK"))))))</f>
        <v/>
      </c>
    </row>
    <row r="770">
      <c r="A770" s="26" t="n"/>
      <c r="B770" s="26" t="n"/>
      <c r="C770" s="34" t="n"/>
      <c r="D770" s="28" t="n"/>
      <c r="E770" s="26" t="n"/>
      <c r="F770" s="26" t="n"/>
      <c r="G770" s="26" t="n"/>
      <c r="H770" s="38" t="n"/>
      <c r="I770" s="28" t="n"/>
      <c r="J770" s="30">
        <f>IF(B770="","",IFERROR(INDEX('Share classes'!$A$4:$A$203,MATCH(B770,'Share classes'!$B$4:$B$203,0)),""))</f>
        <v/>
      </c>
      <c r="K770" s="30">
        <f>IF(A770="","",IFERROR(INDEX('Holders'!$B$4:$B$1003,MATCH(A770,'Holders'!$A$4:$A$1003,0)),""))</f>
        <v/>
      </c>
      <c r="L770" s="30">
        <f>IF(OR(A770="",B770="",D770=""),"",IF(D770=_xlfn.MAXIFS($D$4:$D$2503,$A$4:$A$2503,A770,$B$4:$B$2503,B770),"Yes","No"))</f>
        <v/>
      </c>
      <c r="M770" s="30">
        <f>IF(B770="","",IFERROR(INDEX('Share classes'!$F$4:$F$203,MATCH(B770,'Share classes'!$B$4:$B$203,0)),""))</f>
        <v/>
      </c>
      <c r="N770" s="30">
        <f>IF(A770="","",IF(K770="","Unknown holder ID",IF(J770="","Unknown class code",IF(OR(C770="",D770=""),"Missing shares or date",IF(OR(C770&lt;0,C770&lt;&gt;INT(C770)),"Shares must be a whole number",IF(COUNTIFS($A$4:$A$2503,A770,$B$4:$B$2503,B770,$D$4:$D$2503,D770)&gt;1,"Duplicate row (same date)","OK"))))))</f>
        <v/>
      </c>
    </row>
    <row r="771">
      <c r="A771" s="26" t="n"/>
      <c r="B771" s="26" t="n"/>
      <c r="C771" s="34" t="n"/>
      <c r="D771" s="28" t="n"/>
      <c r="E771" s="26" t="n"/>
      <c r="F771" s="26" t="n"/>
      <c r="G771" s="26" t="n"/>
      <c r="H771" s="38" t="n"/>
      <c r="I771" s="28" t="n"/>
      <c r="J771" s="30">
        <f>IF(B771="","",IFERROR(INDEX('Share classes'!$A$4:$A$203,MATCH(B771,'Share classes'!$B$4:$B$203,0)),""))</f>
        <v/>
      </c>
      <c r="K771" s="30">
        <f>IF(A771="","",IFERROR(INDEX('Holders'!$B$4:$B$1003,MATCH(A771,'Holders'!$A$4:$A$1003,0)),""))</f>
        <v/>
      </c>
      <c r="L771" s="30">
        <f>IF(OR(A771="",B771="",D771=""),"",IF(D771=_xlfn.MAXIFS($D$4:$D$2503,$A$4:$A$2503,A771,$B$4:$B$2503,B771),"Yes","No"))</f>
        <v/>
      </c>
      <c r="M771" s="30">
        <f>IF(B771="","",IFERROR(INDEX('Share classes'!$F$4:$F$203,MATCH(B771,'Share classes'!$B$4:$B$203,0)),""))</f>
        <v/>
      </c>
      <c r="N771" s="30">
        <f>IF(A771="","",IF(K771="","Unknown holder ID",IF(J771="","Unknown class code",IF(OR(C771="",D771=""),"Missing shares or date",IF(OR(C771&lt;0,C771&lt;&gt;INT(C771)),"Shares must be a whole number",IF(COUNTIFS($A$4:$A$2503,A771,$B$4:$B$2503,B771,$D$4:$D$2503,D771)&gt;1,"Duplicate row (same date)","OK"))))))</f>
        <v/>
      </c>
    </row>
    <row r="772">
      <c r="A772" s="26" t="n"/>
      <c r="B772" s="26" t="n"/>
      <c r="C772" s="34" t="n"/>
      <c r="D772" s="28" t="n"/>
      <c r="E772" s="26" t="n"/>
      <c r="F772" s="26" t="n"/>
      <c r="G772" s="26" t="n"/>
      <c r="H772" s="38" t="n"/>
      <c r="I772" s="28" t="n"/>
      <c r="J772" s="30">
        <f>IF(B772="","",IFERROR(INDEX('Share classes'!$A$4:$A$203,MATCH(B772,'Share classes'!$B$4:$B$203,0)),""))</f>
        <v/>
      </c>
      <c r="K772" s="30">
        <f>IF(A772="","",IFERROR(INDEX('Holders'!$B$4:$B$1003,MATCH(A772,'Holders'!$A$4:$A$1003,0)),""))</f>
        <v/>
      </c>
      <c r="L772" s="30">
        <f>IF(OR(A772="",B772="",D772=""),"",IF(D772=_xlfn.MAXIFS($D$4:$D$2503,$A$4:$A$2503,A772,$B$4:$B$2503,B772),"Yes","No"))</f>
        <v/>
      </c>
      <c r="M772" s="30">
        <f>IF(B772="","",IFERROR(INDEX('Share classes'!$F$4:$F$203,MATCH(B772,'Share classes'!$B$4:$B$203,0)),""))</f>
        <v/>
      </c>
      <c r="N772" s="30">
        <f>IF(A772="","",IF(K772="","Unknown holder ID",IF(J772="","Unknown class code",IF(OR(C772="",D772=""),"Missing shares or date",IF(OR(C772&lt;0,C772&lt;&gt;INT(C772)),"Shares must be a whole number",IF(COUNTIFS($A$4:$A$2503,A772,$B$4:$B$2503,B772,$D$4:$D$2503,D772)&gt;1,"Duplicate row (same date)","OK"))))))</f>
        <v/>
      </c>
    </row>
    <row r="773">
      <c r="A773" s="26" t="n"/>
      <c r="B773" s="26" t="n"/>
      <c r="C773" s="34" t="n"/>
      <c r="D773" s="28" t="n"/>
      <c r="E773" s="26" t="n"/>
      <c r="F773" s="26" t="n"/>
      <c r="G773" s="26" t="n"/>
      <c r="H773" s="38" t="n"/>
      <c r="I773" s="28" t="n"/>
      <c r="J773" s="30">
        <f>IF(B773="","",IFERROR(INDEX('Share classes'!$A$4:$A$203,MATCH(B773,'Share classes'!$B$4:$B$203,0)),""))</f>
        <v/>
      </c>
      <c r="K773" s="30">
        <f>IF(A773="","",IFERROR(INDEX('Holders'!$B$4:$B$1003,MATCH(A773,'Holders'!$A$4:$A$1003,0)),""))</f>
        <v/>
      </c>
      <c r="L773" s="30">
        <f>IF(OR(A773="",B773="",D773=""),"",IF(D773=_xlfn.MAXIFS($D$4:$D$2503,$A$4:$A$2503,A773,$B$4:$B$2503,B773),"Yes","No"))</f>
        <v/>
      </c>
      <c r="M773" s="30">
        <f>IF(B773="","",IFERROR(INDEX('Share classes'!$F$4:$F$203,MATCH(B773,'Share classes'!$B$4:$B$203,0)),""))</f>
        <v/>
      </c>
      <c r="N773" s="30">
        <f>IF(A773="","",IF(K773="","Unknown holder ID",IF(J773="","Unknown class code",IF(OR(C773="",D773=""),"Missing shares or date",IF(OR(C773&lt;0,C773&lt;&gt;INT(C773)),"Shares must be a whole number",IF(COUNTIFS($A$4:$A$2503,A773,$B$4:$B$2503,B773,$D$4:$D$2503,D773)&gt;1,"Duplicate row (same date)","OK"))))))</f>
        <v/>
      </c>
    </row>
    <row r="774">
      <c r="A774" s="26" t="n"/>
      <c r="B774" s="26" t="n"/>
      <c r="C774" s="34" t="n"/>
      <c r="D774" s="28" t="n"/>
      <c r="E774" s="26" t="n"/>
      <c r="F774" s="26" t="n"/>
      <c r="G774" s="26" t="n"/>
      <c r="H774" s="38" t="n"/>
      <c r="I774" s="28" t="n"/>
      <c r="J774" s="30">
        <f>IF(B774="","",IFERROR(INDEX('Share classes'!$A$4:$A$203,MATCH(B774,'Share classes'!$B$4:$B$203,0)),""))</f>
        <v/>
      </c>
      <c r="K774" s="30">
        <f>IF(A774="","",IFERROR(INDEX('Holders'!$B$4:$B$1003,MATCH(A774,'Holders'!$A$4:$A$1003,0)),""))</f>
        <v/>
      </c>
      <c r="L774" s="30">
        <f>IF(OR(A774="",B774="",D774=""),"",IF(D774=_xlfn.MAXIFS($D$4:$D$2503,$A$4:$A$2503,A774,$B$4:$B$2503,B774),"Yes","No"))</f>
        <v/>
      </c>
      <c r="M774" s="30">
        <f>IF(B774="","",IFERROR(INDEX('Share classes'!$F$4:$F$203,MATCH(B774,'Share classes'!$B$4:$B$203,0)),""))</f>
        <v/>
      </c>
      <c r="N774" s="30">
        <f>IF(A774="","",IF(K774="","Unknown holder ID",IF(J774="","Unknown class code",IF(OR(C774="",D774=""),"Missing shares or date",IF(OR(C774&lt;0,C774&lt;&gt;INT(C774)),"Shares must be a whole number",IF(COUNTIFS($A$4:$A$2503,A774,$B$4:$B$2503,B774,$D$4:$D$2503,D774)&gt;1,"Duplicate row (same date)","OK"))))))</f>
        <v/>
      </c>
    </row>
    <row r="775">
      <c r="A775" s="26" t="n"/>
      <c r="B775" s="26" t="n"/>
      <c r="C775" s="34" t="n"/>
      <c r="D775" s="28" t="n"/>
      <c r="E775" s="26" t="n"/>
      <c r="F775" s="26" t="n"/>
      <c r="G775" s="26" t="n"/>
      <c r="H775" s="38" t="n"/>
      <c r="I775" s="28" t="n"/>
      <c r="J775" s="30">
        <f>IF(B775="","",IFERROR(INDEX('Share classes'!$A$4:$A$203,MATCH(B775,'Share classes'!$B$4:$B$203,0)),""))</f>
        <v/>
      </c>
      <c r="K775" s="30">
        <f>IF(A775="","",IFERROR(INDEX('Holders'!$B$4:$B$1003,MATCH(A775,'Holders'!$A$4:$A$1003,0)),""))</f>
        <v/>
      </c>
      <c r="L775" s="30">
        <f>IF(OR(A775="",B775="",D775=""),"",IF(D775=_xlfn.MAXIFS($D$4:$D$2503,$A$4:$A$2503,A775,$B$4:$B$2503,B775),"Yes","No"))</f>
        <v/>
      </c>
      <c r="M775" s="30">
        <f>IF(B775="","",IFERROR(INDEX('Share classes'!$F$4:$F$203,MATCH(B775,'Share classes'!$B$4:$B$203,0)),""))</f>
        <v/>
      </c>
      <c r="N775" s="30">
        <f>IF(A775="","",IF(K775="","Unknown holder ID",IF(J775="","Unknown class code",IF(OR(C775="",D775=""),"Missing shares or date",IF(OR(C775&lt;0,C775&lt;&gt;INT(C775)),"Shares must be a whole number",IF(COUNTIFS($A$4:$A$2503,A775,$B$4:$B$2503,B775,$D$4:$D$2503,D775)&gt;1,"Duplicate row (same date)","OK"))))))</f>
        <v/>
      </c>
    </row>
    <row r="776">
      <c r="A776" s="26" t="n"/>
      <c r="B776" s="26" t="n"/>
      <c r="C776" s="34" t="n"/>
      <c r="D776" s="28" t="n"/>
      <c r="E776" s="26" t="n"/>
      <c r="F776" s="26" t="n"/>
      <c r="G776" s="26" t="n"/>
      <c r="H776" s="38" t="n"/>
      <c r="I776" s="28" t="n"/>
      <c r="J776" s="30">
        <f>IF(B776="","",IFERROR(INDEX('Share classes'!$A$4:$A$203,MATCH(B776,'Share classes'!$B$4:$B$203,0)),""))</f>
        <v/>
      </c>
      <c r="K776" s="30">
        <f>IF(A776="","",IFERROR(INDEX('Holders'!$B$4:$B$1003,MATCH(A776,'Holders'!$A$4:$A$1003,0)),""))</f>
        <v/>
      </c>
      <c r="L776" s="30">
        <f>IF(OR(A776="",B776="",D776=""),"",IF(D776=_xlfn.MAXIFS($D$4:$D$2503,$A$4:$A$2503,A776,$B$4:$B$2503,B776),"Yes","No"))</f>
        <v/>
      </c>
      <c r="M776" s="30">
        <f>IF(B776="","",IFERROR(INDEX('Share classes'!$F$4:$F$203,MATCH(B776,'Share classes'!$B$4:$B$203,0)),""))</f>
        <v/>
      </c>
      <c r="N776" s="30">
        <f>IF(A776="","",IF(K776="","Unknown holder ID",IF(J776="","Unknown class code",IF(OR(C776="",D776=""),"Missing shares or date",IF(OR(C776&lt;0,C776&lt;&gt;INT(C776)),"Shares must be a whole number",IF(COUNTIFS($A$4:$A$2503,A776,$B$4:$B$2503,B776,$D$4:$D$2503,D776)&gt;1,"Duplicate row (same date)","OK"))))))</f>
        <v/>
      </c>
    </row>
    <row r="777">
      <c r="A777" s="26" t="n"/>
      <c r="B777" s="26" t="n"/>
      <c r="C777" s="34" t="n"/>
      <c r="D777" s="28" t="n"/>
      <c r="E777" s="26" t="n"/>
      <c r="F777" s="26" t="n"/>
      <c r="G777" s="26" t="n"/>
      <c r="H777" s="38" t="n"/>
      <c r="I777" s="28" t="n"/>
      <c r="J777" s="30">
        <f>IF(B777="","",IFERROR(INDEX('Share classes'!$A$4:$A$203,MATCH(B777,'Share classes'!$B$4:$B$203,0)),""))</f>
        <v/>
      </c>
      <c r="K777" s="30">
        <f>IF(A777="","",IFERROR(INDEX('Holders'!$B$4:$B$1003,MATCH(A777,'Holders'!$A$4:$A$1003,0)),""))</f>
        <v/>
      </c>
      <c r="L777" s="30">
        <f>IF(OR(A777="",B777="",D777=""),"",IF(D777=_xlfn.MAXIFS($D$4:$D$2503,$A$4:$A$2503,A777,$B$4:$B$2503,B777),"Yes","No"))</f>
        <v/>
      </c>
      <c r="M777" s="30">
        <f>IF(B777="","",IFERROR(INDEX('Share classes'!$F$4:$F$203,MATCH(B777,'Share classes'!$B$4:$B$203,0)),""))</f>
        <v/>
      </c>
      <c r="N777" s="30">
        <f>IF(A777="","",IF(K777="","Unknown holder ID",IF(J777="","Unknown class code",IF(OR(C777="",D777=""),"Missing shares or date",IF(OR(C777&lt;0,C777&lt;&gt;INT(C777)),"Shares must be a whole number",IF(COUNTIFS($A$4:$A$2503,A777,$B$4:$B$2503,B777,$D$4:$D$2503,D777)&gt;1,"Duplicate row (same date)","OK"))))))</f>
        <v/>
      </c>
    </row>
    <row r="778">
      <c r="A778" s="26" t="n"/>
      <c r="B778" s="26" t="n"/>
      <c r="C778" s="34" t="n"/>
      <c r="D778" s="28" t="n"/>
      <c r="E778" s="26" t="n"/>
      <c r="F778" s="26" t="n"/>
      <c r="G778" s="26" t="n"/>
      <c r="H778" s="38" t="n"/>
      <c r="I778" s="28" t="n"/>
      <c r="J778" s="30">
        <f>IF(B778="","",IFERROR(INDEX('Share classes'!$A$4:$A$203,MATCH(B778,'Share classes'!$B$4:$B$203,0)),""))</f>
        <v/>
      </c>
      <c r="K778" s="30">
        <f>IF(A778="","",IFERROR(INDEX('Holders'!$B$4:$B$1003,MATCH(A778,'Holders'!$A$4:$A$1003,0)),""))</f>
        <v/>
      </c>
      <c r="L778" s="30">
        <f>IF(OR(A778="",B778="",D778=""),"",IF(D778=_xlfn.MAXIFS($D$4:$D$2503,$A$4:$A$2503,A778,$B$4:$B$2503,B778),"Yes","No"))</f>
        <v/>
      </c>
      <c r="M778" s="30">
        <f>IF(B778="","",IFERROR(INDEX('Share classes'!$F$4:$F$203,MATCH(B778,'Share classes'!$B$4:$B$203,0)),""))</f>
        <v/>
      </c>
      <c r="N778" s="30">
        <f>IF(A778="","",IF(K778="","Unknown holder ID",IF(J778="","Unknown class code",IF(OR(C778="",D778=""),"Missing shares or date",IF(OR(C778&lt;0,C778&lt;&gt;INT(C778)),"Shares must be a whole number",IF(COUNTIFS($A$4:$A$2503,A778,$B$4:$B$2503,B778,$D$4:$D$2503,D778)&gt;1,"Duplicate row (same date)","OK"))))))</f>
        <v/>
      </c>
    </row>
    <row r="779">
      <c r="A779" s="26" t="n"/>
      <c r="B779" s="26" t="n"/>
      <c r="C779" s="34" t="n"/>
      <c r="D779" s="28" t="n"/>
      <c r="E779" s="26" t="n"/>
      <c r="F779" s="26" t="n"/>
      <c r="G779" s="26" t="n"/>
      <c r="H779" s="38" t="n"/>
      <c r="I779" s="28" t="n"/>
      <c r="J779" s="30">
        <f>IF(B779="","",IFERROR(INDEX('Share classes'!$A$4:$A$203,MATCH(B779,'Share classes'!$B$4:$B$203,0)),""))</f>
        <v/>
      </c>
      <c r="K779" s="30">
        <f>IF(A779="","",IFERROR(INDEX('Holders'!$B$4:$B$1003,MATCH(A779,'Holders'!$A$4:$A$1003,0)),""))</f>
        <v/>
      </c>
      <c r="L779" s="30">
        <f>IF(OR(A779="",B779="",D779=""),"",IF(D779=_xlfn.MAXIFS($D$4:$D$2503,$A$4:$A$2503,A779,$B$4:$B$2503,B779),"Yes","No"))</f>
        <v/>
      </c>
      <c r="M779" s="30">
        <f>IF(B779="","",IFERROR(INDEX('Share classes'!$F$4:$F$203,MATCH(B779,'Share classes'!$B$4:$B$203,0)),""))</f>
        <v/>
      </c>
      <c r="N779" s="30">
        <f>IF(A779="","",IF(K779="","Unknown holder ID",IF(J779="","Unknown class code",IF(OR(C779="",D779=""),"Missing shares or date",IF(OR(C779&lt;0,C779&lt;&gt;INT(C779)),"Shares must be a whole number",IF(COUNTIFS($A$4:$A$2503,A779,$B$4:$B$2503,B779,$D$4:$D$2503,D779)&gt;1,"Duplicate row (same date)","OK"))))))</f>
        <v/>
      </c>
    </row>
    <row r="780">
      <c r="A780" s="26" t="n"/>
      <c r="B780" s="26" t="n"/>
      <c r="C780" s="34" t="n"/>
      <c r="D780" s="28" t="n"/>
      <c r="E780" s="26" t="n"/>
      <c r="F780" s="26" t="n"/>
      <c r="G780" s="26" t="n"/>
      <c r="H780" s="38" t="n"/>
      <c r="I780" s="28" t="n"/>
      <c r="J780" s="30">
        <f>IF(B780="","",IFERROR(INDEX('Share classes'!$A$4:$A$203,MATCH(B780,'Share classes'!$B$4:$B$203,0)),""))</f>
        <v/>
      </c>
      <c r="K780" s="30">
        <f>IF(A780="","",IFERROR(INDEX('Holders'!$B$4:$B$1003,MATCH(A780,'Holders'!$A$4:$A$1003,0)),""))</f>
        <v/>
      </c>
      <c r="L780" s="30">
        <f>IF(OR(A780="",B780="",D780=""),"",IF(D780=_xlfn.MAXIFS($D$4:$D$2503,$A$4:$A$2503,A780,$B$4:$B$2503,B780),"Yes","No"))</f>
        <v/>
      </c>
      <c r="M780" s="30">
        <f>IF(B780="","",IFERROR(INDEX('Share classes'!$F$4:$F$203,MATCH(B780,'Share classes'!$B$4:$B$203,0)),""))</f>
        <v/>
      </c>
      <c r="N780" s="30">
        <f>IF(A780="","",IF(K780="","Unknown holder ID",IF(J780="","Unknown class code",IF(OR(C780="",D780=""),"Missing shares or date",IF(OR(C780&lt;0,C780&lt;&gt;INT(C780)),"Shares must be a whole number",IF(COUNTIFS($A$4:$A$2503,A780,$B$4:$B$2503,B780,$D$4:$D$2503,D780)&gt;1,"Duplicate row (same date)","OK"))))))</f>
        <v/>
      </c>
    </row>
    <row r="781">
      <c r="A781" s="26" t="n"/>
      <c r="B781" s="26" t="n"/>
      <c r="C781" s="34" t="n"/>
      <c r="D781" s="28" t="n"/>
      <c r="E781" s="26" t="n"/>
      <c r="F781" s="26" t="n"/>
      <c r="G781" s="26" t="n"/>
      <c r="H781" s="38" t="n"/>
      <c r="I781" s="28" t="n"/>
      <c r="J781" s="30">
        <f>IF(B781="","",IFERROR(INDEX('Share classes'!$A$4:$A$203,MATCH(B781,'Share classes'!$B$4:$B$203,0)),""))</f>
        <v/>
      </c>
      <c r="K781" s="30">
        <f>IF(A781="","",IFERROR(INDEX('Holders'!$B$4:$B$1003,MATCH(A781,'Holders'!$A$4:$A$1003,0)),""))</f>
        <v/>
      </c>
      <c r="L781" s="30">
        <f>IF(OR(A781="",B781="",D781=""),"",IF(D781=_xlfn.MAXIFS($D$4:$D$2503,$A$4:$A$2503,A781,$B$4:$B$2503,B781),"Yes","No"))</f>
        <v/>
      </c>
      <c r="M781" s="30">
        <f>IF(B781="","",IFERROR(INDEX('Share classes'!$F$4:$F$203,MATCH(B781,'Share classes'!$B$4:$B$203,0)),""))</f>
        <v/>
      </c>
      <c r="N781" s="30">
        <f>IF(A781="","",IF(K781="","Unknown holder ID",IF(J781="","Unknown class code",IF(OR(C781="",D781=""),"Missing shares or date",IF(OR(C781&lt;0,C781&lt;&gt;INT(C781)),"Shares must be a whole number",IF(COUNTIFS($A$4:$A$2503,A781,$B$4:$B$2503,B781,$D$4:$D$2503,D781)&gt;1,"Duplicate row (same date)","OK"))))))</f>
        <v/>
      </c>
    </row>
    <row r="782">
      <c r="A782" s="26" t="n"/>
      <c r="B782" s="26" t="n"/>
      <c r="C782" s="34" t="n"/>
      <c r="D782" s="28" t="n"/>
      <c r="E782" s="26" t="n"/>
      <c r="F782" s="26" t="n"/>
      <c r="G782" s="26" t="n"/>
      <c r="H782" s="38" t="n"/>
      <c r="I782" s="28" t="n"/>
      <c r="J782" s="30">
        <f>IF(B782="","",IFERROR(INDEX('Share classes'!$A$4:$A$203,MATCH(B782,'Share classes'!$B$4:$B$203,0)),""))</f>
        <v/>
      </c>
      <c r="K782" s="30">
        <f>IF(A782="","",IFERROR(INDEX('Holders'!$B$4:$B$1003,MATCH(A782,'Holders'!$A$4:$A$1003,0)),""))</f>
        <v/>
      </c>
      <c r="L782" s="30">
        <f>IF(OR(A782="",B782="",D782=""),"",IF(D782=_xlfn.MAXIFS($D$4:$D$2503,$A$4:$A$2503,A782,$B$4:$B$2503,B782),"Yes","No"))</f>
        <v/>
      </c>
      <c r="M782" s="30">
        <f>IF(B782="","",IFERROR(INDEX('Share classes'!$F$4:$F$203,MATCH(B782,'Share classes'!$B$4:$B$203,0)),""))</f>
        <v/>
      </c>
      <c r="N782" s="30">
        <f>IF(A782="","",IF(K782="","Unknown holder ID",IF(J782="","Unknown class code",IF(OR(C782="",D782=""),"Missing shares or date",IF(OR(C782&lt;0,C782&lt;&gt;INT(C782)),"Shares must be a whole number",IF(COUNTIFS($A$4:$A$2503,A782,$B$4:$B$2503,B782,$D$4:$D$2503,D782)&gt;1,"Duplicate row (same date)","OK"))))))</f>
        <v/>
      </c>
    </row>
    <row r="783">
      <c r="A783" s="26" t="n"/>
      <c r="B783" s="26" t="n"/>
      <c r="C783" s="34" t="n"/>
      <c r="D783" s="28" t="n"/>
      <c r="E783" s="26" t="n"/>
      <c r="F783" s="26" t="n"/>
      <c r="G783" s="26" t="n"/>
      <c r="H783" s="38" t="n"/>
      <c r="I783" s="28" t="n"/>
      <c r="J783" s="30">
        <f>IF(B783="","",IFERROR(INDEX('Share classes'!$A$4:$A$203,MATCH(B783,'Share classes'!$B$4:$B$203,0)),""))</f>
        <v/>
      </c>
      <c r="K783" s="30">
        <f>IF(A783="","",IFERROR(INDEX('Holders'!$B$4:$B$1003,MATCH(A783,'Holders'!$A$4:$A$1003,0)),""))</f>
        <v/>
      </c>
      <c r="L783" s="30">
        <f>IF(OR(A783="",B783="",D783=""),"",IF(D783=_xlfn.MAXIFS($D$4:$D$2503,$A$4:$A$2503,A783,$B$4:$B$2503,B783),"Yes","No"))</f>
        <v/>
      </c>
      <c r="M783" s="30">
        <f>IF(B783="","",IFERROR(INDEX('Share classes'!$F$4:$F$203,MATCH(B783,'Share classes'!$B$4:$B$203,0)),""))</f>
        <v/>
      </c>
      <c r="N783" s="30">
        <f>IF(A783="","",IF(K783="","Unknown holder ID",IF(J783="","Unknown class code",IF(OR(C783="",D783=""),"Missing shares or date",IF(OR(C783&lt;0,C783&lt;&gt;INT(C783)),"Shares must be a whole number",IF(COUNTIFS($A$4:$A$2503,A783,$B$4:$B$2503,B783,$D$4:$D$2503,D783)&gt;1,"Duplicate row (same date)","OK"))))))</f>
        <v/>
      </c>
    </row>
    <row r="784">
      <c r="A784" s="26" t="n"/>
      <c r="B784" s="26" t="n"/>
      <c r="C784" s="34" t="n"/>
      <c r="D784" s="28" t="n"/>
      <c r="E784" s="26" t="n"/>
      <c r="F784" s="26" t="n"/>
      <c r="G784" s="26" t="n"/>
      <c r="H784" s="38" t="n"/>
      <c r="I784" s="28" t="n"/>
      <c r="J784" s="30">
        <f>IF(B784="","",IFERROR(INDEX('Share classes'!$A$4:$A$203,MATCH(B784,'Share classes'!$B$4:$B$203,0)),""))</f>
        <v/>
      </c>
      <c r="K784" s="30">
        <f>IF(A784="","",IFERROR(INDEX('Holders'!$B$4:$B$1003,MATCH(A784,'Holders'!$A$4:$A$1003,0)),""))</f>
        <v/>
      </c>
      <c r="L784" s="30">
        <f>IF(OR(A784="",B784="",D784=""),"",IF(D784=_xlfn.MAXIFS($D$4:$D$2503,$A$4:$A$2503,A784,$B$4:$B$2503,B784),"Yes","No"))</f>
        <v/>
      </c>
      <c r="M784" s="30">
        <f>IF(B784="","",IFERROR(INDEX('Share classes'!$F$4:$F$203,MATCH(B784,'Share classes'!$B$4:$B$203,0)),""))</f>
        <v/>
      </c>
      <c r="N784" s="30">
        <f>IF(A784="","",IF(K784="","Unknown holder ID",IF(J784="","Unknown class code",IF(OR(C784="",D784=""),"Missing shares or date",IF(OR(C784&lt;0,C784&lt;&gt;INT(C784)),"Shares must be a whole number",IF(COUNTIFS($A$4:$A$2503,A784,$B$4:$B$2503,B784,$D$4:$D$2503,D784)&gt;1,"Duplicate row (same date)","OK"))))))</f>
        <v/>
      </c>
    </row>
    <row r="785">
      <c r="A785" s="26" t="n"/>
      <c r="B785" s="26" t="n"/>
      <c r="C785" s="34" t="n"/>
      <c r="D785" s="28" t="n"/>
      <c r="E785" s="26" t="n"/>
      <c r="F785" s="26" t="n"/>
      <c r="G785" s="26" t="n"/>
      <c r="H785" s="38" t="n"/>
      <c r="I785" s="28" t="n"/>
      <c r="J785" s="30">
        <f>IF(B785="","",IFERROR(INDEX('Share classes'!$A$4:$A$203,MATCH(B785,'Share classes'!$B$4:$B$203,0)),""))</f>
        <v/>
      </c>
      <c r="K785" s="30">
        <f>IF(A785="","",IFERROR(INDEX('Holders'!$B$4:$B$1003,MATCH(A785,'Holders'!$A$4:$A$1003,0)),""))</f>
        <v/>
      </c>
      <c r="L785" s="30">
        <f>IF(OR(A785="",B785="",D785=""),"",IF(D785=_xlfn.MAXIFS($D$4:$D$2503,$A$4:$A$2503,A785,$B$4:$B$2503,B785),"Yes","No"))</f>
        <v/>
      </c>
      <c r="M785" s="30">
        <f>IF(B785="","",IFERROR(INDEX('Share classes'!$F$4:$F$203,MATCH(B785,'Share classes'!$B$4:$B$203,0)),""))</f>
        <v/>
      </c>
      <c r="N785" s="30">
        <f>IF(A785="","",IF(K785="","Unknown holder ID",IF(J785="","Unknown class code",IF(OR(C785="",D785=""),"Missing shares or date",IF(OR(C785&lt;0,C785&lt;&gt;INT(C785)),"Shares must be a whole number",IF(COUNTIFS($A$4:$A$2503,A785,$B$4:$B$2503,B785,$D$4:$D$2503,D785)&gt;1,"Duplicate row (same date)","OK"))))))</f>
        <v/>
      </c>
    </row>
    <row r="786">
      <c r="A786" s="26" t="n"/>
      <c r="B786" s="26" t="n"/>
      <c r="C786" s="34" t="n"/>
      <c r="D786" s="28" t="n"/>
      <c r="E786" s="26" t="n"/>
      <c r="F786" s="26" t="n"/>
      <c r="G786" s="26" t="n"/>
      <c r="H786" s="38" t="n"/>
      <c r="I786" s="28" t="n"/>
      <c r="J786" s="30">
        <f>IF(B786="","",IFERROR(INDEX('Share classes'!$A$4:$A$203,MATCH(B786,'Share classes'!$B$4:$B$203,0)),""))</f>
        <v/>
      </c>
      <c r="K786" s="30">
        <f>IF(A786="","",IFERROR(INDEX('Holders'!$B$4:$B$1003,MATCH(A786,'Holders'!$A$4:$A$1003,0)),""))</f>
        <v/>
      </c>
      <c r="L786" s="30">
        <f>IF(OR(A786="",B786="",D786=""),"",IF(D786=_xlfn.MAXIFS($D$4:$D$2503,$A$4:$A$2503,A786,$B$4:$B$2503,B786),"Yes","No"))</f>
        <v/>
      </c>
      <c r="M786" s="30">
        <f>IF(B786="","",IFERROR(INDEX('Share classes'!$F$4:$F$203,MATCH(B786,'Share classes'!$B$4:$B$203,0)),""))</f>
        <v/>
      </c>
      <c r="N786" s="30">
        <f>IF(A786="","",IF(K786="","Unknown holder ID",IF(J786="","Unknown class code",IF(OR(C786="",D786=""),"Missing shares or date",IF(OR(C786&lt;0,C786&lt;&gt;INT(C786)),"Shares must be a whole number",IF(COUNTIFS($A$4:$A$2503,A786,$B$4:$B$2503,B786,$D$4:$D$2503,D786)&gt;1,"Duplicate row (same date)","OK"))))))</f>
        <v/>
      </c>
    </row>
    <row r="787">
      <c r="A787" s="26" t="n"/>
      <c r="B787" s="26" t="n"/>
      <c r="C787" s="34" t="n"/>
      <c r="D787" s="28" t="n"/>
      <c r="E787" s="26" t="n"/>
      <c r="F787" s="26" t="n"/>
      <c r="G787" s="26" t="n"/>
      <c r="H787" s="38" t="n"/>
      <c r="I787" s="28" t="n"/>
      <c r="J787" s="30">
        <f>IF(B787="","",IFERROR(INDEX('Share classes'!$A$4:$A$203,MATCH(B787,'Share classes'!$B$4:$B$203,0)),""))</f>
        <v/>
      </c>
      <c r="K787" s="30">
        <f>IF(A787="","",IFERROR(INDEX('Holders'!$B$4:$B$1003,MATCH(A787,'Holders'!$A$4:$A$1003,0)),""))</f>
        <v/>
      </c>
      <c r="L787" s="30">
        <f>IF(OR(A787="",B787="",D787=""),"",IF(D787=_xlfn.MAXIFS($D$4:$D$2503,$A$4:$A$2503,A787,$B$4:$B$2503,B787),"Yes","No"))</f>
        <v/>
      </c>
      <c r="M787" s="30">
        <f>IF(B787="","",IFERROR(INDEX('Share classes'!$F$4:$F$203,MATCH(B787,'Share classes'!$B$4:$B$203,0)),""))</f>
        <v/>
      </c>
      <c r="N787" s="30">
        <f>IF(A787="","",IF(K787="","Unknown holder ID",IF(J787="","Unknown class code",IF(OR(C787="",D787=""),"Missing shares or date",IF(OR(C787&lt;0,C787&lt;&gt;INT(C787)),"Shares must be a whole number",IF(COUNTIFS($A$4:$A$2503,A787,$B$4:$B$2503,B787,$D$4:$D$2503,D787)&gt;1,"Duplicate row (same date)","OK"))))))</f>
        <v/>
      </c>
    </row>
    <row r="788">
      <c r="A788" s="26" t="n"/>
      <c r="B788" s="26" t="n"/>
      <c r="C788" s="34" t="n"/>
      <c r="D788" s="28" t="n"/>
      <c r="E788" s="26" t="n"/>
      <c r="F788" s="26" t="n"/>
      <c r="G788" s="26" t="n"/>
      <c r="H788" s="38" t="n"/>
      <c r="I788" s="28" t="n"/>
      <c r="J788" s="30">
        <f>IF(B788="","",IFERROR(INDEX('Share classes'!$A$4:$A$203,MATCH(B788,'Share classes'!$B$4:$B$203,0)),""))</f>
        <v/>
      </c>
      <c r="K788" s="30">
        <f>IF(A788="","",IFERROR(INDEX('Holders'!$B$4:$B$1003,MATCH(A788,'Holders'!$A$4:$A$1003,0)),""))</f>
        <v/>
      </c>
      <c r="L788" s="30">
        <f>IF(OR(A788="",B788="",D788=""),"",IF(D788=_xlfn.MAXIFS($D$4:$D$2503,$A$4:$A$2503,A788,$B$4:$B$2503,B788),"Yes","No"))</f>
        <v/>
      </c>
      <c r="M788" s="30">
        <f>IF(B788="","",IFERROR(INDEX('Share classes'!$F$4:$F$203,MATCH(B788,'Share classes'!$B$4:$B$203,0)),""))</f>
        <v/>
      </c>
      <c r="N788" s="30">
        <f>IF(A788="","",IF(K788="","Unknown holder ID",IF(J788="","Unknown class code",IF(OR(C788="",D788=""),"Missing shares or date",IF(OR(C788&lt;0,C788&lt;&gt;INT(C788)),"Shares must be a whole number",IF(COUNTIFS($A$4:$A$2503,A788,$B$4:$B$2503,B788,$D$4:$D$2503,D788)&gt;1,"Duplicate row (same date)","OK"))))))</f>
        <v/>
      </c>
    </row>
    <row r="789">
      <c r="A789" s="26" t="n"/>
      <c r="B789" s="26" t="n"/>
      <c r="C789" s="34" t="n"/>
      <c r="D789" s="28" t="n"/>
      <c r="E789" s="26" t="n"/>
      <c r="F789" s="26" t="n"/>
      <c r="G789" s="26" t="n"/>
      <c r="H789" s="38" t="n"/>
      <c r="I789" s="28" t="n"/>
      <c r="J789" s="30">
        <f>IF(B789="","",IFERROR(INDEX('Share classes'!$A$4:$A$203,MATCH(B789,'Share classes'!$B$4:$B$203,0)),""))</f>
        <v/>
      </c>
      <c r="K789" s="30">
        <f>IF(A789="","",IFERROR(INDEX('Holders'!$B$4:$B$1003,MATCH(A789,'Holders'!$A$4:$A$1003,0)),""))</f>
        <v/>
      </c>
      <c r="L789" s="30">
        <f>IF(OR(A789="",B789="",D789=""),"",IF(D789=_xlfn.MAXIFS($D$4:$D$2503,$A$4:$A$2503,A789,$B$4:$B$2503,B789),"Yes","No"))</f>
        <v/>
      </c>
      <c r="M789" s="30">
        <f>IF(B789="","",IFERROR(INDEX('Share classes'!$F$4:$F$203,MATCH(B789,'Share classes'!$B$4:$B$203,0)),""))</f>
        <v/>
      </c>
      <c r="N789" s="30">
        <f>IF(A789="","",IF(K789="","Unknown holder ID",IF(J789="","Unknown class code",IF(OR(C789="",D789=""),"Missing shares or date",IF(OR(C789&lt;0,C789&lt;&gt;INT(C789)),"Shares must be a whole number",IF(COUNTIFS($A$4:$A$2503,A789,$B$4:$B$2503,B789,$D$4:$D$2503,D789)&gt;1,"Duplicate row (same date)","OK"))))))</f>
        <v/>
      </c>
    </row>
    <row r="790">
      <c r="A790" s="26" t="n"/>
      <c r="B790" s="26" t="n"/>
      <c r="C790" s="34" t="n"/>
      <c r="D790" s="28" t="n"/>
      <c r="E790" s="26" t="n"/>
      <c r="F790" s="26" t="n"/>
      <c r="G790" s="26" t="n"/>
      <c r="H790" s="38" t="n"/>
      <c r="I790" s="28" t="n"/>
      <c r="J790" s="30">
        <f>IF(B790="","",IFERROR(INDEX('Share classes'!$A$4:$A$203,MATCH(B790,'Share classes'!$B$4:$B$203,0)),""))</f>
        <v/>
      </c>
      <c r="K790" s="30">
        <f>IF(A790="","",IFERROR(INDEX('Holders'!$B$4:$B$1003,MATCH(A790,'Holders'!$A$4:$A$1003,0)),""))</f>
        <v/>
      </c>
      <c r="L790" s="30">
        <f>IF(OR(A790="",B790="",D790=""),"",IF(D790=_xlfn.MAXIFS($D$4:$D$2503,$A$4:$A$2503,A790,$B$4:$B$2503,B790),"Yes","No"))</f>
        <v/>
      </c>
      <c r="M790" s="30">
        <f>IF(B790="","",IFERROR(INDEX('Share classes'!$F$4:$F$203,MATCH(B790,'Share classes'!$B$4:$B$203,0)),""))</f>
        <v/>
      </c>
      <c r="N790" s="30">
        <f>IF(A790="","",IF(K790="","Unknown holder ID",IF(J790="","Unknown class code",IF(OR(C790="",D790=""),"Missing shares or date",IF(OR(C790&lt;0,C790&lt;&gt;INT(C790)),"Shares must be a whole number",IF(COUNTIFS($A$4:$A$2503,A790,$B$4:$B$2503,B790,$D$4:$D$2503,D790)&gt;1,"Duplicate row (same date)","OK"))))))</f>
        <v/>
      </c>
    </row>
    <row r="791">
      <c r="A791" s="26" t="n"/>
      <c r="B791" s="26" t="n"/>
      <c r="C791" s="34" t="n"/>
      <c r="D791" s="28" t="n"/>
      <c r="E791" s="26" t="n"/>
      <c r="F791" s="26" t="n"/>
      <c r="G791" s="26" t="n"/>
      <c r="H791" s="38" t="n"/>
      <c r="I791" s="28" t="n"/>
      <c r="J791" s="30">
        <f>IF(B791="","",IFERROR(INDEX('Share classes'!$A$4:$A$203,MATCH(B791,'Share classes'!$B$4:$B$203,0)),""))</f>
        <v/>
      </c>
      <c r="K791" s="30">
        <f>IF(A791="","",IFERROR(INDEX('Holders'!$B$4:$B$1003,MATCH(A791,'Holders'!$A$4:$A$1003,0)),""))</f>
        <v/>
      </c>
      <c r="L791" s="30">
        <f>IF(OR(A791="",B791="",D791=""),"",IF(D791=_xlfn.MAXIFS($D$4:$D$2503,$A$4:$A$2503,A791,$B$4:$B$2503,B791),"Yes","No"))</f>
        <v/>
      </c>
      <c r="M791" s="30">
        <f>IF(B791="","",IFERROR(INDEX('Share classes'!$F$4:$F$203,MATCH(B791,'Share classes'!$B$4:$B$203,0)),""))</f>
        <v/>
      </c>
      <c r="N791" s="30">
        <f>IF(A791="","",IF(K791="","Unknown holder ID",IF(J791="","Unknown class code",IF(OR(C791="",D791=""),"Missing shares or date",IF(OR(C791&lt;0,C791&lt;&gt;INT(C791)),"Shares must be a whole number",IF(COUNTIFS($A$4:$A$2503,A791,$B$4:$B$2503,B791,$D$4:$D$2503,D791)&gt;1,"Duplicate row (same date)","OK"))))))</f>
        <v/>
      </c>
    </row>
    <row r="792">
      <c r="A792" s="26" t="n"/>
      <c r="B792" s="26" t="n"/>
      <c r="C792" s="34" t="n"/>
      <c r="D792" s="28" t="n"/>
      <c r="E792" s="26" t="n"/>
      <c r="F792" s="26" t="n"/>
      <c r="G792" s="26" t="n"/>
      <c r="H792" s="38" t="n"/>
      <c r="I792" s="28" t="n"/>
      <c r="J792" s="30">
        <f>IF(B792="","",IFERROR(INDEX('Share classes'!$A$4:$A$203,MATCH(B792,'Share classes'!$B$4:$B$203,0)),""))</f>
        <v/>
      </c>
      <c r="K792" s="30">
        <f>IF(A792="","",IFERROR(INDEX('Holders'!$B$4:$B$1003,MATCH(A792,'Holders'!$A$4:$A$1003,0)),""))</f>
        <v/>
      </c>
      <c r="L792" s="30">
        <f>IF(OR(A792="",B792="",D792=""),"",IF(D792=_xlfn.MAXIFS($D$4:$D$2503,$A$4:$A$2503,A792,$B$4:$B$2503,B792),"Yes","No"))</f>
        <v/>
      </c>
      <c r="M792" s="30">
        <f>IF(B792="","",IFERROR(INDEX('Share classes'!$F$4:$F$203,MATCH(B792,'Share classes'!$B$4:$B$203,0)),""))</f>
        <v/>
      </c>
      <c r="N792" s="30">
        <f>IF(A792="","",IF(K792="","Unknown holder ID",IF(J792="","Unknown class code",IF(OR(C792="",D792=""),"Missing shares or date",IF(OR(C792&lt;0,C792&lt;&gt;INT(C792)),"Shares must be a whole number",IF(COUNTIFS($A$4:$A$2503,A792,$B$4:$B$2503,B792,$D$4:$D$2503,D792)&gt;1,"Duplicate row (same date)","OK"))))))</f>
        <v/>
      </c>
    </row>
    <row r="793">
      <c r="A793" s="26" t="n"/>
      <c r="B793" s="26" t="n"/>
      <c r="C793" s="34" t="n"/>
      <c r="D793" s="28" t="n"/>
      <c r="E793" s="26" t="n"/>
      <c r="F793" s="26" t="n"/>
      <c r="G793" s="26" t="n"/>
      <c r="H793" s="38" t="n"/>
      <c r="I793" s="28" t="n"/>
      <c r="J793" s="30">
        <f>IF(B793="","",IFERROR(INDEX('Share classes'!$A$4:$A$203,MATCH(B793,'Share classes'!$B$4:$B$203,0)),""))</f>
        <v/>
      </c>
      <c r="K793" s="30">
        <f>IF(A793="","",IFERROR(INDEX('Holders'!$B$4:$B$1003,MATCH(A793,'Holders'!$A$4:$A$1003,0)),""))</f>
        <v/>
      </c>
      <c r="L793" s="30">
        <f>IF(OR(A793="",B793="",D793=""),"",IF(D793=_xlfn.MAXIFS($D$4:$D$2503,$A$4:$A$2503,A793,$B$4:$B$2503,B793),"Yes","No"))</f>
        <v/>
      </c>
      <c r="M793" s="30">
        <f>IF(B793="","",IFERROR(INDEX('Share classes'!$F$4:$F$203,MATCH(B793,'Share classes'!$B$4:$B$203,0)),""))</f>
        <v/>
      </c>
      <c r="N793" s="30">
        <f>IF(A793="","",IF(K793="","Unknown holder ID",IF(J793="","Unknown class code",IF(OR(C793="",D793=""),"Missing shares or date",IF(OR(C793&lt;0,C793&lt;&gt;INT(C793)),"Shares must be a whole number",IF(COUNTIFS($A$4:$A$2503,A793,$B$4:$B$2503,B793,$D$4:$D$2503,D793)&gt;1,"Duplicate row (same date)","OK"))))))</f>
        <v/>
      </c>
    </row>
    <row r="794">
      <c r="A794" s="26" t="n"/>
      <c r="B794" s="26" t="n"/>
      <c r="C794" s="34" t="n"/>
      <c r="D794" s="28" t="n"/>
      <c r="E794" s="26" t="n"/>
      <c r="F794" s="26" t="n"/>
      <c r="G794" s="26" t="n"/>
      <c r="H794" s="38" t="n"/>
      <c r="I794" s="28" t="n"/>
      <c r="J794" s="30">
        <f>IF(B794="","",IFERROR(INDEX('Share classes'!$A$4:$A$203,MATCH(B794,'Share classes'!$B$4:$B$203,0)),""))</f>
        <v/>
      </c>
      <c r="K794" s="30">
        <f>IF(A794="","",IFERROR(INDEX('Holders'!$B$4:$B$1003,MATCH(A794,'Holders'!$A$4:$A$1003,0)),""))</f>
        <v/>
      </c>
      <c r="L794" s="30">
        <f>IF(OR(A794="",B794="",D794=""),"",IF(D794=_xlfn.MAXIFS($D$4:$D$2503,$A$4:$A$2503,A794,$B$4:$B$2503,B794),"Yes","No"))</f>
        <v/>
      </c>
      <c r="M794" s="30">
        <f>IF(B794="","",IFERROR(INDEX('Share classes'!$F$4:$F$203,MATCH(B794,'Share classes'!$B$4:$B$203,0)),""))</f>
        <v/>
      </c>
      <c r="N794" s="30">
        <f>IF(A794="","",IF(K794="","Unknown holder ID",IF(J794="","Unknown class code",IF(OR(C794="",D794=""),"Missing shares or date",IF(OR(C794&lt;0,C794&lt;&gt;INT(C794)),"Shares must be a whole number",IF(COUNTIFS($A$4:$A$2503,A794,$B$4:$B$2503,B794,$D$4:$D$2503,D794)&gt;1,"Duplicate row (same date)","OK"))))))</f>
        <v/>
      </c>
    </row>
    <row r="795">
      <c r="A795" s="26" t="n"/>
      <c r="B795" s="26" t="n"/>
      <c r="C795" s="34" t="n"/>
      <c r="D795" s="28" t="n"/>
      <c r="E795" s="26" t="n"/>
      <c r="F795" s="26" t="n"/>
      <c r="G795" s="26" t="n"/>
      <c r="H795" s="38" t="n"/>
      <c r="I795" s="28" t="n"/>
      <c r="J795" s="30">
        <f>IF(B795="","",IFERROR(INDEX('Share classes'!$A$4:$A$203,MATCH(B795,'Share classes'!$B$4:$B$203,0)),""))</f>
        <v/>
      </c>
      <c r="K795" s="30">
        <f>IF(A795="","",IFERROR(INDEX('Holders'!$B$4:$B$1003,MATCH(A795,'Holders'!$A$4:$A$1003,0)),""))</f>
        <v/>
      </c>
      <c r="L795" s="30">
        <f>IF(OR(A795="",B795="",D795=""),"",IF(D795=_xlfn.MAXIFS($D$4:$D$2503,$A$4:$A$2503,A795,$B$4:$B$2503,B795),"Yes","No"))</f>
        <v/>
      </c>
      <c r="M795" s="30">
        <f>IF(B795="","",IFERROR(INDEX('Share classes'!$F$4:$F$203,MATCH(B795,'Share classes'!$B$4:$B$203,0)),""))</f>
        <v/>
      </c>
      <c r="N795" s="30">
        <f>IF(A795="","",IF(K795="","Unknown holder ID",IF(J795="","Unknown class code",IF(OR(C795="",D795=""),"Missing shares or date",IF(OR(C795&lt;0,C795&lt;&gt;INT(C795)),"Shares must be a whole number",IF(COUNTIFS($A$4:$A$2503,A795,$B$4:$B$2503,B795,$D$4:$D$2503,D795)&gt;1,"Duplicate row (same date)","OK"))))))</f>
        <v/>
      </c>
    </row>
    <row r="796">
      <c r="A796" s="26" t="n"/>
      <c r="B796" s="26" t="n"/>
      <c r="C796" s="34" t="n"/>
      <c r="D796" s="28" t="n"/>
      <c r="E796" s="26" t="n"/>
      <c r="F796" s="26" t="n"/>
      <c r="G796" s="26" t="n"/>
      <c r="H796" s="38" t="n"/>
      <c r="I796" s="28" t="n"/>
      <c r="J796" s="30">
        <f>IF(B796="","",IFERROR(INDEX('Share classes'!$A$4:$A$203,MATCH(B796,'Share classes'!$B$4:$B$203,0)),""))</f>
        <v/>
      </c>
      <c r="K796" s="30">
        <f>IF(A796="","",IFERROR(INDEX('Holders'!$B$4:$B$1003,MATCH(A796,'Holders'!$A$4:$A$1003,0)),""))</f>
        <v/>
      </c>
      <c r="L796" s="30">
        <f>IF(OR(A796="",B796="",D796=""),"",IF(D796=_xlfn.MAXIFS($D$4:$D$2503,$A$4:$A$2503,A796,$B$4:$B$2503,B796),"Yes","No"))</f>
        <v/>
      </c>
      <c r="M796" s="30">
        <f>IF(B796="","",IFERROR(INDEX('Share classes'!$F$4:$F$203,MATCH(B796,'Share classes'!$B$4:$B$203,0)),""))</f>
        <v/>
      </c>
      <c r="N796" s="30">
        <f>IF(A796="","",IF(K796="","Unknown holder ID",IF(J796="","Unknown class code",IF(OR(C796="",D796=""),"Missing shares or date",IF(OR(C796&lt;0,C796&lt;&gt;INT(C796)),"Shares must be a whole number",IF(COUNTIFS($A$4:$A$2503,A796,$B$4:$B$2503,B796,$D$4:$D$2503,D796)&gt;1,"Duplicate row (same date)","OK"))))))</f>
        <v/>
      </c>
    </row>
    <row r="797">
      <c r="A797" s="26" t="n"/>
      <c r="B797" s="26" t="n"/>
      <c r="C797" s="34" t="n"/>
      <c r="D797" s="28" t="n"/>
      <c r="E797" s="26" t="n"/>
      <c r="F797" s="26" t="n"/>
      <c r="G797" s="26" t="n"/>
      <c r="H797" s="38" t="n"/>
      <c r="I797" s="28" t="n"/>
      <c r="J797" s="30">
        <f>IF(B797="","",IFERROR(INDEX('Share classes'!$A$4:$A$203,MATCH(B797,'Share classes'!$B$4:$B$203,0)),""))</f>
        <v/>
      </c>
      <c r="K797" s="30">
        <f>IF(A797="","",IFERROR(INDEX('Holders'!$B$4:$B$1003,MATCH(A797,'Holders'!$A$4:$A$1003,0)),""))</f>
        <v/>
      </c>
      <c r="L797" s="30">
        <f>IF(OR(A797="",B797="",D797=""),"",IF(D797=_xlfn.MAXIFS($D$4:$D$2503,$A$4:$A$2503,A797,$B$4:$B$2503,B797),"Yes","No"))</f>
        <v/>
      </c>
      <c r="M797" s="30">
        <f>IF(B797="","",IFERROR(INDEX('Share classes'!$F$4:$F$203,MATCH(B797,'Share classes'!$B$4:$B$203,0)),""))</f>
        <v/>
      </c>
      <c r="N797" s="30">
        <f>IF(A797="","",IF(K797="","Unknown holder ID",IF(J797="","Unknown class code",IF(OR(C797="",D797=""),"Missing shares or date",IF(OR(C797&lt;0,C797&lt;&gt;INT(C797)),"Shares must be a whole number",IF(COUNTIFS($A$4:$A$2503,A797,$B$4:$B$2503,B797,$D$4:$D$2503,D797)&gt;1,"Duplicate row (same date)","OK"))))))</f>
        <v/>
      </c>
    </row>
    <row r="798">
      <c r="A798" s="26" t="n"/>
      <c r="B798" s="26" t="n"/>
      <c r="C798" s="34" t="n"/>
      <c r="D798" s="28" t="n"/>
      <c r="E798" s="26" t="n"/>
      <c r="F798" s="26" t="n"/>
      <c r="G798" s="26" t="n"/>
      <c r="H798" s="38" t="n"/>
      <c r="I798" s="28" t="n"/>
      <c r="J798" s="30">
        <f>IF(B798="","",IFERROR(INDEX('Share classes'!$A$4:$A$203,MATCH(B798,'Share classes'!$B$4:$B$203,0)),""))</f>
        <v/>
      </c>
      <c r="K798" s="30">
        <f>IF(A798="","",IFERROR(INDEX('Holders'!$B$4:$B$1003,MATCH(A798,'Holders'!$A$4:$A$1003,0)),""))</f>
        <v/>
      </c>
      <c r="L798" s="30">
        <f>IF(OR(A798="",B798="",D798=""),"",IF(D798=_xlfn.MAXIFS($D$4:$D$2503,$A$4:$A$2503,A798,$B$4:$B$2503,B798),"Yes","No"))</f>
        <v/>
      </c>
      <c r="M798" s="30">
        <f>IF(B798="","",IFERROR(INDEX('Share classes'!$F$4:$F$203,MATCH(B798,'Share classes'!$B$4:$B$203,0)),""))</f>
        <v/>
      </c>
      <c r="N798" s="30">
        <f>IF(A798="","",IF(K798="","Unknown holder ID",IF(J798="","Unknown class code",IF(OR(C798="",D798=""),"Missing shares or date",IF(OR(C798&lt;0,C798&lt;&gt;INT(C798)),"Shares must be a whole number",IF(COUNTIFS($A$4:$A$2503,A798,$B$4:$B$2503,B798,$D$4:$D$2503,D798)&gt;1,"Duplicate row (same date)","OK"))))))</f>
        <v/>
      </c>
    </row>
    <row r="799">
      <c r="A799" s="26" t="n"/>
      <c r="B799" s="26" t="n"/>
      <c r="C799" s="34" t="n"/>
      <c r="D799" s="28" t="n"/>
      <c r="E799" s="26" t="n"/>
      <c r="F799" s="26" t="n"/>
      <c r="G799" s="26" t="n"/>
      <c r="H799" s="38" t="n"/>
      <c r="I799" s="28" t="n"/>
      <c r="J799" s="30">
        <f>IF(B799="","",IFERROR(INDEX('Share classes'!$A$4:$A$203,MATCH(B799,'Share classes'!$B$4:$B$203,0)),""))</f>
        <v/>
      </c>
      <c r="K799" s="30">
        <f>IF(A799="","",IFERROR(INDEX('Holders'!$B$4:$B$1003,MATCH(A799,'Holders'!$A$4:$A$1003,0)),""))</f>
        <v/>
      </c>
      <c r="L799" s="30">
        <f>IF(OR(A799="",B799="",D799=""),"",IF(D799=_xlfn.MAXIFS($D$4:$D$2503,$A$4:$A$2503,A799,$B$4:$B$2503,B799),"Yes","No"))</f>
        <v/>
      </c>
      <c r="M799" s="30">
        <f>IF(B799="","",IFERROR(INDEX('Share classes'!$F$4:$F$203,MATCH(B799,'Share classes'!$B$4:$B$203,0)),""))</f>
        <v/>
      </c>
      <c r="N799" s="30">
        <f>IF(A799="","",IF(K799="","Unknown holder ID",IF(J799="","Unknown class code",IF(OR(C799="",D799=""),"Missing shares or date",IF(OR(C799&lt;0,C799&lt;&gt;INT(C799)),"Shares must be a whole number",IF(COUNTIFS($A$4:$A$2503,A799,$B$4:$B$2503,B799,$D$4:$D$2503,D799)&gt;1,"Duplicate row (same date)","OK"))))))</f>
        <v/>
      </c>
    </row>
    <row r="800">
      <c r="A800" s="26" t="n"/>
      <c r="B800" s="26" t="n"/>
      <c r="C800" s="34" t="n"/>
      <c r="D800" s="28" t="n"/>
      <c r="E800" s="26" t="n"/>
      <c r="F800" s="26" t="n"/>
      <c r="G800" s="26" t="n"/>
      <c r="H800" s="38" t="n"/>
      <c r="I800" s="28" t="n"/>
      <c r="J800" s="30">
        <f>IF(B800="","",IFERROR(INDEX('Share classes'!$A$4:$A$203,MATCH(B800,'Share classes'!$B$4:$B$203,0)),""))</f>
        <v/>
      </c>
      <c r="K800" s="30">
        <f>IF(A800="","",IFERROR(INDEX('Holders'!$B$4:$B$1003,MATCH(A800,'Holders'!$A$4:$A$1003,0)),""))</f>
        <v/>
      </c>
      <c r="L800" s="30">
        <f>IF(OR(A800="",B800="",D800=""),"",IF(D800=_xlfn.MAXIFS($D$4:$D$2503,$A$4:$A$2503,A800,$B$4:$B$2503,B800),"Yes","No"))</f>
        <v/>
      </c>
      <c r="M800" s="30">
        <f>IF(B800="","",IFERROR(INDEX('Share classes'!$F$4:$F$203,MATCH(B800,'Share classes'!$B$4:$B$203,0)),""))</f>
        <v/>
      </c>
      <c r="N800" s="30">
        <f>IF(A800="","",IF(K800="","Unknown holder ID",IF(J800="","Unknown class code",IF(OR(C800="",D800=""),"Missing shares or date",IF(OR(C800&lt;0,C800&lt;&gt;INT(C800)),"Shares must be a whole number",IF(COUNTIFS($A$4:$A$2503,A800,$B$4:$B$2503,B800,$D$4:$D$2503,D800)&gt;1,"Duplicate row (same date)","OK"))))))</f>
        <v/>
      </c>
    </row>
    <row r="801">
      <c r="A801" s="26" t="n"/>
      <c r="B801" s="26" t="n"/>
      <c r="C801" s="34" t="n"/>
      <c r="D801" s="28" t="n"/>
      <c r="E801" s="26" t="n"/>
      <c r="F801" s="26" t="n"/>
      <c r="G801" s="26" t="n"/>
      <c r="H801" s="38" t="n"/>
      <c r="I801" s="28" t="n"/>
      <c r="J801" s="30">
        <f>IF(B801="","",IFERROR(INDEX('Share classes'!$A$4:$A$203,MATCH(B801,'Share classes'!$B$4:$B$203,0)),""))</f>
        <v/>
      </c>
      <c r="K801" s="30">
        <f>IF(A801="","",IFERROR(INDEX('Holders'!$B$4:$B$1003,MATCH(A801,'Holders'!$A$4:$A$1003,0)),""))</f>
        <v/>
      </c>
      <c r="L801" s="30">
        <f>IF(OR(A801="",B801="",D801=""),"",IF(D801=_xlfn.MAXIFS($D$4:$D$2503,$A$4:$A$2503,A801,$B$4:$B$2503,B801),"Yes","No"))</f>
        <v/>
      </c>
      <c r="M801" s="30">
        <f>IF(B801="","",IFERROR(INDEX('Share classes'!$F$4:$F$203,MATCH(B801,'Share classes'!$B$4:$B$203,0)),""))</f>
        <v/>
      </c>
      <c r="N801" s="30">
        <f>IF(A801="","",IF(K801="","Unknown holder ID",IF(J801="","Unknown class code",IF(OR(C801="",D801=""),"Missing shares or date",IF(OR(C801&lt;0,C801&lt;&gt;INT(C801)),"Shares must be a whole number",IF(COUNTIFS($A$4:$A$2503,A801,$B$4:$B$2503,B801,$D$4:$D$2503,D801)&gt;1,"Duplicate row (same date)","OK"))))))</f>
        <v/>
      </c>
    </row>
    <row r="802">
      <c r="A802" s="26" t="n"/>
      <c r="B802" s="26" t="n"/>
      <c r="C802" s="34" t="n"/>
      <c r="D802" s="28" t="n"/>
      <c r="E802" s="26" t="n"/>
      <c r="F802" s="26" t="n"/>
      <c r="G802" s="26" t="n"/>
      <c r="H802" s="38" t="n"/>
      <c r="I802" s="28" t="n"/>
      <c r="J802" s="30">
        <f>IF(B802="","",IFERROR(INDEX('Share classes'!$A$4:$A$203,MATCH(B802,'Share classes'!$B$4:$B$203,0)),""))</f>
        <v/>
      </c>
      <c r="K802" s="30">
        <f>IF(A802="","",IFERROR(INDEX('Holders'!$B$4:$B$1003,MATCH(A802,'Holders'!$A$4:$A$1003,0)),""))</f>
        <v/>
      </c>
      <c r="L802" s="30">
        <f>IF(OR(A802="",B802="",D802=""),"",IF(D802=_xlfn.MAXIFS($D$4:$D$2503,$A$4:$A$2503,A802,$B$4:$B$2503,B802),"Yes","No"))</f>
        <v/>
      </c>
      <c r="M802" s="30">
        <f>IF(B802="","",IFERROR(INDEX('Share classes'!$F$4:$F$203,MATCH(B802,'Share classes'!$B$4:$B$203,0)),""))</f>
        <v/>
      </c>
      <c r="N802" s="30">
        <f>IF(A802="","",IF(K802="","Unknown holder ID",IF(J802="","Unknown class code",IF(OR(C802="",D802=""),"Missing shares or date",IF(OR(C802&lt;0,C802&lt;&gt;INT(C802)),"Shares must be a whole number",IF(COUNTIFS($A$4:$A$2503,A802,$B$4:$B$2503,B802,$D$4:$D$2503,D802)&gt;1,"Duplicate row (same date)","OK"))))))</f>
        <v/>
      </c>
    </row>
    <row r="803">
      <c r="A803" s="26" t="n"/>
      <c r="B803" s="26" t="n"/>
      <c r="C803" s="34" t="n"/>
      <c r="D803" s="28" t="n"/>
      <c r="E803" s="26" t="n"/>
      <c r="F803" s="26" t="n"/>
      <c r="G803" s="26" t="n"/>
      <c r="H803" s="38" t="n"/>
      <c r="I803" s="28" t="n"/>
      <c r="J803" s="30">
        <f>IF(B803="","",IFERROR(INDEX('Share classes'!$A$4:$A$203,MATCH(B803,'Share classes'!$B$4:$B$203,0)),""))</f>
        <v/>
      </c>
      <c r="K803" s="30">
        <f>IF(A803="","",IFERROR(INDEX('Holders'!$B$4:$B$1003,MATCH(A803,'Holders'!$A$4:$A$1003,0)),""))</f>
        <v/>
      </c>
      <c r="L803" s="30">
        <f>IF(OR(A803="",B803="",D803=""),"",IF(D803=_xlfn.MAXIFS($D$4:$D$2503,$A$4:$A$2503,A803,$B$4:$B$2503,B803),"Yes","No"))</f>
        <v/>
      </c>
      <c r="M803" s="30">
        <f>IF(B803="","",IFERROR(INDEX('Share classes'!$F$4:$F$203,MATCH(B803,'Share classes'!$B$4:$B$203,0)),""))</f>
        <v/>
      </c>
      <c r="N803" s="30">
        <f>IF(A803="","",IF(K803="","Unknown holder ID",IF(J803="","Unknown class code",IF(OR(C803="",D803=""),"Missing shares or date",IF(OR(C803&lt;0,C803&lt;&gt;INT(C803)),"Shares must be a whole number",IF(COUNTIFS($A$4:$A$2503,A803,$B$4:$B$2503,B803,$D$4:$D$2503,D803)&gt;1,"Duplicate row (same date)","OK"))))))</f>
        <v/>
      </c>
    </row>
    <row r="804">
      <c r="A804" s="26" t="n"/>
      <c r="B804" s="26" t="n"/>
      <c r="C804" s="34" t="n"/>
      <c r="D804" s="28" t="n"/>
      <c r="E804" s="26" t="n"/>
      <c r="F804" s="26" t="n"/>
      <c r="G804" s="26" t="n"/>
      <c r="H804" s="38" t="n"/>
      <c r="I804" s="28" t="n"/>
      <c r="J804" s="30">
        <f>IF(B804="","",IFERROR(INDEX('Share classes'!$A$4:$A$203,MATCH(B804,'Share classes'!$B$4:$B$203,0)),""))</f>
        <v/>
      </c>
      <c r="K804" s="30">
        <f>IF(A804="","",IFERROR(INDEX('Holders'!$B$4:$B$1003,MATCH(A804,'Holders'!$A$4:$A$1003,0)),""))</f>
        <v/>
      </c>
      <c r="L804" s="30">
        <f>IF(OR(A804="",B804="",D804=""),"",IF(D804=_xlfn.MAXIFS($D$4:$D$2503,$A$4:$A$2503,A804,$B$4:$B$2503,B804),"Yes","No"))</f>
        <v/>
      </c>
      <c r="M804" s="30">
        <f>IF(B804="","",IFERROR(INDEX('Share classes'!$F$4:$F$203,MATCH(B804,'Share classes'!$B$4:$B$203,0)),""))</f>
        <v/>
      </c>
      <c r="N804" s="30">
        <f>IF(A804="","",IF(K804="","Unknown holder ID",IF(J804="","Unknown class code",IF(OR(C804="",D804=""),"Missing shares or date",IF(OR(C804&lt;0,C804&lt;&gt;INT(C804)),"Shares must be a whole number",IF(COUNTIFS($A$4:$A$2503,A804,$B$4:$B$2503,B804,$D$4:$D$2503,D804)&gt;1,"Duplicate row (same date)","OK"))))))</f>
        <v/>
      </c>
    </row>
    <row r="805">
      <c r="A805" s="26" t="n"/>
      <c r="B805" s="26" t="n"/>
      <c r="C805" s="34" t="n"/>
      <c r="D805" s="28" t="n"/>
      <c r="E805" s="26" t="n"/>
      <c r="F805" s="26" t="n"/>
      <c r="G805" s="26" t="n"/>
      <c r="H805" s="38" t="n"/>
      <c r="I805" s="28" t="n"/>
      <c r="J805" s="30">
        <f>IF(B805="","",IFERROR(INDEX('Share classes'!$A$4:$A$203,MATCH(B805,'Share classes'!$B$4:$B$203,0)),""))</f>
        <v/>
      </c>
      <c r="K805" s="30">
        <f>IF(A805="","",IFERROR(INDEX('Holders'!$B$4:$B$1003,MATCH(A805,'Holders'!$A$4:$A$1003,0)),""))</f>
        <v/>
      </c>
      <c r="L805" s="30">
        <f>IF(OR(A805="",B805="",D805=""),"",IF(D805=_xlfn.MAXIFS($D$4:$D$2503,$A$4:$A$2503,A805,$B$4:$B$2503,B805),"Yes","No"))</f>
        <v/>
      </c>
      <c r="M805" s="30">
        <f>IF(B805="","",IFERROR(INDEX('Share classes'!$F$4:$F$203,MATCH(B805,'Share classes'!$B$4:$B$203,0)),""))</f>
        <v/>
      </c>
      <c r="N805" s="30">
        <f>IF(A805="","",IF(K805="","Unknown holder ID",IF(J805="","Unknown class code",IF(OR(C805="",D805=""),"Missing shares or date",IF(OR(C805&lt;0,C805&lt;&gt;INT(C805)),"Shares must be a whole number",IF(COUNTIFS($A$4:$A$2503,A805,$B$4:$B$2503,B805,$D$4:$D$2503,D805)&gt;1,"Duplicate row (same date)","OK"))))))</f>
        <v/>
      </c>
    </row>
    <row r="806">
      <c r="A806" s="26" t="n"/>
      <c r="B806" s="26" t="n"/>
      <c r="C806" s="34" t="n"/>
      <c r="D806" s="28" t="n"/>
      <c r="E806" s="26" t="n"/>
      <c r="F806" s="26" t="n"/>
      <c r="G806" s="26" t="n"/>
      <c r="H806" s="38" t="n"/>
      <c r="I806" s="28" t="n"/>
      <c r="J806" s="30">
        <f>IF(B806="","",IFERROR(INDEX('Share classes'!$A$4:$A$203,MATCH(B806,'Share classes'!$B$4:$B$203,0)),""))</f>
        <v/>
      </c>
      <c r="K806" s="30">
        <f>IF(A806="","",IFERROR(INDEX('Holders'!$B$4:$B$1003,MATCH(A806,'Holders'!$A$4:$A$1003,0)),""))</f>
        <v/>
      </c>
      <c r="L806" s="30">
        <f>IF(OR(A806="",B806="",D806=""),"",IF(D806=_xlfn.MAXIFS($D$4:$D$2503,$A$4:$A$2503,A806,$B$4:$B$2503,B806),"Yes","No"))</f>
        <v/>
      </c>
      <c r="M806" s="30">
        <f>IF(B806="","",IFERROR(INDEX('Share classes'!$F$4:$F$203,MATCH(B806,'Share classes'!$B$4:$B$203,0)),""))</f>
        <v/>
      </c>
      <c r="N806" s="30">
        <f>IF(A806="","",IF(K806="","Unknown holder ID",IF(J806="","Unknown class code",IF(OR(C806="",D806=""),"Missing shares or date",IF(OR(C806&lt;0,C806&lt;&gt;INT(C806)),"Shares must be a whole number",IF(COUNTIFS($A$4:$A$2503,A806,$B$4:$B$2503,B806,$D$4:$D$2503,D806)&gt;1,"Duplicate row (same date)","OK"))))))</f>
        <v/>
      </c>
    </row>
    <row r="807">
      <c r="A807" s="26" t="n"/>
      <c r="B807" s="26" t="n"/>
      <c r="C807" s="34" t="n"/>
      <c r="D807" s="28" t="n"/>
      <c r="E807" s="26" t="n"/>
      <c r="F807" s="26" t="n"/>
      <c r="G807" s="26" t="n"/>
      <c r="H807" s="38" t="n"/>
      <c r="I807" s="28" t="n"/>
      <c r="J807" s="30">
        <f>IF(B807="","",IFERROR(INDEX('Share classes'!$A$4:$A$203,MATCH(B807,'Share classes'!$B$4:$B$203,0)),""))</f>
        <v/>
      </c>
      <c r="K807" s="30">
        <f>IF(A807="","",IFERROR(INDEX('Holders'!$B$4:$B$1003,MATCH(A807,'Holders'!$A$4:$A$1003,0)),""))</f>
        <v/>
      </c>
      <c r="L807" s="30">
        <f>IF(OR(A807="",B807="",D807=""),"",IF(D807=_xlfn.MAXIFS($D$4:$D$2503,$A$4:$A$2503,A807,$B$4:$B$2503,B807),"Yes","No"))</f>
        <v/>
      </c>
      <c r="M807" s="30">
        <f>IF(B807="","",IFERROR(INDEX('Share classes'!$F$4:$F$203,MATCH(B807,'Share classes'!$B$4:$B$203,0)),""))</f>
        <v/>
      </c>
      <c r="N807" s="30">
        <f>IF(A807="","",IF(K807="","Unknown holder ID",IF(J807="","Unknown class code",IF(OR(C807="",D807=""),"Missing shares or date",IF(OR(C807&lt;0,C807&lt;&gt;INT(C807)),"Shares must be a whole number",IF(COUNTIFS($A$4:$A$2503,A807,$B$4:$B$2503,B807,$D$4:$D$2503,D807)&gt;1,"Duplicate row (same date)","OK"))))))</f>
        <v/>
      </c>
    </row>
    <row r="808">
      <c r="A808" s="26" t="n"/>
      <c r="B808" s="26" t="n"/>
      <c r="C808" s="34" t="n"/>
      <c r="D808" s="28" t="n"/>
      <c r="E808" s="26" t="n"/>
      <c r="F808" s="26" t="n"/>
      <c r="G808" s="26" t="n"/>
      <c r="H808" s="38" t="n"/>
      <c r="I808" s="28" t="n"/>
      <c r="J808" s="30">
        <f>IF(B808="","",IFERROR(INDEX('Share classes'!$A$4:$A$203,MATCH(B808,'Share classes'!$B$4:$B$203,0)),""))</f>
        <v/>
      </c>
      <c r="K808" s="30">
        <f>IF(A808="","",IFERROR(INDEX('Holders'!$B$4:$B$1003,MATCH(A808,'Holders'!$A$4:$A$1003,0)),""))</f>
        <v/>
      </c>
      <c r="L808" s="30">
        <f>IF(OR(A808="",B808="",D808=""),"",IF(D808=_xlfn.MAXIFS($D$4:$D$2503,$A$4:$A$2503,A808,$B$4:$B$2503,B808),"Yes","No"))</f>
        <v/>
      </c>
      <c r="M808" s="30">
        <f>IF(B808="","",IFERROR(INDEX('Share classes'!$F$4:$F$203,MATCH(B808,'Share classes'!$B$4:$B$203,0)),""))</f>
        <v/>
      </c>
      <c r="N808" s="30">
        <f>IF(A808="","",IF(K808="","Unknown holder ID",IF(J808="","Unknown class code",IF(OR(C808="",D808=""),"Missing shares or date",IF(OR(C808&lt;0,C808&lt;&gt;INT(C808)),"Shares must be a whole number",IF(COUNTIFS($A$4:$A$2503,A808,$B$4:$B$2503,B808,$D$4:$D$2503,D808)&gt;1,"Duplicate row (same date)","OK"))))))</f>
        <v/>
      </c>
    </row>
    <row r="809">
      <c r="A809" s="26" t="n"/>
      <c r="B809" s="26" t="n"/>
      <c r="C809" s="34" t="n"/>
      <c r="D809" s="28" t="n"/>
      <c r="E809" s="26" t="n"/>
      <c r="F809" s="26" t="n"/>
      <c r="G809" s="26" t="n"/>
      <c r="H809" s="38" t="n"/>
      <c r="I809" s="28" t="n"/>
      <c r="J809" s="30">
        <f>IF(B809="","",IFERROR(INDEX('Share classes'!$A$4:$A$203,MATCH(B809,'Share classes'!$B$4:$B$203,0)),""))</f>
        <v/>
      </c>
      <c r="K809" s="30">
        <f>IF(A809="","",IFERROR(INDEX('Holders'!$B$4:$B$1003,MATCH(A809,'Holders'!$A$4:$A$1003,0)),""))</f>
        <v/>
      </c>
      <c r="L809" s="30">
        <f>IF(OR(A809="",B809="",D809=""),"",IF(D809=_xlfn.MAXIFS($D$4:$D$2503,$A$4:$A$2503,A809,$B$4:$B$2503,B809),"Yes","No"))</f>
        <v/>
      </c>
      <c r="M809" s="30">
        <f>IF(B809="","",IFERROR(INDEX('Share classes'!$F$4:$F$203,MATCH(B809,'Share classes'!$B$4:$B$203,0)),""))</f>
        <v/>
      </c>
      <c r="N809" s="30">
        <f>IF(A809="","",IF(K809="","Unknown holder ID",IF(J809="","Unknown class code",IF(OR(C809="",D809=""),"Missing shares or date",IF(OR(C809&lt;0,C809&lt;&gt;INT(C809)),"Shares must be a whole number",IF(COUNTIFS($A$4:$A$2503,A809,$B$4:$B$2503,B809,$D$4:$D$2503,D809)&gt;1,"Duplicate row (same date)","OK"))))))</f>
        <v/>
      </c>
    </row>
    <row r="810">
      <c r="A810" s="26" t="n"/>
      <c r="B810" s="26" t="n"/>
      <c r="C810" s="34" t="n"/>
      <c r="D810" s="28" t="n"/>
      <c r="E810" s="26" t="n"/>
      <c r="F810" s="26" t="n"/>
      <c r="G810" s="26" t="n"/>
      <c r="H810" s="38" t="n"/>
      <c r="I810" s="28" t="n"/>
      <c r="J810" s="30">
        <f>IF(B810="","",IFERROR(INDEX('Share classes'!$A$4:$A$203,MATCH(B810,'Share classes'!$B$4:$B$203,0)),""))</f>
        <v/>
      </c>
      <c r="K810" s="30">
        <f>IF(A810="","",IFERROR(INDEX('Holders'!$B$4:$B$1003,MATCH(A810,'Holders'!$A$4:$A$1003,0)),""))</f>
        <v/>
      </c>
      <c r="L810" s="30">
        <f>IF(OR(A810="",B810="",D810=""),"",IF(D810=_xlfn.MAXIFS($D$4:$D$2503,$A$4:$A$2503,A810,$B$4:$B$2503,B810),"Yes","No"))</f>
        <v/>
      </c>
      <c r="M810" s="30">
        <f>IF(B810="","",IFERROR(INDEX('Share classes'!$F$4:$F$203,MATCH(B810,'Share classes'!$B$4:$B$203,0)),""))</f>
        <v/>
      </c>
      <c r="N810" s="30">
        <f>IF(A810="","",IF(K810="","Unknown holder ID",IF(J810="","Unknown class code",IF(OR(C810="",D810=""),"Missing shares or date",IF(OR(C810&lt;0,C810&lt;&gt;INT(C810)),"Shares must be a whole number",IF(COUNTIFS($A$4:$A$2503,A810,$B$4:$B$2503,B810,$D$4:$D$2503,D810)&gt;1,"Duplicate row (same date)","OK"))))))</f>
        <v/>
      </c>
    </row>
    <row r="811">
      <c r="A811" s="26" t="n"/>
      <c r="B811" s="26" t="n"/>
      <c r="C811" s="34" t="n"/>
      <c r="D811" s="28" t="n"/>
      <c r="E811" s="26" t="n"/>
      <c r="F811" s="26" t="n"/>
      <c r="G811" s="26" t="n"/>
      <c r="H811" s="38" t="n"/>
      <c r="I811" s="28" t="n"/>
      <c r="J811" s="30">
        <f>IF(B811="","",IFERROR(INDEX('Share classes'!$A$4:$A$203,MATCH(B811,'Share classes'!$B$4:$B$203,0)),""))</f>
        <v/>
      </c>
      <c r="K811" s="30">
        <f>IF(A811="","",IFERROR(INDEX('Holders'!$B$4:$B$1003,MATCH(A811,'Holders'!$A$4:$A$1003,0)),""))</f>
        <v/>
      </c>
      <c r="L811" s="30">
        <f>IF(OR(A811="",B811="",D811=""),"",IF(D811=_xlfn.MAXIFS($D$4:$D$2503,$A$4:$A$2503,A811,$B$4:$B$2503,B811),"Yes","No"))</f>
        <v/>
      </c>
      <c r="M811" s="30">
        <f>IF(B811="","",IFERROR(INDEX('Share classes'!$F$4:$F$203,MATCH(B811,'Share classes'!$B$4:$B$203,0)),""))</f>
        <v/>
      </c>
      <c r="N811" s="30">
        <f>IF(A811="","",IF(K811="","Unknown holder ID",IF(J811="","Unknown class code",IF(OR(C811="",D811=""),"Missing shares or date",IF(OR(C811&lt;0,C811&lt;&gt;INT(C811)),"Shares must be a whole number",IF(COUNTIFS($A$4:$A$2503,A811,$B$4:$B$2503,B811,$D$4:$D$2503,D811)&gt;1,"Duplicate row (same date)","OK"))))))</f>
        <v/>
      </c>
    </row>
    <row r="812">
      <c r="A812" s="26" t="n"/>
      <c r="B812" s="26" t="n"/>
      <c r="C812" s="34" t="n"/>
      <c r="D812" s="28" t="n"/>
      <c r="E812" s="26" t="n"/>
      <c r="F812" s="26" t="n"/>
      <c r="G812" s="26" t="n"/>
      <c r="H812" s="38" t="n"/>
      <c r="I812" s="28" t="n"/>
      <c r="J812" s="30">
        <f>IF(B812="","",IFERROR(INDEX('Share classes'!$A$4:$A$203,MATCH(B812,'Share classes'!$B$4:$B$203,0)),""))</f>
        <v/>
      </c>
      <c r="K812" s="30">
        <f>IF(A812="","",IFERROR(INDEX('Holders'!$B$4:$B$1003,MATCH(A812,'Holders'!$A$4:$A$1003,0)),""))</f>
        <v/>
      </c>
      <c r="L812" s="30">
        <f>IF(OR(A812="",B812="",D812=""),"",IF(D812=_xlfn.MAXIFS($D$4:$D$2503,$A$4:$A$2503,A812,$B$4:$B$2503,B812),"Yes","No"))</f>
        <v/>
      </c>
      <c r="M812" s="30">
        <f>IF(B812="","",IFERROR(INDEX('Share classes'!$F$4:$F$203,MATCH(B812,'Share classes'!$B$4:$B$203,0)),""))</f>
        <v/>
      </c>
      <c r="N812" s="30">
        <f>IF(A812="","",IF(K812="","Unknown holder ID",IF(J812="","Unknown class code",IF(OR(C812="",D812=""),"Missing shares or date",IF(OR(C812&lt;0,C812&lt;&gt;INT(C812)),"Shares must be a whole number",IF(COUNTIFS($A$4:$A$2503,A812,$B$4:$B$2503,B812,$D$4:$D$2503,D812)&gt;1,"Duplicate row (same date)","OK"))))))</f>
        <v/>
      </c>
    </row>
    <row r="813">
      <c r="A813" s="26" t="n"/>
      <c r="B813" s="26" t="n"/>
      <c r="C813" s="34" t="n"/>
      <c r="D813" s="28" t="n"/>
      <c r="E813" s="26" t="n"/>
      <c r="F813" s="26" t="n"/>
      <c r="G813" s="26" t="n"/>
      <c r="H813" s="38" t="n"/>
      <c r="I813" s="28" t="n"/>
      <c r="J813" s="30">
        <f>IF(B813="","",IFERROR(INDEX('Share classes'!$A$4:$A$203,MATCH(B813,'Share classes'!$B$4:$B$203,0)),""))</f>
        <v/>
      </c>
      <c r="K813" s="30">
        <f>IF(A813="","",IFERROR(INDEX('Holders'!$B$4:$B$1003,MATCH(A813,'Holders'!$A$4:$A$1003,0)),""))</f>
        <v/>
      </c>
      <c r="L813" s="30">
        <f>IF(OR(A813="",B813="",D813=""),"",IF(D813=_xlfn.MAXIFS($D$4:$D$2503,$A$4:$A$2503,A813,$B$4:$B$2503,B813),"Yes","No"))</f>
        <v/>
      </c>
      <c r="M813" s="30">
        <f>IF(B813="","",IFERROR(INDEX('Share classes'!$F$4:$F$203,MATCH(B813,'Share classes'!$B$4:$B$203,0)),""))</f>
        <v/>
      </c>
      <c r="N813" s="30">
        <f>IF(A813="","",IF(K813="","Unknown holder ID",IF(J813="","Unknown class code",IF(OR(C813="",D813=""),"Missing shares or date",IF(OR(C813&lt;0,C813&lt;&gt;INT(C813)),"Shares must be a whole number",IF(COUNTIFS($A$4:$A$2503,A813,$B$4:$B$2503,B813,$D$4:$D$2503,D813)&gt;1,"Duplicate row (same date)","OK"))))))</f>
        <v/>
      </c>
    </row>
    <row r="814">
      <c r="A814" s="26" t="n"/>
      <c r="B814" s="26" t="n"/>
      <c r="C814" s="34" t="n"/>
      <c r="D814" s="28" t="n"/>
      <c r="E814" s="26" t="n"/>
      <c r="F814" s="26" t="n"/>
      <c r="G814" s="26" t="n"/>
      <c r="H814" s="38" t="n"/>
      <c r="I814" s="28" t="n"/>
      <c r="J814" s="30">
        <f>IF(B814="","",IFERROR(INDEX('Share classes'!$A$4:$A$203,MATCH(B814,'Share classes'!$B$4:$B$203,0)),""))</f>
        <v/>
      </c>
      <c r="K814" s="30">
        <f>IF(A814="","",IFERROR(INDEX('Holders'!$B$4:$B$1003,MATCH(A814,'Holders'!$A$4:$A$1003,0)),""))</f>
        <v/>
      </c>
      <c r="L814" s="30">
        <f>IF(OR(A814="",B814="",D814=""),"",IF(D814=_xlfn.MAXIFS($D$4:$D$2503,$A$4:$A$2503,A814,$B$4:$B$2503,B814),"Yes","No"))</f>
        <v/>
      </c>
      <c r="M814" s="30">
        <f>IF(B814="","",IFERROR(INDEX('Share classes'!$F$4:$F$203,MATCH(B814,'Share classes'!$B$4:$B$203,0)),""))</f>
        <v/>
      </c>
      <c r="N814" s="30">
        <f>IF(A814="","",IF(K814="","Unknown holder ID",IF(J814="","Unknown class code",IF(OR(C814="",D814=""),"Missing shares or date",IF(OR(C814&lt;0,C814&lt;&gt;INT(C814)),"Shares must be a whole number",IF(COUNTIFS($A$4:$A$2503,A814,$B$4:$B$2503,B814,$D$4:$D$2503,D814)&gt;1,"Duplicate row (same date)","OK"))))))</f>
        <v/>
      </c>
    </row>
    <row r="815">
      <c r="A815" s="26" t="n"/>
      <c r="B815" s="26" t="n"/>
      <c r="C815" s="34" t="n"/>
      <c r="D815" s="28" t="n"/>
      <c r="E815" s="26" t="n"/>
      <c r="F815" s="26" t="n"/>
      <c r="G815" s="26" t="n"/>
      <c r="H815" s="38" t="n"/>
      <c r="I815" s="28" t="n"/>
      <c r="J815" s="30">
        <f>IF(B815="","",IFERROR(INDEX('Share classes'!$A$4:$A$203,MATCH(B815,'Share classes'!$B$4:$B$203,0)),""))</f>
        <v/>
      </c>
      <c r="K815" s="30">
        <f>IF(A815="","",IFERROR(INDEX('Holders'!$B$4:$B$1003,MATCH(A815,'Holders'!$A$4:$A$1003,0)),""))</f>
        <v/>
      </c>
      <c r="L815" s="30">
        <f>IF(OR(A815="",B815="",D815=""),"",IF(D815=_xlfn.MAXIFS($D$4:$D$2503,$A$4:$A$2503,A815,$B$4:$B$2503,B815),"Yes","No"))</f>
        <v/>
      </c>
      <c r="M815" s="30">
        <f>IF(B815="","",IFERROR(INDEX('Share classes'!$F$4:$F$203,MATCH(B815,'Share classes'!$B$4:$B$203,0)),""))</f>
        <v/>
      </c>
      <c r="N815" s="30">
        <f>IF(A815="","",IF(K815="","Unknown holder ID",IF(J815="","Unknown class code",IF(OR(C815="",D815=""),"Missing shares or date",IF(OR(C815&lt;0,C815&lt;&gt;INT(C815)),"Shares must be a whole number",IF(COUNTIFS($A$4:$A$2503,A815,$B$4:$B$2503,B815,$D$4:$D$2503,D815)&gt;1,"Duplicate row (same date)","OK"))))))</f>
        <v/>
      </c>
    </row>
    <row r="816">
      <c r="A816" s="26" t="n"/>
      <c r="B816" s="26" t="n"/>
      <c r="C816" s="34" t="n"/>
      <c r="D816" s="28" t="n"/>
      <c r="E816" s="26" t="n"/>
      <c r="F816" s="26" t="n"/>
      <c r="G816" s="26" t="n"/>
      <c r="H816" s="38" t="n"/>
      <c r="I816" s="28" t="n"/>
      <c r="J816" s="30">
        <f>IF(B816="","",IFERROR(INDEX('Share classes'!$A$4:$A$203,MATCH(B816,'Share classes'!$B$4:$B$203,0)),""))</f>
        <v/>
      </c>
      <c r="K816" s="30">
        <f>IF(A816="","",IFERROR(INDEX('Holders'!$B$4:$B$1003,MATCH(A816,'Holders'!$A$4:$A$1003,0)),""))</f>
        <v/>
      </c>
      <c r="L816" s="30">
        <f>IF(OR(A816="",B816="",D816=""),"",IF(D816=_xlfn.MAXIFS($D$4:$D$2503,$A$4:$A$2503,A816,$B$4:$B$2503,B816),"Yes","No"))</f>
        <v/>
      </c>
      <c r="M816" s="30">
        <f>IF(B816="","",IFERROR(INDEX('Share classes'!$F$4:$F$203,MATCH(B816,'Share classes'!$B$4:$B$203,0)),""))</f>
        <v/>
      </c>
      <c r="N816" s="30">
        <f>IF(A816="","",IF(K816="","Unknown holder ID",IF(J816="","Unknown class code",IF(OR(C816="",D816=""),"Missing shares or date",IF(OR(C816&lt;0,C816&lt;&gt;INT(C816)),"Shares must be a whole number",IF(COUNTIFS($A$4:$A$2503,A816,$B$4:$B$2503,B816,$D$4:$D$2503,D816)&gt;1,"Duplicate row (same date)","OK"))))))</f>
        <v/>
      </c>
    </row>
    <row r="817">
      <c r="A817" s="26" t="n"/>
      <c r="B817" s="26" t="n"/>
      <c r="C817" s="34" t="n"/>
      <c r="D817" s="28" t="n"/>
      <c r="E817" s="26" t="n"/>
      <c r="F817" s="26" t="n"/>
      <c r="G817" s="26" t="n"/>
      <c r="H817" s="38" t="n"/>
      <c r="I817" s="28" t="n"/>
      <c r="J817" s="30">
        <f>IF(B817="","",IFERROR(INDEX('Share classes'!$A$4:$A$203,MATCH(B817,'Share classes'!$B$4:$B$203,0)),""))</f>
        <v/>
      </c>
      <c r="K817" s="30">
        <f>IF(A817="","",IFERROR(INDEX('Holders'!$B$4:$B$1003,MATCH(A817,'Holders'!$A$4:$A$1003,0)),""))</f>
        <v/>
      </c>
      <c r="L817" s="30">
        <f>IF(OR(A817="",B817="",D817=""),"",IF(D817=_xlfn.MAXIFS($D$4:$D$2503,$A$4:$A$2503,A817,$B$4:$B$2503,B817),"Yes","No"))</f>
        <v/>
      </c>
      <c r="M817" s="30">
        <f>IF(B817="","",IFERROR(INDEX('Share classes'!$F$4:$F$203,MATCH(B817,'Share classes'!$B$4:$B$203,0)),""))</f>
        <v/>
      </c>
      <c r="N817" s="30">
        <f>IF(A817="","",IF(K817="","Unknown holder ID",IF(J817="","Unknown class code",IF(OR(C817="",D817=""),"Missing shares or date",IF(OR(C817&lt;0,C817&lt;&gt;INT(C817)),"Shares must be a whole number",IF(COUNTIFS($A$4:$A$2503,A817,$B$4:$B$2503,B817,$D$4:$D$2503,D817)&gt;1,"Duplicate row (same date)","OK"))))))</f>
        <v/>
      </c>
    </row>
    <row r="818">
      <c r="A818" s="26" t="n"/>
      <c r="B818" s="26" t="n"/>
      <c r="C818" s="34" t="n"/>
      <c r="D818" s="28" t="n"/>
      <c r="E818" s="26" t="n"/>
      <c r="F818" s="26" t="n"/>
      <c r="G818" s="26" t="n"/>
      <c r="H818" s="38" t="n"/>
      <c r="I818" s="28" t="n"/>
      <c r="J818" s="30">
        <f>IF(B818="","",IFERROR(INDEX('Share classes'!$A$4:$A$203,MATCH(B818,'Share classes'!$B$4:$B$203,0)),""))</f>
        <v/>
      </c>
      <c r="K818" s="30">
        <f>IF(A818="","",IFERROR(INDEX('Holders'!$B$4:$B$1003,MATCH(A818,'Holders'!$A$4:$A$1003,0)),""))</f>
        <v/>
      </c>
      <c r="L818" s="30">
        <f>IF(OR(A818="",B818="",D818=""),"",IF(D818=_xlfn.MAXIFS($D$4:$D$2503,$A$4:$A$2503,A818,$B$4:$B$2503,B818),"Yes","No"))</f>
        <v/>
      </c>
      <c r="M818" s="30">
        <f>IF(B818="","",IFERROR(INDEX('Share classes'!$F$4:$F$203,MATCH(B818,'Share classes'!$B$4:$B$203,0)),""))</f>
        <v/>
      </c>
      <c r="N818" s="30">
        <f>IF(A818="","",IF(K818="","Unknown holder ID",IF(J818="","Unknown class code",IF(OR(C818="",D818=""),"Missing shares or date",IF(OR(C818&lt;0,C818&lt;&gt;INT(C818)),"Shares must be a whole number",IF(COUNTIFS($A$4:$A$2503,A818,$B$4:$B$2503,B818,$D$4:$D$2503,D818)&gt;1,"Duplicate row (same date)","OK"))))))</f>
        <v/>
      </c>
    </row>
    <row r="819">
      <c r="A819" s="26" t="n"/>
      <c r="B819" s="26" t="n"/>
      <c r="C819" s="34" t="n"/>
      <c r="D819" s="28" t="n"/>
      <c r="E819" s="26" t="n"/>
      <c r="F819" s="26" t="n"/>
      <c r="G819" s="26" t="n"/>
      <c r="H819" s="38" t="n"/>
      <c r="I819" s="28" t="n"/>
      <c r="J819" s="30">
        <f>IF(B819="","",IFERROR(INDEX('Share classes'!$A$4:$A$203,MATCH(B819,'Share classes'!$B$4:$B$203,0)),""))</f>
        <v/>
      </c>
      <c r="K819" s="30">
        <f>IF(A819="","",IFERROR(INDEX('Holders'!$B$4:$B$1003,MATCH(A819,'Holders'!$A$4:$A$1003,0)),""))</f>
        <v/>
      </c>
      <c r="L819" s="30">
        <f>IF(OR(A819="",B819="",D819=""),"",IF(D819=_xlfn.MAXIFS($D$4:$D$2503,$A$4:$A$2503,A819,$B$4:$B$2503,B819),"Yes","No"))</f>
        <v/>
      </c>
      <c r="M819" s="30">
        <f>IF(B819="","",IFERROR(INDEX('Share classes'!$F$4:$F$203,MATCH(B819,'Share classes'!$B$4:$B$203,0)),""))</f>
        <v/>
      </c>
      <c r="N819" s="30">
        <f>IF(A819="","",IF(K819="","Unknown holder ID",IF(J819="","Unknown class code",IF(OR(C819="",D819=""),"Missing shares or date",IF(OR(C819&lt;0,C819&lt;&gt;INT(C819)),"Shares must be a whole number",IF(COUNTIFS($A$4:$A$2503,A819,$B$4:$B$2503,B819,$D$4:$D$2503,D819)&gt;1,"Duplicate row (same date)","OK"))))))</f>
        <v/>
      </c>
    </row>
    <row r="820">
      <c r="A820" s="26" t="n"/>
      <c r="B820" s="26" t="n"/>
      <c r="C820" s="34" t="n"/>
      <c r="D820" s="28" t="n"/>
      <c r="E820" s="26" t="n"/>
      <c r="F820" s="26" t="n"/>
      <c r="G820" s="26" t="n"/>
      <c r="H820" s="38" t="n"/>
      <c r="I820" s="28" t="n"/>
      <c r="J820" s="30">
        <f>IF(B820="","",IFERROR(INDEX('Share classes'!$A$4:$A$203,MATCH(B820,'Share classes'!$B$4:$B$203,0)),""))</f>
        <v/>
      </c>
      <c r="K820" s="30">
        <f>IF(A820="","",IFERROR(INDEX('Holders'!$B$4:$B$1003,MATCH(A820,'Holders'!$A$4:$A$1003,0)),""))</f>
        <v/>
      </c>
      <c r="L820" s="30">
        <f>IF(OR(A820="",B820="",D820=""),"",IF(D820=_xlfn.MAXIFS($D$4:$D$2503,$A$4:$A$2503,A820,$B$4:$B$2503,B820),"Yes","No"))</f>
        <v/>
      </c>
      <c r="M820" s="30">
        <f>IF(B820="","",IFERROR(INDEX('Share classes'!$F$4:$F$203,MATCH(B820,'Share classes'!$B$4:$B$203,0)),""))</f>
        <v/>
      </c>
      <c r="N820" s="30">
        <f>IF(A820="","",IF(K820="","Unknown holder ID",IF(J820="","Unknown class code",IF(OR(C820="",D820=""),"Missing shares or date",IF(OR(C820&lt;0,C820&lt;&gt;INT(C820)),"Shares must be a whole number",IF(COUNTIFS($A$4:$A$2503,A820,$B$4:$B$2503,B820,$D$4:$D$2503,D820)&gt;1,"Duplicate row (same date)","OK"))))))</f>
        <v/>
      </c>
    </row>
    <row r="821">
      <c r="A821" s="26" t="n"/>
      <c r="B821" s="26" t="n"/>
      <c r="C821" s="34" t="n"/>
      <c r="D821" s="28" t="n"/>
      <c r="E821" s="26" t="n"/>
      <c r="F821" s="26" t="n"/>
      <c r="G821" s="26" t="n"/>
      <c r="H821" s="38" t="n"/>
      <c r="I821" s="28" t="n"/>
      <c r="J821" s="30">
        <f>IF(B821="","",IFERROR(INDEX('Share classes'!$A$4:$A$203,MATCH(B821,'Share classes'!$B$4:$B$203,0)),""))</f>
        <v/>
      </c>
      <c r="K821" s="30">
        <f>IF(A821="","",IFERROR(INDEX('Holders'!$B$4:$B$1003,MATCH(A821,'Holders'!$A$4:$A$1003,0)),""))</f>
        <v/>
      </c>
      <c r="L821" s="30">
        <f>IF(OR(A821="",B821="",D821=""),"",IF(D821=_xlfn.MAXIFS($D$4:$D$2503,$A$4:$A$2503,A821,$B$4:$B$2503,B821),"Yes","No"))</f>
        <v/>
      </c>
      <c r="M821" s="30">
        <f>IF(B821="","",IFERROR(INDEX('Share classes'!$F$4:$F$203,MATCH(B821,'Share classes'!$B$4:$B$203,0)),""))</f>
        <v/>
      </c>
      <c r="N821" s="30">
        <f>IF(A821="","",IF(K821="","Unknown holder ID",IF(J821="","Unknown class code",IF(OR(C821="",D821=""),"Missing shares or date",IF(OR(C821&lt;0,C821&lt;&gt;INT(C821)),"Shares must be a whole number",IF(COUNTIFS($A$4:$A$2503,A821,$B$4:$B$2503,B821,$D$4:$D$2503,D821)&gt;1,"Duplicate row (same date)","OK"))))))</f>
        <v/>
      </c>
    </row>
    <row r="822">
      <c r="A822" s="26" t="n"/>
      <c r="B822" s="26" t="n"/>
      <c r="C822" s="34" t="n"/>
      <c r="D822" s="28" t="n"/>
      <c r="E822" s="26" t="n"/>
      <c r="F822" s="26" t="n"/>
      <c r="G822" s="26" t="n"/>
      <c r="H822" s="38" t="n"/>
      <c r="I822" s="28" t="n"/>
      <c r="J822" s="30">
        <f>IF(B822="","",IFERROR(INDEX('Share classes'!$A$4:$A$203,MATCH(B822,'Share classes'!$B$4:$B$203,0)),""))</f>
        <v/>
      </c>
      <c r="K822" s="30">
        <f>IF(A822="","",IFERROR(INDEX('Holders'!$B$4:$B$1003,MATCH(A822,'Holders'!$A$4:$A$1003,0)),""))</f>
        <v/>
      </c>
      <c r="L822" s="30">
        <f>IF(OR(A822="",B822="",D822=""),"",IF(D822=_xlfn.MAXIFS($D$4:$D$2503,$A$4:$A$2503,A822,$B$4:$B$2503,B822),"Yes","No"))</f>
        <v/>
      </c>
      <c r="M822" s="30">
        <f>IF(B822="","",IFERROR(INDEX('Share classes'!$F$4:$F$203,MATCH(B822,'Share classes'!$B$4:$B$203,0)),""))</f>
        <v/>
      </c>
      <c r="N822" s="30">
        <f>IF(A822="","",IF(K822="","Unknown holder ID",IF(J822="","Unknown class code",IF(OR(C822="",D822=""),"Missing shares or date",IF(OR(C822&lt;0,C822&lt;&gt;INT(C822)),"Shares must be a whole number",IF(COUNTIFS($A$4:$A$2503,A822,$B$4:$B$2503,B822,$D$4:$D$2503,D822)&gt;1,"Duplicate row (same date)","OK"))))))</f>
        <v/>
      </c>
    </row>
    <row r="823">
      <c r="A823" s="26" t="n"/>
      <c r="B823" s="26" t="n"/>
      <c r="C823" s="34" t="n"/>
      <c r="D823" s="28" t="n"/>
      <c r="E823" s="26" t="n"/>
      <c r="F823" s="26" t="n"/>
      <c r="G823" s="26" t="n"/>
      <c r="H823" s="38" t="n"/>
      <c r="I823" s="28" t="n"/>
      <c r="J823" s="30">
        <f>IF(B823="","",IFERROR(INDEX('Share classes'!$A$4:$A$203,MATCH(B823,'Share classes'!$B$4:$B$203,0)),""))</f>
        <v/>
      </c>
      <c r="K823" s="30">
        <f>IF(A823="","",IFERROR(INDEX('Holders'!$B$4:$B$1003,MATCH(A823,'Holders'!$A$4:$A$1003,0)),""))</f>
        <v/>
      </c>
      <c r="L823" s="30">
        <f>IF(OR(A823="",B823="",D823=""),"",IF(D823=_xlfn.MAXIFS($D$4:$D$2503,$A$4:$A$2503,A823,$B$4:$B$2503,B823),"Yes","No"))</f>
        <v/>
      </c>
      <c r="M823" s="30">
        <f>IF(B823="","",IFERROR(INDEX('Share classes'!$F$4:$F$203,MATCH(B823,'Share classes'!$B$4:$B$203,0)),""))</f>
        <v/>
      </c>
      <c r="N823" s="30">
        <f>IF(A823="","",IF(K823="","Unknown holder ID",IF(J823="","Unknown class code",IF(OR(C823="",D823=""),"Missing shares or date",IF(OR(C823&lt;0,C823&lt;&gt;INT(C823)),"Shares must be a whole number",IF(COUNTIFS($A$4:$A$2503,A823,$B$4:$B$2503,B823,$D$4:$D$2503,D823)&gt;1,"Duplicate row (same date)","OK"))))))</f>
        <v/>
      </c>
    </row>
    <row r="824">
      <c r="A824" s="26" t="n"/>
      <c r="B824" s="26" t="n"/>
      <c r="C824" s="34" t="n"/>
      <c r="D824" s="28" t="n"/>
      <c r="E824" s="26" t="n"/>
      <c r="F824" s="26" t="n"/>
      <c r="G824" s="26" t="n"/>
      <c r="H824" s="38" t="n"/>
      <c r="I824" s="28" t="n"/>
      <c r="J824" s="30">
        <f>IF(B824="","",IFERROR(INDEX('Share classes'!$A$4:$A$203,MATCH(B824,'Share classes'!$B$4:$B$203,0)),""))</f>
        <v/>
      </c>
      <c r="K824" s="30">
        <f>IF(A824="","",IFERROR(INDEX('Holders'!$B$4:$B$1003,MATCH(A824,'Holders'!$A$4:$A$1003,0)),""))</f>
        <v/>
      </c>
      <c r="L824" s="30">
        <f>IF(OR(A824="",B824="",D824=""),"",IF(D824=_xlfn.MAXIFS($D$4:$D$2503,$A$4:$A$2503,A824,$B$4:$B$2503,B824),"Yes","No"))</f>
        <v/>
      </c>
      <c r="M824" s="30">
        <f>IF(B824="","",IFERROR(INDEX('Share classes'!$F$4:$F$203,MATCH(B824,'Share classes'!$B$4:$B$203,0)),""))</f>
        <v/>
      </c>
      <c r="N824" s="30">
        <f>IF(A824="","",IF(K824="","Unknown holder ID",IF(J824="","Unknown class code",IF(OR(C824="",D824=""),"Missing shares or date",IF(OR(C824&lt;0,C824&lt;&gt;INT(C824)),"Shares must be a whole number",IF(COUNTIFS($A$4:$A$2503,A824,$B$4:$B$2503,B824,$D$4:$D$2503,D824)&gt;1,"Duplicate row (same date)","OK"))))))</f>
        <v/>
      </c>
    </row>
    <row r="825">
      <c r="A825" s="26" t="n"/>
      <c r="B825" s="26" t="n"/>
      <c r="C825" s="34" t="n"/>
      <c r="D825" s="28" t="n"/>
      <c r="E825" s="26" t="n"/>
      <c r="F825" s="26" t="n"/>
      <c r="G825" s="26" t="n"/>
      <c r="H825" s="38" t="n"/>
      <c r="I825" s="28" t="n"/>
      <c r="J825" s="30">
        <f>IF(B825="","",IFERROR(INDEX('Share classes'!$A$4:$A$203,MATCH(B825,'Share classes'!$B$4:$B$203,0)),""))</f>
        <v/>
      </c>
      <c r="K825" s="30">
        <f>IF(A825="","",IFERROR(INDEX('Holders'!$B$4:$B$1003,MATCH(A825,'Holders'!$A$4:$A$1003,0)),""))</f>
        <v/>
      </c>
      <c r="L825" s="30">
        <f>IF(OR(A825="",B825="",D825=""),"",IF(D825=_xlfn.MAXIFS($D$4:$D$2503,$A$4:$A$2503,A825,$B$4:$B$2503,B825),"Yes","No"))</f>
        <v/>
      </c>
      <c r="M825" s="30">
        <f>IF(B825="","",IFERROR(INDEX('Share classes'!$F$4:$F$203,MATCH(B825,'Share classes'!$B$4:$B$203,0)),""))</f>
        <v/>
      </c>
      <c r="N825" s="30">
        <f>IF(A825="","",IF(K825="","Unknown holder ID",IF(J825="","Unknown class code",IF(OR(C825="",D825=""),"Missing shares or date",IF(OR(C825&lt;0,C825&lt;&gt;INT(C825)),"Shares must be a whole number",IF(COUNTIFS($A$4:$A$2503,A825,$B$4:$B$2503,B825,$D$4:$D$2503,D825)&gt;1,"Duplicate row (same date)","OK"))))))</f>
        <v/>
      </c>
    </row>
    <row r="826">
      <c r="A826" s="26" t="n"/>
      <c r="B826" s="26" t="n"/>
      <c r="C826" s="34" t="n"/>
      <c r="D826" s="28" t="n"/>
      <c r="E826" s="26" t="n"/>
      <c r="F826" s="26" t="n"/>
      <c r="G826" s="26" t="n"/>
      <c r="H826" s="38" t="n"/>
      <c r="I826" s="28" t="n"/>
      <c r="J826" s="30">
        <f>IF(B826="","",IFERROR(INDEX('Share classes'!$A$4:$A$203,MATCH(B826,'Share classes'!$B$4:$B$203,0)),""))</f>
        <v/>
      </c>
      <c r="K826" s="30">
        <f>IF(A826="","",IFERROR(INDEX('Holders'!$B$4:$B$1003,MATCH(A826,'Holders'!$A$4:$A$1003,0)),""))</f>
        <v/>
      </c>
      <c r="L826" s="30">
        <f>IF(OR(A826="",B826="",D826=""),"",IF(D826=_xlfn.MAXIFS($D$4:$D$2503,$A$4:$A$2503,A826,$B$4:$B$2503,B826),"Yes","No"))</f>
        <v/>
      </c>
      <c r="M826" s="30">
        <f>IF(B826="","",IFERROR(INDEX('Share classes'!$F$4:$F$203,MATCH(B826,'Share classes'!$B$4:$B$203,0)),""))</f>
        <v/>
      </c>
      <c r="N826" s="30">
        <f>IF(A826="","",IF(K826="","Unknown holder ID",IF(J826="","Unknown class code",IF(OR(C826="",D826=""),"Missing shares or date",IF(OR(C826&lt;0,C826&lt;&gt;INT(C826)),"Shares must be a whole number",IF(COUNTIFS($A$4:$A$2503,A826,$B$4:$B$2503,B826,$D$4:$D$2503,D826)&gt;1,"Duplicate row (same date)","OK"))))))</f>
        <v/>
      </c>
    </row>
    <row r="827">
      <c r="A827" s="26" t="n"/>
      <c r="B827" s="26" t="n"/>
      <c r="C827" s="34" t="n"/>
      <c r="D827" s="28" t="n"/>
      <c r="E827" s="26" t="n"/>
      <c r="F827" s="26" t="n"/>
      <c r="G827" s="26" t="n"/>
      <c r="H827" s="38" t="n"/>
      <c r="I827" s="28" t="n"/>
      <c r="J827" s="30">
        <f>IF(B827="","",IFERROR(INDEX('Share classes'!$A$4:$A$203,MATCH(B827,'Share classes'!$B$4:$B$203,0)),""))</f>
        <v/>
      </c>
      <c r="K827" s="30">
        <f>IF(A827="","",IFERROR(INDEX('Holders'!$B$4:$B$1003,MATCH(A827,'Holders'!$A$4:$A$1003,0)),""))</f>
        <v/>
      </c>
      <c r="L827" s="30">
        <f>IF(OR(A827="",B827="",D827=""),"",IF(D827=_xlfn.MAXIFS($D$4:$D$2503,$A$4:$A$2503,A827,$B$4:$B$2503,B827),"Yes","No"))</f>
        <v/>
      </c>
      <c r="M827" s="30">
        <f>IF(B827="","",IFERROR(INDEX('Share classes'!$F$4:$F$203,MATCH(B827,'Share classes'!$B$4:$B$203,0)),""))</f>
        <v/>
      </c>
      <c r="N827" s="30">
        <f>IF(A827="","",IF(K827="","Unknown holder ID",IF(J827="","Unknown class code",IF(OR(C827="",D827=""),"Missing shares or date",IF(OR(C827&lt;0,C827&lt;&gt;INT(C827)),"Shares must be a whole number",IF(COUNTIFS($A$4:$A$2503,A827,$B$4:$B$2503,B827,$D$4:$D$2503,D827)&gt;1,"Duplicate row (same date)","OK"))))))</f>
        <v/>
      </c>
    </row>
    <row r="828">
      <c r="A828" s="26" t="n"/>
      <c r="B828" s="26" t="n"/>
      <c r="C828" s="34" t="n"/>
      <c r="D828" s="28" t="n"/>
      <c r="E828" s="26" t="n"/>
      <c r="F828" s="26" t="n"/>
      <c r="G828" s="26" t="n"/>
      <c r="H828" s="38" t="n"/>
      <c r="I828" s="28" t="n"/>
      <c r="J828" s="30">
        <f>IF(B828="","",IFERROR(INDEX('Share classes'!$A$4:$A$203,MATCH(B828,'Share classes'!$B$4:$B$203,0)),""))</f>
        <v/>
      </c>
      <c r="K828" s="30">
        <f>IF(A828="","",IFERROR(INDEX('Holders'!$B$4:$B$1003,MATCH(A828,'Holders'!$A$4:$A$1003,0)),""))</f>
        <v/>
      </c>
      <c r="L828" s="30">
        <f>IF(OR(A828="",B828="",D828=""),"",IF(D828=_xlfn.MAXIFS($D$4:$D$2503,$A$4:$A$2503,A828,$B$4:$B$2503,B828),"Yes","No"))</f>
        <v/>
      </c>
      <c r="M828" s="30">
        <f>IF(B828="","",IFERROR(INDEX('Share classes'!$F$4:$F$203,MATCH(B828,'Share classes'!$B$4:$B$203,0)),""))</f>
        <v/>
      </c>
      <c r="N828" s="30">
        <f>IF(A828="","",IF(K828="","Unknown holder ID",IF(J828="","Unknown class code",IF(OR(C828="",D828=""),"Missing shares or date",IF(OR(C828&lt;0,C828&lt;&gt;INT(C828)),"Shares must be a whole number",IF(COUNTIFS($A$4:$A$2503,A828,$B$4:$B$2503,B828,$D$4:$D$2503,D828)&gt;1,"Duplicate row (same date)","OK"))))))</f>
        <v/>
      </c>
    </row>
    <row r="829">
      <c r="A829" s="26" t="n"/>
      <c r="B829" s="26" t="n"/>
      <c r="C829" s="34" t="n"/>
      <c r="D829" s="28" t="n"/>
      <c r="E829" s="26" t="n"/>
      <c r="F829" s="26" t="n"/>
      <c r="G829" s="26" t="n"/>
      <c r="H829" s="38" t="n"/>
      <c r="I829" s="28" t="n"/>
      <c r="J829" s="30">
        <f>IF(B829="","",IFERROR(INDEX('Share classes'!$A$4:$A$203,MATCH(B829,'Share classes'!$B$4:$B$203,0)),""))</f>
        <v/>
      </c>
      <c r="K829" s="30">
        <f>IF(A829="","",IFERROR(INDEX('Holders'!$B$4:$B$1003,MATCH(A829,'Holders'!$A$4:$A$1003,0)),""))</f>
        <v/>
      </c>
      <c r="L829" s="30">
        <f>IF(OR(A829="",B829="",D829=""),"",IF(D829=_xlfn.MAXIFS($D$4:$D$2503,$A$4:$A$2503,A829,$B$4:$B$2503,B829),"Yes","No"))</f>
        <v/>
      </c>
      <c r="M829" s="30">
        <f>IF(B829="","",IFERROR(INDEX('Share classes'!$F$4:$F$203,MATCH(B829,'Share classes'!$B$4:$B$203,0)),""))</f>
        <v/>
      </c>
      <c r="N829" s="30">
        <f>IF(A829="","",IF(K829="","Unknown holder ID",IF(J829="","Unknown class code",IF(OR(C829="",D829=""),"Missing shares or date",IF(OR(C829&lt;0,C829&lt;&gt;INT(C829)),"Shares must be a whole number",IF(COUNTIFS($A$4:$A$2503,A829,$B$4:$B$2503,B829,$D$4:$D$2503,D829)&gt;1,"Duplicate row (same date)","OK"))))))</f>
        <v/>
      </c>
    </row>
    <row r="830">
      <c r="A830" s="26" t="n"/>
      <c r="B830" s="26" t="n"/>
      <c r="C830" s="34" t="n"/>
      <c r="D830" s="28" t="n"/>
      <c r="E830" s="26" t="n"/>
      <c r="F830" s="26" t="n"/>
      <c r="G830" s="26" t="n"/>
      <c r="H830" s="38" t="n"/>
      <c r="I830" s="28" t="n"/>
      <c r="J830" s="30">
        <f>IF(B830="","",IFERROR(INDEX('Share classes'!$A$4:$A$203,MATCH(B830,'Share classes'!$B$4:$B$203,0)),""))</f>
        <v/>
      </c>
      <c r="K830" s="30">
        <f>IF(A830="","",IFERROR(INDEX('Holders'!$B$4:$B$1003,MATCH(A830,'Holders'!$A$4:$A$1003,0)),""))</f>
        <v/>
      </c>
      <c r="L830" s="30">
        <f>IF(OR(A830="",B830="",D830=""),"",IF(D830=_xlfn.MAXIFS($D$4:$D$2503,$A$4:$A$2503,A830,$B$4:$B$2503,B830),"Yes","No"))</f>
        <v/>
      </c>
      <c r="M830" s="30">
        <f>IF(B830="","",IFERROR(INDEX('Share classes'!$F$4:$F$203,MATCH(B830,'Share classes'!$B$4:$B$203,0)),""))</f>
        <v/>
      </c>
      <c r="N830" s="30">
        <f>IF(A830="","",IF(K830="","Unknown holder ID",IF(J830="","Unknown class code",IF(OR(C830="",D830=""),"Missing shares or date",IF(OR(C830&lt;0,C830&lt;&gt;INT(C830)),"Shares must be a whole number",IF(COUNTIFS($A$4:$A$2503,A830,$B$4:$B$2503,B830,$D$4:$D$2503,D830)&gt;1,"Duplicate row (same date)","OK"))))))</f>
        <v/>
      </c>
    </row>
    <row r="831">
      <c r="A831" s="26" t="n"/>
      <c r="B831" s="26" t="n"/>
      <c r="C831" s="34" t="n"/>
      <c r="D831" s="28" t="n"/>
      <c r="E831" s="26" t="n"/>
      <c r="F831" s="26" t="n"/>
      <c r="G831" s="26" t="n"/>
      <c r="H831" s="38" t="n"/>
      <c r="I831" s="28" t="n"/>
      <c r="J831" s="30">
        <f>IF(B831="","",IFERROR(INDEX('Share classes'!$A$4:$A$203,MATCH(B831,'Share classes'!$B$4:$B$203,0)),""))</f>
        <v/>
      </c>
      <c r="K831" s="30">
        <f>IF(A831="","",IFERROR(INDEX('Holders'!$B$4:$B$1003,MATCH(A831,'Holders'!$A$4:$A$1003,0)),""))</f>
        <v/>
      </c>
      <c r="L831" s="30">
        <f>IF(OR(A831="",B831="",D831=""),"",IF(D831=_xlfn.MAXIFS($D$4:$D$2503,$A$4:$A$2503,A831,$B$4:$B$2503,B831),"Yes","No"))</f>
        <v/>
      </c>
      <c r="M831" s="30">
        <f>IF(B831="","",IFERROR(INDEX('Share classes'!$F$4:$F$203,MATCH(B831,'Share classes'!$B$4:$B$203,0)),""))</f>
        <v/>
      </c>
      <c r="N831" s="30">
        <f>IF(A831="","",IF(K831="","Unknown holder ID",IF(J831="","Unknown class code",IF(OR(C831="",D831=""),"Missing shares or date",IF(OR(C831&lt;0,C831&lt;&gt;INT(C831)),"Shares must be a whole number",IF(COUNTIFS($A$4:$A$2503,A831,$B$4:$B$2503,B831,$D$4:$D$2503,D831)&gt;1,"Duplicate row (same date)","OK"))))))</f>
        <v/>
      </c>
    </row>
    <row r="832">
      <c r="A832" s="26" t="n"/>
      <c r="B832" s="26" t="n"/>
      <c r="C832" s="34" t="n"/>
      <c r="D832" s="28" t="n"/>
      <c r="E832" s="26" t="n"/>
      <c r="F832" s="26" t="n"/>
      <c r="G832" s="26" t="n"/>
      <c r="H832" s="38" t="n"/>
      <c r="I832" s="28" t="n"/>
      <c r="J832" s="30">
        <f>IF(B832="","",IFERROR(INDEX('Share classes'!$A$4:$A$203,MATCH(B832,'Share classes'!$B$4:$B$203,0)),""))</f>
        <v/>
      </c>
      <c r="K832" s="30">
        <f>IF(A832="","",IFERROR(INDEX('Holders'!$B$4:$B$1003,MATCH(A832,'Holders'!$A$4:$A$1003,0)),""))</f>
        <v/>
      </c>
      <c r="L832" s="30">
        <f>IF(OR(A832="",B832="",D832=""),"",IF(D832=_xlfn.MAXIFS($D$4:$D$2503,$A$4:$A$2503,A832,$B$4:$B$2503,B832),"Yes","No"))</f>
        <v/>
      </c>
      <c r="M832" s="30">
        <f>IF(B832="","",IFERROR(INDEX('Share classes'!$F$4:$F$203,MATCH(B832,'Share classes'!$B$4:$B$203,0)),""))</f>
        <v/>
      </c>
      <c r="N832" s="30">
        <f>IF(A832="","",IF(K832="","Unknown holder ID",IF(J832="","Unknown class code",IF(OR(C832="",D832=""),"Missing shares or date",IF(OR(C832&lt;0,C832&lt;&gt;INT(C832)),"Shares must be a whole number",IF(COUNTIFS($A$4:$A$2503,A832,$B$4:$B$2503,B832,$D$4:$D$2503,D832)&gt;1,"Duplicate row (same date)","OK"))))))</f>
        <v/>
      </c>
    </row>
    <row r="833">
      <c r="A833" s="26" t="n"/>
      <c r="B833" s="26" t="n"/>
      <c r="C833" s="34" t="n"/>
      <c r="D833" s="28" t="n"/>
      <c r="E833" s="26" t="n"/>
      <c r="F833" s="26" t="n"/>
      <c r="G833" s="26" t="n"/>
      <c r="H833" s="38" t="n"/>
      <c r="I833" s="28" t="n"/>
      <c r="J833" s="30">
        <f>IF(B833="","",IFERROR(INDEX('Share classes'!$A$4:$A$203,MATCH(B833,'Share classes'!$B$4:$B$203,0)),""))</f>
        <v/>
      </c>
      <c r="K833" s="30">
        <f>IF(A833="","",IFERROR(INDEX('Holders'!$B$4:$B$1003,MATCH(A833,'Holders'!$A$4:$A$1003,0)),""))</f>
        <v/>
      </c>
      <c r="L833" s="30">
        <f>IF(OR(A833="",B833="",D833=""),"",IF(D833=_xlfn.MAXIFS($D$4:$D$2503,$A$4:$A$2503,A833,$B$4:$B$2503,B833),"Yes","No"))</f>
        <v/>
      </c>
      <c r="M833" s="30">
        <f>IF(B833="","",IFERROR(INDEX('Share classes'!$F$4:$F$203,MATCH(B833,'Share classes'!$B$4:$B$203,0)),""))</f>
        <v/>
      </c>
      <c r="N833" s="30">
        <f>IF(A833="","",IF(K833="","Unknown holder ID",IF(J833="","Unknown class code",IF(OR(C833="",D833=""),"Missing shares or date",IF(OR(C833&lt;0,C833&lt;&gt;INT(C833)),"Shares must be a whole number",IF(COUNTIFS($A$4:$A$2503,A833,$B$4:$B$2503,B833,$D$4:$D$2503,D833)&gt;1,"Duplicate row (same date)","OK"))))))</f>
        <v/>
      </c>
    </row>
    <row r="834">
      <c r="A834" s="26" t="n"/>
      <c r="B834" s="26" t="n"/>
      <c r="C834" s="34" t="n"/>
      <c r="D834" s="28" t="n"/>
      <c r="E834" s="26" t="n"/>
      <c r="F834" s="26" t="n"/>
      <c r="G834" s="26" t="n"/>
      <c r="H834" s="38" t="n"/>
      <c r="I834" s="28" t="n"/>
      <c r="J834" s="30">
        <f>IF(B834="","",IFERROR(INDEX('Share classes'!$A$4:$A$203,MATCH(B834,'Share classes'!$B$4:$B$203,0)),""))</f>
        <v/>
      </c>
      <c r="K834" s="30">
        <f>IF(A834="","",IFERROR(INDEX('Holders'!$B$4:$B$1003,MATCH(A834,'Holders'!$A$4:$A$1003,0)),""))</f>
        <v/>
      </c>
      <c r="L834" s="30">
        <f>IF(OR(A834="",B834="",D834=""),"",IF(D834=_xlfn.MAXIFS($D$4:$D$2503,$A$4:$A$2503,A834,$B$4:$B$2503,B834),"Yes","No"))</f>
        <v/>
      </c>
      <c r="M834" s="30">
        <f>IF(B834="","",IFERROR(INDEX('Share classes'!$F$4:$F$203,MATCH(B834,'Share classes'!$B$4:$B$203,0)),""))</f>
        <v/>
      </c>
      <c r="N834" s="30">
        <f>IF(A834="","",IF(K834="","Unknown holder ID",IF(J834="","Unknown class code",IF(OR(C834="",D834=""),"Missing shares or date",IF(OR(C834&lt;0,C834&lt;&gt;INT(C834)),"Shares must be a whole number",IF(COUNTIFS($A$4:$A$2503,A834,$B$4:$B$2503,B834,$D$4:$D$2503,D834)&gt;1,"Duplicate row (same date)","OK"))))))</f>
        <v/>
      </c>
    </row>
    <row r="835">
      <c r="A835" s="26" t="n"/>
      <c r="B835" s="26" t="n"/>
      <c r="C835" s="34" t="n"/>
      <c r="D835" s="28" t="n"/>
      <c r="E835" s="26" t="n"/>
      <c r="F835" s="26" t="n"/>
      <c r="G835" s="26" t="n"/>
      <c r="H835" s="38" t="n"/>
      <c r="I835" s="28" t="n"/>
      <c r="J835" s="30">
        <f>IF(B835="","",IFERROR(INDEX('Share classes'!$A$4:$A$203,MATCH(B835,'Share classes'!$B$4:$B$203,0)),""))</f>
        <v/>
      </c>
      <c r="K835" s="30">
        <f>IF(A835="","",IFERROR(INDEX('Holders'!$B$4:$B$1003,MATCH(A835,'Holders'!$A$4:$A$1003,0)),""))</f>
        <v/>
      </c>
      <c r="L835" s="30">
        <f>IF(OR(A835="",B835="",D835=""),"",IF(D835=_xlfn.MAXIFS($D$4:$D$2503,$A$4:$A$2503,A835,$B$4:$B$2503,B835),"Yes","No"))</f>
        <v/>
      </c>
      <c r="M835" s="30">
        <f>IF(B835="","",IFERROR(INDEX('Share classes'!$F$4:$F$203,MATCH(B835,'Share classes'!$B$4:$B$203,0)),""))</f>
        <v/>
      </c>
      <c r="N835" s="30">
        <f>IF(A835="","",IF(K835="","Unknown holder ID",IF(J835="","Unknown class code",IF(OR(C835="",D835=""),"Missing shares or date",IF(OR(C835&lt;0,C835&lt;&gt;INT(C835)),"Shares must be a whole number",IF(COUNTIFS($A$4:$A$2503,A835,$B$4:$B$2503,B835,$D$4:$D$2503,D835)&gt;1,"Duplicate row (same date)","OK"))))))</f>
        <v/>
      </c>
    </row>
    <row r="836">
      <c r="A836" s="26" t="n"/>
      <c r="B836" s="26" t="n"/>
      <c r="C836" s="34" t="n"/>
      <c r="D836" s="28" t="n"/>
      <c r="E836" s="26" t="n"/>
      <c r="F836" s="26" t="n"/>
      <c r="G836" s="26" t="n"/>
      <c r="H836" s="38" t="n"/>
      <c r="I836" s="28" t="n"/>
      <c r="J836" s="30">
        <f>IF(B836="","",IFERROR(INDEX('Share classes'!$A$4:$A$203,MATCH(B836,'Share classes'!$B$4:$B$203,0)),""))</f>
        <v/>
      </c>
      <c r="K836" s="30">
        <f>IF(A836="","",IFERROR(INDEX('Holders'!$B$4:$B$1003,MATCH(A836,'Holders'!$A$4:$A$1003,0)),""))</f>
        <v/>
      </c>
      <c r="L836" s="30">
        <f>IF(OR(A836="",B836="",D836=""),"",IF(D836=_xlfn.MAXIFS($D$4:$D$2503,$A$4:$A$2503,A836,$B$4:$B$2503,B836),"Yes","No"))</f>
        <v/>
      </c>
      <c r="M836" s="30">
        <f>IF(B836="","",IFERROR(INDEX('Share classes'!$F$4:$F$203,MATCH(B836,'Share classes'!$B$4:$B$203,0)),""))</f>
        <v/>
      </c>
      <c r="N836" s="30">
        <f>IF(A836="","",IF(K836="","Unknown holder ID",IF(J836="","Unknown class code",IF(OR(C836="",D836=""),"Missing shares or date",IF(OR(C836&lt;0,C836&lt;&gt;INT(C836)),"Shares must be a whole number",IF(COUNTIFS($A$4:$A$2503,A836,$B$4:$B$2503,B836,$D$4:$D$2503,D836)&gt;1,"Duplicate row (same date)","OK"))))))</f>
        <v/>
      </c>
    </row>
    <row r="837">
      <c r="A837" s="26" t="n"/>
      <c r="B837" s="26" t="n"/>
      <c r="C837" s="34" t="n"/>
      <c r="D837" s="28" t="n"/>
      <c r="E837" s="26" t="n"/>
      <c r="F837" s="26" t="n"/>
      <c r="G837" s="26" t="n"/>
      <c r="H837" s="38" t="n"/>
      <c r="I837" s="28" t="n"/>
      <c r="J837" s="30">
        <f>IF(B837="","",IFERROR(INDEX('Share classes'!$A$4:$A$203,MATCH(B837,'Share classes'!$B$4:$B$203,0)),""))</f>
        <v/>
      </c>
      <c r="K837" s="30">
        <f>IF(A837="","",IFERROR(INDEX('Holders'!$B$4:$B$1003,MATCH(A837,'Holders'!$A$4:$A$1003,0)),""))</f>
        <v/>
      </c>
      <c r="L837" s="30">
        <f>IF(OR(A837="",B837="",D837=""),"",IF(D837=_xlfn.MAXIFS($D$4:$D$2503,$A$4:$A$2503,A837,$B$4:$B$2503,B837),"Yes","No"))</f>
        <v/>
      </c>
      <c r="M837" s="30">
        <f>IF(B837="","",IFERROR(INDEX('Share classes'!$F$4:$F$203,MATCH(B837,'Share classes'!$B$4:$B$203,0)),""))</f>
        <v/>
      </c>
      <c r="N837" s="30">
        <f>IF(A837="","",IF(K837="","Unknown holder ID",IF(J837="","Unknown class code",IF(OR(C837="",D837=""),"Missing shares or date",IF(OR(C837&lt;0,C837&lt;&gt;INT(C837)),"Shares must be a whole number",IF(COUNTIFS($A$4:$A$2503,A837,$B$4:$B$2503,B837,$D$4:$D$2503,D837)&gt;1,"Duplicate row (same date)","OK"))))))</f>
        <v/>
      </c>
    </row>
    <row r="838">
      <c r="A838" s="26" t="n"/>
      <c r="B838" s="26" t="n"/>
      <c r="C838" s="34" t="n"/>
      <c r="D838" s="28" t="n"/>
      <c r="E838" s="26" t="n"/>
      <c r="F838" s="26" t="n"/>
      <c r="G838" s="26" t="n"/>
      <c r="H838" s="38" t="n"/>
      <c r="I838" s="28" t="n"/>
      <c r="J838" s="30">
        <f>IF(B838="","",IFERROR(INDEX('Share classes'!$A$4:$A$203,MATCH(B838,'Share classes'!$B$4:$B$203,0)),""))</f>
        <v/>
      </c>
      <c r="K838" s="30">
        <f>IF(A838="","",IFERROR(INDEX('Holders'!$B$4:$B$1003,MATCH(A838,'Holders'!$A$4:$A$1003,0)),""))</f>
        <v/>
      </c>
      <c r="L838" s="30">
        <f>IF(OR(A838="",B838="",D838=""),"",IF(D838=_xlfn.MAXIFS($D$4:$D$2503,$A$4:$A$2503,A838,$B$4:$B$2503,B838),"Yes","No"))</f>
        <v/>
      </c>
      <c r="M838" s="30">
        <f>IF(B838="","",IFERROR(INDEX('Share classes'!$F$4:$F$203,MATCH(B838,'Share classes'!$B$4:$B$203,0)),""))</f>
        <v/>
      </c>
      <c r="N838" s="30">
        <f>IF(A838="","",IF(K838="","Unknown holder ID",IF(J838="","Unknown class code",IF(OR(C838="",D838=""),"Missing shares or date",IF(OR(C838&lt;0,C838&lt;&gt;INT(C838)),"Shares must be a whole number",IF(COUNTIFS($A$4:$A$2503,A838,$B$4:$B$2503,B838,$D$4:$D$2503,D838)&gt;1,"Duplicate row (same date)","OK"))))))</f>
        <v/>
      </c>
    </row>
    <row r="839">
      <c r="A839" s="26" t="n"/>
      <c r="B839" s="26" t="n"/>
      <c r="C839" s="34" t="n"/>
      <c r="D839" s="28" t="n"/>
      <c r="E839" s="26" t="n"/>
      <c r="F839" s="26" t="n"/>
      <c r="G839" s="26" t="n"/>
      <c r="H839" s="38" t="n"/>
      <c r="I839" s="28" t="n"/>
      <c r="J839" s="30">
        <f>IF(B839="","",IFERROR(INDEX('Share classes'!$A$4:$A$203,MATCH(B839,'Share classes'!$B$4:$B$203,0)),""))</f>
        <v/>
      </c>
      <c r="K839" s="30">
        <f>IF(A839="","",IFERROR(INDEX('Holders'!$B$4:$B$1003,MATCH(A839,'Holders'!$A$4:$A$1003,0)),""))</f>
        <v/>
      </c>
      <c r="L839" s="30">
        <f>IF(OR(A839="",B839="",D839=""),"",IF(D839=_xlfn.MAXIFS($D$4:$D$2503,$A$4:$A$2503,A839,$B$4:$B$2503,B839),"Yes","No"))</f>
        <v/>
      </c>
      <c r="M839" s="30">
        <f>IF(B839="","",IFERROR(INDEX('Share classes'!$F$4:$F$203,MATCH(B839,'Share classes'!$B$4:$B$203,0)),""))</f>
        <v/>
      </c>
      <c r="N839" s="30">
        <f>IF(A839="","",IF(K839="","Unknown holder ID",IF(J839="","Unknown class code",IF(OR(C839="",D839=""),"Missing shares or date",IF(OR(C839&lt;0,C839&lt;&gt;INT(C839)),"Shares must be a whole number",IF(COUNTIFS($A$4:$A$2503,A839,$B$4:$B$2503,B839,$D$4:$D$2503,D839)&gt;1,"Duplicate row (same date)","OK"))))))</f>
        <v/>
      </c>
    </row>
    <row r="840">
      <c r="A840" s="26" t="n"/>
      <c r="B840" s="26" t="n"/>
      <c r="C840" s="34" t="n"/>
      <c r="D840" s="28" t="n"/>
      <c r="E840" s="26" t="n"/>
      <c r="F840" s="26" t="n"/>
      <c r="G840" s="26" t="n"/>
      <c r="H840" s="38" t="n"/>
      <c r="I840" s="28" t="n"/>
      <c r="J840" s="30">
        <f>IF(B840="","",IFERROR(INDEX('Share classes'!$A$4:$A$203,MATCH(B840,'Share classes'!$B$4:$B$203,0)),""))</f>
        <v/>
      </c>
      <c r="K840" s="30">
        <f>IF(A840="","",IFERROR(INDEX('Holders'!$B$4:$B$1003,MATCH(A840,'Holders'!$A$4:$A$1003,0)),""))</f>
        <v/>
      </c>
      <c r="L840" s="30">
        <f>IF(OR(A840="",B840="",D840=""),"",IF(D840=_xlfn.MAXIFS($D$4:$D$2503,$A$4:$A$2503,A840,$B$4:$B$2503,B840),"Yes","No"))</f>
        <v/>
      </c>
      <c r="M840" s="30">
        <f>IF(B840="","",IFERROR(INDEX('Share classes'!$F$4:$F$203,MATCH(B840,'Share classes'!$B$4:$B$203,0)),""))</f>
        <v/>
      </c>
      <c r="N840" s="30">
        <f>IF(A840="","",IF(K840="","Unknown holder ID",IF(J840="","Unknown class code",IF(OR(C840="",D840=""),"Missing shares or date",IF(OR(C840&lt;0,C840&lt;&gt;INT(C840)),"Shares must be a whole number",IF(COUNTIFS($A$4:$A$2503,A840,$B$4:$B$2503,B840,$D$4:$D$2503,D840)&gt;1,"Duplicate row (same date)","OK"))))))</f>
        <v/>
      </c>
    </row>
    <row r="841">
      <c r="A841" s="26" t="n"/>
      <c r="B841" s="26" t="n"/>
      <c r="C841" s="34" t="n"/>
      <c r="D841" s="28" t="n"/>
      <c r="E841" s="26" t="n"/>
      <c r="F841" s="26" t="n"/>
      <c r="G841" s="26" t="n"/>
      <c r="H841" s="38" t="n"/>
      <c r="I841" s="28" t="n"/>
      <c r="J841" s="30">
        <f>IF(B841="","",IFERROR(INDEX('Share classes'!$A$4:$A$203,MATCH(B841,'Share classes'!$B$4:$B$203,0)),""))</f>
        <v/>
      </c>
      <c r="K841" s="30">
        <f>IF(A841="","",IFERROR(INDEX('Holders'!$B$4:$B$1003,MATCH(A841,'Holders'!$A$4:$A$1003,0)),""))</f>
        <v/>
      </c>
      <c r="L841" s="30">
        <f>IF(OR(A841="",B841="",D841=""),"",IF(D841=_xlfn.MAXIFS($D$4:$D$2503,$A$4:$A$2503,A841,$B$4:$B$2503,B841),"Yes","No"))</f>
        <v/>
      </c>
      <c r="M841" s="30">
        <f>IF(B841="","",IFERROR(INDEX('Share classes'!$F$4:$F$203,MATCH(B841,'Share classes'!$B$4:$B$203,0)),""))</f>
        <v/>
      </c>
      <c r="N841" s="30">
        <f>IF(A841="","",IF(K841="","Unknown holder ID",IF(J841="","Unknown class code",IF(OR(C841="",D841=""),"Missing shares or date",IF(OR(C841&lt;0,C841&lt;&gt;INT(C841)),"Shares must be a whole number",IF(COUNTIFS($A$4:$A$2503,A841,$B$4:$B$2503,B841,$D$4:$D$2503,D841)&gt;1,"Duplicate row (same date)","OK"))))))</f>
        <v/>
      </c>
    </row>
    <row r="842">
      <c r="A842" s="26" t="n"/>
      <c r="B842" s="26" t="n"/>
      <c r="C842" s="34" t="n"/>
      <c r="D842" s="28" t="n"/>
      <c r="E842" s="26" t="n"/>
      <c r="F842" s="26" t="n"/>
      <c r="G842" s="26" t="n"/>
      <c r="H842" s="38" t="n"/>
      <c r="I842" s="28" t="n"/>
      <c r="J842" s="30">
        <f>IF(B842="","",IFERROR(INDEX('Share classes'!$A$4:$A$203,MATCH(B842,'Share classes'!$B$4:$B$203,0)),""))</f>
        <v/>
      </c>
      <c r="K842" s="30">
        <f>IF(A842="","",IFERROR(INDEX('Holders'!$B$4:$B$1003,MATCH(A842,'Holders'!$A$4:$A$1003,0)),""))</f>
        <v/>
      </c>
      <c r="L842" s="30">
        <f>IF(OR(A842="",B842="",D842=""),"",IF(D842=_xlfn.MAXIFS($D$4:$D$2503,$A$4:$A$2503,A842,$B$4:$B$2503,B842),"Yes","No"))</f>
        <v/>
      </c>
      <c r="M842" s="30">
        <f>IF(B842="","",IFERROR(INDEX('Share classes'!$F$4:$F$203,MATCH(B842,'Share classes'!$B$4:$B$203,0)),""))</f>
        <v/>
      </c>
      <c r="N842" s="30">
        <f>IF(A842="","",IF(K842="","Unknown holder ID",IF(J842="","Unknown class code",IF(OR(C842="",D842=""),"Missing shares or date",IF(OR(C842&lt;0,C842&lt;&gt;INT(C842)),"Shares must be a whole number",IF(COUNTIFS($A$4:$A$2503,A842,$B$4:$B$2503,B842,$D$4:$D$2503,D842)&gt;1,"Duplicate row (same date)","OK"))))))</f>
        <v/>
      </c>
    </row>
    <row r="843">
      <c r="A843" s="26" t="n"/>
      <c r="B843" s="26" t="n"/>
      <c r="C843" s="34" t="n"/>
      <c r="D843" s="28" t="n"/>
      <c r="E843" s="26" t="n"/>
      <c r="F843" s="26" t="n"/>
      <c r="G843" s="26" t="n"/>
      <c r="H843" s="38" t="n"/>
      <c r="I843" s="28" t="n"/>
      <c r="J843" s="30">
        <f>IF(B843="","",IFERROR(INDEX('Share classes'!$A$4:$A$203,MATCH(B843,'Share classes'!$B$4:$B$203,0)),""))</f>
        <v/>
      </c>
      <c r="K843" s="30">
        <f>IF(A843="","",IFERROR(INDEX('Holders'!$B$4:$B$1003,MATCH(A843,'Holders'!$A$4:$A$1003,0)),""))</f>
        <v/>
      </c>
      <c r="L843" s="30">
        <f>IF(OR(A843="",B843="",D843=""),"",IF(D843=_xlfn.MAXIFS($D$4:$D$2503,$A$4:$A$2503,A843,$B$4:$B$2503,B843),"Yes","No"))</f>
        <v/>
      </c>
      <c r="M843" s="30">
        <f>IF(B843="","",IFERROR(INDEX('Share classes'!$F$4:$F$203,MATCH(B843,'Share classes'!$B$4:$B$203,0)),""))</f>
        <v/>
      </c>
      <c r="N843" s="30">
        <f>IF(A843="","",IF(K843="","Unknown holder ID",IF(J843="","Unknown class code",IF(OR(C843="",D843=""),"Missing shares or date",IF(OR(C843&lt;0,C843&lt;&gt;INT(C843)),"Shares must be a whole number",IF(COUNTIFS($A$4:$A$2503,A843,$B$4:$B$2503,B843,$D$4:$D$2503,D843)&gt;1,"Duplicate row (same date)","OK"))))))</f>
        <v/>
      </c>
    </row>
    <row r="844">
      <c r="A844" s="26" t="n"/>
      <c r="B844" s="26" t="n"/>
      <c r="C844" s="34" t="n"/>
      <c r="D844" s="28" t="n"/>
      <c r="E844" s="26" t="n"/>
      <c r="F844" s="26" t="n"/>
      <c r="G844" s="26" t="n"/>
      <c r="H844" s="38" t="n"/>
      <c r="I844" s="28" t="n"/>
      <c r="J844" s="30">
        <f>IF(B844="","",IFERROR(INDEX('Share classes'!$A$4:$A$203,MATCH(B844,'Share classes'!$B$4:$B$203,0)),""))</f>
        <v/>
      </c>
      <c r="K844" s="30">
        <f>IF(A844="","",IFERROR(INDEX('Holders'!$B$4:$B$1003,MATCH(A844,'Holders'!$A$4:$A$1003,0)),""))</f>
        <v/>
      </c>
      <c r="L844" s="30">
        <f>IF(OR(A844="",B844="",D844=""),"",IF(D844=_xlfn.MAXIFS($D$4:$D$2503,$A$4:$A$2503,A844,$B$4:$B$2503,B844),"Yes","No"))</f>
        <v/>
      </c>
      <c r="M844" s="30">
        <f>IF(B844="","",IFERROR(INDEX('Share classes'!$F$4:$F$203,MATCH(B844,'Share classes'!$B$4:$B$203,0)),""))</f>
        <v/>
      </c>
      <c r="N844" s="30">
        <f>IF(A844="","",IF(K844="","Unknown holder ID",IF(J844="","Unknown class code",IF(OR(C844="",D844=""),"Missing shares or date",IF(OR(C844&lt;0,C844&lt;&gt;INT(C844)),"Shares must be a whole number",IF(COUNTIFS($A$4:$A$2503,A844,$B$4:$B$2503,B844,$D$4:$D$2503,D844)&gt;1,"Duplicate row (same date)","OK"))))))</f>
        <v/>
      </c>
    </row>
    <row r="845">
      <c r="A845" s="26" t="n"/>
      <c r="B845" s="26" t="n"/>
      <c r="C845" s="34" t="n"/>
      <c r="D845" s="28" t="n"/>
      <c r="E845" s="26" t="n"/>
      <c r="F845" s="26" t="n"/>
      <c r="G845" s="26" t="n"/>
      <c r="H845" s="38" t="n"/>
      <c r="I845" s="28" t="n"/>
      <c r="J845" s="30">
        <f>IF(B845="","",IFERROR(INDEX('Share classes'!$A$4:$A$203,MATCH(B845,'Share classes'!$B$4:$B$203,0)),""))</f>
        <v/>
      </c>
      <c r="K845" s="30">
        <f>IF(A845="","",IFERROR(INDEX('Holders'!$B$4:$B$1003,MATCH(A845,'Holders'!$A$4:$A$1003,0)),""))</f>
        <v/>
      </c>
      <c r="L845" s="30">
        <f>IF(OR(A845="",B845="",D845=""),"",IF(D845=_xlfn.MAXIFS($D$4:$D$2503,$A$4:$A$2503,A845,$B$4:$B$2503,B845),"Yes","No"))</f>
        <v/>
      </c>
      <c r="M845" s="30">
        <f>IF(B845="","",IFERROR(INDEX('Share classes'!$F$4:$F$203,MATCH(B845,'Share classes'!$B$4:$B$203,0)),""))</f>
        <v/>
      </c>
      <c r="N845" s="30">
        <f>IF(A845="","",IF(K845="","Unknown holder ID",IF(J845="","Unknown class code",IF(OR(C845="",D845=""),"Missing shares or date",IF(OR(C845&lt;0,C845&lt;&gt;INT(C845)),"Shares must be a whole number",IF(COUNTIFS($A$4:$A$2503,A845,$B$4:$B$2503,B845,$D$4:$D$2503,D845)&gt;1,"Duplicate row (same date)","OK"))))))</f>
        <v/>
      </c>
    </row>
    <row r="846">
      <c r="A846" s="26" t="n"/>
      <c r="B846" s="26" t="n"/>
      <c r="C846" s="34" t="n"/>
      <c r="D846" s="28" t="n"/>
      <c r="E846" s="26" t="n"/>
      <c r="F846" s="26" t="n"/>
      <c r="G846" s="26" t="n"/>
      <c r="H846" s="38" t="n"/>
      <c r="I846" s="28" t="n"/>
      <c r="J846" s="30">
        <f>IF(B846="","",IFERROR(INDEX('Share classes'!$A$4:$A$203,MATCH(B846,'Share classes'!$B$4:$B$203,0)),""))</f>
        <v/>
      </c>
      <c r="K846" s="30">
        <f>IF(A846="","",IFERROR(INDEX('Holders'!$B$4:$B$1003,MATCH(A846,'Holders'!$A$4:$A$1003,0)),""))</f>
        <v/>
      </c>
      <c r="L846" s="30">
        <f>IF(OR(A846="",B846="",D846=""),"",IF(D846=_xlfn.MAXIFS($D$4:$D$2503,$A$4:$A$2503,A846,$B$4:$B$2503,B846),"Yes","No"))</f>
        <v/>
      </c>
      <c r="M846" s="30">
        <f>IF(B846="","",IFERROR(INDEX('Share classes'!$F$4:$F$203,MATCH(B846,'Share classes'!$B$4:$B$203,0)),""))</f>
        <v/>
      </c>
      <c r="N846" s="30">
        <f>IF(A846="","",IF(K846="","Unknown holder ID",IF(J846="","Unknown class code",IF(OR(C846="",D846=""),"Missing shares or date",IF(OR(C846&lt;0,C846&lt;&gt;INT(C846)),"Shares must be a whole number",IF(COUNTIFS($A$4:$A$2503,A846,$B$4:$B$2503,B846,$D$4:$D$2503,D846)&gt;1,"Duplicate row (same date)","OK"))))))</f>
        <v/>
      </c>
    </row>
    <row r="847">
      <c r="A847" s="26" t="n"/>
      <c r="B847" s="26" t="n"/>
      <c r="C847" s="34" t="n"/>
      <c r="D847" s="28" t="n"/>
      <c r="E847" s="26" t="n"/>
      <c r="F847" s="26" t="n"/>
      <c r="G847" s="26" t="n"/>
      <c r="H847" s="38" t="n"/>
      <c r="I847" s="28" t="n"/>
      <c r="J847" s="30">
        <f>IF(B847="","",IFERROR(INDEX('Share classes'!$A$4:$A$203,MATCH(B847,'Share classes'!$B$4:$B$203,0)),""))</f>
        <v/>
      </c>
      <c r="K847" s="30">
        <f>IF(A847="","",IFERROR(INDEX('Holders'!$B$4:$B$1003,MATCH(A847,'Holders'!$A$4:$A$1003,0)),""))</f>
        <v/>
      </c>
      <c r="L847" s="30">
        <f>IF(OR(A847="",B847="",D847=""),"",IF(D847=_xlfn.MAXIFS($D$4:$D$2503,$A$4:$A$2503,A847,$B$4:$B$2503,B847),"Yes","No"))</f>
        <v/>
      </c>
      <c r="M847" s="30">
        <f>IF(B847="","",IFERROR(INDEX('Share classes'!$F$4:$F$203,MATCH(B847,'Share classes'!$B$4:$B$203,0)),""))</f>
        <v/>
      </c>
      <c r="N847" s="30">
        <f>IF(A847="","",IF(K847="","Unknown holder ID",IF(J847="","Unknown class code",IF(OR(C847="",D847=""),"Missing shares or date",IF(OR(C847&lt;0,C847&lt;&gt;INT(C847)),"Shares must be a whole number",IF(COUNTIFS($A$4:$A$2503,A847,$B$4:$B$2503,B847,$D$4:$D$2503,D847)&gt;1,"Duplicate row (same date)","OK"))))))</f>
        <v/>
      </c>
    </row>
    <row r="848">
      <c r="A848" s="26" t="n"/>
      <c r="B848" s="26" t="n"/>
      <c r="C848" s="34" t="n"/>
      <c r="D848" s="28" t="n"/>
      <c r="E848" s="26" t="n"/>
      <c r="F848" s="26" t="n"/>
      <c r="G848" s="26" t="n"/>
      <c r="H848" s="38" t="n"/>
      <c r="I848" s="28" t="n"/>
      <c r="J848" s="30">
        <f>IF(B848="","",IFERROR(INDEX('Share classes'!$A$4:$A$203,MATCH(B848,'Share classes'!$B$4:$B$203,0)),""))</f>
        <v/>
      </c>
      <c r="K848" s="30">
        <f>IF(A848="","",IFERROR(INDEX('Holders'!$B$4:$B$1003,MATCH(A848,'Holders'!$A$4:$A$1003,0)),""))</f>
        <v/>
      </c>
      <c r="L848" s="30">
        <f>IF(OR(A848="",B848="",D848=""),"",IF(D848=_xlfn.MAXIFS($D$4:$D$2503,$A$4:$A$2503,A848,$B$4:$B$2503,B848),"Yes","No"))</f>
        <v/>
      </c>
      <c r="M848" s="30">
        <f>IF(B848="","",IFERROR(INDEX('Share classes'!$F$4:$F$203,MATCH(B848,'Share classes'!$B$4:$B$203,0)),""))</f>
        <v/>
      </c>
      <c r="N848" s="30">
        <f>IF(A848="","",IF(K848="","Unknown holder ID",IF(J848="","Unknown class code",IF(OR(C848="",D848=""),"Missing shares or date",IF(OR(C848&lt;0,C848&lt;&gt;INT(C848)),"Shares must be a whole number",IF(COUNTIFS($A$4:$A$2503,A848,$B$4:$B$2503,B848,$D$4:$D$2503,D848)&gt;1,"Duplicate row (same date)","OK"))))))</f>
        <v/>
      </c>
    </row>
    <row r="849">
      <c r="A849" s="26" t="n"/>
      <c r="B849" s="26" t="n"/>
      <c r="C849" s="34" t="n"/>
      <c r="D849" s="28" t="n"/>
      <c r="E849" s="26" t="n"/>
      <c r="F849" s="26" t="n"/>
      <c r="G849" s="26" t="n"/>
      <c r="H849" s="38" t="n"/>
      <c r="I849" s="28" t="n"/>
      <c r="J849" s="30">
        <f>IF(B849="","",IFERROR(INDEX('Share classes'!$A$4:$A$203,MATCH(B849,'Share classes'!$B$4:$B$203,0)),""))</f>
        <v/>
      </c>
      <c r="K849" s="30">
        <f>IF(A849="","",IFERROR(INDEX('Holders'!$B$4:$B$1003,MATCH(A849,'Holders'!$A$4:$A$1003,0)),""))</f>
        <v/>
      </c>
      <c r="L849" s="30">
        <f>IF(OR(A849="",B849="",D849=""),"",IF(D849=_xlfn.MAXIFS($D$4:$D$2503,$A$4:$A$2503,A849,$B$4:$B$2503,B849),"Yes","No"))</f>
        <v/>
      </c>
      <c r="M849" s="30">
        <f>IF(B849="","",IFERROR(INDEX('Share classes'!$F$4:$F$203,MATCH(B849,'Share classes'!$B$4:$B$203,0)),""))</f>
        <v/>
      </c>
      <c r="N849" s="30">
        <f>IF(A849="","",IF(K849="","Unknown holder ID",IF(J849="","Unknown class code",IF(OR(C849="",D849=""),"Missing shares or date",IF(OR(C849&lt;0,C849&lt;&gt;INT(C849)),"Shares must be a whole number",IF(COUNTIFS($A$4:$A$2503,A849,$B$4:$B$2503,B849,$D$4:$D$2503,D849)&gt;1,"Duplicate row (same date)","OK"))))))</f>
        <v/>
      </c>
    </row>
    <row r="850">
      <c r="A850" s="26" t="n"/>
      <c r="B850" s="26" t="n"/>
      <c r="C850" s="34" t="n"/>
      <c r="D850" s="28" t="n"/>
      <c r="E850" s="26" t="n"/>
      <c r="F850" s="26" t="n"/>
      <c r="G850" s="26" t="n"/>
      <c r="H850" s="38" t="n"/>
      <c r="I850" s="28" t="n"/>
      <c r="J850" s="30">
        <f>IF(B850="","",IFERROR(INDEX('Share classes'!$A$4:$A$203,MATCH(B850,'Share classes'!$B$4:$B$203,0)),""))</f>
        <v/>
      </c>
      <c r="K850" s="30">
        <f>IF(A850="","",IFERROR(INDEX('Holders'!$B$4:$B$1003,MATCH(A850,'Holders'!$A$4:$A$1003,0)),""))</f>
        <v/>
      </c>
      <c r="L850" s="30">
        <f>IF(OR(A850="",B850="",D850=""),"",IF(D850=_xlfn.MAXIFS($D$4:$D$2503,$A$4:$A$2503,A850,$B$4:$B$2503,B850),"Yes","No"))</f>
        <v/>
      </c>
      <c r="M850" s="30">
        <f>IF(B850="","",IFERROR(INDEX('Share classes'!$F$4:$F$203,MATCH(B850,'Share classes'!$B$4:$B$203,0)),""))</f>
        <v/>
      </c>
      <c r="N850" s="30">
        <f>IF(A850="","",IF(K850="","Unknown holder ID",IF(J850="","Unknown class code",IF(OR(C850="",D850=""),"Missing shares or date",IF(OR(C850&lt;0,C850&lt;&gt;INT(C850)),"Shares must be a whole number",IF(COUNTIFS($A$4:$A$2503,A850,$B$4:$B$2503,B850,$D$4:$D$2503,D850)&gt;1,"Duplicate row (same date)","OK"))))))</f>
        <v/>
      </c>
    </row>
    <row r="851">
      <c r="A851" s="26" t="n"/>
      <c r="B851" s="26" t="n"/>
      <c r="C851" s="34" t="n"/>
      <c r="D851" s="28" t="n"/>
      <c r="E851" s="26" t="n"/>
      <c r="F851" s="26" t="n"/>
      <c r="G851" s="26" t="n"/>
      <c r="H851" s="38" t="n"/>
      <c r="I851" s="28" t="n"/>
      <c r="J851" s="30">
        <f>IF(B851="","",IFERROR(INDEX('Share classes'!$A$4:$A$203,MATCH(B851,'Share classes'!$B$4:$B$203,0)),""))</f>
        <v/>
      </c>
      <c r="K851" s="30">
        <f>IF(A851="","",IFERROR(INDEX('Holders'!$B$4:$B$1003,MATCH(A851,'Holders'!$A$4:$A$1003,0)),""))</f>
        <v/>
      </c>
      <c r="L851" s="30">
        <f>IF(OR(A851="",B851="",D851=""),"",IF(D851=_xlfn.MAXIFS($D$4:$D$2503,$A$4:$A$2503,A851,$B$4:$B$2503,B851),"Yes","No"))</f>
        <v/>
      </c>
      <c r="M851" s="30">
        <f>IF(B851="","",IFERROR(INDEX('Share classes'!$F$4:$F$203,MATCH(B851,'Share classes'!$B$4:$B$203,0)),""))</f>
        <v/>
      </c>
      <c r="N851" s="30">
        <f>IF(A851="","",IF(K851="","Unknown holder ID",IF(J851="","Unknown class code",IF(OR(C851="",D851=""),"Missing shares or date",IF(OR(C851&lt;0,C851&lt;&gt;INT(C851)),"Shares must be a whole number",IF(COUNTIFS($A$4:$A$2503,A851,$B$4:$B$2503,B851,$D$4:$D$2503,D851)&gt;1,"Duplicate row (same date)","OK"))))))</f>
        <v/>
      </c>
    </row>
    <row r="852">
      <c r="A852" s="26" t="n"/>
      <c r="B852" s="26" t="n"/>
      <c r="C852" s="34" t="n"/>
      <c r="D852" s="28" t="n"/>
      <c r="E852" s="26" t="n"/>
      <c r="F852" s="26" t="n"/>
      <c r="G852" s="26" t="n"/>
      <c r="H852" s="38" t="n"/>
      <c r="I852" s="28" t="n"/>
      <c r="J852" s="30">
        <f>IF(B852="","",IFERROR(INDEX('Share classes'!$A$4:$A$203,MATCH(B852,'Share classes'!$B$4:$B$203,0)),""))</f>
        <v/>
      </c>
      <c r="K852" s="30">
        <f>IF(A852="","",IFERROR(INDEX('Holders'!$B$4:$B$1003,MATCH(A852,'Holders'!$A$4:$A$1003,0)),""))</f>
        <v/>
      </c>
      <c r="L852" s="30">
        <f>IF(OR(A852="",B852="",D852=""),"",IF(D852=_xlfn.MAXIFS($D$4:$D$2503,$A$4:$A$2503,A852,$B$4:$B$2503,B852),"Yes","No"))</f>
        <v/>
      </c>
      <c r="M852" s="30">
        <f>IF(B852="","",IFERROR(INDEX('Share classes'!$F$4:$F$203,MATCH(B852,'Share classes'!$B$4:$B$203,0)),""))</f>
        <v/>
      </c>
      <c r="N852" s="30">
        <f>IF(A852="","",IF(K852="","Unknown holder ID",IF(J852="","Unknown class code",IF(OR(C852="",D852=""),"Missing shares or date",IF(OR(C852&lt;0,C852&lt;&gt;INT(C852)),"Shares must be a whole number",IF(COUNTIFS($A$4:$A$2503,A852,$B$4:$B$2503,B852,$D$4:$D$2503,D852)&gt;1,"Duplicate row (same date)","OK"))))))</f>
        <v/>
      </c>
    </row>
    <row r="853">
      <c r="A853" s="26" t="n"/>
      <c r="B853" s="26" t="n"/>
      <c r="C853" s="34" t="n"/>
      <c r="D853" s="28" t="n"/>
      <c r="E853" s="26" t="n"/>
      <c r="F853" s="26" t="n"/>
      <c r="G853" s="26" t="n"/>
      <c r="H853" s="38" t="n"/>
      <c r="I853" s="28" t="n"/>
      <c r="J853" s="30">
        <f>IF(B853="","",IFERROR(INDEX('Share classes'!$A$4:$A$203,MATCH(B853,'Share classes'!$B$4:$B$203,0)),""))</f>
        <v/>
      </c>
      <c r="K853" s="30">
        <f>IF(A853="","",IFERROR(INDEX('Holders'!$B$4:$B$1003,MATCH(A853,'Holders'!$A$4:$A$1003,0)),""))</f>
        <v/>
      </c>
      <c r="L853" s="30">
        <f>IF(OR(A853="",B853="",D853=""),"",IF(D853=_xlfn.MAXIFS($D$4:$D$2503,$A$4:$A$2503,A853,$B$4:$B$2503,B853),"Yes","No"))</f>
        <v/>
      </c>
      <c r="M853" s="30">
        <f>IF(B853="","",IFERROR(INDEX('Share classes'!$F$4:$F$203,MATCH(B853,'Share classes'!$B$4:$B$203,0)),""))</f>
        <v/>
      </c>
      <c r="N853" s="30">
        <f>IF(A853="","",IF(K853="","Unknown holder ID",IF(J853="","Unknown class code",IF(OR(C853="",D853=""),"Missing shares or date",IF(OR(C853&lt;0,C853&lt;&gt;INT(C853)),"Shares must be a whole number",IF(COUNTIFS($A$4:$A$2503,A853,$B$4:$B$2503,B853,$D$4:$D$2503,D853)&gt;1,"Duplicate row (same date)","OK"))))))</f>
        <v/>
      </c>
    </row>
    <row r="854">
      <c r="A854" s="26" t="n"/>
      <c r="B854" s="26" t="n"/>
      <c r="C854" s="34" t="n"/>
      <c r="D854" s="28" t="n"/>
      <c r="E854" s="26" t="n"/>
      <c r="F854" s="26" t="n"/>
      <c r="G854" s="26" t="n"/>
      <c r="H854" s="38" t="n"/>
      <c r="I854" s="28" t="n"/>
      <c r="J854" s="30">
        <f>IF(B854="","",IFERROR(INDEX('Share classes'!$A$4:$A$203,MATCH(B854,'Share classes'!$B$4:$B$203,0)),""))</f>
        <v/>
      </c>
      <c r="K854" s="30">
        <f>IF(A854="","",IFERROR(INDEX('Holders'!$B$4:$B$1003,MATCH(A854,'Holders'!$A$4:$A$1003,0)),""))</f>
        <v/>
      </c>
      <c r="L854" s="30">
        <f>IF(OR(A854="",B854="",D854=""),"",IF(D854=_xlfn.MAXIFS($D$4:$D$2503,$A$4:$A$2503,A854,$B$4:$B$2503,B854),"Yes","No"))</f>
        <v/>
      </c>
      <c r="M854" s="30">
        <f>IF(B854="","",IFERROR(INDEX('Share classes'!$F$4:$F$203,MATCH(B854,'Share classes'!$B$4:$B$203,0)),""))</f>
        <v/>
      </c>
      <c r="N854" s="30">
        <f>IF(A854="","",IF(K854="","Unknown holder ID",IF(J854="","Unknown class code",IF(OR(C854="",D854=""),"Missing shares or date",IF(OR(C854&lt;0,C854&lt;&gt;INT(C854)),"Shares must be a whole number",IF(COUNTIFS($A$4:$A$2503,A854,$B$4:$B$2503,B854,$D$4:$D$2503,D854)&gt;1,"Duplicate row (same date)","OK"))))))</f>
        <v/>
      </c>
    </row>
    <row r="855">
      <c r="A855" s="26" t="n"/>
      <c r="B855" s="26" t="n"/>
      <c r="C855" s="34" t="n"/>
      <c r="D855" s="28" t="n"/>
      <c r="E855" s="26" t="n"/>
      <c r="F855" s="26" t="n"/>
      <c r="G855" s="26" t="n"/>
      <c r="H855" s="38" t="n"/>
      <c r="I855" s="28" t="n"/>
      <c r="J855" s="30">
        <f>IF(B855="","",IFERROR(INDEX('Share classes'!$A$4:$A$203,MATCH(B855,'Share classes'!$B$4:$B$203,0)),""))</f>
        <v/>
      </c>
      <c r="K855" s="30">
        <f>IF(A855="","",IFERROR(INDEX('Holders'!$B$4:$B$1003,MATCH(A855,'Holders'!$A$4:$A$1003,0)),""))</f>
        <v/>
      </c>
      <c r="L855" s="30">
        <f>IF(OR(A855="",B855="",D855=""),"",IF(D855=_xlfn.MAXIFS($D$4:$D$2503,$A$4:$A$2503,A855,$B$4:$B$2503,B855),"Yes","No"))</f>
        <v/>
      </c>
      <c r="M855" s="30">
        <f>IF(B855="","",IFERROR(INDEX('Share classes'!$F$4:$F$203,MATCH(B855,'Share classes'!$B$4:$B$203,0)),""))</f>
        <v/>
      </c>
      <c r="N855" s="30">
        <f>IF(A855="","",IF(K855="","Unknown holder ID",IF(J855="","Unknown class code",IF(OR(C855="",D855=""),"Missing shares or date",IF(OR(C855&lt;0,C855&lt;&gt;INT(C855)),"Shares must be a whole number",IF(COUNTIFS($A$4:$A$2503,A855,$B$4:$B$2503,B855,$D$4:$D$2503,D855)&gt;1,"Duplicate row (same date)","OK"))))))</f>
        <v/>
      </c>
    </row>
    <row r="856">
      <c r="A856" s="26" t="n"/>
      <c r="B856" s="26" t="n"/>
      <c r="C856" s="34" t="n"/>
      <c r="D856" s="28" t="n"/>
      <c r="E856" s="26" t="n"/>
      <c r="F856" s="26" t="n"/>
      <c r="G856" s="26" t="n"/>
      <c r="H856" s="38" t="n"/>
      <c r="I856" s="28" t="n"/>
      <c r="J856" s="30">
        <f>IF(B856="","",IFERROR(INDEX('Share classes'!$A$4:$A$203,MATCH(B856,'Share classes'!$B$4:$B$203,0)),""))</f>
        <v/>
      </c>
      <c r="K856" s="30">
        <f>IF(A856="","",IFERROR(INDEX('Holders'!$B$4:$B$1003,MATCH(A856,'Holders'!$A$4:$A$1003,0)),""))</f>
        <v/>
      </c>
      <c r="L856" s="30">
        <f>IF(OR(A856="",B856="",D856=""),"",IF(D856=_xlfn.MAXIFS($D$4:$D$2503,$A$4:$A$2503,A856,$B$4:$B$2503,B856),"Yes","No"))</f>
        <v/>
      </c>
      <c r="M856" s="30">
        <f>IF(B856="","",IFERROR(INDEX('Share classes'!$F$4:$F$203,MATCH(B856,'Share classes'!$B$4:$B$203,0)),""))</f>
        <v/>
      </c>
      <c r="N856" s="30">
        <f>IF(A856="","",IF(K856="","Unknown holder ID",IF(J856="","Unknown class code",IF(OR(C856="",D856=""),"Missing shares or date",IF(OR(C856&lt;0,C856&lt;&gt;INT(C856)),"Shares must be a whole number",IF(COUNTIFS($A$4:$A$2503,A856,$B$4:$B$2503,B856,$D$4:$D$2503,D856)&gt;1,"Duplicate row (same date)","OK"))))))</f>
        <v/>
      </c>
    </row>
    <row r="857">
      <c r="A857" s="26" t="n"/>
      <c r="B857" s="26" t="n"/>
      <c r="C857" s="34" t="n"/>
      <c r="D857" s="28" t="n"/>
      <c r="E857" s="26" t="n"/>
      <c r="F857" s="26" t="n"/>
      <c r="G857" s="26" t="n"/>
      <c r="H857" s="38" t="n"/>
      <c r="I857" s="28" t="n"/>
      <c r="J857" s="30">
        <f>IF(B857="","",IFERROR(INDEX('Share classes'!$A$4:$A$203,MATCH(B857,'Share classes'!$B$4:$B$203,0)),""))</f>
        <v/>
      </c>
      <c r="K857" s="30">
        <f>IF(A857="","",IFERROR(INDEX('Holders'!$B$4:$B$1003,MATCH(A857,'Holders'!$A$4:$A$1003,0)),""))</f>
        <v/>
      </c>
      <c r="L857" s="30">
        <f>IF(OR(A857="",B857="",D857=""),"",IF(D857=_xlfn.MAXIFS($D$4:$D$2503,$A$4:$A$2503,A857,$B$4:$B$2503,B857),"Yes","No"))</f>
        <v/>
      </c>
      <c r="M857" s="30">
        <f>IF(B857="","",IFERROR(INDEX('Share classes'!$F$4:$F$203,MATCH(B857,'Share classes'!$B$4:$B$203,0)),""))</f>
        <v/>
      </c>
      <c r="N857" s="30">
        <f>IF(A857="","",IF(K857="","Unknown holder ID",IF(J857="","Unknown class code",IF(OR(C857="",D857=""),"Missing shares or date",IF(OR(C857&lt;0,C857&lt;&gt;INT(C857)),"Shares must be a whole number",IF(COUNTIFS($A$4:$A$2503,A857,$B$4:$B$2503,B857,$D$4:$D$2503,D857)&gt;1,"Duplicate row (same date)","OK"))))))</f>
        <v/>
      </c>
    </row>
    <row r="858">
      <c r="A858" s="26" t="n"/>
      <c r="B858" s="26" t="n"/>
      <c r="C858" s="34" t="n"/>
      <c r="D858" s="28" t="n"/>
      <c r="E858" s="26" t="n"/>
      <c r="F858" s="26" t="n"/>
      <c r="G858" s="26" t="n"/>
      <c r="H858" s="38" t="n"/>
      <c r="I858" s="28" t="n"/>
      <c r="J858" s="30">
        <f>IF(B858="","",IFERROR(INDEX('Share classes'!$A$4:$A$203,MATCH(B858,'Share classes'!$B$4:$B$203,0)),""))</f>
        <v/>
      </c>
      <c r="K858" s="30">
        <f>IF(A858="","",IFERROR(INDEX('Holders'!$B$4:$B$1003,MATCH(A858,'Holders'!$A$4:$A$1003,0)),""))</f>
        <v/>
      </c>
      <c r="L858" s="30">
        <f>IF(OR(A858="",B858="",D858=""),"",IF(D858=_xlfn.MAXIFS($D$4:$D$2503,$A$4:$A$2503,A858,$B$4:$B$2503,B858),"Yes","No"))</f>
        <v/>
      </c>
      <c r="M858" s="30">
        <f>IF(B858="","",IFERROR(INDEX('Share classes'!$F$4:$F$203,MATCH(B858,'Share classes'!$B$4:$B$203,0)),""))</f>
        <v/>
      </c>
      <c r="N858" s="30">
        <f>IF(A858="","",IF(K858="","Unknown holder ID",IF(J858="","Unknown class code",IF(OR(C858="",D858=""),"Missing shares or date",IF(OR(C858&lt;0,C858&lt;&gt;INT(C858)),"Shares must be a whole number",IF(COUNTIFS($A$4:$A$2503,A858,$B$4:$B$2503,B858,$D$4:$D$2503,D858)&gt;1,"Duplicate row (same date)","OK"))))))</f>
        <v/>
      </c>
    </row>
    <row r="859">
      <c r="A859" s="26" t="n"/>
      <c r="B859" s="26" t="n"/>
      <c r="C859" s="34" t="n"/>
      <c r="D859" s="28" t="n"/>
      <c r="E859" s="26" t="n"/>
      <c r="F859" s="26" t="n"/>
      <c r="G859" s="26" t="n"/>
      <c r="H859" s="38" t="n"/>
      <c r="I859" s="28" t="n"/>
      <c r="J859" s="30">
        <f>IF(B859="","",IFERROR(INDEX('Share classes'!$A$4:$A$203,MATCH(B859,'Share classes'!$B$4:$B$203,0)),""))</f>
        <v/>
      </c>
      <c r="K859" s="30">
        <f>IF(A859="","",IFERROR(INDEX('Holders'!$B$4:$B$1003,MATCH(A859,'Holders'!$A$4:$A$1003,0)),""))</f>
        <v/>
      </c>
      <c r="L859" s="30">
        <f>IF(OR(A859="",B859="",D859=""),"",IF(D859=_xlfn.MAXIFS($D$4:$D$2503,$A$4:$A$2503,A859,$B$4:$B$2503,B859),"Yes","No"))</f>
        <v/>
      </c>
      <c r="M859" s="30">
        <f>IF(B859="","",IFERROR(INDEX('Share classes'!$F$4:$F$203,MATCH(B859,'Share classes'!$B$4:$B$203,0)),""))</f>
        <v/>
      </c>
      <c r="N859" s="30">
        <f>IF(A859="","",IF(K859="","Unknown holder ID",IF(J859="","Unknown class code",IF(OR(C859="",D859=""),"Missing shares or date",IF(OR(C859&lt;0,C859&lt;&gt;INT(C859)),"Shares must be a whole number",IF(COUNTIFS($A$4:$A$2503,A859,$B$4:$B$2503,B859,$D$4:$D$2503,D859)&gt;1,"Duplicate row (same date)","OK"))))))</f>
        <v/>
      </c>
    </row>
    <row r="860">
      <c r="A860" s="26" t="n"/>
      <c r="B860" s="26" t="n"/>
      <c r="C860" s="34" t="n"/>
      <c r="D860" s="28" t="n"/>
      <c r="E860" s="26" t="n"/>
      <c r="F860" s="26" t="n"/>
      <c r="G860" s="26" t="n"/>
      <c r="H860" s="38" t="n"/>
      <c r="I860" s="28" t="n"/>
      <c r="J860" s="30">
        <f>IF(B860="","",IFERROR(INDEX('Share classes'!$A$4:$A$203,MATCH(B860,'Share classes'!$B$4:$B$203,0)),""))</f>
        <v/>
      </c>
      <c r="K860" s="30">
        <f>IF(A860="","",IFERROR(INDEX('Holders'!$B$4:$B$1003,MATCH(A860,'Holders'!$A$4:$A$1003,0)),""))</f>
        <v/>
      </c>
      <c r="L860" s="30">
        <f>IF(OR(A860="",B860="",D860=""),"",IF(D860=_xlfn.MAXIFS($D$4:$D$2503,$A$4:$A$2503,A860,$B$4:$B$2503,B860),"Yes","No"))</f>
        <v/>
      </c>
      <c r="M860" s="30">
        <f>IF(B860="","",IFERROR(INDEX('Share classes'!$F$4:$F$203,MATCH(B860,'Share classes'!$B$4:$B$203,0)),""))</f>
        <v/>
      </c>
      <c r="N860" s="30">
        <f>IF(A860="","",IF(K860="","Unknown holder ID",IF(J860="","Unknown class code",IF(OR(C860="",D860=""),"Missing shares or date",IF(OR(C860&lt;0,C860&lt;&gt;INT(C860)),"Shares must be a whole number",IF(COUNTIFS($A$4:$A$2503,A860,$B$4:$B$2503,B860,$D$4:$D$2503,D860)&gt;1,"Duplicate row (same date)","OK"))))))</f>
        <v/>
      </c>
    </row>
    <row r="861">
      <c r="A861" s="26" t="n"/>
      <c r="B861" s="26" t="n"/>
      <c r="C861" s="34" t="n"/>
      <c r="D861" s="28" t="n"/>
      <c r="E861" s="26" t="n"/>
      <c r="F861" s="26" t="n"/>
      <c r="G861" s="26" t="n"/>
      <c r="H861" s="38" t="n"/>
      <c r="I861" s="28" t="n"/>
      <c r="J861" s="30">
        <f>IF(B861="","",IFERROR(INDEX('Share classes'!$A$4:$A$203,MATCH(B861,'Share classes'!$B$4:$B$203,0)),""))</f>
        <v/>
      </c>
      <c r="K861" s="30">
        <f>IF(A861="","",IFERROR(INDEX('Holders'!$B$4:$B$1003,MATCH(A861,'Holders'!$A$4:$A$1003,0)),""))</f>
        <v/>
      </c>
      <c r="L861" s="30">
        <f>IF(OR(A861="",B861="",D861=""),"",IF(D861=_xlfn.MAXIFS($D$4:$D$2503,$A$4:$A$2503,A861,$B$4:$B$2503,B861),"Yes","No"))</f>
        <v/>
      </c>
      <c r="M861" s="30">
        <f>IF(B861="","",IFERROR(INDEX('Share classes'!$F$4:$F$203,MATCH(B861,'Share classes'!$B$4:$B$203,0)),""))</f>
        <v/>
      </c>
      <c r="N861" s="30">
        <f>IF(A861="","",IF(K861="","Unknown holder ID",IF(J861="","Unknown class code",IF(OR(C861="",D861=""),"Missing shares or date",IF(OR(C861&lt;0,C861&lt;&gt;INT(C861)),"Shares must be a whole number",IF(COUNTIFS($A$4:$A$2503,A861,$B$4:$B$2503,B861,$D$4:$D$2503,D861)&gt;1,"Duplicate row (same date)","OK"))))))</f>
        <v/>
      </c>
    </row>
    <row r="862">
      <c r="A862" s="26" t="n"/>
      <c r="B862" s="26" t="n"/>
      <c r="C862" s="34" t="n"/>
      <c r="D862" s="28" t="n"/>
      <c r="E862" s="26" t="n"/>
      <c r="F862" s="26" t="n"/>
      <c r="G862" s="26" t="n"/>
      <c r="H862" s="38" t="n"/>
      <c r="I862" s="28" t="n"/>
      <c r="J862" s="30">
        <f>IF(B862="","",IFERROR(INDEX('Share classes'!$A$4:$A$203,MATCH(B862,'Share classes'!$B$4:$B$203,0)),""))</f>
        <v/>
      </c>
      <c r="K862" s="30">
        <f>IF(A862="","",IFERROR(INDEX('Holders'!$B$4:$B$1003,MATCH(A862,'Holders'!$A$4:$A$1003,0)),""))</f>
        <v/>
      </c>
      <c r="L862" s="30">
        <f>IF(OR(A862="",B862="",D862=""),"",IF(D862=_xlfn.MAXIFS($D$4:$D$2503,$A$4:$A$2503,A862,$B$4:$B$2503,B862),"Yes","No"))</f>
        <v/>
      </c>
      <c r="M862" s="30">
        <f>IF(B862="","",IFERROR(INDEX('Share classes'!$F$4:$F$203,MATCH(B862,'Share classes'!$B$4:$B$203,0)),""))</f>
        <v/>
      </c>
      <c r="N862" s="30">
        <f>IF(A862="","",IF(K862="","Unknown holder ID",IF(J862="","Unknown class code",IF(OR(C862="",D862=""),"Missing shares or date",IF(OR(C862&lt;0,C862&lt;&gt;INT(C862)),"Shares must be a whole number",IF(COUNTIFS($A$4:$A$2503,A862,$B$4:$B$2503,B862,$D$4:$D$2503,D862)&gt;1,"Duplicate row (same date)","OK"))))))</f>
        <v/>
      </c>
    </row>
    <row r="863">
      <c r="A863" s="26" t="n"/>
      <c r="B863" s="26" t="n"/>
      <c r="C863" s="34" t="n"/>
      <c r="D863" s="28" t="n"/>
      <c r="E863" s="26" t="n"/>
      <c r="F863" s="26" t="n"/>
      <c r="G863" s="26" t="n"/>
      <c r="H863" s="38" t="n"/>
      <c r="I863" s="28" t="n"/>
      <c r="J863" s="30">
        <f>IF(B863="","",IFERROR(INDEX('Share classes'!$A$4:$A$203,MATCH(B863,'Share classes'!$B$4:$B$203,0)),""))</f>
        <v/>
      </c>
      <c r="K863" s="30">
        <f>IF(A863="","",IFERROR(INDEX('Holders'!$B$4:$B$1003,MATCH(A863,'Holders'!$A$4:$A$1003,0)),""))</f>
        <v/>
      </c>
      <c r="L863" s="30">
        <f>IF(OR(A863="",B863="",D863=""),"",IF(D863=_xlfn.MAXIFS($D$4:$D$2503,$A$4:$A$2503,A863,$B$4:$B$2503,B863),"Yes","No"))</f>
        <v/>
      </c>
      <c r="M863" s="30">
        <f>IF(B863="","",IFERROR(INDEX('Share classes'!$F$4:$F$203,MATCH(B863,'Share classes'!$B$4:$B$203,0)),""))</f>
        <v/>
      </c>
      <c r="N863" s="30">
        <f>IF(A863="","",IF(K863="","Unknown holder ID",IF(J863="","Unknown class code",IF(OR(C863="",D863=""),"Missing shares or date",IF(OR(C863&lt;0,C863&lt;&gt;INT(C863)),"Shares must be a whole number",IF(COUNTIFS($A$4:$A$2503,A863,$B$4:$B$2503,B863,$D$4:$D$2503,D863)&gt;1,"Duplicate row (same date)","OK"))))))</f>
        <v/>
      </c>
    </row>
    <row r="864">
      <c r="A864" s="26" t="n"/>
      <c r="B864" s="26" t="n"/>
      <c r="C864" s="34" t="n"/>
      <c r="D864" s="28" t="n"/>
      <c r="E864" s="26" t="n"/>
      <c r="F864" s="26" t="n"/>
      <c r="G864" s="26" t="n"/>
      <c r="H864" s="38" t="n"/>
      <c r="I864" s="28" t="n"/>
      <c r="J864" s="30">
        <f>IF(B864="","",IFERROR(INDEX('Share classes'!$A$4:$A$203,MATCH(B864,'Share classes'!$B$4:$B$203,0)),""))</f>
        <v/>
      </c>
      <c r="K864" s="30">
        <f>IF(A864="","",IFERROR(INDEX('Holders'!$B$4:$B$1003,MATCH(A864,'Holders'!$A$4:$A$1003,0)),""))</f>
        <v/>
      </c>
      <c r="L864" s="30">
        <f>IF(OR(A864="",B864="",D864=""),"",IF(D864=_xlfn.MAXIFS($D$4:$D$2503,$A$4:$A$2503,A864,$B$4:$B$2503,B864),"Yes","No"))</f>
        <v/>
      </c>
      <c r="M864" s="30">
        <f>IF(B864="","",IFERROR(INDEX('Share classes'!$F$4:$F$203,MATCH(B864,'Share classes'!$B$4:$B$203,0)),""))</f>
        <v/>
      </c>
      <c r="N864" s="30">
        <f>IF(A864="","",IF(K864="","Unknown holder ID",IF(J864="","Unknown class code",IF(OR(C864="",D864=""),"Missing shares or date",IF(OR(C864&lt;0,C864&lt;&gt;INT(C864)),"Shares must be a whole number",IF(COUNTIFS($A$4:$A$2503,A864,$B$4:$B$2503,B864,$D$4:$D$2503,D864)&gt;1,"Duplicate row (same date)","OK"))))))</f>
        <v/>
      </c>
    </row>
    <row r="865">
      <c r="A865" s="26" t="n"/>
      <c r="B865" s="26" t="n"/>
      <c r="C865" s="34" t="n"/>
      <c r="D865" s="28" t="n"/>
      <c r="E865" s="26" t="n"/>
      <c r="F865" s="26" t="n"/>
      <c r="G865" s="26" t="n"/>
      <c r="H865" s="38" t="n"/>
      <c r="I865" s="28" t="n"/>
      <c r="J865" s="30">
        <f>IF(B865="","",IFERROR(INDEX('Share classes'!$A$4:$A$203,MATCH(B865,'Share classes'!$B$4:$B$203,0)),""))</f>
        <v/>
      </c>
      <c r="K865" s="30">
        <f>IF(A865="","",IFERROR(INDEX('Holders'!$B$4:$B$1003,MATCH(A865,'Holders'!$A$4:$A$1003,0)),""))</f>
        <v/>
      </c>
      <c r="L865" s="30">
        <f>IF(OR(A865="",B865="",D865=""),"",IF(D865=_xlfn.MAXIFS($D$4:$D$2503,$A$4:$A$2503,A865,$B$4:$B$2503,B865),"Yes","No"))</f>
        <v/>
      </c>
      <c r="M865" s="30">
        <f>IF(B865="","",IFERROR(INDEX('Share classes'!$F$4:$F$203,MATCH(B865,'Share classes'!$B$4:$B$203,0)),""))</f>
        <v/>
      </c>
      <c r="N865" s="30">
        <f>IF(A865="","",IF(K865="","Unknown holder ID",IF(J865="","Unknown class code",IF(OR(C865="",D865=""),"Missing shares or date",IF(OR(C865&lt;0,C865&lt;&gt;INT(C865)),"Shares must be a whole number",IF(COUNTIFS($A$4:$A$2503,A865,$B$4:$B$2503,B865,$D$4:$D$2503,D865)&gt;1,"Duplicate row (same date)","OK"))))))</f>
        <v/>
      </c>
    </row>
    <row r="866">
      <c r="A866" s="26" t="n"/>
      <c r="B866" s="26" t="n"/>
      <c r="C866" s="34" t="n"/>
      <c r="D866" s="28" t="n"/>
      <c r="E866" s="26" t="n"/>
      <c r="F866" s="26" t="n"/>
      <c r="G866" s="26" t="n"/>
      <c r="H866" s="38" t="n"/>
      <c r="I866" s="28" t="n"/>
      <c r="J866" s="30">
        <f>IF(B866="","",IFERROR(INDEX('Share classes'!$A$4:$A$203,MATCH(B866,'Share classes'!$B$4:$B$203,0)),""))</f>
        <v/>
      </c>
      <c r="K866" s="30">
        <f>IF(A866="","",IFERROR(INDEX('Holders'!$B$4:$B$1003,MATCH(A866,'Holders'!$A$4:$A$1003,0)),""))</f>
        <v/>
      </c>
      <c r="L866" s="30">
        <f>IF(OR(A866="",B866="",D866=""),"",IF(D866=_xlfn.MAXIFS($D$4:$D$2503,$A$4:$A$2503,A866,$B$4:$B$2503,B866),"Yes","No"))</f>
        <v/>
      </c>
      <c r="M866" s="30">
        <f>IF(B866="","",IFERROR(INDEX('Share classes'!$F$4:$F$203,MATCH(B866,'Share classes'!$B$4:$B$203,0)),""))</f>
        <v/>
      </c>
      <c r="N866" s="30">
        <f>IF(A866="","",IF(K866="","Unknown holder ID",IF(J866="","Unknown class code",IF(OR(C866="",D866=""),"Missing shares or date",IF(OR(C866&lt;0,C866&lt;&gt;INT(C866)),"Shares must be a whole number",IF(COUNTIFS($A$4:$A$2503,A866,$B$4:$B$2503,B866,$D$4:$D$2503,D866)&gt;1,"Duplicate row (same date)","OK"))))))</f>
        <v/>
      </c>
    </row>
    <row r="867">
      <c r="A867" s="26" t="n"/>
      <c r="B867" s="26" t="n"/>
      <c r="C867" s="34" t="n"/>
      <c r="D867" s="28" t="n"/>
      <c r="E867" s="26" t="n"/>
      <c r="F867" s="26" t="n"/>
      <c r="G867" s="26" t="n"/>
      <c r="H867" s="38" t="n"/>
      <c r="I867" s="28" t="n"/>
      <c r="J867" s="30">
        <f>IF(B867="","",IFERROR(INDEX('Share classes'!$A$4:$A$203,MATCH(B867,'Share classes'!$B$4:$B$203,0)),""))</f>
        <v/>
      </c>
      <c r="K867" s="30">
        <f>IF(A867="","",IFERROR(INDEX('Holders'!$B$4:$B$1003,MATCH(A867,'Holders'!$A$4:$A$1003,0)),""))</f>
        <v/>
      </c>
      <c r="L867" s="30">
        <f>IF(OR(A867="",B867="",D867=""),"",IF(D867=_xlfn.MAXIFS($D$4:$D$2503,$A$4:$A$2503,A867,$B$4:$B$2503,B867),"Yes","No"))</f>
        <v/>
      </c>
      <c r="M867" s="30">
        <f>IF(B867="","",IFERROR(INDEX('Share classes'!$F$4:$F$203,MATCH(B867,'Share classes'!$B$4:$B$203,0)),""))</f>
        <v/>
      </c>
      <c r="N867" s="30">
        <f>IF(A867="","",IF(K867="","Unknown holder ID",IF(J867="","Unknown class code",IF(OR(C867="",D867=""),"Missing shares or date",IF(OR(C867&lt;0,C867&lt;&gt;INT(C867)),"Shares must be a whole number",IF(COUNTIFS($A$4:$A$2503,A867,$B$4:$B$2503,B867,$D$4:$D$2503,D867)&gt;1,"Duplicate row (same date)","OK"))))))</f>
        <v/>
      </c>
    </row>
    <row r="868">
      <c r="A868" s="26" t="n"/>
      <c r="B868" s="26" t="n"/>
      <c r="C868" s="34" t="n"/>
      <c r="D868" s="28" t="n"/>
      <c r="E868" s="26" t="n"/>
      <c r="F868" s="26" t="n"/>
      <c r="G868" s="26" t="n"/>
      <c r="H868" s="38" t="n"/>
      <c r="I868" s="28" t="n"/>
      <c r="J868" s="30">
        <f>IF(B868="","",IFERROR(INDEX('Share classes'!$A$4:$A$203,MATCH(B868,'Share classes'!$B$4:$B$203,0)),""))</f>
        <v/>
      </c>
      <c r="K868" s="30">
        <f>IF(A868="","",IFERROR(INDEX('Holders'!$B$4:$B$1003,MATCH(A868,'Holders'!$A$4:$A$1003,0)),""))</f>
        <v/>
      </c>
      <c r="L868" s="30">
        <f>IF(OR(A868="",B868="",D868=""),"",IF(D868=_xlfn.MAXIFS($D$4:$D$2503,$A$4:$A$2503,A868,$B$4:$B$2503,B868),"Yes","No"))</f>
        <v/>
      </c>
      <c r="M868" s="30">
        <f>IF(B868="","",IFERROR(INDEX('Share classes'!$F$4:$F$203,MATCH(B868,'Share classes'!$B$4:$B$203,0)),""))</f>
        <v/>
      </c>
      <c r="N868" s="30">
        <f>IF(A868="","",IF(K868="","Unknown holder ID",IF(J868="","Unknown class code",IF(OR(C868="",D868=""),"Missing shares or date",IF(OR(C868&lt;0,C868&lt;&gt;INT(C868)),"Shares must be a whole number",IF(COUNTIFS($A$4:$A$2503,A868,$B$4:$B$2503,B868,$D$4:$D$2503,D868)&gt;1,"Duplicate row (same date)","OK"))))))</f>
        <v/>
      </c>
    </row>
    <row r="869">
      <c r="A869" s="26" t="n"/>
      <c r="B869" s="26" t="n"/>
      <c r="C869" s="34" t="n"/>
      <c r="D869" s="28" t="n"/>
      <c r="E869" s="26" t="n"/>
      <c r="F869" s="26" t="n"/>
      <c r="G869" s="26" t="n"/>
      <c r="H869" s="38" t="n"/>
      <c r="I869" s="28" t="n"/>
      <c r="J869" s="30">
        <f>IF(B869="","",IFERROR(INDEX('Share classes'!$A$4:$A$203,MATCH(B869,'Share classes'!$B$4:$B$203,0)),""))</f>
        <v/>
      </c>
      <c r="K869" s="30">
        <f>IF(A869="","",IFERROR(INDEX('Holders'!$B$4:$B$1003,MATCH(A869,'Holders'!$A$4:$A$1003,0)),""))</f>
        <v/>
      </c>
      <c r="L869" s="30">
        <f>IF(OR(A869="",B869="",D869=""),"",IF(D869=_xlfn.MAXIFS($D$4:$D$2503,$A$4:$A$2503,A869,$B$4:$B$2503,B869),"Yes","No"))</f>
        <v/>
      </c>
      <c r="M869" s="30">
        <f>IF(B869="","",IFERROR(INDEX('Share classes'!$F$4:$F$203,MATCH(B869,'Share classes'!$B$4:$B$203,0)),""))</f>
        <v/>
      </c>
      <c r="N869" s="30">
        <f>IF(A869="","",IF(K869="","Unknown holder ID",IF(J869="","Unknown class code",IF(OR(C869="",D869=""),"Missing shares or date",IF(OR(C869&lt;0,C869&lt;&gt;INT(C869)),"Shares must be a whole number",IF(COUNTIFS($A$4:$A$2503,A869,$B$4:$B$2503,B869,$D$4:$D$2503,D869)&gt;1,"Duplicate row (same date)","OK"))))))</f>
        <v/>
      </c>
    </row>
    <row r="870">
      <c r="A870" s="26" t="n"/>
      <c r="B870" s="26" t="n"/>
      <c r="C870" s="34" t="n"/>
      <c r="D870" s="28" t="n"/>
      <c r="E870" s="26" t="n"/>
      <c r="F870" s="26" t="n"/>
      <c r="G870" s="26" t="n"/>
      <c r="H870" s="38" t="n"/>
      <c r="I870" s="28" t="n"/>
      <c r="J870" s="30">
        <f>IF(B870="","",IFERROR(INDEX('Share classes'!$A$4:$A$203,MATCH(B870,'Share classes'!$B$4:$B$203,0)),""))</f>
        <v/>
      </c>
      <c r="K870" s="30">
        <f>IF(A870="","",IFERROR(INDEX('Holders'!$B$4:$B$1003,MATCH(A870,'Holders'!$A$4:$A$1003,0)),""))</f>
        <v/>
      </c>
      <c r="L870" s="30">
        <f>IF(OR(A870="",B870="",D870=""),"",IF(D870=_xlfn.MAXIFS($D$4:$D$2503,$A$4:$A$2503,A870,$B$4:$B$2503,B870),"Yes","No"))</f>
        <v/>
      </c>
      <c r="M870" s="30">
        <f>IF(B870="","",IFERROR(INDEX('Share classes'!$F$4:$F$203,MATCH(B870,'Share classes'!$B$4:$B$203,0)),""))</f>
        <v/>
      </c>
      <c r="N870" s="30">
        <f>IF(A870="","",IF(K870="","Unknown holder ID",IF(J870="","Unknown class code",IF(OR(C870="",D870=""),"Missing shares or date",IF(OR(C870&lt;0,C870&lt;&gt;INT(C870)),"Shares must be a whole number",IF(COUNTIFS($A$4:$A$2503,A870,$B$4:$B$2503,B870,$D$4:$D$2503,D870)&gt;1,"Duplicate row (same date)","OK"))))))</f>
        <v/>
      </c>
    </row>
    <row r="871">
      <c r="A871" s="26" t="n"/>
      <c r="B871" s="26" t="n"/>
      <c r="C871" s="34" t="n"/>
      <c r="D871" s="28" t="n"/>
      <c r="E871" s="26" t="n"/>
      <c r="F871" s="26" t="n"/>
      <c r="G871" s="26" t="n"/>
      <c r="H871" s="38" t="n"/>
      <c r="I871" s="28" t="n"/>
      <c r="J871" s="30">
        <f>IF(B871="","",IFERROR(INDEX('Share classes'!$A$4:$A$203,MATCH(B871,'Share classes'!$B$4:$B$203,0)),""))</f>
        <v/>
      </c>
      <c r="K871" s="30">
        <f>IF(A871="","",IFERROR(INDEX('Holders'!$B$4:$B$1003,MATCH(A871,'Holders'!$A$4:$A$1003,0)),""))</f>
        <v/>
      </c>
      <c r="L871" s="30">
        <f>IF(OR(A871="",B871="",D871=""),"",IF(D871=_xlfn.MAXIFS($D$4:$D$2503,$A$4:$A$2503,A871,$B$4:$B$2503,B871),"Yes","No"))</f>
        <v/>
      </c>
      <c r="M871" s="30">
        <f>IF(B871="","",IFERROR(INDEX('Share classes'!$F$4:$F$203,MATCH(B871,'Share classes'!$B$4:$B$203,0)),""))</f>
        <v/>
      </c>
      <c r="N871" s="30">
        <f>IF(A871="","",IF(K871="","Unknown holder ID",IF(J871="","Unknown class code",IF(OR(C871="",D871=""),"Missing shares or date",IF(OR(C871&lt;0,C871&lt;&gt;INT(C871)),"Shares must be a whole number",IF(COUNTIFS($A$4:$A$2503,A871,$B$4:$B$2503,B871,$D$4:$D$2503,D871)&gt;1,"Duplicate row (same date)","OK"))))))</f>
        <v/>
      </c>
    </row>
    <row r="872">
      <c r="A872" s="26" t="n"/>
      <c r="B872" s="26" t="n"/>
      <c r="C872" s="34" t="n"/>
      <c r="D872" s="28" t="n"/>
      <c r="E872" s="26" t="n"/>
      <c r="F872" s="26" t="n"/>
      <c r="G872" s="26" t="n"/>
      <c r="H872" s="38" t="n"/>
      <c r="I872" s="28" t="n"/>
      <c r="J872" s="30">
        <f>IF(B872="","",IFERROR(INDEX('Share classes'!$A$4:$A$203,MATCH(B872,'Share classes'!$B$4:$B$203,0)),""))</f>
        <v/>
      </c>
      <c r="K872" s="30">
        <f>IF(A872="","",IFERROR(INDEX('Holders'!$B$4:$B$1003,MATCH(A872,'Holders'!$A$4:$A$1003,0)),""))</f>
        <v/>
      </c>
      <c r="L872" s="30">
        <f>IF(OR(A872="",B872="",D872=""),"",IF(D872=_xlfn.MAXIFS($D$4:$D$2503,$A$4:$A$2503,A872,$B$4:$B$2503,B872),"Yes","No"))</f>
        <v/>
      </c>
      <c r="M872" s="30">
        <f>IF(B872="","",IFERROR(INDEX('Share classes'!$F$4:$F$203,MATCH(B872,'Share classes'!$B$4:$B$203,0)),""))</f>
        <v/>
      </c>
      <c r="N872" s="30">
        <f>IF(A872="","",IF(K872="","Unknown holder ID",IF(J872="","Unknown class code",IF(OR(C872="",D872=""),"Missing shares or date",IF(OR(C872&lt;0,C872&lt;&gt;INT(C872)),"Shares must be a whole number",IF(COUNTIFS($A$4:$A$2503,A872,$B$4:$B$2503,B872,$D$4:$D$2503,D872)&gt;1,"Duplicate row (same date)","OK"))))))</f>
        <v/>
      </c>
    </row>
    <row r="873">
      <c r="A873" s="26" t="n"/>
      <c r="B873" s="26" t="n"/>
      <c r="C873" s="34" t="n"/>
      <c r="D873" s="28" t="n"/>
      <c r="E873" s="26" t="n"/>
      <c r="F873" s="26" t="n"/>
      <c r="G873" s="26" t="n"/>
      <c r="H873" s="38" t="n"/>
      <c r="I873" s="28" t="n"/>
      <c r="J873" s="30">
        <f>IF(B873="","",IFERROR(INDEX('Share classes'!$A$4:$A$203,MATCH(B873,'Share classes'!$B$4:$B$203,0)),""))</f>
        <v/>
      </c>
      <c r="K873" s="30">
        <f>IF(A873="","",IFERROR(INDEX('Holders'!$B$4:$B$1003,MATCH(A873,'Holders'!$A$4:$A$1003,0)),""))</f>
        <v/>
      </c>
      <c r="L873" s="30">
        <f>IF(OR(A873="",B873="",D873=""),"",IF(D873=_xlfn.MAXIFS($D$4:$D$2503,$A$4:$A$2503,A873,$B$4:$B$2503,B873),"Yes","No"))</f>
        <v/>
      </c>
      <c r="M873" s="30">
        <f>IF(B873="","",IFERROR(INDEX('Share classes'!$F$4:$F$203,MATCH(B873,'Share classes'!$B$4:$B$203,0)),""))</f>
        <v/>
      </c>
      <c r="N873" s="30">
        <f>IF(A873="","",IF(K873="","Unknown holder ID",IF(J873="","Unknown class code",IF(OR(C873="",D873=""),"Missing shares or date",IF(OR(C873&lt;0,C873&lt;&gt;INT(C873)),"Shares must be a whole number",IF(COUNTIFS($A$4:$A$2503,A873,$B$4:$B$2503,B873,$D$4:$D$2503,D873)&gt;1,"Duplicate row (same date)","OK"))))))</f>
        <v/>
      </c>
    </row>
    <row r="874">
      <c r="A874" s="26" t="n"/>
      <c r="B874" s="26" t="n"/>
      <c r="C874" s="34" t="n"/>
      <c r="D874" s="28" t="n"/>
      <c r="E874" s="26" t="n"/>
      <c r="F874" s="26" t="n"/>
      <c r="G874" s="26" t="n"/>
      <c r="H874" s="38" t="n"/>
      <c r="I874" s="28" t="n"/>
      <c r="J874" s="30">
        <f>IF(B874="","",IFERROR(INDEX('Share classes'!$A$4:$A$203,MATCH(B874,'Share classes'!$B$4:$B$203,0)),""))</f>
        <v/>
      </c>
      <c r="K874" s="30">
        <f>IF(A874="","",IFERROR(INDEX('Holders'!$B$4:$B$1003,MATCH(A874,'Holders'!$A$4:$A$1003,0)),""))</f>
        <v/>
      </c>
      <c r="L874" s="30">
        <f>IF(OR(A874="",B874="",D874=""),"",IF(D874=_xlfn.MAXIFS($D$4:$D$2503,$A$4:$A$2503,A874,$B$4:$B$2503,B874),"Yes","No"))</f>
        <v/>
      </c>
      <c r="M874" s="30">
        <f>IF(B874="","",IFERROR(INDEX('Share classes'!$F$4:$F$203,MATCH(B874,'Share classes'!$B$4:$B$203,0)),""))</f>
        <v/>
      </c>
      <c r="N874" s="30">
        <f>IF(A874="","",IF(K874="","Unknown holder ID",IF(J874="","Unknown class code",IF(OR(C874="",D874=""),"Missing shares or date",IF(OR(C874&lt;0,C874&lt;&gt;INT(C874)),"Shares must be a whole number",IF(COUNTIFS($A$4:$A$2503,A874,$B$4:$B$2503,B874,$D$4:$D$2503,D874)&gt;1,"Duplicate row (same date)","OK"))))))</f>
        <v/>
      </c>
    </row>
    <row r="875">
      <c r="A875" s="26" t="n"/>
      <c r="B875" s="26" t="n"/>
      <c r="C875" s="34" t="n"/>
      <c r="D875" s="28" t="n"/>
      <c r="E875" s="26" t="n"/>
      <c r="F875" s="26" t="n"/>
      <c r="G875" s="26" t="n"/>
      <c r="H875" s="38" t="n"/>
      <c r="I875" s="28" t="n"/>
      <c r="J875" s="30">
        <f>IF(B875="","",IFERROR(INDEX('Share classes'!$A$4:$A$203,MATCH(B875,'Share classes'!$B$4:$B$203,0)),""))</f>
        <v/>
      </c>
      <c r="K875" s="30">
        <f>IF(A875="","",IFERROR(INDEX('Holders'!$B$4:$B$1003,MATCH(A875,'Holders'!$A$4:$A$1003,0)),""))</f>
        <v/>
      </c>
      <c r="L875" s="30">
        <f>IF(OR(A875="",B875="",D875=""),"",IF(D875=_xlfn.MAXIFS($D$4:$D$2503,$A$4:$A$2503,A875,$B$4:$B$2503,B875),"Yes","No"))</f>
        <v/>
      </c>
      <c r="M875" s="30">
        <f>IF(B875="","",IFERROR(INDEX('Share classes'!$F$4:$F$203,MATCH(B875,'Share classes'!$B$4:$B$203,0)),""))</f>
        <v/>
      </c>
      <c r="N875" s="30">
        <f>IF(A875="","",IF(K875="","Unknown holder ID",IF(J875="","Unknown class code",IF(OR(C875="",D875=""),"Missing shares or date",IF(OR(C875&lt;0,C875&lt;&gt;INT(C875)),"Shares must be a whole number",IF(COUNTIFS($A$4:$A$2503,A875,$B$4:$B$2503,B875,$D$4:$D$2503,D875)&gt;1,"Duplicate row (same date)","OK"))))))</f>
        <v/>
      </c>
    </row>
    <row r="876">
      <c r="A876" s="26" t="n"/>
      <c r="B876" s="26" t="n"/>
      <c r="C876" s="34" t="n"/>
      <c r="D876" s="28" t="n"/>
      <c r="E876" s="26" t="n"/>
      <c r="F876" s="26" t="n"/>
      <c r="G876" s="26" t="n"/>
      <c r="H876" s="38" t="n"/>
      <c r="I876" s="28" t="n"/>
      <c r="J876" s="30">
        <f>IF(B876="","",IFERROR(INDEX('Share classes'!$A$4:$A$203,MATCH(B876,'Share classes'!$B$4:$B$203,0)),""))</f>
        <v/>
      </c>
      <c r="K876" s="30">
        <f>IF(A876="","",IFERROR(INDEX('Holders'!$B$4:$B$1003,MATCH(A876,'Holders'!$A$4:$A$1003,0)),""))</f>
        <v/>
      </c>
      <c r="L876" s="30">
        <f>IF(OR(A876="",B876="",D876=""),"",IF(D876=_xlfn.MAXIFS($D$4:$D$2503,$A$4:$A$2503,A876,$B$4:$B$2503,B876),"Yes","No"))</f>
        <v/>
      </c>
      <c r="M876" s="30">
        <f>IF(B876="","",IFERROR(INDEX('Share classes'!$F$4:$F$203,MATCH(B876,'Share classes'!$B$4:$B$203,0)),""))</f>
        <v/>
      </c>
      <c r="N876" s="30">
        <f>IF(A876="","",IF(K876="","Unknown holder ID",IF(J876="","Unknown class code",IF(OR(C876="",D876=""),"Missing shares or date",IF(OR(C876&lt;0,C876&lt;&gt;INT(C876)),"Shares must be a whole number",IF(COUNTIFS($A$4:$A$2503,A876,$B$4:$B$2503,B876,$D$4:$D$2503,D876)&gt;1,"Duplicate row (same date)","OK"))))))</f>
        <v/>
      </c>
    </row>
    <row r="877">
      <c r="A877" s="26" t="n"/>
      <c r="B877" s="26" t="n"/>
      <c r="C877" s="34" t="n"/>
      <c r="D877" s="28" t="n"/>
      <c r="E877" s="26" t="n"/>
      <c r="F877" s="26" t="n"/>
      <c r="G877" s="26" t="n"/>
      <c r="H877" s="38" t="n"/>
      <c r="I877" s="28" t="n"/>
      <c r="J877" s="30">
        <f>IF(B877="","",IFERROR(INDEX('Share classes'!$A$4:$A$203,MATCH(B877,'Share classes'!$B$4:$B$203,0)),""))</f>
        <v/>
      </c>
      <c r="K877" s="30">
        <f>IF(A877="","",IFERROR(INDEX('Holders'!$B$4:$B$1003,MATCH(A877,'Holders'!$A$4:$A$1003,0)),""))</f>
        <v/>
      </c>
      <c r="L877" s="30">
        <f>IF(OR(A877="",B877="",D877=""),"",IF(D877=_xlfn.MAXIFS($D$4:$D$2503,$A$4:$A$2503,A877,$B$4:$B$2503,B877),"Yes","No"))</f>
        <v/>
      </c>
      <c r="M877" s="30">
        <f>IF(B877="","",IFERROR(INDEX('Share classes'!$F$4:$F$203,MATCH(B877,'Share classes'!$B$4:$B$203,0)),""))</f>
        <v/>
      </c>
      <c r="N877" s="30">
        <f>IF(A877="","",IF(K877="","Unknown holder ID",IF(J877="","Unknown class code",IF(OR(C877="",D877=""),"Missing shares or date",IF(OR(C877&lt;0,C877&lt;&gt;INT(C877)),"Shares must be a whole number",IF(COUNTIFS($A$4:$A$2503,A877,$B$4:$B$2503,B877,$D$4:$D$2503,D877)&gt;1,"Duplicate row (same date)","OK"))))))</f>
        <v/>
      </c>
    </row>
    <row r="878">
      <c r="A878" s="26" t="n"/>
      <c r="B878" s="26" t="n"/>
      <c r="C878" s="34" t="n"/>
      <c r="D878" s="28" t="n"/>
      <c r="E878" s="26" t="n"/>
      <c r="F878" s="26" t="n"/>
      <c r="G878" s="26" t="n"/>
      <c r="H878" s="38" t="n"/>
      <c r="I878" s="28" t="n"/>
      <c r="J878" s="30">
        <f>IF(B878="","",IFERROR(INDEX('Share classes'!$A$4:$A$203,MATCH(B878,'Share classes'!$B$4:$B$203,0)),""))</f>
        <v/>
      </c>
      <c r="K878" s="30">
        <f>IF(A878="","",IFERROR(INDEX('Holders'!$B$4:$B$1003,MATCH(A878,'Holders'!$A$4:$A$1003,0)),""))</f>
        <v/>
      </c>
      <c r="L878" s="30">
        <f>IF(OR(A878="",B878="",D878=""),"",IF(D878=_xlfn.MAXIFS($D$4:$D$2503,$A$4:$A$2503,A878,$B$4:$B$2503,B878),"Yes","No"))</f>
        <v/>
      </c>
      <c r="M878" s="30">
        <f>IF(B878="","",IFERROR(INDEX('Share classes'!$F$4:$F$203,MATCH(B878,'Share classes'!$B$4:$B$203,0)),""))</f>
        <v/>
      </c>
      <c r="N878" s="30">
        <f>IF(A878="","",IF(K878="","Unknown holder ID",IF(J878="","Unknown class code",IF(OR(C878="",D878=""),"Missing shares or date",IF(OR(C878&lt;0,C878&lt;&gt;INT(C878)),"Shares must be a whole number",IF(COUNTIFS($A$4:$A$2503,A878,$B$4:$B$2503,B878,$D$4:$D$2503,D878)&gt;1,"Duplicate row (same date)","OK"))))))</f>
        <v/>
      </c>
    </row>
    <row r="879">
      <c r="A879" s="26" t="n"/>
      <c r="B879" s="26" t="n"/>
      <c r="C879" s="34" t="n"/>
      <c r="D879" s="28" t="n"/>
      <c r="E879" s="26" t="n"/>
      <c r="F879" s="26" t="n"/>
      <c r="G879" s="26" t="n"/>
      <c r="H879" s="38" t="n"/>
      <c r="I879" s="28" t="n"/>
      <c r="J879" s="30">
        <f>IF(B879="","",IFERROR(INDEX('Share classes'!$A$4:$A$203,MATCH(B879,'Share classes'!$B$4:$B$203,0)),""))</f>
        <v/>
      </c>
      <c r="K879" s="30">
        <f>IF(A879="","",IFERROR(INDEX('Holders'!$B$4:$B$1003,MATCH(A879,'Holders'!$A$4:$A$1003,0)),""))</f>
        <v/>
      </c>
      <c r="L879" s="30">
        <f>IF(OR(A879="",B879="",D879=""),"",IF(D879=_xlfn.MAXIFS($D$4:$D$2503,$A$4:$A$2503,A879,$B$4:$B$2503,B879),"Yes","No"))</f>
        <v/>
      </c>
      <c r="M879" s="30">
        <f>IF(B879="","",IFERROR(INDEX('Share classes'!$F$4:$F$203,MATCH(B879,'Share classes'!$B$4:$B$203,0)),""))</f>
        <v/>
      </c>
      <c r="N879" s="30">
        <f>IF(A879="","",IF(K879="","Unknown holder ID",IF(J879="","Unknown class code",IF(OR(C879="",D879=""),"Missing shares or date",IF(OR(C879&lt;0,C879&lt;&gt;INT(C879)),"Shares must be a whole number",IF(COUNTIFS($A$4:$A$2503,A879,$B$4:$B$2503,B879,$D$4:$D$2503,D879)&gt;1,"Duplicate row (same date)","OK"))))))</f>
        <v/>
      </c>
    </row>
    <row r="880">
      <c r="A880" s="26" t="n"/>
      <c r="B880" s="26" t="n"/>
      <c r="C880" s="34" t="n"/>
      <c r="D880" s="28" t="n"/>
      <c r="E880" s="26" t="n"/>
      <c r="F880" s="26" t="n"/>
      <c r="G880" s="26" t="n"/>
      <c r="H880" s="38" t="n"/>
      <c r="I880" s="28" t="n"/>
      <c r="J880" s="30">
        <f>IF(B880="","",IFERROR(INDEX('Share classes'!$A$4:$A$203,MATCH(B880,'Share classes'!$B$4:$B$203,0)),""))</f>
        <v/>
      </c>
      <c r="K880" s="30">
        <f>IF(A880="","",IFERROR(INDEX('Holders'!$B$4:$B$1003,MATCH(A880,'Holders'!$A$4:$A$1003,0)),""))</f>
        <v/>
      </c>
      <c r="L880" s="30">
        <f>IF(OR(A880="",B880="",D880=""),"",IF(D880=_xlfn.MAXIFS($D$4:$D$2503,$A$4:$A$2503,A880,$B$4:$B$2503,B880),"Yes","No"))</f>
        <v/>
      </c>
      <c r="M880" s="30">
        <f>IF(B880="","",IFERROR(INDEX('Share classes'!$F$4:$F$203,MATCH(B880,'Share classes'!$B$4:$B$203,0)),""))</f>
        <v/>
      </c>
      <c r="N880" s="30">
        <f>IF(A880="","",IF(K880="","Unknown holder ID",IF(J880="","Unknown class code",IF(OR(C880="",D880=""),"Missing shares or date",IF(OR(C880&lt;0,C880&lt;&gt;INT(C880)),"Shares must be a whole number",IF(COUNTIFS($A$4:$A$2503,A880,$B$4:$B$2503,B880,$D$4:$D$2503,D880)&gt;1,"Duplicate row (same date)","OK"))))))</f>
        <v/>
      </c>
    </row>
    <row r="881">
      <c r="A881" s="26" t="n"/>
      <c r="B881" s="26" t="n"/>
      <c r="C881" s="34" t="n"/>
      <c r="D881" s="28" t="n"/>
      <c r="E881" s="26" t="n"/>
      <c r="F881" s="26" t="n"/>
      <c r="G881" s="26" t="n"/>
      <c r="H881" s="38" t="n"/>
      <c r="I881" s="28" t="n"/>
      <c r="J881" s="30">
        <f>IF(B881="","",IFERROR(INDEX('Share classes'!$A$4:$A$203,MATCH(B881,'Share classes'!$B$4:$B$203,0)),""))</f>
        <v/>
      </c>
      <c r="K881" s="30">
        <f>IF(A881="","",IFERROR(INDEX('Holders'!$B$4:$B$1003,MATCH(A881,'Holders'!$A$4:$A$1003,0)),""))</f>
        <v/>
      </c>
      <c r="L881" s="30">
        <f>IF(OR(A881="",B881="",D881=""),"",IF(D881=_xlfn.MAXIFS($D$4:$D$2503,$A$4:$A$2503,A881,$B$4:$B$2503,B881),"Yes","No"))</f>
        <v/>
      </c>
      <c r="M881" s="30">
        <f>IF(B881="","",IFERROR(INDEX('Share classes'!$F$4:$F$203,MATCH(B881,'Share classes'!$B$4:$B$203,0)),""))</f>
        <v/>
      </c>
      <c r="N881" s="30">
        <f>IF(A881="","",IF(K881="","Unknown holder ID",IF(J881="","Unknown class code",IF(OR(C881="",D881=""),"Missing shares or date",IF(OR(C881&lt;0,C881&lt;&gt;INT(C881)),"Shares must be a whole number",IF(COUNTIFS($A$4:$A$2503,A881,$B$4:$B$2503,B881,$D$4:$D$2503,D881)&gt;1,"Duplicate row (same date)","OK"))))))</f>
        <v/>
      </c>
    </row>
    <row r="882">
      <c r="A882" s="26" t="n"/>
      <c r="B882" s="26" t="n"/>
      <c r="C882" s="34" t="n"/>
      <c r="D882" s="28" t="n"/>
      <c r="E882" s="26" t="n"/>
      <c r="F882" s="26" t="n"/>
      <c r="G882" s="26" t="n"/>
      <c r="H882" s="38" t="n"/>
      <c r="I882" s="28" t="n"/>
      <c r="J882" s="30">
        <f>IF(B882="","",IFERROR(INDEX('Share classes'!$A$4:$A$203,MATCH(B882,'Share classes'!$B$4:$B$203,0)),""))</f>
        <v/>
      </c>
      <c r="K882" s="30">
        <f>IF(A882="","",IFERROR(INDEX('Holders'!$B$4:$B$1003,MATCH(A882,'Holders'!$A$4:$A$1003,0)),""))</f>
        <v/>
      </c>
      <c r="L882" s="30">
        <f>IF(OR(A882="",B882="",D882=""),"",IF(D882=_xlfn.MAXIFS($D$4:$D$2503,$A$4:$A$2503,A882,$B$4:$B$2503,B882),"Yes","No"))</f>
        <v/>
      </c>
      <c r="M882" s="30">
        <f>IF(B882="","",IFERROR(INDEX('Share classes'!$F$4:$F$203,MATCH(B882,'Share classes'!$B$4:$B$203,0)),""))</f>
        <v/>
      </c>
      <c r="N882" s="30">
        <f>IF(A882="","",IF(K882="","Unknown holder ID",IF(J882="","Unknown class code",IF(OR(C882="",D882=""),"Missing shares or date",IF(OR(C882&lt;0,C882&lt;&gt;INT(C882)),"Shares must be a whole number",IF(COUNTIFS($A$4:$A$2503,A882,$B$4:$B$2503,B882,$D$4:$D$2503,D882)&gt;1,"Duplicate row (same date)","OK"))))))</f>
        <v/>
      </c>
    </row>
    <row r="883">
      <c r="A883" s="26" t="n"/>
      <c r="B883" s="26" t="n"/>
      <c r="C883" s="34" t="n"/>
      <c r="D883" s="28" t="n"/>
      <c r="E883" s="26" t="n"/>
      <c r="F883" s="26" t="n"/>
      <c r="G883" s="26" t="n"/>
      <c r="H883" s="38" t="n"/>
      <c r="I883" s="28" t="n"/>
      <c r="J883" s="30">
        <f>IF(B883="","",IFERROR(INDEX('Share classes'!$A$4:$A$203,MATCH(B883,'Share classes'!$B$4:$B$203,0)),""))</f>
        <v/>
      </c>
      <c r="K883" s="30">
        <f>IF(A883="","",IFERROR(INDEX('Holders'!$B$4:$B$1003,MATCH(A883,'Holders'!$A$4:$A$1003,0)),""))</f>
        <v/>
      </c>
      <c r="L883" s="30">
        <f>IF(OR(A883="",B883="",D883=""),"",IF(D883=_xlfn.MAXIFS($D$4:$D$2503,$A$4:$A$2503,A883,$B$4:$B$2503,B883),"Yes","No"))</f>
        <v/>
      </c>
      <c r="M883" s="30">
        <f>IF(B883="","",IFERROR(INDEX('Share classes'!$F$4:$F$203,MATCH(B883,'Share classes'!$B$4:$B$203,0)),""))</f>
        <v/>
      </c>
      <c r="N883" s="30">
        <f>IF(A883="","",IF(K883="","Unknown holder ID",IF(J883="","Unknown class code",IF(OR(C883="",D883=""),"Missing shares or date",IF(OR(C883&lt;0,C883&lt;&gt;INT(C883)),"Shares must be a whole number",IF(COUNTIFS($A$4:$A$2503,A883,$B$4:$B$2503,B883,$D$4:$D$2503,D883)&gt;1,"Duplicate row (same date)","OK"))))))</f>
        <v/>
      </c>
    </row>
    <row r="884">
      <c r="A884" s="26" t="n"/>
      <c r="B884" s="26" t="n"/>
      <c r="C884" s="34" t="n"/>
      <c r="D884" s="28" t="n"/>
      <c r="E884" s="26" t="n"/>
      <c r="F884" s="26" t="n"/>
      <c r="G884" s="26" t="n"/>
      <c r="H884" s="38" t="n"/>
      <c r="I884" s="28" t="n"/>
      <c r="J884" s="30">
        <f>IF(B884="","",IFERROR(INDEX('Share classes'!$A$4:$A$203,MATCH(B884,'Share classes'!$B$4:$B$203,0)),""))</f>
        <v/>
      </c>
      <c r="K884" s="30">
        <f>IF(A884="","",IFERROR(INDEX('Holders'!$B$4:$B$1003,MATCH(A884,'Holders'!$A$4:$A$1003,0)),""))</f>
        <v/>
      </c>
      <c r="L884" s="30">
        <f>IF(OR(A884="",B884="",D884=""),"",IF(D884=_xlfn.MAXIFS($D$4:$D$2503,$A$4:$A$2503,A884,$B$4:$B$2503,B884),"Yes","No"))</f>
        <v/>
      </c>
      <c r="M884" s="30">
        <f>IF(B884="","",IFERROR(INDEX('Share classes'!$F$4:$F$203,MATCH(B884,'Share classes'!$B$4:$B$203,0)),""))</f>
        <v/>
      </c>
      <c r="N884" s="30">
        <f>IF(A884="","",IF(K884="","Unknown holder ID",IF(J884="","Unknown class code",IF(OR(C884="",D884=""),"Missing shares or date",IF(OR(C884&lt;0,C884&lt;&gt;INT(C884)),"Shares must be a whole number",IF(COUNTIFS($A$4:$A$2503,A884,$B$4:$B$2503,B884,$D$4:$D$2503,D884)&gt;1,"Duplicate row (same date)","OK"))))))</f>
        <v/>
      </c>
    </row>
    <row r="885">
      <c r="A885" s="26" t="n"/>
      <c r="B885" s="26" t="n"/>
      <c r="C885" s="34" t="n"/>
      <c r="D885" s="28" t="n"/>
      <c r="E885" s="26" t="n"/>
      <c r="F885" s="26" t="n"/>
      <c r="G885" s="26" t="n"/>
      <c r="H885" s="38" t="n"/>
      <c r="I885" s="28" t="n"/>
      <c r="J885" s="30">
        <f>IF(B885="","",IFERROR(INDEX('Share classes'!$A$4:$A$203,MATCH(B885,'Share classes'!$B$4:$B$203,0)),""))</f>
        <v/>
      </c>
      <c r="K885" s="30">
        <f>IF(A885="","",IFERROR(INDEX('Holders'!$B$4:$B$1003,MATCH(A885,'Holders'!$A$4:$A$1003,0)),""))</f>
        <v/>
      </c>
      <c r="L885" s="30">
        <f>IF(OR(A885="",B885="",D885=""),"",IF(D885=_xlfn.MAXIFS($D$4:$D$2503,$A$4:$A$2503,A885,$B$4:$B$2503,B885),"Yes","No"))</f>
        <v/>
      </c>
      <c r="M885" s="30">
        <f>IF(B885="","",IFERROR(INDEX('Share classes'!$F$4:$F$203,MATCH(B885,'Share classes'!$B$4:$B$203,0)),""))</f>
        <v/>
      </c>
      <c r="N885" s="30">
        <f>IF(A885="","",IF(K885="","Unknown holder ID",IF(J885="","Unknown class code",IF(OR(C885="",D885=""),"Missing shares or date",IF(OR(C885&lt;0,C885&lt;&gt;INT(C885)),"Shares must be a whole number",IF(COUNTIFS($A$4:$A$2503,A885,$B$4:$B$2503,B885,$D$4:$D$2503,D885)&gt;1,"Duplicate row (same date)","OK"))))))</f>
        <v/>
      </c>
    </row>
    <row r="886">
      <c r="A886" s="26" t="n"/>
      <c r="B886" s="26" t="n"/>
      <c r="C886" s="34" t="n"/>
      <c r="D886" s="28" t="n"/>
      <c r="E886" s="26" t="n"/>
      <c r="F886" s="26" t="n"/>
      <c r="G886" s="26" t="n"/>
      <c r="H886" s="38" t="n"/>
      <c r="I886" s="28" t="n"/>
      <c r="J886" s="30">
        <f>IF(B886="","",IFERROR(INDEX('Share classes'!$A$4:$A$203,MATCH(B886,'Share classes'!$B$4:$B$203,0)),""))</f>
        <v/>
      </c>
      <c r="K886" s="30">
        <f>IF(A886="","",IFERROR(INDEX('Holders'!$B$4:$B$1003,MATCH(A886,'Holders'!$A$4:$A$1003,0)),""))</f>
        <v/>
      </c>
      <c r="L886" s="30">
        <f>IF(OR(A886="",B886="",D886=""),"",IF(D886=_xlfn.MAXIFS($D$4:$D$2503,$A$4:$A$2503,A886,$B$4:$B$2503,B886),"Yes","No"))</f>
        <v/>
      </c>
      <c r="M886" s="30">
        <f>IF(B886="","",IFERROR(INDEX('Share classes'!$F$4:$F$203,MATCH(B886,'Share classes'!$B$4:$B$203,0)),""))</f>
        <v/>
      </c>
      <c r="N886" s="30">
        <f>IF(A886="","",IF(K886="","Unknown holder ID",IF(J886="","Unknown class code",IF(OR(C886="",D886=""),"Missing shares or date",IF(OR(C886&lt;0,C886&lt;&gt;INT(C886)),"Shares must be a whole number",IF(COUNTIFS($A$4:$A$2503,A886,$B$4:$B$2503,B886,$D$4:$D$2503,D886)&gt;1,"Duplicate row (same date)","OK"))))))</f>
        <v/>
      </c>
    </row>
    <row r="887">
      <c r="A887" s="26" t="n"/>
      <c r="B887" s="26" t="n"/>
      <c r="C887" s="34" t="n"/>
      <c r="D887" s="28" t="n"/>
      <c r="E887" s="26" t="n"/>
      <c r="F887" s="26" t="n"/>
      <c r="G887" s="26" t="n"/>
      <c r="H887" s="38" t="n"/>
      <c r="I887" s="28" t="n"/>
      <c r="J887" s="30">
        <f>IF(B887="","",IFERROR(INDEX('Share classes'!$A$4:$A$203,MATCH(B887,'Share classes'!$B$4:$B$203,0)),""))</f>
        <v/>
      </c>
      <c r="K887" s="30">
        <f>IF(A887="","",IFERROR(INDEX('Holders'!$B$4:$B$1003,MATCH(A887,'Holders'!$A$4:$A$1003,0)),""))</f>
        <v/>
      </c>
      <c r="L887" s="30">
        <f>IF(OR(A887="",B887="",D887=""),"",IF(D887=_xlfn.MAXIFS($D$4:$D$2503,$A$4:$A$2503,A887,$B$4:$B$2503,B887),"Yes","No"))</f>
        <v/>
      </c>
      <c r="M887" s="30">
        <f>IF(B887="","",IFERROR(INDEX('Share classes'!$F$4:$F$203,MATCH(B887,'Share classes'!$B$4:$B$203,0)),""))</f>
        <v/>
      </c>
      <c r="N887" s="30">
        <f>IF(A887="","",IF(K887="","Unknown holder ID",IF(J887="","Unknown class code",IF(OR(C887="",D887=""),"Missing shares or date",IF(OR(C887&lt;0,C887&lt;&gt;INT(C887)),"Shares must be a whole number",IF(COUNTIFS($A$4:$A$2503,A887,$B$4:$B$2503,B887,$D$4:$D$2503,D887)&gt;1,"Duplicate row (same date)","OK"))))))</f>
        <v/>
      </c>
    </row>
    <row r="888">
      <c r="A888" s="26" t="n"/>
      <c r="B888" s="26" t="n"/>
      <c r="C888" s="34" t="n"/>
      <c r="D888" s="28" t="n"/>
      <c r="E888" s="26" t="n"/>
      <c r="F888" s="26" t="n"/>
      <c r="G888" s="26" t="n"/>
      <c r="H888" s="38" t="n"/>
      <c r="I888" s="28" t="n"/>
      <c r="J888" s="30">
        <f>IF(B888="","",IFERROR(INDEX('Share classes'!$A$4:$A$203,MATCH(B888,'Share classes'!$B$4:$B$203,0)),""))</f>
        <v/>
      </c>
      <c r="K888" s="30">
        <f>IF(A888="","",IFERROR(INDEX('Holders'!$B$4:$B$1003,MATCH(A888,'Holders'!$A$4:$A$1003,0)),""))</f>
        <v/>
      </c>
      <c r="L888" s="30">
        <f>IF(OR(A888="",B888="",D888=""),"",IF(D888=_xlfn.MAXIFS($D$4:$D$2503,$A$4:$A$2503,A888,$B$4:$B$2503,B888),"Yes","No"))</f>
        <v/>
      </c>
      <c r="M888" s="30">
        <f>IF(B888="","",IFERROR(INDEX('Share classes'!$F$4:$F$203,MATCH(B888,'Share classes'!$B$4:$B$203,0)),""))</f>
        <v/>
      </c>
      <c r="N888" s="30">
        <f>IF(A888="","",IF(K888="","Unknown holder ID",IF(J888="","Unknown class code",IF(OR(C888="",D888=""),"Missing shares or date",IF(OR(C888&lt;0,C888&lt;&gt;INT(C888)),"Shares must be a whole number",IF(COUNTIFS($A$4:$A$2503,A888,$B$4:$B$2503,B888,$D$4:$D$2503,D888)&gt;1,"Duplicate row (same date)","OK"))))))</f>
        <v/>
      </c>
    </row>
    <row r="889">
      <c r="A889" s="26" t="n"/>
      <c r="B889" s="26" t="n"/>
      <c r="C889" s="34" t="n"/>
      <c r="D889" s="28" t="n"/>
      <c r="E889" s="26" t="n"/>
      <c r="F889" s="26" t="n"/>
      <c r="G889" s="26" t="n"/>
      <c r="H889" s="38" t="n"/>
      <c r="I889" s="28" t="n"/>
      <c r="J889" s="30">
        <f>IF(B889="","",IFERROR(INDEX('Share classes'!$A$4:$A$203,MATCH(B889,'Share classes'!$B$4:$B$203,0)),""))</f>
        <v/>
      </c>
      <c r="K889" s="30">
        <f>IF(A889="","",IFERROR(INDEX('Holders'!$B$4:$B$1003,MATCH(A889,'Holders'!$A$4:$A$1003,0)),""))</f>
        <v/>
      </c>
      <c r="L889" s="30">
        <f>IF(OR(A889="",B889="",D889=""),"",IF(D889=_xlfn.MAXIFS($D$4:$D$2503,$A$4:$A$2503,A889,$B$4:$B$2503,B889),"Yes","No"))</f>
        <v/>
      </c>
      <c r="M889" s="30">
        <f>IF(B889="","",IFERROR(INDEX('Share classes'!$F$4:$F$203,MATCH(B889,'Share classes'!$B$4:$B$203,0)),""))</f>
        <v/>
      </c>
      <c r="N889" s="30">
        <f>IF(A889="","",IF(K889="","Unknown holder ID",IF(J889="","Unknown class code",IF(OR(C889="",D889=""),"Missing shares or date",IF(OR(C889&lt;0,C889&lt;&gt;INT(C889)),"Shares must be a whole number",IF(COUNTIFS($A$4:$A$2503,A889,$B$4:$B$2503,B889,$D$4:$D$2503,D889)&gt;1,"Duplicate row (same date)","OK"))))))</f>
        <v/>
      </c>
    </row>
    <row r="890">
      <c r="A890" s="26" t="n"/>
      <c r="B890" s="26" t="n"/>
      <c r="C890" s="34" t="n"/>
      <c r="D890" s="28" t="n"/>
      <c r="E890" s="26" t="n"/>
      <c r="F890" s="26" t="n"/>
      <c r="G890" s="26" t="n"/>
      <c r="H890" s="38" t="n"/>
      <c r="I890" s="28" t="n"/>
      <c r="J890" s="30">
        <f>IF(B890="","",IFERROR(INDEX('Share classes'!$A$4:$A$203,MATCH(B890,'Share classes'!$B$4:$B$203,0)),""))</f>
        <v/>
      </c>
      <c r="K890" s="30">
        <f>IF(A890="","",IFERROR(INDEX('Holders'!$B$4:$B$1003,MATCH(A890,'Holders'!$A$4:$A$1003,0)),""))</f>
        <v/>
      </c>
      <c r="L890" s="30">
        <f>IF(OR(A890="",B890="",D890=""),"",IF(D890=_xlfn.MAXIFS($D$4:$D$2503,$A$4:$A$2503,A890,$B$4:$B$2503,B890),"Yes","No"))</f>
        <v/>
      </c>
      <c r="M890" s="30">
        <f>IF(B890="","",IFERROR(INDEX('Share classes'!$F$4:$F$203,MATCH(B890,'Share classes'!$B$4:$B$203,0)),""))</f>
        <v/>
      </c>
      <c r="N890" s="30">
        <f>IF(A890="","",IF(K890="","Unknown holder ID",IF(J890="","Unknown class code",IF(OR(C890="",D890=""),"Missing shares or date",IF(OR(C890&lt;0,C890&lt;&gt;INT(C890)),"Shares must be a whole number",IF(COUNTIFS($A$4:$A$2503,A890,$B$4:$B$2503,B890,$D$4:$D$2503,D890)&gt;1,"Duplicate row (same date)","OK"))))))</f>
        <v/>
      </c>
    </row>
    <row r="891">
      <c r="A891" s="26" t="n"/>
      <c r="B891" s="26" t="n"/>
      <c r="C891" s="34" t="n"/>
      <c r="D891" s="28" t="n"/>
      <c r="E891" s="26" t="n"/>
      <c r="F891" s="26" t="n"/>
      <c r="G891" s="26" t="n"/>
      <c r="H891" s="38" t="n"/>
      <c r="I891" s="28" t="n"/>
      <c r="J891" s="30">
        <f>IF(B891="","",IFERROR(INDEX('Share classes'!$A$4:$A$203,MATCH(B891,'Share classes'!$B$4:$B$203,0)),""))</f>
        <v/>
      </c>
      <c r="K891" s="30">
        <f>IF(A891="","",IFERROR(INDEX('Holders'!$B$4:$B$1003,MATCH(A891,'Holders'!$A$4:$A$1003,0)),""))</f>
        <v/>
      </c>
      <c r="L891" s="30">
        <f>IF(OR(A891="",B891="",D891=""),"",IF(D891=_xlfn.MAXIFS($D$4:$D$2503,$A$4:$A$2503,A891,$B$4:$B$2503,B891),"Yes","No"))</f>
        <v/>
      </c>
      <c r="M891" s="30">
        <f>IF(B891="","",IFERROR(INDEX('Share classes'!$F$4:$F$203,MATCH(B891,'Share classes'!$B$4:$B$203,0)),""))</f>
        <v/>
      </c>
      <c r="N891" s="30">
        <f>IF(A891="","",IF(K891="","Unknown holder ID",IF(J891="","Unknown class code",IF(OR(C891="",D891=""),"Missing shares or date",IF(OR(C891&lt;0,C891&lt;&gt;INT(C891)),"Shares must be a whole number",IF(COUNTIFS($A$4:$A$2503,A891,$B$4:$B$2503,B891,$D$4:$D$2503,D891)&gt;1,"Duplicate row (same date)","OK"))))))</f>
        <v/>
      </c>
    </row>
    <row r="892">
      <c r="A892" s="26" t="n"/>
      <c r="B892" s="26" t="n"/>
      <c r="C892" s="34" t="n"/>
      <c r="D892" s="28" t="n"/>
      <c r="E892" s="26" t="n"/>
      <c r="F892" s="26" t="n"/>
      <c r="G892" s="26" t="n"/>
      <c r="H892" s="38" t="n"/>
      <c r="I892" s="28" t="n"/>
      <c r="J892" s="30">
        <f>IF(B892="","",IFERROR(INDEX('Share classes'!$A$4:$A$203,MATCH(B892,'Share classes'!$B$4:$B$203,0)),""))</f>
        <v/>
      </c>
      <c r="K892" s="30">
        <f>IF(A892="","",IFERROR(INDEX('Holders'!$B$4:$B$1003,MATCH(A892,'Holders'!$A$4:$A$1003,0)),""))</f>
        <v/>
      </c>
      <c r="L892" s="30">
        <f>IF(OR(A892="",B892="",D892=""),"",IF(D892=_xlfn.MAXIFS($D$4:$D$2503,$A$4:$A$2503,A892,$B$4:$B$2503,B892),"Yes","No"))</f>
        <v/>
      </c>
      <c r="M892" s="30">
        <f>IF(B892="","",IFERROR(INDEX('Share classes'!$F$4:$F$203,MATCH(B892,'Share classes'!$B$4:$B$203,0)),""))</f>
        <v/>
      </c>
      <c r="N892" s="30">
        <f>IF(A892="","",IF(K892="","Unknown holder ID",IF(J892="","Unknown class code",IF(OR(C892="",D892=""),"Missing shares or date",IF(OR(C892&lt;0,C892&lt;&gt;INT(C892)),"Shares must be a whole number",IF(COUNTIFS($A$4:$A$2503,A892,$B$4:$B$2503,B892,$D$4:$D$2503,D892)&gt;1,"Duplicate row (same date)","OK"))))))</f>
        <v/>
      </c>
    </row>
    <row r="893">
      <c r="A893" s="26" t="n"/>
      <c r="B893" s="26" t="n"/>
      <c r="C893" s="34" t="n"/>
      <c r="D893" s="28" t="n"/>
      <c r="E893" s="26" t="n"/>
      <c r="F893" s="26" t="n"/>
      <c r="G893" s="26" t="n"/>
      <c r="H893" s="38" t="n"/>
      <c r="I893" s="28" t="n"/>
      <c r="J893" s="30">
        <f>IF(B893="","",IFERROR(INDEX('Share classes'!$A$4:$A$203,MATCH(B893,'Share classes'!$B$4:$B$203,0)),""))</f>
        <v/>
      </c>
      <c r="K893" s="30">
        <f>IF(A893="","",IFERROR(INDEX('Holders'!$B$4:$B$1003,MATCH(A893,'Holders'!$A$4:$A$1003,0)),""))</f>
        <v/>
      </c>
      <c r="L893" s="30">
        <f>IF(OR(A893="",B893="",D893=""),"",IF(D893=_xlfn.MAXIFS($D$4:$D$2503,$A$4:$A$2503,A893,$B$4:$B$2503,B893),"Yes","No"))</f>
        <v/>
      </c>
      <c r="M893" s="30">
        <f>IF(B893="","",IFERROR(INDEX('Share classes'!$F$4:$F$203,MATCH(B893,'Share classes'!$B$4:$B$203,0)),""))</f>
        <v/>
      </c>
      <c r="N893" s="30">
        <f>IF(A893="","",IF(K893="","Unknown holder ID",IF(J893="","Unknown class code",IF(OR(C893="",D893=""),"Missing shares or date",IF(OR(C893&lt;0,C893&lt;&gt;INT(C893)),"Shares must be a whole number",IF(COUNTIFS($A$4:$A$2503,A893,$B$4:$B$2503,B893,$D$4:$D$2503,D893)&gt;1,"Duplicate row (same date)","OK"))))))</f>
        <v/>
      </c>
    </row>
    <row r="894">
      <c r="A894" s="26" t="n"/>
      <c r="B894" s="26" t="n"/>
      <c r="C894" s="34" t="n"/>
      <c r="D894" s="28" t="n"/>
      <c r="E894" s="26" t="n"/>
      <c r="F894" s="26" t="n"/>
      <c r="G894" s="26" t="n"/>
      <c r="H894" s="38" t="n"/>
      <c r="I894" s="28" t="n"/>
      <c r="J894" s="30">
        <f>IF(B894="","",IFERROR(INDEX('Share classes'!$A$4:$A$203,MATCH(B894,'Share classes'!$B$4:$B$203,0)),""))</f>
        <v/>
      </c>
      <c r="K894" s="30">
        <f>IF(A894="","",IFERROR(INDEX('Holders'!$B$4:$B$1003,MATCH(A894,'Holders'!$A$4:$A$1003,0)),""))</f>
        <v/>
      </c>
      <c r="L894" s="30">
        <f>IF(OR(A894="",B894="",D894=""),"",IF(D894=_xlfn.MAXIFS($D$4:$D$2503,$A$4:$A$2503,A894,$B$4:$B$2503,B894),"Yes","No"))</f>
        <v/>
      </c>
      <c r="M894" s="30">
        <f>IF(B894="","",IFERROR(INDEX('Share classes'!$F$4:$F$203,MATCH(B894,'Share classes'!$B$4:$B$203,0)),""))</f>
        <v/>
      </c>
      <c r="N894" s="30">
        <f>IF(A894="","",IF(K894="","Unknown holder ID",IF(J894="","Unknown class code",IF(OR(C894="",D894=""),"Missing shares or date",IF(OR(C894&lt;0,C894&lt;&gt;INT(C894)),"Shares must be a whole number",IF(COUNTIFS($A$4:$A$2503,A894,$B$4:$B$2503,B894,$D$4:$D$2503,D894)&gt;1,"Duplicate row (same date)","OK"))))))</f>
        <v/>
      </c>
    </row>
    <row r="895">
      <c r="A895" s="26" t="n"/>
      <c r="B895" s="26" t="n"/>
      <c r="C895" s="34" t="n"/>
      <c r="D895" s="28" t="n"/>
      <c r="E895" s="26" t="n"/>
      <c r="F895" s="26" t="n"/>
      <c r="G895" s="26" t="n"/>
      <c r="H895" s="38" t="n"/>
      <c r="I895" s="28" t="n"/>
      <c r="J895" s="30">
        <f>IF(B895="","",IFERROR(INDEX('Share classes'!$A$4:$A$203,MATCH(B895,'Share classes'!$B$4:$B$203,0)),""))</f>
        <v/>
      </c>
      <c r="K895" s="30">
        <f>IF(A895="","",IFERROR(INDEX('Holders'!$B$4:$B$1003,MATCH(A895,'Holders'!$A$4:$A$1003,0)),""))</f>
        <v/>
      </c>
      <c r="L895" s="30">
        <f>IF(OR(A895="",B895="",D895=""),"",IF(D895=_xlfn.MAXIFS($D$4:$D$2503,$A$4:$A$2503,A895,$B$4:$B$2503,B895),"Yes","No"))</f>
        <v/>
      </c>
      <c r="M895" s="30">
        <f>IF(B895="","",IFERROR(INDEX('Share classes'!$F$4:$F$203,MATCH(B895,'Share classes'!$B$4:$B$203,0)),""))</f>
        <v/>
      </c>
      <c r="N895" s="30">
        <f>IF(A895="","",IF(K895="","Unknown holder ID",IF(J895="","Unknown class code",IF(OR(C895="",D895=""),"Missing shares or date",IF(OR(C895&lt;0,C895&lt;&gt;INT(C895)),"Shares must be a whole number",IF(COUNTIFS($A$4:$A$2503,A895,$B$4:$B$2503,B895,$D$4:$D$2503,D895)&gt;1,"Duplicate row (same date)","OK"))))))</f>
        <v/>
      </c>
    </row>
    <row r="896">
      <c r="A896" s="26" t="n"/>
      <c r="B896" s="26" t="n"/>
      <c r="C896" s="34" t="n"/>
      <c r="D896" s="28" t="n"/>
      <c r="E896" s="26" t="n"/>
      <c r="F896" s="26" t="n"/>
      <c r="G896" s="26" t="n"/>
      <c r="H896" s="38" t="n"/>
      <c r="I896" s="28" t="n"/>
      <c r="J896" s="30">
        <f>IF(B896="","",IFERROR(INDEX('Share classes'!$A$4:$A$203,MATCH(B896,'Share classes'!$B$4:$B$203,0)),""))</f>
        <v/>
      </c>
      <c r="K896" s="30">
        <f>IF(A896="","",IFERROR(INDEX('Holders'!$B$4:$B$1003,MATCH(A896,'Holders'!$A$4:$A$1003,0)),""))</f>
        <v/>
      </c>
      <c r="L896" s="30">
        <f>IF(OR(A896="",B896="",D896=""),"",IF(D896=_xlfn.MAXIFS($D$4:$D$2503,$A$4:$A$2503,A896,$B$4:$B$2503,B896),"Yes","No"))</f>
        <v/>
      </c>
      <c r="M896" s="30">
        <f>IF(B896="","",IFERROR(INDEX('Share classes'!$F$4:$F$203,MATCH(B896,'Share classes'!$B$4:$B$203,0)),""))</f>
        <v/>
      </c>
      <c r="N896" s="30">
        <f>IF(A896="","",IF(K896="","Unknown holder ID",IF(J896="","Unknown class code",IF(OR(C896="",D896=""),"Missing shares or date",IF(OR(C896&lt;0,C896&lt;&gt;INT(C896)),"Shares must be a whole number",IF(COUNTIFS($A$4:$A$2503,A896,$B$4:$B$2503,B896,$D$4:$D$2503,D896)&gt;1,"Duplicate row (same date)","OK"))))))</f>
        <v/>
      </c>
    </row>
    <row r="897">
      <c r="A897" s="26" t="n"/>
      <c r="B897" s="26" t="n"/>
      <c r="C897" s="34" t="n"/>
      <c r="D897" s="28" t="n"/>
      <c r="E897" s="26" t="n"/>
      <c r="F897" s="26" t="n"/>
      <c r="G897" s="26" t="n"/>
      <c r="H897" s="38" t="n"/>
      <c r="I897" s="28" t="n"/>
      <c r="J897" s="30">
        <f>IF(B897="","",IFERROR(INDEX('Share classes'!$A$4:$A$203,MATCH(B897,'Share classes'!$B$4:$B$203,0)),""))</f>
        <v/>
      </c>
      <c r="K897" s="30">
        <f>IF(A897="","",IFERROR(INDEX('Holders'!$B$4:$B$1003,MATCH(A897,'Holders'!$A$4:$A$1003,0)),""))</f>
        <v/>
      </c>
      <c r="L897" s="30">
        <f>IF(OR(A897="",B897="",D897=""),"",IF(D897=_xlfn.MAXIFS($D$4:$D$2503,$A$4:$A$2503,A897,$B$4:$B$2503,B897),"Yes","No"))</f>
        <v/>
      </c>
      <c r="M897" s="30">
        <f>IF(B897="","",IFERROR(INDEX('Share classes'!$F$4:$F$203,MATCH(B897,'Share classes'!$B$4:$B$203,0)),""))</f>
        <v/>
      </c>
      <c r="N897" s="30">
        <f>IF(A897="","",IF(K897="","Unknown holder ID",IF(J897="","Unknown class code",IF(OR(C897="",D897=""),"Missing shares or date",IF(OR(C897&lt;0,C897&lt;&gt;INT(C897)),"Shares must be a whole number",IF(COUNTIFS($A$4:$A$2503,A897,$B$4:$B$2503,B897,$D$4:$D$2503,D897)&gt;1,"Duplicate row (same date)","OK"))))))</f>
        <v/>
      </c>
    </row>
    <row r="898">
      <c r="A898" s="26" t="n"/>
      <c r="B898" s="26" t="n"/>
      <c r="C898" s="34" t="n"/>
      <c r="D898" s="28" t="n"/>
      <c r="E898" s="26" t="n"/>
      <c r="F898" s="26" t="n"/>
      <c r="G898" s="26" t="n"/>
      <c r="H898" s="38" t="n"/>
      <c r="I898" s="28" t="n"/>
      <c r="J898" s="30">
        <f>IF(B898="","",IFERROR(INDEX('Share classes'!$A$4:$A$203,MATCH(B898,'Share classes'!$B$4:$B$203,0)),""))</f>
        <v/>
      </c>
      <c r="K898" s="30">
        <f>IF(A898="","",IFERROR(INDEX('Holders'!$B$4:$B$1003,MATCH(A898,'Holders'!$A$4:$A$1003,0)),""))</f>
        <v/>
      </c>
      <c r="L898" s="30">
        <f>IF(OR(A898="",B898="",D898=""),"",IF(D898=_xlfn.MAXIFS($D$4:$D$2503,$A$4:$A$2503,A898,$B$4:$B$2503,B898),"Yes","No"))</f>
        <v/>
      </c>
      <c r="M898" s="30">
        <f>IF(B898="","",IFERROR(INDEX('Share classes'!$F$4:$F$203,MATCH(B898,'Share classes'!$B$4:$B$203,0)),""))</f>
        <v/>
      </c>
      <c r="N898" s="30">
        <f>IF(A898="","",IF(K898="","Unknown holder ID",IF(J898="","Unknown class code",IF(OR(C898="",D898=""),"Missing shares or date",IF(OR(C898&lt;0,C898&lt;&gt;INT(C898)),"Shares must be a whole number",IF(COUNTIFS($A$4:$A$2503,A898,$B$4:$B$2503,B898,$D$4:$D$2503,D898)&gt;1,"Duplicate row (same date)","OK"))))))</f>
        <v/>
      </c>
    </row>
    <row r="899">
      <c r="A899" s="26" t="n"/>
      <c r="B899" s="26" t="n"/>
      <c r="C899" s="34" t="n"/>
      <c r="D899" s="28" t="n"/>
      <c r="E899" s="26" t="n"/>
      <c r="F899" s="26" t="n"/>
      <c r="G899" s="26" t="n"/>
      <c r="H899" s="38" t="n"/>
      <c r="I899" s="28" t="n"/>
      <c r="J899" s="30">
        <f>IF(B899="","",IFERROR(INDEX('Share classes'!$A$4:$A$203,MATCH(B899,'Share classes'!$B$4:$B$203,0)),""))</f>
        <v/>
      </c>
      <c r="K899" s="30">
        <f>IF(A899="","",IFERROR(INDEX('Holders'!$B$4:$B$1003,MATCH(A899,'Holders'!$A$4:$A$1003,0)),""))</f>
        <v/>
      </c>
      <c r="L899" s="30">
        <f>IF(OR(A899="",B899="",D899=""),"",IF(D899=_xlfn.MAXIFS($D$4:$D$2503,$A$4:$A$2503,A899,$B$4:$B$2503,B899),"Yes","No"))</f>
        <v/>
      </c>
      <c r="M899" s="30">
        <f>IF(B899="","",IFERROR(INDEX('Share classes'!$F$4:$F$203,MATCH(B899,'Share classes'!$B$4:$B$203,0)),""))</f>
        <v/>
      </c>
      <c r="N899" s="30">
        <f>IF(A899="","",IF(K899="","Unknown holder ID",IF(J899="","Unknown class code",IF(OR(C899="",D899=""),"Missing shares or date",IF(OR(C899&lt;0,C899&lt;&gt;INT(C899)),"Shares must be a whole number",IF(COUNTIFS($A$4:$A$2503,A899,$B$4:$B$2503,B899,$D$4:$D$2503,D899)&gt;1,"Duplicate row (same date)","OK"))))))</f>
        <v/>
      </c>
    </row>
    <row r="900">
      <c r="A900" s="26" t="n"/>
      <c r="B900" s="26" t="n"/>
      <c r="C900" s="34" t="n"/>
      <c r="D900" s="28" t="n"/>
      <c r="E900" s="26" t="n"/>
      <c r="F900" s="26" t="n"/>
      <c r="G900" s="26" t="n"/>
      <c r="H900" s="38" t="n"/>
      <c r="I900" s="28" t="n"/>
      <c r="J900" s="30">
        <f>IF(B900="","",IFERROR(INDEX('Share classes'!$A$4:$A$203,MATCH(B900,'Share classes'!$B$4:$B$203,0)),""))</f>
        <v/>
      </c>
      <c r="K900" s="30">
        <f>IF(A900="","",IFERROR(INDEX('Holders'!$B$4:$B$1003,MATCH(A900,'Holders'!$A$4:$A$1003,0)),""))</f>
        <v/>
      </c>
      <c r="L900" s="30">
        <f>IF(OR(A900="",B900="",D900=""),"",IF(D900=_xlfn.MAXIFS($D$4:$D$2503,$A$4:$A$2503,A900,$B$4:$B$2503,B900),"Yes","No"))</f>
        <v/>
      </c>
      <c r="M900" s="30">
        <f>IF(B900="","",IFERROR(INDEX('Share classes'!$F$4:$F$203,MATCH(B900,'Share classes'!$B$4:$B$203,0)),""))</f>
        <v/>
      </c>
      <c r="N900" s="30">
        <f>IF(A900="","",IF(K900="","Unknown holder ID",IF(J900="","Unknown class code",IF(OR(C900="",D900=""),"Missing shares or date",IF(OR(C900&lt;0,C900&lt;&gt;INT(C900)),"Shares must be a whole number",IF(COUNTIFS($A$4:$A$2503,A900,$B$4:$B$2503,B900,$D$4:$D$2503,D900)&gt;1,"Duplicate row (same date)","OK"))))))</f>
        <v/>
      </c>
    </row>
    <row r="901">
      <c r="A901" s="26" t="n"/>
      <c r="B901" s="26" t="n"/>
      <c r="C901" s="34" t="n"/>
      <c r="D901" s="28" t="n"/>
      <c r="E901" s="26" t="n"/>
      <c r="F901" s="26" t="n"/>
      <c r="G901" s="26" t="n"/>
      <c r="H901" s="38" t="n"/>
      <c r="I901" s="28" t="n"/>
      <c r="J901" s="30">
        <f>IF(B901="","",IFERROR(INDEX('Share classes'!$A$4:$A$203,MATCH(B901,'Share classes'!$B$4:$B$203,0)),""))</f>
        <v/>
      </c>
      <c r="K901" s="30">
        <f>IF(A901="","",IFERROR(INDEX('Holders'!$B$4:$B$1003,MATCH(A901,'Holders'!$A$4:$A$1003,0)),""))</f>
        <v/>
      </c>
      <c r="L901" s="30">
        <f>IF(OR(A901="",B901="",D901=""),"",IF(D901=_xlfn.MAXIFS($D$4:$D$2503,$A$4:$A$2503,A901,$B$4:$B$2503,B901),"Yes","No"))</f>
        <v/>
      </c>
      <c r="M901" s="30">
        <f>IF(B901="","",IFERROR(INDEX('Share classes'!$F$4:$F$203,MATCH(B901,'Share classes'!$B$4:$B$203,0)),""))</f>
        <v/>
      </c>
      <c r="N901" s="30">
        <f>IF(A901="","",IF(K901="","Unknown holder ID",IF(J901="","Unknown class code",IF(OR(C901="",D901=""),"Missing shares or date",IF(OR(C901&lt;0,C901&lt;&gt;INT(C901)),"Shares must be a whole number",IF(COUNTIFS($A$4:$A$2503,A901,$B$4:$B$2503,B901,$D$4:$D$2503,D901)&gt;1,"Duplicate row (same date)","OK"))))))</f>
        <v/>
      </c>
    </row>
    <row r="902">
      <c r="A902" s="26" t="n"/>
      <c r="B902" s="26" t="n"/>
      <c r="C902" s="34" t="n"/>
      <c r="D902" s="28" t="n"/>
      <c r="E902" s="26" t="n"/>
      <c r="F902" s="26" t="n"/>
      <c r="G902" s="26" t="n"/>
      <c r="H902" s="38" t="n"/>
      <c r="I902" s="28" t="n"/>
      <c r="J902" s="30">
        <f>IF(B902="","",IFERROR(INDEX('Share classes'!$A$4:$A$203,MATCH(B902,'Share classes'!$B$4:$B$203,0)),""))</f>
        <v/>
      </c>
      <c r="K902" s="30">
        <f>IF(A902="","",IFERROR(INDEX('Holders'!$B$4:$B$1003,MATCH(A902,'Holders'!$A$4:$A$1003,0)),""))</f>
        <v/>
      </c>
      <c r="L902" s="30">
        <f>IF(OR(A902="",B902="",D902=""),"",IF(D902=_xlfn.MAXIFS($D$4:$D$2503,$A$4:$A$2503,A902,$B$4:$B$2503,B902),"Yes","No"))</f>
        <v/>
      </c>
      <c r="M902" s="30">
        <f>IF(B902="","",IFERROR(INDEX('Share classes'!$F$4:$F$203,MATCH(B902,'Share classes'!$B$4:$B$203,0)),""))</f>
        <v/>
      </c>
      <c r="N902" s="30">
        <f>IF(A902="","",IF(K902="","Unknown holder ID",IF(J902="","Unknown class code",IF(OR(C902="",D902=""),"Missing shares or date",IF(OR(C902&lt;0,C902&lt;&gt;INT(C902)),"Shares must be a whole number",IF(COUNTIFS($A$4:$A$2503,A902,$B$4:$B$2503,B902,$D$4:$D$2503,D902)&gt;1,"Duplicate row (same date)","OK"))))))</f>
        <v/>
      </c>
    </row>
    <row r="903">
      <c r="A903" s="26" t="n"/>
      <c r="B903" s="26" t="n"/>
      <c r="C903" s="34" t="n"/>
      <c r="D903" s="28" t="n"/>
      <c r="E903" s="26" t="n"/>
      <c r="F903" s="26" t="n"/>
      <c r="G903" s="26" t="n"/>
      <c r="H903" s="38" t="n"/>
      <c r="I903" s="28" t="n"/>
      <c r="J903" s="30">
        <f>IF(B903="","",IFERROR(INDEX('Share classes'!$A$4:$A$203,MATCH(B903,'Share classes'!$B$4:$B$203,0)),""))</f>
        <v/>
      </c>
      <c r="K903" s="30">
        <f>IF(A903="","",IFERROR(INDEX('Holders'!$B$4:$B$1003,MATCH(A903,'Holders'!$A$4:$A$1003,0)),""))</f>
        <v/>
      </c>
      <c r="L903" s="30">
        <f>IF(OR(A903="",B903="",D903=""),"",IF(D903=_xlfn.MAXIFS($D$4:$D$2503,$A$4:$A$2503,A903,$B$4:$B$2503,B903),"Yes","No"))</f>
        <v/>
      </c>
      <c r="M903" s="30">
        <f>IF(B903="","",IFERROR(INDEX('Share classes'!$F$4:$F$203,MATCH(B903,'Share classes'!$B$4:$B$203,0)),""))</f>
        <v/>
      </c>
      <c r="N903" s="30">
        <f>IF(A903="","",IF(K903="","Unknown holder ID",IF(J903="","Unknown class code",IF(OR(C903="",D903=""),"Missing shares or date",IF(OR(C903&lt;0,C903&lt;&gt;INT(C903)),"Shares must be a whole number",IF(COUNTIFS($A$4:$A$2503,A903,$B$4:$B$2503,B903,$D$4:$D$2503,D903)&gt;1,"Duplicate row (same date)","OK"))))))</f>
        <v/>
      </c>
    </row>
    <row r="904">
      <c r="A904" s="26" t="n"/>
      <c r="B904" s="26" t="n"/>
      <c r="C904" s="34" t="n"/>
      <c r="D904" s="28" t="n"/>
      <c r="E904" s="26" t="n"/>
      <c r="F904" s="26" t="n"/>
      <c r="G904" s="26" t="n"/>
      <c r="H904" s="38" t="n"/>
      <c r="I904" s="28" t="n"/>
      <c r="J904" s="30">
        <f>IF(B904="","",IFERROR(INDEX('Share classes'!$A$4:$A$203,MATCH(B904,'Share classes'!$B$4:$B$203,0)),""))</f>
        <v/>
      </c>
      <c r="K904" s="30">
        <f>IF(A904="","",IFERROR(INDEX('Holders'!$B$4:$B$1003,MATCH(A904,'Holders'!$A$4:$A$1003,0)),""))</f>
        <v/>
      </c>
      <c r="L904" s="30">
        <f>IF(OR(A904="",B904="",D904=""),"",IF(D904=_xlfn.MAXIFS($D$4:$D$2503,$A$4:$A$2503,A904,$B$4:$B$2503,B904),"Yes","No"))</f>
        <v/>
      </c>
      <c r="M904" s="30">
        <f>IF(B904="","",IFERROR(INDEX('Share classes'!$F$4:$F$203,MATCH(B904,'Share classes'!$B$4:$B$203,0)),""))</f>
        <v/>
      </c>
      <c r="N904" s="30">
        <f>IF(A904="","",IF(K904="","Unknown holder ID",IF(J904="","Unknown class code",IF(OR(C904="",D904=""),"Missing shares or date",IF(OR(C904&lt;0,C904&lt;&gt;INT(C904)),"Shares must be a whole number",IF(COUNTIFS($A$4:$A$2503,A904,$B$4:$B$2503,B904,$D$4:$D$2503,D904)&gt;1,"Duplicate row (same date)","OK"))))))</f>
        <v/>
      </c>
    </row>
    <row r="905">
      <c r="A905" s="26" t="n"/>
      <c r="B905" s="26" t="n"/>
      <c r="C905" s="34" t="n"/>
      <c r="D905" s="28" t="n"/>
      <c r="E905" s="26" t="n"/>
      <c r="F905" s="26" t="n"/>
      <c r="G905" s="26" t="n"/>
      <c r="H905" s="38" t="n"/>
      <c r="I905" s="28" t="n"/>
      <c r="J905" s="30">
        <f>IF(B905="","",IFERROR(INDEX('Share classes'!$A$4:$A$203,MATCH(B905,'Share classes'!$B$4:$B$203,0)),""))</f>
        <v/>
      </c>
      <c r="K905" s="30">
        <f>IF(A905="","",IFERROR(INDEX('Holders'!$B$4:$B$1003,MATCH(A905,'Holders'!$A$4:$A$1003,0)),""))</f>
        <v/>
      </c>
      <c r="L905" s="30">
        <f>IF(OR(A905="",B905="",D905=""),"",IF(D905=_xlfn.MAXIFS($D$4:$D$2503,$A$4:$A$2503,A905,$B$4:$B$2503,B905),"Yes","No"))</f>
        <v/>
      </c>
      <c r="M905" s="30">
        <f>IF(B905="","",IFERROR(INDEX('Share classes'!$F$4:$F$203,MATCH(B905,'Share classes'!$B$4:$B$203,0)),""))</f>
        <v/>
      </c>
      <c r="N905" s="30">
        <f>IF(A905="","",IF(K905="","Unknown holder ID",IF(J905="","Unknown class code",IF(OR(C905="",D905=""),"Missing shares or date",IF(OR(C905&lt;0,C905&lt;&gt;INT(C905)),"Shares must be a whole number",IF(COUNTIFS($A$4:$A$2503,A905,$B$4:$B$2503,B905,$D$4:$D$2503,D905)&gt;1,"Duplicate row (same date)","OK"))))))</f>
        <v/>
      </c>
    </row>
    <row r="906">
      <c r="A906" s="26" t="n"/>
      <c r="B906" s="26" t="n"/>
      <c r="C906" s="34" t="n"/>
      <c r="D906" s="28" t="n"/>
      <c r="E906" s="26" t="n"/>
      <c r="F906" s="26" t="n"/>
      <c r="G906" s="26" t="n"/>
      <c r="H906" s="38" t="n"/>
      <c r="I906" s="28" t="n"/>
      <c r="J906" s="30">
        <f>IF(B906="","",IFERROR(INDEX('Share classes'!$A$4:$A$203,MATCH(B906,'Share classes'!$B$4:$B$203,0)),""))</f>
        <v/>
      </c>
      <c r="K906" s="30">
        <f>IF(A906="","",IFERROR(INDEX('Holders'!$B$4:$B$1003,MATCH(A906,'Holders'!$A$4:$A$1003,0)),""))</f>
        <v/>
      </c>
      <c r="L906" s="30">
        <f>IF(OR(A906="",B906="",D906=""),"",IF(D906=_xlfn.MAXIFS($D$4:$D$2503,$A$4:$A$2503,A906,$B$4:$B$2503,B906),"Yes","No"))</f>
        <v/>
      </c>
      <c r="M906" s="30">
        <f>IF(B906="","",IFERROR(INDEX('Share classes'!$F$4:$F$203,MATCH(B906,'Share classes'!$B$4:$B$203,0)),""))</f>
        <v/>
      </c>
      <c r="N906" s="30">
        <f>IF(A906="","",IF(K906="","Unknown holder ID",IF(J906="","Unknown class code",IF(OR(C906="",D906=""),"Missing shares or date",IF(OR(C906&lt;0,C906&lt;&gt;INT(C906)),"Shares must be a whole number",IF(COUNTIFS($A$4:$A$2503,A906,$B$4:$B$2503,B906,$D$4:$D$2503,D906)&gt;1,"Duplicate row (same date)","OK"))))))</f>
        <v/>
      </c>
    </row>
    <row r="907">
      <c r="A907" s="26" t="n"/>
      <c r="B907" s="26" t="n"/>
      <c r="C907" s="34" t="n"/>
      <c r="D907" s="28" t="n"/>
      <c r="E907" s="26" t="n"/>
      <c r="F907" s="26" t="n"/>
      <c r="G907" s="26" t="n"/>
      <c r="H907" s="38" t="n"/>
      <c r="I907" s="28" t="n"/>
      <c r="J907" s="30">
        <f>IF(B907="","",IFERROR(INDEX('Share classes'!$A$4:$A$203,MATCH(B907,'Share classes'!$B$4:$B$203,0)),""))</f>
        <v/>
      </c>
      <c r="K907" s="30">
        <f>IF(A907="","",IFERROR(INDEX('Holders'!$B$4:$B$1003,MATCH(A907,'Holders'!$A$4:$A$1003,0)),""))</f>
        <v/>
      </c>
      <c r="L907" s="30">
        <f>IF(OR(A907="",B907="",D907=""),"",IF(D907=_xlfn.MAXIFS($D$4:$D$2503,$A$4:$A$2503,A907,$B$4:$B$2503,B907),"Yes","No"))</f>
        <v/>
      </c>
      <c r="M907" s="30">
        <f>IF(B907="","",IFERROR(INDEX('Share classes'!$F$4:$F$203,MATCH(B907,'Share classes'!$B$4:$B$203,0)),""))</f>
        <v/>
      </c>
      <c r="N907" s="30">
        <f>IF(A907="","",IF(K907="","Unknown holder ID",IF(J907="","Unknown class code",IF(OR(C907="",D907=""),"Missing shares or date",IF(OR(C907&lt;0,C907&lt;&gt;INT(C907)),"Shares must be a whole number",IF(COUNTIFS($A$4:$A$2503,A907,$B$4:$B$2503,B907,$D$4:$D$2503,D907)&gt;1,"Duplicate row (same date)","OK"))))))</f>
        <v/>
      </c>
    </row>
    <row r="908">
      <c r="A908" s="26" t="n"/>
      <c r="B908" s="26" t="n"/>
      <c r="C908" s="34" t="n"/>
      <c r="D908" s="28" t="n"/>
      <c r="E908" s="26" t="n"/>
      <c r="F908" s="26" t="n"/>
      <c r="G908" s="26" t="n"/>
      <c r="H908" s="38" t="n"/>
      <c r="I908" s="28" t="n"/>
      <c r="J908" s="30">
        <f>IF(B908="","",IFERROR(INDEX('Share classes'!$A$4:$A$203,MATCH(B908,'Share classes'!$B$4:$B$203,0)),""))</f>
        <v/>
      </c>
      <c r="K908" s="30">
        <f>IF(A908="","",IFERROR(INDEX('Holders'!$B$4:$B$1003,MATCH(A908,'Holders'!$A$4:$A$1003,0)),""))</f>
        <v/>
      </c>
      <c r="L908" s="30">
        <f>IF(OR(A908="",B908="",D908=""),"",IF(D908=_xlfn.MAXIFS($D$4:$D$2503,$A$4:$A$2503,A908,$B$4:$B$2503,B908),"Yes","No"))</f>
        <v/>
      </c>
      <c r="M908" s="30">
        <f>IF(B908="","",IFERROR(INDEX('Share classes'!$F$4:$F$203,MATCH(B908,'Share classes'!$B$4:$B$203,0)),""))</f>
        <v/>
      </c>
      <c r="N908" s="30">
        <f>IF(A908="","",IF(K908="","Unknown holder ID",IF(J908="","Unknown class code",IF(OR(C908="",D908=""),"Missing shares or date",IF(OR(C908&lt;0,C908&lt;&gt;INT(C908)),"Shares must be a whole number",IF(COUNTIFS($A$4:$A$2503,A908,$B$4:$B$2503,B908,$D$4:$D$2503,D908)&gt;1,"Duplicate row (same date)","OK"))))))</f>
        <v/>
      </c>
    </row>
    <row r="909">
      <c r="A909" s="26" t="n"/>
      <c r="B909" s="26" t="n"/>
      <c r="C909" s="34" t="n"/>
      <c r="D909" s="28" t="n"/>
      <c r="E909" s="26" t="n"/>
      <c r="F909" s="26" t="n"/>
      <c r="G909" s="26" t="n"/>
      <c r="H909" s="38" t="n"/>
      <c r="I909" s="28" t="n"/>
      <c r="J909" s="30">
        <f>IF(B909="","",IFERROR(INDEX('Share classes'!$A$4:$A$203,MATCH(B909,'Share classes'!$B$4:$B$203,0)),""))</f>
        <v/>
      </c>
      <c r="K909" s="30">
        <f>IF(A909="","",IFERROR(INDEX('Holders'!$B$4:$B$1003,MATCH(A909,'Holders'!$A$4:$A$1003,0)),""))</f>
        <v/>
      </c>
      <c r="L909" s="30">
        <f>IF(OR(A909="",B909="",D909=""),"",IF(D909=_xlfn.MAXIFS($D$4:$D$2503,$A$4:$A$2503,A909,$B$4:$B$2503,B909),"Yes","No"))</f>
        <v/>
      </c>
      <c r="M909" s="30">
        <f>IF(B909="","",IFERROR(INDEX('Share classes'!$F$4:$F$203,MATCH(B909,'Share classes'!$B$4:$B$203,0)),""))</f>
        <v/>
      </c>
      <c r="N909" s="30">
        <f>IF(A909="","",IF(K909="","Unknown holder ID",IF(J909="","Unknown class code",IF(OR(C909="",D909=""),"Missing shares or date",IF(OR(C909&lt;0,C909&lt;&gt;INT(C909)),"Shares must be a whole number",IF(COUNTIFS($A$4:$A$2503,A909,$B$4:$B$2503,B909,$D$4:$D$2503,D909)&gt;1,"Duplicate row (same date)","OK"))))))</f>
        <v/>
      </c>
    </row>
    <row r="910">
      <c r="A910" s="26" t="n"/>
      <c r="B910" s="26" t="n"/>
      <c r="C910" s="34" t="n"/>
      <c r="D910" s="28" t="n"/>
      <c r="E910" s="26" t="n"/>
      <c r="F910" s="26" t="n"/>
      <c r="G910" s="26" t="n"/>
      <c r="H910" s="38" t="n"/>
      <c r="I910" s="28" t="n"/>
      <c r="J910" s="30">
        <f>IF(B910="","",IFERROR(INDEX('Share classes'!$A$4:$A$203,MATCH(B910,'Share classes'!$B$4:$B$203,0)),""))</f>
        <v/>
      </c>
      <c r="K910" s="30">
        <f>IF(A910="","",IFERROR(INDEX('Holders'!$B$4:$B$1003,MATCH(A910,'Holders'!$A$4:$A$1003,0)),""))</f>
        <v/>
      </c>
      <c r="L910" s="30">
        <f>IF(OR(A910="",B910="",D910=""),"",IF(D910=_xlfn.MAXIFS($D$4:$D$2503,$A$4:$A$2503,A910,$B$4:$B$2503,B910),"Yes","No"))</f>
        <v/>
      </c>
      <c r="M910" s="30">
        <f>IF(B910="","",IFERROR(INDEX('Share classes'!$F$4:$F$203,MATCH(B910,'Share classes'!$B$4:$B$203,0)),""))</f>
        <v/>
      </c>
      <c r="N910" s="30">
        <f>IF(A910="","",IF(K910="","Unknown holder ID",IF(J910="","Unknown class code",IF(OR(C910="",D910=""),"Missing shares or date",IF(OR(C910&lt;0,C910&lt;&gt;INT(C910)),"Shares must be a whole number",IF(COUNTIFS($A$4:$A$2503,A910,$B$4:$B$2503,B910,$D$4:$D$2503,D910)&gt;1,"Duplicate row (same date)","OK"))))))</f>
        <v/>
      </c>
    </row>
    <row r="911">
      <c r="A911" s="26" t="n"/>
      <c r="B911" s="26" t="n"/>
      <c r="C911" s="34" t="n"/>
      <c r="D911" s="28" t="n"/>
      <c r="E911" s="26" t="n"/>
      <c r="F911" s="26" t="n"/>
      <c r="G911" s="26" t="n"/>
      <c r="H911" s="38" t="n"/>
      <c r="I911" s="28" t="n"/>
      <c r="J911" s="30">
        <f>IF(B911="","",IFERROR(INDEX('Share classes'!$A$4:$A$203,MATCH(B911,'Share classes'!$B$4:$B$203,0)),""))</f>
        <v/>
      </c>
      <c r="K911" s="30">
        <f>IF(A911="","",IFERROR(INDEX('Holders'!$B$4:$B$1003,MATCH(A911,'Holders'!$A$4:$A$1003,0)),""))</f>
        <v/>
      </c>
      <c r="L911" s="30">
        <f>IF(OR(A911="",B911="",D911=""),"",IF(D911=_xlfn.MAXIFS($D$4:$D$2503,$A$4:$A$2503,A911,$B$4:$B$2503,B911),"Yes","No"))</f>
        <v/>
      </c>
      <c r="M911" s="30">
        <f>IF(B911="","",IFERROR(INDEX('Share classes'!$F$4:$F$203,MATCH(B911,'Share classes'!$B$4:$B$203,0)),""))</f>
        <v/>
      </c>
      <c r="N911" s="30">
        <f>IF(A911="","",IF(K911="","Unknown holder ID",IF(J911="","Unknown class code",IF(OR(C911="",D911=""),"Missing shares or date",IF(OR(C911&lt;0,C911&lt;&gt;INT(C911)),"Shares must be a whole number",IF(COUNTIFS($A$4:$A$2503,A911,$B$4:$B$2503,B911,$D$4:$D$2503,D911)&gt;1,"Duplicate row (same date)","OK"))))))</f>
        <v/>
      </c>
    </row>
    <row r="912">
      <c r="A912" s="26" t="n"/>
      <c r="B912" s="26" t="n"/>
      <c r="C912" s="34" t="n"/>
      <c r="D912" s="28" t="n"/>
      <c r="E912" s="26" t="n"/>
      <c r="F912" s="26" t="n"/>
      <c r="G912" s="26" t="n"/>
      <c r="H912" s="38" t="n"/>
      <c r="I912" s="28" t="n"/>
      <c r="J912" s="30">
        <f>IF(B912="","",IFERROR(INDEX('Share classes'!$A$4:$A$203,MATCH(B912,'Share classes'!$B$4:$B$203,0)),""))</f>
        <v/>
      </c>
      <c r="K912" s="30">
        <f>IF(A912="","",IFERROR(INDEX('Holders'!$B$4:$B$1003,MATCH(A912,'Holders'!$A$4:$A$1003,0)),""))</f>
        <v/>
      </c>
      <c r="L912" s="30">
        <f>IF(OR(A912="",B912="",D912=""),"",IF(D912=_xlfn.MAXIFS($D$4:$D$2503,$A$4:$A$2503,A912,$B$4:$B$2503,B912),"Yes","No"))</f>
        <v/>
      </c>
      <c r="M912" s="30">
        <f>IF(B912="","",IFERROR(INDEX('Share classes'!$F$4:$F$203,MATCH(B912,'Share classes'!$B$4:$B$203,0)),""))</f>
        <v/>
      </c>
      <c r="N912" s="30">
        <f>IF(A912="","",IF(K912="","Unknown holder ID",IF(J912="","Unknown class code",IF(OR(C912="",D912=""),"Missing shares or date",IF(OR(C912&lt;0,C912&lt;&gt;INT(C912)),"Shares must be a whole number",IF(COUNTIFS($A$4:$A$2503,A912,$B$4:$B$2503,B912,$D$4:$D$2503,D912)&gt;1,"Duplicate row (same date)","OK"))))))</f>
        <v/>
      </c>
    </row>
    <row r="913">
      <c r="A913" s="26" t="n"/>
      <c r="B913" s="26" t="n"/>
      <c r="C913" s="34" t="n"/>
      <c r="D913" s="28" t="n"/>
      <c r="E913" s="26" t="n"/>
      <c r="F913" s="26" t="n"/>
      <c r="G913" s="26" t="n"/>
      <c r="H913" s="38" t="n"/>
      <c r="I913" s="28" t="n"/>
      <c r="J913" s="30">
        <f>IF(B913="","",IFERROR(INDEX('Share classes'!$A$4:$A$203,MATCH(B913,'Share classes'!$B$4:$B$203,0)),""))</f>
        <v/>
      </c>
      <c r="K913" s="30">
        <f>IF(A913="","",IFERROR(INDEX('Holders'!$B$4:$B$1003,MATCH(A913,'Holders'!$A$4:$A$1003,0)),""))</f>
        <v/>
      </c>
      <c r="L913" s="30">
        <f>IF(OR(A913="",B913="",D913=""),"",IF(D913=_xlfn.MAXIFS($D$4:$D$2503,$A$4:$A$2503,A913,$B$4:$B$2503,B913),"Yes","No"))</f>
        <v/>
      </c>
      <c r="M913" s="30">
        <f>IF(B913="","",IFERROR(INDEX('Share classes'!$F$4:$F$203,MATCH(B913,'Share classes'!$B$4:$B$203,0)),""))</f>
        <v/>
      </c>
      <c r="N913" s="30">
        <f>IF(A913="","",IF(K913="","Unknown holder ID",IF(J913="","Unknown class code",IF(OR(C913="",D913=""),"Missing shares or date",IF(OR(C913&lt;0,C913&lt;&gt;INT(C913)),"Shares must be a whole number",IF(COUNTIFS($A$4:$A$2503,A913,$B$4:$B$2503,B913,$D$4:$D$2503,D913)&gt;1,"Duplicate row (same date)","OK"))))))</f>
        <v/>
      </c>
    </row>
    <row r="914">
      <c r="A914" s="26" t="n"/>
      <c r="B914" s="26" t="n"/>
      <c r="C914" s="34" t="n"/>
      <c r="D914" s="28" t="n"/>
      <c r="E914" s="26" t="n"/>
      <c r="F914" s="26" t="n"/>
      <c r="G914" s="26" t="n"/>
      <c r="H914" s="38" t="n"/>
      <c r="I914" s="28" t="n"/>
      <c r="J914" s="30">
        <f>IF(B914="","",IFERROR(INDEX('Share classes'!$A$4:$A$203,MATCH(B914,'Share classes'!$B$4:$B$203,0)),""))</f>
        <v/>
      </c>
      <c r="K914" s="30">
        <f>IF(A914="","",IFERROR(INDEX('Holders'!$B$4:$B$1003,MATCH(A914,'Holders'!$A$4:$A$1003,0)),""))</f>
        <v/>
      </c>
      <c r="L914" s="30">
        <f>IF(OR(A914="",B914="",D914=""),"",IF(D914=_xlfn.MAXIFS($D$4:$D$2503,$A$4:$A$2503,A914,$B$4:$B$2503,B914),"Yes","No"))</f>
        <v/>
      </c>
      <c r="M914" s="30">
        <f>IF(B914="","",IFERROR(INDEX('Share classes'!$F$4:$F$203,MATCH(B914,'Share classes'!$B$4:$B$203,0)),""))</f>
        <v/>
      </c>
      <c r="N914" s="30">
        <f>IF(A914="","",IF(K914="","Unknown holder ID",IF(J914="","Unknown class code",IF(OR(C914="",D914=""),"Missing shares or date",IF(OR(C914&lt;0,C914&lt;&gt;INT(C914)),"Shares must be a whole number",IF(COUNTIFS($A$4:$A$2503,A914,$B$4:$B$2503,B914,$D$4:$D$2503,D914)&gt;1,"Duplicate row (same date)","OK"))))))</f>
        <v/>
      </c>
    </row>
    <row r="915">
      <c r="A915" s="26" t="n"/>
      <c r="B915" s="26" t="n"/>
      <c r="C915" s="34" t="n"/>
      <c r="D915" s="28" t="n"/>
      <c r="E915" s="26" t="n"/>
      <c r="F915" s="26" t="n"/>
      <c r="G915" s="26" t="n"/>
      <c r="H915" s="38" t="n"/>
      <c r="I915" s="28" t="n"/>
      <c r="J915" s="30">
        <f>IF(B915="","",IFERROR(INDEX('Share classes'!$A$4:$A$203,MATCH(B915,'Share classes'!$B$4:$B$203,0)),""))</f>
        <v/>
      </c>
      <c r="K915" s="30">
        <f>IF(A915="","",IFERROR(INDEX('Holders'!$B$4:$B$1003,MATCH(A915,'Holders'!$A$4:$A$1003,0)),""))</f>
        <v/>
      </c>
      <c r="L915" s="30">
        <f>IF(OR(A915="",B915="",D915=""),"",IF(D915=_xlfn.MAXIFS($D$4:$D$2503,$A$4:$A$2503,A915,$B$4:$B$2503,B915),"Yes","No"))</f>
        <v/>
      </c>
      <c r="M915" s="30">
        <f>IF(B915="","",IFERROR(INDEX('Share classes'!$F$4:$F$203,MATCH(B915,'Share classes'!$B$4:$B$203,0)),""))</f>
        <v/>
      </c>
      <c r="N915" s="30">
        <f>IF(A915="","",IF(K915="","Unknown holder ID",IF(J915="","Unknown class code",IF(OR(C915="",D915=""),"Missing shares or date",IF(OR(C915&lt;0,C915&lt;&gt;INT(C915)),"Shares must be a whole number",IF(COUNTIFS($A$4:$A$2503,A915,$B$4:$B$2503,B915,$D$4:$D$2503,D915)&gt;1,"Duplicate row (same date)","OK"))))))</f>
        <v/>
      </c>
    </row>
    <row r="916">
      <c r="A916" s="26" t="n"/>
      <c r="B916" s="26" t="n"/>
      <c r="C916" s="34" t="n"/>
      <c r="D916" s="28" t="n"/>
      <c r="E916" s="26" t="n"/>
      <c r="F916" s="26" t="n"/>
      <c r="G916" s="26" t="n"/>
      <c r="H916" s="38" t="n"/>
      <c r="I916" s="28" t="n"/>
      <c r="J916" s="30">
        <f>IF(B916="","",IFERROR(INDEX('Share classes'!$A$4:$A$203,MATCH(B916,'Share classes'!$B$4:$B$203,0)),""))</f>
        <v/>
      </c>
      <c r="K916" s="30">
        <f>IF(A916="","",IFERROR(INDEX('Holders'!$B$4:$B$1003,MATCH(A916,'Holders'!$A$4:$A$1003,0)),""))</f>
        <v/>
      </c>
      <c r="L916" s="30">
        <f>IF(OR(A916="",B916="",D916=""),"",IF(D916=_xlfn.MAXIFS($D$4:$D$2503,$A$4:$A$2503,A916,$B$4:$B$2503,B916),"Yes","No"))</f>
        <v/>
      </c>
      <c r="M916" s="30">
        <f>IF(B916="","",IFERROR(INDEX('Share classes'!$F$4:$F$203,MATCH(B916,'Share classes'!$B$4:$B$203,0)),""))</f>
        <v/>
      </c>
      <c r="N916" s="30">
        <f>IF(A916="","",IF(K916="","Unknown holder ID",IF(J916="","Unknown class code",IF(OR(C916="",D916=""),"Missing shares or date",IF(OR(C916&lt;0,C916&lt;&gt;INT(C916)),"Shares must be a whole number",IF(COUNTIFS($A$4:$A$2503,A916,$B$4:$B$2503,B916,$D$4:$D$2503,D916)&gt;1,"Duplicate row (same date)","OK"))))))</f>
        <v/>
      </c>
    </row>
    <row r="917">
      <c r="A917" s="26" t="n"/>
      <c r="B917" s="26" t="n"/>
      <c r="C917" s="34" t="n"/>
      <c r="D917" s="28" t="n"/>
      <c r="E917" s="26" t="n"/>
      <c r="F917" s="26" t="n"/>
      <c r="G917" s="26" t="n"/>
      <c r="H917" s="38" t="n"/>
      <c r="I917" s="28" t="n"/>
      <c r="J917" s="30">
        <f>IF(B917="","",IFERROR(INDEX('Share classes'!$A$4:$A$203,MATCH(B917,'Share classes'!$B$4:$B$203,0)),""))</f>
        <v/>
      </c>
      <c r="K917" s="30">
        <f>IF(A917="","",IFERROR(INDEX('Holders'!$B$4:$B$1003,MATCH(A917,'Holders'!$A$4:$A$1003,0)),""))</f>
        <v/>
      </c>
      <c r="L917" s="30">
        <f>IF(OR(A917="",B917="",D917=""),"",IF(D917=_xlfn.MAXIFS($D$4:$D$2503,$A$4:$A$2503,A917,$B$4:$B$2503,B917),"Yes","No"))</f>
        <v/>
      </c>
      <c r="M917" s="30">
        <f>IF(B917="","",IFERROR(INDEX('Share classes'!$F$4:$F$203,MATCH(B917,'Share classes'!$B$4:$B$203,0)),""))</f>
        <v/>
      </c>
      <c r="N917" s="30">
        <f>IF(A917="","",IF(K917="","Unknown holder ID",IF(J917="","Unknown class code",IF(OR(C917="",D917=""),"Missing shares or date",IF(OR(C917&lt;0,C917&lt;&gt;INT(C917)),"Shares must be a whole number",IF(COUNTIFS($A$4:$A$2503,A917,$B$4:$B$2503,B917,$D$4:$D$2503,D917)&gt;1,"Duplicate row (same date)","OK"))))))</f>
        <v/>
      </c>
    </row>
    <row r="918">
      <c r="A918" s="26" t="n"/>
      <c r="B918" s="26" t="n"/>
      <c r="C918" s="34" t="n"/>
      <c r="D918" s="28" t="n"/>
      <c r="E918" s="26" t="n"/>
      <c r="F918" s="26" t="n"/>
      <c r="G918" s="26" t="n"/>
      <c r="H918" s="38" t="n"/>
      <c r="I918" s="28" t="n"/>
      <c r="J918" s="30">
        <f>IF(B918="","",IFERROR(INDEX('Share classes'!$A$4:$A$203,MATCH(B918,'Share classes'!$B$4:$B$203,0)),""))</f>
        <v/>
      </c>
      <c r="K918" s="30">
        <f>IF(A918="","",IFERROR(INDEX('Holders'!$B$4:$B$1003,MATCH(A918,'Holders'!$A$4:$A$1003,0)),""))</f>
        <v/>
      </c>
      <c r="L918" s="30">
        <f>IF(OR(A918="",B918="",D918=""),"",IF(D918=_xlfn.MAXIFS($D$4:$D$2503,$A$4:$A$2503,A918,$B$4:$B$2503,B918),"Yes","No"))</f>
        <v/>
      </c>
      <c r="M918" s="30">
        <f>IF(B918="","",IFERROR(INDEX('Share classes'!$F$4:$F$203,MATCH(B918,'Share classes'!$B$4:$B$203,0)),""))</f>
        <v/>
      </c>
      <c r="N918" s="30">
        <f>IF(A918="","",IF(K918="","Unknown holder ID",IF(J918="","Unknown class code",IF(OR(C918="",D918=""),"Missing shares or date",IF(OR(C918&lt;0,C918&lt;&gt;INT(C918)),"Shares must be a whole number",IF(COUNTIFS($A$4:$A$2503,A918,$B$4:$B$2503,B918,$D$4:$D$2503,D918)&gt;1,"Duplicate row (same date)","OK"))))))</f>
        <v/>
      </c>
    </row>
    <row r="919">
      <c r="A919" s="26" t="n"/>
      <c r="B919" s="26" t="n"/>
      <c r="C919" s="34" t="n"/>
      <c r="D919" s="28" t="n"/>
      <c r="E919" s="26" t="n"/>
      <c r="F919" s="26" t="n"/>
      <c r="G919" s="26" t="n"/>
      <c r="H919" s="38" t="n"/>
      <c r="I919" s="28" t="n"/>
      <c r="J919" s="30">
        <f>IF(B919="","",IFERROR(INDEX('Share classes'!$A$4:$A$203,MATCH(B919,'Share classes'!$B$4:$B$203,0)),""))</f>
        <v/>
      </c>
      <c r="K919" s="30">
        <f>IF(A919="","",IFERROR(INDEX('Holders'!$B$4:$B$1003,MATCH(A919,'Holders'!$A$4:$A$1003,0)),""))</f>
        <v/>
      </c>
      <c r="L919" s="30">
        <f>IF(OR(A919="",B919="",D919=""),"",IF(D919=_xlfn.MAXIFS($D$4:$D$2503,$A$4:$A$2503,A919,$B$4:$B$2503,B919),"Yes","No"))</f>
        <v/>
      </c>
      <c r="M919" s="30">
        <f>IF(B919="","",IFERROR(INDEX('Share classes'!$F$4:$F$203,MATCH(B919,'Share classes'!$B$4:$B$203,0)),""))</f>
        <v/>
      </c>
      <c r="N919" s="30">
        <f>IF(A919="","",IF(K919="","Unknown holder ID",IF(J919="","Unknown class code",IF(OR(C919="",D919=""),"Missing shares or date",IF(OR(C919&lt;0,C919&lt;&gt;INT(C919)),"Shares must be a whole number",IF(COUNTIFS($A$4:$A$2503,A919,$B$4:$B$2503,B919,$D$4:$D$2503,D919)&gt;1,"Duplicate row (same date)","OK"))))))</f>
        <v/>
      </c>
    </row>
    <row r="920">
      <c r="A920" s="26" t="n"/>
      <c r="B920" s="26" t="n"/>
      <c r="C920" s="34" t="n"/>
      <c r="D920" s="28" t="n"/>
      <c r="E920" s="26" t="n"/>
      <c r="F920" s="26" t="n"/>
      <c r="G920" s="26" t="n"/>
      <c r="H920" s="38" t="n"/>
      <c r="I920" s="28" t="n"/>
      <c r="J920" s="30">
        <f>IF(B920="","",IFERROR(INDEX('Share classes'!$A$4:$A$203,MATCH(B920,'Share classes'!$B$4:$B$203,0)),""))</f>
        <v/>
      </c>
      <c r="K920" s="30">
        <f>IF(A920="","",IFERROR(INDEX('Holders'!$B$4:$B$1003,MATCH(A920,'Holders'!$A$4:$A$1003,0)),""))</f>
        <v/>
      </c>
      <c r="L920" s="30">
        <f>IF(OR(A920="",B920="",D920=""),"",IF(D920=_xlfn.MAXIFS($D$4:$D$2503,$A$4:$A$2503,A920,$B$4:$B$2503,B920),"Yes","No"))</f>
        <v/>
      </c>
      <c r="M920" s="30">
        <f>IF(B920="","",IFERROR(INDEX('Share classes'!$F$4:$F$203,MATCH(B920,'Share classes'!$B$4:$B$203,0)),""))</f>
        <v/>
      </c>
      <c r="N920" s="30">
        <f>IF(A920="","",IF(K920="","Unknown holder ID",IF(J920="","Unknown class code",IF(OR(C920="",D920=""),"Missing shares or date",IF(OR(C920&lt;0,C920&lt;&gt;INT(C920)),"Shares must be a whole number",IF(COUNTIFS($A$4:$A$2503,A920,$B$4:$B$2503,B920,$D$4:$D$2503,D920)&gt;1,"Duplicate row (same date)","OK"))))))</f>
        <v/>
      </c>
    </row>
    <row r="921">
      <c r="A921" s="26" t="n"/>
      <c r="B921" s="26" t="n"/>
      <c r="C921" s="34" t="n"/>
      <c r="D921" s="28" t="n"/>
      <c r="E921" s="26" t="n"/>
      <c r="F921" s="26" t="n"/>
      <c r="G921" s="26" t="n"/>
      <c r="H921" s="38" t="n"/>
      <c r="I921" s="28" t="n"/>
      <c r="J921" s="30">
        <f>IF(B921="","",IFERROR(INDEX('Share classes'!$A$4:$A$203,MATCH(B921,'Share classes'!$B$4:$B$203,0)),""))</f>
        <v/>
      </c>
      <c r="K921" s="30">
        <f>IF(A921="","",IFERROR(INDEX('Holders'!$B$4:$B$1003,MATCH(A921,'Holders'!$A$4:$A$1003,0)),""))</f>
        <v/>
      </c>
      <c r="L921" s="30">
        <f>IF(OR(A921="",B921="",D921=""),"",IF(D921=_xlfn.MAXIFS($D$4:$D$2503,$A$4:$A$2503,A921,$B$4:$B$2503,B921),"Yes","No"))</f>
        <v/>
      </c>
      <c r="M921" s="30">
        <f>IF(B921="","",IFERROR(INDEX('Share classes'!$F$4:$F$203,MATCH(B921,'Share classes'!$B$4:$B$203,0)),""))</f>
        <v/>
      </c>
      <c r="N921" s="30">
        <f>IF(A921="","",IF(K921="","Unknown holder ID",IF(J921="","Unknown class code",IF(OR(C921="",D921=""),"Missing shares or date",IF(OR(C921&lt;0,C921&lt;&gt;INT(C921)),"Shares must be a whole number",IF(COUNTIFS($A$4:$A$2503,A921,$B$4:$B$2503,B921,$D$4:$D$2503,D921)&gt;1,"Duplicate row (same date)","OK"))))))</f>
        <v/>
      </c>
    </row>
    <row r="922">
      <c r="A922" s="26" t="n"/>
      <c r="B922" s="26" t="n"/>
      <c r="C922" s="34" t="n"/>
      <c r="D922" s="28" t="n"/>
      <c r="E922" s="26" t="n"/>
      <c r="F922" s="26" t="n"/>
      <c r="G922" s="26" t="n"/>
      <c r="H922" s="38" t="n"/>
      <c r="I922" s="28" t="n"/>
      <c r="J922" s="30">
        <f>IF(B922="","",IFERROR(INDEX('Share classes'!$A$4:$A$203,MATCH(B922,'Share classes'!$B$4:$B$203,0)),""))</f>
        <v/>
      </c>
      <c r="K922" s="30">
        <f>IF(A922="","",IFERROR(INDEX('Holders'!$B$4:$B$1003,MATCH(A922,'Holders'!$A$4:$A$1003,0)),""))</f>
        <v/>
      </c>
      <c r="L922" s="30">
        <f>IF(OR(A922="",B922="",D922=""),"",IF(D922=_xlfn.MAXIFS($D$4:$D$2503,$A$4:$A$2503,A922,$B$4:$B$2503,B922),"Yes","No"))</f>
        <v/>
      </c>
      <c r="M922" s="30">
        <f>IF(B922="","",IFERROR(INDEX('Share classes'!$F$4:$F$203,MATCH(B922,'Share classes'!$B$4:$B$203,0)),""))</f>
        <v/>
      </c>
      <c r="N922" s="30">
        <f>IF(A922="","",IF(K922="","Unknown holder ID",IF(J922="","Unknown class code",IF(OR(C922="",D922=""),"Missing shares or date",IF(OR(C922&lt;0,C922&lt;&gt;INT(C922)),"Shares must be a whole number",IF(COUNTIFS($A$4:$A$2503,A922,$B$4:$B$2503,B922,$D$4:$D$2503,D922)&gt;1,"Duplicate row (same date)","OK"))))))</f>
        <v/>
      </c>
    </row>
    <row r="923">
      <c r="A923" s="26" t="n"/>
      <c r="B923" s="26" t="n"/>
      <c r="C923" s="34" t="n"/>
      <c r="D923" s="28" t="n"/>
      <c r="E923" s="26" t="n"/>
      <c r="F923" s="26" t="n"/>
      <c r="G923" s="26" t="n"/>
      <c r="H923" s="38" t="n"/>
      <c r="I923" s="28" t="n"/>
      <c r="J923" s="30">
        <f>IF(B923="","",IFERROR(INDEX('Share classes'!$A$4:$A$203,MATCH(B923,'Share classes'!$B$4:$B$203,0)),""))</f>
        <v/>
      </c>
      <c r="K923" s="30">
        <f>IF(A923="","",IFERROR(INDEX('Holders'!$B$4:$B$1003,MATCH(A923,'Holders'!$A$4:$A$1003,0)),""))</f>
        <v/>
      </c>
      <c r="L923" s="30">
        <f>IF(OR(A923="",B923="",D923=""),"",IF(D923=_xlfn.MAXIFS($D$4:$D$2503,$A$4:$A$2503,A923,$B$4:$B$2503,B923),"Yes","No"))</f>
        <v/>
      </c>
      <c r="M923" s="30">
        <f>IF(B923="","",IFERROR(INDEX('Share classes'!$F$4:$F$203,MATCH(B923,'Share classes'!$B$4:$B$203,0)),""))</f>
        <v/>
      </c>
      <c r="N923" s="30">
        <f>IF(A923="","",IF(K923="","Unknown holder ID",IF(J923="","Unknown class code",IF(OR(C923="",D923=""),"Missing shares or date",IF(OR(C923&lt;0,C923&lt;&gt;INT(C923)),"Shares must be a whole number",IF(COUNTIFS($A$4:$A$2503,A923,$B$4:$B$2503,B923,$D$4:$D$2503,D923)&gt;1,"Duplicate row (same date)","OK"))))))</f>
        <v/>
      </c>
    </row>
    <row r="924">
      <c r="A924" s="26" t="n"/>
      <c r="B924" s="26" t="n"/>
      <c r="C924" s="34" t="n"/>
      <c r="D924" s="28" t="n"/>
      <c r="E924" s="26" t="n"/>
      <c r="F924" s="26" t="n"/>
      <c r="G924" s="26" t="n"/>
      <c r="H924" s="38" t="n"/>
      <c r="I924" s="28" t="n"/>
      <c r="J924" s="30">
        <f>IF(B924="","",IFERROR(INDEX('Share classes'!$A$4:$A$203,MATCH(B924,'Share classes'!$B$4:$B$203,0)),""))</f>
        <v/>
      </c>
      <c r="K924" s="30">
        <f>IF(A924="","",IFERROR(INDEX('Holders'!$B$4:$B$1003,MATCH(A924,'Holders'!$A$4:$A$1003,0)),""))</f>
        <v/>
      </c>
      <c r="L924" s="30">
        <f>IF(OR(A924="",B924="",D924=""),"",IF(D924=_xlfn.MAXIFS($D$4:$D$2503,$A$4:$A$2503,A924,$B$4:$B$2503,B924),"Yes","No"))</f>
        <v/>
      </c>
      <c r="M924" s="30">
        <f>IF(B924="","",IFERROR(INDEX('Share classes'!$F$4:$F$203,MATCH(B924,'Share classes'!$B$4:$B$203,0)),""))</f>
        <v/>
      </c>
      <c r="N924" s="30">
        <f>IF(A924="","",IF(K924="","Unknown holder ID",IF(J924="","Unknown class code",IF(OR(C924="",D924=""),"Missing shares or date",IF(OR(C924&lt;0,C924&lt;&gt;INT(C924)),"Shares must be a whole number",IF(COUNTIFS($A$4:$A$2503,A924,$B$4:$B$2503,B924,$D$4:$D$2503,D924)&gt;1,"Duplicate row (same date)","OK"))))))</f>
        <v/>
      </c>
    </row>
    <row r="925">
      <c r="A925" s="26" t="n"/>
      <c r="B925" s="26" t="n"/>
      <c r="C925" s="34" t="n"/>
      <c r="D925" s="28" t="n"/>
      <c r="E925" s="26" t="n"/>
      <c r="F925" s="26" t="n"/>
      <c r="G925" s="26" t="n"/>
      <c r="H925" s="38" t="n"/>
      <c r="I925" s="28" t="n"/>
      <c r="J925" s="30">
        <f>IF(B925="","",IFERROR(INDEX('Share classes'!$A$4:$A$203,MATCH(B925,'Share classes'!$B$4:$B$203,0)),""))</f>
        <v/>
      </c>
      <c r="K925" s="30">
        <f>IF(A925="","",IFERROR(INDEX('Holders'!$B$4:$B$1003,MATCH(A925,'Holders'!$A$4:$A$1003,0)),""))</f>
        <v/>
      </c>
      <c r="L925" s="30">
        <f>IF(OR(A925="",B925="",D925=""),"",IF(D925=_xlfn.MAXIFS($D$4:$D$2503,$A$4:$A$2503,A925,$B$4:$B$2503,B925),"Yes","No"))</f>
        <v/>
      </c>
      <c r="M925" s="30">
        <f>IF(B925="","",IFERROR(INDEX('Share classes'!$F$4:$F$203,MATCH(B925,'Share classes'!$B$4:$B$203,0)),""))</f>
        <v/>
      </c>
      <c r="N925" s="30">
        <f>IF(A925="","",IF(K925="","Unknown holder ID",IF(J925="","Unknown class code",IF(OR(C925="",D925=""),"Missing shares or date",IF(OR(C925&lt;0,C925&lt;&gt;INT(C925)),"Shares must be a whole number",IF(COUNTIFS($A$4:$A$2503,A925,$B$4:$B$2503,B925,$D$4:$D$2503,D925)&gt;1,"Duplicate row (same date)","OK"))))))</f>
        <v/>
      </c>
    </row>
    <row r="926">
      <c r="A926" s="26" t="n"/>
      <c r="B926" s="26" t="n"/>
      <c r="C926" s="34" t="n"/>
      <c r="D926" s="28" t="n"/>
      <c r="E926" s="26" t="n"/>
      <c r="F926" s="26" t="n"/>
      <c r="G926" s="26" t="n"/>
      <c r="H926" s="38" t="n"/>
      <c r="I926" s="28" t="n"/>
      <c r="J926" s="30">
        <f>IF(B926="","",IFERROR(INDEX('Share classes'!$A$4:$A$203,MATCH(B926,'Share classes'!$B$4:$B$203,0)),""))</f>
        <v/>
      </c>
      <c r="K926" s="30">
        <f>IF(A926="","",IFERROR(INDEX('Holders'!$B$4:$B$1003,MATCH(A926,'Holders'!$A$4:$A$1003,0)),""))</f>
        <v/>
      </c>
      <c r="L926" s="30">
        <f>IF(OR(A926="",B926="",D926=""),"",IF(D926=_xlfn.MAXIFS($D$4:$D$2503,$A$4:$A$2503,A926,$B$4:$B$2503,B926),"Yes","No"))</f>
        <v/>
      </c>
      <c r="M926" s="30">
        <f>IF(B926="","",IFERROR(INDEX('Share classes'!$F$4:$F$203,MATCH(B926,'Share classes'!$B$4:$B$203,0)),""))</f>
        <v/>
      </c>
      <c r="N926" s="30">
        <f>IF(A926="","",IF(K926="","Unknown holder ID",IF(J926="","Unknown class code",IF(OR(C926="",D926=""),"Missing shares or date",IF(OR(C926&lt;0,C926&lt;&gt;INT(C926)),"Shares must be a whole number",IF(COUNTIFS($A$4:$A$2503,A926,$B$4:$B$2503,B926,$D$4:$D$2503,D926)&gt;1,"Duplicate row (same date)","OK"))))))</f>
        <v/>
      </c>
    </row>
    <row r="927">
      <c r="A927" s="26" t="n"/>
      <c r="B927" s="26" t="n"/>
      <c r="C927" s="34" t="n"/>
      <c r="D927" s="28" t="n"/>
      <c r="E927" s="26" t="n"/>
      <c r="F927" s="26" t="n"/>
      <c r="G927" s="26" t="n"/>
      <c r="H927" s="38" t="n"/>
      <c r="I927" s="28" t="n"/>
      <c r="J927" s="30">
        <f>IF(B927="","",IFERROR(INDEX('Share classes'!$A$4:$A$203,MATCH(B927,'Share classes'!$B$4:$B$203,0)),""))</f>
        <v/>
      </c>
      <c r="K927" s="30">
        <f>IF(A927="","",IFERROR(INDEX('Holders'!$B$4:$B$1003,MATCH(A927,'Holders'!$A$4:$A$1003,0)),""))</f>
        <v/>
      </c>
      <c r="L927" s="30">
        <f>IF(OR(A927="",B927="",D927=""),"",IF(D927=_xlfn.MAXIFS($D$4:$D$2503,$A$4:$A$2503,A927,$B$4:$B$2503,B927),"Yes","No"))</f>
        <v/>
      </c>
      <c r="M927" s="30">
        <f>IF(B927="","",IFERROR(INDEX('Share classes'!$F$4:$F$203,MATCH(B927,'Share classes'!$B$4:$B$203,0)),""))</f>
        <v/>
      </c>
      <c r="N927" s="30">
        <f>IF(A927="","",IF(K927="","Unknown holder ID",IF(J927="","Unknown class code",IF(OR(C927="",D927=""),"Missing shares or date",IF(OR(C927&lt;0,C927&lt;&gt;INT(C927)),"Shares must be a whole number",IF(COUNTIFS($A$4:$A$2503,A927,$B$4:$B$2503,B927,$D$4:$D$2503,D927)&gt;1,"Duplicate row (same date)","OK"))))))</f>
        <v/>
      </c>
    </row>
    <row r="928">
      <c r="A928" s="26" t="n"/>
      <c r="B928" s="26" t="n"/>
      <c r="C928" s="34" t="n"/>
      <c r="D928" s="28" t="n"/>
      <c r="E928" s="26" t="n"/>
      <c r="F928" s="26" t="n"/>
      <c r="G928" s="26" t="n"/>
      <c r="H928" s="38" t="n"/>
      <c r="I928" s="28" t="n"/>
      <c r="J928" s="30">
        <f>IF(B928="","",IFERROR(INDEX('Share classes'!$A$4:$A$203,MATCH(B928,'Share classes'!$B$4:$B$203,0)),""))</f>
        <v/>
      </c>
      <c r="K928" s="30">
        <f>IF(A928="","",IFERROR(INDEX('Holders'!$B$4:$B$1003,MATCH(A928,'Holders'!$A$4:$A$1003,0)),""))</f>
        <v/>
      </c>
      <c r="L928" s="30">
        <f>IF(OR(A928="",B928="",D928=""),"",IF(D928=_xlfn.MAXIFS($D$4:$D$2503,$A$4:$A$2503,A928,$B$4:$B$2503,B928),"Yes","No"))</f>
        <v/>
      </c>
      <c r="M928" s="30">
        <f>IF(B928="","",IFERROR(INDEX('Share classes'!$F$4:$F$203,MATCH(B928,'Share classes'!$B$4:$B$203,0)),""))</f>
        <v/>
      </c>
      <c r="N928" s="30">
        <f>IF(A928="","",IF(K928="","Unknown holder ID",IF(J928="","Unknown class code",IF(OR(C928="",D928=""),"Missing shares or date",IF(OR(C928&lt;0,C928&lt;&gt;INT(C928)),"Shares must be a whole number",IF(COUNTIFS($A$4:$A$2503,A928,$B$4:$B$2503,B928,$D$4:$D$2503,D928)&gt;1,"Duplicate row (same date)","OK"))))))</f>
        <v/>
      </c>
    </row>
    <row r="929">
      <c r="A929" s="26" t="n"/>
      <c r="B929" s="26" t="n"/>
      <c r="C929" s="34" t="n"/>
      <c r="D929" s="28" t="n"/>
      <c r="E929" s="26" t="n"/>
      <c r="F929" s="26" t="n"/>
      <c r="G929" s="26" t="n"/>
      <c r="H929" s="38" t="n"/>
      <c r="I929" s="28" t="n"/>
      <c r="J929" s="30">
        <f>IF(B929="","",IFERROR(INDEX('Share classes'!$A$4:$A$203,MATCH(B929,'Share classes'!$B$4:$B$203,0)),""))</f>
        <v/>
      </c>
      <c r="K929" s="30">
        <f>IF(A929="","",IFERROR(INDEX('Holders'!$B$4:$B$1003,MATCH(A929,'Holders'!$A$4:$A$1003,0)),""))</f>
        <v/>
      </c>
      <c r="L929" s="30">
        <f>IF(OR(A929="",B929="",D929=""),"",IF(D929=_xlfn.MAXIFS($D$4:$D$2503,$A$4:$A$2503,A929,$B$4:$B$2503,B929),"Yes","No"))</f>
        <v/>
      </c>
      <c r="M929" s="30">
        <f>IF(B929="","",IFERROR(INDEX('Share classes'!$F$4:$F$203,MATCH(B929,'Share classes'!$B$4:$B$203,0)),""))</f>
        <v/>
      </c>
      <c r="N929" s="30">
        <f>IF(A929="","",IF(K929="","Unknown holder ID",IF(J929="","Unknown class code",IF(OR(C929="",D929=""),"Missing shares or date",IF(OR(C929&lt;0,C929&lt;&gt;INT(C929)),"Shares must be a whole number",IF(COUNTIFS($A$4:$A$2503,A929,$B$4:$B$2503,B929,$D$4:$D$2503,D929)&gt;1,"Duplicate row (same date)","OK"))))))</f>
        <v/>
      </c>
    </row>
    <row r="930">
      <c r="A930" s="26" t="n"/>
      <c r="B930" s="26" t="n"/>
      <c r="C930" s="34" t="n"/>
      <c r="D930" s="28" t="n"/>
      <c r="E930" s="26" t="n"/>
      <c r="F930" s="26" t="n"/>
      <c r="G930" s="26" t="n"/>
      <c r="H930" s="38" t="n"/>
      <c r="I930" s="28" t="n"/>
      <c r="J930" s="30">
        <f>IF(B930="","",IFERROR(INDEX('Share classes'!$A$4:$A$203,MATCH(B930,'Share classes'!$B$4:$B$203,0)),""))</f>
        <v/>
      </c>
      <c r="K930" s="30">
        <f>IF(A930="","",IFERROR(INDEX('Holders'!$B$4:$B$1003,MATCH(A930,'Holders'!$A$4:$A$1003,0)),""))</f>
        <v/>
      </c>
      <c r="L930" s="30">
        <f>IF(OR(A930="",B930="",D930=""),"",IF(D930=_xlfn.MAXIFS($D$4:$D$2503,$A$4:$A$2503,A930,$B$4:$B$2503,B930),"Yes","No"))</f>
        <v/>
      </c>
      <c r="M930" s="30">
        <f>IF(B930="","",IFERROR(INDEX('Share classes'!$F$4:$F$203,MATCH(B930,'Share classes'!$B$4:$B$203,0)),""))</f>
        <v/>
      </c>
      <c r="N930" s="30">
        <f>IF(A930="","",IF(K930="","Unknown holder ID",IF(J930="","Unknown class code",IF(OR(C930="",D930=""),"Missing shares or date",IF(OR(C930&lt;0,C930&lt;&gt;INT(C930)),"Shares must be a whole number",IF(COUNTIFS($A$4:$A$2503,A930,$B$4:$B$2503,B930,$D$4:$D$2503,D930)&gt;1,"Duplicate row (same date)","OK"))))))</f>
        <v/>
      </c>
    </row>
    <row r="931">
      <c r="A931" s="26" t="n"/>
      <c r="B931" s="26" t="n"/>
      <c r="C931" s="34" t="n"/>
      <c r="D931" s="28" t="n"/>
      <c r="E931" s="26" t="n"/>
      <c r="F931" s="26" t="n"/>
      <c r="G931" s="26" t="n"/>
      <c r="H931" s="38" t="n"/>
      <c r="I931" s="28" t="n"/>
      <c r="J931" s="30">
        <f>IF(B931="","",IFERROR(INDEX('Share classes'!$A$4:$A$203,MATCH(B931,'Share classes'!$B$4:$B$203,0)),""))</f>
        <v/>
      </c>
      <c r="K931" s="30">
        <f>IF(A931="","",IFERROR(INDEX('Holders'!$B$4:$B$1003,MATCH(A931,'Holders'!$A$4:$A$1003,0)),""))</f>
        <v/>
      </c>
      <c r="L931" s="30">
        <f>IF(OR(A931="",B931="",D931=""),"",IF(D931=_xlfn.MAXIFS($D$4:$D$2503,$A$4:$A$2503,A931,$B$4:$B$2503,B931),"Yes","No"))</f>
        <v/>
      </c>
      <c r="M931" s="30">
        <f>IF(B931="","",IFERROR(INDEX('Share classes'!$F$4:$F$203,MATCH(B931,'Share classes'!$B$4:$B$203,0)),""))</f>
        <v/>
      </c>
      <c r="N931" s="30">
        <f>IF(A931="","",IF(K931="","Unknown holder ID",IF(J931="","Unknown class code",IF(OR(C931="",D931=""),"Missing shares or date",IF(OR(C931&lt;0,C931&lt;&gt;INT(C931)),"Shares must be a whole number",IF(COUNTIFS($A$4:$A$2503,A931,$B$4:$B$2503,B931,$D$4:$D$2503,D931)&gt;1,"Duplicate row (same date)","OK"))))))</f>
        <v/>
      </c>
    </row>
    <row r="932">
      <c r="A932" s="26" t="n"/>
      <c r="B932" s="26" t="n"/>
      <c r="C932" s="34" t="n"/>
      <c r="D932" s="28" t="n"/>
      <c r="E932" s="26" t="n"/>
      <c r="F932" s="26" t="n"/>
      <c r="G932" s="26" t="n"/>
      <c r="H932" s="38" t="n"/>
      <c r="I932" s="28" t="n"/>
      <c r="J932" s="30">
        <f>IF(B932="","",IFERROR(INDEX('Share classes'!$A$4:$A$203,MATCH(B932,'Share classes'!$B$4:$B$203,0)),""))</f>
        <v/>
      </c>
      <c r="K932" s="30">
        <f>IF(A932="","",IFERROR(INDEX('Holders'!$B$4:$B$1003,MATCH(A932,'Holders'!$A$4:$A$1003,0)),""))</f>
        <v/>
      </c>
      <c r="L932" s="30">
        <f>IF(OR(A932="",B932="",D932=""),"",IF(D932=_xlfn.MAXIFS($D$4:$D$2503,$A$4:$A$2503,A932,$B$4:$B$2503,B932),"Yes","No"))</f>
        <v/>
      </c>
      <c r="M932" s="30">
        <f>IF(B932="","",IFERROR(INDEX('Share classes'!$F$4:$F$203,MATCH(B932,'Share classes'!$B$4:$B$203,0)),""))</f>
        <v/>
      </c>
      <c r="N932" s="30">
        <f>IF(A932="","",IF(K932="","Unknown holder ID",IF(J932="","Unknown class code",IF(OR(C932="",D932=""),"Missing shares or date",IF(OR(C932&lt;0,C932&lt;&gt;INT(C932)),"Shares must be a whole number",IF(COUNTIFS($A$4:$A$2503,A932,$B$4:$B$2503,B932,$D$4:$D$2503,D932)&gt;1,"Duplicate row (same date)","OK"))))))</f>
        <v/>
      </c>
    </row>
    <row r="933">
      <c r="A933" s="26" t="n"/>
      <c r="B933" s="26" t="n"/>
      <c r="C933" s="34" t="n"/>
      <c r="D933" s="28" t="n"/>
      <c r="E933" s="26" t="n"/>
      <c r="F933" s="26" t="n"/>
      <c r="G933" s="26" t="n"/>
      <c r="H933" s="38" t="n"/>
      <c r="I933" s="28" t="n"/>
      <c r="J933" s="30">
        <f>IF(B933="","",IFERROR(INDEX('Share classes'!$A$4:$A$203,MATCH(B933,'Share classes'!$B$4:$B$203,0)),""))</f>
        <v/>
      </c>
      <c r="K933" s="30">
        <f>IF(A933="","",IFERROR(INDEX('Holders'!$B$4:$B$1003,MATCH(A933,'Holders'!$A$4:$A$1003,0)),""))</f>
        <v/>
      </c>
      <c r="L933" s="30">
        <f>IF(OR(A933="",B933="",D933=""),"",IF(D933=_xlfn.MAXIFS($D$4:$D$2503,$A$4:$A$2503,A933,$B$4:$B$2503,B933),"Yes","No"))</f>
        <v/>
      </c>
      <c r="M933" s="30">
        <f>IF(B933="","",IFERROR(INDEX('Share classes'!$F$4:$F$203,MATCH(B933,'Share classes'!$B$4:$B$203,0)),""))</f>
        <v/>
      </c>
      <c r="N933" s="30">
        <f>IF(A933="","",IF(K933="","Unknown holder ID",IF(J933="","Unknown class code",IF(OR(C933="",D933=""),"Missing shares or date",IF(OR(C933&lt;0,C933&lt;&gt;INT(C933)),"Shares must be a whole number",IF(COUNTIFS($A$4:$A$2503,A933,$B$4:$B$2503,B933,$D$4:$D$2503,D933)&gt;1,"Duplicate row (same date)","OK"))))))</f>
        <v/>
      </c>
    </row>
    <row r="934">
      <c r="A934" s="26" t="n"/>
      <c r="B934" s="26" t="n"/>
      <c r="C934" s="34" t="n"/>
      <c r="D934" s="28" t="n"/>
      <c r="E934" s="26" t="n"/>
      <c r="F934" s="26" t="n"/>
      <c r="G934" s="26" t="n"/>
      <c r="H934" s="38" t="n"/>
      <c r="I934" s="28" t="n"/>
      <c r="J934" s="30">
        <f>IF(B934="","",IFERROR(INDEX('Share classes'!$A$4:$A$203,MATCH(B934,'Share classes'!$B$4:$B$203,0)),""))</f>
        <v/>
      </c>
      <c r="K934" s="30">
        <f>IF(A934="","",IFERROR(INDEX('Holders'!$B$4:$B$1003,MATCH(A934,'Holders'!$A$4:$A$1003,0)),""))</f>
        <v/>
      </c>
      <c r="L934" s="30">
        <f>IF(OR(A934="",B934="",D934=""),"",IF(D934=_xlfn.MAXIFS($D$4:$D$2503,$A$4:$A$2503,A934,$B$4:$B$2503,B934),"Yes","No"))</f>
        <v/>
      </c>
      <c r="M934" s="30">
        <f>IF(B934="","",IFERROR(INDEX('Share classes'!$F$4:$F$203,MATCH(B934,'Share classes'!$B$4:$B$203,0)),""))</f>
        <v/>
      </c>
      <c r="N934" s="30">
        <f>IF(A934="","",IF(K934="","Unknown holder ID",IF(J934="","Unknown class code",IF(OR(C934="",D934=""),"Missing shares or date",IF(OR(C934&lt;0,C934&lt;&gt;INT(C934)),"Shares must be a whole number",IF(COUNTIFS($A$4:$A$2503,A934,$B$4:$B$2503,B934,$D$4:$D$2503,D934)&gt;1,"Duplicate row (same date)","OK"))))))</f>
        <v/>
      </c>
    </row>
    <row r="935">
      <c r="A935" s="26" t="n"/>
      <c r="B935" s="26" t="n"/>
      <c r="C935" s="34" t="n"/>
      <c r="D935" s="28" t="n"/>
      <c r="E935" s="26" t="n"/>
      <c r="F935" s="26" t="n"/>
      <c r="G935" s="26" t="n"/>
      <c r="H935" s="38" t="n"/>
      <c r="I935" s="28" t="n"/>
      <c r="J935" s="30">
        <f>IF(B935="","",IFERROR(INDEX('Share classes'!$A$4:$A$203,MATCH(B935,'Share classes'!$B$4:$B$203,0)),""))</f>
        <v/>
      </c>
      <c r="K935" s="30">
        <f>IF(A935="","",IFERROR(INDEX('Holders'!$B$4:$B$1003,MATCH(A935,'Holders'!$A$4:$A$1003,0)),""))</f>
        <v/>
      </c>
      <c r="L935" s="30">
        <f>IF(OR(A935="",B935="",D935=""),"",IF(D935=_xlfn.MAXIFS($D$4:$D$2503,$A$4:$A$2503,A935,$B$4:$B$2503,B935),"Yes","No"))</f>
        <v/>
      </c>
      <c r="M935" s="30">
        <f>IF(B935="","",IFERROR(INDEX('Share classes'!$F$4:$F$203,MATCH(B935,'Share classes'!$B$4:$B$203,0)),""))</f>
        <v/>
      </c>
      <c r="N935" s="30">
        <f>IF(A935="","",IF(K935="","Unknown holder ID",IF(J935="","Unknown class code",IF(OR(C935="",D935=""),"Missing shares or date",IF(OR(C935&lt;0,C935&lt;&gt;INT(C935)),"Shares must be a whole number",IF(COUNTIFS($A$4:$A$2503,A935,$B$4:$B$2503,B935,$D$4:$D$2503,D935)&gt;1,"Duplicate row (same date)","OK"))))))</f>
        <v/>
      </c>
    </row>
    <row r="936">
      <c r="A936" s="26" t="n"/>
      <c r="B936" s="26" t="n"/>
      <c r="C936" s="34" t="n"/>
      <c r="D936" s="28" t="n"/>
      <c r="E936" s="26" t="n"/>
      <c r="F936" s="26" t="n"/>
      <c r="G936" s="26" t="n"/>
      <c r="H936" s="38" t="n"/>
      <c r="I936" s="28" t="n"/>
      <c r="J936" s="30">
        <f>IF(B936="","",IFERROR(INDEX('Share classes'!$A$4:$A$203,MATCH(B936,'Share classes'!$B$4:$B$203,0)),""))</f>
        <v/>
      </c>
      <c r="K936" s="30">
        <f>IF(A936="","",IFERROR(INDEX('Holders'!$B$4:$B$1003,MATCH(A936,'Holders'!$A$4:$A$1003,0)),""))</f>
        <v/>
      </c>
      <c r="L936" s="30">
        <f>IF(OR(A936="",B936="",D936=""),"",IF(D936=_xlfn.MAXIFS($D$4:$D$2503,$A$4:$A$2503,A936,$B$4:$B$2503,B936),"Yes","No"))</f>
        <v/>
      </c>
      <c r="M936" s="30">
        <f>IF(B936="","",IFERROR(INDEX('Share classes'!$F$4:$F$203,MATCH(B936,'Share classes'!$B$4:$B$203,0)),""))</f>
        <v/>
      </c>
      <c r="N936" s="30">
        <f>IF(A936="","",IF(K936="","Unknown holder ID",IF(J936="","Unknown class code",IF(OR(C936="",D936=""),"Missing shares or date",IF(OR(C936&lt;0,C936&lt;&gt;INT(C936)),"Shares must be a whole number",IF(COUNTIFS($A$4:$A$2503,A936,$B$4:$B$2503,B936,$D$4:$D$2503,D936)&gt;1,"Duplicate row (same date)","OK"))))))</f>
        <v/>
      </c>
    </row>
    <row r="937">
      <c r="A937" s="26" t="n"/>
      <c r="B937" s="26" t="n"/>
      <c r="C937" s="34" t="n"/>
      <c r="D937" s="28" t="n"/>
      <c r="E937" s="26" t="n"/>
      <c r="F937" s="26" t="n"/>
      <c r="G937" s="26" t="n"/>
      <c r="H937" s="38" t="n"/>
      <c r="I937" s="28" t="n"/>
      <c r="J937" s="30">
        <f>IF(B937="","",IFERROR(INDEX('Share classes'!$A$4:$A$203,MATCH(B937,'Share classes'!$B$4:$B$203,0)),""))</f>
        <v/>
      </c>
      <c r="K937" s="30">
        <f>IF(A937="","",IFERROR(INDEX('Holders'!$B$4:$B$1003,MATCH(A937,'Holders'!$A$4:$A$1003,0)),""))</f>
        <v/>
      </c>
      <c r="L937" s="30">
        <f>IF(OR(A937="",B937="",D937=""),"",IF(D937=_xlfn.MAXIFS($D$4:$D$2503,$A$4:$A$2503,A937,$B$4:$B$2503,B937),"Yes","No"))</f>
        <v/>
      </c>
      <c r="M937" s="30">
        <f>IF(B937="","",IFERROR(INDEX('Share classes'!$F$4:$F$203,MATCH(B937,'Share classes'!$B$4:$B$203,0)),""))</f>
        <v/>
      </c>
      <c r="N937" s="30">
        <f>IF(A937="","",IF(K937="","Unknown holder ID",IF(J937="","Unknown class code",IF(OR(C937="",D937=""),"Missing shares or date",IF(OR(C937&lt;0,C937&lt;&gt;INT(C937)),"Shares must be a whole number",IF(COUNTIFS($A$4:$A$2503,A937,$B$4:$B$2503,B937,$D$4:$D$2503,D937)&gt;1,"Duplicate row (same date)","OK"))))))</f>
        <v/>
      </c>
    </row>
    <row r="938">
      <c r="A938" s="26" t="n"/>
      <c r="B938" s="26" t="n"/>
      <c r="C938" s="34" t="n"/>
      <c r="D938" s="28" t="n"/>
      <c r="E938" s="26" t="n"/>
      <c r="F938" s="26" t="n"/>
      <c r="G938" s="26" t="n"/>
      <c r="H938" s="38" t="n"/>
      <c r="I938" s="28" t="n"/>
      <c r="J938" s="30">
        <f>IF(B938="","",IFERROR(INDEX('Share classes'!$A$4:$A$203,MATCH(B938,'Share classes'!$B$4:$B$203,0)),""))</f>
        <v/>
      </c>
      <c r="K938" s="30">
        <f>IF(A938="","",IFERROR(INDEX('Holders'!$B$4:$B$1003,MATCH(A938,'Holders'!$A$4:$A$1003,0)),""))</f>
        <v/>
      </c>
      <c r="L938" s="30">
        <f>IF(OR(A938="",B938="",D938=""),"",IF(D938=_xlfn.MAXIFS($D$4:$D$2503,$A$4:$A$2503,A938,$B$4:$B$2503,B938),"Yes","No"))</f>
        <v/>
      </c>
      <c r="M938" s="30">
        <f>IF(B938="","",IFERROR(INDEX('Share classes'!$F$4:$F$203,MATCH(B938,'Share classes'!$B$4:$B$203,0)),""))</f>
        <v/>
      </c>
      <c r="N938" s="30">
        <f>IF(A938="","",IF(K938="","Unknown holder ID",IF(J938="","Unknown class code",IF(OR(C938="",D938=""),"Missing shares or date",IF(OR(C938&lt;0,C938&lt;&gt;INT(C938)),"Shares must be a whole number",IF(COUNTIFS($A$4:$A$2503,A938,$B$4:$B$2503,B938,$D$4:$D$2503,D938)&gt;1,"Duplicate row (same date)","OK"))))))</f>
        <v/>
      </c>
    </row>
    <row r="939">
      <c r="A939" s="26" t="n"/>
      <c r="B939" s="26" t="n"/>
      <c r="C939" s="34" t="n"/>
      <c r="D939" s="28" t="n"/>
      <c r="E939" s="26" t="n"/>
      <c r="F939" s="26" t="n"/>
      <c r="G939" s="26" t="n"/>
      <c r="H939" s="38" t="n"/>
      <c r="I939" s="28" t="n"/>
      <c r="J939" s="30">
        <f>IF(B939="","",IFERROR(INDEX('Share classes'!$A$4:$A$203,MATCH(B939,'Share classes'!$B$4:$B$203,0)),""))</f>
        <v/>
      </c>
      <c r="K939" s="30">
        <f>IF(A939="","",IFERROR(INDEX('Holders'!$B$4:$B$1003,MATCH(A939,'Holders'!$A$4:$A$1003,0)),""))</f>
        <v/>
      </c>
      <c r="L939" s="30">
        <f>IF(OR(A939="",B939="",D939=""),"",IF(D939=_xlfn.MAXIFS($D$4:$D$2503,$A$4:$A$2503,A939,$B$4:$B$2503,B939),"Yes","No"))</f>
        <v/>
      </c>
      <c r="M939" s="30">
        <f>IF(B939="","",IFERROR(INDEX('Share classes'!$F$4:$F$203,MATCH(B939,'Share classes'!$B$4:$B$203,0)),""))</f>
        <v/>
      </c>
      <c r="N939" s="30">
        <f>IF(A939="","",IF(K939="","Unknown holder ID",IF(J939="","Unknown class code",IF(OR(C939="",D939=""),"Missing shares or date",IF(OR(C939&lt;0,C939&lt;&gt;INT(C939)),"Shares must be a whole number",IF(COUNTIFS($A$4:$A$2503,A939,$B$4:$B$2503,B939,$D$4:$D$2503,D939)&gt;1,"Duplicate row (same date)","OK"))))))</f>
        <v/>
      </c>
    </row>
    <row r="940">
      <c r="A940" s="26" t="n"/>
      <c r="B940" s="26" t="n"/>
      <c r="C940" s="34" t="n"/>
      <c r="D940" s="28" t="n"/>
      <c r="E940" s="26" t="n"/>
      <c r="F940" s="26" t="n"/>
      <c r="G940" s="26" t="n"/>
      <c r="H940" s="38" t="n"/>
      <c r="I940" s="28" t="n"/>
      <c r="J940" s="30">
        <f>IF(B940="","",IFERROR(INDEX('Share classes'!$A$4:$A$203,MATCH(B940,'Share classes'!$B$4:$B$203,0)),""))</f>
        <v/>
      </c>
      <c r="K940" s="30">
        <f>IF(A940="","",IFERROR(INDEX('Holders'!$B$4:$B$1003,MATCH(A940,'Holders'!$A$4:$A$1003,0)),""))</f>
        <v/>
      </c>
      <c r="L940" s="30">
        <f>IF(OR(A940="",B940="",D940=""),"",IF(D940=_xlfn.MAXIFS($D$4:$D$2503,$A$4:$A$2503,A940,$B$4:$B$2503,B940),"Yes","No"))</f>
        <v/>
      </c>
      <c r="M940" s="30">
        <f>IF(B940="","",IFERROR(INDEX('Share classes'!$F$4:$F$203,MATCH(B940,'Share classes'!$B$4:$B$203,0)),""))</f>
        <v/>
      </c>
      <c r="N940" s="30">
        <f>IF(A940="","",IF(K940="","Unknown holder ID",IF(J940="","Unknown class code",IF(OR(C940="",D940=""),"Missing shares or date",IF(OR(C940&lt;0,C940&lt;&gt;INT(C940)),"Shares must be a whole number",IF(COUNTIFS($A$4:$A$2503,A940,$B$4:$B$2503,B940,$D$4:$D$2503,D940)&gt;1,"Duplicate row (same date)","OK"))))))</f>
        <v/>
      </c>
    </row>
    <row r="941">
      <c r="A941" s="26" t="n"/>
      <c r="B941" s="26" t="n"/>
      <c r="C941" s="34" t="n"/>
      <c r="D941" s="28" t="n"/>
      <c r="E941" s="26" t="n"/>
      <c r="F941" s="26" t="n"/>
      <c r="G941" s="26" t="n"/>
      <c r="H941" s="38" t="n"/>
      <c r="I941" s="28" t="n"/>
      <c r="J941" s="30">
        <f>IF(B941="","",IFERROR(INDEX('Share classes'!$A$4:$A$203,MATCH(B941,'Share classes'!$B$4:$B$203,0)),""))</f>
        <v/>
      </c>
      <c r="K941" s="30">
        <f>IF(A941="","",IFERROR(INDEX('Holders'!$B$4:$B$1003,MATCH(A941,'Holders'!$A$4:$A$1003,0)),""))</f>
        <v/>
      </c>
      <c r="L941" s="30">
        <f>IF(OR(A941="",B941="",D941=""),"",IF(D941=_xlfn.MAXIFS($D$4:$D$2503,$A$4:$A$2503,A941,$B$4:$B$2503,B941),"Yes","No"))</f>
        <v/>
      </c>
      <c r="M941" s="30">
        <f>IF(B941="","",IFERROR(INDEX('Share classes'!$F$4:$F$203,MATCH(B941,'Share classes'!$B$4:$B$203,0)),""))</f>
        <v/>
      </c>
      <c r="N941" s="30">
        <f>IF(A941="","",IF(K941="","Unknown holder ID",IF(J941="","Unknown class code",IF(OR(C941="",D941=""),"Missing shares or date",IF(OR(C941&lt;0,C941&lt;&gt;INT(C941)),"Shares must be a whole number",IF(COUNTIFS($A$4:$A$2503,A941,$B$4:$B$2503,B941,$D$4:$D$2503,D941)&gt;1,"Duplicate row (same date)","OK"))))))</f>
        <v/>
      </c>
    </row>
    <row r="942">
      <c r="A942" s="26" t="n"/>
      <c r="B942" s="26" t="n"/>
      <c r="C942" s="34" t="n"/>
      <c r="D942" s="28" t="n"/>
      <c r="E942" s="26" t="n"/>
      <c r="F942" s="26" t="n"/>
      <c r="G942" s="26" t="n"/>
      <c r="H942" s="38" t="n"/>
      <c r="I942" s="28" t="n"/>
      <c r="J942" s="30">
        <f>IF(B942="","",IFERROR(INDEX('Share classes'!$A$4:$A$203,MATCH(B942,'Share classes'!$B$4:$B$203,0)),""))</f>
        <v/>
      </c>
      <c r="K942" s="30">
        <f>IF(A942="","",IFERROR(INDEX('Holders'!$B$4:$B$1003,MATCH(A942,'Holders'!$A$4:$A$1003,0)),""))</f>
        <v/>
      </c>
      <c r="L942" s="30">
        <f>IF(OR(A942="",B942="",D942=""),"",IF(D942=_xlfn.MAXIFS($D$4:$D$2503,$A$4:$A$2503,A942,$B$4:$B$2503,B942),"Yes","No"))</f>
        <v/>
      </c>
      <c r="M942" s="30">
        <f>IF(B942="","",IFERROR(INDEX('Share classes'!$F$4:$F$203,MATCH(B942,'Share classes'!$B$4:$B$203,0)),""))</f>
        <v/>
      </c>
      <c r="N942" s="30">
        <f>IF(A942="","",IF(K942="","Unknown holder ID",IF(J942="","Unknown class code",IF(OR(C942="",D942=""),"Missing shares or date",IF(OR(C942&lt;0,C942&lt;&gt;INT(C942)),"Shares must be a whole number",IF(COUNTIFS($A$4:$A$2503,A942,$B$4:$B$2503,B942,$D$4:$D$2503,D942)&gt;1,"Duplicate row (same date)","OK"))))))</f>
        <v/>
      </c>
    </row>
    <row r="943">
      <c r="A943" s="26" t="n"/>
      <c r="B943" s="26" t="n"/>
      <c r="C943" s="34" t="n"/>
      <c r="D943" s="28" t="n"/>
      <c r="E943" s="26" t="n"/>
      <c r="F943" s="26" t="n"/>
      <c r="G943" s="26" t="n"/>
      <c r="H943" s="38" t="n"/>
      <c r="I943" s="28" t="n"/>
      <c r="J943" s="30">
        <f>IF(B943="","",IFERROR(INDEX('Share classes'!$A$4:$A$203,MATCH(B943,'Share classes'!$B$4:$B$203,0)),""))</f>
        <v/>
      </c>
      <c r="K943" s="30">
        <f>IF(A943="","",IFERROR(INDEX('Holders'!$B$4:$B$1003,MATCH(A943,'Holders'!$A$4:$A$1003,0)),""))</f>
        <v/>
      </c>
      <c r="L943" s="30">
        <f>IF(OR(A943="",B943="",D943=""),"",IF(D943=_xlfn.MAXIFS($D$4:$D$2503,$A$4:$A$2503,A943,$B$4:$B$2503,B943),"Yes","No"))</f>
        <v/>
      </c>
      <c r="M943" s="30">
        <f>IF(B943="","",IFERROR(INDEX('Share classes'!$F$4:$F$203,MATCH(B943,'Share classes'!$B$4:$B$203,0)),""))</f>
        <v/>
      </c>
      <c r="N943" s="30">
        <f>IF(A943="","",IF(K943="","Unknown holder ID",IF(J943="","Unknown class code",IF(OR(C943="",D943=""),"Missing shares or date",IF(OR(C943&lt;0,C943&lt;&gt;INT(C943)),"Shares must be a whole number",IF(COUNTIFS($A$4:$A$2503,A943,$B$4:$B$2503,B943,$D$4:$D$2503,D943)&gt;1,"Duplicate row (same date)","OK"))))))</f>
        <v/>
      </c>
    </row>
    <row r="944">
      <c r="A944" s="26" t="n"/>
      <c r="B944" s="26" t="n"/>
      <c r="C944" s="34" t="n"/>
      <c r="D944" s="28" t="n"/>
      <c r="E944" s="26" t="n"/>
      <c r="F944" s="26" t="n"/>
      <c r="G944" s="26" t="n"/>
      <c r="H944" s="38" t="n"/>
      <c r="I944" s="28" t="n"/>
      <c r="J944" s="30">
        <f>IF(B944="","",IFERROR(INDEX('Share classes'!$A$4:$A$203,MATCH(B944,'Share classes'!$B$4:$B$203,0)),""))</f>
        <v/>
      </c>
      <c r="K944" s="30">
        <f>IF(A944="","",IFERROR(INDEX('Holders'!$B$4:$B$1003,MATCH(A944,'Holders'!$A$4:$A$1003,0)),""))</f>
        <v/>
      </c>
      <c r="L944" s="30">
        <f>IF(OR(A944="",B944="",D944=""),"",IF(D944=_xlfn.MAXIFS($D$4:$D$2503,$A$4:$A$2503,A944,$B$4:$B$2503,B944),"Yes","No"))</f>
        <v/>
      </c>
      <c r="M944" s="30">
        <f>IF(B944="","",IFERROR(INDEX('Share classes'!$F$4:$F$203,MATCH(B944,'Share classes'!$B$4:$B$203,0)),""))</f>
        <v/>
      </c>
      <c r="N944" s="30">
        <f>IF(A944="","",IF(K944="","Unknown holder ID",IF(J944="","Unknown class code",IF(OR(C944="",D944=""),"Missing shares or date",IF(OR(C944&lt;0,C944&lt;&gt;INT(C944)),"Shares must be a whole number",IF(COUNTIFS($A$4:$A$2503,A944,$B$4:$B$2503,B944,$D$4:$D$2503,D944)&gt;1,"Duplicate row (same date)","OK"))))))</f>
        <v/>
      </c>
    </row>
    <row r="945">
      <c r="A945" s="26" t="n"/>
      <c r="B945" s="26" t="n"/>
      <c r="C945" s="34" t="n"/>
      <c r="D945" s="28" t="n"/>
      <c r="E945" s="26" t="n"/>
      <c r="F945" s="26" t="n"/>
      <c r="G945" s="26" t="n"/>
      <c r="H945" s="38" t="n"/>
      <c r="I945" s="28" t="n"/>
      <c r="J945" s="30">
        <f>IF(B945="","",IFERROR(INDEX('Share classes'!$A$4:$A$203,MATCH(B945,'Share classes'!$B$4:$B$203,0)),""))</f>
        <v/>
      </c>
      <c r="K945" s="30">
        <f>IF(A945="","",IFERROR(INDEX('Holders'!$B$4:$B$1003,MATCH(A945,'Holders'!$A$4:$A$1003,0)),""))</f>
        <v/>
      </c>
      <c r="L945" s="30">
        <f>IF(OR(A945="",B945="",D945=""),"",IF(D945=_xlfn.MAXIFS($D$4:$D$2503,$A$4:$A$2503,A945,$B$4:$B$2503,B945),"Yes","No"))</f>
        <v/>
      </c>
      <c r="M945" s="30">
        <f>IF(B945="","",IFERROR(INDEX('Share classes'!$F$4:$F$203,MATCH(B945,'Share classes'!$B$4:$B$203,0)),""))</f>
        <v/>
      </c>
      <c r="N945" s="30">
        <f>IF(A945="","",IF(K945="","Unknown holder ID",IF(J945="","Unknown class code",IF(OR(C945="",D945=""),"Missing shares or date",IF(OR(C945&lt;0,C945&lt;&gt;INT(C945)),"Shares must be a whole number",IF(COUNTIFS($A$4:$A$2503,A945,$B$4:$B$2503,B945,$D$4:$D$2503,D945)&gt;1,"Duplicate row (same date)","OK"))))))</f>
        <v/>
      </c>
    </row>
    <row r="946">
      <c r="A946" s="26" t="n"/>
      <c r="B946" s="26" t="n"/>
      <c r="C946" s="34" t="n"/>
      <c r="D946" s="28" t="n"/>
      <c r="E946" s="26" t="n"/>
      <c r="F946" s="26" t="n"/>
      <c r="G946" s="26" t="n"/>
      <c r="H946" s="38" t="n"/>
      <c r="I946" s="28" t="n"/>
      <c r="J946" s="30">
        <f>IF(B946="","",IFERROR(INDEX('Share classes'!$A$4:$A$203,MATCH(B946,'Share classes'!$B$4:$B$203,0)),""))</f>
        <v/>
      </c>
      <c r="K946" s="30">
        <f>IF(A946="","",IFERROR(INDEX('Holders'!$B$4:$B$1003,MATCH(A946,'Holders'!$A$4:$A$1003,0)),""))</f>
        <v/>
      </c>
      <c r="L946" s="30">
        <f>IF(OR(A946="",B946="",D946=""),"",IF(D946=_xlfn.MAXIFS($D$4:$D$2503,$A$4:$A$2503,A946,$B$4:$B$2503,B946),"Yes","No"))</f>
        <v/>
      </c>
      <c r="M946" s="30">
        <f>IF(B946="","",IFERROR(INDEX('Share classes'!$F$4:$F$203,MATCH(B946,'Share classes'!$B$4:$B$203,0)),""))</f>
        <v/>
      </c>
      <c r="N946" s="30">
        <f>IF(A946="","",IF(K946="","Unknown holder ID",IF(J946="","Unknown class code",IF(OR(C946="",D946=""),"Missing shares or date",IF(OR(C946&lt;0,C946&lt;&gt;INT(C946)),"Shares must be a whole number",IF(COUNTIFS($A$4:$A$2503,A946,$B$4:$B$2503,B946,$D$4:$D$2503,D946)&gt;1,"Duplicate row (same date)","OK"))))))</f>
        <v/>
      </c>
    </row>
    <row r="947">
      <c r="A947" s="26" t="n"/>
      <c r="B947" s="26" t="n"/>
      <c r="C947" s="34" t="n"/>
      <c r="D947" s="28" t="n"/>
      <c r="E947" s="26" t="n"/>
      <c r="F947" s="26" t="n"/>
      <c r="G947" s="26" t="n"/>
      <c r="H947" s="38" t="n"/>
      <c r="I947" s="28" t="n"/>
      <c r="J947" s="30">
        <f>IF(B947="","",IFERROR(INDEX('Share classes'!$A$4:$A$203,MATCH(B947,'Share classes'!$B$4:$B$203,0)),""))</f>
        <v/>
      </c>
      <c r="K947" s="30">
        <f>IF(A947="","",IFERROR(INDEX('Holders'!$B$4:$B$1003,MATCH(A947,'Holders'!$A$4:$A$1003,0)),""))</f>
        <v/>
      </c>
      <c r="L947" s="30">
        <f>IF(OR(A947="",B947="",D947=""),"",IF(D947=_xlfn.MAXIFS($D$4:$D$2503,$A$4:$A$2503,A947,$B$4:$B$2503,B947),"Yes","No"))</f>
        <v/>
      </c>
      <c r="M947" s="30">
        <f>IF(B947="","",IFERROR(INDEX('Share classes'!$F$4:$F$203,MATCH(B947,'Share classes'!$B$4:$B$203,0)),""))</f>
        <v/>
      </c>
      <c r="N947" s="30">
        <f>IF(A947="","",IF(K947="","Unknown holder ID",IF(J947="","Unknown class code",IF(OR(C947="",D947=""),"Missing shares or date",IF(OR(C947&lt;0,C947&lt;&gt;INT(C947)),"Shares must be a whole number",IF(COUNTIFS($A$4:$A$2503,A947,$B$4:$B$2503,B947,$D$4:$D$2503,D947)&gt;1,"Duplicate row (same date)","OK"))))))</f>
        <v/>
      </c>
    </row>
    <row r="948">
      <c r="A948" s="26" t="n"/>
      <c r="B948" s="26" t="n"/>
      <c r="C948" s="34" t="n"/>
      <c r="D948" s="28" t="n"/>
      <c r="E948" s="26" t="n"/>
      <c r="F948" s="26" t="n"/>
      <c r="G948" s="26" t="n"/>
      <c r="H948" s="38" t="n"/>
      <c r="I948" s="28" t="n"/>
      <c r="J948" s="30">
        <f>IF(B948="","",IFERROR(INDEX('Share classes'!$A$4:$A$203,MATCH(B948,'Share classes'!$B$4:$B$203,0)),""))</f>
        <v/>
      </c>
      <c r="K948" s="30">
        <f>IF(A948="","",IFERROR(INDEX('Holders'!$B$4:$B$1003,MATCH(A948,'Holders'!$A$4:$A$1003,0)),""))</f>
        <v/>
      </c>
      <c r="L948" s="30">
        <f>IF(OR(A948="",B948="",D948=""),"",IF(D948=_xlfn.MAXIFS($D$4:$D$2503,$A$4:$A$2503,A948,$B$4:$B$2503,B948),"Yes","No"))</f>
        <v/>
      </c>
      <c r="M948" s="30">
        <f>IF(B948="","",IFERROR(INDEX('Share classes'!$F$4:$F$203,MATCH(B948,'Share classes'!$B$4:$B$203,0)),""))</f>
        <v/>
      </c>
      <c r="N948" s="30">
        <f>IF(A948="","",IF(K948="","Unknown holder ID",IF(J948="","Unknown class code",IF(OR(C948="",D948=""),"Missing shares or date",IF(OR(C948&lt;0,C948&lt;&gt;INT(C948)),"Shares must be a whole number",IF(COUNTIFS($A$4:$A$2503,A948,$B$4:$B$2503,B948,$D$4:$D$2503,D948)&gt;1,"Duplicate row (same date)","OK"))))))</f>
        <v/>
      </c>
    </row>
    <row r="949">
      <c r="A949" s="26" t="n"/>
      <c r="B949" s="26" t="n"/>
      <c r="C949" s="34" t="n"/>
      <c r="D949" s="28" t="n"/>
      <c r="E949" s="26" t="n"/>
      <c r="F949" s="26" t="n"/>
      <c r="G949" s="26" t="n"/>
      <c r="H949" s="38" t="n"/>
      <c r="I949" s="28" t="n"/>
      <c r="J949" s="30">
        <f>IF(B949="","",IFERROR(INDEX('Share classes'!$A$4:$A$203,MATCH(B949,'Share classes'!$B$4:$B$203,0)),""))</f>
        <v/>
      </c>
      <c r="K949" s="30">
        <f>IF(A949="","",IFERROR(INDEX('Holders'!$B$4:$B$1003,MATCH(A949,'Holders'!$A$4:$A$1003,0)),""))</f>
        <v/>
      </c>
      <c r="L949" s="30">
        <f>IF(OR(A949="",B949="",D949=""),"",IF(D949=_xlfn.MAXIFS($D$4:$D$2503,$A$4:$A$2503,A949,$B$4:$B$2503,B949),"Yes","No"))</f>
        <v/>
      </c>
      <c r="M949" s="30">
        <f>IF(B949="","",IFERROR(INDEX('Share classes'!$F$4:$F$203,MATCH(B949,'Share classes'!$B$4:$B$203,0)),""))</f>
        <v/>
      </c>
      <c r="N949" s="30">
        <f>IF(A949="","",IF(K949="","Unknown holder ID",IF(J949="","Unknown class code",IF(OR(C949="",D949=""),"Missing shares or date",IF(OR(C949&lt;0,C949&lt;&gt;INT(C949)),"Shares must be a whole number",IF(COUNTIFS($A$4:$A$2503,A949,$B$4:$B$2503,B949,$D$4:$D$2503,D949)&gt;1,"Duplicate row (same date)","OK"))))))</f>
        <v/>
      </c>
    </row>
    <row r="950">
      <c r="A950" s="26" t="n"/>
      <c r="B950" s="26" t="n"/>
      <c r="C950" s="34" t="n"/>
      <c r="D950" s="28" t="n"/>
      <c r="E950" s="26" t="n"/>
      <c r="F950" s="26" t="n"/>
      <c r="G950" s="26" t="n"/>
      <c r="H950" s="38" t="n"/>
      <c r="I950" s="28" t="n"/>
      <c r="J950" s="30">
        <f>IF(B950="","",IFERROR(INDEX('Share classes'!$A$4:$A$203,MATCH(B950,'Share classes'!$B$4:$B$203,0)),""))</f>
        <v/>
      </c>
      <c r="K950" s="30">
        <f>IF(A950="","",IFERROR(INDEX('Holders'!$B$4:$B$1003,MATCH(A950,'Holders'!$A$4:$A$1003,0)),""))</f>
        <v/>
      </c>
      <c r="L950" s="30">
        <f>IF(OR(A950="",B950="",D950=""),"",IF(D950=_xlfn.MAXIFS($D$4:$D$2503,$A$4:$A$2503,A950,$B$4:$B$2503,B950),"Yes","No"))</f>
        <v/>
      </c>
      <c r="M950" s="30">
        <f>IF(B950="","",IFERROR(INDEX('Share classes'!$F$4:$F$203,MATCH(B950,'Share classes'!$B$4:$B$203,0)),""))</f>
        <v/>
      </c>
      <c r="N950" s="30">
        <f>IF(A950="","",IF(K950="","Unknown holder ID",IF(J950="","Unknown class code",IF(OR(C950="",D950=""),"Missing shares or date",IF(OR(C950&lt;0,C950&lt;&gt;INT(C950)),"Shares must be a whole number",IF(COUNTIFS($A$4:$A$2503,A950,$B$4:$B$2503,B950,$D$4:$D$2503,D950)&gt;1,"Duplicate row (same date)","OK"))))))</f>
        <v/>
      </c>
    </row>
    <row r="951">
      <c r="A951" s="26" t="n"/>
      <c r="B951" s="26" t="n"/>
      <c r="C951" s="34" t="n"/>
      <c r="D951" s="28" t="n"/>
      <c r="E951" s="26" t="n"/>
      <c r="F951" s="26" t="n"/>
      <c r="G951" s="26" t="n"/>
      <c r="H951" s="38" t="n"/>
      <c r="I951" s="28" t="n"/>
      <c r="J951" s="30">
        <f>IF(B951="","",IFERROR(INDEX('Share classes'!$A$4:$A$203,MATCH(B951,'Share classes'!$B$4:$B$203,0)),""))</f>
        <v/>
      </c>
      <c r="K951" s="30">
        <f>IF(A951="","",IFERROR(INDEX('Holders'!$B$4:$B$1003,MATCH(A951,'Holders'!$A$4:$A$1003,0)),""))</f>
        <v/>
      </c>
      <c r="L951" s="30">
        <f>IF(OR(A951="",B951="",D951=""),"",IF(D951=_xlfn.MAXIFS($D$4:$D$2503,$A$4:$A$2503,A951,$B$4:$B$2503,B951),"Yes","No"))</f>
        <v/>
      </c>
      <c r="M951" s="30">
        <f>IF(B951="","",IFERROR(INDEX('Share classes'!$F$4:$F$203,MATCH(B951,'Share classes'!$B$4:$B$203,0)),""))</f>
        <v/>
      </c>
      <c r="N951" s="30">
        <f>IF(A951="","",IF(K951="","Unknown holder ID",IF(J951="","Unknown class code",IF(OR(C951="",D951=""),"Missing shares or date",IF(OR(C951&lt;0,C951&lt;&gt;INT(C951)),"Shares must be a whole number",IF(COUNTIFS($A$4:$A$2503,A951,$B$4:$B$2503,B951,$D$4:$D$2503,D951)&gt;1,"Duplicate row (same date)","OK"))))))</f>
        <v/>
      </c>
    </row>
    <row r="952">
      <c r="A952" s="26" t="n"/>
      <c r="B952" s="26" t="n"/>
      <c r="C952" s="34" t="n"/>
      <c r="D952" s="28" t="n"/>
      <c r="E952" s="26" t="n"/>
      <c r="F952" s="26" t="n"/>
      <c r="G952" s="26" t="n"/>
      <c r="H952" s="38" t="n"/>
      <c r="I952" s="28" t="n"/>
      <c r="J952" s="30">
        <f>IF(B952="","",IFERROR(INDEX('Share classes'!$A$4:$A$203,MATCH(B952,'Share classes'!$B$4:$B$203,0)),""))</f>
        <v/>
      </c>
      <c r="K952" s="30">
        <f>IF(A952="","",IFERROR(INDEX('Holders'!$B$4:$B$1003,MATCH(A952,'Holders'!$A$4:$A$1003,0)),""))</f>
        <v/>
      </c>
      <c r="L952" s="30">
        <f>IF(OR(A952="",B952="",D952=""),"",IF(D952=_xlfn.MAXIFS($D$4:$D$2503,$A$4:$A$2503,A952,$B$4:$B$2503,B952),"Yes","No"))</f>
        <v/>
      </c>
      <c r="M952" s="30">
        <f>IF(B952="","",IFERROR(INDEX('Share classes'!$F$4:$F$203,MATCH(B952,'Share classes'!$B$4:$B$203,0)),""))</f>
        <v/>
      </c>
      <c r="N952" s="30">
        <f>IF(A952="","",IF(K952="","Unknown holder ID",IF(J952="","Unknown class code",IF(OR(C952="",D952=""),"Missing shares or date",IF(OR(C952&lt;0,C952&lt;&gt;INT(C952)),"Shares must be a whole number",IF(COUNTIFS($A$4:$A$2503,A952,$B$4:$B$2503,B952,$D$4:$D$2503,D952)&gt;1,"Duplicate row (same date)","OK"))))))</f>
        <v/>
      </c>
    </row>
    <row r="953">
      <c r="A953" s="26" t="n"/>
      <c r="B953" s="26" t="n"/>
      <c r="C953" s="34" t="n"/>
      <c r="D953" s="28" t="n"/>
      <c r="E953" s="26" t="n"/>
      <c r="F953" s="26" t="n"/>
      <c r="G953" s="26" t="n"/>
      <c r="H953" s="38" t="n"/>
      <c r="I953" s="28" t="n"/>
      <c r="J953" s="30">
        <f>IF(B953="","",IFERROR(INDEX('Share classes'!$A$4:$A$203,MATCH(B953,'Share classes'!$B$4:$B$203,0)),""))</f>
        <v/>
      </c>
      <c r="K953" s="30">
        <f>IF(A953="","",IFERROR(INDEX('Holders'!$B$4:$B$1003,MATCH(A953,'Holders'!$A$4:$A$1003,0)),""))</f>
        <v/>
      </c>
      <c r="L953" s="30">
        <f>IF(OR(A953="",B953="",D953=""),"",IF(D953=_xlfn.MAXIFS($D$4:$D$2503,$A$4:$A$2503,A953,$B$4:$B$2503,B953),"Yes","No"))</f>
        <v/>
      </c>
      <c r="M953" s="30">
        <f>IF(B953="","",IFERROR(INDEX('Share classes'!$F$4:$F$203,MATCH(B953,'Share classes'!$B$4:$B$203,0)),""))</f>
        <v/>
      </c>
      <c r="N953" s="30">
        <f>IF(A953="","",IF(K953="","Unknown holder ID",IF(J953="","Unknown class code",IF(OR(C953="",D953=""),"Missing shares or date",IF(OR(C953&lt;0,C953&lt;&gt;INT(C953)),"Shares must be a whole number",IF(COUNTIFS($A$4:$A$2503,A953,$B$4:$B$2503,B953,$D$4:$D$2503,D953)&gt;1,"Duplicate row (same date)","OK"))))))</f>
        <v/>
      </c>
    </row>
    <row r="954">
      <c r="A954" s="26" t="n"/>
      <c r="B954" s="26" t="n"/>
      <c r="C954" s="34" t="n"/>
      <c r="D954" s="28" t="n"/>
      <c r="E954" s="26" t="n"/>
      <c r="F954" s="26" t="n"/>
      <c r="G954" s="26" t="n"/>
      <c r="H954" s="38" t="n"/>
      <c r="I954" s="28" t="n"/>
      <c r="J954" s="30">
        <f>IF(B954="","",IFERROR(INDEX('Share classes'!$A$4:$A$203,MATCH(B954,'Share classes'!$B$4:$B$203,0)),""))</f>
        <v/>
      </c>
      <c r="K954" s="30">
        <f>IF(A954="","",IFERROR(INDEX('Holders'!$B$4:$B$1003,MATCH(A954,'Holders'!$A$4:$A$1003,0)),""))</f>
        <v/>
      </c>
      <c r="L954" s="30">
        <f>IF(OR(A954="",B954="",D954=""),"",IF(D954=_xlfn.MAXIFS($D$4:$D$2503,$A$4:$A$2503,A954,$B$4:$B$2503,B954),"Yes","No"))</f>
        <v/>
      </c>
      <c r="M954" s="30">
        <f>IF(B954="","",IFERROR(INDEX('Share classes'!$F$4:$F$203,MATCH(B954,'Share classes'!$B$4:$B$203,0)),""))</f>
        <v/>
      </c>
      <c r="N954" s="30">
        <f>IF(A954="","",IF(K954="","Unknown holder ID",IF(J954="","Unknown class code",IF(OR(C954="",D954=""),"Missing shares or date",IF(OR(C954&lt;0,C954&lt;&gt;INT(C954)),"Shares must be a whole number",IF(COUNTIFS($A$4:$A$2503,A954,$B$4:$B$2503,B954,$D$4:$D$2503,D954)&gt;1,"Duplicate row (same date)","OK"))))))</f>
        <v/>
      </c>
    </row>
    <row r="955">
      <c r="A955" s="26" t="n"/>
      <c r="B955" s="26" t="n"/>
      <c r="C955" s="34" t="n"/>
      <c r="D955" s="28" t="n"/>
      <c r="E955" s="26" t="n"/>
      <c r="F955" s="26" t="n"/>
      <c r="G955" s="26" t="n"/>
      <c r="H955" s="38" t="n"/>
      <c r="I955" s="28" t="n"/>
      <c r="J955" s="30">
        <f>IF(B955="","",IFERROR(INDEX('Share classes'!$A$4:$A$203,MATCH(B955,'Share classes'!$B$4:$B$203,0)),""))</f>
        <v/>
      </c>
      <c r="K955" s="30">
        <f>IF(A955="","",IFERROR(INDEX('Holders'!$B$4:$B$1003,MATCH(A955,'Holders'!$A$4:$A$1003,0)),""))</f>
        <v/>
      </c>
      <c r="L955" s="30">
        <f>IF(OR(A955="",B955="",D955=""),"",IF(D955=_xlfn.MAXIFS($D$4:$D$2503,$A$4:$A$2503,A955,$B$4:$B$2503,B955),"Yes","No"))</f>
        <v/>
      </c>
      <c r="M955" s="30">
        <f>IF(B955="","",IFERROR(INDEX('Share classes'!$F$4:$F$203,MATCH(B955,'Share classes'!$B$4:$B$203,0)),""))</f>
        <v/>
      </c>
      <c r="N955" s="30">
        <f>IF(A955="","",IF(K955="","Unknown holder ID",IF(J955="","Unknown class code",IF(OR(C955="",D955=""),"Missing shares or date",IF(OR(C955&lt;0,C955&lt;&gt;INT(C955)),"Shares must be a whole number",IF(COUNTIFS($A$4:$A$2503,A955,$B$4:$B$2503,B955,$D$4:$D$2503,D955)&gt;1,"Duplicate row (same date)","OK"))))))</f>
        <v/>
      </c>
    </row>
    <row r="956">
      <c r="A956" s="26" t="n"/>
      <c r="B956" s="26" t="n"/>
      <c r="C956" s="34" t="n"/>
      <c r="D956" s="28" t="n"/>
      <c r="E956" s="26" t="n"/>
      <c r="F956" s="26" t="n"/>
      <c r="G956" s="26" t="n"/>
      <c r="H956" s="38" t="n"/>
      <c r="I956" s="28" t="n"/>
      <c r="J956" s="30">
        <f>IF(B956="","",IFERROR(INDEX('Share classes'!$A$4:$A$203,MATCH(B956,'Share classes'!$B$4:$B$203,0)),""))</f>
        <v/>
      </c>
      <c r="K956" s="30">
        <f>IF(A956="","",IFERROR(INDEX('Holders'!$B$4:$B$1003,MATCH(A956,'Holders'!$A$4:$A$1003,0)),""))</f>
        <v/>
      </c>
      <c r="L956" s="30">
        <f>IF(OR(A956="",B956="",D956=""),"",IF(D956=_xlfn.MAXIFS($D$4:$D$2503,$A$4:$A$2503,A956,$B$4:$B$2503,B956),"Yes","No"))</f>
        <v/>
      </c>
      <c r="M956" s="30">
        <f>IF(B956="","",IFERROR(INDEX('Share classes'!$F$4:$F$203,MATCH(B956,'Share classes'!$B$4:$B$203,0)),""))</f>
        <v/>
      </c>
      <c r="N956" s="30">
        <f>IF(A956="","",IF(K956="","Unknown holder ID",IF(J956="","Unknown class code",IF(OR(C956="",D956=""),"Missing shares or date",IF(OR(C956&lt;0,C956&lt;&gt;INT(C956)),"Shares must be a whole number",IF(COUNTIFS($A$4:$A$2503,A956,$B$4:$B$2503,B956,$D$4:$D$2503,D956)&gt;1,"Duplicate row (same date)","OK"))))))</f>
        <v/>
      </c>
    </row>
    <row r="957">
      <c r="A957" s="26" t="n"/>
      <c r="B957" s="26" t="n"/>
      <c r="C957" s="34" t="n"/>
      <c r="D957" s="28" t="n"/>
      <c r="E957" s="26" t="n"/>
      <c r="F957" s="26" t="n"/>
      <c r="G957" s="26" t="n"/>
      <c r="H957" s="38" t="n"/>
      <c r="I957" s="28" t="n"/>
      <c r="J957" s="30">
        <f>IF(B957="","",IFERROR(INDEX('Share classes'!$A$4:$A$203,MATCH(B957,'Share classes'!$B$4:$B$203,0)),""))</f>
        <v/>
      </c>
      <c r="K957" s="30">
        <f>IF(A957="","",IFERROR(INDEX('Holders'!$B$4:$B$1003,MATCH(A957,'Holders'!$A$4:$A$1003,0)),""))</f>
        <v/>
      </c>
      <c r="L957" s="30">
        <f>IF(OR(A957="",B957="",D957=""),"",IF(D957=_xlfn.MAXIFS($D$4:$D$2503,$A$4:$A$2503,A957,$B$4:$B$2503,B957),"Yes","No"))</f>
        <v/>
      </c>
      <c r="M957" s="30">
        <f>IF(B957="","",IFERROR(INDEX('Share classes'!$F$4:$F$203,MATCH(B957,'Share classes'!$B$4:$B$203,0)),""))</f>
        <v/>
      </c>
      <c r="N957" s="30">
        <f>IF(A957="","",IF(K957="","Unknown holder ID",IF(J957="","Unknown class code",IF(OR(C957="",D957=""),"Missing shares or date",IF(OR(C957&lt;0,C957&lt;&gt;INT(C957)),"Shares must be a whole number",IF(COUNTIFS($A$4:$A$2503,A957,$B$4:$B$2503,B957,$D$4:$D$2503,D957)&gt;1,"Duplicate row (same date)","OK"))))))</f>
        <v/>
      </c>
    </row>
    <row r="958">
      <c r="A958" s="26" t="n"/>
      <c r="B958" s="26" t="n"/>
      <c r="C958" s="34" t="n"/>
      <c r="D958" s="28" t="n"/>
      <c r="E958" s="26" t="n"/>
      <c r="F958" s="26" t="n"/>
      <c r="G958" s="26" t="n"/>
      <c r="H958" s="38" t="n"/>
      <c r="I958" s="28" t="n"/>
      <c r="J958" s="30">
        <f>IF(B958="","",IFERROR(INDEX('Share classes'!$A$4:$A$203,MATCH(B958,'Share classes'!$B$4:$B$203,0)),""))</f>
        <v/>
      </c>
      <c r="K958" s="30">
        <f>IF(A958="","",IFERROR(INDEX('Holders'!$B$4:$B$1003,MATCH(A958,'Holders'!$A$4:$A$1003,0)),""))</f>
        <v/>
      </c>
      <c r="L958" s="30">
        <f>IF(OR(A958="",B958="",D958=""),"",IF(D958=_xlfn.MAXIFS($D$4:$D$2503,$A$4:$A$2503,A958,$B$4:$B$2503,B958),"Yes","No"))</f>
        <v/>
      </c>
      <c r="M958" s="30">
        <f>IF(B958="","",IFERROR(INDEX('Share classes'!$F$4:$F$203,MATCH(B958,'Share classes'!$B$4:$B$203,0)),""))</f>
        <v/>
      </c>
      <c r="N958" s="30">
        <f>IF(A958="","",IF(K958="","Unknown holder ID",IF(J958="","Unknown class code",IF(OR(C958="",D958=""),"Missing shares or date",IF(OR(C958&lt;0,C958&lt;&gt;INT(C958)),"Shares must be a whole number",IF(COUNTIFS($A$4:$A$2503,A958,$B$4:$B$2503,B958,$D$4:$D$2503,D958)&gt;1,"Duplicate row (same date)","OK"))))))</f>
        <v/>
      </c>
    </row>
    <row r="959">
      <c r="A959" s="26" t="n"/>
      <c r="B959" s="26" t="n"/>
      <c r="C959" s="34" t="n"/>
      <c r="D959" s="28" t="n"/>
      <c r="E959" s="26" t="n"/>
      <c r="F959" s="26" t="n"/>
      <c r="G959" s="26" t="n"/>
      <c r="H959" s="38" t="n"/>
      <c r="I959" s="28" t="n"/>
      <c r="J959" s="30">
        <f>IF(B959="","",IFERROR(INDEX('Share classes'!$A$4:$A$203,MATCH(B959,'Share classes'!$B$4:$B$203,0)),""))</f>
        <v/>
      </c>
      <c r="K959" s="30">
        <f>IF(A959="","",IFERROR(INDEX('Holders'!$B$4:$B$1003,MATCH(A959,'Holders'!$A$4:$A$1003,0)),""))</f>
        <v/>
      </c>
      <c r="L959" s="30">
        <f>IF(OR(A959="",B959="",D959=""),"",IF(D959=_xlfn.MAXIFS($D$4:$D$2503,$A$4:$A$2503,A959,$B$4:$B$2503,B959),"Yes","No"))</f>
        <v/>
      </c>
      <c r="M959" s="30">
        <f>IF(B959="","",IFERROR(INDEX('Share classes'!$F$4:$F$203,MATCH(B959,'Share classes'!$B$4:$B$203,0)),""))</f>
        <v/>
      </c>
      <c r="N959" s="30">
        <f>IF(A959="","",IF(K959="","Unknown holder ID",IF(J959="","Unknown class code",IF(OR(C959="",D959=""),"Missing shares or date",IF(OR(C959&lt;0,C959&lt;&gt;INT(C959)),"Shares must be a whole number",IF(COUNTIFS($A$4:$A$2503,A959,$B$4:$B$2503,B959,$D$4:$D$2503,D959)&gt;1,"Duplicate row (same date)","OK"))))))</f>
        <v/>
      </c>
    </row>
    <row r="960">
      <c r="A960" s="26" t="n"/>
      <c r="B960" s="26" t="n"/>
      <c r="C960" s="34" t="n"/>
      <c r="D960" s="28" t="n"/>
      <c r="E960" s="26" t="n"/>
      <c r="F960" s="26" t="n"/>
      <c r="G960" s="26" t="n"/>
      <c r="H960" s="38" t="n"/>
      <c r="I960" s="28" t="n"/>
      <c r="J960" s="30">
        <f>IF(B960="","",IFERROR(INDEX('Share classes'!$A$4:$A$203,MATCH(B960,'Share classes'!$B$4:$B$203,0)),""))</f>
        <v/>
      </c>
      <c r="K960" s="30">
        <f>IF(A960="","",IFERROR(INDEX('Holders'!$B$4:$B$1003,MATCH(A960,'Holders'!$A$4:$A$1003,0)),""))</f>
        <v/>
      </c>
      <c r="L960" s="30">
        <f>IF(OR(A960="",B960="",D960=""),"",IF(D960=_xlfn.MAXIFS($D$4:$D$2503,$A$4:$A$2503,A960,$B$4:$B$2503,B960),"Yes","No"))</f>
        <v/>
      </c>
      <c r="M960" s="30">
        <f>IF(B960="","",IFERROR(INDEX('Share classes'!$F$4:$F$203,MATCH(B960,'Share classes'!$B$4:$B$203,0)),""))</f>
        <v/>
      </c>
      <c r="N960" s="30">
        <f>IF(A960="","",IF(K960="","Unknown holder ID",IF(J960="","Unknown class code",IF(OR(C960="",D960=""),"Missing shares or date",IF(OR(C960&lt;0,C960&lt;&gt;INT(C960)),"Shares must be a whole number",IF(COUNTIFS($A$4:$A$2503,A960,$B$4:$B$2503,B960,$D$4:$D$2503,D960)&gt;1,"Duplicate row (same date)","OK"))))))</f>
        <v/>
      </c>
    </row>
    <row r="961">
      <c r="A961" s="26" t="n"/>
      <c r="B961" s="26" t="n"/>
      <c r="C961" s="34" t="n"/>
      <c r="D961" s="28" t="n"/>
      <c r="E961" s="26" t="n"/>
      <c r="F961" s="26" t="n"/>
      <c r="G961" s="26" t="n"/>
      <c r="H961" s="38" t="n"/>
      <c r="I961" s="28" t="n"/>
      <c r="J961" s="30">
        <f>IF(B961="","",IFERROR(INDEX('Share classes'!$A$4:$A$203,MATCH(B961,'Share classes'!$B$4:$B$203,0)),""))</f>
        <v/>
      </c>
      <c r="K961" s="30">
        <f>IF(A961="","",IFERROR(INDEX('Holders'!$B$4:$B$1003,MATCH(A961,'Holders'!$A$4:$A$1003,0)),""))</f>
        <v/>
      </c>
      <c r="L961" s="30">
        <f>IF(OR(A961="",B961="",D961=""),"",IF(D961=_xlfn.MAXIFS($D$4:$D$2503,$A$4:$A$2503,A961,$B$4:$B$2503,B961),"Yes","No"))</f>
        <v/>
      </c>
      <c r="M961" s="30">
        <f>IF(B961="","",IFERROR(INDEX('Share classes'!$F$4:$F$203,MATCH(B961,'Share classes'!$B$4:$B$203,0)),""))</f>
        <v/>
      </c>
      <c r="N961" s="30">
        <f>IF(A961="","",IF(K961="","Unknown holder ID",IF(J961="","Unknown class code",IF(OR(C961="",D961=""),"Missing shares or date",IF(OR(C961&lt;0,C961&lt;&gt;INT(C961)),"Shares must be a whole number",IF(COUNTIFS($A$4:$A$2503,A961,$B$4:$B$2503,B961,$D$4:$D$2503,D961)&gt;1,"Duplicate row (same date)","OK"))))))</f>
        <v/>
      </c>
    </row>
    <row r="962">
      <c r="A962" s="26" t="n"/>
      <c r="B962" s="26" t="n"/>
      <c r="C962" s="34" t="n"/>
      <c r="D962" s="28" t="n"/>
      <c r="E962" s="26" t="n"/>
      <c r="F962" s="26" t="n"/>
      <c r="G962" s="26" t="n"/>
      <c r="H962" s="38" t="n"/>
      <c r="I962" s="28" t="n"/>
      <c r="J962" s="30">
        <f>IF(B962="","",IFERROR(INDEX('Share classes'!$A$4:$A$203,MATCH(B962,'Share classes'!$B$4:$B$203,0)),""))</f>
        <v/>
      </c>
      <c r="K962" s="30">
        <f>IF(A962="","",IFERROR(INDEX('Holders'!$B$4:$B$1003,MATCH(A962,'Holders'!$A$4:$A$1003,0)),""))</f>
        <v/>
      </c>
      <c r="L962" s="30">
        <f>IF(OR(A962="",B962="",D962=""),"",IF(D962=_xlfn.MAXIFS($D$4:$D$2503,$A$4:$A$2503,A962,$B$4:$B$2503,B962),"Yes","No"))</f>
        <v/>
      </c>
      <c r="M962" s="30">
        <f>IF(B962="","",IFERROR(INDEX('Share classes'!$F$4:$F$203,MATCH(B962,'Share classes'!$B$4:$B$203,0)),""))</f>
        <v/>
      </c>
      <c r="N962" s="30">
        <f>IF(A962="","",IF(K962="","Unknown holder ID",IF(J962="","Unknown class code",IF(OR(C962="",D962=""),"Missing shares or date",IF(OR(C962&lt;0,C962&lt;&gt;INT(C962)),"Shares must be a whole number",IF(COUNTIFS($A$4:$A$2503,A962,$B$4:$B$2503,B962,$D$4:$D$2503,D962)&gt;1,"Duplicate row (same date)","OK"))))))</f>
        <v/>
      </c>
    </row>
    <row r="963">
      <c r="A963" s="26" t="n"/>
      <c r="B963" s="26" t="n"/>
      <c r="C963" s="34" t="n"/>
      <c r="D963" s="28" t="n"/>
      <c r="E963" s="26" t="n"/>
      <c r="F963" s="26" t="n"/>
      <c r="G963" s="26" t="n"/>
      <c r="H963" s="38" t="n"/>
      <c r="I963" s="28" t="n"/>
      <c r="J963" s="30">
        <f>IF(B963="","",IFERROR(INDEX('Share classes'!$A$4:$A$203,MATCH(B963,'Share classes'!$B$4:$B$203,0)),""))</f>
        <v/>
      </c>
      <c r="K963" s="30">
        <f>IF(A963="","",IFERROR(INDEX('Holders'!$B$4:$B$1003,MATCH(A963,'Holders'!$A$4:$A$1003,0)),""))</f>
        <v/>
      </c>
      <c r="L963" s="30">
        <f>IF(OR(A963="",B963="",D963=""),"",IF(D963=_xlfn.MAXIFS($D$4:$D$2503,$A$4:$A$2503,A963,$B$4:$B$2503,B963),"Yes","No"))</f>
        <v/>
      </c>
      <c r="M963" s="30">
        <f>IF(B963="","",IFERROR(INDEX('Share classes'!$F$4:$F$203,MATCH(B963,'Share classes'!$B$4:$B$203,0)),""))</f>
        <v/>
      </c>
      <c r="N963" s="30">
        <f>IF(A963="","",IF(K963="","Unknown holder ID",IF(J963="","Unknown class code",IF(OR(C963="",D963=""),"Missing shares or date",IF(OR(C963&lt;0,C963&lt;&gt;INT(C963)),"Shares must be a whole number",IF(COUNTIFS($A$4:$A$2503,A963,$B$4:$B$2503,B963,$D$4:$D$2503,D963)&gt;1,"Duplicate row (same date)","OK"))))))</f>
        <v/>
      </c>
    </row>
    <row r="964">
      <c r="A964" s="26" t="n"/>
      <c r="B964" s="26" t="n"/>
      <c r="C964" s="34" t="n"/>
      <c r="D964" s="28" t="n"/>
      <c r="E964" s="26" t="n"/>
      <c r="F964" s="26" t="n"/>
      <c r="G964" s="26" t="n"/>
      <c r="H964" s="38" t="n"/>
      <c r="I964" s="28" t="n"/>
      <c r="J964" s="30">
        <f>IF(B964="","",IFERROR(INDEX('Share classes'!$A$4:$A$203,MATCH(B964,'Share classes'!$B$4:$B$203,0)),""))</f>
        <v/>
      </c>
      <c r="K964" s="30">
        <f>IF(A964="","",IFERROR(INDEX('Holders'!$B$4:$B$1003,MATCH(A964,'Holders'!$A$4:$A$1003,0)),""))</f>
        <v/>
      </c>
      <c r="L964" s="30">
        <f>IF(OR(A964="",B964="",D964=""),"",IF(D964=_xlfn.MAXIFS($D$4:$D$2503,$A$4:$A$2503,A964,$B$4:$B$2503,B964),"Yes","No"))</f>
        <v/>
      </c>
      <c r="M964" s="30">
        <f>IF(B964="","",IFERROR(INDEX('Share classes'!$F$4:$F$203,MATCH(B964,'Share classes'!$B$4:$B$203,0)),""))</f>
        <v/>
      </c>
      <c r="N964" s="30">
        <f>IF(A964="","",IF(K964="","Unknown holder ID",IF(J964="","Unknown class code",IF(OR(C964="",D964=""),"Missing shares or date",IF(OR(C964&lt;0,C964&lt;&gt;INT(C964)),"Shares must be a whole number",IF(COUNTIFS($A$4:$A$2503,A964,$B$4:$B$2503,B964,$D$4:$D$2503,D964)&gt;1,"Duplicate row (same date)","OK"))))))</f>
        <v/>
      </c>
    </row>
    <row r="965">
      <c r="A965" s="26" t="n"/>
      <c r="B965" s="26" t="n"/>
      <c r="C965" s="34" t="n"/>
      <c r="D965" s="28" t="n"/>
      <c r="E965" s="26" t="n"/>
      <c r="F965" s="26" t="n"/>
      <c r="G965" s="26" t="n"/>
      <c r="H965" s="38" t="n"/>
      <c r="I965" s="28" t="n"/>
      <c r="J965" s="30">
        <f>IF(B965="","",IFERROR(INDEX('Share classes'!$A$4:$A$203,MATCH(B965,'Share classes'!$B$4:$B$203,0)),""))</f>
        <v/>
      </c>
      <c r="K965" s="30">
        <f>IF(A965="","",IFERROR(INDEX('Holders'!$B$4:$B$1003,MATCH(A965,'Holders'!$A$4:$A$1003,0)),""))</f>
        <v/>
      </c>
      <c r="L965" s="30">
        <f>IF(OR(A965="",B965="",D965=""),"",IF(D965=_xlfn.MAXIFS($D$4:$D$2503,$A$4:$A$2503,A965,$B$4:$B$2503,B965),"Yes","No"))</f>
        <v/>
      </c>
      <c r="M965" s="30">
        <f>IF(B965="","",IFERROR(INDEX('Share classes'!$F$4:$F$203,MATCH(B965,'Share classes'!$B$4:$B$203,0)),""))</f>
        <v/>
      </c>
      <c r="N965" s="30">
        <f>IF(A965="","",IF(K965="","Unknown holder ID",IF(J965="","Unknown class code",IF(OR(C965="",D965=""),"Missing shares or date",IF(OR(C965&lt;0,C965&lt;&gt;INT(C965)),"Shares must be a whole number",IF(COUNTIFS($A$4:$A$2503,A965,$B$4:$B$2503,B965,$D$4:$D$2503,D965)&gt;1,"Duplicate row (same date)","OK"))))))</f>
        <v/>
      </c>
    </row>
    <row r="966">
      <c r="A966" s="26" t="n"/>
      <c r="B966" s="26" t="n"/>
      <c r="C966" s="34" t="n"/>
      <c r="D966" s="28" t="n"/>
      <c r="E966" s="26" t="n"/>
      <c r="F966" s="26" t="n"/>
      <c r="G966" s="26" t="n"/>
      <c r="H966" s="38" t="n"/>
      <c r="I966" s="28" t="n"/>
      <c r="J966" s="30">
        <f>IF(B966="","",IFERROR(INDEX('Share classes'!$A$4:$A$203,MATCH(B966,'Share classes'!$B$4:$B$203,0)),""))</f>
        <v/>
      </c>
      <c r="K966" s="30">
        <f>IF(A966="","",IFERROR(INDEX('Holders'!$B$4:$B$1003,MATCH(A966,'Holders'!$A$4:$A$1003,0)),""))</f>
        <v/>
      </c>
      <c r="L966" s="30">
        <f>IF(OR(A966="",B966="",D966=""),"",IF(D966=_xlfn.MAXIFS($D$4:$D$2503,$A$4:$A$2503,A966,$B$4:$B$2503,B966),"Yes","No"))</f>
        <v/>
      </c>
      <c r="M966" s="30">
        <f>IF(B966="","",IFERROR(INDEX('Share classes'!$F$4:$F$203,MATCH(B966,'Share classes'!$B$4:$B$203,0)),""))</f>
        <v/>
      </c>
      <c r="N966" s="30">
        <f>IF(A966="","",IF(K966="","Unknown holder ID",IF(J966="","Unknown class code",IF(OR(C966="",D966=""),"Missing shares or date",IF(OR(C966&lt;0,C966&lt;&gt;INT(C966)),"Shares must be a whole number",IF(COUNTIFS($A$4:$A$2503,A966,$B$4:$B$2503,B966,$D$4:$D$2503,D966)&gt;1,"Duplicate row (same date)","OK"))))))</f>
        <v/>
      </c>
    </row>
    <row r="967">
      <c r="A967" s="26" t="n"/>
      <c r="B967" s="26" t="n"/>
      <c r="C967" s="34" t="n"/>
      <c r="D967" s="28" t="n"/>
      <c r="E967" s="26" t="n"/>
      <c r="F967" s="26" t="n"/>
      <c r="G967" s="26" t="n"/>
      <c r="H967" s="38" t="n"/>
      <c r="I967" s="28" t="n"/>
      <c r="J967" s="30">
        <f>IF(B967="","",IFERROR(INDEX('Share classes'!$A$4:$A$203,MATCH(B967,'Share classes'!$B$4:$B$203,0)),""))</f>
        <v/>
      </c>
      <c r="K967" s="30">
        <f>IF(A967="","",IFERROR(INDEX('Holders'!$B$4:$B$1003,MATCH(A967,'Holders'!$A$4:$A$1003,0)),""))</f>
        <v/>
      </c>
      <c r="L967" s="30">
        <f>IF(OR(A967="",B967="",D967=""),"",IF(D967=_xlfn.MAXIFS($D$4:$D$2503,$A$4:$A$2503,A967,$B$4:$B$2503,B967),"Yes","No"))</f>
        <v/>
      </c>
      <c r="M967" s="30">
        <f>IF(B967="","",IFERROR(INDEX('Share classes'!$F$4:$F$203,MATCH(B967,'Share classes'!$B$4:$B$203,0)),""))</f>
        <v/>
      </c>
      <c r="N967" s="30">
        <f>IF(A967="","",IF(K967="","Unknown holder ID",IF(J967="","Unknown class code",IF(OR(C967="",D967=""),"Missing shares or date",IF(OR(C967&lt;0,C967&lt;&gt;INT(C967)),"Shares must be a whole number",IF(COUNTIFS($A$4:$A$2503,A967,$B$4:$B$2503,B967,$D$4:$D$2503,D967)&gt;1,"Duplicate row (same date)","OK"))))))</f>
        <v/>
      </c>
    </row>
    <row r="968">
      <c r="A968" s="26" t="n"/>
      <c r="B968" s="26" t="n"/>
      <c r="C968" s="34" t="n"/>
      <c r="D968" s="28" t="n"/>
      <c r="E968" s="26" t="n"/>
      <c r="F968" s="26" t="n"/>
      <c r="G968" s="26" t="n"/>
      <c r="H968" s="38" t="n"/>
      <c r="I968" s="28" t="n"/>
      <c r="J968" s="30">
        <f>IF(B968="","",IFERROR(INDEX('Share classes'!$A$4:$A$203,MATCH(B968,'Share classes'!$B$4:$B$203,0)),""))</f>
        <v/>
      </c>
      <c r="K968" s="30">
        <f>IF(A968="","",IFERROR(INDEX('Holders'!$B$4:$B$1003,MATCH(A968,'Holders'!$A$4:$A$1003,0)),""))</f>
        <v/>
      </c>
      <c r="L968" s="30">
        <f>IF(OR(A968="",B968="",D968=""),"",IF(D968=_xlfn.MAXIFS($D$4:$D$2503,$A$4:$A$2503,A968,$B$4:$B$2503,B968),"Yes","No"))</f>
        <v/>
      </c>
      <c r="M968" s="30">
        <f>IF(B968="","",IFERROR(INDEX('Share classes'!$F$4:$F$203,MATCH(B968,'Share classes'!$B$4:$B$203,0)),""))</f>
        <v/>
      </c>
      <c r="N968" s="30">
        <f>IF(A968="","",IF(K968="","Unknown holder ID",IF(J968="","Unknown class code",IF(OR(C968="",D968=""),"Missing shares or date",IF(OR(C968&lt;0,C968&lt;&gt;INT(C968)),"Shares must be a whole number",IF(COUNTIFS($A$4:$A$2503,A968,$B$4:$B$2503,B968,$D$4:$D$2503,D968)&gt;1,"Duplicate row (same date)","OK"))))))</f>
        <v/>
      </c>
    </row>
    <row r="969">
      <c r="A969" s="26" t="n"/>
      <c r="B969" s="26" t="n"/>
      <c r="C969" s="34" t="n"/>
      <c r="D969" s="28" t="n"/>
      <c r="E969" s="26" t="n"/>
      <c r="F969" s="26" t="n"/>
      <c r="G969" s="26" t="n"/>
      <c r="H969" s="38" t="n"/>
      <c r="I969" s="28" t="n"/>
      <c r="J969" s="30">
        <f>IF(B969="","",IFERROR(INDEX('Share classes'!$A$4:$A$203,MATCH(B969,'Share classes'!$B$4:$B$203,0)),""))</f>
        <v/>
      </c>
      <c r="K969" s="30">
        <f>IF(A969="","",IFERROR(INDEX('Holders'!$B$4:$B$1003,MATCH(A969,'Holders'!$A$4:$A$1003,0)),""))</f>
        <v/>
      </c>
      <c r="L969" s="30">
        <f>IF(OR(A969="",B969="",D969=""),"",IF(D969=_xlfn.MAXIFS($D$4:$D$2503,$A$4:$A$2503,A969,$B$4:$B$2503,B969),"Yes","No"))</f>
        <v/>
      </c>
      <c r="M969" s="30">
        <f>IF(B969="","",IFERROR(INDEX('Share classes'!$F$4:$F$203,MATCH(B969,'Share classes'!$B$4:$B$203,0)),""))</f>
        <v/>
      </c>
      <c r="N969" s="30">
        <f>IF(A969="","",IF(K969="","Unknown holder ID",IF(J969="","Unknown class code",IF(OR(C969="",D969=""),"Missing shares or date",IF(OR(C969&lt;0,C969&lt;&gt;INT(C969)),"Shares must be a whole number",IF(COUNTIFS($A$4:$A$2503,A969,$B$4:$B$2503,B969,$D$4:$D$2503,D969)&gt;1,"Duplicate row (same date)","OK"))))))</f>
        <v/>
      </c>
    </row>
    <row r="970">
      <c r="A970" s="26" t="n"/>
      <c r="B970" s="26" t="n"/>
      <c r="C970" s="34" t="n"/>
      <c r="D970" s="28" t="n"/>
      <c r="E970" s="26" t="n"/>
      <c r="F970" s="26" t="n"/>
      <c r="G970" s="26" t="n"/>
      <c r="H970" s="38" t="n"/>
      <c r="I970" s="28" t="n"/>
      <c r="J970" s="30">
        <f>IF(B970="","",IFERROR(INDEX('Share classes'!$A$4:$A$203,MATCH(B970,'Share classes'!$B$4:$B$203,0)),""))</f>
        <v/>
      </c>
      <c r="K970" s="30">
        <f>IF(A970="","",IFERROR(INDEX('Holders'!$B$4:$B$1003,MATCH(A970,'Holders'!$A$4:$A$1003,0)),""))</f>
        <v/>
      </c>
      <c r="L970" s="30">
        <f>IF(OR(A970="",B970="",D970=""),"",IF(D970=_xlfn.MAXIFS($D$4:$D$2503,$A$4:$A$2503,A970,$B$4:$B$2503,B970),"Yes","No"))</f>
        <v/>
      </c>
      <c r="M970" s="30">
        <f>IF(B970="","",IFERROR(INDEX('Share classes'!$F$4:$F$203,MATCH(B970,'Share classes'!$B$4:$B$203,0)),""))</f>
        <v/>
      </c>
      <c r="N970" s="30">
        <f>IF(A970="","",IF(K970="","Unknown holder ID",IF(J970="","Unknown class code",IF(OR(C970="",D970=""),"Missing shares or date",IF(OR(C970&lt;0,C970&lt;&gt;INT(C970)),"Shares must be a whole number",IF(COUNTIFS($A$4:$A$2503,A970,$B$4:$B$2503,B970,$D$4:$D$2503,D970)&gt;1,"Duplicate row (same date)","OK"))))))</f>
        <v/>
      </c>
    </row>
    <row r="971">
      <c r="A971" s="26" t="n"/>
      <c r="B971" s="26" t="n"/>
      <c r="C971" s="34" t="n"/>
      <c r="D971" s="28" t="n"/>
      <c r="E971" s="26" t="n"/>
      <c r="F971" s="26" t="n"/>
      <c r="G971" s="26" t="n"/>
      <c r="H971" s="38" t="n"/>
      <c r="I971" s="28" t="n"/>
      <c r="J971" s="30">
        <f>IF(B971="","",IFERROR(INDEX('Share classes'!$A$4:$A$203,MATCH(B971,'Share classes'!$B$4:$B$203,0)),""))</f>
        <v/>
      </c>
      <c r="K971" s="30">
        <f>IF(A971="","",IFERROR(INDEX('Holders'!$B$4:$B$1003,MATCH(A971,'Holders'!$A$4:$A$1003,0)),""))</f>
        <v/>
      </c>
      <c r="L971" s="30">
        <f>IF(OR(A971="",B971="",D971=""),"",IF(D971=_xlfn.MAXIFS($D$4:$D$2503,$A$4:$A$2503,A971,$B$4:$B$2503,B971),"Yes","No"))</f>
        <v/>
      </c>
      <c r="M971" s="30">
        <f>IF(B971="","",IFERROR(INDEX('Share classes'!$F$4:$F$203,MATCH(B971,'Share classes'!$B$4:$B$203,0)),""))</f>
        <v/>
      </c>
      <c r="N971" s="30">
        <f>IF(A971="","",IF(K971="","Unknown holder ID",IF(J971="","Unknown class code",IF(OR(C971="",D971=""),"Missing shares or date",IF(OR(C971&lt;0,C971&lt;&gt;INT(C971)),"Shares must be a whole number",IF(COUNTIFS($A$4:$A$2503,A971,$B$4:$B$2503,B971,$D$4:$D$2503,D971)&gt;1,"Duplicate row (same date)","OK"))))))</f>
        <v/>
      </c>
    </row>
    <row r="972">
      <c r="A972" s="26" t="n"/>
      <c r="B972" s="26" t="n"/>
      <c r="C972" s="34" t="n"/>
      <c r="D972" s="28" t="n"/>
      <c r="E972" s="26" t="n"/>
      <c r="F972" s="26" t="n"/>
      <c r="G972" s="26" t="n"/>
      <c r="H972" s="38" t="n"/>
      <c r="I972" s="28" t="n"/>
      <c r="J972" s="30">
        <f>IF(B972="","",IFERROR(INDEX('Share classes'!$A$4:$A$203,MATCH(B972,'Share classes'!$B$4:$B$203,0)),""))</f>
        <v/>
      </c>
      <c r="K972" s="30">
        <f>IF(A972="","",IFERROR(INDEX('Holders'!$B$4:$B$1003,MATCH(A972,'Holders'!$A$4:$A$1003,0)),""))</f>
        <v/>
      </c>
      <c r="L972" s="30">
        <f>IF(OR(A972="",B972="",D972=""),"",IF(D972=_xlfn.MAXIFS($D$4:$D$2503,$A$4:$A$2503,A972,$B$4:$B$2503,B972),"Yes","No"))</f>
        <v/>
      </c>
      <c r="M972" s="30">
        <f>IF(B972="","",IFERROR(INDEX('Share classes'!$F$4:$F$203,MATCH(B972,'Share classes'!$B$4:$B$203,0)),""))</f>
        <v/>
      </c>
      <c r="N972" s="30">
        <f>IF(A972="","",IF(K972="","Unknown holder ID",IF(J972="","Unknown class code",IF(OR(C972="",D972=""),"Missing shares or date",IF(OR(C972&lt;0,C972&lt;&gt;INT(C972)),"Shares must be a whole number",IF(COUNTIFS($A$4:$A$2503,A972,$B$4:$B$2503,B972,$D$4:$D$2503,D972)&gt;1,"Duplicate row (same date)","OK"))))))</f>
        <v/>
      </c>
    </row>
    <row r="973">
      <c r="A973" s="26" t="n"/>
      <c r="B973" s="26" t="n"/>
      <c r="C973" s="34" t="n"/>
      <c r="D973" s="28" t="n"/>
      <c r="E973" s="26" t="n"/>
      <c r="F973" s="26" t="n"/>
      <c r="G973" s="26" t="n"/>
      <c r="H973" s="38" t="n"/>
      <c r="I973" s="28" t="n"/>
      <c r="J973" s="30">
        <f>IF(B973="","",IFERROR(INDEX('Share classes'!$A$4:$A$203,MATCH(B973,'Share classes'!$B$4:$B$203,0)),""))</f>
        <v/>
      </c>
      <c r="K973" s="30">
        <f>IF(A973="","",IFERROR(INDEX('Holders'!$B$4:$B$1003,MATCH(A973,'Holders'!$A$4:$A$1003,0)),""))</f>
        <v/>
      </c>
      <c r="L973" s="30">
        <f>IF(OR(A973="",B973="",D973=""),"",IF(D973=_xlfn.MAXIFS($D$4:$D$2503,$A$4:$A$2503,A973,$B$4:$B$2503,B973),"Yes","No"))</f>
        <v/>
      </c>
      <c r="M973" s="30">
        <f>IF(B973="","",IFERROR(INDEX('Share classes'!$F$4:$F$203,MATCH(B973,'Share classes'!$B$4:$B$203,0)),""))</f>
        <v/>
      </c>
      <c r="N973" s="30">
        <f>IF(A973="","",IF(K973="","Unknown holder ID",IF(J973="","Unknown class code",IF(OR(C973="",D973=""),"Missing shares or date",IF(OR(C973&lt;0,C973&lt;&gt;INT(C973)),"Shares must be a whole number",IF(COUNTIFS($A$4:$A$2503,A973,$B$4:$B$2503,B973,$D$4:$D$2503,D973)&gt;1,"Duplicate row (same date)","OK"))))))</f>
        <v/>
      </c>
    </row>
    <row r="974">
      <c r="A974" s="26" t="n"/>
      <c r="B974" s="26" t="n"/>
      <c r="C974" s="34" t="n"/>
      <c r="D974" s="28" t="n"/>
      <c r="E974" s="26" t="n"/>
      <c r="F974" s="26" t="n"/>
      <c r="G974" s="26" t="n"/>
      <c r="H974" s="38" t="n"/>
      <c r="I974" s="28" t="n"/>
      <c r="J974" s="30">
        <f>IF(B974="","",IFERROR(INDEX('Share classes'!$A$4:$A$203,MATCH(B974,'Share classes'!$B$4:$B$203,0)),""))</f>
        <v/>
      </c>
      <c r="K974" s="30">
        <f>IF(A974="","",IFERROR(INDEX('Holders'!$B$4:$B$1003,MATCH(A974,'Holders'!$A$4:$A$1003,0)),""))</f>
        <v/>
      </c>
      <c r="L974" s="30">
        <f>IF(OR(A974="",B974="",D974=""),"",IF(D974=_xlfn.MAXIFS($D$4:$D$2503,$A$4:$A$2503,A974,$B$4:$B$2503,B974),"Yes","No"))</f>
        <v/>
      </c>
      <c r="M974" s="30">
        <f>IF(B974="","",IFERROR(INDEX('Share classes'!$F$4:$F$203,MATCH(B974,'Share classes'!$B$4:$B$203,0)),""))</f>
        <v/>
      </c>
      <c r="N974" s="30">
        <f>IF(A974="","",IF(K974="","Unknown holder ID",IF(J974="","Unknown class code",IF(OR(C974="",D974=""),"Missing shares or date",IF(OR(C974&lt;0,C974&lt;&gt;INT(C974)),"Shares must be a whole number",IF(COUNTIFS($A$4:$A$2503,A974,$B$4:$B$2503,B974,$D$4:$D$2503,D974)&gt;1,"Duplicate row (same date)","OK"))))))</f>
        <v/>
      </c>
    </row>
    <row r="975">
      <c r="A975" s="26" t="n"/>
      <c r="B975" s="26" t="n"/>
      <c r="C975" s="34" t="n"/>
      <c r="D975" s="28" t="n"/>
      <c r="E975" s="26" t="n"/>
      <c r="F975" s="26" t="n"/>
      <c r="G975" s="26" t="n"/>
      <c r="H975" s="38" t="n"/>
      <c r="I975" s="28" t="n"/>
      <c r="J975" s="30">
        <f>IF(B975="","",IFERROR(INDEX('Share classes'!$A$4:$A$203,MATCH(B975,'Share classes'!$B$4:$B$203,0)),""))</f>
        <v/>
      </c>
      <c r="K975" s="30">
        <f>IF(A975="","",IFERROR(INDEX('Holders'!$B$4:$B$1003,MATCH(A975,'Holders'!$A$4:$A$1003,0)),""))</f>
        <v/>
      </c>
      <c r="L975" s="30">
        <f>IF(OR(A975="",B975="",D975=""),"",IF(D975=_xlfn.MAXIFS($D$4:$D$2503,$A$4:$A$2503,A975,$B$4:$B$2503,B975),"Yes","No"))</f>
        <v/>
      </c>
      <c r="M975" s="30">
        <f>IF(B975="","",IFERROR(INDEX('Share classes'!$F$4:$F$203,MATCH(B975,'Share classes'!$B$4:$B$203,0)),""))</f>
        <v/>
      </c>
      <c r="N975" s="30">
        <f>IF(A975="","",IF(K975="","Unknown holder ID",IF(J975="","Unknown class code",IF(OR(C975="",D975=""),"Missing shares or date",IF(OR(C975&lt;0,C975&lt;&gt;INT(C975)),"Shares must be a whole number",IF(COUNTIFS($A$4:$A$2503,A975,$B$4:$B$2503,B975,$D$4:$D$2503,D975)&gt;1,"Duplicate row (same date)","OK"))))))</f>
        <v/>
      </c>
    </row>
    <row r="976">
      <c r="A976" s="26" t="n"/>
      <c r="B976" s="26" t="n"/>
      <c r="C976" s="34" t="n"/>
      <c r="D976" s="28" t="n"/>
      <c r="E976" s="26" t="n"/>
      <c r="F976" s="26" t="n"/>
      <c r="G976" s="26" t="n"/>
      <c r="H976" s="38" t="n"/>
      <c r="I976" s="28" t="n"/>
      <c r="J976" s="30">
        <f>IF(B976="","",IFERROR(INDEX('Share classes'!$A$4:$A$203,MATCH(B976,'Share classes'!$B$4:$B$203,0)),""))</f>
        <v/>
      </c>
      <c r="K976" s="30">
        <f>IF(A976="","",IFERROR(INDEX('Holders'!$B$4:$B$1003,MATCH(A976,'Holders'!$A$4:$A$1003,0)),""))</f>
        <v/>
      </c>
      <c r="L976" s="30">
        <f>IF(OR(A976="",B976="",D976=""),"",IF(D976=_xlfn.MAXIFS($D$4:$D$2503,$A$4:$A$2503,A976,$B$4:$B$2503,B976),"Yes","No"))</f>
        <v/>
      </c>
      <c r="M976" s="30">
        <f>IF(B976="","",IFERROR(INDEX('Share classes'!$F$4:$F$203,MATCH(B976,'Share classes'!$B$4:$B$203,0)),""))</f>
        <v/>
      </c>
      <c r="N976" s="30">
        <f>IF(A976="","",IF(K976="","Unknown holder ID",IF(J976="","Unknown class code",IF(OR(C976="",D976=""),"Missing shares or date",IF(OR(C976&lt;0,C976&lt;&gt;INT(C976)),"Shares must be a whole number",IF(COUNTIFS($A$4:$A$2503,A976,$B$4:$B$2503,B976,$D$4:$D$2503,D976)&gt;1,"Duplicate row (same date)","OK"))))))</f>
        <v/>
      </c>
    </row>
    <row r="977">
      <c r="A977" s="26" t="n"/>
      <c r="B977" s="26" t="n"/>
      <c r="C977" s="34" t="n"/>
      <c r="D977" s="28" t="n"/>
      <c r="E977" s="26" t="n"/>
      <c r="F977" s="26" t="n"/>
      <c r="G977" s="26" t="n"/>
      <c r="H977" s="38" t="n"/>
      <c r="I977" s="28" t="n"/>
      <c r="J977" s="30">
        <f>IF(B977="","",IFERROR(INDEX('Share classes'!$A$4:$A$203,MATCH(B977,'Share classes'!$B$4:$B$203,0)),""))</f>
        <v/>
      </c>
      <c r="K977" s="30">
        <f>IF(A977="","",IFERROR(INDEX('Holders'!$B$4:$B$1003,MATCH(A977,'Holders'!$A$4:$A$1003,0)),""))</f>
        <v/>
      </c>
      <c r="L977" s="30">
        <f>IF(OR(A977="",B977="",D977=""),"",IF(D977=_xlfn.MAXIFS($D$4:$D$2503,$A$4:$A$2503,A977,$B$4:$B$2503,B977),"Yes","No"))</f>
        <v/>
      </c>
      <c r="M977" s="30">
        <f>IF(B977="","",IFERROR(INDEX('Share classes'!$F$4:$F$203,MATCH(B977,'Share classes'!$B$4:$B$203,0)),""))</f>
        <v/>
      </c>
      <c r="N977" s="30">
        <f>IF(A977="","",IF(K977="","Unknown holder ID",IF(J977="","Unknown class code",IF(OR(C977="",D977=""),"Missing shares or date",IF(OR(C977&lt;0,C977&lt;&gt;INT(C977)),"Shares must be a whole number",IF(COUNTIFS($A$4:$A$2503,A977,$B$4:$B$2503,B977,$D$4:$D$2503,D977)&gt;1,"Duplicate row (same date)","OK"))))))</f>
        <v/>
      </c>
    </row>
    <row r="978">
      <c r="A978" s="26" t="n"/>
      <c r="B978" s="26" t="n"/>
      <c r="C978" s="34" t="n"/>
      <c r="D978" s="28" t="n"/>
      <c r="E978" s="26" t="n"/>
      <c r="F978" s="26" t="n"/>
      <c r="G978" s="26" t="n"/>
      <c r="H978" s="38" t="n"/>
      <c r="I978" s="28" t="n"/>
      <c r="J978" s="30">
        <f>IF(B978="","",IFERROR(INDEX('Share classes'!$A$4:$A$203,MATCH(B978,'Share classes'!$B$4:$B$203,0)),""))</f>
        <v/>
      </c>
      <c r="K978" s="30">
        <f>IF(A978="","",IFERROR(INDEX('Holders'!$B$4:$B$1003,MATCH(A978,'Holders'!$A$4:$A$1003,0)),""))</f>
        <v/>
      </c>
      <c r="L978" s="30">
        <f>IF(OR(A978="",B978="",D978=""),"",IF(D978=_xlfn.MAXIFS($D$4:$D$2503,$A$4:$A$2503,A978,$B$4:$B$2503,B978),"Yes","No"))</f>
        <v/>
      </c>
      <c r="M978" s="30">
        <f>IF(B978="","",IFERROR(INDEX('Share classes'!$F$4:$F$203,MATCH(B978,'Share classes'!$B$4:$B$203,0)),""))</f>
        <v/>
      </c>
      <c r="N978" s="30">
        <f>IF(A978="","",IF(K978="","Unknown holder ID",IF(J978="","Unknown class code",IF(OR(C978="",D978=""),"Missing shares or date",IF(OR(C978&lt;0,C978&lt;&gt;INT(C978)),"Shares must be a whole number",IF(COUNTIFS($A$4:$A$2503,A978,$B$4:$B$2503,B978,$D$4:$D$2503,D978)&gt;1,"Duplicate row (same date)","OK"))))))</f>
        <v/>
      </c>
    </row>
    <row r="979">
      <c r="A979" s="26" t="n"/>
      <c r="B979" s="26" t="n"/>
      <c r="C979" s="34" t="n"/>
      <c r="D979" s="28" t="n"/>
      <c r="E979" s="26" t="n"/>
      <c r="F979" s="26" t="n"/>
      <c r="G979" s="26" t="n"/>
      <c r="H979" s="38" t="n"/>
      <c r="I979" s="28" t="n"/>
      <c r="J979" s="30">
        <f>IF(B979="","",IFERROR(INDEX('Share classes'!$A$4:$A$203,MATCH(B979,'Share classes'!$B$4:$B$203,0)),""))</f>
        <v/>
      </c>
      <c r="K979" s="30">
        <f>IF(A979="","",IFERROR(INDEX('Holders'!$B$4:$B$1003,MATCH(A979,'Holders'!$A$4:$A$1003,0)),""))</f>
        <v/>
      </c>
      <c r="L979" s="30">
        <f>IF(OR(A979="",B979="",D979=""),"",IF(D979=_xlfn.MAXIFS($D$4:$D$2503,$A$4:$A$2503,A979,$B$4:$B$2503,B979),"Yes","No"))</f>
        <v/>
      </c>
      <c r="M979" s="30">
        <f>IF(B979="","",IFERROR(INDEX('Share classes'!$F$4:$F$203,MATCH(B979,'Share classes'!$B$4:$B$203,0)),""))</f>
        <v/>
      </c>
      <c r="N979" s="30">
        <f>IF(A979="","",IF(K979="","Unknown holder ID",IF(J979="","Unknown class code",IF(OR(C979="",D979=""),"Missing shares or date",IF(OR(C979&lt;0,C979&lt;&gt;INT(C979)),"Shares must be a whole number",IF(COUNTIFS($A$4:$A$2503,A979,$B$4:$B$2503,B979,$D$4:$D$2503,D979)&gt;1,"Duplicate row (same date)","OK"))))))</f>
        <v/>
      </c>
    </row>
    <row r="980">
      <c r="A980" s="26" t="n"/>
      <c r="B980" s="26" t="n"/>
      <c r="C980" s="34" t="n"/>
      <c r="D980" s="28" t="n"/>
      <c r="E980" s="26" t="n"/>
      <c r="F980" s="26" t="n"/>
      <c r="G980" s="26" t="n"/>
      <c r="H980" s="38" t="n"/>
      <c r="I980" s="28" t="n"/>
      <c r="J980" s="30">
        <f>IF(B980="","",IFERROR(INDEX('Share classes'!$A$4:$A$203,MATCH(B980,'Share classes'!$B$4:$B$203,0)),""))</f>
        <v/>
      </c>
      <c r="K980" s="30">
        <f>IF(A980="","",IFERROR(INDEX('Holders'!$B$4:$B$1003,MATCH(A980,'Holders'!$A$4:$A$1003,0)),""))</f>
        <v/>
      </c>
      <c r="L980" s="30">
        <f>IF(OR(A980="",B980="",D980=""),"",IF(D980=_xlfn.MAXIFS($D$4:$D$2503,$A$4:$A$2503,A980,$B$4:$B$2503,B980),"Yes","No"))</f>
        <v/>
      </c>
      <c r="M980" s="30">
        <f>IF(B980="","",IFERROR(INDEX('Share classes'!$F$4:$F$203,MATCH(B980,'Share classes'!$B$4:$B$203,0)),""))</f>
        <v/>
      </c>
      <c r="N980" s="30">
        <f>IF(A980="","",IF(K980="","Unknown holder ID",IF(J980="","Unknown class code",IF(OR(C980="",D980=""),"Missing shares or date",IF(OR(C980&lt;0,C980&lt;&gt;INT(C980)),"Shares must be a whole number",IF(COUNTIFS($A$4:$A$2503,A980,$B$4:$B$2503,B980,$D$4:$D$2503,D980)&gt;1,"Duplicate row (same date)","OK"))))))</f>
        <v/>
      </c>
    </row>
    <row r="981">
      <c r="A981" s="26" t="n"/>
      <c r="B981" s="26" t="n"/>
      <c r="C981" s="34" t="n"/>
      <c r="D981" s="28" t="n"/>
      <c r="E981" s="26" t="n"/>
      <c r="F981" s="26" t="n"/>
      <c r="G981" s="26" t="n"/>
      <c r="H981" s="38" t="n"/>
      <c r="I981" s="28" t="n"/>
      <c r="J981" s="30">
        <f>IF(B981="","",IFERROR(INDEX('Share classes'!$A$4:$A$203,MATCH(B981,'Share classes'!$B$4:$B$203,0)),""))</f>
        <v/>
      </c>
      <c r="K981" s="30">
        <f>IF(A981="","",IFERROR(INDEX('Holders'!$B$4:$B$1003,MATCH(A981,'Holders'!$A$4:$A$1003,0)),""))</f>
        <v/>
      </c>
      <c r="L981" s="30">
        <f>IF(OR(A981="",B981="",D981=""),"",IF(D981=_xlfn.MAXIFS($D$4:$D$2503,$A$4:$A$2503,A981,$B$4:$B$2503,B981),"Yes","No"))</f>
        <v/>
      </c>
      <c r="M981" s="30">
        <f>IF(B981="","",IFERROR(INDEX('Share classes'!$F$4:$F$203,MATCH(B981,'Share classes'!$B$4:$B$203,0)),""))</f>
        <v/>
      </c>
      <c r="N981" s="30">
        <f>IF(A981="","",IF(K981="","Unknown holder ID",IF(J981="","Unknown class code",IF(OR(C981="",D981=""),"Missing shares or date",IF(OR(C981&lt;0,C981&lt;&gt;INT(C981)),"Shares must be a whole number",IF(COUNTIFS($A$4:$A$2503,A981,$B$4:$B$2503,B981,$D$4:$D$2503,D981)&gt;1,"Duplicate row (same date)","OK"))))))</f>
        <v/>
      </c>
    </row>
    <row r="982">
      <c r="A982" s="26" t="n"/>
      <c r="B982" s="26" t="n"/>
      <c r="C982" s="34" t="n"/>
      <c r="D982" s="28" t="n"/>
      <c r="E982" s="26" t="n"/>
      <c r="F982" s="26" t="n"/>
      <c r="G982" s="26" t="n"/>
      <c r="H982" s="38" t="n"/>
      <c r="I982" s="28" t="n"/>
      <c r="J982" s="30">
        <f>IF(B982="","",IFERROR(INDEX('Share classes'!$A$4:$A$203,MATCH(B982,'Share classes'!$B$4:$B$203,0)),""))</f>
        <v/>
      </c>
      <c r="K982" s="30">
        <f>IF(A982="","",IFERROR(INDEX('Holders'!$B$4:$B$1003,MATCH(A982,'Holders'!$A$4:$A$1003,0)),""))</f>
        <v/>
      </c>
      <c r="L982" s="30">
        <f>IF(OR(A982="",B982="",D982=""),"",IF(D982=_xlfn.MAXIFS($D$4:$D$2503,$A$4:$A$2503,A982,$B$4:$B$2503,B982),"Yes","No"))</f>
        <v/>
      </c>
      <c r="M982" s="30">
        <f>IF(B982="","",IFERROR(INDEX('Share classes'!$F$4:$F$203,MATCH(B982,'Share classes'!$B$4:$B$203,0)),""))</f>
        <v/>
      </c>
      <c r="N982" s="30">
        <f>IF(A982="","",IF(K982="","Unknown holder ID",IF(J982="","Unknown class code",IF(OR(C982="",D982=""),"Missing shares or date",IF(OR(C982&lt;0,C982&lt;&gt;INT(C982)),"Shares must be a whole number",IF(COUNTIFS($A$4:$A$2503,A982,$B$4:$B$2503,B982,$D$4:$D$2503,D982)&gt;1,"Duplicate row (same date)","OK"))))))</f>
        <v/>
      </c>
    </row>
    <row r="983">
      <c r="A983" s="26" t="n"/>
      <c r="B983" s="26" t="n"/>
      <c r="C983" s="34" t="n"/>
      <c r="D983" s="28" t="n"/>
      <c r="E983" s="26" t="n"/>
      <c r="F983" s="26" t="n"/>
      <c r="G983" s="26" t="n"/>
      <c r="H983" s="38" t="n"/>
      <c r="I983" s="28" t="n"/>
      <c r="J983" s="30">
        <f>IF(B983="","",IFERROR(INDEX('Share classes'!$A$4:$A$203,MATCH(B983,'Share classes'!$B$4:$B$203,0)),""))</f>
        <v/>
      </c>
      <c r="K983" s="30">
        <f>IF(A983="","",IFERROR(INDEX('Holders'!$B$4:$B$1003,MATCH(A983,'Holders'!$A$4:$A$1003,0)),""))</f>
        <v/>
      </c>
      <c r="L983" s="30">
        <f>IF(OR(A983="",B983="",D983=""),"",IF(D983=_xlfn.MAXIFS($D$4:$D$2503,$A$4:$A$2503,A983,$B$4:$B$2503,B983),"Yes","No"))</f>
        <v/>
      </c>
      <c r="M983" s="30">
        <f>IF(B983="","",IFERROR(INDEX('Share classes'!$F$4:$F$203,MATCH(B983,'Share classes'!$B$4:$B$203,0)),""))</f>
        <v/>
      </c>
      <c r="N983" s="30">
        <f>IF(A983="","",IF(K983="","Unknown holder ID",IF(J983="","Unknown class code",IF(OR(C983="",D983=""),"Missing shares or date",IF(OR(C983&lt;0,C983&lt;&gt;INT(C983)),"Shares must be a whole number",IF(COUNTIFS($A$4:$A$2503,A983,$B$4:$B$2503,B983,$D$4:$D$2503,D983)&gt;1,"Duplicate row (same date)","OK"))))))</f>
        <v/>
      </c>
    </row>
    <row r="984">
      <c r="A984" s="26" t="n"/>
      <c r="B984" s="26" t="n"/>
      <c r="C984" s="34" t="n"/>
      <c r="D984" s="28" t="n"/>
      <c r="E984" s="26" t="n"/>
      <c r="F984" s="26" t="n"/>
      <c r="G984" s="26" t="n"/>
      <c r="H984" s="38" t="n"/>
      <c r="I984" s="28" t="n"/>
      <c r="J984" s="30">
        <f>IF(B984="","",IFERROR(INDEX('Share classes'!$A$4:$A$203,MATCH(B984,'Share classes'!$B$4:$B$203,0)),""))</f>
        <v/>
      </c>
      <c r="K984" s="30">
        <f>IF(A984="","",IFERROR(INDEX('Holders'!$B$4:$B$1003,MATCH(A984,'Holders'!$A$4:$A$1003,0)),""))</f>
        <v/>
      </c>
      <c r="L984" s="30">
        <f>IF(OR(A984="",B984="",D984=""),"",IF(D984=_xlfn.MAXIFS($D$4:$D$2503,$A$4:$A$2503,A984,$B$4:$B$2503,B984),"Yes","No"))</f>
        <v/>
      </c>
      <c r="M984" s="30">
        <f>IF(B984="","",IFERROR(INDEX('Share classes'!$F$4:$F$203,MATCH(B984,'Share classes'!$B$4:$B$203,0)),""))</f>
        <v/>
      </c>
      <c r="N984" s="30">
        <f>IF(A984="","",IF(K984="","Unknown holder ID",IF(J984="","Unknown class code",IF(OR(C984="",D984=""),"Missing shares or date",IF(OR(C984&lt;0,C984&lt;&gt;INT(C984)),"Shares must be a whole number",IF(COUNTIFS($A$4:$A$2503,A984,$B$4:$B$2503,B984,$D$4:$D$2503,D984)&gt;1,"Duplicate row (same date)","OK"))))))</f>
        <v/>
      </c>
    </row>
    <row r="985">
      <c r="A985" s="26" t="n"/>
      <c r="B985" s="26" t="n"/>
      <c r="C985" s="34" t="n"/>
      <c r="D985" s="28" t="n"/>
      <c r="E985" s="26" t="n"/>
      <c r="F985" s="26" t="n"/>
      <c r="G985" s="26" t="n"/>
      <c r="H985" s="38" t="n"/>
      <c r="I985" s="28" t="n"/>
      <c r="J985" s="30">
        <f>IF(B985="","",IFERROR(INDEX('Share classes'!$A$4:$A$203,MATCH(B985,'Share classes'!$B$4:$B$203,0)),""))</f>
        <v/>
      </c>
      <c r="K985" s="30">
        <f>IF(A985="","",IFERROR(INDEX('Holders'!$B$4:$B$1003,MATCH(A985,'Holders'!$A$4:$A$1003,0)),""))</f>
        <v/>
      </c>
      <c r="L985" s="30">
        <f>IF(OR(A985="",B985="",D985=""),"",IF(D985=_xlfn.MAXIFS($D$4:$D$2503,$A$4:$A$2503,A985,$B$4:$B$2503,B985),"Yes","No"))</f>
        <v/>
      </c>
      <c r="M985" s="30">
        <f>IF(B985="","",IFERROR(INDEX('Share classes'!$F$4:$F$203,MATCH(B985,'Share classes'!$B$4:$B$203,0)),""))</f>
        <v/>
      </c>
      <c r="N985" s="30">
        <f>IF(A985="","",IF(K985="","Unknown holder ID",IF(J985="","Unknown class code",IF(OR(C985="",D985=""),"Missing shares or date",IF(OR(C985&lt;0,C985&lt;&gt;INT(C985)),"Shares must be a whole number",IF(COUNTIFS($A$4:$A$2503,A985,$B$4:$B$2503,B985,$D$4:$D$2503,D985)&gt;1,"Duplicate row (same date)","OK"))))))</f>
        <v/>
      </c>
    </row>
    <row r="986">
      <c r="A986" s="26" t="n"/>
      <c r="B986" s="26" t="n"/>
      <c r="C986" s="34" t="n"/>
      <c r="D986" s="28" t="n"/>
      <c r="E986" s="26" t="n"/>
      <c r="F986" s="26" t="n"/>
      <c r="G986" s="26" t="n"/>
      <c r="H986" s="38" t="n"/>
      <c r="I986" s="28" t="n"/>
      <c r="J986" s="30">
        <f>IF(B986="","",IFERROR(INDEX('Share classes'!$A$4:$A$203,MATCH(B986,'Share classes'!$B$4:$B$203,0)),""))</f>
        <v/>
      </c>
      <c r="K986" s="30">
        <f>IF(A986="","",IFERROR(INDEX('Holders'!$B$4:$B$1003,MATCH(A986,'Holders'!$A$4:$A$1003,0)),""))</f>
        <v/>
      </c>
      <c r="L986" s="30">
        <f>IF(OR(A986="",B986="",D986=""),"",IF(D986=_xlfn.MAXIFS($D$4:$D$2503,$A$4:$A$2503,A986,$B$4:$B$2503,B986),"Yes","No"))</f>
        <v/>
      </c>
      <c r="M986" s="30">
        <f>IF(B986="","",IFERROR(INDEX('Share classes'!$F$4:$F$203,MATCH(B986,'Share classes'!$B$4:$B$203,0)),""))</f>
        <v/>
      </c>
      <c r="N986" s="30">
        <f>IF(A986="","",IF(K986="","Unknown holder ID",IF(J986="","Unknown class code",IF(OR(C986="",D986=""),"Missing shares or date",IF(OR(C986&lt;0,C986&lt;&gt;INT(C986)),"Shares must be a whole number",IF(COUNTIFS($A$4:$A$2503,A986,$B$4:$B$2503,B986,$D$4:$D$2503,D986)&gt;1,"Duplicate row (same date)","OK"))))))</f>
        <v/>
      </c>
    </row>
    <row r="987">
      <c r="A987" s="26" t="n"/>
      <c r="B987" s="26" t="n"/>
      <c r="C987" s="34" t="n"/>
      <c r="D987" s="28" t="n"/>
      <c r="E987" s="26" t="n"/>
      <c r="F987" s="26" t="n"/>
      <c r="G987" s="26" t="n"/>
      <c r="H987" s="38" t="n"/>
      <c r="I987" s="28" t="n"/>
      <c r="J987" s="30">
        <f>IF(B987="","",IFERROR(INDEX('Share classes'!$A$4:$A$203,MATCH(B987,'Share classes'!$B$4:$B$203,0)),""))</f>
        <v/>
      </c>
      <c r="K987" s="30">
        <f>IF(A987="","",IFERROR(INDEX('Holders'!$B$4:$B$1003,MATCH(A987,'Holders'!$A$4:$A$1003,0)),""))</f>
        <v/>
      </c>
      <c r="L987" s="30">
        <f>IF(OR(A987="",B987="",D987=""),"",IF(D987=_xlfn.MAXIFS($D$4:$D$2503,$A$4:$A$2503,A987,$B$4:$B$2503,B987),"Yes","No"))</f>
        <v/>
      </c>
      <c r="M987" s="30">
        <f>IF(B987="","",IFERROR(INDEX('Share classes'!$F$4:$F$203,MATCH(B987,'Share classes'!$B$4:$B$203,0)),""))</f>
        <v/>
      </c>
      <c r="N987" s="30">
        <f>IF(A987="","",IF(K987="","Unknown holder ID",IF(J987="","Unknown class code",IF(OR(C987="",D987=""),"Missing shares or date",IF(OR(C987&lt;0,C987&lt;&gt;INT(C987)),"Shares must be a whole number",IF(COUNTIFS($A$4:$A$2503,A987,$B$4:$B$2503,B987,$D$4:$D$2503,D987)&gt;1,"Duplicate row (same date)","OK"))))))</f>
        <v/>
      </c>
    </row>
    <row r="988">
      <c r="A988" s="26" t="n"/>
      <c r="B988" s="26" t="n"/>
      <c r="C988" s="34" t="n"/>
      <c r="D988" s="28" t="n"/>
      <c r="E988" s="26" t="n"/>
      <c r="F988" s="26" t="n"/>
      <c r="G988" s="26" t="n"/>
      <c r="H988" s="38" t="n"/>
      <c r="I988" s="28" t="n"/>
      <c r="J988" s="30">
        <f>IF(B988="","",IFERROR(INDEX('Share classes'!$A$4:$A$203,MATCH(B988,'Share classes'!$B$4:$B$203,0)),""))</f>
        <v/>
      </c>
      <c r="K988" s="30">
        <f>IF(A988="","",IFERROR(INDEX('Holders'!$B$4:$B$1003,MATCH(A988,'Holders'!$A$4:$A$1003,0)),""))</f>
        <v/>
      </c>
      <c r="L988" s="30">
        <f>IF(OR(A988="",B988="",D988=""),"",IF(D988=_xlfn.MAXIFS($D$4:$D$2503,$A$4:$A$2503,A988,$B$4:$B$2503,B988),"Yes","No"))</f>
        <v/>
      </c>
      <c r="M988" s="30">
        <f>IF(B988="","",IFERROR(INDEX('Share classes'!$F$4:$F$203,MATCH(B988,'Share classes'!$B$4:$B$203,0)),""))</f>
        <v/>
      </c>
      <c r="N988" s="30">
        <f>IF(A988="","",IF(K988="","Unknown holder ID",IF(J988="","Unknown class code",IF(OR(C988="",D988=""),"Missing shares or date",IF(OR(C988&lt;0,C988&lt;&gt;INT(C988)),"Shares must be a whole number",IF(COUNTIFS($A$4:$A$2503,A988,$B$4:$B$2503,B988,$D$4:$D$2503,D988)&gt;1,"Duplicate row (same date)","OK"))))))</f>
        <v/>
      </c>
    </row>
    <row r="989">
      <c r="A989" s="26" t="n"/>
      <c r="B989" s="26" t="n"/>
      <c r="C989" s="34" t="n"/>
      <c r="D989" s="28" t="n"/>
      <c r="E989" s="26" t="n"/>
      <c r="F989" s="26" t="n"/>
      <c r="G989" s="26" t="n"/>
      <c r="H989" s="38" t="n"/>
      <c r="I989" s="28" t="n"/>
      <c r="J989" s="30">
        <f>IF(B989="","",IFERROR(INDEX('Share classes'!$A$4:$A$203,MATCH(B989,'Share classes'!$B$4:$B$203,0)),""))</f>
        <v/>
      </c>
      <c r="K989" s="30">
        <f>IF(A989="","",IFERROR(INDEX('Holders'!$B$4:$B$1003,MATCH(A989,'Holders'!$A$4:$A$1003,0)),""))</f>
        <v/>
      </c>
      <c r="L989" s="30">
        <f>IF(OR(A989="",B989="",D989=""),"",IF(D989=_xlfn.MAXIFS($D$4:$D$2503,$A$4:$A$2503,A989,$B$4:$B$2503,B989),"Yes","No"))</f>
        <v/>
      </c>
      <c r="M989" s="30">
        <f>IF(B989="","",IFERROR(INDEX('Share classes'!$F$4:$F$203,MATCH(B989,'Share classes'!$B$4:$B$203,0)),""))</f>
        <v/>
      </c>
      <c r="N989" s="30">
        <f>IF(A989="","",IF(K989="","Unknown holder ID",IF(J989="","Unknown class code",IF(OR(C989="",D989=""),"Missing shares or date",IF(OR(C989&lt;0,C989&lt;&gt;INT(C989)),"Shares must be a whole number",IF(COUNTIFS($A$4:$A$2503,A989,$B$4:$B$2503,B989,$D$4:$D$2503,D989)&gt;1,"Duplicate row (same date)","OK"))))))</f>
        <v/>
      </c>
    </row>
    <row r="990">
      <c r="A990" s="26" t="n"/>
      <c r="B990" s="26" t="n"/>
      <c r="C990" s="34" t="n"/>
      <c r="D990" s="28" t="n"/>
      <c r="E990" s="26" t="n"/>
      <c r="F990" s="26" t="n"/>
      <c r="G990" s="26" t="n"/>
      <c r="H990" s="38" t="n"/>
      <c r="I990" s="28" t="n"/>
      <c r="J990" s="30">
        <f>IF(B990="","",IFERROR(INDEX('Share classes'!$A$4:$A$203,MATCH(B990,'Share classes'!$B$4:$B$203,0)),""))</f>
        <v/>
      </c>
      <c r="K990" s="30">
        <f>IF(A990="","",IFERROR(INDEX('Holders'!$B$4:$B$1003,MATCH(A990,'Holders'!$A$4:$A$1003,0)),""))</f>
        <v/>
      </c>
      <c r="L990" s="30">
        <f>IF(OR(A990="",B990="",D990=""),"",IF(D990=_xlfn.MAXIFS($D$4:$D$2503,$A$4:$A$2503,A990,$B$4:$B$2503,B990),"Yes","No"))</f>
        <v/>
      </c>
      <c r="M990" s="30">
        <f>IF(B990="","",IFERROR(INDEX('Share classes'!$F$4:$F$203,MATCH(B990,'Share classes'!$B$4:$B$203,0)),""))</f>
        <v/>
      </c>
      <c r="N990" s="30">
        <f>IF(A990="","",IF(K990="","Unknown holder ID",IF(J990="","Unknown class code",IF(OR(C990="",D990=""),"Missing shares or date",IF(OR(C990&lt;0,C990&lt;&gt;INT(C990)),"Shares must be a whole number",IF(COUNTIFS($A$4:$A$2503,A990,$B$4:$B$2503,B990,$D$4:$D$2503,D990)&gt;1,"Duplicate row (same date)","OK"))))))</f>
        <v/>
      </c>
    </row>
    <row r="991">
      <c r="A991" s="26" t="n"/>
      <c r="B991" s="26" t="n"/>
      <c r="C991" s="34" t="n"/>
      <c r="D991" s="28" t="n"/>
      <c r="E991" s="26" t="n"/>
      <c r="F991" s="26" t="n"/>
      <c r="G991" s="26" t="n"/>
      <c r="H991" s="38" t="n"/>
      <c r="I991" s="28" t="n"/>
      <c r="J991" s="30">
        <f>IF(B991="","",IFERROR(INDEX('Share classes'!$A$4:$A$203,MATCH(B991,'Share classes'!$B$4:$B$203,0)),""))</f>
        <v/>
      </c>
      <c r="K991" s="30">
        <f>IF(A991="","",IFERROR(INDEX('Holders'!$B$4:$B$1003,MATCH(A991,'Holders'!$A$4:$A$1003,0)),""))</f>
        <v/>
      </c>
      <c r="L991" s="30">
        <f>IF(OR(A991="",B991="",D991=""),"",IF(D991=_xlfn.MAXIFS($D$4:$D$2503,$A$4:$A$2503,A991,$B$4:$B$2503,B991),"Yes","No"))</f>
        <v/>
      </c>
      <c r="M991" s="30">
        <f>IF(B991="","",IFERROR(INDEX('Share classes'!$F$4:$F$203,MATCH(B991,'Share classes'!$B$4:$B$203,0)),""))</f>
        <v/>
      </c>
      <c r="N991" s="30">
        <f>IF(A991="","",IF(K991="","Unknown holder ID",IF(J991="","Unknown class code",IF(OR(C991="",D991=""),"Missing shares or date",IF(OR(C991&lt;0,C991&lt;&gt;INT(C991)),"Shares must be a whole number",IF(COUNTIFS($A$4:$A$2503,A991,$B$4:$B$2503,B991,$D$4:$D$2503,D991)&gt;1,"Duplicate row (same date)","OK"))))))</f>
        <v/>
      </c>
    </row>
    <row r="992">
      <c r="A992" s="26" t="n"/>
      <c r="B992" s="26" t="n"/>
      <c r="C992" s="34" t="n"/>
      <c r="D992" s="28" t="n"/>
      <c r="E992" s="26" t="n"/>
      <c r="F992" s="26" t="n"/>
      <c r="G992" s="26" t="n"/>
      <c r="H992" s="38" t="n"/>
      <c r="I992" s="28" t="n"/>
      <c r="J992" s="30">
        <f>IF(B992="","",IFERROR(INDEX('Share classes'!$A$4:$A$203,MATCH(B992,'Share classes'!$B$4:$B$203,0)),""))</f>
        <v/>
      </c>
      <c r="K992" s="30">
        <f>IF(A992="","",IFERROR(INDEX('Holders'!$B$4:$B$1003,MATCH(A992,'Holders'!$A$4:$A$1003,0)),""))</f>
        <v/>
      </c>
      <c r="L992" s="30">
        <f>IF(OR(A992="",B992="",D992=""),"",IF(D992=_xlfn.MAXIFS($D$4:$D$2503,$A$4:$A$2503,A992,$B$4:$B$2503,B992),"Yes","No"))</f>
        <v/>
      </c>
      <c r="M992" s="30">
        <f>IF(B992="","",IFERROR(INDEX('Share classes'!$F$4:$F$203,MATCH(B992,'Share classes'!$B$4:$B$203,0)),""))</f>
        <v/>
      </c>
      <c r="N992" s="30">
        <f>IF(A992="","",IF(K992="","Unknown holder ID",IF(J992="","Unknown class code",IF(OR(C992="",D992=""),"Missing shares or date",IF(OR(C992&lt;0,C992&lt;&gt;INT(C992)),"Shares must be a whole number",IF(COUNTIFS($A$4:$A$2503,A992,$B$4:$B$2503,B992,$D$4:$D$2503,D992)&gt;1,"Duplicate row (same date)","OK"))))))</f>
        <v/>
      </c>
    </row>
    <row r="993">
      <c r="A993" s="26" t="n"/>
      <c r="B993" s="26" t="n"/>
      <c r="C993" s="34" t="n"/>
      <c r="D993" s="28" t="n"/>
      <c r="E993" s="26" t="n"/>
      <c r="F993" s="26" t="n"/>
      <c r="G993" s="26" t="n"/>
      <c r="H993" s="38" t="n"/>
      <c r="I993" s="28" t="n"/>
      <c r="J993" s="30">
        <f>IF(B993="","",IFERROR(INDEX('Share classes'!$A$4:$A$203,MATCH(B993,'Share classes'!$B$4:$B$203,0)),""))</f>
        <v/>
      </c>
      <c r="K993" s="30">
        <f>IF(A993="","",IFERROR(INDEX('Holders'!$B$4:$B$1003,MATCH(A993,'Holders'!$A$4:$A$1003,0)),""))</f>
        <v/>
      </c>
      <c r="L993" s="30">
        <f>IF(OR(A993="",B993="",D993=""),"",IF(D993=_xlfn.MAXIFS($D$4:$D$2503,$A$4:$A$2503,A993,$B$4:$B$2503,B993),"Yes","No"))</f>
        <v/>
      </c>
      <c r="M993" s="30">
        <f>IF(B993="","",IFERROR(INDEX('Share classes'!$F$4:$F$203,MATCH(B993,'Share classes'!$B$4:$B$203,0)),""))</f>
        <v/>
      </c>
      <c r="N993" s="30">
        <f>IF(A993="","",IF(K993="","Unknown holder ID",IF(J993="","Unknown class code",IF(OR(C993="",D993=""),"Missing shares or date",IF(OR(C993&lt;0,C993&lt;&gt;INT(C993)),"Shares must be a whole number",IF(COUNTIFS($A$4:$A$2503,A993,$B$4:$B$2503,B993,$D$4:$D$2503,D993)&gt;1,"Duplicate row (same date)","OK"))))))</f>
        <v/>
      </c>
    </row>
    <row r="994">
      <c r="A994" s="26" t="n"/>
      <c r="B994" s="26" t="n"/>
      <c r="C994" s="34" t="n"/>
      <c r="D994" s="28" t="n"/>
      <c r="E994" s="26" t="n"/>
      <c r="F994" s="26" t="n"/>
      <c r="G994" s="26" t="n"/>
      <c r="H994" s="38" t="n"/>
      <c r="I994" s="28" t="n"/>
      <c r="J994" s="30">
        <f>IF(B994="","",IFERROR(INDEX('Share classes'!$A$4:$A$203,MATCH(B994,'Share classes'!$B$4:$B$203,0)),""))</f>
        <v/>
      </c>
      <c r="K994" s="30">
        <f>IF(A994="","",IFERROR(INDEX('Holders'!$B$4:$B$1003,MATCH(A994,'Holders'!$A$4:$A$1003,0)),""))</f>
        <v/>
      </c>
      <c r="L994" s="30">
        <f>IF(OR(A994="",B994="",D994=""),"",IF(D994=_xlfn.MAXIFS($D$4:$D$2503,$A$4:$A$2503,A994,$B$4:$B$2503,B994),"Yes","No"))</f>
        <v/>
      </c>
      <c r="M994" s="30">
        <f>IF(B994="","",IFERROR(INDEX('Share classes'!$F$4:$F$203,MATCH(B994,'Share classes'!$B$4:$B$203,0)),""))</f>
        <v/>
      </c>
      <c r="N994" s="30">
        <f>IF(A994="","",IF(K994="","Unknown holder ID",IF(J994="","Unknown class code",IF(OR(C994="",D994=""),"Missing shares or date",IF(OR(C994&lt;0,C994&lt;&gt;INT(C994)),"Shares must be a whole number",IF(COUNTIFS($A$4:$A$2503,A994,$B$4:$B$2503,B994,$D$4:$D$2503,D994)&gt;1,"Duplicate row (same date)","OK"))))))</f>
        <v/>
      </c>
    </row>
    <row r="995">
      <c r="A995" s="26" t="n"/>
      <c r="B995" s="26" t="n"/>
      <c r="C995" s="34" t="n"/>
      <c r="D995" s="28" t="n"/>
      <c r="E995" s="26" t="n"/>
      <c r="F995" s="26" t="n"/>
      <c r="G995" s="26" t="n"/>
      <c r="H995" s="38" t="n"/>
      <c r="I995" s="28" t="n"/>
      <c r="J995" s="30">
        <f>IF(B995="","",IFERROR(INDEX('Share classes'!$A$4:$A$203,MATCH(B995,'Share classes'!$B$4:$B$203,0)),""))</f>
        <v/>
      </c>
      <c r="K995" s="30">
        <f>IF(A995="","",IFERROR(INDEX('Holders'!$B$4:$B$1003,MATCH(A995,'Holders'!$A$4:$A$1003,0)),""))</f>
        <v/>
      </c>
      <c r="L995" s="30">
        <f>IF(OR(A995="",B995="",D995=""),"",IF(D995=_xlfn.MAXIFS($D$4:$D$2503,$A$4:$A$2503,A995,$B$4:$B$2503,B995),"Yes","No"))</f>
        <v/>
      </c>
      <c r="M995" s="30">
        <f>IF(B995="","",IFERROR(INDEX('Share classes'!$F$4:$F$203,MATCH(B995,'Share classes'!$B$4:$B$203,0)),""))</f>
        <v/>
      </c>
      <c r="N995" s="30">
        <f>IF(A995="","",IF(K995="","Unknown holder ID",IF(J995="","Unknown class code",IF(OR(C995="",D995=""),"Missing shares or date",IF(OR(C995&lt;0,C995&lt;&gt;INT(C995)),"Shares must be a whole number",IF(COUNTIFS($A$4:$A$2503,A995,$B$4:$B$2503,B995,$D$4:$D$2503,D995)&gt;1,"Duplicate row (same date)","OK"))))))</f>
        <v/>
      </c>
    </row>
    <row r="996">
      <c r="A996" s="26" t="n"/>
      <c r="B996" s="26" t="n"/>
      <c r="C996" s="34" t="n"/>
      <c r="D996" s="28" t="n"/>
      <c r="E996" s="26" t="n"/>
      <c r="F996" s="26" t="n"/>
      <c r="G996" s="26" t="n"/>
      <c r="H996" s="38" t="n"/>
      <c r="I996" s="28" t="n"/>
      <c r="J996" s="30">
        <f>IF(B996="","",IFERROR(INDEX('Share classes'!$A$4:$A$203,MATCH(B996,'Share classes'!$B$4:$B$203,0)),""))</f>
        <v/>
      </c>
      <c r="K996" s="30">
        <f>IF(A996="","",IFERROR(INDEX('Holders'!$B$4:$B$1003,MATCH(A996,'Holders'!$A$4:$A$1003,0)),""))</f>
        <v/>
      </c>
      <c r="L996" s="30">
        <f>IF(OR(A996="",B996="",D996=""),"",IF(D996=_xlfn.MAXIFS($D$4:$D$2503,$A$4:$A$2503,A996,$B$4:$B$2503,B996),"Yes","No"))</f>
        <v/>
      </c>
      <c r="M996" s="30">
        <f>IF(B996="","",IFERROR(INDEX('Share classes'!$F$4:$F$203,MATCH(B996,'Share classes'!$B$4:$B$203,0)),""))</f>
        <v/>
      </c>
      <c r="N996" s="30">
        <f>IF(A996="","",IF(K996="","Unknown holder ID",IF(J996="","Unknown class code",IF(OR(C996="",D996=""),"Missing shares or date",IF(OR(C996&lt;0,C996&lt;&gt;INT(C996)),"Shares must be a whole number",IF(COUNTIFS($A$4:$A$2503,A996,$B$4:$B$2503,B996,$D$4:$D$2503,D996)&gt;1,"Duplicate row (same date)","OK"))))))</f>
        <v/>
      </c>
    </row>
    <row r="997">
      <c r="A997" s="26" t="n"/>
      <c r="B997" s="26" t="n"/>
      <c r="C997" s="34" t="n"/>
      <c r="D997" s="28" t="n"/>
      <c r="E997" s="26" t="n"/>
      <c r="F997" s="26" t="n"/>
      <c r="G997" s="26" t="n"/>
      <c r="H997" s="38" t="n"/>
      <c r="I997" s="28" t="n"/>
      <c r="J997" s="30">
        <f>IF(B997="","",IFERROR(INDEX('Share classes'!$A$4:$A$203,MATCH(B997,'Share classes'!$B$4:$B$203,0)),""))</f>
        <v/>
      </c>
      <c r="K997" s="30">
        <f>IF(A997="","",IFERROR(INDEX('Holders'!$B$4:$B$1003,MATCH(A997,'Holders'!$A$4:$A$1003,0)),""))</f>
        <v/>
      </c>
      <c r="L997" s="30">
        <f>IF(OR(A997="",B997="",D997=""),"",IF(D997=_xlfn.MAXIFS($D$4:$D$2503,$A$4:$A$2503,A997,$B$4:$B$2503,B997),"Yes","No"))</f>
        <v/>
      </c>
      <c r="M997" s="30">
        <f>IF(B997="","",IFERROR(INDEX('Share classes'!$F$4:$F$203,MATCH(B997,'Share classes'!$B$4:$B$203,0)),""))</f>
        <v/>
      </c>
      <c r="N997" s="30">
        <f>IF(A997="","",IF(K997="","Unknown holder ID",IF(J997="","Unknown class code",IF(OR(C997="",D997=""),"Missing shares or date",IF(OR(C997&lt;0,C997&lt;&gt;INT(C997)),"Shares must be a whole number",IF(COUNTIFS($A$4:$A$2503,A997,$B$4:$B$2503,B997,$D$4:$D$2503,D997)&gt;1,"Duplicate row (same date)","OK"))))))</f>
        <v/>
      </c>
    </row>
    <row r="998">
      <c r="A998" s="26" t="n"/>
      <c r="B998" s="26" t="n"/>
      <c r="C998" s="34" t="n"/>
      <c r="D998" s="28" t="n"/>
      <c r="E998" s="26" t="n"/>
      <c r="F998" s="26" t="n"/>
      <c r="G998" s="26" t="n"/>
      <c r="H998" s="38" t="n"/>
      <c r="I998" s="28" t="n"/>
      <c r="J998" s="30">
        <f>IF(B998="","",IFERROR(INDEX('Share classes'!$A$4:$A$203,MATCH(B998,'Share classes'!$B$4:$B$203,0)),""))</f>
        <v/>
      </c>
      <c r="K998" s="30">
        <f>IF(A998="","",IFERROR(INDEX('Holders'!$B$4:$B$1003,MATCH(A998,'Holders'!$A$4:$A$1003,0)),""))</f>
        <v/>
      </c>
      <c r="L998" s="30">
        <f>IF(OR(A998="",B998="",D998=""),"",IF(D998=_xlfn.MAXIFS($D$4:$D$2503,$A$4:$A$2503,A998,$B$4:$B$2503,B998),"Yes","No"))</f>
        <v/>
      </c>
      <c r="M998" s="30">
        <f>IF(B998="","",IFERROR(INDEX('Share classes'!$F$4:$F$203,MATCH(B998,'Share classes'!$B$4:$B$203,0)),""))</f>
        <v/>
      </c>
      <c r="N998" s="30">
        <f>IF(A998="","",IF(K998="","Unknown holder ID",IF(J998="","Unknown class code",IF(OR(C998="",D998=""),"Missing shares or date",IF(OR(C998&lt;0,C998&lt;&gt;INT(C998)),"Shares must be a whole number",IF(COUNTIFS($A$4:$A$2503,A998,$B$4:$B$2503,B998,$D$4:$D$2503,D998)&gt;1,"Duplicate row (same date)","OK"))))))</f>
        <v/>
      </c>
    </row>
    <row r="999">
      <c r="A999" s="26" t="n"/>
      <c r="B999" s="26" t="n"/>
      <c r="C999" s="34" t="n"/>
      <c r="D999" s="28" t="n"/>
      <c r="E999" s="26" t="n"/>
      <c r="F999" s="26" t="n"/>
      <c r="G999" s="26" t="n"/>
      <c r="H999" s="38" t="n"/>
      <c r="I999" s="28" t="n"/>
      <c r="J999" s="30">
        <f>IF(B999="","",IFERROR(INDEX('Share classes'!$A$4:$A$203,MATCH(B999,'Share classes'!$B$4:$B$203,0)),""))</f>
        <v/>
      </c>
      <c r="K999" s="30">
        <f>IF(A999="","",IFERROR(INDEX('Holders'!$B$4:$B$1003,MATCH(A999,'Holders'!$A$4:$A$1003,0)),""))</f>
        <v/>
      </c>
      <c r="L999" s="30">
        <f>IF(OR(A999="",B999="",D999=""),"",IF(D999=_xlfn.MAXIFS($D$4:$D$2503,$A$4:$A$2503,A999,$B$4:$B$2503,B999),"Yes","No"))</f>
        <v/>
      </c>
      <c r="M999" s="30">
        <f>IF(B999="","",IFERROR(INDEX('Share classes'!$F$4:$F$203,MATCH(B999,'Share classes'!$B$4:$B$203,0)),""))</f>
        <v/>
      </c>
      <c r="N999" s="30">
        <f>IF(A999="","",IF(K999="","Unknown holder ID",IF(J999="","Unknown class code",IF(OR(C999="",D999=""),"Missing shares or date",IF(OR(C999&lt;0,C999&lt;&gt;INT(C999)),"Shares must be a whole number",IF(COUNTIFS($A$4:$A$2503,A999,$B$4:$B$2503,B999,$D$4:$D$2503,D999)&gt;1,"Duplicate row (same date)","OK"))))))</f>
        <v/>
      </c>
    </row>
    <row r="1000">
      <c r="A1000" s="26" t="n"/>
      <c r="B1000" s="26" t="n"/>
      <c r="C1000" s="34" t="n"/>
      <c r="D1000" s="28" t="n"/>
      <c r="E1000" s="26" t="n"/>
      <c r="F1000" s="26" t="n"/>
      <c r="G1000" s="26" t="n"/>
      <c r="H1000" s="38" t="n"/>
      <c r="I1000" s="28" t="n"/>
      <c r="J1000" s="30">
        <f>IF(B1000="","",IFERROR(INDEX('Share classes'!$A$4:$A$203,MATCH(B1000,'Share classes'!$B$4:$B$203,0)),""))</f>
        <v/>
      </c>
      <c r="K1000" s="30">
        <f>IF(A1000="","",IFERROR(INDEX('Holders'!$B$4:$B$1003,MATCH(A1000,'Holders'!$A$4:$A$1003,0)),""))</f>
        <v/>
      </c>
      <c r="L1000" s="30">
        <f>IF(OR(A1000="",B1000="",D1000=""),"",IF(D1000=_xlfn.MAXIFS($D$4:$D$2503,$A$4:$A$2503,A1000,$B$4:$B$2503,B1000),"Yes","No"))</f>
        <v/>
      </c>
      <c r="M1000" s="30">
        <f>IF(B1000="","",IFERROR(INDEX('Share classes'!$F$4:$F$203,MATCH(B1000,'Share classes'!$B$4:$B$203,0)),""))</f>
        <v/>
      </c>
      <c r="N1000" s="30">
        <f>IF(A1000="","",IF(K1000="","Unknown holder ID",IF(J1000="","Unknown class code",IF(OR(C1000="",D1000=""),"Missing shares or date",IF(OR(C1000&lt;0,C1000&lt;&gt;INT(C1000)),"Shares must be a whole number",IF(COUNTIFS($A$4:$A$2503,A1000,$B$4:$B$2503,B1000,$D$4:$D$2503,D1000)&gt;1,"Duplicate row (same date)","OK"))))))</f>
        <v/>
      </c>
    </row>
    <row r="1001">
      <c r="A1001" s="26" t="n"/>
      <c r="B1001" s="26" t="n"/>
      <c r="C1001" s="34" t="n"/>
      <c r="D1001" s="28" t="n"/>
      <c r="E1001" s="26" t="n"/>
      <c r="F1001" s="26" t="n"/>
      <c r="G1001" s="26" t="n"/>
      <c r="H1001" s="38" t="n"/>
      <c r="I1001" s="28" t="n"/>
      <c r="J1001" s="30">
        <f>IF(B1001="","",IFERROR(INDEX('Share classes'!$A$4:$A$203,MATCH(B1001,'Share classes'!$B$4:$B$203,0)),""))</f>
        <v/>
      </c>
      <c r="K1001" s="30">
        <f>IF(A1001="","",IFERROR(INDEX('Holders'!$B$4:$B$1003,MATCH(A1001,'Holders'!$A$4:$A$1003,0)),""))</f>
        <v/>
      </c>
      <c r="L1001" s="30">
        <f>IF(OR(A1001="",B1001="",D1001=""),"",IF(D1001=_xlfn.MAXIFS($D$4:$D$2503,$A$4:$A$2503,A1001,$B$4:$B$2503,B1001),"Yes","No"))</f>
        <v/>
      </c>
      <c r="M1001" s="30">
        <f>IF(B1001="","",IFERROR(INDEX('Share classes'!$F$4:$F$203,MATCH(B1001,'Share classes'!$B$4:$B$203,0)),""))</f>
        <v/>
      </c>
      <c r="N1001" s="30">
        <f>IF(A1001="","",IF(K1001="","Unknown holder ID",IF(J1001="","Unknown class code",IF(OR(C1001="",D1001=""),"Missing shares or date",IF(OR(C1001&lt;0,C1001&lt;&gt;INT(C1001)),"Shares must be a whole number",IF(COUNTIFS($A$4:$A$2503,A1001,$B$4:$B$2503,B1001,$D$4:$D$2503,D1001)&gt;1,"Duplicate row (same date)","OK"))))))</f>
        <v/>
      </c>
    </row>
    <row r="1002">
      <c r="A1002" s="26" t="n"/>
      <c r="B1002" s="26" t="n"/>
      <c r="C1002" s="34" t="n"/>
      <c r="D1002" s="28" t="n"/>
      <c r="E1002" s="26" t="n"/>
      <c r="F1002" s="26" t="n"/>
      <c r="G1002" s="26" t="n"/>
      <c r="H1002" s="38" t="n"/>
      <c r="I1002" s="28" t="n"/>
      <c r="J1002" s="30">
        <f>IF(B1002="","",IFERROR(INDEX('Share classes'!$A$4:$A$203,MATCH(B1002,'Share classes'!$B$4:$B$203,0)),""))</f>
        <v/>
      </c>
      <c r="K1002" s="30">
        <f>IF(A1002="","",IFERROR(INDEX('Holders'!$B$4:$B$1003,MATCH(A1002,'Holders'!$A$4:$A$1003,0)),""))</f>
        <v/>
      </c>
      <c r="L1002" s="30">
        <f>IF(OR(A1002="",B1002="",D1002=""),"",IF(D1002=_xlfn.MAXIFS($D$4:$D$2503,$A$4:$A$2503,A1002,$B$4:$B$2503,B1002),"Yes","No"))</f>
        <v/>
      </c>
      <c r="M1002" s="30">
        <f>IF(B1002="","",IFERROR(INDEX('Share classes'!$F$4:$F$203,MATCH(B1002,'Share classes'!$B$4:$B$203,0)),""))</f>
        <v/>
      </c>
      <c r="N1002" s="30">
        <f>IF(A1002="","",IF(K1002="","Unknown holder ID",IF(J1002="","Unknown class code",IF(OR(C1002="",D1002=""),"Missing shares or date",IF(OR(C1002&lt;0,C1002&lt;&gt;INT(C1002)),"Shares must be a whole number",IF(COUNTIFS($A$4:$A$2503,A1002,$B$4:$B$2503,B1002,$D$4:$D$2503,D1002)&gt;1,"Duplicate row (same date)","OK"))))))</f>
        <v/>
      </c>
    </row>
    <row r="1003">
      <c r="A1003" s="26" t="n"/>
      <c r="B1003" s="26" t="n"/>
      <c r="C1003" s="34" t="n"/>
      <c r="D1003" s="28" t="n"/>
      <c r="E1003" s="26" t="n"/>
      <c r="F1003" s="26" t="n"/>
      <c r="G1003" s="26" t="n"/>
      <c r="H1003" s="38" t="n"/>
      <c r="I1003" s="28" t="n"/>
      <c r="J1003" s="30">
        <f>IF(B1003="","",IFERROR(INDEX('Share classes'!$A$4:$A$203,MATCH(B1003,'Share classes'!$B$4:$B$203,0)),""))</f>
        <v/>
      </c>
      <c r="K1003" s="30">
        <f>IF(A1003="","",IFERROR(INDEX('Holders'!$B$4:$B$1003,MATCH(A1003,'Holders'!$A$4:$A$1003,0)),""))</f>
        <v/>
      </c>
      <c r="L1003" s="30">
        <f>IF(OR(A1003="",B1003="",D1003=""),"",IF(D1003=_xlfn.MAXIFS($D$4:$D$2503,$A$4:$A$2503,A1003,$B$4:$B$2503,B1003),"Yes","No"))</f>
        <v/>
      </c>
      <c r="M1003" s="30">
        <f>IF(B1003="","",IFERROR(INDEX('Share classes'!$F$4:$F$203,MATCH(B1003,'Share classes'!$B$4:$B$203,0)),""))</f>
        <v/>
      </c>
      <c r="N1003" s="30">
        <f>IF(A1003="","",IF(K1003="","Unknown holder ID",IF(J1003="","Unknown class code",IF(OR(C1003="",D1003=""),"Missing shares or date",IF(OR(C1003&lt;0,C1003&lt;&gt;INT(C1003)),"Shares must be a whole number",IF(COUNTIFS($A$4:$A$2503,A1003,$B$4:$B$2503,B1003,$D$4:$D$2503,D1003)&gt;1,"Duplicate row (same date)","OK"))))))</f>
        <v/>
      </c>
    </row>
    <row r="1004">
      <c r="A1004" s="26" t="n"/>
      <c r="B1004" s="26" t="n"/>
      <c r="C1004" s="34" t="n"/>
      <c r="D1004" s="28" t="n"/>
      <c r="E1004" s="26" t="n"/>
      <c r="F1004" s="26" t="n"/>
      <c r="G1004" s="26" t="n"/>
      <c r="H1004" s="38" t="n"/>
      <c r="I1004" s="28" t="n"/>
      <c r="J1004" s="30">
        <f>IF(B1004="","",IFERROR(INDEX('Share classes'!$A$4:$A$203,MATCH(B1004,'Share classes'!$B$4:$B$203,0)),""))</f>
        <v/>
      </c>
      <c r="K1004" s="30">
        <f>IF(A1004="","",IFERROR(INDEX('Holders'!$B$4:$B$1003,MATCH(A1004,'Holders'!$A$4:$A$1003,0)),""))</f>
        <v/>
      </c>
      <c r="L1004" s="30">
        <f>IF(OR(A1004="",B1004="",D1004=""),"",IF(D1004=_xlfn.MAXIFS($D$4:$D$2503,$A$4:$A$2503,A1004,$B$4:$B$2503,B1004),"Yes","No"))</f>
        <v/>
      </c>
      <c r="M1004" s="30">
        <f>IF(B1004="","",IFERROR(INDEX('Share classes'!$F$4:$F$203,MATCH(B1004,'Share classes'!$B$4:$B$203,0)),""))</f>
        <v/>
      </c>
      <c r="N1004" s="30">
        <f>IF(A1004="","",IF(K1004="","Unknown holder ID",IF(J1004="","Unknown class code",IF(OR(C1004="",D1004=""),"Missing shares or date",IF(OR(C1004&lt;0,C1004&lt;&gt;INT(C1004)),"Shares must be a whole number",IF(COUNTIFS($A$4:$A$2503,A1004,$B$4:$B$2503,B1004,$D$4:$D$2503,D1004)&gt;1,"Duplicate row (same date)","OK"))))))</f>
        <v/>
      </c>
    </row>
    <row r="1005">
      <c r="A1005" s="26" t="n"/>
      <c r="B1005" s="26" t="n"/>
      <c r="C1005" s="34" t="n"/>
      <c r="D1005" s="28" t="n"/>
      <c r="E1005" s="26" t="n"/>
      <c r="F1005" s="26" t="n"/>
      <c r="G1005" s="26" t="n"/>
      <c r="H1005" s="38" t="n"/>
      <c r="I1005" s="28" t="n"/>
      <c r="J1005" s="30">
        <f>IF(B1005="","",IFERROR(INDEX('Share classes'!$A$4:$A$203,MATCH(B1005,'Share classes'!$B$4:$B$203,0)),""))</f>
        <v/>
      </c>
      <c r="K1005" s="30">
        <f>IF(A1005="","",IFERROR(INDEX('Holders'!$B$4:$B$1003,MATCH(A1005,'Holders'!$A$4:$A$1003,0)),""))</f>
        <v/>
      </c>
      <c r="L1005" s="30">
        <f>IF(OR(A1005="",B1005="",D1005=""),"",IF(D1005=_xlfn.MAXIFS($D$4:$D$2503,$A$4:$A$2503,A1005,$B$4:$B$2503,B1005),"Yes","No"))</f>
        <v/>
      </c>
      <c r="M1005" s="30">
        <f>IF(B1005="","",IFERROR(INDEX('Share classes'!$F$4:$F$203,MATCH(B1005,'Share classes'!$B$4:$B$203,0)),""))</f>
        <v/>
      </c>
      <c r="N1005" s="30">
        <f>IF(A1005="","",IF(K1005="","Unknown holder ID",IF(J1005="","Unknown class code",IF(OR(C1005="",D1005=""),"Missing shares or date",IF(OR(C1005&lt;0,C1005&lt;&gt;INT(C1005)),"Shares must be a whole number",IF(COUNTIFS($A$4:$A$2503,A1005,$B$4:$B$2503,B1005,$D$4:$D$2503,D1005)&gt;1,"Duplicate row (same date)","OK"))))))</f>
        <v/>
      </c>
    </row>
    <row r="1006">
      <c r="A1006" s="26" t="n"/>
      <c r="B1006" s="26" t="n"/>
      <c r="C1006" s="34" t="n"/>
      <c r="D1006" s="28" t="n"/>
      <c r="E1006" s="26" t="n"/>
      <c r="F1006" s="26" t="n"/>
      <c r="G1006" s="26" t="n"/>
      <c r="H1006" s="38" t="n"/>
      <c r="I1006" s="28" t="n"/>
      <c r="J1006" s="30">
        <f>IF(B1006="","",IFERROR(INDEX('Share classes'!$A$4:$A$203,MATCH(B1006,'Share classes'!$B$4:$B$203,0)),""))</f>
        <v/>
      </c>
      <c r="K1006" s="30">
        <f>IF(A1006="","",IFERROR(INDEX('Holders'!$B$4:$B$1003,MATCH(A1006,'Holders'!$A$4:$A$1003,0)),""))</f>
        <v/>
      </c>
      <c r="L1006" s="30">
        <f>IF(OR(A1006="",B1006="",D1006=""),"",IF(D1006=_xlfn.MAXIFS($D$4:$D$2503,$A$4:$A$2503,A1006,$B$4:$B$2503,B1006),"Yes","No"))</f>
        <v/>
      </c>
      <c r="M1006" s="30">
        <f>IF(B1006="","",IFERROR(INDEX('Share classes'!$F$4:$F$203,MATCH(B1006,'Share classes'!$B$4:$B$203,0)),""))</f>
        <v/>
      </c>
      <c r="N1006" s="30">
        <f>IF(A1006="","",IF(K1006="","Unknown holder ID",IF(J1006="","Unknown class code",IF(OR(C1006="",D1006=""),"Missing shares or date",IF(OR(C1006&lt;0,C1006&lt;&gt;INT(C1006)),"Shares must be a whole number",IF(COUNTIFS($A$4:$A$2503,A1006,$B$4:$B$2503,B1006,$D$4:$D$2503,D1006)&gt;1,"Duplicate row (same date)","OK"))))))</f>
        <v/>
      </c>
    </row>
    <row r="1007">
      <c r="A1007" s="26" t="n"/>
      <c r="B1007" s="26" t="n"/>
      <c r="C1007" s="34" t="n"/>
      <c r="D1007" s="28" t="n"/>
      <c r="E1007" s="26" t="n"/>
      <c r="F1007" s="26" t="n"/>
      <c r="G1007" s="26" t="n"/>
      <c r="H1007" s="38" t="n"/>
      <c r="I1007" s="28" t="n"/>
      <c r="J1007" s="30">
        <f>IF(B1007="","",IFERROR(INDEX('Share classes'!$A$4:$A$203,MATCH(B1007,'Share classes'!$B$4:$B$203,0)),""))</f>
        <v/>
      </c>
      <c r="K1007" s="30">
        <f>IF(A1007="","",IFERROR(INDEX('Holders'!$B$4:$B$1003,MATCH(A1007,'Holders'!$A$4:$A$1003,0)),""))</f>
        <v/>
      </c>
      <c r="L1007" s="30">
        <f>IF(OR(A1007="",B1007="",D1007=""),"",IF(D1007=_xlfn.MAXIFS($D$4:$D$2503,$A$4:$A$2503,A1007,$B$4:$B$2503,B1007),"Yes","No"))</f>
        <v/>
      </c>
      <c r="M1007" s="30">
        <f>IF(B1007="","",IFERROR(INDEX('Share classes'!$F$4:$F$203,MATCH(B1007,'Share classes'!$B$4:$B$203,0)),""))</f>
        <v/>
      </c>
      <c r="N1007" s="30">
        <f>IF(A1007="","",IF(K1007="","Unknown holder ID",IF(J1007="","Unknown class code",IF(OR(C1007="",D1007=""),"Missing shares or date",IF(OR(C1007&lt;0,C1007&lt;&gt;INT(C1007)),"Shares must be a whole number",IF(COUNTIFS($A$4:$A$2503,A1007,$B$4:$B$2503,B1007,$D$4:$D$2503,D1007)&gt;1,"Duplicate row (same date)","OK"))))))</f>
        <v/>
      </c>
    </row>
    <row r="1008">
      <c r="A1008" s="26" t="n"/>
      <c r="B1008" s="26" t="n"/>
      <c r="C1008" s="34" t="n"/>
      <c r="D1008" s="28" t="n"/>
      <c r="E1008" s="26" t="n"/>
      <c r="F1008" s="26" t="n"/>
      <c r="G1008" s="26" t="n"/>
      <c r="H1008" s="38" t="n"/>
      <c r="I1008" s="28" t="n"/>
      <c r="J1008" s="30">
        <f>IF(B1008="","",IFERROR(INDEX('Share classes'!$A$4:$A$203,MATCH(B1008,'Share classes'!$B$4:$B$203,0)),""))</f>
        <v/>
      </c>
      <c r="K1008" s="30">
        <f>IF(A1008="","",IFERROR(INDEX('Holders'!$B$4:$B$1003,MATCH(A1008,'Holders'!$A$4:$A$1003,0)),""))</f>
        <v/>
      </c>
      <c r="L1008" s="30">
        <f>IF(OR(A1008="",B1008="",D1008=""),"",IF(D1008=_xlfn.MAXIFS($D$4:$D$2503,$A$4:$A$2503,A1008,$B$4:$B$2503,B1008),"Yes","No"))</f>
        <v/>
      </c>
      <c r="M1008" s="30">
        <f>IF(B1008="","",IFERROR(INDEX('Share classes'!$F$4:$F$203,MATCH(B1008,'Share classes'!$B$4:$B$203,0)),""))</f>
        <v/>
      </c>
      <c r="N1008" s="30">
        <f>IF(A1008="","",IF(K1008="","Unknown holder ID",IF(J1008="","Unknown class code",IF(OR(C1008="",D1008=""),"Missing shares or date",IF(OR(C1008&lt;0,C1008&lt;&gt;INT(C1008)),"Shares must be a whole number",IF(COUNTIFS($A$4:$A$2503,A1008,$B$4:$B$2503,B1008,$D$4:$D$2503,D1008)&gt;1,"Duplicate row (same date)","OK"))))))</f>
        <v/>
      </c>
    </row>
    <row r="1009">
      <c r="A1009" s="26" t="n"/>
      <c r="B1009" s="26" t="n"/>
      <c r="C1009" s="34" t="n"/>
      <c r="D1009" s="28" t="n"/>
      <c r="E1009" s="26" t="n"/>
      <c r="F1009" s="26" t="n"/>
      <c r="G1009" s="26" t="n"/>
      <c r="H1009" s="38" t="n"/>
      <c r="I1009" s="28" t="n"/>
      <c r="J1009" s="30">
        <f>IF(B1009="","",IFERROR(INDEX('Share classes'!$A$4:$A$203,MATCH(B1009,'Share classes'!$B$4:$B$203,0)),""))</f>
        <v/>
      </c>
      <c r="K1009" s="30">
        <f>IF(A1009="","",IFERROR(INDEX('Holders'!$B$4:$B$1003,MATCH(A1009,'Holders'!$A$4:$A$1003,0)),""))</f>
        <v/>
      </c>
      <c r="L1009" s="30">
        <f>IF(OR(A1009="",B1009="",D1009=""),"",IF(D1009=_xlfn.MAXIFS($D$4:$D$2503,$A$4:$A$2503,A1009,$B$4:$B$2503,B1009),"Yes","No"))</f>
        <v/>
      </c>
      <c r="M1009" s="30">
        <f>IF(B1009="","",IFERROR(INDEX('Share classes'!$F$4:$F$203,MATCH(B1009,'Share classes'!$B$4:$B$203,0)),""))</f>
        <v/>
      </c>
      <c r="N1009" s="30">
        <f>IF(A1009="","",IF(K1009="","Unknown holder ID",IF(J1009="","Unknown class code",IF(OR(C1009="",D1009=""),"Missing shares or date",IF(OR(C1009&lt;0,C1009&lt;&gt;INT(C1009)),"Shares must be a whole number",IF(COUNTIFS($A$4:$A$2503,A1009,$B$4:$B$2503,B1009,$D$4:$D$2503,D1009)&gt;1,"Duplicate row (same date)","OK"))))))</f>
        <v/>
      </c>
    </row>
    <row r="1010">
      <c r="A1010" s="26" t="n"/>
      <c r="B1010" s="26" t="n"/>
      <c r="C1010" s="34" t="n"/>
      <c r="D1010" s="28" t="n"/>
      <c r="E1010" s="26" t="n"/>
      <c r="F1010" s="26" t="n"/>
      <c r="G1010" s="26" t="n"/>
      <c r="H1010" s="38" t="n"/>
      <c r="I1010" s="28" t="n"/>
      <c r="J1010" s="30">
        <f>IF(B1010="","",IFERROR(INDEX('Share classes'!$A$4:$A$203,MATCH(B1010,'Share classes'!$B$4:$B$203,0)),""))</f>
        <v/>
      </c>
      <c r="K1010" s="30">
        <f>IF(A1010="","",IFERROR(INDEX('Holders'!$B$4:$B$1003,MATCH(A1010,'Holders'!$A$4:$A$1003,0)),""))</f>
        <v/>
      </c>
      <c r="L1010" s="30">
        <f>IF(OR(A1010="",B1010="",D1010=""),"",IF(D1010=_xlfn.MAXIFS($D$4:$D$2503,$A$4:$A$2503,A1010,$B$4:$B$2503,B1010),"Yes","No"))</f>
        <v/>
      </c>
      <c r="M1010" s="30">
        <f>IF(B1010="","",IFERROR(INDEX('Share classes'!$F$4:$F$203,MATCH(B1010,'Share classes'!$B$4:$B$203,0)),""))</f>
        <v/>
      </c>
      <c r="N1010" s="30">
        <f>IF(A1010="","",IF(K1010="","Unknown holder ID",IF(J1010="","Unknown class code",IF(OR(C1010="",D1010=""),"Missing shares or date",IF(OR(C1010&lt;0,C1010&lt;&gt;INT(C1010)),"Shares must be a whole number",IF(COUNTIFS($A$4:$A$2503,A1010,$B$4:$B$2503,B1010,$D$4:$D$2503,D1010)&gt;1,"Duplicate row (same date)","OK"))))))</f>
        <v/>
      </c>
    </row>
    <row r="1011">
      <c r="A1011" s="26" t="n"/>
      <c r="B1011" s="26" t="n"/>
      <c r="C1011" s="34" t="n"/>
      <c r="D1011" s="28" t="n"/>
      <c r="E1011" s="26" t="n"/>
      <c r="F1011" s="26" t="n"/>
      <c r="G1011" s="26" t="n"/>
      <c r="H1011" s="38" t="n"/>
      <c r="I1011" s="28" t="n"/>
      <c r="J1011" s="30">
        <f>IF(B1011="","",IFERROR(INDEX('Share classes'!$A$4:$A$203,MATCH(B1011,'Share classes'!$B$4:$B$203,0)),""))</f>
        <v/>
      </c>
      <c r="K1011" s="30">
        <f>IF(A1011="","",IFERROR(INDEX('Holders'!$B$4:$B$1003,MATCH(A1011,'Holders'!$A$4:$A$1003,0)),""))</f>
        <v/>
      </c>
      <c r="L1011" s="30">
        <f>IF(OR(A1011="",B1011="",D1011=""),"",IF(D1011=_xlfn.MAXIFS($D$4:$D$2503,$A$4:$A$2503,A1011,$B$4:$B$2503,B1011),"Yes","No"))</f>
        <v/>
      </c>
      <c r="M1011" s="30">
        <f>IF(B1011="","",IFERROR(INDEX('Share classes'!$F$4:$F$203,MATCH(B1011,'Share classes'!$B$4:$B$203,0)),""))</f>
        <v/>
      </c>
      <c r="N1011" s="30">
        <f>IF(A1011="","",IF(K1011="","Unknown holder ID",IF(J1011="","Unknown class code",IF(OR(C1011="",D1011=""),"Missing shares or date",IF(OR(C1011&lt;0,C1011&lt;&gt;INT(C1011)),"Shares must be a whole number",IF(COUNTIFS($A$4:$A$2503,A1011,$B$4:$B$2503,B1011,$D$4:$D$2503,D1011)&gt;1,"Duplicate row (same date)","OK"))))))</f>
        <v/>
      </c>
    </row>
    <row r="1012">
      <c r="A1012" s="26" t="n"/>
      <c r="B1012" s="26" t="n"/>
      <c r="C1012" s="34" t="n"/>
      <c r="D1012" s="28" t="n"/>
      <c r="E1012" s="26" t="n"/>
      <c r="F1012" s="26" t="n"/>
      <c r="G1012" s="26" t="n"/>
      <c r="H1012" s="38" t="n"/>
      <c r="I1012" s="28" t="n"/>
      <c r="J1012" s="30">
        <f>IF(B1012="","",IFERROR(INDEX('Share classes'!$A$4:$A$203,MATCH(B1012,'Share classes'!$B$4:$B$203,0)),""))</f>
        <v/>
      </c>
      <c r="K1012" s="30">
        <f>IF(A1012="","",IFERROR(INDEX('Holders'!$B$4:$B$1003,MATCH(A1012,'Holders'!$A$4:$A$1003,0)),""))</f>
        <v/>
      </c>
      <c r="L1012" s="30">
        <f>IF(OR(A1012="",B1012="",D1012=""),"",IF(D1012=_xlfn.MAXIFS($D$4:$D$2503,$A$4:$A$2503,A1012,$B$4:$B$2503,B1012),"Yes","No"))</f>
        <v/>
      </c>
      <c r="M1012" s="30">
        <f>IF(B1012="","",IFERROR(INDEX('Share classes'!$F$4:$F$203,MATCH(B1012,'Share classes'!$B$4:$B$203,0)),""))</f>
        <v/>
      </c>
      <c r="N1012" s="30">
        <f>IF(A1012="","",IF(K1012="","Unknown holder ID",IF(J1012="","Unknown class code",IF(OR(C1012="",D1012=""),"Missing shares or date",IF(OR(C1012&lt;0,C1012&lt;&gt;INT(C1012)),"Shares must be a whole number",IF(COUNTIFS($A$4:$A$2503,A1012,$B$4:$B$2503,B1012,$D$4:$D$2503,D1012)&gt;1,"Duplicate row (same date)","OK"))))))</f>
        <v/>
      </c>
    </row>
    <row r="1013">
      <c r="A1013" s="26" t="n"/>
      <c r="B1013" s="26" t="n"/>
      <c r="C1013" s="34" t="n"/>
      <c r="D1013" s="28" t="n"/>
      <c r="E1013" s="26" t="n"/>
      <c r="F1013" s="26" t="n"/>
      <c r="G1013" s="26" t="n"/>
      <c r="H1013" s="38" t="n"/>
      <c r="I1013" s="28" t="n"/>
      <c r="J1013" s="30">
        <f>IF(B1013="","",IFERROR(INDEX('Share classes'!$A$4:$A$203,MATCH(B1013,'Share classes'!$B$4:$B$203,0)),""))</f>
        <v/>
      </c>
      <c r="K1013" s="30">
        <f>IF(A1013="","",IFERROR(INDEX('Holders'!$B$4:$B$1003,MATCH(A1013,'Holders'!$A$4:$A$1003,0)),""))</f>
        <v/>
      </c>
      <c r="L1013" s="30">
        <f>IF(OR(A1013="",B1013="",D1013=""),"",IF(D1013=_xlfn.MAXIFS($D$4:$D$2503,$A$4:$A$2503,A1013,$B$4:$B$2503,B1013),"Yes","No"))</f>
        <v/>
      </c>
      <c r="M1013" s="30">
        <f>IF(B1013="","",IFERROR(INDEX('Share classes'!$F$4:$F$203,MATCH(B1013,'Share classes'!$B$4:$B$203,0)),""))</f>
        <v/>
      </c>
      <c r="N1013" s="30">
        <f>IF(A1013="","",IF(K1013="","Unknown holder ID",IF(J1013="","Unknown class code",IF(OR(C1013="",D1013=""),"Missing shares or date",IF(OR(C1013&lt;0,C1013&lt;&gt;INT(C1013)),"Shares must be a whole number",IF(COUNTIFS($A$4:$A$2503,A1013,$B$4:$B$2503,B1013,$D$4:$D$2503,D1013)&gt;1,"Duplicate row (same date)","OK"))))))</f>
        <v/>
      </c>
    </row>
    <row r="1014">
      <c r="A1014" s="26" t="n"/>
      <c r="B1014" s="26" t="n"/>
      <c r="C1014" s="34" t="n"/>
      <c r="D1014" s="28" t="n"/>
      <c r="E1014" s="26" t="n"/>
      <c r="F1014" s="26" t="n"/>
      <c r="G1014" s="26" t="n"/>
      <c r="H1014" s="38" t="n"/>
      <c r="I1014" s="28" t="n"/>
      <c r="J1014" s="30">
        <f>IF(B1014="","",IFERROR(INDEX('Share classes'!$A$4:$A$203,MATCH(B1014,'Share classes'!$B$4:$B$203,0)),""))</f>
        <v/>
      </c>
      <c r="K1014" s="30">
        <f>IF(A1014="","",IFERROR(INDEX('Holders'!$B$4:$B$1003,MATCH(A1014,'Holders'!$A$4:$A$1003,0)),""))</f>
        <v/>
      </c>
      <c r="L1014" s="30">
        <f>IF(OR(A1014="",B1014="",D1014=""),"",IF(D1014=_xlfn.MAXIFS($D$4:$D$2503,$A$4:$A$2503,A1014,$B$4:$B$2503,B1014),"Yes","No"))</f>
        <v/>
      </c>
      <c r="M1014" s="30">
        <f>IF(B1014="","",IFERROR(INDEX('Share classes'!$F$4:$F$203,MATCH(B1014,'Share classes'!$B$4:$B$203,0)),""))</f>
        <v/>
      </c>
      <c r="N1014" s="30">
        <f>IF(A1014="","",IF(K1014="","Unknown holder ID",IF(J1014="","Unknown class code",IF(OR(C1014="",D1014=""),"Missing shares or date",IF(OR(C1014&lt;0,C1014&lt;&gt;INT(C1014)),"Shares must be a whole number",IF(COUNTIFS($A$4:$A$2503,A1014,$B$4:$B$2503,B1014,$D$4:$D$2503,D1014)&gt;1,"Duplicate row (same date)","OK"))))))</f>
        <v/>
      </c>
    </row>
    <row r="1015">
      <c r="A1015" s="26" t="n"/>
      <c r="B1015" s="26" t="n"/>
      <c r="C1015" s="34" t="n"/>
      <c r="D1015" s="28" t="n"/>
      <c r="E1015" s="26" t="n"/>
      <c r="F1015" s="26" t="n"/>
      <c r="G1015" s="26" t="n"/>
      <c r="H1015" s="38" t="n"/>
      <c r="I1015" s="28" t="n"/>
      <c r="J1015" s="30">
        <f>IF(B1015="","",IFERROR(INDEX('Share classes'!$A$4:$A$203,MATCH(B1015,'Share classes'!$B$4:$B$203,0)),""))</f>
        <v/>
      </c>
      <c r="K1015" s="30">
        <f>IF(A1015="","",IFERROR(INDEX('Holders'!$B$4:$B$1003,MATCH(A1015,'Holders'!$A$4:$A$1003,0)),""))</f>
        <v/>
      </c>
      <c r="L1015" s="30">
        <f>IF(OR(A1015="",B1015="",D1015=""),"",IF(D1015=_xlfn.MAXIFS($D$4:$D$2503,$A$4:$A$2503,A1015,$B$4:$B$2503,B1015),"Yes","No"))</f>
        <v/>
      </c>
      <c r="M1015" s="30">
        <f>IF(B1015="","",IFERROR(INDEX('Share classes'!$F$4:$F$203,MATCH(B1015,'Share classes'!$B$4:$B$203,0)),""))</f>
        <v/>
      </c>
      <c r="N1015" s="30">
        <f>IF(A1015="","",IF(K1015="","Unknown holder ID",IF(J1015="","Unknown class code",IF(OR(C1015="",D1015=""),"Missing shares or date",IF(OR(C1015&lt;0,C1015&lt;&gt;INT(C1015)),"Shares must be a whole number",IF(COUNTIFS($A$4:$A$2503,A1015,$B$4:$B$2503,B1015,$D$4:$D$2503,D1015)&gt;1,"Duplicate row (same date)","OK"))))))</f>
        <v/>
      </c>
    </row>
    <row r="1016">
      <c r="A1016" s="26" t="n"/>
      <c r="B1016" s="26" t="n"/>
      <c r="C1016" s="34" t="n"/>
      <c r="D1016" s="28" t="n"/>
      <c r="E1016" s="26" t="n"/>
      <c r="F1016" s="26" t="n"/>
      <c r="G1016" s="26" t="n"/>
      <c r="H1016" s="38" t="n"/>
      <c r="I1016" s="28" t="n"/>
      <c r="J1016" s="30">
        <f>IF(B1016="","",IFERROR(INDEX('Share classes'!$A$4:$A$203,MATCH(B1016,'Share classes'!$B$4:$B$203,0)),""))</f>
        <v/>
      </c>
      <c r="K1016" s="30">
        <f>IF(A1016="","",IFERROR(INDEX('Holders'!$B$4:$B$1003,MATCH(A1016,'Holders'!$A$4:$A$1003,0)),""))</f>
        <v/>
      </c>
      <c r="L1016" s="30">
        <f>IF(OR(A1016="",B1016="",D1016=""),"",IF(D1016=_xlfn.MAXIFS($D$4:$D$2503,$A$4:$A$2503,A1016,$B$4:$B$2503,B1016),"Yes","No"))</f>
        <v/>
      </c>
      <c r="M1016" s="30">
        <f>IF(B1016="","",IFERROR(INDEX('Share classes'!$F$4:$F$203,MATCH(B1016,'Share classes'!$B$4:$B$203,0)),""))</f>
        <v/>
      </c>
      <c r="N1016" s="30">
        <f>IF(A1016="","",IF(K1016="","Unknown holder ID",IF(J1016="","Unknown class code",IF(OR(C1016="",D1016=""),"Missing shares or date",IF(OR(C1016&lt;0,C1016&lt;&gt;INT(C1016)),"Shares must be a whole number",IF(COUNTIFS($A$4:$A$2503,A1016,$B$4:$B$2503,B1016,$D$4:$D$2503,D1016)&gt;1,"Duplicate row (same date)","OK"))))))</f>
        <v/>
      </c>
    </row>
    <row r="1017">
      <c r="A1017" s="26" t="n"/>
      <c r="B1017" s="26" t="n"/>
      <c r="C1017" s="34" t="n"/>
      <c r="D1017" s="28" t="n"/>
      <c r="E1017" s="26" t="n"/>
      <c r="F1017" s="26" t="n"/>
      <c r="G1017" s="26" t="n"/>
      <c r="H1017" s="38" t="n"/>
      <c r="I1017" s="28" t="n"/>
      <c r="J1017" s="30">
        <f>IF(B1017="","",IFERROR(INDEX('Share classes'!$A$4:$A$203,MATCH(B1017,'Share classes'!$B$4:$B$203,0)),""))</f>
        <v/>
      </c>
      <c r="K1017" s="30">
        <f>IF(A1017="","",IFERROR(INDEX('Holders'!$B$4:$B$1003,MATCH(A1017,'Holders'!$A$4:$A$1003,0)),""))</f>
        <v/>
      </c>
      <c r="L1017" s="30">
        <f>IF(OR(A1017="",B1017="",D1017=""),"",IF(D1017=_xlfn.MAXIFS($D$4:$D$2503,$A$4:$A$2503,A1017,$B$4:$B$2503,B1017),"Yes","No"))</f>
        <v/>
      </c>
      <c r="M1017" s="30">
        <f>IF(B1017="","",IFERROR(INDEX('Share classes'!$F$4:$F$203,MATCH(B1017,'Share classes'!$B$4:$B$203,0)),""))</f>
        <v/>
      </c>
      <c r="N1017" s="30">
        <f>IF(A1017="","",IF(K1017="","Unknown holder ID",IF(J1017="","Unknown class code",IF(OR(C1017="",D1017=""),"Missing shares or date",IF(OR(C1017&lt;0,C1017&lt;&gt;INT(C1017)),"Shares must be a whole number",IF(COUNTIFS($A$4:$A$2503,A1017,$B$4:$B$2503,B1017,$D$4:$D$2503,D1017)&gt;1,"Duplicate row (same date)","OK"))))))</f>
        <v/>
      </c>
    </row>
    <row r="1018">
      <c r="A1018" s="26" t="n"/>
      <c r="B1018" s="26" t="n"/>
      <c r="C1018" s="34" t="n"/>
      <c r="D1018" s="28" t="n"/>
      <c r="E1018" s="26" t="n"/>
      <c r="F1018" s="26" t="n"/>
      <c r="G1018" s="26" t="n"/>
      <c r="H1018" s="38" t="n"/>
      <c r="I1018" s="28" t="n"/>
      <c r="J1018" s="30">
        <f>IF(B1018="","",IFERROR(INDEX('Share classes'!$A$4:$A$203,MATCH(B1018,'Share classes'!$B$4:$B$203,0)),""))</f>
        <v/>
      </c>
      <c r="K1018" s="30">
        <f>IF(A1018="","",IFERROR(INDEX('Holders'!$B$4:$B$1003,MATCH(A1018,'Holders'!$A$4:$A$1003,0)),""))</f>
        <v/>
      </c>
      <c r="L1018" s="30">
        <f>IF(OR(A1018="",B1018="",D1018=""),"",IF(D1018=_xlfn.MAXIFS($D$4:$D$2503,$A$4:$A$2503,A1018,$B$4:$B$2503,B1018),"Yes","No"))</f>
        <v/>
      </c>
      <c r="M1018" s="30">
        <f>IF(B1018="","",IFERROR(INDEX('Share classes'!$F$4:$F$203,MATCH(B1018,'Share classes'!$B$4:$B$203,0)),""))</f>
        <v/>
      </c>
      <c r="N1018" s="30">
        <f>IF(A1018="","",IF(K1018="","Unknown holder ID",IF(J1018="","Unknown class code",IF(OR(C1018="",D1018=""),"Missing shares or date",IF(OR(C1018&lt;0,C1018&lt;&gt;INT(C1018)),"Shares must be a whole number",IF(COUNTIFS($A$4:$A$2503,A1018,$B$4:$B$2503,B1018,$D$4:$D$2503,D1018)&gt;1,"Duplicate row (same date)","OK"))))))</f>
        <v/>
      </c>
    </row>
    <row r="1019">
      <c r="A1019" s="26" t="n"/>
      <c r="B1019" s="26" t="n"/>
      <c r="C1019" s="34" t="n"/>
      <c r="D1019" s="28" t="n"/>
      <c r="E1019" s="26" t="n"/>
      <c r="F1019" s="26" t="n"/>
      <c r="G1019" s="26" t="n"/>
      <c r="H1019" s="38" t="n"/>
      <c r="I1019" s="28" t="n"/>
      <c r="J1019" s="30">
        <f>IF(B1019="","",IFERROR(INDEX('Share classes'!$A$4:$A$203,MATCH(B1019,'Share classes'!$B$4:$B$203,0)),""))</f>
        <v/>
      </c>
      <c r="K1019" s="30">
        <f>IF(A1019="","",IFERROR(INDEX('Holders'!$B$4:$B$1003,MATCH(A1019,'Holders'!$A$4:$A$1003,0)),""))</f>
        <v/>
      </c>
      <c r="L1019" s="30">
        <f>IF(OR(A1019="",B1019="",D1019=""),"",IF(D1019=_xlfn.MAXIFS($D$4:$D$2503,$A$4:$A$2503,A1019,$B$4:$B$2503,B1019),"Yes","No"))</f>
        <v/>
      </c>
      <c r="M1019" s="30">
        <f>IF(B1019="","",IFERROR(INDEX('Share classes'!$F$4:$F$203,MATCH(B1019,'Share classes'!$B$4:$B$203,0)),""))</f>
        <v/>
      </c>
      <c r="N1019" s="30">
        <f>IF(A1019="","",IF(K1019="","Unknown holder ID",IF(J1019="","Unknown class code",IF(OR(C1019="",D1019=""),"Missing shares or date",IF(OR(C1019&lt;0,C1019&lt;&gt;INT(C1019)),"Shares must be a whole number",IF(COUNTIFS($A$4:$A$2503,A1019,$B$4:$B$2503,B1019,$D$4:$D$2503,D1019)&gt;1,"Duplicate row (same date)","OK"))))))</f>
        <v/>
      </c>
    </row>
    <row r="1020">
      <c r="A1020" s="26" t="n"/>
      <c r="B1020" s="26" t="n"/>
      <c r="C1020" s="34" t="n"/>
      <c r="D1020" s="28" t="n"/>
      <c r="E1020" s="26" t="n"/>
      <c r="F1020" s="26" t="n"/>
      <c r="G1020" s="26" t="n"/>
      <c r="H1020" s="38" t="n"/>
      <c r="I1020" s="28" t="n"/>
      <c r="J1020" s="30">
        <f>IF(B1020="","",IFERROR(INDEX('Share classes'!$A$4:$A$203,MATCH(B1020,'Share classes'!$B$4:$B$203,0)),""))</f>
        <v/>
      </c>
      <c r="K1020" s="30">
        <f>IF(A1020="","",IFERROR(INDEX('Holders'!$B$4:$B$1003,MATCH(A1020,'Holders'!$A$4:$A$1003,0)),""))</f>
        <v/>
      </c>
      <c r="L1020" s="30">
        <f>IF(OR(A1020="",B1020="",D1020=""),"",IF(D1020=_xlfn.MAXIFS($D$4:$D$2503,$A$4:$A$2503,A1020,$B$4:$B$2503,B1020),"Yes","No"))</f>
        <v/>
      </c>
      <c r="M1020" s="30">
        <f>IF(B1020="","",IFERROR(INDEX('Share classes'!$F$4:$F$203,MATCH(B1020,'Share classes'!$B$4:$B$203,0)),""))</f>
        <v/>
      </c>
      <c r="N1020" s="30">
        <f>IF(A1020="","",IF(K1020="","Unknown holder ID",IF(J1020="","Unknown class code",IF(OR(C1020="",D1020=""),"Missing shares or date",IF(OR(C1020&lt;0,C1020&lt;&gt;INT(C1020)),"Shares must be a whole number",IF(COUNTIFS($A$4:$A$2503,A1020,$B$4:$B$2503,B1020,$D$4:$D$2503,D1020)&gt;1,"Duplicate row (same date)","OK"))))))</f>
        <v/>
      </c>
    </row>
    <row r="1021">
      <c r="A1021" s="26" t="n"/>
      <c r="B1021" s="26" t="n"/>
      <c r="C1021" s="34" t="n"/>
      <c r="D1021" s="28" t="n"/>
      <c r="E1021" s="26" t="n"/>
      <c r="F1021" s="26" t="n"/>
      <c r="G1021" s="26" t="n"/>
      <c r="H1021" s="38" t="n"/>
      <c r="I1021" s="28" t="n"/>
      <c r="J1021" s="30">
        <f>IF(B1021="","",IFERROR(INDEX('Share classes'!$A$4:$A$203,MATCH(B1021,'Share classes'!$B$4:$B$203,0)),""))</f>
        <v/>
      </c>
      <c r="K1021" s="30">
        <f>IF(A1021="","",IFERROR(INDEX('Holders'!$B$4:$B$1003,MATCH(A1021,'Holders'!$A$4:$A$1003,0)),""))</f>
        <v/>
      </c>
      <c r="L1021" s="30">
        <f>IF(OR(A1021="",B1021="",D1021=""),"",IF(D1021=_xlfn.MAXIFS($D$4:$D$2503,$A$4:$A$2503,A1021,$B$4:$B$2503,B1021),"Yes","No"))</f>
        <v/>
      </c>
      <c r="M1021" s="30">
        <f>IF(B1021="","",IFERROR(INDEX('Share classes'!$F$4:$F$203,MATCH(B1021,'Share classes'!$B$4:$B$203,0)),""))</f>
        <v/>
      </c>
      <c r="N1021" s="30">
        <f>IF(A1021="","",IF(K1021="","Unknown holder ID",IF(J1021="","Unknown class code",IF(OR(C1021="",D1021=""),"Missing shares or date",IF(OR(C1021&lt;0,C1021&lt;&gt;INT(C1021)),"Shares must be a whole number",IF(COUNTIFS($A$4:$A$2503,A1021,$B$4:$B$2503,B1021,$D$4:$D$2503,D1021)&gt;1,"Duplicate row (same date)","OK"))))))</f>
        <v/>
      </c>
    </row>
    <row r="1022">
      <c r="A1022" s="26" t="n"/>
      <c r="B1022" s="26" t="n"/>
      <c r="C1022" s="34" t="n"/>
      <c r="D1022" s="28" t="n"/>
      <c r="E1022" s="26" t="n"/>
      <c r="F1022" s="26" t="n"/>
      <c r="G1022" s="26" t="n"/>
      <c r="H1022" s="38" t="n"/>
      <c r="I1022" s="28" t="n"/>
      <c r="J1022" s="30">
        <f>IF(B1022="","",IFERROR(INDEX('Share classes'!$A$4:$A$203,MATCH(B1022,'Share classes'!$B$4:$B$203,0)),""))</f>
        <v/>
      </c>
      <c r="K1022" s="30">
        <f>IF(A1022="","",IFERROR(INDEX('Holders'!$B$4:$B$1003,MATCH(A1022,'Holders'!$A$4:$A$1003,0)),""))</f>
        <v/>
      </c>
      <c r="L1022" s="30">
        <f>IF(OR(A1022="",B1022="",D1022=""),"",IF(D1022=_xlfn.MAXIFS($D$4:$D$2503,$A$4:$A$2503,A1022,$B$4:$B$2503,B1022),"Yes","No"))</f>
        <v/>
      </c>
      <c r="M1022" s="30">
        <f>IF(B1022="","",IFERROR(INDEX('Share classes'!$F$4:$F$203,MATCH(B1022,'Share classes'!$B$4:$B$203,0)),""))</f>
        <v/>
      </c>
      <c r="N1022" s="30">
        <f>IF(A1022="","",IF(K1022="","Unknown holder ID",IF(J1022="","Unknown class code",IF(OR(C1022="",D1022=""),"Missing shares or date",IF(OR(C1022&lt;0,C1022&lt;&gt;INT(C1022)),"Shares must be a whole number",IF(COUNTIFS($A$4:$A$2503,A1022,$B$4:$B$2503,B1022,$D$4:$D$2503,D1022)&gt;1,"Duplicate row (same date)","OK"))))))</f>
        <v/>
      </c>
    </row>
    <row r="1023">
      <c r="A1023" s="26" t="n"/>
      <c r="B1023" s="26" t="n"/>
      <c r="C1023" s="34" t="n"/>
      <c r="D1023" s="28" t="n"/>
      <c r="E1023" s="26" t="n"/>
      <c r="F1023" s="26" t="n"/>
      <c r="G1023" s="26" t="n"/>
      <c r="H1023" s="38" t="n"/>
      <c r="I1023" s="28" t="n"/>
      <c r="J1023" s="30">
        <f>IF(B1023="","",IFERROR(INDEX('Share classes'!$A$4:$A$203,MATCH(B1023,'Share classes'!$B$4:$B$203,0)),""))</f>
        <v/>
      </c>
      <c r="K1023" s="30">
        <f>IF(A1023="","",IFERROR(INDEX('Holders'!$B$4:$B$1003,MATCH(A1023,'Holders'!$A$4:$A$1003,0)),""))</f>
        <v/>
      </c>
      <c r="L1023" s="30">
        <f>IF(OR(A1023="",B1023="",D1023=""),"",IF(D1023=_xlfn.MAXIFS($D$4:$D$2503,$A$4:$A$2503,A1023,$B$4:$B$2503,B1023),"Yes","No"))</f>
        <v/>
      </c>
      <c r="M1023" s="30">
        <f>IF(B1023="","",IFERROR(INDEX('Share classes'!$F$4:$F$203,MATCH(B1023,'Share classes'!$B$4:$B$203,0)),""))</f>
        <v/>
      </c>
      <c r="N1023" s="30">
        <f>IF(A1023="","",IF(K1023="","Unknown holder ID",IF(J1023="","Unknown class code",IF(OR(C1023="",D1023=""),"Missing shares or date",IF(OR(C1023&lt;0,C1023&lt;&gt;INT(C1023)),"Shares must be a whole number",IF(COUNTIFS($A$4:$A$2503,A1023,$B$4:$B$2503,B1023,$D$4:$D$2503,D1023)&gt;1,"Duplicate row (same date)","OK"))))))</f>
        <v/>
      </c>
    </row>
    <row r="1024">
      <c r="A1024" s="26" t="n"/>
      <c r="B1024" s="26" t="n"/>
      <c r="C1024" s="34" t="n"/>
      <c r="D1024" s="28" t="n"/>
      <c r="E1024" s="26" t="n"/>
      <c r="F1024" s="26" t="n"/>
      <c r="G1024" s="26" t="n"/>
      <c r="H1024" s="38" t="n"/>
      <c r="I1024" s="28" t="n"/>
      <c r="J1024" s="30">
        <f>IF(B1024="","",IFERROR(INDEX('Share classes'!$A$4:$A$203,MATCH(B1024,'Share classes'!$B$4:$B$203,0)),""))</f>
        <v/>
      </c>
      <c r="K1024" s="30">
        <f>IF(A1024="","",IFERROR(INDEX('Holders'!$B$4:$B$1003,MATCH(A1024,'Holders'!$A$4:$A$1003,0)),""))</f>
        <v/>
      </c>
      <c r="L1024" s="30">
        <f>IF(OR(A1024="",B1024="",D1024=""),"",IF(D1024=_xlfn.MAXIFS($D$4:$D$2503,$A$4:$A$2503,A1024,$B$4:$B$2503,B1024),"Yes","No"))</f>
        <v/>
      </c>
      <c r="M1024" s="30">
        <f>IF(B1024="","",IFERROR(INDEX('Share classes'!$F$4:$F$203,MATCH(B1024,'Share classes'!$B$4:$B$203,0)),""))</f>
        <v/>
      </c>
      <c r="N1024" s="30">
        <f>IF(A1024="","",IF(K1024="","Unknown holder ID",IF(J1024="","Unknown class code",IF(OR(C1024="",D1024=""),"Missing shares or date",IF(OR(C1024&lt;0,C1024&lt;&gt;INT(C1024)),"Shares must be a whole number",IF(COUNTIFS($A$4:$A$2503,A1024,$B$4:$B$2503,B1024,$D$4:$D$2503,D1024)&gt;1,"Duplicate row (same date)","OK"))))))</f>
        <v/>
      </c>
    </row>
    <row r="1025">
      <c r="A1025" s="26" t="n"/>
      <c r="B1025" s="26" t="n"/>
      <c r="C1025" s="34" t="n"/>
      <c r="D1025" s="28" t="n"/>
      <c r="E1025" s="26" t="n"/>
      <c r="F1025" s="26" t="n"/>
      <c r="G1025" s="26" t="n"/>
      <c r="H1025" s="38" t="n"/>
      <c r="I1025" s="28" t="n"/>
      <c r="J1025" s="30">
        <f>IF(B1025="","",IFERROR(INDEX('Share classes'!$A$4:$A$203,MATCH(B1025,'Share classes'!$B$4:$B$203,0)),""))</f>
        <v/>
      </c>
      <c r="K1025" s="30">
        <f>IF(A1025="","",IFERROR(INDEX('Holders'!$B$4:$B$1003,MATCH(A1025,'Holders'!$A$4:$A$1003,0)),""))</f>
        <v/>
      </c>
      <c r="L1025" s="30">
        <f>IF(OR(A1025="",B1025="",D1025=""),"",IF(D1025=_xlfn.MAXIFS($D$4:$D$2503,$A$4:$A$2503,A1025,$B$4:$B$2503,B1025),"Yes","No"))</f>
        <v/>
      </c>
      <c r="M1025" s="30">
        <f>IF(B1025="","",IFERROR(INDEX('Share classes'!$F$4:$F$203,MATCH(B1025,'Share classes'!$B$4:$B$203,0)),""))</f>
        <v/>
      </c>
      <c r="N1025" s="30">
        <f>IF(A1025="","",IF(K1025="","Unknown holder ID",IF(J1025="","Unknown class code",IF(OR(C1025="",D1025=""),"Missing shares or date",IF(OR(C1025&lt;0,C1025&lt;&gt;INT(C1025)),"Shares must be a whole number",IF(COUNTIFS($A$4:$A$2503,A1025,$B$4:$B$2503,B1025,$D$4:$D$2503,D1025)&gt;1,"Duplicate row (same date)","OK"))))))</f>
        <v/>
      </c>
    </row>
    <row r="1026">
      <c r="A1026" s="26" t="n"/>
      <c r="B1026" s="26" t="n"/>
      <c r="C1026" s="34" t="n"/>
      <c r="D1026" s="28" t="n"/>
      <c r="E1026" s="26" t="n"/>
      <c r="F1026" s="26" t="n"/>
      <c r="G1026" s="26" t="n"/>
      <c r="H1026" s="38" t="n"/>
      <c r="I1026" s="28" t="n"/>
      <c r="J1026" s="30">
        <f>IF(B1026="","",IFERROR(INDEX('Share classes'!$A$4:$A$203,MATCH(B1026,'Share classes'!$B$4:$B$203,0)),""))</f>
        <v/>
      </c>
      <c r="K1026" s="30">
        <f>IF(A1026="","",IFERROR(INDEX('Holders'!$B$4:$B$1003,MATCH(A1026,'Holders'!$A$4:$A$1003,0)),""))</f>
        <v/>
      </c>
      <c r="L1026" s="30">
        <f>IF(OR(A1026="",B1026="",D1026=""),"",IF(D1026=_xlfn.MAXIFS($D$4:$D$2503,$A$4:$A$2503,A1026,$B$4:$B$2503,B1026),"Yes","No"))</f>
        <v/>
      </c>
      <c r="M1026" s="30">
        <f>IF(B1026="","",IFERROR(INDEX('Share classes'!$F$4:$F$203,MATCH(B1026,'Share classes'!$B$4:$B$203,0)),""))</f>
        <v/>
      </c>
      <c r="N1026" s="30">
        <f>IF(A1026="","",IF(K1026="","Unknown holder ID",IF(J1026="","Unknown class code",IF(OR(C1026="",D1026=""),"Missing shares or date",IF(OR(C1026&lt;0,C1026&lt;&gt;INT(C1026)),"Shares must be a whole number",IF(COUNTIFS($A$4:$A$2503,A1026,$B$4:$B$2503,B1026,$D$4:$D$2503,D1026)&gt;1,"Duplicate row (same date)","OK"))))))</f>
        <v/>
      </c>
    </row>
    <row r="1027">
      <c r="A1027" s="26" t="n"/>
      <c r="B1027" s="26" t="n"/>
      <c r="C1027" s="34" t="n"/>
      <c r="D1027" s="28" t="n"/>
      <c r="E1027" s="26" t="n"/>
      <c r="F1027" s="26" t="n"/>
      <c r="G1027" s="26" t="n"/>
      <c r="H1027" s="38" t="n"/>
      <c r="I1027" s="28" t="n"/>
      <c r="J1027" s="30">
        <f>IF(B1027="","",IFERROR(INDEX('Share classes'!$A$4:$A$203,MATCH(B1027,'Share classes'!$B$4:$B$203,0)),""))</f>
        <v/>
      </c>
      <c r="K1027" s="30">
        <f>IF(A1027="","",IFERROR(INDEX('Holders'!$B$4:$B$1003,MATCH(A1027,'Holders'!$A$4:$A$1003,0)),""))</f>
        <v/>
      </c>
      <c r="L1027" s="30">
        <f>IF(OR(A1027="",B1027="",D1027=""),"",IF(D1027=_xlfn.MAXIFS($D$4:$D$2503,$A$4:$A$2503,A1027,$B$4:$B$2503,B1027),"Yes","No"))</f>
        <v/>
      </c>
      <c r="M1027" s="30">
        <f>IF(B1027="","",IFERROR(INDEX('Share classes'!$F$4:$F$203,MATCH(B1027,'Share classes'!$B$4:$B$203,0)),""))</f>
        <v/>
      </c>
      <c r="N1027" s="30">
        <f>IF(A1027="","",IF(K1027="","Unknown holder ID",IF(J1027="","Unknown class code",IF(OR(C1027="",D1027=""),"Missing shares or date",IF(OR(C1027&lt;0,C1027&lt;&gt;INT(C1027)),"Shares must be a whole number",IF(COUNTIFS($A$4:$A$2503,A1027,$B$4:$B$2503,B1027,$D$4:$D$2503,D1027)&gt;1,"Duplicate row (same date)","OK"))))))</f>
        <v/>
      </c>
    </row>
    <row r="1028">
      <c r="A1028" s="26" t="n"/>
      <c r="B1028" s="26" t="n"/>
      <c r="C1028" s="34" t="n"/>
      <c r="D1028" s="28" t="n"/>
      <c r="E1028" s="26" t="n"/>
      <c r="F1028" s="26" t="n"/>
      <c r="G1028" s="26" t="n"/>
      <c r="H1028" s="38" t="n"/>
      <c r="I1028" s="28" t="n"/>
      <c r="J1028" s="30">
        <f>IF(B1028="","",IFERROR(INDEX('Share classes'!$A$4:$A$203,MATCH(B1028,'Share classes'!$B$4:$B$203,0)),""))</f>
        <v/>
      </c>
      <c r="K1028" s="30">
        <f>IF(A1028="","",IFERROR(INDEX('Holders'!$B$4:$B$1003,MATCH(A1028,'Holders'!$A$4:$A$1003,0)),""))</f>
        <v/>
      </c>
      <c r="L1028" s="30">
        <f>IF(OR(A1028="",B1028="",D1028=""),"",IF(D1028=_xlfn.MAXIFS($D$4:$D$2503,$A$4:$A$2503,A1028,$B$4:$B$2503,B1028),"Yes","No"))</f>
        <v/>
      </c>
      <c r="M1028" s="30">
        <f>IF(B1028="","",IFERROR(INDEX('Share classes'!$F$4:$F$203,MATCH(B1028,'Share classes'!$B$4:$B$203,0)),""))</f>
        <v/>
      </c>
      <c r="N1028" s="30">
        <f>IF(A1028="","",IF(K1028="","Unknown holder ID",IF(J1028="","Unknown class code",IF(OR(C1028="",D1028=""),"Missing shares or date",IF(OR(C1028&lt;0,C1028&lt;&gt;INT(C1028)),"Shares must be a whole number",IF(COUNTIFS($A$4:$A$2503,A1028,$B$4:$B$2503,B1028,$D$4:$D$2503,D1028)&gt;1,"Duplicate row (same date)","OK"))))))</f>
        <v/>
      </c>
    </row>
    <row r="1029">
      <c r="A1029" s="26" t="n"/>
      <c r="B1029" s="26" t="n"/>
      <c r="C1029" s="34" t="n"/>
      <c r="D1029" s="28" t="n"/>
      <c r="E1029" s="26" t="n"/>
      <c r="F1029" s="26" t="n"/>
      <c r="G1029" s="26" t="n"/>
      <c r="H1029" s="38" t="n"/>
      <c r="I1029" s="28" t="n"/>
      <c r="J1029" s="30">
        <f>IF(B1029="","",IFERROR(INDEX('Share classes'!$A$4:$A$203,MATCH(B1029,'Share classes'!$B$4:$B$203,0)),""))</f>
        <v/>
      </c>
      <c r="K1029" s="30">
        <f>IF(A1029="","",IFERROR(INDEX('Holders'!$B$4:$B$1003,MATCH(A1029,'Holders'!$A$4:$A$1003,0)),""))</f>
        <v/>
      </c>
      <c r="L1029" s="30">
        <f>IF(OR(A1029="",B1029="",D1029=""),"",IF(D1029=_xlfn.MAXIFS($D$4:$D$2503,$A$4:$A$2503,A1029,$B$4:$B$2503,B1029),"Yes","No"))</f>
        <v/>
      </c>
      <c r="M1029" s="30">
        <f>IF(B1029="","",IFERROR(INDEX('Share classes'!$F$4:$F$203,MATCH(B1029,'Share classes'!$B$4:$B$203,0)),""))</f>
        <v/>
      </c>
      <c r="N1029" s="30">
        <f>IF(A1029="","",IF(K1029="","Unknown holder ID",IF(J1029="","Unknown class code",IF(OR(C1029="",D1029=""),"Missing shares or date",IF(OR(C1029&lt;0,C1029&lt;&gt;INT(C1029)),"Shares must be a whole number",IF(COUNTIFS($A$4:$A$2503,A1029,$B$4:$B$2503,B1029,$D$4:$D$2503,D1029)&gt;1,"Duplicate row (same date)","OK"))))))</f>
        <v/>
      </c>
    </row>
    <row r="1030">
      <c r="A1030" s="26" t="n"/>
      <c r="B1030" s="26" t="n"/>
      <c r="C1030" s="34" t="n"/>
      <c r="D1030" s="28" t="n"/>
      <c r="E1030" s="26" t="n"/>
      <c r="F1030" s="26" t="n"/>
      <c r="G1030" s="26" t="n"/>
      <c r="H1030" s="38" t="n"/>
      <c r="I1030" s="28" t="n"/>
      <c r="J1030" s="30">
        <f>IF(B1030="","",IFERROR(INDEX('Share classes'!$A$4:$A$203,MATCH(B1030,'Share classes'!$B$4:$B$203,0)),""))</f>
        <v/>
      </c>
      <c r="K1030" s="30">
        <f>IF(A1030="","",IFERROR(INDEX('Holders'!$B$4:$B$1003,MATCH(A1030,'Holders'!$A$4:$A$1003,0)),""))</f>
        <v/>
      </c>
      <c r="L1030" s="30">
        <f>IF(OR(A1030="",B1030="",D1030=""),"",IF(D1030=_xlfn.MAXIFS($D$4:$D$2503,$A$4:$A$2503,A1030,$B$4:$B$2503,B1030),"Yes","No"))</f>
        <v/>
      </c>
      <c r="M1030" s="30">
        <f>IF(B1030="","",IFERROR(INDEX('Share classes'!$F$4:$F$203,MATCH(B1030,'Share classes'!$B$4:$B$203,0)),""))</f>
        <v/>
      </c>
      <c r="N1030" s="30">
        <f>IF(A1030="","",IF(K1030="","Unknown holder ID",IF(J1030="","Unknown class code",IF(OR(C1030="",D1030=""),"Missing shares or date",IF(OR(C1030&lt;0,C1030&lt;&gt;INT(C1030)),"Shares must be a whole number",IF(COUNTIFS($A$4:$A$2503,A1030,$B$4:$B$2503,B1030,$D$4:$D$2503,D1030)&gt;1,"Duplicate row (same date)","OK"))))))</f>
        <v/>
      </c>
    </row>
    <row r="1031">
      <c r="A1031" s="26" t="n"/>
      <c r="B1031" s="26" t="n"/>
      <c r="C1031" s="34" t="n"/>
      <c r="D1031" s="28" t="n"/>
      <c r="E1031" s="26" t="n"/>
      <c r="F1031" s="26" t="n"/>
      <c r="G1031" s="26" t="n"/>
      <c r="H1031" s="38" t="n"/>
      <c r="I1031" s="28" t="n"/>
      <c r="J1031" s="30">
        <f>IF(B1031="","",IFERROR(INDEX('Share classes'!$A$4:$A$203,MATCH(B1031,'Share classes'!$B$4:$B$203,0)),""))</f>
        <v/>
      </c>
      <c r="K1031" s="30">
        <f>IF(A1031="","",IFERROR(INDEX('Holders'!$B$4:$B$1003,MATCH(A1031,'Holders'!$A$4:$A$1003,0)),""))</f>
        <v/>
      </c>
      <c r="L1031" s="30">
        <f>IF(OR(A1031="",B1031="",D1031=""),"",IF(D1031=_xlfn.MAXIFS($D$4:$D$2503,$A$4:$A$2503,A1031,$B$4:$B$2503,B1031),"Yes","No"))</f>
        <v/>
      </c>
      <c r="M1031" s="30">
        <f>IF(B1031="","",IFERROR(INDEX('Share classes'!$F$4:$F$203,MATCH(B1031,'Share classes'!$B$4:$B$203,0)),""))</f>
        <v/>
      </c>
      <c r="N1031" s="30">
        <f>IF(A1031="","",IF(K1031="","Unknown holder ID",IF(J1031="","Unknown class code",IF(OR(C1031="",D1031=""),"Missing shares or date",IF(OR(C1031&lt;0,C1031&lt;&gt;INT(C1031)),"Shares must be a whole number",IF(COUNTIFS($A$4:$A$2503,A1031,$B$4:$B$2503,B1031,$D$4:$D$2503,D1031)&gt;1,"Duplicate row (same date)","OK"))))))</f>
        <v/>
      </c>
    </row>
    <row r="1032">
      <c r="A1032" s="26" t="n"/>
      <c r="B1032" s="26" t="n"/>
      <c r="C1032" s="34" t="n"/>
      <c r="D1032" s="28" t="n"/>
      <c r="E1032" s="26" t="n"/>
      <c r="F1032" s="26" t="n"/>
      <c r="G1032" s="26" t="n"/>
      <c r="H1032" s="38" t="n"/>
      <c r="I1032" s="28" t="n"/>
      <c r="J1032" s="30">
        <f>IF(B1032="","",IFERROR(INDEX('Share classes'!$A$4:$A$203,MATCH(B1032,'Share classes'!$B$4:$B$203,0)),""))</f>
        <v/>
      </c>
      <c r="K1032" s="30">
        <f>IF(A1032="","",IFERROR(INDEX('Holders'!$B$4:$B$1003,MATCH(A1032,'Holders'!$A$4:$A$1003,0)),""))</f>
        <v/>
      </c>
      <c r="L1032" s="30">
        <f>IF(OR(A1032="",B1032="",D1032=""),"",IF(D1032=_xlfn.MAXIFS($D$4:$D$2503,$A$4:$A$2503,A1032,$B$4:$B$2503,B1032),"Yes","No"))</f>
        <v/>
      </c>
      <c r="M1032" s="30">
        <f>IF(B1032="","",IFERROR(INDEX('Share classes'!$F$4:$F$203,MATCH(B1032,'Share classes'!$B$4:$B$203,0)),""))</f>
        <v/>
      </c>
      <c r="N1032" s="30">
        <f>IF(A1032="","",IF(K1032="","Unknown holder ID",IF(J1032="","Unknown class code",IF(OR(C1032="",D1032=""),"Missing shares or date",IF(OR(C1032&lt;0,C1032&lt;&gt;INT(C1032)),"Shares must be a whole number",IF(COUNTIFS($A$4:$A$2503,A1032,$B$4:$B$2503,B1032,$D$4:$D$2503,D1032)&gt;1,"Duplicate row (same date)","OK"))))))</f>
        <v/>
      </c>
    </row>
    <row r="1033">
      <c r="A1033" s="26" t="n"/>
      <c r="B1033" s="26" t="n"/>
      <c r="C1033" s="34" t="n"/>
      <c r="D1033" s="28" t="n"/>
      <c r="E1033" s="26" t="n"/>
      <c r="F1033" s="26" t="n"/>
      <c r="G1033" s="26" t="n"/>
      <c r="H1033" s="38" t="n"/>
      <c r="I1033" s="28" t="n"/>
      <c r="J1033" s="30">
        <f>IF(B1033="","",IFERROR(INDEX('Share classes'!$A$4:$A$203,MATCH(B1033,'Share classes'!$B$4:$B$203,0)),""))</f>
        <v/>
      </c>
      <c r="K1033" s="30">
        <f>IF(A1033="","",IFERROR(INDEX('Holders'!$B$4:$B$1003,MATCH(A1033,'Holders'!$A$4:$A$1003,0)),""))</f>
        <v/>
      </c>
      <c r="L1033" s="30">
        <f>IF(OR(A1033="",B1033="",D1033=""),"",IF(D1033=_xlfn.MAXIFS($D$4:$D$2503,$A$4:$A$2503,A1033,$B$4:$B$2503,B1033),"Yes","No"))</f>
        <v/>
      </c>
      <c r="M1033" s="30">
        <f>IF(B1033="","",IFERROR(INDEX('Share classes'!$F$4:$F$203,MATCH(B1033,'Share classes'!$B$4:$B$203,0)),""))</f>
        <v/>
      </c>
      <c r="N1033" s="30">
        <f>IF(A1033="","",IF(K1033="","Unknown holder ID",IF(J1033="","Unknown class code",IF(OR(C1033="",D1033=""),"Missing shares or date",IF(OR(C1033&lt;0,C1033&lt;&gt;INT(C1033)),"Shares must be a whole number",IF(COUNTIFS($A$4:$A$2503,A1033,$B$4:$B$2503,B1033,$D$4:$D$2503,D1033)&gt;1,"Duplicate row (same date)","OK"))))))</f>
        <v/>
      </c>
    </row>
    <row r="1034">
      <c r="A1034" s="26" t="n"/>
      <c r="B1034" s="26" t="n"/>
      <c r="C1034" s="34" t="n"/>
      <c r="D1034" s="28" t="n"/>
      <c r="E1034" s="26" t="n"/>
      <c r="F1034" s="26" t="n"/>
      <c r="G1034" s="26" t="n"/>
      <c r="H1034" s="38" t="n"/>
      <c r="I1034" s="28" t="n"/>
      <c r="J1034" s="30">
        <f>IF(B1034="","",IFERROR(INDEX('Share classes'!$A$4:$A$203,MATCH(B1034,'Share classes'!$B$4:$B$203,0)),""))</f>
        <v/>
      </c>
      <c r="K1034" s="30">
        <f>IF(A1034="","",IFERROR(INDEX('Holders'!$B$4:$B$1003,MATCH(A1034,'Holders'!$A$4:$A$1003,0)),""))</f>
        <v/>
      </c>
      <c r="L1034" s="30">
        <f>IF(OR(A1034="",B1034="",D1034=""),"",IF(D1034=_xlfn.MAXIFS($D$4:$D$2503,$A$4:$A$2503,A1034,$B$4:$B$2503,B1034),"Yes","No"))</f>
        <v/>
      </c>
      <c r="M1034" s="30">
        <f>IF(B1034="","",IFERROR(INDEX('Share classes'!$F$4:$F$203,MATCH(B1034,'Share classes'!$B$4:$B$203,0)),""))</f>
        <v/>
      </c>
      <c r="N1034" s="30">
        <f>IF(A1034="","",IF(K1034="","Unknown holder ID",IF(J1034="","Unknown class code",IF(OR(C1034="",D1034=""),"Missing shares or date",IF(OR(C1034&lt;0,C1034&lt;&gt;INT(C1034)),"Shares must be a whole number",IF(COUNTIFS($A$4:$A$2503,A1034,$B$4:$B$2503,B1034,$D$4:$D$2503,D1034)&gt;1,"Duplicate row (same date)","OK"))))))</f>
        <v/>
      </c>
    </row>
    <row r="1035">
      <c r="A1035" s="26" t="n"/>
      <c r="B1035" s="26" t="n"/>
      <c r="C1035" s="34" t="n"/>
      <c r="D1035" s="28" t="n"/>
      <c r="E1035" s="26" t="n"/>
      <c r="F1035" s="26" t="n"/>
      <c r="G1035" s="26" t="n"/>
      <c r="H1035" s="38" t="n"/>
      <c r="I1035" s="28" t="n"/>
      <c r="J1035" s="30">
        <f>IF(B1035="","",IFERROR(INDEX('Share classes'!$A$4:$A$203,MATCH(B1035,'Share classes'!$B$4:$B$203,0)),""))</f>
        <v/>
      </c>
      <c r="K1035" s="30">
        <f>IF(A1035="","",IFERROR(INDEX('Holders'!$B$4:$B$1003,MATCH(A1035,'Holders'!$A$4:$A$1003,0)),""))</f>
        <v/>
      </c>
      <c r="L1035" s="30">
        <f>IF(OR(A1035="",B1035="",D1035=""),"",IF(D1035=_xlfn.MAXIFS($D$4:$D$2503,$A$4:$A$2503,A1035,$B$4:$B$2503,B1035),"Yes","No"))</f>
        <v/>
      </c>
      <c r="M1035" s="30">
        <f>IF(B1035="","",IFERROR(INDEX('Share classes'!$F$4:$F$203,MATCH(B1035,'Share classes'!$B$4:$B$203,0)),""))</f>
        <v/>
      </c>
      <c r="N1035" s="30">
        <f>IF(A1035="","",IF(K1035="","Unknown holder ID",IF(J1035="","Unknown class code",IF(OR(C1035="",D1035=""),"Missing shares or date",IF(OR(C1035&lt;0,C1035&lt;&gt;INT(C1035)),"Shares must be a whole number",IF(COUNTIFS($A$4:$A$2503,A1035,$B$4:$B$2503,B1035,$D$4:$D$2503,D1035)&gt;1,"Duplicate row (same date)","OK"))))))</f>
        <v/>
      </c>
    </row>
    <row r="1036">
      <c r="A1036" s="26" t="n"/>
      <c r="B1036" s="26" t="n"/>
      <c r="C1036" s="34" t="n"/>
      <c r="D1036" s="28" t="n"/>
      <c r="E1036" s="26" t="n"/>
      <c r="F1036" s="26" t="n"/>
      <c r="G1036" s="26" t="n"/>
      <c r="H1036" s="38" t="n"/>
      <c r="I1036" s="28" t="n"/>
      <c r="J1036" s="30">
        <f>IF(B1036="","",IFERROR(INDEX('Share classes'!$A$4:$A$203,MATCH(B1036,'Share classes'!$B$4:$B$203,0)),""))</f>
        <v/>
      </c>
      <c r="K1036" s="30">
        <f>IF(A1036="","",IFERROR(INDEX('Holders'!$B$4:$B$1003,MATCH(A1036,'Holders'!$A$4:$A$1003,0)),""))</f>
        <v/>
      </c>
      <c r="L1036" s="30">
        <f>IF(OR(A1036="",B1036="",D1036=""),"",IF(D1036=_xlfn.MAXIFS($D$4:$D$2503,$A$4:$A$2503,A1036,$B$4:$B$2503,B1036),"Yes","No"))</f>
        <v/>
      </c>
      <c r="M1036" s="30">
        <f>IF(B1036="","",IFERROR(INDEX('Share classes'!$F$4:$F$203,MATCH(B1036,'Share classes'!$B$4:$B$203,0)),""))</f>
        <v/>
      </c>
      <c r="N1036" s="30">
        <f>IF(A1036="","",IF(K1036="","Unknown holder ID",IF(J1036="","Unknown class code",IF(OR(C1036="",D1036=""),"Missing shares or date",IF(OR(C1036&lt;0,C1036&lt;&gt;INT(C1036)),"Shares must be a whole number",IF(COUNTIFS($A$4:$A$2503,A1036,$B$4:$B$2503,B1036,$D$4:$D$2503,D1036)&gt;1,"Duplicate row (same date)","OK"))))))</f>
        <v/>
      </c>
    </row>
    <row r="1037">
      <c r="A1037" s="26" t="n"/>
      <c r="B1037" s="26" t="n"/>
      <c r="C1037" s="34" t="n"/>
      <c r="D1037" s="28" t="n"/>
      <c r="E1037" s="26" t="n"/>
      <c r="F1037" s="26" t="n"/>
      <c r="G1037" s="26" t="n"/>
      <c r="H1037" s="38" t="n"/>
      <c r="I1037" s="28" t="n"/>
      <c r="J1037" s="30">
        <f>IF(B1037="","",IFERROR(INDEX('Share classes'!$A$4:$A$203,MATCH(B1037,'Share classes'!$B$4:$B$203,0)),""))</f>
        <v/>
      </c>
      <c r="K1037" s="30">
        <f>IF(A1037="","",IFERROR(INDEX('Holders'!$B$4:$B$1003,MATCH(A1037,'Holders'!$A$4:$A$1003,0)),""))</f>
        <v/>
      </c>
      <c r="L1037" s="30">
        <f>IF(OR(A1037="",B1037="",D1037=""),"",IF(D1037=_xlfn.MAXIFS($D$4:$D$2503,$A$4:$A$2503,A1037,$B$4:$B$2503,B1037),"Yes","No"))</f>
        <v/>
      </c>
      <c r="M1037" s="30">
        <f>IF(B1037="","",IFERROR(INDEX('Share classes'!$F$4:$F$203,MATCH(B1037,'Share classes'!$B$4:$B$203,0)),""))</f>
        <v/>
      </c>
      <c r="N1037" s="30">
        <f>IF(A1037="","",IF(K1037="","Unknown holder ID",IF(J1037="","Unknown class code",IF(OR(C1037="",D1037=""),"Missing shares or date",IF(OR(C1037&lt;0,C1037&lt;&gt;INT(C1037)),"Shares must be a whole number",IF(COUNTIFS($A$4:$A$2503,A1037,$B$4:$B$2503,B1037,$D$4:$D$2503,D1037)&gt;1,"Duplicate row (same date)","OK"))))))</f>
        <v/>
      </c>
    </row>
    <row r="1038">
      <c r="A1038" s="26" t="n"/>
      <c r="B1038" s="26" t="n"/>
      <c r="C1038" s="34" t="n"/>
      <c r="D1038" s="28" t="n"/>
      <c r="E1038" s="26" t="n"/>
      <c r="F1038" s="26" t="n"/>
      <c r="G1038" s="26" t="n"/>
      <c r="H1038" s="38" t="n"/>
      <c r="I1038" s="28" t="n"/>
      <c r="J1038" s="30">
        <f>IF(B1038="","",IFERROR(INDEX('Share classes'!$A$4:$A$203,MATCH(B1038,'Share classes'!$B$4:$B$203,0)),""))</f>
        <v/>
      </c>
      <c r="K1038" s="30">
        <f>IF(A1038="","",IFERROR(INDEX('Holders'!$B$4:$B$1003,MATCH(A1038,'Holders'!$A$4:$A$1003,0)),""))</f>
        <v/>
      </c>
      <c r="L1038" s="30">
        <f>IF(OR(A1038="",B1038="",D1038=""),"",IF(D1038=_xlfn.MAXIFS($D$4:$D$2503,$A$4:$A$2503,A1038,$B$4:$B$2503,B1038),"Yes","No"))</f>
        <v/>
      </c>
      <c r="M1038" s="30">
        <f>IF(B1038="","",IFERROR(INDEX('Share classes'!$F$4:$F$203,MATCH(B1038,'Share classes'!$B$4:$B$203,0)),""))</f>
        <v/>
      </c>
      <c r="N1038" s="30">
        <f>IF(A1038="","",IF(K1038="","Unknown holder ID",IF(J1038="","Unknown class code",IF(OR(C1038="",D1038=""),"Missing shares or date",IF(OR(C1038&lt;0,C1038&lt;&gt;INT(C1038)),"Shares must be a whole number",IF(COUNTIFS($A$4:$A$2503,A1038,$B$4:$B$2503,B1038,$D$4:$D$2503,D1038)&gt;1,"Duplicate row (same date)","OK"))))))</f>
        <v/>
      </c>
    </row>
    <row r="1039">
      <c r="A1039" s="26" t="n"/>
      <c r="B1039" s="26" t="n"/>
      <c r="C1039" s="34" t="n"/>
      <c r="D1039" s="28" t="n"/>
      <c r="E1039" s="26" t="n"/>
      <c r="F1039" s="26" t="n"/>
      <c r="G1039" s="26" t="n"/>
      <c r="H1039" s="38" t="n"/>
      <c r="I1039" s="28" t="n"/>
      <c r="J1039" s="30">
        <f>IF(B1039="","",IFERROR(INDEX('Share classes'!$A$4:$A$203,MATCH(B1039,'Share classes'!$B$4:$B$203,0)),""))</f>
        <v/>
      </c>
      <c r="K1039" s="30">
        <f>IF(A1039="","",IFERROR(INDEX('Holders'!$B$4:$B$1003,MATCH(A1039,'Holders'!$A$4:$A$1003,0)),""))</f>
        <v/>
      </c>
      <c r="L1039" s="30">
        <f>IF(OR(A1039="",B1039="",D1039=""),"",IF(D1039=_xlfn.MAXIFS($D$4:$D$2503,$A$4:$A$2503,A1039,$B$4:$B$2503,B1039),"Yes","No"))</f>
        <v/>
      </c>
      <c r="M1039" s="30">
        <f>IF(B1039="","",IFERROR(INDEX('Share classes'!$F$4:$F$203,MATCH(B1039,'Share classes'!$B$4:$B$203,0)),""))</f>
        <v/>
      </c>
      <c r="N1039" s="30">
        <f>IF(A1039="","",IF(K1039="","Unknown holder ID",IF(J1039="","Unknown class code",IF(OR(C1039="",D1039=""),"Missing shares or date",IF(OR(C1039&lt;0,C1039&lt;&gt;INT(C1039)),"Shares must be a whole number",IF(COUNTIFS($A$4:$A$2503,A1039,$B$4:$B$2503,B1039,$D$4:$D$2503,D1039)&gt;1,"Duplicate row (same date)","OK"))))))</f>
        <v/>
      </c>
    </row>
    <row r="1040">
      <c r="A1040" s="26" t="n"/>
      <c r="B1040" s="26" t="n"/>
      <c r="C1040" s="34" t="n"/>
      <c r="D1040" s="28" t="n"/>
      <c r="E1040" s="26" t="n"/>
      <c r="F1040" s="26" t="n"/>
      <c r="G1040" s="26" t="n"/>
      <c r="H1040" s="38" t="n"/>
      <c r="I1040" s="28" t="n"/>
      <c r="J1040" s="30">
        <f>IF(B1040="","",IFERROR(INDEX('Share classes'!$A$4:$A$203,MATCH(B1040,'Share classes'!$B$4:$B$203,0)),""))</f>
        <v/>
      </c>
      <c r="K1040" s="30">
        <f>IF(A1040="","",IFERROR(INDEX('Holders'!$B$4:$B$1003,MATCH(A1040,'Holders'!$A$4:$A$1003,0)),""))</f>
        <v/>
      </c>
      <c r="L1040" s="30">
        <f>IF(OR(A1040="",B1040="",D1040=""),"",IF(D1040=_xlfn.MAXIFS($D$4:$D$2503,$A$4:$A$2503,A1040,$B$4:$B$2503,B1040),"Yes","No"))</f>
        <v/>
      </c>
      <c r="M1040" s="30">
        <f>IF(B1040="","",IFERROR(INDEX('Share classes'!$F$4:$F$203,MATCH(B1040,'Share classes'!$B$4:$B$203,0)),""))</f>
        <v/>
      </c>
      <c r="N1040" s="30">
        <f>IF(A1040="","",IF(K1040="","Unknown holder ID",IF(J1040="","Unknown class code",IF(OR(C1040="",D1040=""),"Missing shares or date",IF(OR(C1040&lt;0,C1040&lt;&gt;INT(C1040)),"Shares must be a whole number",IF(COUNTIFS($A$4:$A$2503,A1040,$B$4:$B$2503,B1040,$D$4:$D$2503,D1040)&gt;1,"Duplicate row (same date)","OK"))))))</f>
        <v/>
      </c>
    </row>
    <row r="1041">
      <c r="A1041" s="26" t="n"/>
      <c r="B1041" s="26" t="n"/>
      <c r="C1041" s="34" t="n"/>
      <c r="D1041" s="28" t="n"/>
      <c r="E1041" s="26" t="n"/>
      <c r="F1041" s="26" t="n"/>
      <c r="G1041" s="26" t="n"/>
      <c r="H1041" s="38" t="n"/>
      <c r="I1041" s="28" t="n"/>
      <c r="J1041" s="30">
        <f>IF(B1041="","",IFERROR(INDEX('Share classes'!$A$4:$A$203,MATCH(B1041,'Share classes'!$B$4:$B$203,0)),""))</f>
        <v/>
      </c>
      <c r="K1041" s="30">
        <f>IF(A1041="","",IFERROR(INDEX('Holders'!$B$4:$B$1003,MATCH(A1041,'Holders'!$A$4:$A$1003,0)),""))</f>
        <v/>
      </c>
      <c r="L1041" s="30">
        <f>IF(OR(A1041="",B1041="",D1041=""),"",IF(D1041=_xlfn.MAXIFS($D$4:$D$2503,$A$4:$A$2503,A1041,$B$4:$B$2503,B1041),"Yes","No"))</f>
        <v/>
      </c>
      <c r="M1041" s="30">
        <f>IF(B1041="","",IFERROR(INDEX('Share classes'!$F$4:$F$203,MATCH(B1041,'Share classes'!$B$4:$B$203,0)),""))</f>
        <v/>
      </c>
      <c r="N1041" s="30">
        <f>IF(A1041="","",IF(K1041="","Unknown holder ID",IF(J1041="","Unknown class code",IF(OR(C1041="",D1041=""),"Missing shares or date",IF(OR(C1041&lt;0,C1041&lt;&gt;INT(C1041)),"Shares must be a whole number",IF(COUNTIFS($A$4:$A$2503,A1041,$B$4:$B$2503,B1041,$D$4:$D$2503,D1041)&gt;1,"Duplicate row (same date)","OK"))))))</f>
        <v/>
      </c>
    </row>
    <row r="1042">
      <c r="A1042" s="26" t="n"/>
      <c r="B1042" s="26" t="n"/>
      <c r="C1042" s="34" t="n"/>
      <c r="D1042" s="28" t="n"/>
      <c r="E1042" s="26" t="n"/>
      <c r="F1042" s="26" t="n"/>
      <c r="G1042" s="26" t="n"/>
      <c r="H1042" s="38" t="n"/>
      <c r="I1042" s="28" t="n"/>
      <c r="J1042" s="30">
        <f>IF(B1042="","",IFERROR(INDEX('Share classes'!$A$4:$A$203,MATCH(B1042,'Share classes'!$B$4:$B$203,0)),""))</f>
        <v/>
      </c>
      <c r="K1042" s="30">
        <f>IF(A1042="","",IFERROR(INDEX('Holders'!$B$4:$B$1003,MATCH(A1042,'Holders'!$A$4:$A$1003,0)),""))</f>
        <v/>
      </c>
      <c r="L1042" s="30">
        <f>IF(OR(A1042="",B1042="",D1042=""),"",IF(D1042=_xlfn.MAXIFS($D$4:$D$2503,$A$4:$A$2503,A1042,$B$4:$B$2503,B1042),"Yes","No"))</f>
        <v/>
      </c>
      <c r="M1042" s="30">
        <f>IF(B1042="","",IFERROR(INDEX('Share classes'!$F$4:$F$203,MATCH(B1042,'Share classes'!$B$4:$B$203,0)),""))</f>
        <v/>
      </c>
      <c r="N1042" s="30">
        <f>IF(A1042="","",IF(K1042="","Unknown holder ID",IF(J1042="","Unknown class code",IF(OR(C1042="",D1042=""),"Missing shares or date",IF(OR(C1042&lt;0,C1042&lt;&gt;INT(C1042)),"Shares must be a whole number",IF(COUNTIFS($A$4:$A$2503,A1042,$B$4:$B$2503,B1042,$D$4:$D$2503,D1042)&gt;1,"Duplicate row (same date)","OK"))))))</f>
        <v/>
      </c>
    </row>
    <row r="1043">
      <c r="A1043" s="26" t="n"/>
      <c r="B1043" s="26" t="n"/>
      <c r="C1043" s="34" t="n"/>
      <c r="D1043" s="28" t="n"/>
      <c r="E1043" s="26" t="n"/>
      <c r="F1043" s="26" t="n"/>
      <c r="G1043" s="26" t="n"/>
      <c r="H1043" s="38" t="n"/>
      <c r="I1043" s="28" t="n"/>
      <c r="J1043" s="30">
        <f>IF(B1043="","",IFERROR(INDEX('Share classes'!$A$4:$A$203,MATCH(B1043,'Share classes'!$B$4:$B$203,0)),""))</f>
        <v/>
      </c>
      <c r="K1043" s="30">
        <f>IF(A1043="","",IFERROR(INDEX('Holders'!$B$4:$B$1003,MATCH(A1043,'Holders'!$A$4:$A$1003,0)),""))</f>
        <v/>
      </c>
      <c r="L1043" s="30">
        <f>IF(OR(A1043="",B1043="",D1043=""),"",IF(D1043=_xlfn.MAXIFS($D$4:$D$2503,$A$4:$A$2503,A1043,$B$4:$B$2503,B1043),"Yes","No"))</f>
        <v/>
      </c>
      <c r="M1043" s="30">
        <f>IF(B1043="","",IFERROR(INDEX('Share classes'!$F$4:$F$203,MATCH(B1043,'Share classes'!$B$4:$B$203,0)),""))</f>
        <v/>
      </c>
      <c r="N1043" s="30">
        <f>IF(A1043="","",IF(K1043="","Unknown holder ID",IF(J1043="","Unknown class code",IF(OR(C1043="",D1043=""),"Missing shares or date",IF(OR(C1043&lt;0,C1043&lt;&gt;INT(C1043)),"Shares must be a whole number",IF(COUNTIFS($A$4:$A$2503,A1043,$B$4:$B$2503,B1043,$D$4:$D$2503,D1043)&gt;1,"Duplicate row (same date)","OK"))))))</f>
        <v/>
      </c>
    </row>
    <row r="1044">
      <c r="A1044" s="26" t="n"/>
      <c r="B1044" s="26" t="n"/>
      <c r="C1044" s="34" t="n"/>
      <c r="D1044" s="28" t="n"/>
      <c r="E1044" s="26" t="n"/>
      <c r="F1044" s="26" t="n"/>
      <c r="G1044" s="26" t="n"/>
      <c r="H1044" s="38" t="n"/>
      <c r="I1044" s="28" t="n"/>
      <c r="J1044" s="30">
        <f>IF(B1044="","",IFERROR(INDEX('Share classes'!$A$4:$A$203,MATCH(B1044,'Share classes'!$B$4:$B$203,0)),""))</f>
        <v/>
      </c>
      <c r="K1044" s="30">
        <f>IF(A1044="","",IFERROR(INDEX('Holders'!$B$4:$B$1003,MATCH(A1044,'Holders'!$A$4:$A$1003,0)),""))</f>
        <v/>
      </c>
      <c r="L1044" s="30">
        <f>IF(OR(A1044="",B1044="",D1044=""),"",IF(D1044=_xlfn.MAXIFS($D$4:$D$2503,$A$4:$A$2503,A1044,$B$4:$B$2503,B1044),"Yes","No"))</f>
        <v/>
      </c>
      <c r="M1044" s="30">
        <f>IF(B1044="","",IFERROR(INDEX('Share classes'!$F$4:$F$203,MATCH(B1044,'Share classes'!$B$4:$B$203,0)),""))</f>
        <v/>
      </c>
      <c r="N1044" s="30">
        <f>IF(A1044="","",IF(K1044="","Unknown holder ID",IF(J1044="","Unknown class code",IF(OR(C1044="",D1044=""),"Missing shares or date",IF(OR(C1044&lt;0,C1044&lt;&gt;INT(C1044)),"Shares must be a whole number",IF(COUNTIFS($A$4:$A$2503,A1044,$B$4:$B$2503,B1044,$D$4:$D$2503,D1044)&gt;1,"Duplicate row (same date)","OK"))))))</f>
        <v/>
      </c>
    </row>
    <row r="1045">
      <c r="A1045" s="26" t="n"/>
      <c r="B1045" s="26" t="n"/>
      <c r="C1045" s="34" t="n"/>
      <c r="D1045" s="28" t="n"/>
      <c r="E1045" s="26" t="n"/>
      <c r="F1045" s="26" t="n"/>
      <c r="G1045" s="26" t="n"/>
      <c r="H1045" s="38" t="n"/>
      <c r="I1045" s="28" t="n"/>
      <c r="J1045" s="30">
        <f>IF(B1045="","",IFERROR(INDEX('Share classes'!$A$4:$A$203,MATCH(B1045,'Share classes'!$B$4:$B$203,0)),""))</f>
        <v/>
      </c>
      <c r="K1045" s="30">
        <f>IF(A1045="","",IFERROR(INDEX('Holders'!$B$4:$B$1003,MATCH(A1045,'Holders'!$A$4:$A$1003,0)),""))</f>
        <v/>
      </c>
      <c r="L1045" s="30">
        <f>IF(OR(A1045="",B1045="",D1045=""),"",IF(D1045=_xlfn.MAXIFS($D$4:$D$2503,$A$4:$A$2503,A1045,$B$4:$B$2503,B1045),"Yes","No"))</f>
        <v/>
      </c>
      <c r="M1045" s="30">
        <f>IF(B1045="","",IFERROR(INDEX('Share classes'!$F$4:$F$203,MATCH(B1045,'Share classes'!$B$4:$B$203,0)),""))</f>
        <v/>
      </c>
      <c r="N1045" s="30">
        <f>IF(A1045="","",IF(K1045="","Unknown holder ID",IF(J1045="","Unknown class code",IF(OR(C1045="",D1045=""),"Missing shares or date",IF(OR(C1045&lt;0,C1045&lt;&gt;INT(C1045)),"Shares must be a whole number",IF(COUNTIFS($A$4:$A$2503,A1045,$B$4:$B$2503,B1045,$D$4:$D$2503,D1045)&gt;1,"Duplicate row (same date)","OK"))))))</f>
        <v/>
      </c>
    </row>
    <row r="1046">
      <c r="A1046" s="26" t="n"/>
      <c r="B1046" s="26" t="n"/>
      <c r="C1046" s="34" t="n"/>
      <c r="D1046" s="28" t="n"/>
      <c r="E1046" s="26" t="n"/>
      <c r="F1046" s="26" t="n"/>
      <c r="G1046" s="26" t="n"/>
      <c r="H1046" s="38" t="n"/>
      <c r="I1046" s="28" t="n"/>
      <c r="J1046" s="30">
        <f>IF(B1046="","",IFERROR(INDEX('Share classes'!$A$4:$A$203,MATCH(B1046,'Share classes'!$B$4:$B$203,0)),""))</f>
        <v/>
      </c>
      <c r="K1046" s="30">
        <f>IF(A1046="","",IFERROR(INDEX('Holders'!$B$4:$B$1003,MATCH(A1046,'Holders'!$A$4:$A$1003,0)),""))</f>
        <v/>
      </c>
      <c r="L1046" s="30">
        <f>IF(OR(A1046="",B1046="",D1046=""),"",IF(D1046=_xlfn.MAXIFS($D$4:$D$2503,$A$4:$A$2503,A1046,$B$4:$B$2503,B1046),"Yes","No"))</f>
        <v/>
      </c>
      <c r="M1046" s="30">
        <f>IF(B1046="","",IFERROR(INDEX('Share classes'!$F$4:$F$203,MATCH(B1046,'Share classes'!$B$4:$B$203,0)),""))</f>
        <v/>
      </c>
      <c r="N1046" s="30">
        <f>IF(A1046="","",IF(K1046="","Unknown holder ID",IF(J1046="","Unknown class code",IF(OR(C1046="",D1046=""),"Missing shares or date",IF(OR(C1046&lt;0,C1046&lt;&gt;INT(C1046)),"Shares must be a whole number",IF(COUNTIFS($A$4:$A$2503,A1046,$B$4:$B$2503,B1046,$D$4:$D$2503,D1046)&gt;1,"Duplicate row (same date)","OK"))))))</f>
        <v/>
      </c>
    </row>
    <row r="1047">
      <c r="A1047" s="26" t="n"/>
      <c r="B1047" s="26" t="n"/>
      <c r="C1047" s="34" t="n"/>
      <c r="D1047" s="28" t="n"/>
      <c r="E1047" s="26" t="n"/>
      <c r="F1047" s="26" t="n"/>
      <c r="G1047" s="26" t="n"/>
      <c r="H1047" s="38" t="n"/>
      <c r="I1047" s="28" t="n"/>
      <c r="J1047" s="30">
        <f>IF(B1047="","",IFERROR(INDEX('Share classes'!$A$4:$A$203,MATCH(B1047,'Share classes'!$B$4:$B$203,0)),""))</f>
        <v/>
      </c>
      <c r="K1047" s="30">
        <f>IF(A1047="","",IFERROR(INDEX('Holders'!$B$4:$B$1003,MATCH(A1047,'Holders'!$A$4:$A$1003,0)),""))</f>
        <v/>
      </c>
      <c r="L1047" s="30">
        <f>IF(OR(A1047="",B1047="",D1047=""),"",IF(D1047=_xlfn.MAXIFS($D$4:$D$2503,$A$4:$A$2503,A1047,$B$4:$B$2503,B1047),"Yes","No"))</f>
        <v/>
      </c>
      <c r="M1047" s="30">
        <f>IF(B1047="","",IFERROR(INDEX('Share classes'!$F$4:$F$203,MATCH(B1047,'Share classes'!$B$4:$B$203,0)),""))</f>
        <v/>
      </c>
      <c r="N1047" s="30">
        <f>IF(A1047="","",IF(K1047="","Unknown holder ID",IF(J1047="","Unknown class code",IF(OR(C1047="",D1047=""),"Missing shares or date",IF(OR(C1047&lt;0,C1047&lt;&gt;INT(C1047)),"Shares must be a whole number",IF(COUNTIFS($A$4:$A$2503,A1047,$B$4:$B$2503,B1047,$D$4:$D$2503,D1047)&gt;1,"Duplicate row (same date)","OK"))))))</f>
        <v/>
      </c>
    </row>
    <row r="1048">
      <c r="A1048" s="26" t="n"/>
      <c r="B1048" s="26" t="n"/>
      <c r="C1048" s="34" t="n"/>
      <c r="D1048" s="28" t="n"/>
      <c r="E1048" s="26" t="n"/>
      <c r="F1048" s="26" t="n"/>
      <c r="G1048" s="26" t="n"/>
      <c r="H1048" s="38" t="n"/>
      <c r="I1048" s="28" t="n"/>
      <c r="J1048" s="30">
        <f>IF(B1048="","",IFERROR(INDEX('Share classes'!$A$4:$A$203,MATCH(B1048,'Share classes'!$B$4:$B$203,0)),""))</f>
        <v/>
      </c>
      <c r="K1048" s="30">
        <f>IF(A1048="","",IFERROR(INDEX('Holders'!$B$4:$B$1003,MATCH(A1048,'Holders'!$A$4:$A$1003,0)),""))</f>
        <v/>
      </c>
      <c r="L1048" s="30">
        <f>IF(OR(A1048="",B1048="",D1048=""),"",IF(D1048=_xlfn.MAXIFS($D$4:$D$2503,$A$4:$A$2503,A1048,$B$4:$B$2503,B1048),"Yes","No"))</f>
        <v/>
      </c>
      <c r="M1048" s="30">
        <f>IF(B1048="","",IFERROR(INDEX('Share classes'!$F$4:$F$203,MATCH(B1048,'Share classes'!$B$4:$B$203,0)),""))</f>
        <v/>
      </c>
      <c r="N1048" s="30">
        <f>IF(A1048="","",IF(K1048="","Unknown holder ID",IF(J1048="","Unknown class code",IF(OR(C1048="",D1048=""),"Missing shares or date",IF(OR(C1048&lt;0,C1048&lt;&gt;INT(C1048)),"Shares must be a whole number",IF(COUNTIFS($A$4:$A$2503,A1048,$B$4:$B$2503,B1048,$D$4:$D$2503,D1048)&gt;1,"Duplicate row (same date)","OK"))))))</f>
        <v/>
      </c>
    </row>
    <row r="1049">
      <c r="A1049" s="26" t="n"/>
      <c r="B1049" s="26" t="n"/>
      <c r="C1049" s="34" t="n"/>
      <c r="D1049" s="28" t="n"/>
      <c r="E1049" s="26" t="n"/>
      <c r="F1049" s="26" t="n"/>
      <c r="G1049" s="26" t="n"/>
      <c r="H1049" s="38" t="n"/>
      <c r="I1049" s="28" t="n"/>
      <c r="J1049" s="30">
        <f>IF(B1049="","",IFERROR(INDEX('Share classes'!$A$4:$A$203,MATCH(B1049,'Share classes'!$B$4:$B$203,0)),""))</f>
        <v/>
      </c>
      <c r="K1049" s="30">
        <f>IF(A1049="","",IFERROR(INDEX('Holders'!$B$4:$B$1003,MATCH(A1049,'Holders'!$A$4:$A$1003,0)),""))</f>
        <v/>
      </c>
      <c r="L1049" s="30">
        <f>IF(OR(A1049="",B1049="",D1049=""),"",IF(D1049=_xlfn.MAXIFS($D$4:$D$2503,$A$4:$A$2503,A1049,$B$4:$B$2503,B1049),"Yes","No"))</f>
        <v/>
      </c>
      <c r="M1049" s="30">
        <f>IF(B1049="","",IFERROR(INDEX('Share classes'!$F$4:$F$203,MATCH(B1049,'Share classes'!$B$4:$B$203,0)),""))</f>
        <v/>
      </c>
      <c r="N1049" s="30">
        <f>IF(A1049="","",IF(K1049="","Unknown holder ID",IF(J1049="","Unknown class code",IF(OR(C1049="",D1049=""),"Missing shares or date",IF(OR(C1049&lt;0,C1049&lt;&gt;INT(C1049)),"Shares must be a whole number",IF(COUNTIFS($A$4:$A$2503,A1049,$B$4:$B$2503,B1049,$D$4:$D$2503,D1049)&gt;1,"Duplicate row (same date)","OK"))))))</f>
        <v/>
      </c>
    </row>
    <row r="1050">
      <c r="A1050" s="26" t="n"/>
      <c r="B1050" s="26" t="n"/>
      <c r="C1050" s="34" t="n"/>
      <c r="D1050" s="28" t="n"/>
      <c r="E1050" s="26" t="n"/>
      <c r="F1050" s="26" t="n"/>
      <c r="G1050" s="26" t="n"/>
      <c r="H1050" s="38" t="n"/>
      <c r="I1050" s="28" t="n"/>
      <c r="J1050" s="30">
        <f>IF(B1050="","",IFERROR(INDEX('Share classes'!$A$4:$A$203,MATCH(B1050,'Share classes'!$B$4:$B$203,0)),""))</f>
        <v/>
      </c>
      <c r="K1050" s="30">
        <f>IF(A1050="","",IFERROR(INDEX('Holders'!$B$4:$B$1003,MATCH(A1050,'Holders'!$A$4:$A$1003,0)),""))</f>
        <v/>
      </c>
      <c r="L1050" s="30">
        <f>IF(OR(A1050="",B1050="",D1050=""),"",IF(D1050=_xlfn.MAXIFS($D$4:$D$2503,$A$4:$A$2503,A1050,$B$4:$B$2503,B1050),"Yes","No"))</f>
        <v/>
      </c>
      <c r="M1050" s="30">
        <f>IF(B1050="","",IFERROR(INDEX('Share classes'!$F$4:$F$203,MATCH(B1050,'Share classes'!$B$4:$B$203,0)),""))</f>
        <v/>
      </c>
      <c r="N1050" s="30">
        <f>IF(A1050="","",IF(K1050="","Unknown holder ID",IF(J1050="","Unknown class code",IF(OR(C1050="",D1050=""),"Missing shares or date",IF(OR(C1050&lt;0,C1050&lt;&gt;INT(C1050)),"Shares must be a whole number",IF(COUNTIFS($A$4:$A$2503,A1050,$B$4:$B$2503,B1050,$D$4:$D$2503,D1050)&gt;1,"Duplicate row (same date)","OK"))))))</f>
        <v/>
      </c>
    </row>
    <row r="1051">
      <c r="A1051" s="26" t="n"/>
      <c r="B1051" s="26" t="n"/>
      <c r="C1051" s="34" t="n"/>
      <c r="D1051" s="28" t="n"/>
      <c r="E1051" s="26" t="n"/>
      <c r="F1051" s="26" t="n"/>
      <c r="G1051" s="26" t="n"/>
      <c r="H1051" s="38" t="n"/>
      <c r="I1051" s="28" t="n"/>
      <c r="J1051" s="30">
        <f>IF(B1051="","",IFERROR(INDEX('Share classes'!$A$4:$A$203,MATCH(B1051,'Share classes'!$B$4:$B$203,0)),""))</f>
        <v/>
      </c>
      <c r="K1051" s="30">
        <f>IF(A1051="","",IFERROR(INDEX('Holders'!$B$4:$B$1003,MATCH(A1051,'Holders'!$A$4:$A$1003,0)),""))</f>
        <v/>
      </c>
      <c r="L1051" s="30">
        <f>IF(OR(A1051="",B1051="",D1051=""),"",IF(D1051=_xlfn.MAXIFS($D$4:$D$2503,$A$4:$A$2503,A1051,$B$4:$B$2503,B1051),"Yes","No"))</f>
        <v/>
      </c>
      <c r="M1051" s="30">
        <f>IF(B1051="","",IFERROR(INDEX('Share classes'!$F$4:$F$203,MATCH(B1051,'Share classes'!$B$4:$B$203,0)),""))</f>
        <v/>
      </c>
      <c r="N1051" s="30">
        <f>IF(A1051="","",IF(K1051="","Unknown holder ID",IF(J1051="","Unknown class code",IF(OR(C1051="",D1051=""),"Missing shares or date",IF(OR(C1051&lt;0,C1051&lt;&gt;INT(C1051)),"Shares must be a whole number",IF(COUNTIFS($A$4:$A$2503,A1051,$B$4:$B$2503,B1051,$D$4:$D$2503,D1051)&gt;1,"Duplicate row (same date)","OK"))))))</f>
        <v/>
      </c>
    </row>
    <row r="1052">
      <c r="A1052" s="26" t="n"/>
      <c r="B1052" s="26" t="n"/>
      <c r="C1052" s="34" t="n"/>
      <c r="D1052" s="28" t="n"/>
      <c r="E1052" s="26" t="n"/>
      <c r="F1052" s="26" t="n"/>
      <c r="G1052" s="26" t="n"/>
      <c r="H1052" s="38" t="n"/>
      <c r="I1052" s="28" t="n"/>
      <c r="J1052" s="30">
        <f>IF(B1052="","",IFERROR(INDEX('Share classes'!$A$4:$A$203,MATCH(B1052,'Share classes'!$B$4:$B$203,0)),""))</f>
        <v/>
      </c>
      <c r="K1052" s="30">
        <f>IF(A1052="","",IFERROR(INDEX('Holders'!$B$4:$B$1003,MATCH(A1052,'Holders'!$A$4:$A$1003,0)),""))</f>
        <v/>
      </c>
      <c r="L1052" s="30">
        <f>IF(OR(A1052="",B1052="",D1052=""),"",IF(D1052=_xlfn.MAXIFS($D$4:$D$2503,$A$4:$A$2503,A1052,$B$4:$B$2503,B1052),"Yes","No"))</f>
        <v/>
      </c>
      <c r="M1052" s="30">
        <f>IF(B1052="","",IFERROR(INDEX('Share classes'!$F$4:$F$203,MATCH(B1052,'Share classes'!$B$4:$B$203,0)),""))</f>
        <v/>
      </c>
      <c r="N1052" s="30">
        <f>IF(A1052="","",IF(K1052="","Unknown holder ID",IF(J1052="","Unknown class code",IF(OR(C1052="",D1052=""),"Missing shares or date",IF(OR(C1052&lt;0,C1052&lt;&gt;INT(C1052)),"Shares must be a whole number",IF(COUNTIFS($A$4:$A$2503,A1052,$B$4:$B$2503,B1052,$D$4:$D$2503,D1052)&gt;1,"Duplicate row (same date)","OK"))))))</f>
        <v/>
      </c>
    </row>
    <row r="1053">
      <c r="A1053" s="26" t="n"/>
      <c r="B1053" s="26" t="n"/>
      <c r="C1053" s="34" t="n"/>
      <c r="D1053" s="28" t="n"/>
      <c r="E1053" s="26" t="n"/>
      <c r="F1053" s="26" t="n"/>
      <c r="G1053" s="26" t="n"/>
      <c r="H1053" s="38" t="n"/>
      <c r="I1053" s="28" t="n"/>
      <c r="J1053" s="30">
        <f>IF(B1053="","",IFERROR(INDEX('Share classes'!$A$4:$A$203,MATCH(B1053,'Share classes'!$B$4:$B$203,0)),""))</f>
        <v/>
      </c>
      <c r="K1053" s="30">
        <f>IF(A1053="","",IFERROR(INDEX('Holders'!$B$4:$B$1003,MATCH(A1053,'Holders'!$A$4:$A$1003,0)),""))</f>
        <v/>
      </c>
      <c r="L1053" s="30">
        <f>IF(OR(A1053="",B1053="",D1053=""),"",IF(D1053=_xlfn.MAXIFS($D$4:$D$2503,$A$4:$A$2503,A1053,$B$4:$B$2503,B1053),"Yes","No"))</f>
        <v/>
      </c>
      <c r="M1053" s="30">
        <f>IF(B1053="","",IFERROR(INDEX('Share classes'!$F$4:$F$203,MATCH(B1053,'Share classes'!$B$4:$B$203,0)),""))</f>
        <v/>
      </c>
      <c r="N1053" s="30">
        <f>IF(A1053="","",IF(K1053="","Unknown holder ID",IF(J1053="","Unknown class code",IF(OR(C1053="",D1053=""),"Missing shares or date",IF(OR(C1053&lt;0,C1053&lt;&gt;INT(C1053)),"Shares must be a whole number",IF(COUNTIFS($A$4:$A$2503,A1053,$B$4:$B$2503,B1053,$D$4:$D$2503,D1053)&gt;1,"Duplicate row (same date)","OK"))))))</f>
        <v/>
      </c>
    </row>
    <row r="1054">
      <c r="A1054" s="26" t="n"/>
      <c r="B1054" s="26" t="n"/>
      <c r="C1054" s="34" t="n"/>
      <c r="D1054" s="28" t="n"/>
      <c r="E1054" s="26" t="n"/>
      <c r="F1054" s="26" t="n"/>
      <c r="G1054" s="26" t="n"/>
      <c r="H1054" s="38" t="n"/>
      <c r="I1054" s="28" t="n"/>
      <c r="J1054" s="30">
        <f>IF(B1054="","",IFERROR(INDEX('Share classes'!$A$4:$A$203,MATCH(B1054,'Share classes'!$B$4:$B$203,0)),""))</f>
        <v/>
      </c>
      <c r="K1054" s="30">
        <f>IF(A1054="","",IFERROR(INDEX('Holders'!$B$4:$B$1003,MATCH(A1054,'Holders'!$A$4:$A$1003,0)),""))</f>
        <v/>
      </c>
      <c r="L1054" s="30">
        <f>IF(OR(A1054="",B1054="",D1054=""),"",IF(D1054=_xlfn.MAXIFS($D$4:$D$2503,$A$4:$A$2503,A1054,$B$4:$B$2503,B1054),"Yes","No"))</f>
        <v/>
      </c>
      <c r="M1054" s="30">
        <f>IF(B1054="","",IFERROR(INDEX('Share classes'!$F$4:$F$203,MATCH(B1054,'Share classes'!$B$4:$B$203,0)),""))</f>
        <v/>
      </c>
      <c r="N1054" s="30">
        <f>IF(A1054="","",IF(K1054="","Unknown holder ID",IF(J1054="","Unknown class code",IF(OR(C1054="",D1054=""),"Missing shares or date",IF(OR(C1054&lt;0,C1054&lt;&gt;INT(C1054)),"Shares must be a whole number",IF(COUNTIFS($A$4:$A$2503,A1054,$B$4:$B$2503,B1054,$D$4:$D$2503,D1054)&gt;1,"Duplicate row (same date)","OK"))))))</f>
        <v/>
      </c>
    </row>
    <row r="1055">
      <c r="A1055" s="26" t="n"/>
      <c r="B1055" s="26" t="n"/>
      <c r="C1055" s="34" t="n"/>
      <c r="D1055" s="28" t="n"/>
      <c r="E1055" s="26" t="n"/>
      <c r="F1055" s="26" t="n"/>
      <c r="G1055" s="26" t="n"/>
      <c r="H1055" s="38" t="n"/>
      <c r="I1055" s="28" t="n"/>
      <c r="J1055" s="30">
        <f>IF(B1055="","",IFERROR(INDEX('Share classes'!$A$4:$A$203,MATCH(B1055,'Share classes'!$B$4:$B$203,0)),""))</f>
        <v/>
      </c>
      <c r="K1055" s="30">
        <f>IF(A1055="","",IFERROR(INDEX('Holders'!$B$4:$B$1003,MATCH(A1055,'Holders'!$A$4:$A$1003,0)),""))</f>
        <v/>
      </c>
      <c r="L1055" s="30">
        <f>IF(OR(A1055="",B1055="",D1055=""),"",IF(D1055=_xlfn.MAXIFS($D$4:$D$2503,$A$4:$A$2503,A1055,$B$4:$B$2503,B1055),"Yes","No"))</f>
        <v/>
      </c>
      <c r="M1055" s="30">
        <f>IF(B1055="","",IFERROR(INDEX('Share classes'!$F$4:$F$203,MATCH(B1055,'Share classes'!$B$4:$B$203,0)),""))</f>
        <v/>
      </c>
      <c r="N1055" s="30">
        <f>IF(A1055="","",IF(K1055="","Unknown holder ID",IF(J1055="","Unknown class code",IF(OR(C1055="",D1055=""),"Missing shares or date",IF(OR(C1055&lt;0,C1055&lt;&gt;INT(C1055)),"Shares must be a whole number",IF(COUNTIFS($A$4:$A$2503,A1055,$B$4:$B$2503,B1055,$D$4:$D$2503,D1055)&gt;1,"Duplicate row (same date)","OK"))))))</f>
        <v/>
      </c>
    </row>
    <row r="1056">
      <c r="A1056" s="26" t="n"/>
      <c r="B1056" s="26" t="n"/>
      <c r="C1056" s="34" t="n"/>
      <c r="D1056" s="28" t="n"/>
      <c r="E1056" s="26" t="n"/>
      <c r="F1056" s="26" t="n"/>
      <c r="G1056" s="26" t="n"/>
      <c r="H1056" s="38" t="n"/>
      <c r="I1056" s="28" t="n"/>
      <c r="J1056" s="30">
        <f>IF(B1056="","",IFERROR(INDEX('Share classes'!$A$4:$A$203,MATCH(B1056,'Share classes'!$B$4:$B$203,0)),""))</f>
        <v/>
      </c>
      <c r="K1056" s="30">
        <f>IF(A1056="","",IFERROR(INDEX('Holders'!$B$4:$B$1003,MATCH(A1056,'Holders'!$A$4:$A$1003,0)),""))</f>
        <v/>
      </c>
      <c r="L1056" s="30">
        <f>IF(OR(A1056="",B1056="",D1056=""),"",IF(D1056=_xlfn.MAXIFS($D$4:$D$2503,$A$4:$A$2503,A1056,$B$4:$B$2503,B1056),"Yes","No"))</f>
        <v/>
      </c>
      <c r="M1056" s="30">
        <f>IF(B1056="","",IFERROR(INDEX('Share classes'!$F$4:$F$203,MATCH(B1056,'Share classes'!$B$4:$B$203,0)),""))</f>
        <v/>
      </c>
      <c r="N1056" s="30">
        <f>IF(A1056="","",IF(K1056="","Unknown holder ID",IF(J1056="","Unknown class code",IF(OR(C1056="",D1056=""),"Missing shares or date",IF(OR(C1056&lt;0,C1056&lt;&gt;INT(C1056)),"Shares must be a whole number",IF(COUNTIFS($A$4:$A$2503,A1056,$B$4:$B$2503,B1056,$D$4:$D$2503,D1056)&gt;1,"Duplicate row (same date)","OK"))))))</f>
        <v/>
      </c>
    </row>
    <row r="1057">
      <c r="A1057" s="26" t="n"/>
      <c r="B1057" s="26" t="n"/>
      <c r="C1057" s="34" t="n"/>
      <c r="D1057" s="28" t="n"/>
      <c r="E1057" s="26" t="n"/>
      <c r="F1057" s="26" t="n"/>
      <c r="G1057" s="26" t="n"/>
      <c r="H1057" s="38" t="n"/>
      <c r="I1057" s="28" t="n"/>
      <c r="J1057" s="30">
        <f>IF(B1057="","",IFERROR(INDEX('Share classes'!$A$4:$A$203,MATCH(B1057,'Share classes'!$B$4:$B$203,0)),""))</f>
        <v/>
      </c>
      <c r="K1057" s="30">
        <f>IF(A1057="","",IFERROR(INDEX('Holders'!$B$4:$B$1003,MATCH(A1057,'Holders'!$A$4:$A$1003,0)),""))</f>
        <v/>
      </c>
      <c r="L1057" s="30">
        <f>IF(OR(A1057="",B1057="",D1057=""),"",IF(D1057=_xlfn.MAXIFS($D$4:$D$2503,$A$4:$A$2503,A1057,$B$4:$B$2503,B1057),"Yes","No"))</f>
        <v/>
      </c>
      <c r="M1057" s="30">
        <f>IF(B1057="","",IFERROR(INDEX('Share classes'!$F$4:$F$203,MATCH(B1057,'Share classes'!$B$4:$B$203,0)),""))</f>
        <v/>
      </c>
      <c r="N1057" s="30">
        <f>IF(A1057="","",IF(K1057="","Unknown holder ID",IF(J1057="","Unknown class code",IF(OR(C1057="",D1057=""),"Missing shares or date",IF(OR(C1057&lt;0,C1057&lt;&gt;INT(C1057)),"Shares must be a whole number",IF(COUNTIFS($A$4:$A$2503,A1057,$B$4:$B$2503,B1057,$D$4:$D$2503,D1057)&gt;1,"Duplicate row (same date)","OK"))))))</f>
        <v/>
      </c>
    </row>
    <row r="1058">
      <c r="A1058" s="26" t="n"/>
      <c r="B1058" s="26" t="n"/>
      <c r="C1058" s="34" t="n"/>
      <c r="D1058" s="28" t="n"/>
      <c r="E1058" s="26" t="n"/>
      <c r="F1058" s="26" t="n"/>
      <c r="G1058" s="26" t="n"/>
      <c r="H1058" s="38" t="n"/>
      <c r="I1058" s="28" t="n"/>
      <c r="J1058" s="30">
        <f>IF(B1058="","",IFERROR(INDEX('Share classes'!$A$4:$A$203,MATCH(B1058,'Share classes'!$B$4:$B$203,0)),""))</f>
        <v/>
      </c>
      <c r="K1058" s="30">
        <f>IF(A1058="","",IFERROR(INDEX('Holders'!$B$4:$B$1003,MATCH(A1058,'Holders'!$A$4:$A$1003,0)),""))</f>
        <v/>
      </c>
      <c r="L1058" s="30">
        <f>IF(OR(A1058="",B1058="",D1058=""),"",IF(D1058=_xlfn.MAXIFS($D$4:$D$2503,$A$4:$A$2503,A1058,$B$4:$B$2503,B1058),"Yes","No"))</f>
        <v/>
      </c>
      <c r="M1058" s="30">
        <f>IF(B1058="","",IFERROR(INDEX('Share classes'!$F$4:$F$203,MATCH(B1058,'Share classes'!$B$4:$B$203,0)),""))</f>
        <v/>
      </c>
      <c r="N1058" s="30">
        <f>IF(A1058="","",IF(K1058="","Unknown holder ID",IF(J1058="","Unknown class code",IF(OR(C1058="",D1058=""),"Missing shares or date",IF(OR(C1058&lt;0,C1058&lt;&gt;INT(C1058)),"Shares must be a whole number",IF(COUNTIFS($A$4:$A$2503,A1058,$B$4:$B$2503,B1058,$D$4:$D$2503,D1058)&gt;1,"Duplicate row (same date)","OK"))))))</f>
        <v/>
      </c>
    </row>
    <row r="1059">
      <c r="A1059" s="26" t="n"/>
      <c r="B1059" s="26" t="n"/>
      <c r="C1059" s="34" t="n"/>
      <c r="D1059" s="28" t="n"/>
      <c r="E1059" s="26" t="n"/>
      <c r="F1059" s="26" t="n"/>
      <c r="G1059" s="26" t="n"/>
      <c r="H1059" s="38" t="n"/>
      <c r="I1059" s="28" t="n"/>
      <c r="J1059" s="30">
        <f>IF(B1059="","",IFERROR(INDEX('Share classes'!$A$4:$A$203,MATCH(B1059,'Share classes'!$B$4:$B$203,0)),""))</f>
        <v/>
      </c>
      <c r="K1059" s="30">
        <f>IF(A1059="","",IFERROR(INDEX('Holders'!$B$4:$B$1003,MATCH(A1059,'Holders'!$A$4:$A$1003,0)),""))</f>
        <v/>
      </c>
      <c r="L1059" s="30">
        <f>IF(OR(A1059="",B1059="",D1059=""),"",IF(D1059=_xlfn.MAXIFS($D$4:$D$2503,$A$4:$A$2503,A1059,$B$4:$B$2503,B1059),"Yes","No"))</f>
        <v/>
      </c>
      <c r="M1059" s="30">
        <f>IF(B1059="","",IFERROR(INDEX('Share classes'!$F$4:$F$203,MATCH(B1059,'Share classes'!$B$4:$B$203,0)),""))</f>
        <v/>
      </c>
      <c r="N1059" s="30">
        <f>IF(A1059="","",IF(K1059="","Unknown holder ID",IF(J1059="","Unknown class code",IF(OR(C1059="",D1059=""),"Missing shares or date",IF(OR(C1059&lt;0,C1059&lt;&gt;INT(C1059)),"Shares must be a whole number",IF(COUNTIFS($A$4:$A$2503,A1059,$B$4:$B$2503,B1059,$D$4:$D$2503,D1059)&gt;1,"Duplicate row (same date)","OK"))))))</f>
        <v/>
      </c>
    </row>
    <row r="1060">
      <c r="A1060" s="26" t="n"/>
      <c r="B1060" s="26" t="n"/>
      <c r="C1060" s="34" t="n"/>
      <c r="D1060" s="28" t="n"/>
      <c r="E1060" s="26" t="n"/>
      <c r="F1060" s="26" t="n"/>
      <c r="G1060" s="26" t="n"/>
      <c r="H1060" s="38" t="n"/>
      <c r="I1060" s="28" t="n"/>
      <c r="J1060" s="30">
        <f>IF(B1060="","",IFERROR(INDEX('Share classes'!$A$4:$A$203,MATCH(B1060,'Share classes'!$B$4:$B$203,0)),""))</f>
        <v/>
      </c>
      <c r="K1060" s="30">
        <f>IF(A1060="","",IFERROR(INDEX('Holders'!$B$4:$B$1003,MATCH(A1060,'Holders'!$A$4:$A$1003,0)),""))</f>
        <v/>
      </c>
      <c r="L1060" s="30">
        <f>IF(OR(A1060="",B1060="",D1060=""),"",IF(D1060=_xlfn.MAXIFS($D$4:$D$2503,$A$4:$A$2503,A1060,$B$4:$B$2503,B1060),"Yes","No"))</f>
        <v/>
      </c>
      <c r="M1060" s="30">
        <f>IF(B1060="","",IFERROR(INDEX('Share classes'!$F$4:$F$203,MATCH(B1060,'Share classes'!$B$4:$B$203,0)),""))</f>
        <v/>
      </c>
      <c r="N1060" s="30">
        <f>IF(A1060="","",IF(K1060="","Unknown holder ID",IF(J1060="","Unknown class code",IF(OR(C1060="",D1060=""),"Missing shares or date",IF(OR(C1060&lt;0,C1060&lt;&gt;INT(C1060)),"Shares must be a whole number",IF(COUNTIFS($A$4:$A$2503,A1060,$B$4:$B$2503,B1060,$D$4:$D$2503,D1060)&gt;1,"Duplicate row (same date)","OK"))))))</f>
        <v/>
      </c>
    </row>
    <row r="1061">
      <c r="A1061" s="26" t="n"/>
      <c r="B1061" s="26" t="n"/>
      <c r="C1061" s="34" t="n"/>
      <c r="D1061" s="28" t="n"/>
      <c r="E1061" s="26" t="n"/>
      <c r="F1061" s="26" t="n"/>
      <c r="G1061" s="26" t="n"/>
      <c r="H1061" s="38" t="n"/>
      <c r="I1061" s="28" t="n"/>
      <c r="J1061" s="30">
        <f>IF(B1061="","",IFERROR(INDEX('Share classes'!$A$4:$A$203,MATCH(B1061,'Share classes'!$B$4:$B$203,0)),""))</f>
        <v/>
      </c>
      <c r="K1061" s="30">
        <f>IF(A1061="","",IFERROR(INDEX('Holders'!$B$4:$B$1003,MATCH(A1061,'Holders'!$A$4:$A$1003,0)),""))</f>
        <v/>
      </c>
      <c r="L1061" s="30">
        <f>IF(OR(A1061="",B1061="",D1061=""),"",IF(D1061=_xlfn.MAXIFS($D$4:$D$2503,$A$4:$A$2503,A1061,$B$4:$B$2503,B1061),"Yes","No"))</f>
        <v/>
      </c>
      <c r="M1061" s="30">
        <f>IF(B1061="","",IFERROR(INDEX('Share classes'!$F$4:$F$203,MATCH(B1061,'Share classes'!$B$4:$B$203,0)),""))</f>
        <v/>
      </c>
      <c r="N1061" s="30">
        <f>IF(A1061="","",IF(K1061="","Unknown holder ID",IF(J1061="","Unknown class code",IF(OR(C1061="",D1061=""),"Missing shares or date",IF(OR(C1061&lt;0,C1061&lt;&gt;INT(C1061)),"Shares must be a whole number",IF(COUNTIFS($A$4:$A$2503,A1061,$B$4:$B$2503,B1061,$D$4:$D$2503,D1061)&gt;1,"Duplicate row (same date)","OK"))))))</f>
        <v/>
      </c>
    </row>
    <row r="1062">
      <c r="A1062" s="26" t="n"/>
      <c r="B1062" s="26" t="n"/>
      <c r="C1062" s="34" t="n"/>
      <c r="D1062" s="28" t="n"/>
      <c r="E1062" s="26" t="n"/>
      <c r="F1062" s="26" t="n"/>
      <c r="G1062" s="26" t="n"/>
      <c r="H1062" s="38" t="n"/>
      <c r="I1062" s="28" t="n"/>
      <c r="J1062" s="30">
        <f>IF(B1062="","",IFERROR(INDEX('Share classes'!$A$4:$A$203,MATCH(B1062,'Share classes'!$B$4:$B$203,0)),""))</f>
        <v/>
      </c>
      <c r="K1062" s="30">
        <f>IF(A1062="","",IFERROR(INDEX('Holders'!$B$4:$B$1003,MATCH(A1062,'Holders'!$A$4:$A$1003,0)),""))</f>
        <v/>
      </c>
      <c r="L1062" s="30">
        <f>IF(OR(A1062="",B1062="",D1062=""),"",IF(D1062=_xlfn.MAXIFS($D$4:$D$2503,$A$4:$A$2503,A1062,$B$4:$B$2503,B1062),"Yes","No"))</f>
        <v/>
      </c>
      <c r="M1062" s="30">
        <f>IF(B1062="","",IFERROR(INDEX('Share classes'!$F$4:$F$203,MATCH(B1062,'Share classes'!$B$4:$B$203,0)),""))</f>
        <v/>
      </c>
      <c r="N1062" s="30">
        <f>IF(A1062="","",IF(K1062="","Unknown holder ID",IF(J1062="","Unknown class code",IF(OR(C1062="",D1062=""),"Missing shares or date",IF(OR(C1062&lt;0,C1062&lt;&gt;INT(C1062)),"Shares must be a whole number",IF(COUNTIFS($A$4:$A$2503,A1062,$B$4:$B$2503,B1062,$D$4:$D$2503,D1062)&gt;1,"Duplicate row (same date)","OK"))))))</f>
        <v/>
      </c>
    </row>
    <row r="1063">
      <c r="A1063" s="26" t="n"/>
      <c r="B1063" s="26" t="n"/>
      <c r="C1063" s="34" t="n"/>
      <c r="D1063" s="28" t="n"/>
      <c r="E1063" s="26" t="n"/>
      <c r="F1063" s="26" t="n"/>
      <c r="G1063" s="26" t="n"/>
      <c r="H1063" s="38" t="n"/>
      <c r="I1063" s="28" t="n"/>
      <c r="J1063" s="30">
        <f>IF(B1063="","",IFERROR(INDEX('Share classes'!$A$4:$A$203,MATCH(B1063,'Share classes'!$B$4:$B$203,0)),""))</f>
        <v/>
      </c>
      <c r="K1063" s="30">
        <f>IF(A1063="","",IFERROR(INDEX('Holders'!$B$4:$B$1003,MATCH(A1063,'Holders'!$A$4:$A$1003,0)),""))</f>
        <v/>
      </c>
      <c r="L1063" s="30">
        <f>IF(OR(A1063="",B1063="",D1063=""),"",IF(D1063=_xlfn.MAXIFS($D$4:$D$2503,$A$4:$A$2503,A1063,$B$4:$B$2503,B1063),"Yes","No"))</f>
        <v/>
      </c>
      <c r="M1063" s="30">
        <f>IF(B1063="","",IFERROR(INDEX('Share classes'!$F$4:$F$203,MATCH(B1063,'Share classes'!$B$4:$B$203,0)),""))</f>
        <v/>
      </c>
      <c r="N1063" s="30">
        <f>IF(A1063="","",IF(K1063="","Unknown holder ID",IF(J1063="","Unknown class code",IF(OR(C1063="",D1063=""),"Missing shares or date",IF(OR(C1063&lt;0,C1063&lt;&gt;INT(C1063)),"Shares must be a whole number",IF(COUNTIFS($A$4:$A$2503,A1063,$B$4:$B$2503,B1063,$D$4:$D$2503,D1063)&gt;1,"Duplicate row (same date)","OK"))))))</f>
        <v/>
      </c>
    </row>
    <row r="1064">
      <c r="A1064" s="26" t="n"/>
      <c r="B1064" s="26" t="n"/>
      <c r="C1064" s="34" t="n"/>
      <c r="D1064" s="28" t="n"/>
      <c r="E1064" s="26" t="n"/>
      <c r="F1064" s="26" t="n"/>
      <c r="G1064" s="26" t="n"/>
      <c r="H1064" s="38" t="n"/>
      <c r="I1064" s="28" t="n"/>
      <c r="J1064" s="30">
        <f>IF(B1064="","",IFERROR(INDEX('Share classes'!$A$4:$A$203,MATCH(B1064,'Share classes'!$B$4:$B$203,0)),""))</f>
        <v/>
      </c>
      <c r="K1064" s="30">
        <f>IF(A1064="","",IFERROR(INDEX('Holders'!$B$4:$B$1003,MATCH(A1064,'Holders'!$A$4:$A$1003,0)),""))</f>
        <v/>
      </c>
      <c r="L1064" s="30">
        <f>IF(OR(A1064="",B1064="",D1064=""),"",IF(D1064=_xlfn.MAXIFS($D$4:$D$2503,$A$4:$A$2503,A1064,$B$4:$B$2503,B1064),"Yes","No"))</f>
        <v/>
      </c>
      <c r="M1064" s="30">
        <f>IF(B1064="","",IFERROR(INDEX('Share classes'!$F$4:$F$203,MATCH(B1064,'Share classes'!$B$4:$B$203,0)),""))</f>
        <v/>
      </c>
      <c r="N1064" s="30">
        <f>IF(A1064="","",IF(K1064="","Unknown holder ID",IF(J1064="","Unknown class code",IF(OR(C1064="",D1064=""),"Missing shares or date",IF(OR(C1064&lt;0,C1064&lt;&gt;INT(C1064)),"Shares must be a whole number",IF(COUNTIFS($A$4:$A$2503,A1064,$B$4:$B$2503,B1064,$D$4:$D$2503,D1064)&gt;1,"Duplicate row (same date)","OK"))))))</f>
        <v/>
      </c>
    </row>
    <row r="1065">
      <c r="A1065" s="26" t="n"/>
      <c r="B1065" s="26" t="n"/>
      <c r="C1065" s="34" t="n"/>
      <c r="D1065" s="28" t="n"/>
      <c r="E1065" s="26" t="n"/>
      <c r="F1065" s="26" t="n"/>
      <c r="G1065" s="26" t="n"/>
      <c r="H1065" s="38" t="n"/>
      <c r="I1065" s="28" t="n"/>
      <c r="J1065" s="30">
        <f>IF(B1065="","",IFERROR(INDEX('Share classes'!$A$4:$A$203,MATCH(B1065,'Share classes'!$B$4:$B$203,0)),""))</f>
        <v/>
      </c>
      <c r="K1065" s="30">
        <f>IF(A1065="","",IFERROR(INDEX('Holders'!$B$4:$B$1003,MATCH(A1065,'Holders'!$A$4:$A$1003,0)),""))</f>
        <v/>
      </c>
      <c r="L1065" s="30">
        <f>IF(OR(A1065="",B1065="",D1065=""),"",IF(D1065=_xlfn.MAXIFS($D$4:$D$2503,$A$4:$A$2503,A1065,$B$4:$B$2503,B1065),"Yes","No"))</f>
        <v/>
      </c>
      <c r="M1065" s="30">
        <f>IF(B1065="","",IFERROR(INDEX('Share classes'!$F$4:$F$203,MATCH(B1065,'Share classes'!$B$4:$B$203,0)),""))</f>
        <v/>
      </c>
      <c r="N1065" s="30">
        <f>IF(A1065="","",IF(K1065="","Unknown holder ID",IF(J1065="","Unknown class code",IF(OR(C1065="",D1065=""),"Missing shares or date",IF(OR(C1065&lt;0,C1065&lt;&gt;INT(C1065)),"Shares must be a whole number",IF(COUNTIFS($A$4:$A$2503,A1065,$B$4:$B$2503,B1065,$D$4:$D$2503,D1065)&gt;1,"Duplicate row (same date)","OK"))))))</f>
        <v/>
      </c>
    </row>
    <row r="1066">
      <c r="A1066" s="26" t="n"/>
      <c r="B1066" s="26" t="n"/>
      <c r="C1066" s="34" t="n"/>
      <c r="D1066" s="28" t="n"/>
      <c r="E1066" s="26" t="n"/>
      <c r="F1066" s="26" t="n"/>
      <c r="G1066" s="26" t="n"/>
      <c r="H1066" s="38" t="n"/>
      <c r="I1066" s="28" t="n"/>
      <c r="J1066" s="30">
        <f>IF(B1066="","",IFERROR(INDEX('Share classes'!$A$4:$A$203,MATCH(B1066,'Share classes'!$B$4:$B$203,0)),""))</f>
        <v/>
      </c>
      <c r="K1066" s="30">
        <f>IF(A1066="","",IFERROR(INDEX('Holders'!$B$4:$B$1003,MATCH(A1066,'Holders'!$A$4:$A$1003,0)),""))</f>
        <v/>
      </c>
      <c r="L1066" s="30">
        <f>IF(OR(A1066="",B1066="",D1066=""),"",IF(D1066=_xlfn.MAXIFS($D$4:$D$2503,$A$4:$A$2503,A1066,$B$4:$B$2503,B1066),"Yes","No"))</f>
        <v/>
      </c>
      <c r="M1066" s="30">
        <f>IF(B1066="","",IFERROR(INDEX('Share classes'!$F$4:$F$203,MATCH(B1066,'Share classes'!$B$4:$B$203,0)),""))</f>
        <v/>
      </c>
      <c r="N1066" s="30">
        <f>IF(A1066="","",IF(K1066="","Unknown holder ID",IF(J1066="","Unknown class code",IF(OR(C1066="",D1066=""),"Missing shares or date",IF(OR(C1066&lt;0,C1066&lt;&gt;INT(C1066)),"Shares must be a whole number",IF(COUNTIFS($A$4:$A$2503,A1066,$B$4:$B$2503,B1066,$D$4:$D$2503,D1066)&gt;1,"Duplicate row (same date)","OK"))))))</f>
        <v/>
      </c>
    </row>
    <row r="1067">
      <c r="A1067" s="26" t="n"/>
      <c r="B1067" s="26" t="n"/>
      <c r="C1067" s="34" t="n"/>
      <c r="D1067" s="28" t="n"/>
      <c r="E1067" s="26" t="n"/>
      <c r="F1067" s="26" t="n"/>
      <c r="G1067" s="26" t="n"/>
      <c r="H1067" s="38" t="n"/>
      <c r="I1067" s="28" t="n"/>
      <c r="J1067" s="30">
        <f>IF(B1067="","",IFERROR(INDEX('Share classes'!$A$4:$A$203,MATCH(B1067,'Share classes'!$B$4:$B$203,0)),""))</f>
        <v/>
      </c>
      <c r="K1067" s="30">
        <f>IF(A1067="","",IFERROR(INDEX('Holders'!$B$4:$B$1003,MATCH(A1067,'Holders'!$A$4:$A$1003,0)),""))</f>
        <v/>
      </c>
      <c r="L1067" s="30">
        <f>IF(OR(A1067="",B1067="",D1067=""),"",IF(D1067=_xlfn.MAXIFS($D$4:$D$2503,$A$4:$A$2503,A1067,$B$4:$B$2503,B1067),"Yes","No"))</f>
        <v/>
      </c>
      <c r="M1067" s="30">
        <f>IF(B1067="","",IFERROR(INDEX('Share classes'!$F$4:$F$203,MATCH(B1067,'Share classes'!$B$4:$B$203,0)),""))</f>
        <v/>
      </c>
      <c r="N1067" s="30">
        <f>IF(A1067="","",IF(K1067="","Unknown holder ID",IF(J1067="","Unknown class code",IF(OR(C1067="",D1067=""),"Missing shares or date",IF(OR(C1067&lt;0,C1067&lt;&gt;INT(C1067)),"Shares must be a whole number",IF(COUNTIFS($A$4:$A$2503,A1067,$B$4:$B$2503,B1067,$D$4:$D$2503,D1067)&gt;1,"Duplicate row (same date)","OK"))))))</f>
        <v/>
      </c>
    </row>
    <row r="1068">
      <c r="A1068" s="26" t="n"/>
      <c r="B1068" s="26" t="n"/>
      <c r="C1068" s="34" t="n"/>
      <c r="D1068" s="28" t="n"/>
      <c r="E1068" s="26" t="n"/>
      <c r="F1068" s="26" t="n"/>
      <c r="G1068" s="26" t="n"/>
      <c r="H1068" s="38" t="n"/>
      <c r="I1068" s="28" t="n"/>
      <c r="J1068" s="30">
        <f>IF(B1068="","",IFERROR(INDEX('Share classes'!$A$4:$A$203,MATCH(B1068,'Share classes'!$B$4:$B$203,0)),""))</f>
        <v/>
      </c>
      <c r="K1068" s="30">
        <f>IF(A1068="","",IFERROR(INDEX('Holders'!$B$4:$B$1003,MATCH(A1068,'Holders'!$A$4:$A$1003,0)),""))</f>
        <v/>
      </c>
      <c r="L1068" s="30">
        <f>IF(OR(A1068="",B1068="",D1068=""),"",IF(D1068=_xlfn.MAXIFS($D$4:$D$2503,$A$4:$A$2503,A1068,$B$4:$B$2503,B1068),"Yes","No"))</f>
        <v/>
      </c>
      <c r="M1068" s="30">
        <f>IF(B1068="","",IFERROR(INDEX('Share classes'!$F$4:$F$203,MATCH(B1068,'Share classes'!$B$4:$B$203,0)),""))</f>
        <v/>
      </c>
      <c r="N1068" s="30">
        <f>IF(A1068="","",IF(K1068="","Unknown holder ID",IF(J1068="","Unknown class code",IF(OR(C1068="",D1068=""),"Missing shares or date",IF(OR(C1068&lt;0,C1068&lt;&gt;INT(C1068)),"Shares must be a whole number",IF(COUNTIFS($A$4:$A$2503,A1068,$B$4:$B$2503,B1068,$D$4:$D$2503,D1068)&gt;1,"Duplicate row (same date)","OK"))))))</f>
        <v/>
      </c>
    </row>
    <row r="1069">
      <c r="A1069" s="26" t="n"/>
      <c r="B1069" s="26" t="n"/>
      <c r="C1069" s="34" t="n"/>
      <c r="D1069" s="28" t="n"/>
      <c r="E1069" s="26" t="n"/>
      <c r="F1069" s="26" t="n"/>
      <c r="G1069" s="26" t="n"/>
      <c r="H1069" s="38" t="n"/>
      <c r="I1069" s="28" t="n"/>
      <c r="J1069" s="30">
        <f>IF(B1069="","",IFERROR(INDEX('Share classes'!$A$4:$A$203,MATCH(B1069,'Share classes'!$B$4:$B$203,0)),""))</f>
        <v/>
      </c>
      <c r="K1069" s="30">
        <f>IF(A1069="","",IFERROR(INDEX('Holders'!$B$4:$B$1003,MATCH(A1069,'Holders'!$A$4:$A$1003,0)),""))</f>
        <v/>
      </c>
      <c r="L1069" s="30">
        <f>IF(OR(A1069="",B1069="",D1069=""),"",IF(D1069=_xlfn.MAXIFS($D$4:$D$2503,$A$4:$A$2503,A1069,$B$4:$B$2503,B1069),"Yes","No"))</f>
        <v/>
      </c>
      <c r="M1069" s="30">
        <f>IF(B1069="","",IFERROR(INDEX('Share classes'!$F$4:$F$203,MATCH(B1069,'Share classes'!$B$4:$B$203,0)),""))</f>
        <v/>
      </c>
      <c r="N1069" s="30">
        <f>IF(A1069="","",IF(K1069="","Unknown holder ID",IF(J1069="","Unknown class code",IF(OR(C1069="",D1069=""),"Missing shares or date",IF(OR(C1069&lt;0,C1069&lt;&gt;INT(C1069)),"Shares must be a whole number",IF(COUNTIFS($A$4:$A$2503,A1069,$B$4:$B$2503,B1069,$D$4:$D$2503,D1069)&gt;1,"Duplicate row (same date)","OK"))))))</f>
        <v/>
      </c>
    </row>
    <row r="1070">
      <c r="A1070" s="26" t="n"/>
      <c r="B1070" s="26" t="n"/>
      <c r="C1070" s="34" t="n"/>
      <c r="D1070" s="28" t="n"/>
      <c r="E1070" s="26" t="n"/>
      <c r="F1070" s="26" t="n"/>
      <c r="G1070" s="26" t="n"/>
      <c r="H1070" s="38" t="n"/>
      <c r="I1070" s="28" t="n"/>
      <c r="J1070" s="30">
        <f>IF(B1070="","",IFERROR(INDEX('Share classes'!$A$4:$A$203,MATCH(B1070,'Share classes'!$B$4:$B$203,0)),""))</f>
        <v/>
      </c>
      <c r="K1070" s="30">
        <f>IF(A1070="","",IFERROR(INDEX('Holders'!$B$4:$B$1003,MATCH(A1070,'Holders'!$A$4:$A$1003,0)),""))</f>
        <v/>
      </c>
      <c r="L1070" s="30">
        <f>IF(OR(A1070="",B1070="",D1070=""),"",IF(D1070=_xlfn.MAXIFS($D$4:$D$2503,$A$4:$A$2503,A1070,$B$4:$B$2503,B1070),"Yes","No"))</f>
        <v/>
      </c>
      <c r="M1070" s="30">
        <f>IF(B1070="","",IFERROR(INDEX('Share classes'!$F$4:$F$203,MATCH(B1070,'Share classes'!$B$4:$B$203,0)),""))</f>
        <v/>
      </c>
      <c r="N1070" s="30">
        <f>IF(A1070="","",IF(K1070="","Unknown holder ID",IF(J1070="","Unknown class code",IF(OR(C1070="",D1070=""),"Missing shares or date",IF(OR(C1070&lt;0,C1070&lt;&gt;INT(C1070)),"Shares must be a whole number",IF(COUNTIFS($A$4:$A$2503,A1070,$B$4:$B$2503,B1070,$D$4:$D$2503,D1070)&gt;1,"Duplicate row (same date)","OK"))))))</f>
        <v/>
      </c>
    </row>
    <row r="1071">
      <c r="A1071" s="26" t="n"/>
      <c r="B1071" s="26" t="n"/>
      <c r="C1071" s="34" t="n"/>
      <c r="D1071" s="28" t="n"/>
      <c r="E1071" s="26" t="n"/>
      <c r="F1071" s="26" t="n"/>
      <c r="G1071" s="26" t="n"/>
      <c r="H1071" s="38" t="n"/>
      <c r="I1071" s="28" t="n"/>
      <c r="J1071" s="30">
        <f>IF(B1071="","",IFERROR(INDEX('Share classes'!$A$4:$A$203,MATCH(B1071,'Share classes'!$B$4:$B$203,0)),""))</f>
        <v/>
      </c>
      <c r="K1071" s="30">
        <f>IF(A1071="","",IFERROR(INDEX('Holders'!$B$4:$B$1003,MATCH(A1071,'Holders'!$A$4:$A$1003,0)),""))</f>
        <v/>
      </c>
      <c r="L1071" s="30">
        <f>IF(OR(A1071="",B1071="",D1071=""),"",IF(D1071=_xlfn.MAXIFS($D$4:$D$2503,$A$4:$A$2503,A1071,$B$4:$B$2503,B1071),"Yes","No"))</f>
        <v/>
      </c>
      <c r="M1071" s="30">
        <f>IF(B1071="","",IFERROR(INDEX('Share classes'!$F$4:$F$203,MATCH(B1071,'Share classes'!$B$4:$B$203,0)),""))</f>
        <v/>
      </c>
      <c r="N1071" s="30">
        <f>IF(A1071="","",IF(K1071="","Unknown holder ID",IF(J1071="","Unknown class code",IF(OR(C1071="",D1071=""),"Missing shares or date",IF(OR(C1071&lt;0,C1071&lt;&gt;INT(C1071)),"Shares must be a whole number",IF(COUNTIFS($A$4:$A$2503,A1071,$B$4:$B$2503,B1071,$D$4:$D$2503,D1071)&gt;1,"Duplicate row (same date)","OK"))))))</f>
        <v/>
      </c>
    </row>
    <row r="1072">
      <c r="A1072" s="26" t="n"/>
      <c r="B1072" s="26" t="n"/>
      <c r="C1072" s="34" t="n"/>
      <c r="D1072" s="28" t="n"/>
      <c r="E1072" s="26" t="n"/>
      <c r="F1072" s="26" t="n"/>
      <c r="G1072" s="26" t="n"/>
      <c r="H1072" s="38" t="n"/>
      <c r="I1072" s="28" t="n"/>
      <c r="J1072" s="30">
        <f>IF(B1072="","",IFERROR(INDEX('Share classes'!$A$4:$A$203,MATCH(B1072,'Share classes'!$B$4:$B$203,0)),""))</f>
        <v/>
      </c>
      <c r="K1072" s="30">
        <f>IF(A1072="","",IFERROR(INDEX('Holders'!$B$4:$B$1003,MATCH(A1072,'Holders'!$A$4:$A$1003,0)),""))</f>
        <v/>
      </c>
      <c r="L1072" s="30">
        <f>IF(OR(A1072="",B1072="",D1072=""),"",IF(D1072=_xlfn.MAXIFS($D$4:$D$2503,$A$4:$A$2503,A1072,$B$4:$B$2503,B1072),"Yes","No"))</f>
        <v/>
      </c>
      <c r="M1072" s="30">
        <f>IF(B1072="","",IFERROR(INDEX('Share classes'!$F$4:$F$203,MATCH(B1072,'Share classes'!$B$4:$B$203,0)),""))</f>
        <v/>
      </c>
      <c r="N1072" s="30">
        <f>IF(A1072="","",IF(K1072="","Unknown holder ID",IF(J1072="","Unknown class code",IF(OR(C1072="",D1072=""),"Missing shares or date",IF(OR(C1072&lt;0,C1072&lt;&gt;INT(C1072)),"Shares must be a whole number",IF(COUNTIFS($A$4:$A$2503,A1072,$B$4:$B$2503,B1072,$D$4:$D$2503,D1072)&gt;1,"Duplicate row (same date)","OK"))))))</f>
        <v/>
      </c>
    </row>
    <row r="1073">
      <c r="A1073" s="26" t="n"/>
      <c r="B1073" s="26" t="n"/>
      <c r="C1073" s="34" t="n"/>
      <c r="D1073" s="28" t="n"/>
      <c r="E1073" s="26" t="n"/>
      <c r="F1073" s="26" t="n"/>
      <c r="G1073" s="26" t="n"/>
      <c r="H1073" s="38" t="n"/>
      <c r="I1073" s="28" t="n"/>
      <c r="J1073" s="30">
        <f>IF(B1073="","",IFERROR(INDEX('Share classes'!$A$4:$A$203,MATCH(B1073,'Share classes'!$B$4:$B$203,0)),""))</f>
        <v/>
      </c>
      <c r="K1073" s="30">
        <f>IF(A1073="","",IFERROR(INDEX('Holders'!$B$4:$B$1003,MATCH(A1073,'Holders'!$A$4:$A$1003,0)),""))</f>
        <v/>
      </c>
      <c r="L1073" s="30">
        <f>IF(OR(A1073="",B1073="",D1073=""),"",IF(D1073=_xlfn.MAXIFS($D$4:$D$2503,$A$4:$A$2503,A1073,$B$4:$B$2503,B1073),"Yes","No"))</f>
        <v/>
      </c>
      <c r="M1073" s="30">
        <f>IF(B1073="","",IFERROR(INDEX('Share classes'!$F$4:$F$203,MATCH(B1073,'Share classes'!$B$4:$B$203,0)),""))</f>
        <v/>
      </c>
      <c r="N1073" s="30">
        <f>IF(A1073="","",IF(K1073="","Unknown holder ID",IF(J1073="","Unknown class code",IF(OR(C1073="",D1073=""),"Missing shares or date",IF(OR(C1073&lt;0,C1073&lt;&gt;INT(C1073)),"Shares must be a whole number",IF(COUNTIFS($A$4:$A$2503,A1073,$B$4:$B$2503,B1073,$D$4:$D$2503,D1073)&gt;1,"Duplicate row (same date)","OK"))))))</f>
        <v/>
      </c>
    </row>
    <row r="1074">
      <c r="A1074" s="26" t="n"/>
      <c r="B1074" s="26" t="n"/>
      <c r="C1074" s="34" t="n"/>
      <c r="D1074" s="28" t="n"/>
      <c r="E1074" s="26" t="n"/>
      <c r="F1074" s="26" t="n"/>
      <c r="G1074" s="26" t="n"/>
      <c r="H1074" s="38" t="n"/>
      <c r="I1074" s="28" t="n"/>
      <c r="J1074" s="30">
        <f>IF(B1074="","",IFERROR(INDEX('Share classes'!$A$4:$A$203,MATCH(B1074,'Share classes'!$B$4:$B$203,0)),""))</f>
        <v/>
      </c>
      <c r="K1074" s="30">
        <f>IF(A1074="","",IFERROR(INDEX('Holders'!$B$4:$B$1003,MATCH(A1074,'Holders'!$A$4:$A$1003,0)),""))</f>
        <v/>
      </c>
      <c r="L1074" s="30">
        <f>IF(OR(A1074="",B1074="",D1074=""),"",IF(D1074=_xlfn.MAXIFS($D$4:$D$2503,$A$4:$A$2503,A1074,$B$4:$B$2503,B1074),"Yes","No"))</f>
        <v/>
      </c>
      <c r="M1074" s="30">
        <f>IF(B1074="","",IFERROR(INDEX('Share classes'!$F$4:$F$203,MATCH(B1074,'Share classes'!$B$4:$B$203,0)),""))</f>
        <v/>
      </c>
      <c r="N1074" s="30">
        <f>IF(A1074="","",IF(K1074="","Unknown holder ID",IF(J1074="","Unknown class code",IF(OR(C1074="",D1074=""),"Missing shares or date",IF(OR(C1074&lt;0,C1074&lt;&gt;INT(C1074)),"Shares must be a whole number",IF(COUNTIFS($A$4:$A$2503,A1074,$B$4:$B$2503,B1074,$D$4:$D$2503,D1074)&gt;1,"Duplicate row (same date)","OK"))))))</f>
        <v/>
      </c>
    </row>
    <row r="1075">
      <c r="A1075" s="26" t="n"/>
      <c r="B1075" s="26" t="n"/>
      <c r="C1075" s="34" t="n"/>
      <c r="D1075" s="28" t="n"/>
      <c r="E1075" s="26" t="n"/>
      <c r="F1075" s="26" t="n"/>
      <c r="G1075" s="26" t="n"/>
      <c r="H1075" s="38" t="n"/>
      <c r="I1075" s="28" t="n"/>
      <c r="J1075" s="30">
        <f>IF(B1075="","",IFERROR(INDEX('Share classes'!$A$4:$A$203,MATCH(B1075,'Share classes'!$B$4:$B$203,0)),""))</f>
        <v/>
      </c>
      <c r="K1075" s="30">
        <f>IF(A1075="","",IFERROR(INDEX('Holders'!$B$4:$B$1003,MATCH(A1075,'Holders'!$A$4:$A$1003,0)),""))</f>
        <v/>
      </c>
      <c r="L1075" s="30">
        <f>IF(OR(A1075="",B1075="",D1075=""),"",IF(D1075=_xlfn.MAXIFS($D$4:$D$2503,$A$4:$A$2503,A1075,$B$4:$B$2503,B1075),"Yes","No"))</f>
        <v/>
      </c>
      <c r="M1075" s="30">
        <f>IF(B1075="","",IFERROR(INDEX('Share classes'!$F$4:$F$203,MATCH(B1075,'Share classes'!$B$4:$B$203,0)),""))</f>
        <v/>
      </c>
      <c r="N1075" s="30">
        <f>IF(A1075="","",IF(K1075="","Unknown holder ID",IF(J1075="","Unknown class code",IF(OR(C1075="",D1075=""),"Missing shares or date",IF(OR(C1075&lt;0,C1075&lt;&gt;INT(C1075)),"Shares must be a whole number",IF(COUNTIFS($A$4:$A$2503,A1075,$B$4:$B$2503,B1075,$D$4:$D$2503,D1075)&gt;1,"Duplicate row (same date)","OK"))))))</f>
        <v/>
      </c>
    </row>
    <row r="1076">
      <c r="A1076" s="26" t="n"/>
      <c r="B1076" s="26" t="n"/>
      <c r="C1076" s="34" t="n"/>
      <c r="D1076" s="28" t="n"/>
      <c r="E1076" s="26" t="n"/>
      <c r="F1076" s="26" t="n"/>
      <c r="G1076" s="26" t="n"/>
      <c r="H1076" s="38" t="n"/>
      <c r="I1076" s="28" t="n"/>
      <c r="J1076" s="30">
        <f>IF(B1076="","",IFERROR(INDEX('Share classes'!$A$4:$A$203,MATCH(B1076,'Share classes'!$B$4:$B$203,0)),""))</f>
        <v/>
      </c>
      <c r="K1076" s="30">
        <f>IF(A1076="","",IFERROR(INDEX('Holders'!$B$4:$B$1003,MATCH(A1076,'Holders'!$A$4:$A$1003,0)),""))</f>
        <v/>
      </c>
      <c r="L1076" s="30">
        <f>IF(OR(A1076="",B1076="",D1076=""),"",IF(D1076=_xlfn.MAXIFS($D$4:$D$2503,$A$4:$A$2503,A1076,$B$4:$B$2503,B1076),"Yes","No"))</f>
        <v/>
      </c>
      <c r="M1076" s="30">
        <f>IF(B1076="","",IFERROR(INDEX('Share classes'!$F$4:$F$203,MATCH(B1076,'Share classes'!$B$4:$B$203,0)),""))</f>
        <v/>
      </c>
      <c r="N1076" s="30">
        <f>IF(A1076="","",IF(K1076="","Unknown holder ID",IF(J1076="","Unknown class code",IF(OR(C1076="",D1076=""),"Missing shares or date",IF(OR(C1076&lt;0,C1076&lt;&gt;INT(C1076)),"Shares must be a whole number",IF(COUNTIFS($A$4:$A$2503,A1076,$B$4:$B$2503,B1076,$D$4:$D$2503,D1076)&gt;1,"Duplicate row (same date)","OK"))))))</f>
        <v/>
      </c>
    </row>
    <row r="1077">
      <c r="A1077" s="26" t="n"/>
      <c r="B1077" s="26" t="n"/>
      <c r="C1077" s="34" t="n"/>
      <c r="D1077" s="28" t="n"/>
      <c r="E1077" s="26" t="n"/>
      <c r="F1077" s="26" t="n"/>
      <c r="G1077" s="26" t="n"/>
      <c r="H1077" s="38" t="n"/>
      <c r="I1077" s="28" t="n"/>
      <c r="J1077" s="30">
        <f>IF(B1077="","",IFERROR(INDEX('Share classes'!$A$4:$A$203,MATCH(B1077,'Share classes'!$B$4:$B$203,0)),""))</f>
        <v/>
      </c>
      <c r="K1077" s="30">
        <f>IF(A1077="","",IFERROR(INDEX('Holders'!$B$4:$B$1003,MATCH(A1077,'Holders'!$A$4:$A$1003,0)),""))</f>
        <v/>
      </c>
      <c r="L1077" s="30">
        <f>IF(OR(A1077="",B1077="",D1077=""),"",IF(D1077=_xlfn.MAXIFS($D$4:$D$2503,$A$4:$A$2503,A1077,$B$4:$B$2503,B1077),"Yes","No"))</f>
        <v/>
      </c>
      <c r="M1077" s="30">
        <f>IF(B1077="","",IFERROR(INDEX('Share classes'!$F$4:$F$203,MATCH(B1077,'Share classes'!$B$4:$B$203,0)),""))</f>
        <v/>
      </c>
      <c r="N1077" s="30">
        <f>IF(A1077="","",IF(K1077="","Unknown holder ID",IF(J1077="","Unknown class code",IF(OR(C1077="",D1077=""),"Missing shares or date",IF(OR(C1077&lt;0,C1077&lt;&gt;INT(C1077)),"Shares must be a whole number",IF(COUNTIFS($A$4:$A$2503,A1077,$B$4:$B$2503,B1077,$D$4:$D$2503,D1077)&gt;1,"Duplicate row (same date)","OK"))))))</f>
        <v/>
      </c>
    </row>
    <row r="1078">
      <c r="A1078" s="26" t="n"/>
      <c r="B1078" s="26" t="n"/>
      <c r="C1078" s="34" t="n"/>
      <c r="D1078" s="28" t="n"/>
      <c r="E1078" s="26" t="n"/>
      <c r="F1078" s="26" t="n"/>
      <c r="G1078" s="26" t="n"/>
      <c r="H1078" s="38" t="n"/>
      <c r="I1078" s="28" t="n"/>
      <c r="J1078" s="30">
        <f>IF(B1078="","",IFERROR(INDEX('Share classes'!$A$4:$A$203,MATCH(B1078,'Share classes'!$B$4:$B$203,0)),""))</f>
        <v/>
      </c>
      <c r="K1078" s="30">
        <f>IF(A1078="","",IFERROR(INDEX('Holders'!$B$4:$B$1003,MATCH(A1078,'Holders'!$A$4:$A$1003,0)),""))</f>
        <v/>
      </c>
      <c r="L1078" s="30">
        <f>IF(OR(A1078="",B1078="",D1078=""),"",IF(D1078=_xlfn.MAXIFS($D$4:$D$2503,$A$4:$A$2503,A1078,$B$4:$B$2503,B1078),"Yes","No"))</f>
        <v/>
      </c>
      <c r="M1078" s="30">
        <f>IF(B1078="","",IFERROR(INDEX('Share classes'!$F$4:$F$203,MATCH(B1078,'Share classes'!$B$4:$B$203,0)),""))</f>
        <v/>
      </c>
      <c r="N1078" s="30">
        <f>IF(A1078="","",IF(K1078="","Unknown holder ID",IF(J1078="","Unknown class code",IF(OR(C1078="",D1078=""),"Missing shares or date",IF(OR(C1078&lt;0,C1078&lt;&gt;INT(C1078)),"Shares must be a whole number",IF(COUNTIFS($A$4:$A$2503,A1078,$B$4:$B$2503,B1078,$D$4:$D$2503,D1078)&gt;1,"Duplicate row (same date)","OK"))))))</f>
        <v/>
      </c>
    </row>
    <row r="1079">
      <c r="A1079" s="26" t="n"/>
      <c r="B1079" s="26" t="n"/>
      <c r="C1079" s="34" t="n"/>
      <c r="D1079" s="28" t="n"/>
      <c r="E1079" s="26" t="n"/>
      <c r="F1079" s="26" t="n"/>
      <c r="G1079" s="26" t="n"/>
      <c r="H1079" s="38" t="n"/>
      <c r="I1079" s="28" t="n"/>
      <c r="J1079" s="30">
        <f>IF(B1079="","",IFERROR(INDEX('Share classes'!$A$4:$A$203,MATCH(B1079,'Share classes'!$B$4:$B$203,0)),""))</f>
        <v/>
      </c>
      <c r="K1079" s="30">
        <f>IF(A1079="","",IFERROR(INDEX('Holders'!$B$4:$B$1003,MATCH(A1079,'Holders'!$A$4:$A$1003,0)),""))</f>
        <v/>
      </c>
      <c r="L1079" s="30">
        <f>IF(OR(A1079="",B1079="",D1079=""),"",IF(D1079=_xlfn.MAXIFS($D$4:$D$2503,$A$4:$A$2503,A1079,$B$4:$B$2503,B1079),"Yes","No"))</f>
        <v/>
      </c>
      <c r="M1079" s="30">
        <f>IF(B1079="","",IFERROR(INDEX('Share classes'!$F$4:$F$203,MATCH(B1079,'Share classes'!$B$4:$B$203,0)),""))</f>
        <v/>
      </c>
      <c r="N1079" s="30">
        <f>IF(A1079="","",IF(K1079="","Unknown holder ID",IF(J1079="","Unknown class code",IF(OR(C1079="",D1079=""),"Missing shares or date",IF(OR(C1079&lt;0,C1079&lt;&gt;INT(C1079)),"Shares must be a whole number",IF(COUNTIFS($A$4:$A$2503,A1079,$B$4:$B$2503,B1079,$D$4:$D$2503,D1079)&gt;1,"Duplicate row (same date)","OK"))))))</f>
        <v/>
      </c>
    </row>
    <row r="1080">
      <c r="A1080" s="26" t="n"/>
      <c r="B1080" s="26" t="n"/>
      <c r="C1080" s="34" t="n"/>
      <c r="D1080" s="28" t="n"/>
      <c r="E1080" s="26" t="n"/>
      <c r="F1080" s="26" t="n"/>
      <c r="G1080" s="26" t="n"/>
      <c r="H1080" s="38" t="n"/>
      <c r="I1080" s="28" t="n"/>
      <c r="J1080" s="30">
        <f>IF(B1080="","",IFERROR(INDEX('Share classes'!$A$4:$A$203,MATCH(B1080,'Share classes'!$B$4:$B$203,0)),""))</f>
        <v/>
      </c>
      <c r="K1080" s="30">
        <f>IF(A1080="","",IFERROR(INDEX('Holders'!$B$4:$B$1003,MATCH(A1080,'Holders'!$A$4:$A$1003,0)),""))</f>
        <v/>
      </c>
      <c r="L1080" s="30">
        <f>IF(OR(A1080="",B1080="",D1080=""),"",IF(D1080=_xlfn.MAXIFS($D$4:$D$2503,$A$4:$A$2503,A1080,$B$4:$B$2503,B1080),"Yes","No"))</f>
        <v/>
      </c>
      <c r="M1080" s="30">
        <f>IF(B1080="","",IFERROR(INDEX('Share classes'!$F$4:$F$203,MATCH(B1080,'Share classes'!$B$4:$B$203,0)),""))</f>
        <v/>
      </c>
      <c r="N1080" s="30">
        <f>IF(A1080="","",IF(K1080="","Unknown holder ID",IF(J1080="","Unknown class code",IF(OR(C1080="",D1080=""),"Missing shares or date",IF(OR(C1080&lt;0,C1080&lt;&gt;INT(C1080)),"Shares must be a whole number",IF(COUNTIFS($A$4:$A$2503,A1080,$B$4:$B$2503,B1080,$D$4:$D$2503,D1080)&gt;1,"Duplicate row (same date)","OK"))))))</f>
        <v/>
      </c>
    </row>
    <row r="1081">
      <c r="A1081" s="26" t="n"/>
      <c r="B1081" s="26" t="n"/>
      <c r="C1081" s="34" t="n"/>
      <c r="D1081" s="28" t="n"/>
      <c r="E1081" s="26" t="n"/>
      <c r="F1081" s="26" t="n"/>
      <c r="G1081" s="26" t="n"/>
      <c r="H1081" s="38" t="n"/>
      <c r="I1081" s="28" t="n"/>
      <c r="J1081" s="30">
        <f>IF(B1081="","",IFERROR(INDEX('Share classes'!$A$4:$A$203,MATCH(B1081,'Share classes'!$B$4:$B$203,0)),""))</f>
        <v/>
      </c>
      <c r="K1081" s="30">
        <f>IF(A1081="","",IFERROR(INDEX('Holders'!$B$4:$B$1003,MATCH(A1081,'Holders'!$A$4:$A$1003,0)),""))</f>
        <v/>
      </c>
      <c r="L1081" s="30">
        <f>IF(OR(A1081="",B1081="",D1081=""),"",IF(D1081=_xlfn.MAXIFS($D$4:$D$2503,$A$4:$A$2503,A1081,$B$4:$B$2503,B1081),"Yes","No"))</f>
        <v/>
      </c>
      <c r="M1081" s="30">
        <f>IF(B1081="","",IFERROR(INDEX('Share classes'!$F$4:$F$203,MATCH(B1081,'Share classes'!$B$4:$B$203,0)),""))</f>
        <v/>
      </c>
      <c r="N1081" s="30">
        <f>IF(A1081="","",IF(K1081="","Unknown holder ID",IF(J1081="","Unknown class code",IF(OR(C1081="",D1081=""),"Missing shares or date",IF(OR(C1081&lt;0,C1081&lt;&gt;INT(C1081)),"Shares must be a whole number",IF(COUNTIFS($A$4:$A$2503,A1081,$B$4:$B$2503,B1081,$D$4:$D$2503,D1081)&gt;1,"Duplicate row (same date)","OK"))))))</f>
        <v/>
      </c>
    </row>
    <row r="1082">
      <c r="A1082" s="26" t="n"/>
      <c r="B1082" s="26" t="n"/>
      <c r="C1082" s="34" t="n"/>
      <c r="D1082" s="28" t="n"/>
      <c r="E1082" s="26" t="n"/>
      <c r="F1082" s="26" t="n"/>
      <c r="G1082" s="26" t="n"/>
      <c r="H1082" s="38" t="n"/>
      <c r="I1082" s="28" t="n"/>
      <c r="J1082" s="30">
        <f>IF(B1082="","",IFERROR(INDEX('Share classes'!$A$4:$A$203,MATCH(B1082,'Share classes'!$B$4:$B$203,0)),""))</f>
        <v/>
      </c>
      <c r="K1082" s="30">
        <f>IF(A1082="","",IFERROR(INDEX('Holders'!$B$4:$B$1003,MATCH(A1082,'Holders'!$A$4:$A$1003,0)),""))</f>
        <v/>
      </c>
      <c r="L1082" s="30">
        <f>IF(OR(A1082="",B1082="",D1082=""),"",IF(D1082=_xlfn.MAXIFS($D$4:$D$2503,$A$4:$A$2503,A1082,$B$4:$B$2503,B1082),"Yes","No"))</f>
        <v/>
      </c>
      <c r="M1082" s="30">
        <f>IF(B1082="","",IFERROR(INDEX('Share classes'!$F$4:$F$203,MATCH(B1082,'Share classes'!$B$4:$B$203,0)),""))</f>
        <v/>
      </c>
      <c r="N1082" s="30">
        <f>IF(A1082="","",IF(K1082="","Unknown holder ID",IF(J1082="","Unknown class code",IF(OR(C1082="",D1082=""),"Missing shares or date",IF(OR(C1082&lt;0,C1082&lt;&gt;INT(C1082)),"Shares must be a whole number",IF(COUNTIFS($A$4:$A$2503,A1082,$B$4:$B$2503,B1082,$D$4:$D$2503,D1082)&gt;1,"Duplicate row (same date)","OK"))))))</f>
        <v/>
      </c>
    </row>
    <row r="1083">
      <c r="A1083" s="26" t="n"/>
      <c r="B1083" s="26" t="n"/>
      <c r="C1083" s="34" t="n"/>
      <c r="D1083" s="28" t="n"/>
      <c r="E1083" s="26" t="n"/>
      <c r="F1083" s="26" t="n"/>
      <c r="G1083" s="26" t="n"/>
      <c r="H1083" s="38" t="n"/>
      <c r="I1083" s="28" t="n"/>
      <c r="J1083" s="30">
        <f>IF(B1083="","",IFERROR(INDEX('Share classes'!$A$4:$A$203,MATCH(B1083,'Share classes'!$B$4:$B$203,0)),""))</f>
        <v/>
      </c>
      <c r="K1083" s="30">
        <f>IF(A1083="","",IFERROR(INDEX('Holders'!$B$4:$B$1003,MATCH(A1083,'Holders'!$A$4:$A$1003,0)),""))</f>
        <v/>
      </c>
      <c r="L1083" s="30">
        <f>IF(OR(A1083="",B1083="",D1083=""),"",IF(D1083=_xlfn.MAXIFS($D$4:$D$2503,$A$4:$A$2503,A1083,$B$4:$B$2503,B1083),"Yes","No"))</f>
        <v/>
      </c>
      <c r="M1083" s="30">
        <f>IF(B1083="","",IFERROR(INDEX('Share classes'!$F$4:$F$203,MATCH(B1083,'Share classes'!$B$4:$B$203,0)),""))</f>
        <v/>
      </c>
      <c r="N1083" s="30">
        <f>IF(A1083="","",IF(K1083="","Unknown holder ID",IF(J1083="","Unknown class code",IF(OR(C1083="",D1083=""),"Missing shares or date",IF(OR(C1083&lt;0,C1083&lt;&gt;INT(C1083)),"Shares must be a whole number",IF(COUNTIFS($A$4:$A$2503,A1083,$B$4:$B$2503,B1083,$D$4:$D$2503,D1083)&gt;1,"Duplicate row (same date)","OK"))))))</f>
        <v/>
      </c>
    </row>
    <row r="1084">
      <c r="A1084" s="26" t="n"/>
      <c r="B1084" s="26" t="n"/>
      <c r="C1084" s="34" t="n"/>
      <c r="D1084" s="28" t="n"/>
      <c r="E1084" s="26" t="n"/>
      <c r="F1084" s="26" t="n"/>
      <c r="G1084" s="26" t="n"/>
      <c r="H1084" s="38" t="n"/>
      <c r="I1084" s="28" t="n"/>
      <c r="J1084" s="30">
        <f>IF(B1084="","",IFERROR(INDEX('Share classes'!$A$4:$A$203,MATCH(B1084,'Share classes'!$B$4:$B$203,0)),""))</f>
        <v/>
      </c>
      <c r="K1084" s="30">
        <f>IF(A1084="","",IFERROR(INDEX('Holders'!$B$4:$B$1003,MATCH(A1084,'Holders'!$A$4:$A$1003,0)),""))</f>
        <v/>
      </c>
      <c r="L1084" s="30">
        <f>IF(OR(A1084="",B1084="",D1084=""),"",IF(D1084=_xlfn.MAXIFS($D$4:$D$2503,$A$4:$A$2503,A1084,$B$4:$B$2503,B1084),"Yes","No"))</f>
        <v/>
      </c>
      <c r="M1084" s="30">
        <f>IF(B1084="","",IFERROR(INDEX('Share classes'!$F$4:$F$203,MATCH(B1084,'Share classes'!$B$4:$B$203,0)),""))</f>
        <v/>
      </c>
      <c r="N1084" s="30">
        <f>IF(A1084="","",IF(K1084="","Unknown holder ID",IF(J1084="","Unknown class code",IF(OR(C1084="",D1084=""),"Missing shares or date",IF(OR(C1084&lt;0,C1084&lt;&gt;INT(C1084)),"Shares must be a whole number",IF(COUNTIFS($A$4:$A$2503,A1084,$B$4:$B$2503,B1084,$D$4:$D$2503,D1084)&gt;1,"Duplicate row (same date)","OK"))))))</f>
        <v/>
      </c>
    </row>
    <row r="1085">
      <c r="A1085" s="26" t="n"/>
      <c r="B1085" s="26" t="n"/>
      <c r="C1085" s="34" t="n"/>
      <c r="D1085" s="28" t="n"/>
      <c r="E1085" s="26" t="n"/>
      <c r="F1085" s="26" t="n"/>
      <c r="G1085" s="26" t="n"/>
      <c r="H1085" s="38" t="n"/>
      <c r="I1085" s="28" t="n"/>
      <c r="J1085" s="30">
        <f>IF(B1085="","",IFERROR(INDEX('Share classes'!$A$4:$A$203,MATCH(B1085,'Share classes'!$B$4:$B$203,0)),""))</f>
        <v/>
      </c>
      <c r="K1085" s="30">
        <f>IF(A1085="","",IFERROR(INDEX('Holders'!$B$4:$B$1003,MATCH(A1085,'Holders'!$A$4:$A$1003,0)),""))</f>
        <v/>
      </c>
      <c r="L1085" s="30">
        <f>IF(OR(A1085="",B1085="",D1085=""),"",IF(D1085=_xlfn.MAXIFS($D$4:$D$2503,$A$4:$A$2503,A1085,$B$4:$B$2503,B1085),"Yes","No"))</f>
        <v/>
      </c>
      <c r="M1085" s="30">
        <f>IF(B1085="","",IFERROR(INDEX('Share classes'!$F$4:$F$203,MATCH(B1085,'Share classes'!$B$4:$B$203,0)),""))</f>
        <v/>
      </c>
      <c r="N1085" s="30">
        <f>IF(A1085="","",IF(K1085="","Unknown holder ID",IF(J1085="","Unknown class code",IF(OR(C1085="",D1085=""),"Missing shares or date",IF(OR(C1085&lt;0,C1085&lt;&gt;INT(C1085)),"Shares must be a whole number",IF(COUNTIFS($A$4:$A$2503,A1085,$B$4:$B$2503,B1085,$D$4:$D$2503,D1085)&gt;1,"Duplicate row (same date)","OK"))))))</f>
        <v/>
      </c>
    </row>
    <row r="1086">
      <c r="A1086" s="26" t="n"/>
      <c r="B1086" s="26" t="n"/>
      <c r="C1086" s="34" t="n"/>
      <c r="D1086" s="28" t="n"/>
      <c r="E1086" s="26" t="n"/>
      <c r="F1086" s="26" t="n"/>
      <c r="G1086" s="26" t="n"/>
      <c r="H1086" s="38" t="n"/>
      <c r="I1086" s="28" t="n"/>
      <c r="J1086" s="30">
        <f>IF(B1086="","",IFERROR(INDEX('Share classes'!$A$4:$A$203,MATCH(B1086,'Share classes'!$B$4:$B$203,0)),""))</f>
        <v/>
      </c>
      <c r="K1086" s="30">
        <f>IF(A1086="","",IFERROR(INDEX('Holders'!$B$4:$B$1003,MATCH(A1086,'Holders'!$A$4:$A$1003,0)),""))</f>
        <v/>
      </c>
      <c r="L1086" s="30">
        <f>IF(OR(A1086="",B1086="",D1086=""),"",IF(D1086=_xlfn.MAXIFS($D$4:$D$2503,$A$4:$A$2503,A1086,$B$4:$B$2503,B1086),"Yes","No"))</f>
        <v/>
      </c>
      <c r="M1086" s="30">
        <f>IF(B1086="","",IFERROR(INDEX('Share classes'!$F$4:$F$203,MATCH(B1086,'Share classes'!$B$4:$B$203,0)),""))</f>
        <v/>
      </c>
      <c r="N1086" s="30">
        <f>IF(A1086="","",IF(K1086="","Unknown holder ID",IF(J1086="","Unknown class code",IF(OR(C1086="",D1086=""),"Missing shares or date",IF(OR(C1086&lt;0,C1086&lt;&gt;INT(C1086)),"Shares must be a whole number",IF(COUNTIFS($A$4:$A$2503,A1086,$B$4:$B$2503,B1086,$D$4:$D$2503,D1086)&gt;1,"Duplicate row (same date)","OK"))))))</f>
        <v/>
      </c>
    </row>
    <row r="1087">
      <c r="A1087" s="26" t="n"/>
      <c r="B1087" s="26" t="n"/>
      <c r="C1087" s="34" t="n"/>
      <c r="D1087" s="28" t="n"/>
      <c r="E1087" s="26" t="n"/>
      <c r="F1087" s="26" t="n"/>
      <c r="G1087" s="26" t="n"/>
      <c r="H1087" s="38" t="n"/>
      <c r="I1087" s="28" t="n"/>
      <c r="J1087" s="30">
        <f>IF(B1087="","",IFERROR(INDEX('Share classes'!$A$4:$A$203,MATCH(B1087,'Share classes'!$B$4:$B$203,0)),""))</f>
        <v/>
      </c>
      <c r="K1087" s="30">
        <f>IF(A1087="","",IFERROR(INDEX('Holders'!$B$4:$B$1003,MATCH(A1087,'Holders'!$A$4:$A$1003,0)),""))</f>
        <v/>
      </c>
      <c r="L1087" s="30">
        <f>IF(OR(A1087="",B1087="",D1087=""),"",IF(D1087=_xlfn.MAXIFS($D$4:$D$2503,$A$4:$A$2503,A1087,$B$4:$B$2503,B1087),"Yes","No"))</f>
        <v/>
      </c>
      <c r="M1087" s="30">
        <f>IF(B1087="","",IFERROR(INDEX('Share classes'!$F$4:$F$203,MATCH(B1087,'Share classes'!$B$4:$B$203,0)),""))</f>
        <v/>
      </c>
      <c r="N1087" s="30">
        <f>IF(A1087="","",IF(K1087="","Unknown holder ID",IF(J1087="","Unknown class code",IF(OR(C1087="",D1087=""),"Missing shares or date",IF(OR(C1087&lt;0,C1087&lt;&gt;INT(C1087)),"Shares must be a whole number",IF(COUNTIFS($A$4:$A$2503,A1087,$B$4:$B$2503,B1087,$D$4:$D$2503,D1087)&gt;1,"Duplicate row (same date)","OK"))))))</f>
        <v/>
      </c>
    </row>
    <row r="1088">
      <c r="A1088" s="26" t="n"/>
      <c r="B1088" s="26" t="n"/>
      <c r="C1088" s="34" t="n"/>
      <c r="D1088" s="28" t="n"/>
      <c r="E1088" s="26" t="n"/>
      <c r="F1088" s="26" t="n"/>
      <c r="G1088" s="26" t="n"/>
      <c r="H1088" s="38" t="n"/>
      <c r="I1088" s="28" t="n"/>
      <c r="J1088" s="30">
        <f>IF(B1088="","",IFERROR(INDEX('Share classes'!$A$4:$A$203,MATCH(B1088,'Share classes'!$B$4:$B$203,0)),""))</f>
        <v/>
      </c>
      <c r="K1088" s="30">
        <f>IF(A1088="","",IFERROR(INDEX('Holders'!$B$4:$B$1003,MATCH(A1088,'Holders'!$A$4:$A$1003,0)),""))</f>
        <v/>
      </c>
      <c r="L1088" s="30">
        <f>IF(OR(A1088="",B1088="",D1088=""),"",IF(D1088=_xlfn.MAXIFS($D$4:$D$2503,$A$4:$A$2503,A1088,$B$4:$B$2503,B1088),"Yes","No"))</f>
        <v/>
      </c>
      <c r="M1088" s="30">
        <f>IF(B1088="","",IFERROR(INDEX('Share classes'!$F$4:$F$203,MATCH(B1088,'Share classes'!$B$4:$B$203,0)),""))</f>
        <v/>
      </c>
      <c r="N1088" s="30">
        <f>IF(A1088="","",IF(K1088="","Unknown holder ID",IF(J1088="","Unknown class code",IF(OR(C1088="",D1088=""),"Missing shares or date",IF(OR(C1088&lt;0,C1088&lt;&gt;INT(C1088)),"Shares must be a whole number",IF(COUNTIFS($A$4:$A$2503,A1088,$B$4:$B$2503,B1088,$D$4:$D$2503,D1088)&gt;1,"Duplicate row (same date)","OK"))))))</f>
        <v/>
      </c>
    </row>
    <row r="1089">
      <c r="A1089" s="26" t="n"/>
      <c r="B1089" s="26" t="n"/>
      <c r="C1089" s="34" t="n"/>
      <c r="D1089" s="28" t="n"/>
      <c r="E1089" s="26" t="n"/>
      <c r="F1089" s="26" t="n"/>
      <c r="G1089" s="26" t="n"/>
      <c r="H1089" s="38" t="n"/>
      <c r="I1089" s="28" t="n"/>
      <c r="J1089" s="30">
        <f>IF(B1089="","",IFERROR(INDEX('Share classes'!$A$4:$A$203,MATCH(B1089,'Share classes'!$B$4:$B$203,0)),""))</f>
        <v/>
      </c>
      <c r="K1089" s="30">
        <f>IF(A1089="","",IFERROR(INDEX('Holders'!$B$4:$B$1003,MATCH(A1089,'Holders'!$A$4:$A$1003,0)),""))</f>
        <v/>
      </c>
      <c r="L1089" s="30">
        <f>IF(OR(A1089="",B1089="",D1089=""),"",IF(D1089=_xlfn.MAXIFS($D$4:$D$2503,$A$4:$A$2503,A1089,$B$4:$B$2503,B1089),"Yes","No"))</f>
        <v/>
      </c>
      <c r="M1089" s="30">
        <f>IF(B1089="","",IFERROR(INDEX('Share classes'!$F$4:$F$203,MATCH(B1089,'Share classes'!$B$4:$B$203,0)),""))</f>
        <v/>
      </c>
      <c r="N1089" s="30">
        <f>IF(A1089="","",IF(K1089="","Unknown holder ID",IF(J1089="","Unknown class code",IF(OR(C1089="",D1089=""),"Missing shares or date",IF(OR(C1089&lt;0,C1089&lt;&gt;INT(C1089)),"Shares must be a whole number",IF(COUNTIFS($A$4:$A$2503,A1089,$B$4:$B$2503,B1089,$D$4:$D$2503,D1089)&gt;1,"Duplicate row (same date)","OK"))))))</f>
        <v/>
      </c>
    </row>
    <row r="1090">
      <c r="A1090" s="26" t="n"/>
      <c r="B1090" s="26" t="n"/>
      <c r="C1090" s="34" t="n"/>
      <c r="D1090" s="28" t="n"/>
      <c r="E1090" s="26" t="n"/>
      <c r="F1090" s="26" t="n"/>
      <c r="G1090" s="26" t="n"/>
      <c r="H1090" s="38" t="n"/>
      <c r="I1090" s="28" t="n"/>
      <c r="J1090" s="30">
        <f>IF(B1090="","",IFERROR(INDEX('Share classes'!$A$4:$A$203,MATCH(B1090,'Share classes'!$B$4:$B$203,0)),""))</f>
        <v/>
      </c>
      <c r="K1090" s="30">
        <f>IF(A1090="","",IFERROR(INDEX('Holders'!$B$4:$B$1003,MATCH(A1090,'Holders'!$A$4:$A$1003,0)),""))</f>
        <v/>
      </c>
      <c r="L1090" s="30">
        <f>IF(OR(A1090="",B1090="",D1090=""),"",IF(D1090=_xlfn.MAXIFS($D$4:$D$2503,$A$4:$A$2503,A1090,$B$4:$B$2503,B1090),"Yes","No"))</f>
        <v/>
      </c>
      <c r="M1090" s="30">
        <f>IF(B1090="","",IFERROR(INDEX('Share classes'!$F$4:$F$203,MATCH(B1090,'Share classes'!$B$4:$B$203,0)),""))</f>
        <v/>
      </c>
      <c r="N1090" s="30">
        <f>IF(A1090="","",IF(K1090="","Unknown holder ID",IF(J1090="","Unknown class code",IF(OR(C1090="",D1090=""),"Missing shares or date",IF(OR(C1090&lt;0,C1090&lt;&gt;INT(C1090)),"Shares must be a whole number",IF(COUNTIFS($A$4:$A$2503,A1090,$B$4:$B$2503,B1090,$D$4:$D$2503,D1090)&gt;1,"Duplicate row (same date)","OK"))))))</f>
        <v/>
      </c>
    </row>
    <row r="1091">
      <c r="A1091" s="26" t="n"/>
      <c r="B1091" s="26" t="n"/>
      <c r="C1091" s="34" t="n"/>
      <c r="D1091" s="28" t="n"/>
      <c r="E1091" s="26" t="n"/>
      <c r="F1091" s="26" t="n"/>
      <c r="G1091" s="26" t="n"/>
      <c r="H1091" s="38" t="n"/>
      <c r="I1091" s="28" t="n"/>
      <c r="J1091" s="30">
        <f>IF(B1091="","",IFERROR(INDEX('Share classes'!$A$4:$A$203,MATCH(B1091,'Share classes'!$B$4:$B$203,0)),""))</f>
        <v/>
      </c>
      <c r="K1091" s="30">
        <f>IF(A1091="","",IFERROR(INDEX('Holders'!$B$4:$B$1003,MATCH(A1091,'Holders'!$A$4:$A$1003,0)),""))</f>
        <v/>
      </c>
      <c r="L1091" s="30">
        <f>IF(OR(A1091="",B1091="",D1091=""),"",IF(D1091=_xlfn.MAXIFS($D$4:$D$2503,$A$4:$A$2503,A1091,$B$4:$B$2503,B1091),"Yes","No"))</f>
        <v/>
      </c>
      <c r="M1091" s="30">
        <f>IF(B1091="","",IFERROR(INDEX('Share classes'!$F$4:$F$203,MATCH(B1091,'Share classes'!$B$4:$B$203,0)),""))</f>
        <v/>
      </c>
      <c r="N1091" s="30">
        <f>IF(A1091="","",IF(K1091="","Unknown holder ID",IF(J1091="","Unknown class code",IF(OR(C1091="",D1091=""),"Missing shares or date",IF(OR(C1091&lt;0,C1091&lt;&gt;INT(C1091)),"Shares must be a whole number",IF(COUNTIFS($A$4:$A$2503,A1091,$B$4:$B$2503,B1091,$D$4:$D$2503,D1091)&gt;1,"Duplicate row (same date)","OK"))))))</f>
        <v/>
      </c>
    </row>
    <row r="1092">
      <c r="A1092" s="26" t="n"/>
      <c r="B1092" s="26" t="n"/>
      <c r="C1092" s="34" t="n"/>
      <c r="D1092" s="28" t="n"/>
      <c r="E1092" s="26" t="n"/>
      <c r="F1092" s="26" t="n"/>
      <c r="G1092" s="26" t="n"/>
      <c r="H1092" s="38" t="n"/>
      <c r="I1092" s="28" t="n"/>
      <c r="J1092" s="30">
        <f>IF(B1092="","",IFERROR(INDEX('Share classes'!$A$4:$A$203,MATCH(B1092,'Share classes'!$B$4:$B$203,0)),""))</f>
        <v/>
      </c>
      <c r="K1092" s="30">
        <f>IF(A1092="","",IFERROR(INDEX('Holders'!$B$4:$B$1003,MATCH(A1092,'Holders'!$A$4:$A$1003,0)),""))</f>
        <v/>
      </c>
      <c r="L1092" s="30">
        <f>IF(OR(A1092="",B1092="",D1092=""),"",IF(D1092=_xlfn.MAXIFS($D$4:$D$2503,$A$4:$A$2503,A1092,$B$4:$B$2503,B1092),"Yes","No"))</f>
        <v/>
      </c>
      <c r="M1092" s="30">
        <f>IF(B1092="","",IFERROR(INDEX('Share classes'!$F$4:$F$203,MATCH(B1092,'Share classes'!$B$4:$B$203,0)),""))</f>
        <v/>
      </c>
      <c r="N1092" s="30">
        <f>IF(A1092="","",IF(K1092="","Unknown holder ID",IF(J1092="","Unknown class code",IF(OR(C1092="",D1092=""),"Missing shares or date",IF(OR(C1092&lt;0,C1092&lt;&gt;INT(C1092)),"Shares must be a whole number",IF(COUNTIFS($A$4:$A$2503,A1092,$B$4:$B$2503,B1092,$D$4:$D$2503,D1092)&gt;1,"Duplicate row (same date)","OK"))))))</f>
        <v/>
      </c>
    </row>
    <row r="1093">
      <c r="A1093" s="26" t="n"/>
      <c r="B1093" s="26" t="n"/>
      <c r="C1093" s="34" t="n"/>
      <c r="D1093" s="28" t="n"/>
      <c r="E1093" s="26" t="n"/>
      <c r="F1093" s="26" t="n"/>
      <c r="G1093" s="26" t="n"/>
      <c r="H1093" s="38" t="n"/>
      <c r="I1093" s="28" t="n"/>
      <c r="J1093" s="30">
        <f>IF(B1093="","",IFERROR(INDEX('Share classes'!$A$4:$A$203,MATCH(B1093,'Share classes'!$B$4:$B$203,0)),""))</f>
        <v/>
      </c>
      <c r="K1093" s="30">
        <f>IF(A1093="","",IFERROR(INDEX('Holders'!$B$4:$B$1003,MATCH(A1093,'Holders'!$A$4:$A$1003,0)),""))</f>
        <v/>
      </c>
      <c r="L1093" s="30">
        <f>IF(OR(A1093="",B1093="",D1093=""),"",IF(D1093=_xlfn.MAXIFS($D$4:$D$2503,$A$4:$A$2503,A1093,$B$4:$B$2503,B1093),"Yes","No"))</f>
        <v/>
      </c>
      <c r="M1093" s="30">
        <f>IF(B1093="","",IFERROR(INDEX('Share classes'!$F$4:$F$203,MATCH(B1093,'Share classes'!$B$4:$B$203,0)),""))</f>
        <v/>
      </c>
      <c r="N1093" s="30">
        <f>IF(A1093="","",IF(K1093="","Unknown holder ID",IF(J1093="","Unknown class code",IF(OR(C1093="",D1093=""),"Missing shares or date",IF(OR(C1093&lt;0,C1093&lt;&gt;INT(C1093)),"Shares must be a whole number",IF(COUNTIFS($A$4:$A$2503,A1093,$B$4:$B$2503,B1093,$D$4:$D$2503,D1093)&gt;1,"Duplicate row (same date)","OK"))))))</f>
        <v/>
      </c>
    </row>
    <row r="1094">
      <c r="A1094" s="26" t="n"/>
      <c r="B1094" s="26" t="n"/>
      <c r="C1094" s="34" t="n"/>
      <c r="D1094" s="28" t="n"/>
      <c r="E1094" s="26" t="n"/>
      <c r="F1094" s="26" t="n"/>
      <c r="G1094" s="26" t="n"/>
      <c r="H1094" s="38" t="n"/>
      <c r="I1094" s="28" t="n"/>
      <c r="J1094" s="30">
        <f>IF(B1094="","",IFERROR(INDEX('Share classes'!$A$4:$A$203,MATCH(B1094,'Share classes'!$B$4:$B$203,0)),""))</f>
        <v/>
      </c>
      <c r="K1094" s="30">
        <f>IF(A1094="","",IFERROR(INDEX('Holders'!$B$4:$B$1003,MATCH(A1094,'Holders'!$A$4:$A$1003,0)),""))</f>
        <v/>
      </c>
      <c r="L1094" s="30">
        <f>IF(OR(A1094="",B1094="",D1094=""),"",IF(D1094=_xlfn.MAXIFS($D$4:$D$2503,$A$4:$A$2503,A1094,$B$4:$B$2503,B1094),"Yes","No"))</f>
        <v/>
      </c>
      <c r="M1094" s="30">
        <f>IF(B1094="","",IFERROR(INDEX('Share classes'!$F$4:$F$203,MATCH(B1094,'Share classes'!$B$4:$B$203,0)),""))</f>
        <v/>
      </c>
      <c r="N1094" s="30">
        <f>IF(A1094="","",IF(K1094="","Unknown holder ID",IF(J1094="","Unknown class code",IF(OR(C1094="",D1094=""),"Missing shares or date",IF(OR(C1094&lt;0,C1094&lt;&gt;INT(C1094)),"Shares must be a whole number",IF(COUNTIFS($A$4:$A$2503,A1094,$B$4:$B$2503,B1094,$D$4:$D$2503,D1094)&gt;1,"Duplicate row (same date)","OK"))))))</f>
        <v/>
      </c>
    </row>
    <row r="1095">
      <c r="A1095" s="26" t="n"/>
      <c r="B1095" s="26" t="n"/>
      <c r="C1095" s="34" t="n"/>
      <c r="D1095" s="28" t="n"/>
      <c r="E1095" s="26" t="n"/>
      <c r="F1095" s="26" t="n"/>
      <c r="G1095" s="26" t="n"/>
      <c r="H1095" s="38" t="n"/>
      <c r="I1095" s="28" t="n"/>
      <c r="J1095" s="30">
        <f>IF(B1095="","",IFERROR(INDEX('Share classes'!$A$4:$A$203,MATCH(B1095,'Share classes'!$B$4:$B$203,0)),""))</f>
        <v/>
      </c>
      <c r="K1095" s="30">
        <f>IF(A1095="","",IFERROR(INDEX('Holders'!$B$4:$B$1003,MATCH(A1095,'Holders'!$A$4:$A$1003,0)),""))</f>
        <v/>
      </c>
      <c r="L1095" s="30">
        <f>IF(OR(A1095="",B1095="",D1095=""),"",IF(D1095=_xlfn.MAXIFS($D$4:$D$2503,$A$4:$A$2503,A1095,$B$4:$B$2503,B1095),"Yes","No"))</f>
        <v/>
      </c>
      <c r="M1095" s="30">
        <f>IF(B1095="","",IFERROR(INDEX('Share classes'!$F$4:$F$203,MATCH(B1095,'Share classes'!$B$4:$B$203,0)),""))</f>
        <v/>
      </c>
      <c r="N1095" s="30">
        <f>IF(A1095="","",IF(K1095="","Unknown holder ID",IF(J1095="","Unknown class code",IF(OR(C1095="",D1095=""),"Missing shares or date",IF(OR(C1095&lt;0,C1095&lt;&gt;INT(C1095)),"Shares must be a whole number",IF(COUNTIFS($A$4:$A$2503,A1095,$B$4:$B$2503,B1095,$D$4:$D$2503,D1095)&gt;1,"Duplicate row (same date)","OK"))))))</f>
        <v/>
      </c>
    </row>
    <row r="1096">
      <c r="A1096" s="26" t="n"/>
      <c r="B1096" s="26" t="n"/>
      <c r="C1096" s="34" t="n"/>
      <c r="D1096" s="28" t="n"/>
      <c r="E1096" s="26" t="n"/>
      <c r="F1096" s="26" t="n"/>
      <c r="G1096" s="26" t="n"/>
      <c r="H1096" s="38" t="n"/>
      <c r="I1096" s="28" t="n"/>
      <c r="J1096" s="30">
        <f>IF(B1096="","",IFERROR(INDEX('Share classes'!$A$4:$A$203,MATCH(B1096,'Share classes'!$B$4:$B$203,0)),""))</f>
        <v/>
      </c>
      <c r="K1096" s="30">
        <f>IF(A1096="","",IFERROR(INDEX('Holders'!$B$4:$B$1003,MATCH(A1096,'Holders'!$A$4:$A$1003,0)),""))</f>
        <v/>
      </c>
      <c r="L1096" s="30">
        <f>IF(OR(A1096="",B1096="",D1096=""),"",IF(D1096=_xlfn.MAXIFS($D$4:$D$2503,$A$4:$A$2503,A1096,$B$4:$B$2503,B1096),"Yes","No"))</f>
        <v/>
      </c>
      <c r="M1096" s="30">
        <f>IF(B1096="","",IFERROR(INDEX('Share classes'!$F$4:$F$203,MATCH(B1096,'Share classes'!$B$4:$B$203,0)),""))</f>
        <v/>
      </c>
      <c r="N1096" s="30">
        <f>IF(A1096="","",IF(K1096="","Unknown holder ID",IF(J1096="","Unknown class code",IF(OR(C1096="",D1096=""),"Missing shares or date",IF(OR(C1096&lt;0,C1096&lt;&gt;INT(C1096)),"Shares must be a whole number",IF(COUNTIFS($A$4:$A$2503,A1096,$B$4:$B$2503,B1096,$D$4:$D$2503,D1096)&gt;1,"Duplicate row (same date)","OK"))))))</f>
        <v/>
      </c>
    </row>
    <row r="1097">
      <c r="A1097" s="26" t="n"/>
      <c r="B1097" s="26" t="n"/>
      <c r="C1097" s="34" t="n"/>
      <c r="D1097" s="28" t="n"/>
      <c r="E1097" s="26" t="n"/>
      <c r="F1097" s="26" t="n"/>
      <c r="G1097" s="26" t="n"/>
      <c r="H1097" s="38" t="n"/>
      <c r="I1097" s="28" t="n"/>
      <c r="J1097" s="30">
        <f>IF(B1097="","",IFERROR(INDEX('Share classes'!$A$4:$A$203,MATCH(B1097,'Share classes'!$B$4:$B$203,0)),""))</f>
        <v/>
      </c>
      <c r="K1097" s="30">
        <f>IF(A1097="","",IFERROR(INDEX('Holders'!$B$4:$B$1003,MATCH(A1097,'Holders'!$A$4:$A$1003,0)),""))</f>
        <v/>
      </c>
      <c r="L1097" s="30">
        <f>IF(OR(A1097="",B1097="",D1097=""),"",IF(D1097=_xlfn.MAXIFS($D$4:$D$2503,$A$4:$A$2503,A1097,$B$4:$B$2503,B1097),"Yes","No"))</f>
        <v/>
      </c>
      <c r="M1097" s="30">
        <f>IF(B1097="","",IFERROR(INDEX('Share classes'!$F$4:$F$203,MATCH(B1097,'Share classes'!$B$4:$B$203,0)),""))</f>
        <v/>
      </c>
      <c r="N1097" s="30">
        <f>IF(A1097="","",IF(K1097="","Unknown holder ID",IF(J1097="","Unknown class code",IF(OR(C1097="",D1097=""),"Missing shares or date",IF(OR(C1097&lt;0,C1097&lt;&gt;INT(C1097)),"Shares must be a whole number",IF(COUNTIFS($A$4:$A$2503,A1097,$B$4:$B$2503,B1097,$D$4:$D$2503,D1097)&gt;1,"Duplicate row (same date)","OK"))))))</f>
        <v/>
      </c>
    </row>
    <row r="1098">
      <c r="A1098" s="26" t="n"/>
      <c r="B1098" s="26" t="n"/>
      <c r="C1098" s="34" t="n"/>
      <c r="D1098" s="28" t="n"/>
      <c r="E1098" s="26" t="n"/>
      <c r="F1098" s="26" t="n"/>
      <c r="G1098" s="26" t="n"/>
      <c r="H1098" s="38" t="n"/>
      <c r="I1098" s="28" t="n"/>
      <c r="J1098" s="30">
        <f>IF(B1098="","",IFERROR(INDEX('Share classes'!$A$4:$A$203,MATCH(B1098,'Share classes'!$B$4:$B$203,0)),""))</f>
        <v/>
      </c>
      <c r="K1098" s="30">
        <f>IF(A1098="","",IFERROR(INDEX('Holders'!$B$4:$B$1003,MATCH(A1098,'Holders'!$A$4:$A$1003,0)),""))</f>
        <v/>
      </c>
      <c r="L1098" s="30">
        <f>IF(OR(A1098="",B1098="",D1098=""),"",IF(D1098=_xlfn.MAXIFS($D$4:$D$2503,$A$4:$A$2503,A1098,$B$4:$B$2503,B1098),"Yes","No"))</f>
        <v/>
      </c>
      <c r="M1098" s="30">
        <f>IF(B1098="","",IFERROR(INDEX('Share classes'!$F$4:$F$203,MATCH(B1098,'Share classes'!$B$4:$B$203,0)),""))</f>
        <v/>
      </c>
      <c r="N1098" s="30">
        <f>IF(A1098="","",IF(K1098="","Unknown holder ID",IF(J1098="","Unknown class code",IF(OR(C1098="",D1098=""),"Missing shares or date",IF(OR(C1098&lt;0,C1098&lt;&gt;INT(C1098)),"Shares must be a whole number",IF(COUNTIFS($A$4:$A$2503,A1098,$B$4:$B$2503,B1098,$D$4:$D$2503,D1098)&gt;1,"Duplicate row (same date)","OK"))))))</f>
        <v/>
      </c>
    </row>
    <row r="1099">
      <c r="A1099" s="26" t="n"/>
      <c r="B1099" s="26" t="n"/>
      <c r="C1099" s="34" t="n"/>
      <c r="D1099" s="28" t="n"/>
      <c r="E1099" s="26" t="n"/>
      <c r="F1099" s="26" t="n"/>
      <c r="G1099" s="26" t="n"/>
      <c r="H1099" s="38" t="n"/>
      <c r="I1099" s="28" t="n"/>
      <c r="J1099" s="30">
        <f>IF(B1099="","",IFERROR(INDEX('Share classes'!$A$4:$A$203,MATCH(B1099,'Share classes'!$B$4:$B$203,0)),""))</f>
        <v/>
      </c>
      <c r="K1099" s="30">
        <f>IF(A1099="","",IFERROR(INDEX('Holders'!$B$4:$B$1003,MATCH(A1099,'Holders'!$A$4:$A$1003,0)),""))</f>
        <v/>
      </c>
      <c r="L1099" s="30">
        <f>IF(OR(A1099="",B1099="",D1099=""),"",IF(D1099=_xlfn.MAXIFS($D$4:$D$2503,$A$4:$A$2503,A1099,$B$4:$B$2503,B1099),"Yes","No"))</f>
        <v/>
      </c>
      <c r="M1099" s="30">
        <f>IF(B1099="","",IFERROR(INDEX('Share classes'!$F$4:$F$203,MATCH(B1099,'Share classes'!$B$4:$B$203,0)),""))</f>
        <v/>
      </c>
      <c r="N1099" s="30">
        <f>IF(A1099="","",IF(K1099="","Unknown holder ID",IF(J1099="","Unknown class code",IF(OR(C1099="",D1099=""),"Missing shares or date",IF(OR(C1099&lt;0,C1099&lt;&gt;INT(C1099)),"Shares must be a whole number",IF(COUNTIFS($A$4:$A$2503,A1099,$B$4:$B$2503,B1099,$D$4:$D$2503,D1099)&gt;1,"Duplicate row (same date)","OK"))))))</f>
        <v/>
      </c>
    </row>
    <row r="1100">
      <c r="A1100" s="26" t="n"/>
      <c r="B1100" s="26" t="n"/>
      <c r="C1100" s="34" t="n"/>
      <c r="D1100" s="28" t="n"/>
      <c r="E1100" s="26" t="n"/>
      <c r="F1100" s="26" t="n"/>
      <c r="G1100" s="26" t="n"/>
      <c r="H1100" s="38" t="n"/>
      <c r="I1100" s="28" t="n"/>
      <c r="J1100" s="30">
        <f>IF(B1100="","",IFERROR(INDEX('Share classes'!$A$4:$A$203,MATCH(B1100,'Share classes'!$B$4:$B$203,0)),""))</f>
        <v/>
      </c>
      <c r="K1100" s="30">
        <f>IF(A1100="","",IFERROR(INDEX('Holders'!$B$4:$B$1003,MATCH(A1100,'Holders'!$A$4:$A$1003,0)),""))</f>
        <v/>
      </c>
      <c r="L1100" s="30">
        <f>IF(OR(A1100="",B1100="",D1100=""),"",IF(D1100=_xlfn.MAXIFS($D$4:$D$2503,$A$4:$A$2503,A1100,$B$4:$B$2503,B1100),"Yes","No"))</f>
        <v/>
      </c>
      <c r="M1100" s="30">
        <f>IF(B1100="","",IFERROR(INDEX('Share classes'!$F$4:$F$203,MATCH(B1100,'Share classes'!$B$4:$B$203,0)),""))</f>
        <v/>
      </c>
      <c r="N1100" s="30">
        <f>IF(A1100="","",IF(K1100="","Unknown holder ID",IF(J1100="","Unknown class code",IF(OR(C1100="",D1100=""),"Missing shares or date",IF(OR(C1100&lt;0,C1100&lt;&gt;INT(C1100)),"Shares must be a whole number",IF(COUNTIFS($A$4:$A$2503,A1100,$B$4:$B$2503,B1100,$D$4:$D$2503,D1100)&gt;1,"Duplicate row (same date)","OK"))))))</f>
        <v/>
      </c>
    </row>
    <row r="1101">
      <c r="A1101" s="26" t="n"/>
      <c r="B1101" s="26" t="n"/>
      <c r="C1101" s="34" t="n"/>
      <c r="D1101" s="28" t="n"/>
      <c r="E1101" s="26" t="n"/>
      <c r="F1101" s="26" t="n"/>
      <c r="G1101" s="26" t="n"/>
      <c r="H1101" s="38" t="n"/>
      <c r="I1101" s="28" t="n"/>
      <c r="J1101" s="30">
        <f>IF(B1101="","",IFERROR(INDEX('Share classes'!$A$4:$A$203,MATCH(B1101,'Share classes'!$B$4:$B$203,0)),""))</f>
        <v/>
      </c>
      <c r="K1101" s="30">
        <f>IF(A1101="","",IFERROR(INDEX('Holders'!$B$4:$B$1003,MATCH(A1101,'Holders'!$A$4:$A$1003,0)),""))</f>
        <v/>
      </c>
      <c r="L1101" s="30">
        <f>IF(OR(A1101="",B1101="",D1101=""),"",IF(D1101=_xlfn.MAXIFS($D$4:$D$2503,$A$4:$A$2503,A1101,$B$4:$B$2503,B1101),"Yes","No"))</f>
        <v/>
      </c>
      <c r="M1101" s="30">
        <f>IF(B1101="","",IFERROR(INDEX('Share classes'!$F$4:$F$203,MATCH(B1101,'Share classes'!$B$4:$B$203,0)),""))</f>
        <v/>
      </c>
      <c r="N1101" s="30">
        <f>IF(A1101="","",IF(K1101="","Unknown holder ID",IF(J1101="","Unknown class code",IF(OR(C1101="",D1101=""),"Missing shares or date",IF(OR(C1101&lt;0,C1101&lt;&gt;INT(C1101)),"Shares must be a whole number",IF(COUNTIFS($A$4:$A$2503,A1101,$B$4:$B$2503,B1101,$D$4:$D$2503,D1101)&gt;1,"Duplicate row (same date)","OK"))))))</f>
        <v/>
      </c>
    </row>
    <row r="1102">
      <c r="A1102" s="26" t="n"/>
      <c r="B1102" s="26" t="n"/>
      <c r="C1102" s="34" t="n"/>
      <c r="D1102" s="28" t="n"/>
      <c r="E1102" s="26" t="n"/>
      <c r="F1102" s="26" t="n"/>
      <c r="G1102" s="26" t="n"/>
      <c r="H1102" s="38" t="n"/>
      <c r="I1102" s="28" t="n"/>
      <c r="J1102" s="30">
        <f>IF(B1102="","",IFERROR(INDEX('Share classes'!$A$4:$A$203,MATCH(B1102,'Share classes'!$B$4:$B$203,0)),""))</f>
        <v/>
      </c>
      <c r="K1102" s="30">
        <f>IF(A1102="","",IFERROR(INDEX('Holders'!$B$4:$B$1003,MATCH(A1102,'Holders'!$A$4:$A$1003,0)),""))</f>
        <v/>
      </c>
      <c r="L1102" s="30">
        <f>IF(OR(A1102="",B1102="",D1102=""),"",IF(D1102=_xlfn.MAXIFS($D$4:$D$2503,$A$4:$A$2503,A1102,$B$4:$B$2503,B1102),"Yes","No"))</f>
        <v/>
      </c>
      <c r="M1102" s="30">
        <f>IF(B1102="","",IFERROR(INDEX('Share classes'!$F$4:$F$203,MATCH(B1102,'Share classes'!$B$4:$B$203,0)),""))</f>
        <v/>
      </c>
      <c r="N1102" s="30">
        <f>IF(A1102="","",IF(K1102="","Unknown holder ID",IF(J1102="","Unknown class code",IF(OR(C1102="",D1102=""),"Missing shares or date",IF(OR(C1102&lt;0,C1102&lt;&gt;INT(C1102)),"Shares must be a whole number",IF(COUNTIFS($A$4:$A$2503,A1102,$B$4:$B$2503,B1102,$D$4:$D$2503,D1102)&gt;1,"Duplicate row (same date)","OK"))))))</f>
        <v/>
      </c>
    </row>
    <row r="1103">
      <c r="A1103" s="26" t="n"/>
      <c r="B1103" s="26" t="n"/>
      <c r="C1103" s="34" t="n"/>
      <c r="D1103" s="28" t="n"/>
      <c r="E1103" s="26" t="n"/>
      <c r="F1103" s="26" t="n"/>
      <c r="G1103" s="26" t="n"/>
      <c r="H1103" s="38" t="n"/>
      <c r="I1103" s="28" t="n"/>
      <c r="J1103" s="30">
        <f>IF(B1103="","",IFERROR(INDEX('Share classes'!$A$4:$A$203,MATCH(B1103,'Share classes'!$B$4:$B$203,0)),""))</f>
        <v/>
      </c>
      <c r="K1103" s="30">
        <f>IF(A1103="","",IFERROR(INDEX('Holders'!$B$4:$B$1003,MATCH(A1103,'Holders'!$A$4:$A$1003,0)),""))</f>
        <v/>
      </c>
      <c r="L1103" s="30">
        <f>IF(OR(A1103="",B1103="",D1103=""),"",IF(D1103=_xlfn.MAXIFS($D$4:$D$2503,$A$4:$A$2503,A1103,$B$4:$B$2503,B1103),"Yes","No"))</f>
        <v/>
      </c>
      <c r="M1103" s="30">
        <f>IF(B1103="","",IFERROR(INDEX('Share classes'!$F$4:$F$203,MATCH(B1103,'Share classes'!$B$4:$B$203,0)),""))</f>
        <v/>
      </c>
      <c r="N1103" s="30">
        <f>IF(A1103="","",IF(K1103="","Unknown holder ID",IF(J1103="","Unknown class code",IF(OR(C1103="",D1103=""),"Missing shares or date",IF(OR(C1103&lt;0,C1103&lt;&gt;INT(C1103)),"Shares must be a whole number",IF(COUNTIFS($A$4:$A$2503,A1103,$B$4:$B$2503,B1103,$D$4:$D$2503,D1103)&gt;1,"Duplicate row (same date)","OK"))))))</f>
        <v/>
      </c>
    </row>
    <row r="1104">
      <c r="A1104" s="26" t="n"/>
      <c r="B1104" s="26" t="n"/>
      <c r="C1104" s="34" t="n"/>
      <c r="D1104" s="28" t="n"/>
      <c r="E1104" s="26" t="n"/>
      <c r="F1104" s="26" t="n"/>
      <c r="G1104" s="26" t="n"/>
      <c r="H1104" s="38" t="n"/>
      <c r="I1104" s="28" t="n"/>
      <c r="J1104" s="30">
        <f>IF(B1104="","",IFERROR(INDEX('Share classes'!$A$4:$A$203,MATCH(B1104,'Share classes'!$B$4:$B$203,0)),""))</f>
        <v/>
      </c>
      <c r="K1104" s="30">
        <f>IF(A1104="","",IFERROR(INDEX('Holders'!$B$4:$B$1003,MATCH(A1104,'Holders'!$A$4:$A$1003,0)),""))</f>
        <v/>
      </c>
      <c r="L1104" s="30">
        <f>IF(OR(A1104="",B1104="",D1104=""),"",IF(D1104=_xlfn.MAXIFS($D$4:$D$2503,$A$4:$A$2503,A1104,$B$4:$B$2503,B1104),"Yes","No"))</f>
        <v/>
      </c>
      <c r="M1104" s="30">
        <f>IF(B1104="","",IFERROR(INDEX('Share classes'!$F$4:$F$203,MATCH(B1104,'Share classes'!$B$4:$B$203,0)),""))</f>
        <v/>
      </c>
      <c r="N1104" s="30">
        <f>IF(A1104="","",IF(K1104="","Unknown holder ID",IF(J1104="","Unknown class code",IF(OR(C1104="",D1104=""),"Missing shares or date",IF(OR(C1104&lt;0,C1104&lt;&gt;INT(C1104)),"Shares must be a whole number",IF(COUNTIFS($A$4:$A$2503,A1104,$B$4:$B$2503,B1104,$D$4:$D$2503,D1104)&gt;1,"Duplicate row (same date)","OK"))))))</f>
        <v/>
      </c>
    </row>
    <row r="1105">
      <c r="A1105" s="26" t="n"/>
      <c r="B1105" s="26" t="n"/>
      <c r="C1105" s="34" t="n"/>
      <c r="D1105" s="28" t="n"/>
      <c r="E1105" s="26" t="n"/>
      <c r="F1105" s="26" t="n"/>
      <c r="G1105" s="26" t="n"/>
      <c r="H1105" s="38" t="n"/>
      <c r="I1105" s="28" t="n"/>
      <c r="J1105" s="30">
        <f>IF(B1105="","",IFERROR(INDEX('Share classes'!$A$4:$A$203,MATCH(B1105,'Share classes'!$B$4:$B$203,0)),""))</f>
        <v/>
      </c>
      <c r="K1105" s="30">
        <f>IF(A1105="","",IFERROR(INDEX('Holders'!$B$4:$B$1003,MATCH(A1105,'Holders'!$A$4:$A$1003,0)),""))</f>
        <v/>
      </c>
      <c r="L1105" s="30">
        <f>IF(OR(A1105="",B1105="",D1105=""),"",IF(D1105=_xlfn.MAXIFS($D$4:$D$2503,$A$4:$A$2503,A1105,$B$4:$B$2503,B1105),"Yes","No"))</f>
        <v/>
      </c>
      <c r="M1105" s="30">
        <f>IF(B1105="","",IFERROR(INDEX('Share classes'!$F$4:$F$203,MATCH(B1105,'Share classes'!$B$4:$B$203,0)),""))</f>
        <v/>
      </c>
      <c r="N1105" s="30">
        <f>IF(A1105="","",IF(K1105="","Unknown holder ID",IF(J1105="","Unknown class code",IF(OR(C1105="",D1105=""),"Missing shares or date",IF(OR(C1105&lt;0,C1105&lt;&gt;INT(C1105)),"Shares must be a whole number",IF(COUNTIFS($A$4:$A$2503,A1105,$B$4:$B$2503,B1105,$D$4:$D$2503,D1105)&gt;1,"Duplicate row (same date)","OK"))))))</f>
        <v/>
      </c>
    </row>
    <row r="1106">
      <c r="A1106" s="26" t="n"/>
      <c r="B1106" s="26" t="n"/>
      <c r="C1106" s="34" t="n"/>
      <c r="D1106" s="28" t="n"/>
      <c r="E1106" s="26" t="n"/>
      <c r="F1106" s="26" t="n"/>
      <c r="G1106" s="26" t="n"/>
      <c r="H1106" s="38" t="n"/>
      <c r="I1106" s="28" t="n"/>
      <c r="J1106" s="30">
        <f>IF(B1106="","",IFERROR(INDEX('Share classes'!$A$4:$A$203,MATCH(B1106,'Share classes'!$B$4:$B$203,0)),""))</f>
        <v/>
      </c>
      <c r="K1106" s="30">
        <f>IF(A1106="","",IFERROR(INDEX('Holders'!$B$4:$B$1003,MATCH(A1106,'Holders'!$A$4:$A$1003,0)),""))</f>
        <v/>
      </c>
      <c r="L1106" s="30">
        <f>IF(OR(A1106="",B1106="",D1106=""),"",IF(D1106=_xlfn.MAXIFS($D$4:$D$2503,$A$4:$A$2503,A1106,$B$4:$B$2503,B1106),"Yes","No"))</f>
        <v/>
      </c>
      <c r="M1106" s="30">
        <f>IF(B1106="","",IFERROR(INDEX('Share classes'!$F$4:$F$203,MATCH(B1106,'Share classes'!$B$4:$B$203,0)),""))</f>
        <v/>
      </c>
      <c r="N1106" s="30">
        <f>IF(A1106="","",IF(K1106="","Unknown holder ID",IF(J1106="","Unknown class code",IF(OR(C1106="",D1106=""),"Missing shares or date",IF(OR(C1106&lt;0,C1106&lt;&gt;INT(C1106)),"Shares must be a whole number",IF(COUNTIFS($A$4:$A$2503,A1106,$B$4:$B$2503,B1106,$D$4:$D$2503,D1106)&gt;1,"Duplicate row (same date)","OK"))))))</f>
        <v/>
      </c>
    </row>
    <row r="1107">
      <c r="A1107" s="26" t="n"/>
      <c r="B1107" s="26" t="n"/>
      <c r="C1107" s="34" t="n"/>
      <c r="D1107" s="28" t="n"/>
      <c r="E1107" s="26" t="n"/>
      <c r="F1107" s="26" t="n"/>
      <c r="G1107" s="26" t="n"/>
      <c r="H1107" s="38" t="n"/>
      <c r="I1107" s="28" t="n"/>
      <c r="J1107" s="30">
        <f>IF(B1107="","",IFERROR(INDEX('Share classes'!$A$4:$A$203,MATCH(B1107,'Share classes'!$B$4:$B$203,0)),""))</f>
        <v/>
      </c>
      <c r="K1107" s="30">
        <f>IF(A1107="","",IFERROR(INDEX('Holders'!$B$4:$B$1003,MATCH(A1107,'Holders'!$A$4:$A$1003,0)),""))</f>
        <v/>
      </c>
      <c r="L1107" s="30">
        <f>IF(OR(A1107="",B1107="",D1107=""),"",IF(D1107=_xlfn.MAXIFS($D$4:$D$2503,$A$4:$A$2503,A1107,$B$4:$B$2503,B1107),"Yes","No"))</f>
        <v/>
      </c>
      <c r="M1107" s="30">
        <f>IF(B1107="","",IFERROR(INDEX('Share classes'!$F$4:$F$203,MATCH(B1107,'Share classes'!$B$4:$B$203,0)),""))</f>
        <v/>
      </c>
      <c r="N1107" s="30">
        <f>IF(A1107="","",IF(K1107="","Unknown holder ID",IF(J1107="","Unknown class code",IF(OR(C1107="",D1107=""),"Missing shares or date",IF(OR(C1107&lt;0,C1107&lt;&gt;INT(C1107)),"Shares must be a whole number",IF(COUNTIFS($A$4:$A$2503,A1107,$B$4:$B$2503,B1107,$D$4:$D$2503,D1107)&gt;1,"Duplicate row (same date)","OK"))))))</f>
        <v/>
      </c>
    </row>
    <row r="1108">
      <c r="A1108" s="26" t="n"/>
      <c r="B1108" s="26" t="n"/>
      <c r="C1108" s="34" t="n"/>
      <c r="D1108" s="28" t="n"/>
      <c r="E1108" s="26" t="n"/>
      <c r="F1108" s="26" t="n"/>
      <c r="G1108" s="26" t="n"/>
      <c r="H1108" s="38" t="n"/>
      <c r="I1108" s="28" t="n"/>
      <c r="J1108" s="30">
        <f>IF(B1108="","",IFERROR(INDEX('Share classes'!$A$4:$A$203,MATCH(B1108,'Share classes'!$B$4:$B$203,0)),""))</f>
        <v/>
      </c>
      <c r="K1108" s="30">
        <f>IF(A1108="","",IFERROR(INDEX('Holders'!$B$4:$B$1003,MATCH(A1108,'Holders'!$A$4:$A$1003,0)),""))</f>
        <v/>
      </c>
      <c r="L1108" s="30">
        <f>IF(OR(A1108="",B1108="",D1108=""),"",IF(D1108=_xlfn.MAXIFS($D$4:$D$2503,$A$4:$A$2503,A1108,$B$4:$B$2503,B1108),"Yes","No"))</f>
        <v/>
      </c>
      <c r="M1108" s="30">
        <f>IF(B1108="","",IFERROR(INDEX('Share classes'!$F$4:$F$203,MATCH(B1108,'Share classes'!$B$4:$B$203,0)),""))</f>
        <v/>
      </c>
      <c r="N1108" s="30">
        <f>IF(A1108="","",IF(K1108="","Unknown holder ID",IF(J1108="","Unknown class code",IF(OR(C1108="",D1108=""),"Missing shares or date",IF(OR(C1108&lt;0,C1108&lt;&gt;INT(C1108)),"Shares must be a whole number",IF(COUNTIFS($A$4:$A$2503,A1108,$B$4:$B$2503,B1108,$D$4:$D$2503,D1108)&gt;1,"Duplicate row (same date)","OK"))))))</f>
        <v/>
      </c>
    </row>
    <row r="1109">
      <c r="A1109" s="26" t="n"/>
      <c r="B1109" s="26" t="n"/>
      <c r="C1109" s="34" t="n"/>
      <c r="D1109" s="28" t="n"/>
      <c r="E1109" s="26" t="n"/>
      <c r="F1109" s="26" t="n"/>
      <c r="G1109" s="26" t="n"/>
      <c r="H1109" s="38" t="n"/>
      <c r="I1109" s="28" t="n"/>
      <c r="J1109" s="30">
        <f>IF(B1109="","",IFERROR(INDEX('Share classes'!$A$4:$A$203,MATCH(B1109,'Share classes'!$B$4:$B$203,0)),""))</f>
        <v/>
      </c>
      <c r="K1109" s="30">
        <f>IF(A1109="","",IFERROR(INDEX('Holders'!$B$4:$B$1003,MATCH(A1109,'Holders'!$A$4:$A$1003,0)),""))</f>
        <v/>
      </c>
      <c r="L1109" s="30">
        <f>IF(OR(A1109="",B1109="",D1109=""),"",IF(D1109=_xlfn.MAXIFS($D$4:$D$2503,$A$4:$A$2503,A1109,$B$4:$B$2503,B1109),"Yes","No"))</f>
        <v/>
      </c>
      <c r="M1109" s="30">
        <f>IF(B1109="","",IFERROR(INDEX('Share classes'!$F$4:$F$203,MATCH(B1109,'Share classes'!$B$4:$B$203,0)),""))</f>
        <v/>
      </c>
      <c r="N1109" s="30">
        <f>IF(A1109="","",IF(K1109="","Unknown holder ID",IF(J1109="","Unknown class code",IF(OR(C1109="",D1109=""),"Missing shares or date",IF(OR(C1109&lt;0,C1109&lt;&gt;INT(C1109)),"Shares must be a whole number",IF(COUNTIFS($A$4:$A$2503,A1109,$B$4:$B$2503,B1109,$D$4:$D$2503,D1109)&gt;1,"Duplicate row (same date)","OK"))))))</f>
        <v/>
      </c>
    </row>
    <row r="1110">
      <c r="A1110" s="26" t="n"/>
      <c r="B1110" s="26" t="n"/>
      <c r="C1110" s="34" t="n"/>
      <c r="D1110" s="28" t="n"/>
      <c r="E1110" s="26" t="n"/>
      <c r="F1110" s="26" t="n"/>
      <c r="G1110" s="26" t="n"/>
      <c r="H1110" s="38" t="n"/>
      <c r="I1110" s="28" t="n"/>
      <c r="J1110" s="30">
        <f>IF(B1110="","",IFERROR(INDEX('Share classes'!$A$4:$A$203,MATCH(B1110,'Share classes'!$B$4:$B$203,0)),""))</f>
        <v/>
      </c>
      <c r="K1110" s="30">
        <f>IF(A1110="","",IFERROR(INDEX('Holders'!$B$4:$B$1003,MATCH(A1110,'Holders'!$A$4:$A$1003,0)),""))</f>
        <v/>
      </c>
      <c r="L1110" s="30">
        <f>IF(OR(A1110="",B1110="",D1110=""),"",IF(D1110=_xlfn.MAXIFS($D$4:$D$2503,$A$4:$A$2503,A1110,$B$4:$B$2503,B1110),"Yes","No"))</f>
        <v/>
      </c>
      <c r="M1110" s="30">
        <f>IF(B1110="","",IFERROR(INDEX('Share classes'!$F$4:$F$203,MATCH(B1110,'Share classes'!$B$4:$B$203,0)),""))</f>
        <v/>
      </c>
      <c r="N1110" s="30">
        <f>IF(A1110="","",IF(K1110="","Unknown holder ID",IF(J1110="","Unknown class code",IF(OR(C1110="",D1110=""),"Missing shares or date",IF(OR(C1110&lt;0,C1110&lt;&gt;INT(C1110)),"Shares must be a whole number",IF(COUNTIFS($A$4:$A$2503,A1110,$B$4:$B$2503,B1110,$D$4:$D$2503,D1110)&gt;1,"Duplicate row (same date)","OK"))))))</f>
        <v/>
      </c>
    </row>
    <row r="1111">
      <c r="A1111" s="26" t="n"/>
      <c r="B1111" s="26" t="n"/>
      <c r="C1111" s="34" t="n"/>
      <c r="D1111" s="28" t="n"/>
      <c r="E1111" s="26" t="n"/>
      <c r="F1111" s="26" t="n"/>
      <c r="G1111" s="26" t="n"/>
      <c r="H1111" s="38" t="n"/>
      <c r="I1111" s="28" t="n"/>
      <c r="J1111" s="30">
        <f>IF(B1111="","",IFERROR(INDEX('Share classes'!$A$4:$A$203,MATCH(B1111,'Share classes'!$B$4:$B$203,0)),""))</f>
        <v/>
      </c>
      <c r="K1111" s="30">
        <f>IF(A1111="","",IFERROR(INDEX('Holders'!$B$4:$B$1003,MATCH(A1111,'Holders'!$A$4:$A$1003,0)),""))</f>
        <v/>
      </c>
      <c r="L1111" s="30">
        <f>IF(OR(A1111="",B1111="",D1111=""),"",IF(D1111=_xlfn.MAXIFS($D$4:$D$2503,$A$4:$A$2503,A1111,$B$4:$B$2503,B1111),"Yes","No"))</f>
        <v/>
      </c>
      <c r="M1111" s="30">
        <f>IF(B1111="","",IFERROR(INDEX('Share classes'!$F$4:$F$203,MATCH(B1111,'Share classes'!$B$4:$B$203,0)),""))</f>
        <v/>
      </c>
      <c r="N1111" s="30">
        <f>IF(A1111="","",IF(K1111="","Unknown holder ID",IF(J1111="","Unknown class code",IF(OR(C1111="",D1111=""),"Missing shares or date",IF(OR(C1111&lt;0,C1111&lt;&gt;INT(C1111)),"Shares must be a whole number",IF(COUNTIFS($A$4:$A$2503,A1111,$B$4:$B$2503,B1111,$D$4:$D$2503,D1111)&gt;1,"Duplicate row (same date)","OK"))))))</f>
        <v/>
      </c>
    </row>
    <row r="1112">
      <c r="A1112" s="26" t="n"/>
      <c r="B1112" s="26" t="n"/>
      <c r="C1112" s="34" t="n"/>
      <c r="D1112" s="28" t="n"/>
      <c r="E1112" s="26" t="n"/>
      <c r="F1112" s="26" t="n"/>
      <c r="G1112" s="26" t="n"/>
      <c r="H1112" s="38" t="n"/>
      <c r="I1112" s="28" t="n"/>
      <c r="J1112" s="30">
        <f>IF(B1112="","",IFERROR(INDEX('Share classes'!$A$4:$A$203,MATCH(B1112,'Share classes'!$B$4:$B$203,0)),""))</f>
        <v/>
      </c>
      <c r="K1112" s="30">
        <f>IF(A1112="","",IFERROR(INDEX('Holders'!$B$4:$B$1003,MATCH(A1112,'Holders'!$A$4:$A$1003,0)),""))</f>
        <v/>
      </c>
      <c r="L1112" s="30">
        <f>IF(OR(A1112="",B1112="",D1112=""),"",IF(D1112=_xlfn.MAXIFS($D$4:$D$2503,$A$4:$A$2503,A1112,$B$4:$B$2503,B1112),"Yes","No"))</f>
        <v/>
      </c>
      <c r="M1112" s="30">
        <f>IF(B1112="","",IFERROR(INDEX('Share classes'!$F$4:$F$203,MATCH(B1112,'Share classes'!$B$4:$B$203,0)),""))</f>
        <v/>
      </c>
      <c r="N1112" s="30">
        <f>IF(A1112="","",IF(K1112="","Unknown holder ID",IF(J1112="","Unknown class code",IF(OR(C1112="",D1112=""),"Missing shares or date",IF(OR(C1112&lt;0,C1112&lt;&gt;INT(C1112)),"Shares must be a whole number",IF(COUNTIFS($A$4:$A$2503,A1112,$B$4:$B$2503,B1112,$D$4:$D$2503,D1112)&gt;1,"Duplicate row (same date)","OK"))))))</f>
        <v/>
      </c>
    </row>
    <row r="1113">
      <c r="A1113" s="26" t="n"/>
      <c r="B1113" s="26" t="n"/>
      <c r="C1113" s="34" t="n"/>
      <c r="D1113" s="28" t="n"/>
      <c r="E1113" s="26" t="n"/>
      <c r="F1113" s="26" t="n"/>
      <c r="G1113" s="26" t="n"/>
      <c r="H1113" s="38" t="n"/>
      <c r="I1113" s="28" t="n"/>
      <c r="J1113" s="30">
        <f>IF(B1113="","",IFERROR(INDEX('Share classes'!$A$4:$A$203,MATCH(B1113,'Share classes'!$B$4:$B$203,0)),""))</f>
        <v/>
      </c>
      <c r="K1113" s="30">
        <f>IF(A1113="","",IFERROR(INDEX('Holders'!$B$4:$B$1003,MATCH(A1113,'Holders'!$A$4:$A$1003,0)),""))</f>
        <v/>
      </c>
      <c r="L1113" s="30">
        <f>IF(OR(A1113="",B1113="",D1113=""),"",IF(D1113=_xlfn.MAXIFS($D$4:$D$2503,$A$4:$A$2503,A1113,$B$4:$B$2503,B1113),"Yes","No"))</f>
        <v/>
      </c>
      <c r="M1113" s="30">
        <f>IF(B1113="","",IFERROR(INDEX('Share classes'!$F$4:$F$203,MATCH(B1113,'Share classes'!$B$4:$B$203,0)),""))</f>
        <v/>
      </c>
      <c r="N1113" s="30">
        <f>IF(A1113="","",IF(K1113="","Unknown holder ID",IF(J1113="","Unknown class code",IF(OR(C1113="",D1113=""),"Missing shares or date",IF(OR(C1113&lt;0,C1113&lt;&gt;INT(C1113)),"Shares must be a whole number",IF(COUNTIFS($A$4:$A$2503,A1113,$B$4:$B$2503,B1113,$D$4:$D$2503,D1113)&gt;1,"Duplicate row (same date)","OK"))))))</f>
        <v/>
      </c>
    </row>
    <row r="1114">
      <c r="A1114" s="26" t="n"/>
      <c r="B1114" s="26" t="n"/>
      <c r="C1114" s="34" t="n"/>
      <c r="D1114" s="28" t="n"/>
      <c r="E1114" s="26" t="n"/>
      <c r="F1114" s="26" t="n"/>
      <c r="G1114" s="26" t="n"/>
      <c r="H1114" s="38" t="n"/>
      <c r="I1114" s="28" t="n"/>
      <c r="J1114" s="30">
        <f>IF(B1114="","",IFERROR(INDEX('Share classes'!$A$4:$A$203,MATCH(B1114,'Share classes'!$B$4:$B$203,0)),""))</f>
        <v/>
      </c>
      <c r="K1114" s="30">
        <f>IF(A1114="","",IFERROR(INDEX('Holders'!$B$4:$B$1003,MATCH(A1114,'Holders'!$A$4:$A$1003,0)),""))</f>
        <v/>
      </c>
      <c r="L1114" s="30">
        <f>IF(OR(A1114="",B1114="",D1114=""),"",IF(D1114=_xlfn.MAXIFS($D$4:$D$2503,$A$4:$A$2503,A1114,$B$4:$B$2503,B1114),"Yes","No"))</f>
        <v/>
      </c>
      <c r="M1114" s="30">
        <f>IF(B1114="","",IFERROR(INDEX('Share classes'!$F$4:$F$203,MATCH(B1114,'Share classes'!$B$4:$B$203,0)),""))</f>
        <v/>
      </c>
      <c r="N1114" s="30">
        <f>IF(A1114="","",IF(K1114="","Unknown holder ID",IF(J1114="","Unknown class code",IF(OR(C1114="",D1114=""),"Missing shares or date",IF(OR(C1114&lt;0,C1114&lt;&gt;INT(C1114)),"Shares must be a whole number",IF(COUNTIFS($A$4:$A$2503,A1114,$B$4:$B$2503,B1114,$D$4:$D$2503,D1114)&gt;1,"Duplicate row (same date)","OK"))))))</f>
        <v/>
      </c>
    </row>
    <row r="1115">
      <c r="A1115" s="26" t="n"/>
      <c r="B1115" s="26" t="n"/>
      <c r="C1115" s="34" t="n"/>
      <c r="D1115" s="28" t="n"/>
      <c r="E1115" s="26" t="n"/>
      <c r="F1115" s="26" t="n"/>
      <c r="G1115" s="26" t="n"/>
      <c r="H1115" s="38" t="n"/>
      <c r="I1115" s="28" t="n"/>
      <c r="J1115" s="30">
        <f>IF(B1115="","",IFERROR(INDEX('Share classes'!$A$4:$A$203,MATCH(B1115,'Share classes'!$B$4:$B$203,0)),""))</f>
        <v/>
      </c>
      <c r="K1115" s="30">
        <f>IF(A1115="","",IFERROR(INDEX('Holders'!$B$4:$B$1003,MATCH(A1115,'Holders'!$A$4:$A$1003,0)),""))</f>
        <v/>
      </c>
      <c r="L1115" s="30">
        <f>IF(OR(A1115="",B1115="",D1115=""),"",IF(D1115=_xlfn.MAXIFS($D$4:$D$2503,$A$4:$A$2503,A1115,$B$4:$B$2503,B1115),"Yes","No"))</f>
        <v/>
      </c>
      <c r="M1115" s="30">
        <f>IF(B1115="","",IFERROR(INDEX('Share classes'!$F$4:$F$203,MATCH(B1115,'Share classes'!$B$4:$B$203,0)),""))</f>
        <v/>
      </c>
      <c r="N1115" s="30">
        <f>IF(A1115="","",IF(K1115="","Unknown holder ID",IF(J1115="","Unknown class code",IF(OR(C1115="",D1115=""),"Missing shares or date",IF(OR(C1115&lt;0,C1115&lt;&gt;INT(C1115)),"Shares must be a whole number",IF(COUNTIFS($A$4:$A$2503,A1115,$B$4:$B$2503,B1115,$D$4:$D$2503,D1115)&gt;1,"Duplicate row (same date)","OK"))))))</f>
        <v/>
      </c>
    </row>
    <row r="1116">
      <c r="A1116" s="26" t="n"/>
      <c r="B1116" s="26" t="n"/>
      <c r="C1116" s="34" t="n"/>
      <c r="D1116" s="28" t="n"/>
      <c r="E1116" s="26" t="n"/>
      <c r="F1116" s="26" t="n"/>
      <c r="G1116" s="26" t="n"/>
      <c r="H1116" s="38" t="n"/>
      <c r="I1116" s="28" t="n"/>
      <c r="J1116" s="30">
        <f>IF(B1116="","",IFERROR(INDEX('Share classes'!$A$4:$A$203,MATCH(B1116,'Share classes'!$B$4:$B$203,0)),""))</f>
        <v/>
      </c>
      <c r="K1116" s="30">
        <f>IF(A1116="","",IFERROR(INDEX('Holders'!$B$4:$B$1003,MATCH(A1116,'Holders'!$A$4:$A$1003,0)),""))</f>
        <v/>
      </c>
      <c r="L1116" s="30">
        <f>IF(OR(A1116="",B1116="",D1116=""),"",IF(D1116=_xlfn.MAXIFS($D$4:$D$2503,$A$4:$A$2503,A1116,$B$4:$B$2503,B1116),"Yes","No"))</f>
        <v/>
      </c>
      <c r="M1116" s="30">
        <f>IF(B1116="","",IFERROR(INDEX('Share classes'!$F$4:$F$203,MATCH(B1116,'Share classes'!$B$4:$B$203,0)),""))</f>
        <v/>
      </c>
      <c r="N1116" s="30">
        <f>IF(A1116="","",IF(K1116="","Unknown holder ID",IF(J1116="","Unknown class code",IF(OR(C1116="",D1116=""),"Missing shares or date",IF(OR(C1116&lt;0,C1116&lt;&gt;INT(C1116)),"Shares must be a whole number",IF(COUNTIFS($A$4:$A$2503,A1116,$B$4:$B$2503,B1116,$D$4:$D$2503,D1116)&gt;1,"Duplicate row (same date)","OK"))))))</f>
        <v/>
      </c>
    </row>
    <row r="1117">
      <c r="A1117" s="26" t="n"/>
      <c r="B1117" s="26" t="n"/>
      <c r="C1117" s="34" t="n"/>
      <c r="D1117" s="28" t="n"/>
      <c r="E1117" s="26" t="n"/>
      <c r="F1117" s="26" t="n"/>
      <c r="G1117" s="26" t="n"/>
      <c r="H1117" s="38" t="n"/>
      <c r="I1117" s="28" t="n"/>
      <c r="J1117" s="30">
        <f>IF(B1117="","",IFERROR(INDEX('Share classes'!$A$4:$A$203,MATCH(B1117,'Share classes'!$B$4:$B$203,0)),""))</f>
        <v/>
      </c>
      <c r="K1117" s="30">
        <f>IF(A1117="","",IFERROR(INDEX('Holders'!$B$4:$B$1003,MATCH(A1117,'Holders'!$A$4:$A$1003,0)),""))</f>
        <v/>
      </c>
      <c r="L1117" s="30">
        <f>IF(OR(A1117="",B1117="",D1117=""),"",IF(D1117=_xlfn.MAXIFS($D$4:$D$2503,$A$4:$A$2503,A1117,$B$4:$B$2503,B1117),"Yes","No"))</f>
        <v/>
      </c>
      <c r="M1117" s="30">
        <f>IF(B1117="","",IFERROR(INDEX('Share classes'!$F$4:$F$203,MATCH(B1117,'Share classes'!$B$4:$B$203,0)),""))</f>
        <v/>
      </c>
      <c r="N1117" s="30">
        <f>IF(A1117="","",IF(K1117="","Unknown holder ID",IF(J1117="","Unknown class code",IF(OR(C1117="",D1117=""),"Missing shares or date",IF(OR(C1117&lt;0,C1117&lt;&gt;INT(C1117)),"Shares must be a whole number",IF(COUNTIFS($A$4:$A$2503,A1117,$B$4:$B$2503,B1117,$D$4:$D$2503,D1117)&gt;1,"Duplicate row (same date)","OK"))))))</f>
        <v/>
      </c>
    </row>
    <row r="1118">
      <c r="A1118" s="26" t="n"/>
      <c r="B1118" s="26" t="n"/>
      <c r="C1118" s="34" t="n"/>
      <c r="D1118" s="28" t="n"/>
      <c r="E1118" s="26" t="n"/>
      <c r="F1118" s="26" t="n"/>
      <c r="G1118" s="26" t="n"/>
      <c r="H1118" s="38" t="n"/>
      <c r="I1118" s="28" t="n"/>
      <c r="J1118" s="30">
        <f>IF(B1118="","",IFERROR(INDEX('Share classes'!$A$4:$A$203,MATCH(B1118,'Share classes'!$B$4:$B$203,0)),""))</f>
        <v/>
      </c>
      <c r="K1118" s="30">
        <f>IF(A1118="","",IFERROR(INDEX('Holders'!$B$4:$B$1003,MATCH(A1118,'Holders'!$A$4:$A$1003,0)),""))</f>
        <v/>
      </c>
      <c r="L1118" s="30">
        <f>IF(OR(A1118="",B1118="",D1118=""),"",IF(D1118=_xlfn.MAXIFS($D$4:$D$2503,$A$4:$A$2503,A1118,$B$4:$B$2503,B1118),"Yes","No"))</f>
        <v/>
      </c>
      <c r="M1118" s="30">
        <f>IF(B1118="","",IFERROR(INDEX('Share classes'!$F$4:$F$203,MATCH(B1118,'Share classes'!$B$4:$B$203,0)),""))</f>
        <v/>
      </c>
      <c r="N1118" s="30">
        <f>IF(A1118="","",IF(K1118="","Unknown holder ID",IF(J1118="","Unknown class code",IF(OR(C1118="",D1118=""),"Missing shares or date",IF(OR(C1118&lt;0,C1118&lt;&gt;INT(C1118)),"Shares must be a whole number",IF(COUNTIFS($A$4:$A$2503,A1118,$B$4:$B$2503,B1118,$D$4:$D$2503,D1118)&gt;1,"Duplicate row (same date)","OK"))))))</f>
        <v/>
      </c>
    </row>
    <row r="1119">
      <c r="A1119" s="26" t="n"/>
      <c r="B1119" s="26" t="n"/>
      <c r="C1119" s="34" t="n"/>
      <c r="D1119" s="28" t="n"/>
      <c r="E1119" s="26" t="n"/>
      <c r="F1119" s="26" t="n"/>
      <c r="G1119" s="26" t="n"/>
      <c r="H1119" s="38" t="n"/>
      <c r="I1119" s="28" t="n"/>
      <c r="J1119" s="30">
        <f>IF(B1119="","",IFERROR(INDEX('Share classes'!$A$4:$A$203,MATCH(B1119,'Share classes'!$B$4:$B$203,0)),""))</f>
        <v/>
      </c>
      <c r="K1119" s="30">
        <f>IF(A1119="","",IFERROR(INDEX('Holders'!$B$4:$B$1003,MATCH(A1119,'Holders'!$A$4:$A$1003,0)),""))</f>
        <v/>
      </c>
      <c r="L1119" s="30">
        <f>IF(OR(A1119="",B1119="",D1119=""),"",IF(D1119=_xlfn.MAXIFS($D$4:$D$2503,$A$4:$A$2503,A1119,$B$4:$B$2503,B1119),"Yes","No"))</f>
        <v/>
      </c>
      <c r="M1119" s="30">
        <f>IF(B1119="","",IFERROR(INDEX('Share classes'!$F$4:$F$203,MATCH(B1119,'Share classes'!$B$4:$B$203,0)),""))</f>
        <v/>
      </c>
      <c r="N1119" s="30">
        <f>IF(A1119="","",IF(K1119="","Unknown holder ID",IF(J1119="","Unknown class code",IF(OR(C1119="",D1119=""),"Missing shares or date",IF(OR(C1119&lt;0,C1119&lt;&gt;INT(C1119)),"Shares must be a whole number",IF(COUNTIFS($A$4:$A$2503,A1119,$B$4:$B$2503,B1119,$D$4:$D$2503,D1119)&gt;1,"Duplicate row (same date)","OK"))))))</f>
        <v/>
      </c>
    </row>
    <row r="1120">
      <c r="A1120" s="26" t="n"/>
      <c r="B1120" s="26" t="n"/>
      <c r="C1120" s="34" t="n"/>
      <c r="D1120" s="28" t="n"/>
      <c r="E1120" s="26" t="n"/>
      <c r="F1120" s="26" t="n"/>
      <c r="G1120" s="26" t="n"/>
      <c r="H1120" s="38" t="n"/>
      <c r="I1120" s="28" t="n"/>
      <c r="J1120" s="30">
        <f>IF(B1120="","",IFERROR(INDEX('Share classes'!$A$4:$A$203,MATCH(B1120,'Share classes'!$B$4:$B$203,0)),""))</f>
        <v/>
      </c>
      <c r="K1120" s="30">
        <f>IF(A1120="","",IFERROR(INDEX('Holders'!$B$4:$B$1003,MATCH(A1120,'Holders'!$A$4:$A$1003,0)),""))</f>
        <v/>
      </c>
      <c r="L1120" s="30">
        <f>IF(OR(A1120="",B1120="",D1120=""),"",IF(D1120=_xlfn.MAXIFS($D$4:$D$2503,$A$4:$A$2503,A1120,$B$4:$B$2503,B1120),"Yes","No"))</f>
        <v/>
      </c>
      <c r="M1120" s="30">
        <f>IF(B1120="","",IFERROR(INDEX('Share classes'!$F$4:$F$203,MATCH(B1120,'Share classes'!$B$4:$B$203,0)),""))</f>
        <v/>
      </c>
      <c r="N1120" s="30">
        <f>IF(A1120="","",IF(K1120="","Unknown holder ID",IF(J1120="","Unknown class code",IF(OR(C1120="",D1120=""),"Missing shares or date",IF(OR(C1120&lt;0,C1120&lt;&gt;INT(C1120)),"Shares must be a whole number",IF(COUNTIFS($A$4:$A$2503,A1120,$B$4:$B$2503,B1120,$D$4:$D$2503,D1120)&gt;1,"Duplicate row (same date)","OK"))))))</f>
        <v/>
      </c>
    </row>
    <row r="1121">
      <c r="A1121" s="26" t="n"/>
      <c r="B1121" s="26" t="n"/>
      <c r="C1121" s="34" t="n"/>
      <c r="D1121" s="28" t="n"/>
      <c r="E1121" s="26" t="n"/>
      <c r="F1121" s="26" t="n"/>
      <c r="G1121" s="26" t="n"/>
      <c r="H1121" s="38" t="n"/>
      <c r="I1121" s="28" t="n"/>
      <c r="J1121" s="30">
        <f>IF(B1121="","",IFERROR(INDEX('Share classes'!$A$4:$A$203,MATCH(B1121,'Share classes'!$B$4:$B$203,0)),""))</f>
        <v/>
      </c>
      <c r="K1121" s="30">
        <f>IF(A1121="","",IFERROR(INDEX('Holders'!$B$4:$B$1003,MATCH(A1121,'Holders'!$A$4:$A$1003,0)),""))</f>
        <v/>
      </c>
      <c r="L1121" s="30">
        <f>IF(OR(A1121="",B1121="",D1121=""),"",IF(D1121=_xlfn.MAXIFS($D$4:$D$2503,$A$4:$A$2503,A1121,$B$4:$B$2503,B1121),"Yes","No"))</f>
        <v/>
      </c>
      <c r="M1121" s="30">
        <f>IF(B1121="","",IFERROR(INDEX('Share classes'!$F$4:$F$203,MATCH(B1121,'Share classes'!$B$4:$B$203,0)),""))</f>
        <v/>
      </c>
      <c r="N1121" s="30">
        <f>IF(A1121="","",IF(K1121="","Unknown holder ID",IF(J1121="","Unknown class code",IF(OR(C1121="",D1121=""),"Missing shares or date",IF(OR(C1121&lt;0,C1121&lt;&gt;INT(C1121)),"Shares must be a whole number",IF(COUNTIFS($A$4:$A$2503,A1121,$B$4:$B$2503,B1121,$D$4:$D$2503,D1121)&gt;1,"Duplicate row (same date)","OK"))))))</f>
        <v/>
      </c>
    </row>
    <row r="1122">
      <c r="A1122" s="26" t="n"/>
      <c r="B1122" s="26" t="n"/>
      <c r="C1122" s="34" t="n"/>
      <c r="D1122" s="28" t="n"/>
      <c r="E1122" s="26" t="n"/>
      <c r="F1122" s="26" t="n"/>
      <c r="G1122" s="26" t="n"/>
      <c r="H1122" s="38" t="n"/>
      <c r="I1122" s="28" t="n"/>
      <c r="J1122" s="30">
        <f>IF(B1122="","",IFERROR(INDEX('Share classes'!$A$4:$A$203,MATCH(B1122,'Share classes'!$B$4:$B$203,0)),""))</f>
        <v/>
      </c>
      <c r="K1122" s="30">
        <f>IF(A1122="","",IFERROR(INDEX('Holders'!$B$4:$B$1003,MATCH(A1122,'Holders'!$A$4:$A$1003,0)),""))</f>
        <v/>
      </c>
      <c r="L1122" s="30">
        <f>IF(OR(A1122="",B1122="",D1122=""),"",IF(D1122=_xlfn.MAXIFS($D$4:$D$2503,$A$4:$A$2503,A1122,$B$4:$B$2503,B1122),"Yes","No"))</f>
        <v/>
      </c>
      <c r="M1122" s="30">
        <f>IF(B1122="","",IFERROR(INDEX('Share classes'!$F$4:$F$203,MATCH(B1122,'Share classes'!$B$4:$B$203,0)),""))</f>
        <v/>
      </c>
      <c r="N1122" s="30">
        <f>IF(A1122="","",IF(K1122="","Unknown holder ID",IF(J1122="","Unknown class code",IF(OR(C1122="",D1122=""),"Missing shares or date",IF(OR(C1122&lt;0,C1122&lt;&gt;INT(C1122)),"Shares must be a whole number",IF(COUNTIFS($A$4:$A$2503,A1122,$B$4:$B$2503,B1122,$D$4:$D$2503,D1122)&gt;1,"Duplicate row (same date)","OK"))))))</f>
        <v/>
      </c>
    </row>
    <row r="1123">
      <c r="A1123" s="26" t="n"/>
      <c r="B1123" s="26" t="n"/>
      <c r="C1123" s="34" t="n"/>
      <c r="D1123" s="28" t="n"/>
      <c r="E1123" s="26" t="n"/>
      <c r="F1123" s="26" t="n"/>
      <c r="G1123" s="26" t="n"/>
      <c r="H1123" s="38" t="n"/>
      <c r="I1123" s="28" t="n"/>
      <c r="J1123" s="30">
        <f>IF(B1123="","",IFERROR(INDEX('Share classes'!$A$4:$A$203,MATCH(B1123,'Share classes'!$B$4:$B$203,0)),""))</f>
        <v/>
      </c>
      <c r="K1123" s="30">
        <f>IF(A1123="","",IFERROR(INDEX('Holders'!$B$4:$B$1003,MATCH(A1123,'Holders'!$A$4:$A$1003,0)),""))</f>
        <v/>
      </c>
      <c r="L1123" s="30">
        <f>IF(OR(A1123="",B1123="",D1123=""),"",IF(D1123=_xlfn.MAXIFS($D$4:$D$2503,$A$4:$A$2503,A1123,$B$4:$B$2503,B1123),"Yes","No"))</f>
        <v/>
      </c>
      <c r="M1123" s="30">
        <f>IF(B1123="","",IFERROR(INDEX('Share classes'!$F$4:$F$203,MATCH(B1123,'Share classes'!$B$4:$B$203,0)),""))</f>
        <v/>
      </c>
      <c r="N1123" s="30">
        <f>IF(A1123="","",IF(K1123="","Unknown holder ID",IF(J1123="","Unknown class code",IF(OR(C1123="",D1123=""),"Missing shares or date",IF(OR(C1123&lt;0,C1123&lt;&gt;INT(C1123)),"Shares must be a whole number",IF(COUNTIFS($A$4:$A$2503,A1123,$B$4:$B$2503,B1123,$D$4:$D$2503,D1123)&gt;1,"Duplicate row (same date)","OK"))))))</f>
        <v/>
      </c>
    </row>
    <row r="1124">
      <c r="A1124" s="26" t="n"/>
      <c r="B1124" s="26" t="n"/>
      <c r="C1124" s="34" t="n"/>
      <c r="D1124" s="28" t="n"/>
      <c r="E1124" s="26" t="n"/>
      <c r="F1124" s="26" t="n"/>
      <c r="G1124" s="26" t="n"/>
      <c r="H1124" s="38" t="n"/>
      <c r="I1124" s="28" t="n"/>
      <c r="J1124" s="30">
        <f>IF(B1124="","",IFERROR(INDEX('Share classes'!$A$4:$A$203,MATCH(B1124,'Share classes'!$B$4:$B$203,0)),""))</f>
        <v/>
      </c>
      <c r="K1124" s="30">
        <f>IF(A1124="","",IFERROR(INDEX('Holders'!$B$4:$B$1003,MATCH(A1124,'Holders'!$A$4:$A$1003,0)),""))</f>
        <v/>
      </c>
      <c r="L1124" s="30">
        <f>IF(OR(A1124="",B1124="",D1124=""),"",IF(D1124=_xlfn.MAXIFS($D$4:$D$2503,$A$4:$A$2503,A1124,$B$4:$B$2503,B1124),"Yes","No"))</f>
        <v/>
      </c>
      <c r="M1124" s="30">
        <f>IF(B1124="","",IFERROR(INDEX('Share classes'!$F$4:$F$203,MATCH(B1124,'Share classes'!$B$4:$B$203,0)),""))</f>
        <v/>
      </c>
      <c r="N1124" s="30">
        <f>IF(A1124="","",IF(K1124="","Unknown holder ID",IF(J1124="","Unknown class code",IF(OR(C1124="",D1124=""),"Missing shares or date",IF(OR(C1124&lt;0,C1124&lt;&gt;INT(C1124)),"Shares must be a whole number",IF(COUNTIFS($A$4:$A$2503,A1124,$B$4:$B$2503,B1124,$D$4:$D$2503,D1124)&gt;1,"Duplicate row (same date)","OK"))))))</f>
        <v/>
      </c>
    </row>
    <row r="1125">
      <c r="A1125" s="26" t="n"/>
      <c r="B1125" s="26" t="n"/>
      <c r="C1125" s="34" t="n"/>
      <c r="D1125" s="28" t="n"/>
      <c r="E1125" s="26" t="n"/>
      <c r="F1125" s="26" t="n"/>
      <c r="G1125" s="26" t="n"/>
      <c r="H1125" s="38" t="n"/>
      <c r="I1125" s="28" t="n"/>
      <c r="J1125" s="30">
        <f>IF(B1125="","",IFERROR(INDEX('Share classes'!$A$4:$A$203,MATCH(B1125,'Share classes'!$B$4:$B$203,0)),""))</f>
        <v/>
      </c>
      <c r="K1125" s="30">
        <f>IF(A1125="","",IFERROR(INDEX('Holders'!$B$4:$B$1003,MATCH(A1125,'Holders'!$A$4:$A$1003,0)),""))</f>
        <v/>
      </c>
      <c r="L1125" s="30">
        <f>IF(OR(A1125="",B1125="",D1125=""),"",IF(D1125=_xlfn.MAXIFS($D$4:$D$2503,$A$4:$A$2503,A1125,$B$4:$B$2503,B1125),"Yes","No"))</f>
        <v/>
      </c>
      <c r="M1125" s="30">
        <f>IF(B1125="","",IFERROR(INDEX('Share classes'!$F$4:$F$203,MATCH(B1125,'Share classes'!$B$4:$B$203,0)),""))</f>
        <v/>
      </c>
      <c r="N1125" s="30">
        <f>IF(A1125="","",IF(K1125="","Unknown holder ID",IF(J1125="","Unknown class code",IF(OR(C1125="",D1125=""),"Missing shares or date",IF(OR(C1125&lt;0,C1125&lt;&gt;INT(C1125)),"Shares must be a whole number",IF(COUNTIFS($A$4:$A$2503,A1125,$B$4:$B$2503,B1125,$D$4:$D$2503,D1125)&gt;1,"Duplicate row (same date)","OK"))))))</f>
        <v/>
      </c>
    </row>
    <row r="1126">
      <c r="A1126" s="26" t="n"/>
      <c r="B1126" s="26" t="n"/>
      <c r="C1126" s="34" t="n"/>
      <c r="D1126" s="28" t="n"/>
      <c r="E1126" s="26" t="n"/>
      <c r="F1126" s="26" t="n"/>
      <c r="G1126" s="26" t="n"/>
      <c r="H1126" s="38" t="n"/>
      <c r="I1126" s="28" t="n"/>
      <c r="J1126" s="30">
        <f>IF(B1126="","",IFERROR(INDEX('Share classes'!$A$4:$A$203,MATCH(B1126,'Share classes'!$B$4:$B$203,0)),""))</f>
        <v/>
      </c>
      <c r="K1126" s="30">
        <f>IF(A1126="","",IFERROR(INDEX('Holders'!$B$4:$B$1003,MATCH(A1126,'Holders'!$A$4:$A$1003,0)),""))</f>
        <v/>
      </c>
      <c r="L1126" s="30">
        <f>IF(OR(A1126="",B1126="",D1126=""),"",IF(D1126=_xlfn.MAXIFS($D$4:$D$2503,$A$4:$A$2503,A1126,$B$4:$B$2503,B1126),"Yes","No"))</f>
        <v/>
      </c>
      <c r="M1126" s="30">
        <f>IF(B1126="","",IFERROR(INDEX('Share classes'!$F$4:$F$203,MATCH(B1126,'Share classes'!$B$4:$B$203,0)),""))</f>
        <v/>
      </c>
      <c r="N1126" s="30">
        <f>IF(A1126="","",IF(K1126="","Unknown holder ID",IF(J1126="","Unknown class code",IF(OR(C1126="",D1126=""),"Missing shares or date",IF(OR(C1126&lt;0,C1126&lt;&gt;INT(C1126)),"Shares must be a whole number",IF(COUNTIFS($A$4:$A$2503,A1126,$B$4:$B$2503,B1126,$D$4:$D$2503,D1126)&gt;1,"Duplicate row (same date)","OK"))))))</f>
        <v/>
      </c>
    </row>
    <row r="1127">
      <c r="A1127" s="26" t="n"/>
      <c r="B1127" s="26" t="n"/>
      <c r="C1127" s="34" t="n"/>
      <c r="D1127" s="28" t="n"/>
      <c r="E1127" s="26" t="n"/>
      <c r="F1127" s="26" t="n"/>
      <c r="G1127" s="26" t="n"/>
      <c r="H1127" s="38" t="n"/>
      <c r="I1127" s="28" t="n"/>
      <c r="J1127" s="30">
        <f>IF(B1127="","",IFERROR(INDEX('Share classes'!$A$4:$A$203,MATCH(B1127,'Share classes'!$B$4:$B$203,0)),""))</f>
        <v/>
      </c>
      <c r="K1127" s="30">
        <f>IF(A1127="","",IFERROR(INDEX('Holders'!$B$4:$B$1003,MATCH(A1127,'Holders'!$A$4:$A$1003,0)),""))</f>
        <v/>
      </c>
      <c r="L1127" s="30">
        <f>IF(OR(A1127="",B1127="",D1127=""),"",IF(D1127=_xlfn.MAXIFS($D$4:$D$2503,$A$4:$A$2503,A1127,$B$4:$B$2503,B1127),"Yes","No"))</f>
        <v/>
      </c>
      <c r="M1127" s="30">
        <f>IF(B1127="","",IFERROR(INDEX('Share classes'!$F$4:$F$203,MATCH(B1127,'Share classes'!$B$4:$B$203,0)),""))</f>
        <v/>
      </c>
      <c r="N1127" s="30">
        <f>IF(A1127="","",IF(K1127="","Unknown holder ID",IF(J1127="","Unknown class code",IF(OR(C1127="",D1127=""),"Missing shares or date",IF(OR(C1127&lt;0,C1127&lt;&gt;INT(C1127)),"Shares must be a whole number",IF(COUNTIFS($A$4:$A$2503,A1127,$B$4:$B$2503,B1127,$D$4:$D$2503,D1127)&gt;1,"Duplicate row (same date)","OK"))))))</f>
        <v/>
      </c>
    </row>
    <row r="1128">
      <c r="A1128" s="26" t="n"/>
      <c r="B1128" s="26" t="n"/>
      <c r="C1128" s="34" t="n"/>
      <c r="D1128" s="28" t="n"/>
      <c r="E1128" s="26" t="n"/>
      <c r="F1128" s="26" t="n"/>
      <c r="G1128" s="26" t="n"/>
      <c r="H1128" s="38" t="n"/>
      <c r="I1128" s="28" t="n"/>
      <c r="J1128" s="30">
        <f>IF(B1128="","",IFERROR(INDEX('Share classes'!$A$4:$A$203,MATCH(B1128,'Share classes'!$B$4:$B$203,0)),""))</f>
        <v/>
      </c>
      <c r="K1128" s="30">
        <f>IF(A1128="","",IFERROR(INDEX('Holders'!$B$4:$B$1003,MATCH(A1128,'Holders'!$A$4:$A$1003,0)),""))</f>
        <v/>
      </c>
      <c r="L1128" s="30">
        <f>IF(OR(A1128="",B1128="",D1128=""),"",IF(D1128=_xlfn.MAXIFS($D$4:$D$2503,$A$4:$A$2503,A1128,$B$4:$B$2503,B1128),"Yes","No"))</f>
        <v/>
      </c>
      <c r="M1128" s="30">
        <f>IF(B1128="","",IFERROR(INDEX('Share classes'!$F$4:$F$203,MATCH(B1128,'Share classes'!$B$4:$B$203,0)),""))</f>
        <v/>
      </c>
      <c r="N1128" s="30">
        <f>IF(A1128="","",IF(K1128="","Unknown holder ID",IF(J1128="","Unknown class code",IF(OR(C1128="",D1128=""),"Missing shares or date",IF(OR(C1128&lt;0,C1128&lt;&gt;INT(C1128)),"Shares must be a whole number",IF(COUNTIFS($A$4:$A$2503,A1128,$B$4:$B$2503,B1128,$D$4:$D$2503,D1128)&gt;1,"Duplicate row (same date)","OK"))))))</f>
        <v/>
      </c>
    </row>
    <row r="1129">
      <c r="A1129" s="26" t="n"/>
      <c r="B1129" s="26" t="n"/>
      <c r="C1129" s="34" t="n"/>
      <c r="D1129" s="28" t="n"/>
      <c r="E1129" s="26" t="n"/>
      <c r="F1129" s="26" t="n"/>
      <c r="G1129" s="26" t="n"/>
      <c r="H1129" s="38" t="n"/>
      <c r="I1129" s="28" t="n"/>
      <c r="J1129" s="30">
        <f>IF(B1129="","",IFERROR(INDEX('Share classes'!$A$4:$A$203,MATCH(B1129,'Share classes'!$B$4:$B$203,0)),""))</f>
        <v/>
      </c>
      <c r="K1129" s="30">
        <f>IF(A1129="","",IFERROR(INDEX('Holders'!$B$4:$B$1003,MATCH(A1129,'Holders'!$A$4:$A$1003,0)),""))</f>
        <v/>
      </c>
      <c r="L1129" s="30">
        <f>IF(OR(A1129="",B1129="",D1129=""),"",IF(D1129=_xlfn.MAXIFS($D$4:$D$2503,$A$4:$A$2503,A1129,$B$4:$B$2503,B1129),"Yes","No"))</f>
        <v/>
      </c>
      <c r="M1129" s="30">
        <f>IF(B1129="","",IFERROR(INDEX('Share classes'!$F$4:$F$203,MATCH(B1129,'Share classes'!$B$4:$B$203,0)),""))</f>
        <v/>
      </c>
      <c r="N1129" s="30">
        <f>IF(A1129="","",IF(K1129="","Unknown holder ID",IF(J1129="","Unknown class code",IF(OR(C1129="",D1129=""),"Missing shares or date",IF(OR(C1129&lt;0,C1129&lt;&gt;INT(C1129)),"Shares must be a whole number",IF(COUNTIFS($A$4:$A$2503,A1129,$B$4:$B$2503,B1129,$D$4:$D$2503,D1129)&gt;1,"Duplicate row (same date)","OK"))))))</f>
        <v/>
      </c>
    </row>
    <row r="1130">
      <c r="A1130" s="26" t="n"/>
      <c r="B1130" s="26" t="n"/>
      <c r="C1130" s="34" t="n"/>
      <c r="D1130" s="28" t="n"/>
      <c r="E1130" s="26" t="n"/>
      <c r="F1130" s="26" t="n"/>
      <c r="G1130" s="26" t="n"/>
      <c r="H1130" s="38" t="n"/>
      <c r="I1130" s="28" t="n"/>
      <c r="J1130" s="30">
        <f>IF(B1130="","",IFERROR(INDEX('Share classes'!$A$4:$A$203,MATCH(B1130,'Share classes'!$B$4:$B$203,0)),""))</f>
        <v/>
      </c>
      <c r="K1130" s="30">
        <f>IF(A1130="","",IFERROR(INDEX('Holders'!$B$4:$B$1003,MATCH(A1130,'Holders'!$A$4:$A$1003,0)),""))</f>
        <v/>
      </c>
      <c r="L1130" s="30">
        <f>IF(OR(A1130="",B1130="",D1130=""),"",IF(D1130=_xlfn.MAXIFS($D$4:$D$2503,$A$4:$A$2503,A1130,$B$4:$B$2503,B1130),"Yes","No"))</f>
        <v/>
      </c>
      <c r="M1130" s="30">
        <f>IF(B1130="","",IFERROR(INDEX('Share classes'!$F$4:$F$203,MATCH(B1130,'Share classes'!$B$4:$B$203,0)),""))</f>
        <v/>
      </c>
      <c r="N1130" s="30">
        <f>IF(A1130="","",IF(K1130="","Unknown holder ID",IF(J1130="","Unknown class code",IF(OR(C1130="",D1130=""),"Missing shares or date",IF(OR(C1130&lt;0,C1130&lt;&gt;INT(C1130)),"Shares must be a whole number",IF(COUNTIFS($A$4:$A$2503,A1130,$B$4:$B$2503,B1130,$D$4:$D$2503,D1130)&gt;1,"Duplicate row (same date)","OK"))))))</f>
        <v/>
      </c>
    </row>
    <row r="1131">
      <c r="A1131" s="26" t="n"/>
      <c r="B1131" s="26" t="n"/>
      <c r="C1131" s="34" t="n"/>
      <c r="D1131" s="28" t="n"/>
      <c r="E1131" s="26" t="n"/>
      <c r="F1131" s="26" t="n"/>
      <c r="G1131" s="26" t="n"/>
      <c r="H1131" s="38" t="n"/>
      <c r="I1131" s="28" t="n"/>
      <c r="J1131" s="30">
        <f>IF(B1131="","",IFERROR(INDEX('Share classes'!$A$4:$A$203,MATCH(B1131,'Share classes'!$B$4:$B$203,0)),""))</f>
        <v/>
      </c>
      <c r="K1131" s="30">
        <f>IF(A1131="","",IFERROR(INDEX('Holders'!$B$4:$B$1003,MATCH(A1131,'Holders'!$A$4:$A$1003,0)),""))</f>
        <v/>
      </c>
      <c r="L1131" s="30">
        <f>IF(OR(A1131="",B1131="",D1131=""),"",IF(D1131=_xlfn.MAXIFS($D$4:$D$2503,$A$4:$A$2503,A1131,$B$4:$B$2503,B1131),"Yes","No"))</f>
        <v/>
      </c>
      <c r="M1131" s="30">
        <f>IF(B1131="","",IFERROR(INDEX('Share classes'!$F$4:$F$203,MATCH(B1131,'Share classes'!$B$4:$B$203,0)),""))</f>
        <v/>
      </c>
      <c r="N1131" s="30">
        <f>IF(A1131="","",IF(K1131="","Unknown holder ID",IF(J1131="","Unknown class code",IF(OR(C1131="",D1131=""),"Missing shares or date",IF(OR(C1131&lt;0,C1131&lt;&gt;INT(C1131)),"Shares must be a whole number",IF(COUNTIFS($A$4:$A$2503,A1131,$B$4:$B$2503,B1131,$D$4:$D$2503,D1131)&gt;1,"Duplicate row (same date)","OK"))))))</f>
        <v/>
      </c>
    </row>
    <row r="1132">
      <c r="A1132" s="26" t="n"/>
      <c r="B1132" s="26" t="n"/>
      <c r="C1132" s="34" t="n"/>
      <c r="D1132" s="28" t="n"/>
      <c r="E1132" s="26" t="n"/>
      <c r="F1132" s="26" t="n"/>
      <c r="G1132" s="26" t="n"/>
      <c r="H1132" s="38" t="n"/>
      <c r="I1132" s="28" t="n"/>
      <c r="J1132" s="30">
        <f>IF(B1132="","",IFERROR(INDEX('Share classes'!$A$4:$A$203,MATCH(B1132,'Share classes'!$B$4:$B$203,0)),""))</f>
        <v/>
      </c>
      <c r="K1132" s="30">
        <f>IF(A1132="","",IFERROR(INDEX('Holders'!$B$4:$B$1003,MATCH(A1132,'Holders'!$A$4:$A$1003,0)),""))</f>
        <v/>
      </c>
      <c r="L1132" s="30">
        <f>IF(OR(A1132="",B1132="",D1132=""),"",IF(D1132=_xlfn.MAXIFS($D$4:$D$2503,$A$4:$A$2503,A1132,$B$4:$B$2503,B1132),"Yes","No"))</f>
        <v/>
      </c>
      <c r="M1132" s="30">
        <f>IF(B1132="","",IFERROR(INDEX('Share classes'!$F$4:$F$203,MATCH(B1132,'Share classes'!$B$4:$B$203,0)),""))</f>
        <v/>
      </c>
      <c r="N1132" s="30">
        <f>IF(A1132="","",IF(K1132="","Unknown holder ID",IF(J1132="","Unknown class code",IF(OR(C1132="",D1132=""),"Missing shares or date",IF(OR(C1132&lt;0,C1132&lt;&gt;INT(C1132)),"Shares must be a whole number",IF(COUNTIFS($A$4:$A$2503,A1132,$B$4:$B$2503,B1132,$D$4:$D$2503,D1132)&gt;1,"Duplicate row (same date)","OK"))))))</f>
        <v/>
      </c>
    </row>
    <row r="1133">
      <c r="A1133" s="26" t="n"/>
      <c r="B1133" s="26" t="n"/>
      <c r="C1133" s="34" t="n"/>
      <c r="D1133" s="28" t="n"/>
      <c r="E1133" s="26" t="n"/>
      <c r="F1133" s="26" t="n"/>
      <c r="G1133" s="26" t="n"/>
      <c r="H1133" s="38" t="n"/>
      <c r="I1133" s="28" t="n"/>
      <c r="J1133" s="30">
        <f>IF(B1133="","",IFERROR(INDEX('Share classes'!$A$4:$A$203,MATCH(B1133,'Share classes'!$B$4:$B$203,0)),""))</f>
        <v/>
      </c>
      <c r="K1133" s="30">
        <f>IF(A1133="","",IFERROR(INDEX('Holders'!$B$4:$B$1003,MATCH(A1133,'Holders'!$A$4:$A$1003,0)),""))</f>
        <v/>
      </c>
      <c r="L1133" s="30">
        <f>IF(OR(A1133="",B1133="",D1133=""),"",IF(D1133=_xlfn.MAXIFS($D$4:$D$2503,$A$4:$A$2503,A1133,$B$4:$B$2503,B1133),"Yes","No"))</f>
        <v/>
      </c>
      <c r="M1133" s="30">
        <f>IF(B1133="","",IFERROR(INDEX('Share classes'!$F$4:$F$203,MATCH(B1133,'Share classes'!$B$4:$B$203,0)),""))</f>
        <v/>
      </c>
      <c r="N1133" s="30">
        <f>IF(A1133="","",IF(K1133="","Unknown holder ID",IF(J1133="","Unknown class code",IF(OR(C1133="",D1133=""),"Missing shares or date",IF(OR(C1133&lt;0,C1133&lt;&gt;INT(C1133)),"Shares must be a whole number",IF(COUNTIFS($A$4:$A$2503,A1133,$B$4:$B$2503,B1133,$D$4:$D$2503,D1133)&gt;1,"Duplicate row (same date)","OK"))))))</f>
        <v/>
      </c>
    </row>
    <row r="1134">
      <c r="A1134" s="26" t="n"/>
      <c r="B1134" s="26" t="n"/>
      <c r="C1134" s="34" t="n"/>
      <c r="D1134" s="28" t="n"/>
      <c r="E1134" s="26" t="n"/>
      <c r="F1134" s="26" t="n"/>
      <c r="G1134" s="26" t="n"/>
      <c r="H1134" s="38" t="n"/>
      <c r="I1134" s="28" t="n"/>
      <c r="J1134" s="30">
        <f>IF(B1134="","",IFERROR(INDEX('Share classes'!$A$4:$A$203,MATCH(B1134,'Share classes'!$B$4:$B$203,0)),""))</f>
        <v/>
      </c>
      <c r="K1134" s="30">
        <f>IF(A1134="","",IFERROR(INDEX('Holders'!$B$4:$B$1003,MATCH(A1134,'Holders'!$A$4:$A$1003,0)),""))</f>
        <v/>
      </c>
      <c r="L1134" s="30">
        <f>IF(OR(A1134="",B1134="",D1134=""),"",IF(D1134=_xlfn.MAXIFS($D$4:$D$2503,$A$4:$A$2503,A1134,$B$4:$B$2503,B1134),"Yes","No"))</f>
        <v/>
      </c>
      <c r="M1134" s="30">
        <f>IF(B1134="","",IFERROR(INDEX('Share classes'!$F$4:$F$203,MATCH(B1134,'Share classes'!$B$4:$B$203,0)),""))</f>
        <v/>
      </c>
      <c r="N1134" s="30">
        <f>IF(A1134="","",IF(K1134="","Unknown holder ID",IF(J1134="","Unknown class code",IF(OR(C1134="",D1134=""),"Missing shares or date",IF(OR(C1134&lt;0,C1134&lt;&gt;INT(C1134)),"Shares must be a whole number",IF(COUNTIFS($A$4:$A$2503,A1134,$B$4:$B$2503,B1134,$D$4:$D$2503,D1134)&gt;1,"Duplicate row (same date)","OK"))))))</f>
        <v/>
      </c>
    </row>
    <row r="1135">
      <c r="A1135" s="26" t="n"/>
      <c r="B1135" s="26" t="n"/>
      <c r="C1135" s="34" t="n"/>
      <c r="D1135" s="28" t="n"/>
      <c r="E1135" s="26" t="n"/>
      <c r="F1135" s="26" t="n"/>
      <c r="G1135" s="26" t="n"/>
      <c r="H1135" s="38" t="n"/>
      <c r="I1135" s="28" t="n"/>
      <c r="J1135" s="30">
        <f>IF(B1135="","",IFERROR(INDEX('Share classes'!$A$4:$A$203,MATCH(B1135,'Share classes'!$B$4:$B$203,0)),""))</f>
        <v/>
      </c>
      <c r="K1135" s="30">
        <f>IF(A1135="","",IFERROR(INDEX('Holders'!$B$4:$B$1003,MATCH(A1135,'Holders'!$A$4:$A$1003,0)),""))</f>
        <v/>
      </c>
      <c r="L1135" s="30">
        <f>IF(OR(A1135="",B1135="",D1135=""),"",IF(D1135=_xlfn.MAXIFS($D$4:$D$2503,$A$4:$A$2503,A1135,$B$4:$B$2503,B1135),"Yes","No"))</f>
        <v/>
      </c>
      <c r="M1135" s="30">
        <f>IF(B1135="","",IFERROR(INDEX('Share classes'!$F$4:$F$203,MATCH(B1135,'Share classes'!$B$4:$B$203,0)),""))</f>
        <v/>
      </c>
      <c r="N1135" s="30">
        <f>IF(A1135="","",IF(K1135="","Unknown holder ID",IF(J1135="","Unknown class code",IF(OR(C1135="",D1135=""),"Missing shares or date",IF(OR(C1135&lt;0,C1135&lt;&gt;INT(C1135)),"Shares must be a whole number",IF(COUNTIFS($A$4:$A$2503,A1135,$B$4:$B$2503,B1135,$D$4:$D$2503,D1135)&gt;1,"Duplicate row (same date)","OK"))))))</f>
        <v/>
      </c>
    </row>
    <row r="1136">
      <c r="A1136" s="26" t="n"/>
      <c r="B1136" s="26" t="n"/>
      <c r="C1136" s="34" t="n"/>
      <c r="D1136" s="28" t="n"/>
      <c r="E1136" s="26" t="n"/>
      <c r="F1136" s="26" t="n"/>
      <c r="G1136" s="26" t="n"/>
      <c r="H1136" s="38" t="n"/>
      <c r="I1136" s="28" t="n"/>
      <c r="J1136" s="30">
        <f>IF(B1136="","",IFERROR(INDEX('Share classes'!$A$4:$A$203,MATCH(B1136,'Share classes'!$B$4:$B$203,0)),""))</f>
        <v/>
      </c>
      <c r="K1136" s="30">
        <f>IF(A1136="","",IFERROR(INDEX('Holders'!$B$4:$B$1003,MATCH(A1136,'Holders'!$A$4:$A$1003,0)),""))</f>
        <v/>
      </c>
      <c r="L1136" s="30">
        <f>IF(OR(A1136="",B1136="",D1136=""),"",IF(D1136=_xlfn.MAXIFS($D$4:$D$2503,$A$4:$A$2503,A1136,$B$4:$B$2503,B1136),"Yes","No"))</f>
        <v/>
      </c>
      <c r="M1136" s="30">
        <f>IF(B1136="","",IFERROR(INDEX('Share classes'!$F$4:$F$203,MATCH(B1136,'Share classes'!$B$4:$B$203,0)),""))</f>
        <v/>
      </c>
      <c r="N1136" s="30">
        <f>IF(A1136="","",IF(K1136="","Unknown holder ID",IF(J1136="","Unknown class code",IF(OR(C1136="",D1136=""),"Missing shares or date",IF(OR(C1136&lt;0,C1136&lt;&gt;INT(C1136)),"Shares must be a whole number",IF(COUNTIFS($A$4:$A$2503,A1136,$B$4:$B$2503,B1136,$D$4:$D$2503,D1136)&gt;1,"Duplicate row (same date)","OK"))))))</f>
        <v/>
      </c>
    </row>
    <row r="1137">
      <c r="A1137" s="26" t="n"/>
      <c r="B1137" s="26" t="n"/>
      <c r="C1137" s="34" t="n"/>
      <c r="D1137" s="28" t="n"/>
      <c r="E1137" s="26" t="n"/>
      <c r="F1137" s="26" t="n"/>
      <c r="G1137" s="26" t="n"/>
      <c r="H1137" s="38" t="n"/>
      <c r="I1137" s="28" t="n"/>
      <c r="J1137" s="30">
        <f>IF(B1137="","",IFERROR(INDEX('Share classes'!$A$4:$A$203,MATCH(B1137,'Share classes'!$B$4:$B$203,0)),""))</f>
        <v/>
      </c>
      <c r="K1137" s="30">
        <f>IF(A1137="","",IFERROR(INDEX('Holders'!$B$4:$B$1003,MATCH(A1137,'Holders'!$A$4:$A$1003,0)),""))</f>
        <v/>
      </c>
      <c r="L1137" s="30">
        <f>IF(OR(A1137="",B1137="",D1137=""),"",IF(D1137=_xlfn.MAXIFS($D$4:$D$2503,$A$4:$A$2503,A1137,$B$4:$B$2503,B1137),"Yes","No"))</f>
        <v/>
      </c>
      <c r="M1137" s="30">
        <f>IF(B1137="","",IFERROR(INDEX('Share classes'!$F$4:$F$203,MATCH(B1137,'Share classes'!$B$4:$B$203,0)),""))</f>
        <v/>
      </c>
      <c r="N1137" s="30">
        <f>IF(A1137="","",IF(K1137="","Unknown holder ID",IF(J1137="","Unknown class code",IF(OR(C1137="",D1137=""),"Missing shares or date",IF(OR(C1137&lt;0,C1137&lt;&gt;INT(C1137)),"Shares must be a whole number",IF(COUNTIFS($A$4:$A$2503,A1137,$B$4:$B$2503,B1137,$D$4:$D$2503,D1137)&gt;1,"Duplicate row (same date)","OK"))))))</f>
        <v/>
      </c>
    </row>
    <row r="1138">
      <c r="A1138" s="26" t="n"/>
      <c r="B1138" s="26" t="n"/>
      <c r="C1138" s="34" t="n"/>
      <c r="D1138" s="28" t="n"/>
      <c r="E1138" s="26" t="n"/>
      <c r="F1138" s="26" t="n"/>
      <c r="G1138" s="26" t="n"/>
      <c r="H1138" s="38" t="n"/>
      <c r="I1138" s="28" t="n"/>
      <c r="J1138" s="30">
        <f>IF(B1138="","",IFERROR(INDEX('Share classes'!$A$4:$A$203,MATCH(B1138,'Share classes'!$B$4:$B$203,0)),""))</f>
        <v/>
      </c>
      <c r="K1138" s="30">
        <f>IF(A1138="","",IFERROR(INDEX('Holders'!$B$4:$B$1003,MATCH(A1138,'Holders'!$A$4:$A$1003,0)),""))</f>
        <v/>
      </c>
      <c r="L1138" s="30">
        <f>IF(OR(A1138="",B1138="",D1138=""),"",IF(D1138=_xlfn.MAXIFS($D$4:$D$2503,$A$4:$A$2503,A1138,$B$4:$B$2503,B1138),"Yes","No"))</f>
        <v/>
      </c>
      <c r="M1138" s="30">
        <f>IF(B1138="","",IFERROR(INDEX('Share classes'!$F$4:$F$203,MATCH(B1138,'Share classes'!$B$4:$B$203,0)),""))</f>
        <v/>
      </c>
      <c r="N1138" s="30">
        <f>IF(A1138="","",IF(K1138="","Unknown holder ID",IF(J1138="","Unknown class code",IF(OR(C1138="",D1138=""),"Missing shares or date",IF(OR(C1138&lt;0,C1138&lt;&gt;INT(C1138)),"Shares must be a whole number",IF(COUNTIFS($A$4:$A$2503,A1138,$B$4:$B$2503,B1138,$D$4:$D$2503,D1138)&gt;1,"Duplicate row (same date)","OK"))))))</f>
        <v/>
      </c>
    </row>
    <row r="1139">
      <c r="A1139" s="26" t="n"/>
      <c r="B1139" s="26" t="n"/>
      <c r="C1139" s="34" t="n"/>
      <c r="D1139" s="28" t="n"/>
      <c r="E1139" s="26" t="n"/>
      <c r="F1139" s="26" t="n"/>
      <c r="G1139" s="26" t="n"/>
      <c r="H1139" s="38" t="n"/>
      <c r="I1139" s="28" t="n"/>
      <c r="J1139" s="30">
        <f>IF(B1139="","",IFERROR(INDEX('Share classes'!$A$4:$A$203,MATCH(B1139,'Share classes'!$B$4:$B$203,0)),""))</f>
        <v/>
      </c>
      <c r="K1139" s="30">
        <f>IF(A1139="","",IFERROR(INDEX('Holders'!$B$4:$B$1003,MATCH(A1139,'Holders'!$A$4:$A$1003,0)),""))</f>
        <v/>
      </c>
      <c r="L1139" s="30">
        <f>IF(OR(A1139="",B1139="",D1139=""),"",IF(D1139=_xlfn.MAXIFS($D$4:$D$2503,$A$4:$A$2503,A1139,$B$4:$B$2503,B1139),"Yes","No"))</f>
        <v/>
      </c>
      <c r="M1139" s="30">
        <f>IF(B1139="","",IFERROR(INDEX('Share classes'!$F$4:$F$203,MATCH(B1139,'Share classes'!$B$4:$B$203,0)),""))</f>
        <v/>
      </c>
      <c r="N1139" s="30">
        <f>IF(A1139="","",IF(K1139="","Unknown holder ID",IF(J1139="","Unknown class code",IF(OR(C1139="",D1139=""),"Missing shares or date",IF(OR(C1139&lt;0,C1139&lt;&gt;INT(C1139)),"Shares must be a whole number",IF(COUNTIFS($A$4:$A$2503,A1139,$B$4:$B$2503,B1139,$D$4:$D$2503,D1139)&gt;1,"Duplicate row (same date)","OK"))))))</f>
        <v/>
      </c>
    </row>
    <row r="1140">
      <c r="A1140" s="26" t="n"/>
      <c r="B1140" s="26" t="n"/>
      <c r="C1140" s="34" t="n"/>
      <c r="D1140" s="28" t="n"/>
      <c r="E1140" s="26" t="n"/>
      <c r="F1140" s="26" t="n"/>
      <c r="G1140" s="26" t="n"/>
      <c r="H1140" s="38" t="n"/>
      <c r="I1140" s="28" t="n"/>
      <c r="J1140" s="30">
        <f>IF(B1140="","",IFERROR(INDEX('Share classes'!$A$4:$A$203,MATCH(B1140,'Share classes'!$B$4:$B$203,0)),""))</f>
        <v/>
      </c>
      <c r="K1140" s="30">
        <f>IF(A1140="","",IFERROR(INDEX('Holders'!$B$4:$B$1003,MATCH(A1140,'Holders'!$A$4:$A$1003,0)),""))</f>
        <v/>
      </c>
      <c r="L1140" s="30">
        <f>IF(OR(A1140="",B1140="",D1140=""),"",IF(D1140=_xlfn.MAXIFS($D$4:$D$2503,$A$4:$A$2503,A1140,$B$4:$B$2503,B1140),"Yes","No"))</f>
        <v/>
      </c>
      <c r="M1140" s="30">
        <f>IF(B1140="","",IFERROR(INDEX('Share classes'!$F$4:$F$203,MATCH(B1140,'Share classes'!$B$4:$B$203,0)),""))</f>
        <v/>
      </c>
      <c r="N1140" s="30">
        <f>IF(A1140="","",IF(K1140="","Unknown holder ID",IF(J1140="","Unknown class code",IF(OR(C1140="",D1140=""),"Missing shares or date",IF(OR(C1140&lt;0,C1140&lt;&gt;INT(C1140)),"Shares must be a whole number",IF(COUNTIFS($A$4:$A$2503,A1140,$B$4:$B$2503,B1140,$D$4:$D$2503,D1140)&gt;1,"Duplicate row (same date)","OK"))))))</f>
        <v/>
      </c>
    </row>
    <row r="1141">
      <c r="A1141" s="26" t="n"/>
      <c r="B1141" s="26" t="n"/>
      <c r="C1141" s="34" t="n"/>
      <c r="D1141" s="28" t="n"/>
      <c r="E1141" s="26" t="n"/>
      <c r="F1141" s="26" t="n"/>
      <c r="G1141" s="26" t="n"/>
      <c r="H1141" s="38" t="n"/>
      <c r="I1141" s="28" t="n"/>
      <c r="J1141" s="30">
        <f>IF(B1141="","",IFERROR(INDEX('Share classes'!$A$4:$A$203,MATCH(B1141,'Share classes'!$B$4:$B$203,0)),""))</f>
        <v/>
      </c>
      <c r="K1141" s="30">
        <f>IF(A1141="","",IFERROR(INDEX('Holders'!$B$4:$B$1003,MATCH(A1141,'Holders'!$A$4:$A$1003,0)),""))</f>
        <v/>
      </c>
      <c r="L1141" s="30">
        <f>IF(OR(A1141="",B1141="",D1141=""),"",IF(D1141=_xlfn.MAXIFS($D$4:$D$2503,$A$4:$A$2503,A1141,$B$4:$B$2503,B1141),"Yes","No"))</f>
        <v/>
      </c>
      <c r="M1141" s="30">
        <f>IF(B1141="","",IFERROR(INDEX('Share classes'!$F$4:$F$203,MATCH(B1141,'Share classes'!$B$4:$B$203,0)),""))</f>
        <v/>
      </c>
      <c r="N1141" s="30">
        <f>IF(A1141="","",IF(K1141="","Unknown holder ID",IF(J1141="","Unknown class code",IF(OR(C1141="",D1141=""),"Missing shares or date",IF(OR(C1141&lt;0,C1141&lt;&gt;INT(C1141)),"Shares must be a whole number",IF(COUNTIFS($A$4:$A$2503,A1141,$B$4:$B$2503,B1141,$D$4:$D$2503,D1141)&gt;1,"Duplicate row (same date)","OK"))))))</f>
        <v/>
      </c>
    </row>
    <row r="1142">
      <c r="A1142" s="26" t="n"/>
      <c r="B1142" s="26" t="n"/>
      <c r="C1142" s="34" t="n"/>
      <c r="D1142" s="28" t="n"/>
      <c r="E1142" s="26" t="n"/>
      <c r="F1142" s="26" t="n"/>
      <c r="G1142" s="26" t="n"/>
      <c r="H1142" s="38" t="n"/>
      <c r="I1142" s="28" t="n"/>
      <c r="J1142" s="30">
        <f>IF(B1142="","",IFERROR(INDEX('Share classes'!$A$4:$A$203,MATCH(B1142,'Share classes'!$B$4:$B$203,0)),""))</f>
        <v/>
      </c>
      <c r="K1142" s="30">
        <f>IF(A1142="","",IFERROR(INDEX('Holders'!$B$4:$B$1003,MATCH(A1142,'Holders'!$A$4:$A$1003,0)),""))</f>
        <v/>
      </c>
      <c r="L1142" s="30">
        <f>IF(OR(A1142="",B1142="",D1142=""),"",IF(D1142=_xlfn.MAXIFS($D$4:$D$2503,$A$4:$A$2503,A1142,$B$4:$B$2503,B1142),"Yes","No"))</f>
        <v/>
      </c>
      <c r="M1142" s="30">
        <f>IF(B1142="","",IFERROR(INDEX('Share classes'!$F$4:$F$203,MATCH(B1142,'Share classes'!$B$4:$B$203,0)),""))</f>
        <v/>
      </c>
      <c r="N1142" s="30">
        <f>IF(A1142="","",IF(K1142="","Unknown holder ID",IF(J1142="","Unknown class code",IF(OR(C1142="",D1142=""),"Missing shares or date",IF(OR(C1142&lt;0,C1142&lt;&gt;INT(C1142)),"Shares must be a whole number",IF(COUNTIFS($A$4:$A$2503,A1142,$B$4:$B$2503,B1142,$D$4:$D$2503,D1142)&gt;1,"Duplicate row (same date)","OK"))))))</f>
        <v/>
      </c>
    </row>
    <row r="1143">
      <c r="A1143" s="26" t="n"/>
      <c r="B1143" s="26" t="n"/>
      <c r="C1143" s="34" t="n"/>
      <c r="D1143" s="28" t="n"/>
      <c r="E1143" s="26" t="n"/>
      <c r="F1143" s="26" t="n"/>
      <c r="G1143" s="26" t="n"/>
      <c r="H1143" s="38" t="n"/>
      <c r="I1143" s="28" t="n"/>
      <c r="J1143" s="30">
        <f>IF(B1143="","",IFERROR(INDEX('Share classes'!$A$4:$A$203,MATCH(B1143,'Share classes'!$B$4:$B$203,0)),""))</f>
        <v/>
      </c>
      <c r="K1143" s="30">
        <f>IF(A1143="","",IFERROR(INDEX('Holders'!$B$4:$B$1003,MATCH(A1143,'Holders'!$A$4:$A$1003,0)),""))</f>
        <v/>
      </c>
      <c r="L1143" s="30">
        <f>IF(OR(A1143="",B1143="",D1143=""),"",IF(D1143=_xlfn.MAXIFS($D$4:$D$2503,$A$4:$A$2503,A1143,$B$4:$B$2503,B1143),"Yes","No"))</f>
        <v/>
      </c>
      <c r="M1143" s="30">
        <f>IF(B1143="","",IFERROR(INDEX('Share classes'!$F$4:$F$203,MATCH(B1143,'Share classes'!$B$4:$B$203,0)),""))</f>
        <v/>
      </c>
      <c r="N1143" s="30">
        <f>IF(A1143="","",IF(K1143="","Unknown holder ID",IF(J1143="","Unknown class code",IF(OR(C1143="",D1143=""),"Missing shares or date",IF(OR(C1143&lt;0,C1143&lt;&gt;INT(C1143)),"Shares must be a whole number",IF(COUNTIFS($A$4:$A$2503,A1143,$B$4:$B$2503,B1143,$D$4:$D$2503,D1143)&gt;1,"Duplicate row (same date)","OK"))))))</f>
        <v/>
      </c>
    </row>
    <row r="1144">
      <c r="A1144" s="26" t="n"/>
      <c r="B1144" s="26" t="n"/>
      <c r="C1144" s="34" t="n"/>
      <c r="D1144" s="28" t="n"/>
      <c r="E1144" s="26" t="n"/>
      <c r="F1144" s="26" t="n"/>
      <c r="G1144" s="26" t="n"/>
      <c r="H1144" s="38" t="n"/>
      <c r="I1144" s="28" t="n"/>
      <c r="J1144" s="30">
        <f>IF(B1144="","",IFERROR(INDEX('Share classes'!$A$4:$A$203,MATCH(B1144,'Share classes'!$B$4:$B$203,0)),""))</f>
        <v/>
      </c>
      <c r="K1144" s="30">
        <f>IF(A1144="","",IFERROR(INDEX('Holders'!$B$4:$B$1003,MATCH(A1144,'Holders'!$A$4:$A$1003,0)),""))</f>
        <v/>
      </c>
      <c r="L1144" s="30">
        <f>IF(OR(A1144="",B1144="",D1144=""),"",IF(D1144=_xlfn.MAXIFS($D$4:$D$2503,$A$4:$A$2503,A1144,$B$4:$B$2503,B1144),"Yes","No"))</f>
        <v/>
      </c>
      <c r="M1144" s="30">
        <f>IF(B1144="","",IFERROR(INDEX('Share classes'!$F$4:$F$203,MATCH(B1144,'Share classes'!$B$4:$B$203,0)),""))</f>
        <v/>
      </c>
      <c r="N1144" s="30">
        <f>IF(A1144="","",IF(K1144="","Unknown holder ID",IF(J1144="","Unknown class code",IF(OR(C1144="",D1144=""),"Missing shares or date",IF(OR(C1144&lt;0,C1144&lt;&gt;INT(C1144)),"Shares must be a whole number",IF(COUNTIFS($A$4:$A$2503,A1144,$B$4:$B$2503,B1144,$D$4:$D$2503,D1144)&gt;1,"Duplicate row (same date)","OK"))))))</f>
        <v/>
      </c>
    </row>
    <row r="1145">
      <c r="A1145" s="26" t="n"/>
      <c r="B1145" s="26" t="n"/>
      <c r="C1145" s="34" t="n"/>
      <c r="D1145" s="28" t="n"/>
      <c r="E1145" s="26" t="n"/>
      <c r="F1145" s="26" t="n"/>
      <c r="G1145" s="26" t="n"/>
      <c r="H1145" s="38" t="n"/>
      <c r="I1145" s="28" t="n"/>
      <c r="J1145" s="30">
        <f>IF(B1145="","",IFERROR(INDEX('Share classes'!$A$4:$A$203,MATCH(B1145,'Share classes'!$B$4:$B$203,0)),""))</f>
        <v/>
      </c>
      <c r="K1145" s="30">
        <f>IF(A1145="","",IFERROR(INDEX('Holders'!$B$4:$B$1003,MATCH(A1145,'Holders'!$A$4:$A$1003,0)),""))</f>
        <v/>
      </c>
      <c r="L1145" s="30">
        <f>IF(OR(A1145="",B1145="",D1145=""),"",IF(D1145=_xlfn.MAXIFS($D$4:$D$2503,$A$4:$A$2503,A1145,$B$4:$B$2503,B1145),"Yes","No"))</f>
        <v/>
      </c>
      <c r="M1145" s="30">
        <f>IF(B1145="","",IFERROR(INDEX('Share classes'!$F$4:$F$203,MATCH(B1145,'Share classes'!$B$4:$B$203,0)),""))</f>
        <v/>
      </c>
      <c r="N1145" s="30">
        <f>IF(A1145="","",IF(K1145="","Unknown holder ID",IF(J1145="","Unknown class code",IF(OR(C1145="",D1145=""),"Missing shares or date",IF(OR(C1145&lt;0,C1145&lt;&gt;INT(C1145)),"Shares must be a whole number",IF(COUNTIFS($A$4:$A$2503,A1145,$B$4:$B$2503,B1145,$D$4:$D$2503,D1145)&gt;1,"Duplicate row (same date)","OK"))))))</f>
        <v/>
      </c>
    </row>
    <row r="1146">
      <c r="A1146" s="26" t="n"/>
      <c r="B1146" s="26" t="n"/>
      <c r="C1146" s="34" t="n"/>
      <c r="D1146" s="28" t="n"/>
      <c r="E1146" s="26" t="n"/>
      <c r="F1146" s="26" t="n"/>
      <c r="G1146" s="26" t="n"/>
      <c r="H1146" s="38" t="n"/>
      <c r="I1146" s="28" t="n"/>
      <c r="J1146" s="30">
        <f>IF(B1146="","",IFERROR(INDEX('Share classes'!$A$4:$A$203,MATCH(B1146,'Share classes'!$B$4:$B$203,0)),""))</f>
        <v/>
      </c>
      <c r="K1146" s="30">
        <f>IF(A1146="","",IFERROR(INDEX('Holders'!$B$4:$B$1003,MATCH(A1146,'Holders'!$A$4:$A$1003,0)),""))</f>
        <v/>
      </c>
      <c r="L1146" s="30">
        <f>IF(OR(A1146="",B1146="",D1146=""),"",IF(D1146=_xlfn.MAXIFS($D$4:$D$2503,$A$4:$A$2503,A1146,$B$4:$B$2503,B1146),"Yes","No"))</f>
        <v/>
      </c>
      <c r="M1146" s="30">
        <f>IF(B1146="","",IFERROR(INDEX('Share classes'!$F$4:$F$203,MATCH(B1146,'Share classes'!$B$4:$B$203,0)),""))</f>
        <v/>
      </c>
      <c r="N1146" s="30">
        <f>IF(A1146="","",IF(K1146="","Unknown holder ID",IF(J1146="","Unknown class code",IF(OR(C1146="",D1146=""),"Missing shares or date",IF(OR(C1146&lt;0,C1146&lt;&gt;INT(C1146)),"Shares must be a whole number",IF(COUNTIFS($A$4:$A$2503,A1146,$B$4:$B$2503,B1146,$D$4:$D$2503,D1146)&gt;1,"Duplicate row (same date)","OK"))))))</f>
        <v/>
      </c>
    </row>
    <row r="1147">
      <c r="A1147" s="26" t="n"/>
      <c r="B1147" s="26" t="n"/>
      <c r="C1147" s="34" t="n"/>
      <c r="D1147" s="28" t="n"/>
      <c r="E1147" s="26" t="n"/>
      <c r="F1147" s="26" t="n"/>
      <c r="G1147" s="26" t="n"/>
      <c r="H1147" s="38" t="n"/>
      <c r="I1147" s="28" t="n"/>
      <c r="J1147" s="30">
        <f>IF(B1147="","",IFERROR(INDEX('Share classes'!$A$4:$A$203,MATCH(B1147,'Share classes'!$B$4:$B$203,0)),""))</f>
        <v/>
      </c>
      <c r="K1147" s="30">
        <f>IF(A1147="","",IFERROR(INDEX('Holders'!$B$4:$B$1003,MATCH(A1147,'Holders'!$A$4:$A$1003,0)),""))</f>
        <v/>
      </c>
      <c r="L1147" s="30">
        <f>IF(OR(A1147="",B1147="",D1147=""),"",IF(D1147=_xlfn.MAXIFS($D$4:$D$2503,$A$4:$A$2503,A1147,$B$4:$B$2503,B1147),"Yes","No"))</f>
        <v/>
      </c>
      <c r="M1147" s="30">
        <f>IF(B1147="","",IFERROR(INDEX('Share classes'!$F$4:$F$203,MATCH(B1147,'Share classes'!$B$4:$B$203,0)),""))</f>
        <v/>
      </c>
      <c r="N1147" s="30">
        <f>IF(A1147="","",IF(K1147="","Unknown holder ID",IF(J1147="","Unknown class code",IF(OR(C1147="",D1147=""),"Missing shares or date",IF(OR(C1147&lt;0,C1147&lt;&gt;INT(C1147)),"Shares must be a whole number",IF(COUNTIFS($A$4:$A$2503,A1147,$B$4:$B$2503,B1147,$D$4:$D$2503,D1147)&gt;1,"Duplicate row (same date)","OK"))))))</f>
        <v/>
      </c>
    </row>
    <row r="1148">
      <c r="A1148" s="26" t="n"/>
      <c r="B1148" s="26" t="n"/>
      <c r="C1148" s="34" t="n"/>
      <c r="D1148" s="28" t="n"/>
      <c r="E1148" s="26" t="n"/>
      <c r="F1148" s="26" t="n"/>
      <c r="G1148" s="26" t="n"/>
      <c r="H1148" s="38" t="n"/>
      <c r="I1148" s="28" t="n"/>
      <c r="J1148" s="30">
        <f>IF(B1148="","",IFERROR(INDEX('Share classes'!$A$4:$A$203,MATCH(B1148,'Share classes'!$B$4:$B$203,0)),""))</f>
        <v/>
      </c>
      <c r="K1148" s="30">
        <f>IF(A1148="","",IFERROR(INDEX('Holders'!$B$4:$B$1003,MATCH(A1148,'Holders'!$A$4:$A$1003,0)),""))</f>
        <v/>
      </c>
      <c r="L1148" s="30">
        <f>IF(OR(A1148="",B1148="",D1148=""),"",IF(D1148=_xlfn.MAXIFS($D$4:$D$2503,$A$4:$A$2503,A1148,$B$4:$B$2503,B1148),"Yes","No"))</f>
        <v/>
      </c>
      <c r="M1148" s="30">
        <f>IF(B1148="","",IFERROR(INDEX('Share classes'!$F$4:$F$203,MATCH(B1148,'Share classes'!$B$4:$B$203,0)),""))</f>
        <v/>
      </c>
      <c r="N1148" s="30">
        <f>IF(A1148="","",IF(K1148="","Unknown holder ID",IF(J1148="","Unknown class code",IF(OR(C1148="",D1148=""),"Missing shares or date",IF(OR(C1148&lt;0,C1148&lt;&gt;INT(C1148)),"Shares must be a whole number",IF(COUNTIFS($A$4:$A$2503,A1148,$B$4:$B$2503,B1148,$D$4:$D$2503,D1148)&gt;1,"Duplicate row (same date)","OK"))))))</f>
        <v/>
      </c>
    </row>
    <row r="1149">
      <c r="A1149" s="26" t="n"/>
      <c r="B1149" s="26" t="n"/>
      <c r="C1149" s="34" t="n"/>
      <c r="D1149" s="28" t="n"/>
      <c r="E1149" s="26" t="n"/>
      <c r="F1149" s="26" t="n"/>
      <c r="G1149" s="26" t="n"/>
      <c r="H1149" s="38" t="n"/>
      <c r="I1149" s="28" t="n"/>
      <c r="J1149" s="30">
        <f>IF(B1149="","",IFERROR(INDEX('Share classes'!$A$4:$A$203,MATCH(B1149,'Share classes'!$B$4:$B$203,0)),""))</f>
        <v/>
      </c>
      <c r="K1149" s="30">
        <f>IF(A1149="","",IFERROR(INDEX('Holders'!$B$4:$B$1003,MATCH(A1149,'Holders'!$A$4:$A$1003,0)),""))</f>
        <v/>
      </c>
      <c r="L1149" s="30">
        <f>IF(OR(A1149="",B1149="",D1149=""),"",IF(D1149=_xlfn.MAXIFS($D$4:$D$2503,$A$4:$A$2503,A1149,$B$4:$B$2503,B1149),"Yes","No"))</f>
        <v/>
      </c>
      <c r="M1149" s="30">
        <f>IF(B1149="","",IFERROR(INDEX('Share classes'!$F$4:$F$203,MATCH(B1149,'Share classes'!$B$4:$B$203,0)),""))</f>
        <v/>
      </c>
      <c r="N1149" s="30">
        <f>IF(A1149="","",IF(K1149="","Unknown holder ID",IF(J1149="","Unknown class code",IF(OR(C1149="",D1149=""),"Missing shares or date",IF(OR(C1149&lt;0,C1149&lt;&gt;INT(C1149)),"Shares must be a whole number",IF(COUNTIFS($A$4:$A$2503,A1149,$B$4:$B$2503,B1149,$D$4:$D$2503,D1149)&gt;1,"Duplicate row (same date)","OK"))))))</f>
        <v/>
      </c>
    </row>
    <row r="1150">
      <c r="A1150" s="26" t="n"/>
      <c r="B1150" s="26" t="n"/>
      <c r="C1150" s="34" t="n"/>
      <c r="D1150" s="28" t="n"/>
      <c r="E1150" s="26" t="n"/>
      <c r="F1150" s="26" t="n"/>
      <c r="G1150" s="26" t="n"/>
      <c r="H1150" s="38" t="n"/>
      <c r="I1150" s="28" t="n"/>
      <c r="J1150" s="30">
        <f>IF(B1150="","",IFERROR(INDEX('Share classes'!$A$4:$A$203,MATCH(B1150,'Share classes'!$B$4:$B$203,0)),""))</f>
        <v/>
      </c>
      <c r="K1150" s="30">
        <f>IF(A1150="","",IFERROR(INDEX('Holders'!$B$4:$B$1003,MATCH(A1150,'Holders'!$A$4:$A$1003,0)),""))</f>
        <v/>
      </c>
      <c r="L1150" s="30">
        <f>IF(OR(A1150="",B1150="",D1150=""),"",IF(D1150=_xlfn.MAXIFS($D$4:$D$2503,$A$4:$A$2503,A1150,$B$4:$B$2503,B1150),"Yes","No"))</f>
        <v/>
      </c>
      <c r="M1150" s="30">
        <f>IF(B1150="","",IFERROR(INDEX('Share classes'!$F$4:$F$203,MATCH(B1150,'Share classes'!$B$4:$B$203,0)),""))</f>
        <v/>
      </c>
      <c r="N1150" s="30">
        <f>IF(A1150="","",IF(K1150="","Unknown holder ID",IF(J1150="","Unknown class code",IF(OR(C1150="",D1150=""),"Missing shares or date",IF(OR(C1150&lt;0,C1150&lt;&gt;INT(C1150)),"Shares must be a whole number",IF(COUNTIFS($A$4:$A$2503,A1150,$B$4:$B$2503,B1150,$D$4:$D$2503,D1150)&gt;1,"Duplicate row (same date)","OK"))))))</f>
        <v/>
      </c>
    </row>
    <row r="1151">
      <c r="A1151" s="26" t="n"/>
      <c r="B1151" s="26" t="n"/>
      <c r="C1151" s="34" t="n"/>
      <c r="D1151" s="28" t="n"/>
      <c r="E1151" s="26" t="n"/>
      <c r="F1151" s="26" t="n"/>
      <c r="G1151" s="26" t="n"/>
      <c r="H1151" s="38" t="n"/>
      <c r="I1151" s="28" t="n"/>
      <c r="J1151" s="30">
        <f>IF(B1151="","",IFERROR(INDEX('Share classes'!$A$4:$A$203,MATCH(B1151,'Share classes'!$B$4:$B$203,0)),""))</f>
        <v/>
      </c>
      <c r="K1151" s="30">
        <f>IF(A1151="","",IFERROR(INDEX('Holders'!$B$4:$B$1003,MATCH(A1151,'Holders'!$A$4:$A$1003,0)),""))</f>
        <v/>
      </c>
      <c r="L1151" s="30">
        <f>IF(OR(A1151="",B1151="",D1151=""),"",IF(D1151=_xlfn.MAXIFS($D$4:$D$2503,$A$4:$A$2503,A1151,$B$4:$B$2503,B1151),"Yes","No"))</f>
        <v/>
      </c>
      <c r="M1151" s="30">
        <f>IF(B1151="","",IFERROR(INDEX('Share classes'!$F$4:$F$203,MATCH(B1151,'Share classes'!$B$4:$B$203,0)),""))</f>
        <v/>
      </c>
      <c r="N1151" s="30">
        <f>IF(A1151="","",IF(K1151="","Unknown holder ID",IF(J1151="","Unknown class code",IF(OR(C1151="",D1151=""),"Missing shares or date",IF(OR(C1151&lt;0,C1151&lt;&gt;INT(C1151)),"Shares must be a whole number",IF(COUNTIFS($A$4:$A$2503,A1151,$B$4:$B$2503,B1151,$D$4:$D$2503,D1151)&gt;1,"Duplicate row (same date)","OK"))))))</f>
        <v/>
      </c>
    </row>
    <row r="1152">
      <c r="A1152" s="26" t="n"/>
      <c r="B1152" s="26" t="n"/>
      <c r="C1152" s="34" t="n"/>
      <c r="D1152" s="28" t="n"/>
      <c r="E1152" s="26" t="n"/>
      <c r="F1152" s="26" t="n"/>
      <c r="G1152" s="26" t="n"/>
      <c r="H1152" s="38" t="n"/>
      <c r="I1152" s="28" t="n"/>
      <c r="J1152" s="30">
        <f>IF(B1152="","",IFERROR(INDEX('Share classes'!$A$4:$A$203,MATCH(B1152,'Share classes'!$B$4:$B$203,0)),""))</f>
        <v/>
      </c>
      <c r="K1152" s="30">
        <f>IF(A1152="","",IFERROR(INDEX('Holders'!$B$4:$B$1003,MATCH(A1152,'Holders'!$A$4:$A$1003,0)),""))</f>
        <v/>
      </c>
      <c r="L1152" s="30">
        <f>IF(OR(A1152="",B1152="",D1152=""),"",IF(D1152=_xlfn.MAXIFS($D$4:$D$2503,$A$4:$A$2503,A1152,$B$4:$B$2503,B1152),"Yes","No"))</f>
        <v/>
      </c>
      <c r="M1152" s="30">
        <f>IF(B1152="","",IFERROR(INDEX('Share classes'!$F$4:$F$203,MATCH(B1152,'Share classes'!$B$4:$B$203,0)),""))</f>
        <v/>
      </c>
      <c r="N1152" s="30">
        <f>IF(A1152="","",IF(K1152="","Unknown holder ID",IF(J1152="","Unknown class code",IF(OR(C1152="",D1152=""),"Missing shares or date",IF(OR(C1152&lt;0,C1152&lt;&gt;INT(C1152)),"Shares must be a whole number",IF(COUNTIFS($A$4:$A$2503,A1152,$B$4:$B$2503,B1152,$D$4:$D$2503,D1152)&gt;1,"Duplicate row (same date)","OK"))))))</f>
        <v/>
      </c>
    </row>
    <row r="1153">
      <c r="A1153" s="26" t="n"/>
      <c r="B1153" s="26" t="n"/>
      <c r="C1153" s="34" t="n"/>
      <c r="D1153" s="28" t="n"/>
      <c r="E1153" s="26" t="n"/>
      <c r="F1153" s="26" t="n"/>
      <c r="G1153" s="26" t="n"/>
      <c r="H1153" s="38" t="n"/>
      <c r="I1153" s="28" t="n"/>
      <c r="J1153" s="30">
        <f>IF(B1153="","",IFERROR(INDEX('Share classes'!$A$4:$A$203,MATCH(B1153,'Share classes'!$B$4:$B$203,0)),""))</f>
        <v/>
      </c>
      <c r="K1153" s="30">
        <f>IF(A1153="","",IFERROR(INDEX('Holders'!$B$4:$B$1003,MATCH(A1153,'Holders'!$A$4:$A$1003,0)),""))</f>
        <v/>
      </c>
      <c r="L1153" s="30">
        <f>IF(OR(A1153="",B1153="",D1153=""),"",IF(D1153=_xlfn.MAXIFS($D$4:$D$2503,$A$4:$A$2503,A1153,$B$4:$B$2503,B1153),"Yes","No"))</f>
        <v/>
      </c>
      <c r="M1153" s="30">
        <f>IF(B1153="","",IFERROR(INDEX('Share classes'!$F$4:$F$203,MATCH(B1153,'Share classes'!$B$4:$B$203,0)),""))</f>
        <v/>
      </c>
      <c r="N1153" s="30">
        <f>IF(A1153="","",IF(K1153="","Unknown holder ID",IF(J1153="","Unknown class code",IF(OR(C1153="",D1153=""),"Missing shares or date",IF(OR(C1153&lt;0,C1153&lt;&gt;INT(C1153)),"Shares must be a whole number",IF(COUNTIFS($A$4:$A$2503,A1153,$B$4:$B$2503,B1153,$D$4:$D$2503,D1153)&gt;1,"Duplicate row (same date)","OK"))))))</f>
        <v/>
      </c>
    </row>
    <row r="1154">
      <c r="A1154" s="26" t="n"/>
      <c r="B1154" s="26" t="n"/>
      <c r="C1154" s="34" t="n"/>
      <c r="D1154" s="28" t="n"/>
      <c r="E1154" s="26" t="n"/>
      <c r="F1154" s="26" t="n"/>
      <c r="G1154" s="26" t="n"/>
      <c r="H1154" s="38" t="n"/>
      <c r="I1154" s="28" t="n"/>
      <c r="J1154" s="30">
        <f>IF(B1154="","",IFERROR(INDEX('Share classes'!$A$4:$A$203,MATCH(B1154,'Share classes'!$B$4:$B$203,0)),""))</f>
        <v/>
      </c>
      <c r="K1154" s="30">
        <f>IF(A1154="","",IFERROR(INDEX('Holders'!$B$4:$B$1003,MATCH(A1154,'Holders'!$A$4:$A$1003,0)),""))</f>
        <v/>
      </c>
      <c r="L1154" s="30">
        <f>IF(OR(A1154="",B1154="",D1154=""),"",IF(D1154=_xlfn.MAXIFS($D$4:$D$2503,$A$4:$A$2503,A1154,$B$4:$B$2503,B1154),"Yes","No"))</f>
        <v/>
      </c>
      <c r="M1154" s="30">
        <f>IF(B1154="","",IFERROR(INDEX('Share classes'!$F$4:$F$203,MATCH(B1154,'Share classes'!$B$4:$B$203,0)),""))</f>
        <v/>
      </c>
      <c r="N1154" s="30">
        <f>IF(A1154="","",IF(K1154="","Unknown holder ID",IF(J1154="","Unknown class code",IF(OR(C1154="",D1154=""),"Missing shares or date",IF(OR(C1154&lt;0,C1154&lt;&gt;INT(C1154)),"Shares must be a whole number",IF(COUNTIFS($A$4:$A$2503,A1154,$B$4:$B$2503,B1154,$D$4:$D$2503,D1154)&gt;1,"Duplicate row (same date)","OK"))))))</f>
        <v/>
      </c>
    </row>
    <row r="1155">
      <c r="A1155" s="26" t="n"/>
      <c r="B1155" s="26" t="n"/>
      <c r="C1155" s="34" t="n"/>
      <c r="D1155" s="28" t="n"/>
      <c r="E1155" s="26" t="n"/>
      <c r="F1155" s="26" t="n"/>
      <c r="G1155" s="26" t="n"/>
      <c r="H1155" s="38" t="n"/>
      <c r="I1155" s="28" t="n"/>
      <c r="J1155" s="30">
        <f>IF(B1155="","",IFERROR(INDEX('Share classes'!$A$4:$A$203,MATCH(B1155,'Share classes'!$B$4:$B$203,0)),""))</f>
        <v/>
      </c>
      <c r="K1155" s="30">
        <f>IF(A1155="","",IFERROR(INDEX('Holders'!$B$4:$B$1003,MATCH(A1155,'Holders'!$A$4:$A$1003,0)),""))</f>
        <v/>
      </c>
      <c r="L1155" s="30">
        <f>IF(OR(A1155="",B1155="",D1155=""),"",IF(D1155=_xlfn.MAXIFS($D$4:$D$2503,$A$4:$A$2503,A1155,$B$4:$B$2503,B1155),"Yes","No"))</f>
        <v/>
      </c>
      <c r="M1155" s="30">
        <f>IF(B1155="","",IFERROR(INDEX('Share classes'!$F$4:$F$203,MATCH(B1155,'Share classes'!$B$4:$B$203,0)),""))</f>
        <v/>
      </c>
      <c r="N1155" s="30">
        <f>IF(A1155="","",IF(K1155="","Unknown holder ID",IF(J1155="","Unknown class code",IF(OR(C1155="",D1155=""),"Missing shares or date",IF(OR(C1155&lt;0,C1155&lt;&gt;INT(C1155)),"Shares must be a whole number",IF(COUNTIFS($A$4:$A$2503,A1155,$B$4:$B$2503,B1155,$D$4:$D$2503,D1155)&gt;1,"Duplicate row (same date)","OK"))))))</f>
        <v/>
      </c>
    </row>
    <row r="1156">
      <c r="A1156" s="26" t="n"/>
      <c r="B1156" s="26" t="n"/>
      <c r="C1156" s="34" t="n"/>
      <c r="D1156" s="28" t="n"/>
      <c r="E1156" s="26" t="n"/>
      <c r="F1156" s="26" t="n"/>
      <c r="G1156" s="26" t="n"/>
      <c r="H1156" s="38" t="n"/>
      <c r="I1156" s="28" t="n"/>
      <c r="J1156" s="30">
        <f>IF(B1156="","",IFERROR(INDEX('Share classes'!$A$4:$A$203,MATCH(B1156,'Share classes'!$B$4:$B$203,0)),""))</f>
        <v/>
      </c>
      <c r="K1156" s="30">
        <f>IF(A1156="","",IFERROR(INDEX('Holders'!$B$4:$B$1003,MATCH(A1156,'Holders'!$A$4:$A$1003,0)),""))</f>
        <v/>
      </c>
      <c r="L1156" s="30">
        <f>IF(OR(A1156="",B1156="",D1156=""),"",IF(D1156=_xlfn.MAXIFS($D$4:$D$2503,$A$4:$A$2503,A1156,$B$4:$B$2503,B1156),"Yes","No"))</f>
        <v/>
      </c>
      <c r="M1156" s="30">
        <f>IF(B1156="","",IFERROR(INDEX('Share classes'!$F$4:$F$203,MATCH(B1156,'Share classes'!$B$4:$B$203,0)),""))</f>
        <v/>
      </c>
      <c r="N1156" s="30">
        <f>IF(A1156="","",IF(K1156="","Unknown holder ID",IF(J1156="","Unknown class code",IF(OR(C1156="",D1156=""),"Missing shares or date",IF(OR(C1156&lt;0,C1156&lt;&gt;INT(C1156)),"Shares must be a whole number",IF(COUNTIFS($A$4:$A$2503,A1156,$B$4:$B$2503,B1156,$D$4:$D$2503,D1156)&gt;1,"Duplicate row (same date)","OK"))))))</f>
        <v/>
      </c>
    </row>
    <row r="1157">
      <c r="A1157" s="26" t="n"/>
      <c r="B1157" s="26" t="n"/>
      <c r="C1157" s="34" t="n"/>
      <c r="D1157" s="28" t="n"/>
      <c r="E1157" s="26" t="n"/>
      <c r="F1157" s="26" t="n"/>
      <c r="G1157" s="26" t="n"/>
      <c r="H1157" s="38" t="n"/>
      <c r="I1157" s="28" t="n"/>
      <c r="J1157" s="30">
        <f>IF(B1157="","",IFERROR(INDEX('Share classes'!$A$4:$A$203,MATCH(B1157,'Share classes'!$B$4:$B$203,0)),""))</f>
        <v/>
      </c>
      <c r="K1157" s="30">
        <f>IF(A1157="","",IFERROR(INDEX('Holders'!$B$4:$B$1003,MATCH(A1157,'Holders'!$A$4:$A$1003,0)),""))</f>
        <v/>
      </c>
      <c r="L1157" s="30">
        <f>IF(OR(A1157="",B1157="",D1157=""),"",IF(D1157=_xlfn.MAXIFS($D$4:$D$2503,$A$4:$A$2503,A1157,$B$4:$B$2503,B1157),"Yes","No"))</f>
        <v/>
      </c>
      <c r="M1157" s="30">
        <f>IF(B1157="","",IFERROR(INDEX('Share classes'!$F$4:$F$203,MATCH(B1157,'Share classes'!$B$4:$B$203,0)),""))</f>
        <v/>
      </c>
      <c r="N1157" s="30">
        <f>IF(A1157="","",IF(K1157="","Unknown holder ID",IF(J1157="","Unknown class code",IF(OR(C1157="",D1157=""),"Missing shares or date",IF(OR(C1157&lt;0,C1157&lt;&gt;INT(C1157)),"Shares must be a whole number",IF(COUNTIFS($A$4:$A$2503,A1157,$B$4:$B$2503,B1157,$D$4:$D$2503,D1157)&gt;1,"Duplicate row (same date)","OK"))))))</f>
        <v/>
      </c>
    </row>
    <row r="1158">
      <c r="A1158" s="26" t="n"/>
      <c r="B1158" s="26" t="n"/>
      <c r="C1158" s="34" t="n"/>
      <c r="D1158" s="28" t="n"/>
      <c r="E1158" s="26" t="n"/>
      <c r="F1158" s="26" t="n"/>
      <c r="G1158" s="26" t="n"/>
      <c r="H1158" s="38" t="n"/>
      <c r="I1158" s="28" t="n"/>
      <c r="J1158" s="30">
        <f>IF(B1158="","",IFERROR(INDEX('Share classes'!$A$4:$A$203,MATCH(B1158,'Share classes'!$B$4:$B$203,0)),""))</f>
        <v/>
      </c>
      <c r="K1158" s="30">
        <f>IF(A1158="","",IFERROR(INDEX('Holders'!$B$4:$B$1003,MATCH(A1158,'Holders'!$A$4:$A$1003,0)),""))</f>
        <v/>
      </c>
      <c r="L1158" s="30">
        <f>IF(OR(A1158="",B1158="",D1158=""),"",IF(D1158=_xlfn.MAXIFS($D$4:$D$2503,$A$4:$A$2503,A1158,$B$4:$B$2503,B1158),"Yes","No"))</f>
        <v/>
      </c>
      <c r="M1158" s="30">
        <f>IF(B1158="","",IFERROR(INDEX('Share classes'!$F$4:$F$203,MATCH(B1158,'Share classes'!$B$4:$B$203,0)),""))</f>
        <v/>
      </c>
      <c r="N1158" s="30">
        <f>IF(A1158="","",IF(K1158="","Unknown holder ID",IF(J1158="","Unknown class code",IF(OR(C1158="",D1158=""),"Missing shares or date",IF(OR(C1158&lt;0,C1158&lt;&gt;INT(C1158)),"Shares must be a whole number",IF(COUNTIFS($A$4:$A$2503,A1158,$B$4:$B$2503,B1158,$D$4:$D$2503,D1158)&gt;1,"Duplicate row (same date)","OK"))))))</f>
        <v/>
      </c>
    </row>
    <row r="1159">
      <c r="A1159" s="26" t="n"/>
      <c r="B1159" s="26" t="n"/>
      <c r="C1159" s="34" t="n"/>
      <c r="D1159" s="28" t="n"/>
      <c r="E1159" s="26" t="n"/>
      <c r="F1159" s="26" t="n"/>
      <c r="G1159" s="26" t="n"/>
      <c r="H1159" s="38" t="n"/>
      <c r="I1159" s="28" t="n"/>
      <c r="J1159" s="30">
        <f>IF(B1159="","",IFERROR(INDEX('Share classes'!$A$4:$A$203,MATCH(B1159,'Share classes'!$B$4:$B$203,0)),""))</f>
        <v/>
      </c>
      <c r="K1159" s="30">
        <f>IF(A1159="","",IFERROR(INDEX('Holders'!$B$4:$B$1003,MATCH(A1159,'Holders'!$A$4:$A$1003,0)),""))</f>
        <v/>
      </c>
      <c r="L1159" s="30">
        <f>IF(OR(A1159="",B1159="",D1159=""),"",IF(D1159=_xlfn.MAXIFS($D$4:$D$2503,$A$4:$A$2503,A1159,$B$4:$B$2503,B1159),"Yes","No"))</f>
        <v/>
      </c>
      <c r="M1159" s="30">
        <f>IF(B1159="","",IFERROR(INDEX('Share classes'!$F$4:$F$203,MATCH(B1159,'Share classes'!$B$4:$B$203,0)),""))</f>
        <v/>
      </c>
      <c r="N1159" s="30">
        <f>IF(A1159="","",IF(K1159="","Unknown holder ID",IF(J1159="","Unknown class code",IF(OR(C1159="",D1159=""),"Missing shares or date",IF(OR(C1159&lt;0,C1159&lt;&gt;INT(C1159)),"Shares must be a whole number",IF(COUNTIFS($A$4:$A$2503,A1159,$B$4:$B$2503,B1159,$D$4:$D$2503,D1159)&gt;1,"Duplicate row (same date)","OK"))))))</f>
        <v/>
      </c>
    </row>
    <row r="1160">
      <c r="A1160" s="26" t="n"/>
      <c r="B1160" s="26" t="n"/>
      <c r="C1160" s="34" t="n"/>
      <c r="D1160" s="28" t="n"/>
      <c r="E1160" s="26" t="n"/>
      <c r="F1160" s="26" t="n"/>
      <c r="G1160" s="26" t="n"/>
      <c r="H1160" s="38" t="n"/>
      <c r="I1160" s="28" t="n"/>
      <c r="J1160" s="30">
        <f>IF(B1160="","",IFERROR(INDEX('Share classes'!$A$4:$A$203,MATCH(B1160,'Share classes'!$B$4:$B$203,0)),""))</f>
        <v/>
      </c>
      <c r="K1160" s="30">
        <f>IF(A1160="","",IFERROR(INDEX('Holders'!$B$4:$B$1003,MATCH(A1160,'Holders'!$A$4:$A$1003,0)),""))</f>
        <v/>
      </c>
      <c r="L1160" s="30">
        <f>IF(OR(A1160="",B1160="",D1160=""),"",IF(D1160=_xlfn.MAXIFS($D$4:$D$2503,$A$4:$A$2503,A1160,$B$4:$B$2503,B1160),"Yes","No"))</f>
        <v/>
      </c>
      <c r="M1160" s="30">
        <f>IF(B1160="","",IFERROR(INDEX('Share classes'!$F$4:$F$203,MATCH(B1160,'Share classes'!$B$4:$B$203,0)),""))</f>
        <v/>
      </c>
      <c r="N1160" s="30">
        <f>IF(A1160="","",IF(K1160="","Unknown holder ID",IF(J1160="","Unknown class code",IF(OR(C1160="",D1160=""),"Missing shares or date",IF(OR(C1160&lt;0,C1160&lt;&gt;INT(C1160)),"Shares must be a whole number",IF(COUNTIFS($A$4:$A$2503,A1160,$B$4:$B$2503,B1160,$D$4:$D$2503,D1160)&gt;1,"Duplicate row (same date)","OK"))))))</f>
        <v/>
      </c>
    </row>
    <row r="1161">
      <c r="A1161" s="26" t="n"/>
      <c r="B1161" s="26" t="n"/>
      <c r="C1161" s="34" t="n"/>
      <c r="D1161" s="28" t="n"/>
      <c r="E1161" s="26" t="n"/>
      <c r="F1161" s="26" t="n"/>
      <c r="G1161" s="26" t="n"/>
      <c r="H1161" s="38" t="n"/>
      <c r="I1161" s="28" t="n"/>
      <c r="J1161" s="30">
        <f>IF(B1161="","",IFERROR(INDEX('Share classes'!$A$4:$A$203,MATCH(B1161,'Share classes'!$B$4:$B$203,0)),""))</f>
        <v/>
      </c>
      <c r="K1161" s="30">
        <f>IF(A1161="","",IFERROR(INDEX('Holders'!$B$4:$B$1003,MATCH(A1161,'Holders'!$A$4:$A$1003,0)),""))</f>
        <v/>
      </c>
      <c r="L1161" s="30">
        <f>IF(OR(A1161="",B1161="",D1161=""),"",IF(D1161=_xlfn.MAXIFS($D$4:$D$2503,$A$4:$A$2503,A1161,$B$4:$B$2503,B1161),"Yes","No"))</f>
        <v/>
      </c>
      <c r="M1161" s="30">
        <f>IF(B1161="","",IFERROR(INDEX('Share classes'!$F$4:$F$203,MATCH(B1161,'Share classes'!$B$4:$B$203,0)),""))</f>
        <v/>
      </c>
      <c r="N1161" s="30">
        <f>IF(A1161="","",IF(K1161="","Unknown holder ID",IF(J1161="","Unknown class code",IF(OR(C1161="",D1161=""),"Missing shares or date",IF(OR(C1161&lt;0,C1161&lt;&gt;INT(C1161)),"Shares must be a whole number",IF(COUNTIFS($A$4:$A$2503,A1161,$B$4:$B$2503,B1161,$D$4:$D$2503,D1161)&gt;1,"Duplicate row (same date)","OK"))))))</f>
        <v/>
      </c>
    </row>
    <row r="1162">
      <c r="A1162" s="26" t="n"/>
      <c r="B1162" s="26" t="n"/>
      <c r="C1162" s="34" t="n"/>
      <c r="D1162" s="28" t="n"/>
      <c r="E1162" s="26" t="n"/>
      <c r="F1162" s="26" t="n"/>
      <c r="G1162" s="26" t="n"/>
      <c r="H1162" s="38" t="n"/>
      <c r="I1162" s="28" t="n"/>
      <c r="J1162" s="30">
        <f>IF(B1162="","",IFERROR(INDEX('Share classes'!$A$4:$A$203,MATCH(B1162,'Share classes'!$B$4:$B$203,0)),""))</f>
        <v/>
      </c>
      <c r="K1162" s="30">
        <f>IF(A1162="","",IFERROR(INDEX('Holders'!$B$4:$B$1003,MATCH(A1162,'Holders'!$A$4:$A$1003,0)),""))</f>
        <v/>
      </c>
      <c r="L1162" s="30">
        <f>IF(OR(A1162="",B1162="",D1162=""),"",IF(D1162=_xlfn.MAXIFS($D$4:$D$2503,$A$4:$A$2503,A1162,$B$4:$B$2503,B1162),"Yes","No"))</f>
        <v/>
      </c>
      <c r="M1162" s="30">
        <f>IF(B1162="","",IFERROR(INDEX('Share classes'!$F$4:$F$203,MATCH(B1162,'Share classes'!$B$4:$B$203,0)),""))</f>
        <v/>
      </c>
      <c r="N1162" s="30">
        <f>IF(A1162="","",IF(K1162="","Unknown holder ID",IF(J1162="","Unknown class code",IF(OR(C1162="",D1162=""),"Missing shares or date",IF(OR(C1162&lt;0,C1162&lt;&gt;INT(C1162)),"Shares must be a whole number",IF(COUNTIFS($A$4:$A$2503,A1162,$B$4:$B$2503,B1162,$D$4:$D$2503,D1162)&gt;1,"Duplicate row (same date)","OK"))))))</f>
        <v/>
      </c>
    </row>
    <row r="1163">
      <c r="A1163" s="26" t="n"/>
      <c r="B1163" s="26" t="n"/>
      <c r="C1163" s="34" t="n"/>
      <c r="D1163" s="28" t="n"/>
      <c r="E1163" s="26" t="n"/>
      <c r="F1163" s="26" t="n"/>
      <c r="G1163" s="26" t="n"/>
      <c r="H1163" s="38" t="n"/>
      <c r="I1163" s="28" t="n"/>
      <c r="J1163" s="30">
        <f>IF(B1163="","",IFERROR(INDEX('Share classes'!$A$4:$A$203,MATCH(B1163,'Share classes'!$B$4:$B$203,0)),""))</f>
        <v/>
      </c>
      <c r="K1163" s="30">
        <f>IF(A1163="","",IFERROR(INDEX('Holders'!$B$4:$B$1003,MATCH(A1163,'Holders'!$A$4:$A$1003,0)),""))</f>
        <v/>
      </c>
      <c r="L1163" s="30">
        <f>IF(OR(A1163="",B1163="",D1163=""),"",IF(D1163=_xlfn.MAXIFS($D$4:$D$2503,$A$4:$A$2503,A1163,$B$4:$B$2503,B1163),"Yes","No"))</f>
        <v/>
      </c>
      <c r="M1163" s="30">
        <f>IF(B1163="","",IFERROR(INDEX('Share classes'!$F$4:$F$203,MATCH(B1163,'Share classes'!$B$4:$B$203,0)),""))</f>
        <v/>
      </c>
      <c r="N1163" s="30">
        <f>IF(A1163="","",IF(K1163="","Unknown holder ID",IF(J1163="","Unknown class code",IF(OR(C1163="",D1163=""),"Missing shares or date",IF(OR(C1163&lt;0,C1163&lt;&gt;INT(C1163)),"Shares must be a whole number",IF(COUNTIFS($A$4:$A$2503,A1163,$B$4:$B$2503,B1163,$D$4:$D$2503,D1163)&gt;1,"Duplicate row (same date)","OK"))))))</f>
        <v/>
      </c>
    </row>
    <row r="1164">
      <c r="A1164" s="26" t="n"/>
      <c r="B1164" s="26" t="n"/>
      <c r="C1164" s="34" t="n"/>
      <c r="D1164" s="28" t="n"/>
      <c r="E1164" s="26" t="n"/>
      <c r="F1164" s="26" t="n"/>
      <c r="G1164" s="26" t="n"/>
      <c r="H1164" s="38" t="n"/>
      <c r="I1164" s="28" t="n"/>
      <c r="J1164" s="30">
        <f>IF(B1164="","",IFERROR(INDEX('Share classes'!$A$4:$A$203,MATCH(B1164,'Share classes'!$B$4:$B$203,0)),""))</f>
        <v/>
      </c>
      <c r="K1164" s="30">
        <f>IF(A1164="","",IFERROR(INDEX('Holders'!$B$4:$B$1003,MATCH(A1164,'Holders'!$A$4:$A$1003,0)),""))</f>
        <v/>
      </c>
      <c r="L1164" s="30">
        <f>IF(OR(A1164="",B1164="",D1164=""),"",IF(D1164=_xlfn.MAXIFS($D$4:$D$2503,$A$4:$A$2503,A1164,$B$4:$B$2503,B1164),"Yes","No"))</f>
        <v/>
      </c>
      <c r="M1164" s="30">
        <f>IF(B1164="","",IFERROR(INDEX('Share classes'!$F$4:$F$203,MATCH(B1164,'Share classes'!$B$4:$B$203,0)),""))</f>
        <v/>
      </c>
      <c r="N1164" s="30">
        <f>IF(A1164="","",IF(K1164="","Unknown holder ID",IF(J1164="","Unknown class code",IF(OR(C1164="",D1164=""),"Missing shares or date",IF(OR(C1164&lt;0,C1164&lt;&gt;INT(C1164)),"Shares must be a whole number",IF(COUNTIFS($A$4:$A$2503,A1164,$B$4:$B$2503,B1164,$D$4:$D$2503,D1164)&gt;1,"Duplicate row (same date)","OK"))))))</f>
        <v/>
      </c>
    </row>
    <row r="1165">
      <c r="A1165" s="26" t="n"/>
      <c r="B1165" s="26" t="n"/>
      <c r="C1165" s="34" t="n"/>
      <c r="D1165" s="28" t="n"/>
      <c r="E1165" s="26" t="n"/>
      <c r="F1165" s="26" t="n"/>
      <c r="G1165" s="26" t="n"/>
      <c r="H1165" s="38" t="n"/>
      <c r="I1165" s="28" t="n"/>
      <c r="J1165" s="30">
        <f>IF(B1165="","",IFERROR(INDEX('Share classes'!$A$4:$A$203,MATCH(B1165,'Share classes'!$B$4:$B$203,0)),""))</f>
        <v/>
      </c>
      <c r="K1165" s="30">
        <f>IF(A1165="","",IFERROR(INDEX('Holders'!$B$4:$B$1003,MATCH(A1165,'Holders'!$A$4:$A$1003,0)),""))</f>
        <v/>
      </c>
      <c r="L1165" s="30">
        <f>IF(OR(A1165="",B1165="",D1165=""),"",IF(D1165=_xlfn.MAXIFS($D$4:$D$2503,$A$4:$A$2503,A1165,$B$4:$B$2503,B1165),"Yes","No"))</f>
        <v/>
      </c>
      <c r="M1165" s="30">
        <f>IF(B1165="","",IFERROR(INDEX('Share classes'!$F$4:$F$203,MATCH(B1165,'Share classes'!$B$4:$B$203,0)),""))</f>
        <v/>
      </c>
      <c r="N1165" s="30">
        <f>IF(A1165="","",IF(K1165="","Unknown holder ID",IF(J1165="","Unknown class code",IF(OR(C1165="",D1165=""),"Missing shares or date",IF(OR(C1165&lt;0,C1165&lt;&gt;INT(C1165)),"Shares must be a whole number",IF(COUNTIFS($A$4:$A$2503,A1165,$B$4:$B$2503,B1165,$D$4:$D$2503,D1165)&gt;1,"Duplicate row (same date)","OK"))))))</f>
        <v/>
      </c>
    </row>
    <row r="1166">
      <c r="A1166" s="26" t="n"/>
      <c r="B1166" s="26" t="n"/>
      <c r="C1166" s="34" t="n"/>
      <c r="D1166" s="28" t="n"/>
      <c r="E1166" s="26" t="n"/>
      <c r="F1166" s="26" t="n"/>
      <c r="G1166" s="26" t="n"/>
      <c r="H1166" s="38" t="n"/>
      <c r="I1166" s="28" t="n"/>
      <c r="J1166" s="30">
        <f>IF(B1166="","",IFERROR(INDEX('Share classes'!$A$4:$A$203,MATCH(B1166,'Share classes'!$B$4:$B$203,0)),""))</f>
        <v/>
      </c>
      <c r="K1166" s="30">
        <f>IF(A1166="","",IFERROR(INDEX('Holders'!$B$4:$B$1003,MATCH(A1166,'Holders'!$A$4:$A$1003,0)),""))</f>
        <v/>
      </c>
      <c r="L1166" s="30">
        <f>IF(OR(A1166="",B1166="",D1166=""),"",IF(D1166=_xlfn.MAXIFS($D$4:$D$2503,$A$4:$A$2503,A1166,$B$4:$B$2503,B1166),"Yes","No"))</f>
        <v/>
      </c>
      <c r="M1166" s="30">
        <f>IF(B1166="","",IFERROR(INDEX('Share classes'!$F$4:$F$203,MATCH(B1166,'Share classes'!$B$4:$B$203,0)),""))</f>
        <v/>
      </c>
      <c r="N1166" s="30">
        <f>IF(A1166="","",IF(K1166="","Unknown holder ID",IF(J1166="","Unknown class code",IF(OR(C1166="",D1166=""),"Missing shares or date",IF(OR(C1166&lt;0,C1166&lt;&gt;INT(C1166)),"Shares must be a whole number",IF(COUNTIFS($A$4:$A$2503,A1166,$B$4:$B$2503,B1166,$D$4:$D$2503,D1166)&gt;1,"Duplicate row (same date)","OK"))))))</f>
        <v/>
      </c>
    </row>
    <row r="1167">
      <c r="A1167" s="26" t="n"/>
      <c r="B1167" s="26" t="n"/>
      <c r="C1167" s="34" t="n"/>
      <c r="D1167" s="28" t="n"/>
      <c r="E1167" s="26" t="n"/>
      <c r="F1167" s="26" t="n"/>
      <c r="G1167" s="26" t="n"/>
      <c r="H1167" s="38" t="n"/>
      <c r="I1167" s="28" t="n"/>
      <c r="J1167" s="30">
        <f>IF(B1167="","",IFERROR(INDEX('Share classes'!$A$4:$A$203,MATCH(B1167,'Share classes'!$B$4:$B$203,0)),""))</f>
        <v/>
      </c>
      <c r="K1167" s="30">
        <f>IF(A1167="","",IFERROR(INDEX('Holders'!$B$4:$B$1003,MATCH(A1167,'Holders'!$A$4:$A$1003,0)),""))</f>
        <v/>
      </c>
      <c r="L1167" s="30">
        <f>IF(OR(A1167="",B1167="",D1167=""),"",IF(D1167=_xlfn.MAXIFS($D$4:$D$2503,$A$4:$A$2503,A1167,$B$4:$B$2503,B1167),"Yes","No"))</f>
        <v/>
      </c>
      <c r="M1167" s="30">
        <f>IF(B1167="","",IFERROR(INDEX('Share classes'!$F$4:$F$203,MATCH(B1167,'Share classes'!$B$4:$B$203,0)),""))</f>
        <v/>
      </c>
      <c r="N1167" s="30">
        <f>IF(A1167="","",IF(K1167="","Unknown holder ID",IF(J1167="","Unknown class code",IF(OR(C1167="",D1167=""),"Missing shares or date",IF(OR(C1167&lt;0,C1167&lt;&gt;INT(C1167)),"Shares must be a whole number",IF(COUNTIFS($A$4:$A$2503,A1167,$B$4:$B$2503,B1167,$D$4:$D$2503,D1167)&gt;1,"Duplicate row (same date)","OK"))))))</f>
        <v/>
      </c>
    </row>
    <row r="1168">
      <c r="A1168" s="26" t="n"/>
      <c r="B1168" s="26" t="n"/>
      <c r="C1168" s="34" t="n"/>
      <c r="D1168" s="28" t="n"/>
      <c r="E1168" s="26" t="n"/>
      <c r="F1168" s="26" t="n"/>
      <c r="G1168" s="26" t="n"/>
      <c r="H1168" s="38" t="n"/>
      <c r="I1168" s="28" t="n"/>
      <c r="J1168" s="30">
        <f>IF(B1168="","",IFERROR(INDEX('Share classes'!$A$4:$A$203,MATCH(B1168,'Share classes'!$B$4:$B$203,0)),""))</f>
        <v/>
      </c>
      <c r="K1168" s="30">
        <f>IF(A1168="","",IFERROR(INDEX('Holders'!$B$4:$B$1003,MATCH(A1168,'Holders'!$A$4:$A$1003,0)),""))</f>
        <v/>
      </c>
      <c r="L1168" s="30">
        <f>IF(OR(A1168="",B1168="",D1168=""),"",IF(D1168=_xlfn.MAXIFS($D$4:$D$2503,$A$4:$A$2503,A1168,$B$4:$B$2503,B1168),"Yes","No"))</f>
        <v/>
      </c>
      <c r="M1168" s="30">
        <f>IF(B1168="","",IFERROR(INDEX('Share classes'!$F$4:$F$203,MATCH(B1168,'Share classes'!$B$4:$B$203,0)),""))</f>
        <v/>
      </c>
      <c r="N1168" s="30">
        <f>IF(A1168="","",IF(K1168="","Unknown holder ID",IF(J1168="","Unknown class code",IF(OR(C1168="",D1168=""),"Missing shares or date",IF(OR(C1168&lt;0,C1168&lt;&gt;INT(C1168)),"Shares must be a whole number",IF(COUNTIFS($A$4:$A$2503,A1168,$B$4:$B$2503,B1168,$D$4:$D$2503,D1168)&gt;1,"Duplicate row (same date)","OK"))))))</f>
        <v/>
      </c>
    </row>
    <row r="1169">
      <c r="A1169" s="26" t="n"/>
      <c r="B1169" s="26" t="n"/>
      <c r="C1169" s="34" t="n"/>
      <c r="D1169" s="28" t="n"/>
      <c r="E1169" s="26" t="n"/>
      <c r="F1169" s="26" t="n"/>
      <c r="G1169" s="26" t="n"/>
      <c r="H1169" s="38" t="n"/>
      <c r="I1169" s="28" t="n"/>
      <c r="J1169" s="30">
        <f>IF(B1169="","",IFERROR(INDEX('Share classes'!$A$4:$A$203,MATCH(B1169,'Share classes'!$B$4:$B$203,0)),""))</f>
        <v/>
      </c>
      <c r="K1169" s="30">
        <f>IF(A1169="","",IFERROR(INDEX('Holders'!$B$4:$B$1003,MATCH(A1169,'Holders'!$A$4:$A$1003,0)),""))</f>
        <v/>
      </c>
      <c r="L1169" s="30">
        <f>IF(OR(A1169="",B1169="",D1169=""),"",IF(D1169=_xlfn.MAXIFS($D$4:$D$2503,$A$4:$A$2503,A1169,$B$4:$B$2503,B1169),"Yes","No"))</f>
        <v/>
      </c>
      <c r="M1169" s="30">
        <f>IF(B1169="","",IFERROR(INDEX('Share classes'!$F$4:$F$203,MATCH(B1169,'Share classes'!$B$4:$B$203,0)),""))</f>
        <v/>
      </c>
      <c r="N1169" s="30">
        <f>IF(A1169="","",IF(K1169="","Unknown holder ID",IF(J1169="","Unknown class code",IF(OR(C1169="",D1169=""),"Missing shares or date",IF(OR(C1169&lt;0,C1169&lt;&gt;INT(C1169)),"Shares must be a whole number",IF(COUNTIFS($A$4:$A$2503,A1169,$B$4:$B$2503,B1169,$D$4:$D$2503,D1169)&gt;1,"Duplicate row (same date)","OK"))))))</f>
        <v/>
      </c>
    </row>
    <row r="1170">
      <c r="A1170" s="26" t="n"/>
      <c r="B1170" s="26" t="n"/>
      <c r="C1170" s="34" t="n"/>
      <c r="D1170" s="28" t="n"/>
      <c r="E1170" s="26" t="n"/>
      <c r="F1170" s="26" t="n"/>
      <c r="G1170" s="26" t="n"/>
      <c r="H1170" s="38" t="n"/>
      <c r="I1170" s="28" t="n"/>
      <c r="J1170" s="30">
        <f>IF(B1170="","",IFERROR(INDEX('Share classes'!$A$4:$A$203,MATCH(B1170,'Share classes'!$B$4:$B$203,0)),""))</f>
        <v/>
      </c>
      <c r="K1170" s="30">
        <f>IF(A1170="","",IFERROR(INDEX('Holders'!$B$4:$B$1003,MATCH(A1170,'Holders'!$A$4:$A$1003,0)),""))</f>
        <v/>
      </c>
      <c r="L1170" s="30">
        <f>IF(OR(A1170="",B1170="",D1170=""),"",IF(D1170=_xlfn.MAXIFS($D$4:$D$2503,$A$4:$A$2503,A1170,$B$4:$B$2503,B1170),"Yes","No"))</f>
        <v/>
      </c>
      <c r="M1170" s="30">
        <f>IF(B1170="","",IFERROR(INDEX('Share classes'!$F$4:$F$203,MATCH(B1170,'Share classes'!$B$4:$B$203,0)),""))</f>
        <v/>
      </c>
      <c r="N1170" s="30">
        <f>IF(A1170="","",IF(K1170="","Unknown holder ID",IF(J1170="","Unknown class code",IF(OR(C1170="",D1170=""),"Missing shares or date",IF(OR(C1170&lt;0,C1170&lt;&gt;INT(C1170)),"Shares must be a whole number",IF(COUNTIFS($A$4:$A$2503,A1170,$B$4:$B$2503,B1170,$D$4:$D$2503,D1170)&gt;1,"Duplicate row (same date)","OK"))))))</f>
        <v/>
      </c>
    </row>
    <row r="1171">
      <c r="A1171" s="26" t="n"/>
      <c r="B1171" s="26" t="n"/>
      <c r="C1171" s="34" t="n"/>
      <c r="D1171" s="28" t="n"/>
      <c r="E1171" s="26" t="n"/>
      <c r="F1171" s="26" t="n"/>
      <c r="G1171" s="26" t="n"/>
      <c r="H1171" s="38" t="n"/>
      <c r="I1171" s="28" t="n"/>
      <c r="J1171" s="30">
        <f>IF(B1171="","",IFERROR(INDEX('Share classes'!$A$4:$A$203,MATCH(B1171,'Share classes'!$B$4:$B$203,0)),""))</f>
        <v/>
      </c>
      <c r="K1171" s="30">
        <f>IF(A1171="","",IFERROR(INDEX('Holders'!$B$4:$B$1003,MATCH(A1171,'Holders'!$A$4:$A$1003,0)),""))</f>
        <v/>
      </c>
      <c r="L1171" s="30">
        <f>IF(OR(A1171="",B1171="",D1171=""),"",IF(D1171=_xlfn.MAXIFS($D$4:$D$2503,$A$4:$A$2503,A1171,$B$4:$B$2503,B1171),"Yes","No"))</f>
        <v/>
      </c>
      <c r="M1171" s="30">
        <f>IF(B1171="","",IFERROR(INDEX('Share classes'!$F$4:$F$203,MATCH(B1171,'Share classes'!$B$4:$B$203,0)),""))</f>
        <v/>
      </c>
      <c r="N1171" s="30">
        <f>IF(A1171="","",IF(K1171="","Unknown holder ID",IF(J1171="","Unknown class code",IF(OR(C1171="",D1171=""),"Missing shares or date",IF(OR(C1171&lt;0,C1171&lt;&gt;INT(C1171)),"Shares must be a whole number",IF(COUNTIFS($A$4:$A$2503,A1171,$B$4:$B$2503,B1171,$D$4:$D$2503,D1171)&gt;1,"Duplicate row (same date)","OK"))))))</f>
        <v/>
      </c>
    </row>
    <row r="1172">
      <c r="A1172" s="26" t="n"/>
      <c r="B1172" s="26" t="n"/>
      <c r="C1172" s="34" t="n"/>
      <c r="D1172" s="28" t="n"/>
      <c r="E1172" s="26" t="n"/>
      <c r="F1172" s="26" t="n"/>
      <c r="G1172" s="26" t="n"/>
      <c r="H1172" s="38" t="n"/>
      <c r="I1172" s="28" t="n"/>
      <c r="J1172" s="30">
        <f>IF(B1172="","",IFERROR(INDEX('Share classes'!$A$4:$A$203,MATCH(B1172,'Share classes'!$B$4:$B$203,0)),""))</f>
        <v/>
      </c>
      <c r="K1172" s="30">
        <f>IF(A1172="","",IFERROR(INDEX('Holders'!$B$4:$B$1003,MATCH(A1172,'Holders'!$A$4:$A$1003,0)),""))</f>
        <v/>
      </c>
      <c r="L1172" s="30">
        <f>IF(OR(A1172="",B1172="",D1172=""),"",IF(D1172=_xlfn.MAXIFS($D$4:$D$2503,$A$4:$A$2503,A1172,$B$4:$B$2503,B1172),"Yes","No"))</f>
        <v/>
      </c>
      <c r="M1172" s="30">
        <f>IF(B1172="","",IFERROR(INDEX('Share classes'!$F$4:$F$203,MATCH(B1172,'Share classes'!$B$4:$B$203,0)),""))</f>
        <v/>
      </c>
      <c r="N1172" s="30">
        <f>IF(A1172="","",IF(K1172="","Unknown holder ID",IF(J1172="","Unknown class code",IF(OR(C1172="",D1172=""),"Missing shares or date",IF(OR(C1172&lt;0,C1172&lt;&gt;INT(C1172)),"Shares must be a whole number",IF(COUNTIFS($A$4:$A$2503,A1172,$B$4:$B$2503,B1172,$D$4:$D$2503,D1172)&gt;1,"Duplicate row (same date)","OK"))))))</f>
        <v/>
      </c>
    </row>
    <row r="1173">
      <c r="A1173" s="26" t="n"/>
      <c r="B1173" s="26" t="n"/>
      <c r="C1173" s="34" t="n"/>
      <c r="D1173" s="28" t="n"/>
      <c r="E1173" s="26" t="n"/>
      <c r="F1173" s="26" t="n"/>
      <c r="G1173" s="26" t="n"/>
      <c r="H1173" s="38" t="n"/>
      <c r="I1173" s="28" t="n"/>
      <c r="J1173" s="30">
        <f>IF(B1173="","",IFERROR(INDEX('Share classes'!$A$4:$A$203,MATCH(B1173,'Share classes'!$B$4:$B$203,0)),""))</f>
        <v/>
      </c>
      <c r="K1173" s="30">
        <f>IF(A1173="","",IFERROR(INDEX('Holders'!$B$4:$B$1003,MATCH(A1173,'Holders'!$A$4:$A$1003,0)),""))</f>
        <v/>
      </c>
      <c r="L1173" s="30">
        <f>IF(OR(A1173="",B1173="",D1173=""),"",IF(D1173=_xlfn.MAXIFS($D$4:$D$2503,$A$4:$A$2503,A1173,$B$4:$B$2503,B1173),"Yes","No"))</f>
        <v/>
      </c>
      <c r="M1173" s="30">
        <f>IF(B1173="","",IFERROR(INDEX('Share classes'!$F$4:$F$203,MATCH(B1173,'Share classes'!$B$4:$B$203,0)),""))</f>
        <v/>
      </c>
      <c r="N1173" s="30">
        <f>IF(A1173="","",IF(K1173="","Unknown holder ID",IF(J1173="","Unknown class code",IF(OR(C1173="",D1173=""),"Missing shares or date",IF(OR(C1173&lt;0,C1173&lt;&gt;INT(C1173)),"Shares must be a whole number",IF(COUNTIFS($A$4:$A$2503,A1173,$B$4:$B$2503,B1173,$D$4:$D$2503,D1173)&gt;1,"Duplicate row (same date)","OK"))))))</f>
        <v/>
      </c>
    </row>
    <row r="1174">
      <c r="A1174" s="26" t="n"/>
      <c r="B1174" s="26" t="n"/>
      <c r="C1174" s="34" t="n"/>
      <c r="D1174" s="28" t="n"/>
      <c r="E1174" s="26" t="n"/>
      <c r="F1174" s="26" t="n"/>
      <c r="G1174" s="26" t="n"/>
      <c r="H1174" s="38" t="n"/>
      <c r="I1174" s="28" t="n"/>
      <c r="J1174" s="30">
        <f>IF(B1174="","",IFERROR(INDEX('Share classes'!$A$4:$A$203,MATCH(B1174,'Share classes'!$B$4:$B$203,0)),""))</f>
        <v/>
      </c>
      <c r="K1174" s="30">
        <f>IF(A1174="","",IFERROR(INDEX('Holders'!$B$4:$B$1003,MATCH(A1174,'Holders'!$A$4:$A$1003,0)),""))</f>
        <v/>
      </c>
      <c r="L1174" s="30">
        <f>IF(OR(A1174="",B1174="",D1174=""),"",IF(D1174=_xlfn.MAXIFS($D$4:$D$2503,$A$4:$A$2503,A1174,$B$4:$B$2503,B1174),"Yes","No"))</f>
        <v/>
      </c>
      <c r="M1174" s="30">
        <f>IF(B1174="","",IFERROR(INDEX('Share classes'!$F$4:$F$203,MATCH(B1174,'Share classes'!$B$4:$B$203,0)),""))</f>
        <v/>
      </c>
      <c r="N1174" s="30">
        <f>IF(A1174="","",IF(K1174="","Unknown holder ID",IF(J1174="","Unknown class code",IF(OR(C1174="",D1174=""),"Missing shares or date",IF(OR(C1174&lt;0,C1174&lt;&gt;INT(C1174)),"Shares must be a whole number",IF(COUNTIFS($A$4:$A$2503,A1174,$B$4:$B$2503,B1174,$D$4:$D$2503,D1174)&gt;1,"Duplicate row (same date)","OK"))))))</f>
        <v/>
      </c>
    </row>
    <row r="1175">
      <c r="A1175" s="26" t="n"/>
      <c r="B1175" s="26" t="n"/>
      <c r="C1175" s="34" t="n"/>
      <c r="D1175" s="28" t="n"/>
      <c r="E1175" s="26" t="n"/>
      <c r="F1175" s="26" t="n"/>
      <c r="G1175" s="26" t="n"/>
      <c r="H1175" s="38" t="n"/>
      <c r="I1175" s="28" t="n"/>
      <c r="J1175" s="30">
        <f>IF(B1175="","",IFERROR(INDEX('Share classes'!$A$4:$A$203,MATCH(B1175,'Share classes'!$B$4:$B$203,0)),""))</f>
        <v/>
      </c>
      <c r="K1175" s="30">
        <f>IF(A1175="","",IFERROR(INDEX('Holders'!$B$4:$B$1003,MATCH(A1175,'Holders'!$A$4:$A$1003,0)),""))</f>
        <v/>
      </c>
      <c r="L1175" s="30">
        <f>IF(OR(A1175="",B1175="",D1175=""),"",IF(D1175=_xlfn.MAXIFS($D$4:$D$2503,$A$4:$A$2503,A1175,$B$4:$B$2503,B1175),"Yes","No"))</f>
        <v/>
      </c>
      <c r="M1175" s="30">
        <f>IF(B1175="","",IFERROR(INDEX('Share classes'!$F$4:$F$203,MATCH(B1175,'Share classes'!$B$4:$B$203,0)),""))</f>
        <v/>
      </c>
      <c r="N1175" s="30">
        <f>IF(A1175="","",IF(K1175="","Unknown holder ID",IF(J1175="","Unknown class code",IF(OR(C1175="",D1175=""),"Missing shares or date",IF(OR(C1175&lt;0,C1175&lt;&gt;INT(C1175)),"Shares must be a whole number",IF(COUNTIFS($A$4:$A$2503,A1175,$B$4:$B$2503,B1175,$D$4:$D$2503,D1175)&gt;1,"Duplicate row (same date)","OK"))))))</f>
        <v/>
      </c>
    </row>
    <row r="1176">
      <c r="A1176" s="26" t="n"/>
      <c r="B1176" s="26" t="n"/>
      <c r="C1176" s="34" t="n"/>
      <c r="D1176" s="28" t="n"/>
      <c r="E1176" s="26" t="n"/>
      <c r="F1176" s="26" t="n"/>
      <c r="G1176" s="26" t="n"/>
      <c r="H1176" s="38" t="n"/>
      <c r="I1176" s="28" t="n"/>
      <c r="J1176" s="30">
        <f>IF(B1176="","",IFERROR(INDEX('Share classes'!$A$4:$A$203,MATCH(B1176,'Share classes'!$B$4:$B$203,0)),""))</f>
        <v/>
      </c>
      <c r="K1176" s="30">
        <f>IF(A1176="","",IFERROR(INDEX('Holders'!$B$4:$B$1003,MATCH(A1176,'Holders'!$A$4:$A$1003,0)),""))</f>
        <v/>
      </c>
      <c r="L1176" s="30">
        <f>IF(OR(A1176="",B1176="",D1176=""),"",IF(D1176=_xlfn.MAXIFS($D$4:$D$2503,$A$4:$A$2503,A1176,$B$4:$B$2503,B1176),"Yes","No"))</f>
        <v/>
      </c>
      <c r="M1176" s="30">
        <f>IF(B1176="","",IFERROR(INDEX('Share classes'!$F$4:$F$203,MATCH(B1176,'Share classes'!$B$4:$B$203,0)),""))</f>
        <v/>
      </c>
      <c r="N1176" s="30">
        <f>IF(A1176="","",IF(K1176="","Unknown holder ID",IF(J1176="","Unknown class code",IF(OR(C1176="",D1176=""),"Missing shares or date",IF(OR(C1176&lt;0,C1176&lt;&gt;INT(C1176)),"Shares must be a whole number",IF(COUNTIFS($A$4:$A$2503,A1176,$B$4:$B$2503,B1176,$D$4:$D$2503,D1176)&gt;1,"Duplicate row (same date)","OK"))))))</f>
        <v/>
      </c>
    </row>
    <row r="1177">
      <c r="A1177" s="26" t="n"/>
      <c r="B1177" s="26" t="n"/>
      <c r="C1177" s="34" t="n"/>
      <c r="D1177" s="28" t="n"/>
      <c r="E1177" s="26" t="n"/>
      <c r="F1177" s="26" t="n"/>
      <c r="G1177" s="26" t="n"/>
      <c r="H1177" s="38" t="n"/>
      <c r="I1177" s="28" t="n"/>
      <c r="J1177" s="30">
        <f>IF(B1177="","",IFERROR(INDEX('Share classes'!$A$4:$A$203,MATCH(B1177,'Share classes'!$B$4:$B$203,0)),""))</f>
        <v/>
      </c>
      <c r="K1177" s="30">
        <f>IF(A1177="","",IFERROR(INDEX('Holders'!$B$4:$B$1003,MATCH(A1177,'Holders'!$A$4:$A$1003,0)),""))</f>
        <v/>
      </c>
      <c r="L1177" s="30">
        <f>IF(OR(A1177="",B1177="",D1177=""),"",IF(D1177=_xlfn.MAXIFS($D$4:$D$2503,$A$4:$A$2503,A1177,$B$4:$B$2503,B1177),"Yes","No"))</f>
        <v/>
      </c>
      <c r="M1177" s="30">
        <f>IF(B1177="","",IFERROR(INDEX('Share classes'!$F$4:$F$203,MATCH(B1177,'Share classes'!$B$4:$B$203,0)),""))</f>
        <v/>
      </c>
      <c r="N1177" s="30">
        <f>IF(A1177="","",IF(K1177="","Unknown holder ID",IF(J1177="","Unknown class code",IF(OR(C1177="",D1177=""),"Missing shares or date",IF(OR(C1177&lt;0,C1177&lt;&gt;INT(C1177)),"Shares must be a whole number",IF(COUNTIFS($A$4:$A$2503,A1177,$B$4:$B$2503,B1177,$D$4:$D$2503,D1177)&gt;1,"Duplicate row (same date)","OK"))))))</f>
        <v/>
      </c>
    </row>
    <row r="1178">
      <c r="A1178" s="26" t="n"/>
      <c r="B1178" s="26" t="n"/>
      <c r="C1178" s="34" t="n"/>
      <c r="D1178" s="28" t="n"/>
      <c r="E1178" s="26" t="n"/>
      <c r="F1178" s="26" t="n"/>
      <c r="G1178" s="26" t="n"/>
      <c r="H1178" s="38" t="n"/>
      <c r="I1178" s="28" t="n"/>
      <c r="J1178" s="30">
        <f>IF(B1178="","",IFERROR(INDEX('Share classes'!$A$4:$A$203,MATCH(B1178,'Share classes'!$B$4:$B$203,0)),""))</f>
        <v/>
      </c>
      <c r="K1178" s="30">
        <f>IF(A1178="","",IFERROR(INDEX('Holders'!$B$4:$B$1003,MATCH(A1178,'Holders'!$A$4:$A$1003,0)),""))</f>
        <v/>
      </c>
      <c r="L1178" s="30">
        <f>IF(OR(A1178="",B1178="",D1178=""),"",IF(D1178=_xlfn.MAXIFS($D$4:$D$2503,$A$4:$A$2503,A1178,$B$4:$B$2503,B1178),"Yes","No"))</f>
        <v/>
      </c>
      <c r="M1178" s="30">
        <f>IF(B1178="","",IFERROR(INDEX('Share classes'!$F$4:$F$203,MATCH(B1178,'Share classes'!$B$4:$B$203,0)),""))</f>
        <v/>
      </c>
      <c r="N1178" s="30">
        <f>IF(A1178="","",IF(K1178="","Unknown holder ID",IF(J1178="","Unknown class code",IF(OR(C1178="",D1178=""),"Missing shares or date",IF(OR(C1178&lt;0,C1178&lt;&gt;INT(C1178)),"Shares must be a whole number",IF(COUNTIFS($A$4:$A$2503,A1178,$B$4:$B$2503,B1178,$D$4:$D$2503,D1178)&gt;1,"Duplicate row (same date)","OK"))))))</f>
        <v/>
      </c>
    </row>
    <row r="1179">
      <c r="A1179" s="26" t="n"/>
      <c r="B1179" s="26" t="n"/>
      <c r="C1179" s="34" t="n"/>
      <c r="D1179" s="28" t="n"/>
      <c r="E1179" s="26" t="n"/>
      <c r="F1179" s="26" t="n"/>
      <c r="G1179" s="26" t="n"/>
      <c r="H1179" s="38" t="n"/>
      <c r="I1179" s="28" t="n"/>
      <c r="J1179" s="30">
        <f>IF(B1179="","",IFERROR(INDEX('Share classes'!$A$4:$A$203,MATCH(B1179,'Share classes'!$B$4:$B$203,0)),""))</f>
        <v/>
      </c>
      <c r="K1179" s="30">
        <f>IF(A1179="","",IFERROR(INDEX('Holders'!$B$4:$B$1003,MATCH(A1179,'Holders'!$A$4:$A$1003,0)),""))</f>
        <v/>
      </c>
      <c r="L1179" s="30">
        <f>IF(OR(A1179="",B1179="",D1179=""),"",IF(D1179=_xlfn.MAXIFS($D$4:$D$2503,$A$4:$A$2503,A1179,$B$4:$B$2503,B1179),"Yes","No"))</f>
        <v/>
      </c>
      <c r="M1179" s="30">
        <f>IF(B1179="","",IFERROR(INDEX('Share classes'!$F$4:$F$203,MATCH(B1179,'Share classes'!$B$4:$B$203,0)),""))</f>
        <v/>
      </c>
      <c r="N1179" s="30">
        <f>IF(A1179="","",IF(K1179="","Unknown holder ID",IF(J1179="","Unknown class code",IF(OR(C1179="",D1179=""),"Missing shares or date",IF(OR(C1179&lt;0,C1179&lt;&gt;INT(C1179)),"Shares must be a whole number",IF(COUNTIFS($A$4:$A$2503,A1179,$B$4:$B$2503,B1179,$D$4:$D$2503,D1179)&gt;1,"Duplicate row (same date)","OK"))))))</f>
        <v/>
      </c>
    </row>
    <row r="1180">
      <c r="A1180" s="26" t="n"/>
      <c r="B1180" s="26" t="n"/>
      <c r="C1180" s="34" t="n"/>
      <c r="D1180" s="28" t="n"/>
      <c r="E1180" s="26" t="n"/>
      <c r="F1180" s="26" t="n"/>
      <c r="G1180" s="26" t="n"/>
      <c r="H1180" s="38" t="n"/>
      <c r="I1180" s="28" t="n"/>
      <c r="J1180" s="30">
        <f>IF(B1180="","",IFERROR(INDEX('Share classes'!$A$4:$A$203,MATCH(B1180,'Share classes'!$B$4:$B$203,0)),""))</f>
        <v/>
      </c>
      <c r="K1180" s="30">
        <f>IF(A1180="","",IFERROR(INDEX('Holders'!$B$4:$B$1003,MATCH(A1180,'Holders'!$A$4:$A$1003,0)),""))</f>
        <v/>
      </c>
      <c r="L1180" s="30">
        <f>IF(OR(A1180="",B1180="",D1180=""),"",IF(D1180=_xlfn.MAXIFS($D$4:$D$2503,$A$4:$A$2503,A1180,$B$4:$B$2503,B1180),"Yes","No"))</f>
        <v/>
      </c>
      <c r="M1180" s="30">
        <f>IF(B1180="","",IFERROR(INDEX('Share classes'!$F$4:$F$203,MATCH(B1180,'Share classes'!$B$4:$B$203,0)),""))</f>
        <v/>
      </c>
      <c r="N1180" s="30">
        <f>IF(A1180="","",IF(K1180="","Unknown holder ID",IF(J1180="","Unknown class code",IF(OR(C1180="",D1180=""),"Missing shares or date",IF(OR(C1180&lt;0,C1180&lt;&gt;INT(C1180)),"Shares must be a whole number",IF(COUNTIFS($A$4:$A$2503,A1180,$B$4:$B$2503,B1180,$D$4:$D$2503,D1180)&gt;1,"Duplicate row (same date)","OK"))))))</f>
        <v/>
      </c>
    </row>
    <row r="1181">
      <c r="A1181" s="26" t="n"/>
      <c r="B1181" s="26" t="n"/>
      <c r="C1181" s="34" t="n"/>
      <c r="D1181" s="28" t="n"/>
      <c r="E1181" s="26" t="n"/>
      <c r="F1181" s="26" t="n"/>
      <c r="G1181" s="26" t="n"/>
      <c r="H1181" s="38" t="n"/>
      <c r="I1181" s="28" t="n"/>
      <c r="J1181" s="30">
        <f>IF(B1181="","",IFERROR(INDEX('Share classes'!$A$4:$A$203,MATCH(B1181,'Share classes'!$B$4:$B$203,0)),""))</f>
        <v/>
      </c>
      <c r="K1181" s="30">
        <f>IF(A1181="","",IFERROR(INDEX('Holders'!$B$4:$B$1003,MATCH(A1181,'Holders'!$A$4:$A$1003,0)),""))</f>
        <v/>
      </c>
      <c r="L1181" s="30">
        <f>IF(OR(A1181="",B1181="",D1181=""),"",IF(D1181=_xlfn.MAXIFS($D$4:$D$2503,$A$4:$A$2503,A1181,$B$4:$B$2503,B1181),"Yes","No"))</f>
        <v/>
      </c>
      <c r="M1181" s="30">
        <f>IF(B1181="","",IFERROR(INDEX('Share classes'!$F$4:$F$203,MATCH(B1181,'Share classes'!$B$4:$B$203,0)),""))</f>
        <v/>
      </c>
      <c r="N1181" s="30">
        <f>IF(A1181="","",IF(K1181="","Unknown holder ID",IF(J1181="","Unknown class code",IF(OR(C1181="",D1181=""),"Missing shares or date",IF(OR(C1181&lt;0,C1181&lt;&gt;INT(C1181)),"Shares must be a whole number",IF(COUNTIFS($A$4:$A$2503,A1181,$B$4:$B$2503,B1181,$D$4:$D$2503,D1181)&gt;1,"Duplicate row (same date)","OK"))))))</f>
        <v/>
      </c>
    </row>
    <row r="1182">
      <c r="A1182" s="26" t="n"/>
      <c r="B1182" s="26" t="n"/>
      <c r="C1182" s="34" t="n"/>
      <c r="D1182" s="28" t="n"/>
      <c r="E1182" s="26" t="n"/>
      <c r="F1182" s="26" t="n"/>
      <c r="G1182" s="26" t="n"/>
      <c r="H1182" s="38" t="n"/>
      <c r="I1182" s="28" t="n"/>
      <c r="J1182" s="30">
        <f>IF(B1182="","",IFERROR(INDEX('Share classes'!$A$4:$A$203,MATCH(B1182,'Share classes'!$B$4:$B$203,0)),""))</f>
        <v/>
      </c>
      <c r="K1182" s="30">
        <f>IF(A1182="","",IFERROR(INDEX('Holders'!$B$4:$B$1003,MATCH(A1182,'Holders'!$A$4:$A$1003,0)),""))</f>
        <v/>
      </c>
      <c r="L1182" s="30">
        <f>IF(OR(A1182="",B1182="",D1182=""),"",IF(D1182=_xlfn.MAXIFS($D$4:$D$2503,$A$4:$A$2503,A1182,$B$4:$B$2503,B1182),"Yes","No"))</f>
        <v/>
      </c>
      <c r="M1182" s="30">
        <f>IF(B1182="","",IFERROR(INDEX('Share classes'!$F$4:$F$203,MATCH(B1182,'Share classes'!$B$4:$B$203,0)),""))</f>
        <v/>
      </c>
      <c r="N1182" s="30">
        <f>IF(A1182="","",IF(K1182="","Unknown holder ID",IF(J1182="","Unknown class code",IF(OR(C1182="",D1182=""),"Missing shares or date",IF(OR(C1182&lt;0,C1182&lt;&gt;INT(C1182)),"Shares must be a whole number",IF(COUNTIFS($A$4:$A$2503,A1182,$B$4:$B$2503,B1182,$D$4:$D$2503,D1182)&gt;1,"Duplicate row (same date)","OK"))))))</f>
        <v/>
      </c>
    </row>
    <row r="1183">
      <c r="A1183" s="26" t="n"/>
      <c r="B1183" s="26" t="n"/>
      <c r="C1183" s="34" t="n"/>
      <c r="D1183" s="28" t="n"/>
      <c r="E1183" s="26" t="n"/>
      <c r="F1183" s="26" t="n"/>
      <c r="G1183" s="26" t="n"/>
      <c r="H1183" s="38" t="n"/>
      <c r="I1183" s="28" t="n"/>
      <c r="J1183" s="30">
        <f>IF(B1183="","",IFERROR(INDEX('Share classes'!$A$4:$A$203,MATCH(B1183,'Share classes'!$B$4:$B$203,0)),""))</f>
        <v/>
      </c>
      <c r="K1183" s="30">
        <f>IF(A1183="","",IFERROR(INDEX('Holders'!$B$4:$B$1003,MATCH(A1183,'Holders'!$A$4:$A$1003,0)),""))</f>
        <v/>
      </c>
      <c r="L1183" s="30">
        <f>IF(OR(A1183="",B1183="",D1183=""),"",IF(D1183=_xlfn.MAXIFS($D$4:$D$2503,$A$4:$A$2503,A1183,$B$4:$B$2503,B1183),"Yes","No"))</f>
        <v/>
      </c>
      <c r="M1183" s="30">
        <f>IF(B1183="","",IFERROR(INDEX('Share classes'!$F$4:$F$203,MATCH(B1183,'Share classes'!$B$4:$B$203,0)),""))</f>
        <v/>
      </c>
      <c r="N1183" s="30">
        <f>IF(A1183="","",IF(K1183="","Unknown holder ID",IF(J1183="","Unknown class code",IF(OR(C1183="",D1183=""),"Missing shares or date",IF(OR(C1183&lt;0,C1183&lt;&gt;INT(C1183)),"Shares must be a whole number",IF(COUNTIFS($A$4:$A$2503,A1183,$B$4:$B$2503,B1183,$D$4:$D$2503,D1183)&gt;1,"Duplicate row (same date)","OK"))))))</f>
        <v/>
      </c>
    </row>
    <row r="1184">
      <c r="A1184" s="26" t="n"/>
      <c r="B1184" s="26" t="n"/>
      <c r="C1184" s="34" t="n"/>
      <c r="D1184" s="28" t="n"/>
      <c r="E1184" s="26" t="n"/>
      <c r="F1184" s="26" t="n"/>
      <c r="G1184" s="26" t="n"/>
      <c r="H1184" s="38" t="n"/>
      <c r="I1184" s="28" t="n"/>
      <c r="J1184" s="30">
        <f>IF(B1184="","",IFERROR(INDEX('Share classes'!$A$4:$A$203,MATCH(B1184,'Share classes'!$B$4:$B$203,0)),""))</f>
        <v/>
      </c>
      <c r="K1184" s="30">
        <f>IF(A1184="","",IFERROR(INDEX('Holders'!$B$4:$B$1003,MATCH(A1184,'Holders'!$A$4:$A$1003,0)),""))</f>
        <v/>
      </c>
      <c r="L1184" s="30">
        <f>IF(OR(A1184="",B1184="",D1184=""),"",IF(D1184=_xlfn.MAXIFS($D$4:$D$2503,$A$4:$A$2503,A1184,$B$4:$B$2503,B1184),"Yes","No"))</f>
        <v/>
      </c>
      <c r="M1184" s="30">
        <f>IF(B1184="","",IFERROR(INDEX('Share classes'!$F$4:$F$203,MATCH(B1184,'Share classes'!$B$4:$B$203,0)),""))</f>
        <v/>
      </c>
      <c r="N1184" s="30">
        <f>IF(A1184="","",IF(K1184="","Unknown holder ID",IF(J1184="","Unknown class code",IF(OR(C1184="",D1184=""),"Missing shares or date",IF(OR(C1184&lt;0,C1184&lt;&gt;INT(C1184)),"Shares must be a whole number",IF(COUNTIFS($A$4:$A$2503,A1184,$B$4:$B$2503,B1184,$D$4:$D$2503,D1184)&gt;1,"Duplicate row (same date)","OK"))))))</f>
        <v/>
      </c>
    </row>
    <row r="1185">
      <c r="A1185" s="26" t="n"/>
      <c r="B1185" s="26" t="n"/>
      <c r="C1185" s="34" t="n"/>
      <c r="D1185" s="28" t="n"/>
      <c r="E1185" s="26" t="n"/>
      <c r="F1185" s="26" t="n"/>
      <c r="G1185" s="26" t="n"/>
      <c r="H1185" s="38" t="n"/>
      <c r="I1185" s="28" t="n"/>
      <c r="J1185" s="30">
        <f>IF(B1185="","",IFERROR(INDEX('Share classes'!$A$4:$A$203,MATCH(B1185,'Share classes'!$B$4:$B$203,0)),""))</f>
        <v/>
      </c>
      <c r="K1185" s="30">
        <f>IF(A1185="","",IFERROR(INDEX('Holders'!$B$4:$B$1003,MATCH(A1185,'Holders'!$A$4:$A$1003,0)),""))</f>
        <v/>
      </c>
      <c r="L1185" s="30">
        <f>IF(OR(A1185="",B1185="",D1185=""),"",IF(D1185=_xlfn.MAXIFS($D$4:$D$2503,$A$4:$A$2503,A1185,$B$4:$B$2503,B1185),"Yes","No"))</f>
        <v/>
      </c>
      <c r="M1185" s="30">
        <f>IF(B1185="","",IFERROR(INDEX('Share classes'!$F$4:$F$203,MATCH(B1185,'Share classes'!$B$4:$B$203,0)),""))</f>
        <v/>
      </c>
      <c r="N1185" s="30">
        <f>IF(A1185="","",IF(K1185="","Unknown holder ID",IF(J1185="","Unknown class code",IF(OR(C1185="",D1185=""),"Missing shares or date",IF(OR(C1185&lt;0,C1185&lt;&gt;INT(C1185)),"Shares must be a whole number",IF(COUNTIFS($A$4:$A$2503,A1185,$B$4:$B$2503,B1185,$D$4:$D$2503,D1185)&gt;1,"Duplicate row (same date)","OK"))))))</f>
        <v/>
      </c>
    </row>
    <row r="1186">
      <c r="A1186" s="26" t="n"/>
      <c r="B1186" s="26" t="n"/>
      <c r="C1186" s="34" t="n"/>
      <c r="D1186" s="28" t="n"/>
      <c r="E1186" s="26" t="n"/>
      <c r="F1186" s="26" t="n"/>
      <c r="G1186" s="26" t="n"/>
      <c r="H1186" s="38" t="n"/>
      <c r="I1186" s="28" t="n"/>
      <c r="J1186" s="30">
        <f>IF(B1186="","",IFERROR(INDEX('Share classes'!$A$4:$A$203,MATCH(B1186,'Share classes'!$B$4:$B$203,0)),""))</f>
        <v/>
      </c>
      <c r="K1186" s="30">
        <f>IF(A1186="","",IFERROR(INDEX('Holders'!$B$4:$B$1003,MATCH(A1186,'Holders'!$A$4:$A$1003,0)),""))</f>
        <v/>
      </c>
      <c r="L1186" s="30">
        <f>IF(OR(A1186="",B1186="",D1186=""),"",IF(D1186=_xlfn.MAXIFS($D$4:$D$2503,$A$4:$A$2503,A1186,$B$4:$B$2503,B1186),"Yes","No"))</f>
        <v/>
      </c>
      <c r="M1186" s="30">
        <f>IF(B1186="","",IFERROR(INDEX('Share classes'!$F$4:$F$203,MATCH(B1186,'Share classes'!$B$4:$B$203,0)),""))</f>
        <v/>
      </c>
      <c r="N1186" s="30">
        <f>IF(A1186="","",IF(K1186="","Unknown holder ID",IF(J1186="","Unknown class code",IF(OR(C1186="",D1186=""),"Missing shares or date",IF(OR(C1186&lt;0,C1186&lt;&gt;INT(C1186)),"Shares must be a whole number",IF(COUNTIFS($A$4:$A$2503,A1186,$B$4:$B$2503,B1186,$D$4:$D$2503,D1186)&gt;1,"Duplicate row (same date)","OK"))))))</f>
        <v/>
      </c>
    </row>
    <row r="1187">
      <c r="A1187" s="26" t="n"/>
      <c r="B1187" s="26" t="n"/>
      <c r="C1187" s="34" t="n"/>
      <c r="D1187" s="28" t="n"/>
      <c r="E1187" s="26" t="n"/>
      <c r="F1187" s="26" t="n"/>
      <c r="G1187" s="26" t="n"/>
      <c r="H1187" s="38" t="n"/>
      <c r="I1187" s="28" t="n"/>
      <c r="J1187" s="30">
        <f>IF(B1187="","",IFERROR(INDEX('Share classes'!$A$4:$A$203,MATCH(B1187,'Share classes'!$B$4:$B$203,0)),""))</f>
        <v/>
      </c>
      <c r="K1187" s="30">
        <f>IF(A1187="","",IFERROR(INDEX('Holders'!$B$4:$B$1003,MATCH(A1187,'Holders'!$A$4:$A$1003,0)),""))</f>
        <v/>
      </c>
      <c r="L1187" s="30">
        <f>IF(OR(A1187="",B1187="",D1187=""),"",IF(D1187=_xlfn.MAXIFS($D$4:$D$2503,$A$4:$A$2503,A1187,$B$4:$B$2503,B1187),"Yes","No"))</f>
        <v/>
      </c>
      <c r="M1187" s="30">
        <f>IF(B1187="","",IFERROR(INDEX('Share classes'!$F$4:$F$203,MATCH(B1187,'Share classes'!$B$4:$B$203,0)),""))</f>
        <v/>
      </c>
      <c r="N1187" s="30">
        <f>IF(A1187="","",IF(K1187="","Unknown holder ID",IF(J1187="","Unknown class code",IF(OR(C1187="",D1187=""),"Missing shares or date",IF(OR(C1187&lt;0,C1187&lt;&gt;INT(C1187)),"Shares must be a whole number",IF(COUNTIFS($A$4:$A$2503,A1187,$B$4:$B$2503,B1187,$D$4:$D$2503,D1187)&gt;1,"Duplicate row (same date)","OK"))))))</f>
        <v/>
      </c>
    </row>
    <row r="1188">
      <c r="A1188" s="26" t="n"/>
      <c r="B1188" s="26" t="n"/>
      <c r="C1188" s="34" t="n"/>
      <c r="D1188" s="28" t="n"/>
      <c r="E1188" s="26" t="n"/>
      <c r="F1188" s="26" t="n"/>
      <c r="G1188" s="26" t="n"/>
      <c r="H1188" s="38" t="n"/>
      <c r="I1188" s="28" t="n"/>
      <c r="J1188" s="30">
        <f>IF(B1188="","",IFERROR(INDEX('Share classes'!$A$4:$A$203,MATCH(B1188,'Share classes'!$B$4:$B$203,0)),""))</f>
        <v/>
      </c>
      <c r="K1188" s="30">
        <f>IF(A1188="","",IFERROR(INDEX('Holders'!$B$4:$B$1003,MATCH(A1188,'Holders'!$A$4:$A$1003,0)),""))</f>
        <v/>
      </c>
      <c r="L1188" s="30">
        <f>IF(OR(A1188="",B1188="",D1188=""),"",IF(D1188=_xlfn.MAXIFS($D$4:$D$2503,$A$4:$A$2503,A1188,$B$4:$B$2503,B1188),"Yes","No"))</f>
        <v/>
      </c>
      <c r="M1188" s="30">
        <f>IF(B1188="","",IFERROR(INDEX('Share classes'!$F$4:$F$203,MATCH(B1188,'Share classes'!$B$4:$B$203,0)),""))</f>
        <v/>
      </c>
      <c r="N1188" s="30">
        <f>IF(A1188="","",IF(K1188="","Unknown holder ID",IF(J1188="","Unknown class code",IF(OR(C1188="",D1188=""),"Missing shares or date",IF(OR(C1188&lt;0,C1188&lt;&gt;INT(C1188)),"Shares must be a whole number",IF(COUNTIFS($A$4:$A$2503,A1188,$B$4:$B$2503,B1188,$D$4:$D$2503,D1188)&gt;1,"Duplicate row (same date)","OK"))))))</f>
        <v/>
      </c>
    </row>
    <row r="1189">
      <c r="A1189" s="26" t="n"/>
      <c r="B1189" s="26" t="n"/>
      <c r="C1189" s="34" t="n"/>
      <c r="D1189" s="28" t="n"/>
      <c r="E1189" s="26" t="n"/>
      <c r="F1189" s="26" t="n"/>
      <c r="G1189" s="26" t="n"/>
      <c r="H1189" s="38" t="n"/>
      <c r="I1189" s="28" t="n"/>
      <c r="J1189" s="30">
        <f>IF(B1189="","",IFERROR(INDEX('Share classes'!$A$4:$A$203,MATCH(B1189,'Share classes'!$B$4:$B$203,0)),""))</f>
        <v/>
      </c>
      <c r="K1189" s="30">
        <f>IF(A1189="","",IFERROR(INDEX('Holders'!$B$4:$B$1003,MATCH(A1189,'Holders'!$A$4:$A$1003,0)),""))</f>
        <v/>
      </c>
      <c r="L1189" s="30">
        <f>IF(OR(A1189="",B1189="",D1189=""),"",IF(D1189=_xlfn.MAXIFS($D$4:$D$2503,$A$4:$A$2503,A1189,$B$4:$B$2503,B1189),"Yes","No"))</f>
        <v/>
      </c>
      <c r="M1189" s="30">
        <f>IF(B1189="","",IFERROR(INDEX('Share classes'!$F$4:$F$203,MATCH(B1189,'Share classes'!$B$4:$B$203,0)),""))</f>
        <v/>
      </c>
      <c r="N1189" s="30">
        <f>IF(A1189="","",IF(K1189="","Unknown holder ID",IF(J1189="","Unknown class code",IF(OR(C1189="",D1189=""),"Missing shares or date",IF(OR(C1189&lt;0,C1189&lt;&gt;INT(C1189)),"Shares must be a whole number",IF(COUNTIFS($A$4:$A$2503,A1189,$B$4:$B$2503,B1189,$D$4:$D$2503,D1189)&gt;1,"Duplicate row (same date)","OK"))))))</f>
        <v/>
      </c>
    </row>
    <row r="1190">
      <c r="A1190" s="26" t="n"/>
      <c r="B1190" s="26" t="n"/>
      <c r="C1190" s="34" t="n"/>
      <c r="D1190" s="28" t="n"/>
      <c r="E1190" s="26" t="n"/>
      <c r="F1190" s="26" t="n"/>
      <c r="G1190" s="26" t="n"/>
      <c r="H1190" s="38" t="n"/>
      <c r="I1190" s="28" t="n"/>
      <c r="J1190" s="30">
        <f>IF(B1190="","",IFERROR(INDEX('Share classes'!$A$4:$A$203,MATCH(B1190,'Share classes'!$B$4:$B$203,0)),""))</f>
        <v/>
      </c>
      <c r="K1190" s="30">
        <f>IF(A1190="","",IFERROR(INDEX('Holders'!$B$4:$B$1003,MATCH(A1190,'Holders'!$A$4:$A$1003,0)),""))</f>
        <v/>
      </c>
      <c r="L1190" s="30">
        <f>IF(OR(A1190="",B1190="",D1190=""),"",IF(D1190=_xlfn.MAXIFS($D$4:$D$2503,$A$4:$A$2503,A1190,$B$4:$B$2503,B1190),"Yes","No"))</f>
        <v/>
      </c>
      <c r="M1190" s="30">
        <f>IF(B1190="","",IFERROR(INDEX('Share classes'!$F$4:$F$203,MATCH(B1190,'Share classes'!$B$4:$B$203,0)),""))</f>
        <v/>
      </c>
      <c r="N1190" s="30">
        <f>IF(A1190="","",IF(K1190="","Unknown holder ID",IF(J1190="","Unknown class code",IF(OR(C1190="",D1190=""),"Missing shares or date",IF(OR(C1190&lt;0,C1190&lt;&gt;INT(C1190)),"Shares must be a whole number",IF(COUNTIFS($A$4:$A$2503,A1190,$B$4:$B$2503,B1190,$D$4:$D$2503,D1190)&gt;1,"Duplicate row (same date)","OK"))))))</f>
        <v/>
      </c>
    </row>
    <row r="1191">
      <c r="A1191" s="26" t="n"/>
      <c r="B1191" s="26" t="n"/>
      <c r="C1191" s="34" t="n"/>
      <c r="D1191" s="28" t="n"/>
      <c r="E1191" s="26" t="n"/>
      <c r="F1191" s="26" t="n"/>
      <c r="G1191" s="26" t="n"/>
      <c r="H1191" s="38" t="n"/>
      <c r="I1191" s="28" t="n"/>
      <c r="J1191" s="30">
        <f>IF(B1191="","",IFERROR(INDEX('Share classes'!$A$4:$A$203,MATCH(B1191,'Share classes'!$B$4:$B$203,0)),""))</f>
        <v/>
      </c>
      <c r="K1191" s="30">
        <f>IF(A1191="","",IFERROR(INDEX('Holders'!$B$4:$B$1003,MATCH(A1191,'Holders'!$A$4:$A$1003,0)),""))</f>
        <v/>
      </c>
      <c r="L1191" s="30">
        <f>IF(OR(A1191="",B1191="",D1191=""),"",IF(D1191=_xlfn.MAXIFS($D$4:$D$2503,$A$4:$A$2503,A1191,$B$4:$B$2503,B1191),"Yes","No"))</f>
        <v/>
      </c>
      <c r="M1191" s="30">
        <f>IF(B1191="","",IFERROR(INDEX('Share classes'!$F$4:$F$203,MATCH(B1191,'Share classes'!$B$4:$B$203,0)),""))</f>
        <v/>
      </c>
      <c r="N1191" s="30">
        <f>IF(A1191="","",IF(K1191="","Unknown holder ID",IF(J1191="","Unknown class code",IF(OR(C1191="",D1191=""),"Missing shares or date",IF(OR(C1191&lt;0,C1191&lt;&gt;INT(C1191)),"Shares must be a whole number",IF(COUNTIFS($A$4:$A$2503,A1191,$B$4:$B$2503,B1191,$D$4:$D$2503,D1191)&gt;1,"Duplicate row (same date)","OK"))))))</f>
        <v/>
      </c>
    </row>
    <row r="1192">
      <c r="A1192" s="26" t="n"/>
      <c r="B1192" s="26" t="n"/>
      <c r="C1192" s="34" t="n"/>
      <c r="D1192" s="28" t="n"/>
      <c r="E1192" s="26" t="n"/>
      <c r="F1192" s="26" t="n"/>
      <c r="G1192" s="26" t="n"/>
      <c r="H1192" s="38" t="n"/>
      <c r="I1192" s="28" t="n"/>
      <c r="J1192" s="30">
        <f>IF(B1192="","",IFERROR(INDEX('Share classes'!$A$4:$A$203,MATCH(B1192,'Share classes'!$B$4:$B$203,0)),""))</f>
        <v/>
      </c>
      <c r="K1192" s="30">
        <f>IF(A1192="","",IFERROR(INDEX('Holders'!$B$4:$B$1003,MATCH(A1192,'Holders'!$A$4:$A$1003,0)),""))</f>
        <v/>
      </c>
      <c r="L1192" s="30">
        <f>IF(OR(A1192="",B1192="",D1192=""),"",IF(D1192=_xlfn.MAXIFS($D$4:$D$2503,$A$4:$A$2503,A1192,$B$4:$B$2503,B1192),"Yes","No"))</f>
        <v/>
      </c>
      <c r="M1192" s="30">
        <f>IF(B1192="","",IFERROR(INDEX('Share classes'!$F$4:$F$203,MATCH(B1192,'Share classes'!$B$4:$B$203,0)),""))</f>
        <v/>
      </c>
      <c r="N1192" s="30">
        <f>IF(A1192="","",IF(K1192="","Unknown holder ID",IF(J1192="","Unknown class code",IF(OR(C1192="",D1192=""),"Missing shares or date",IF(OR(C1192&lt;0,C1192&lt;&gt;INT(C1192)),"Shares must be a whole number",IF(COUNTIFS($A$4:$A$2503,A1192,$B$4:$B$2503,B1192,$D$4:$D$2503,D1192)&gt;1,"Duplicate row (same date)","OK"))))))</f>
        <v/>
      </c>
    </row>
    <row r="1193">
      <c r="A1193" s="26" t="n"/>
      <c r="B1193" s="26" t="n"/>
      <c r="C1193" s="34" t="n"/>
      <c r="D1193" s="28" t="n"/>
      <c r="E1193" s="26" t="n"/>
      <c r="F1193" s="26" t="n"/>
      <c r="G1193" s="26" t="n"/>
      <c r="H1193" s="38" t="n"/>
      <c r="I1193" s="28" t="n"/>
      <c r="J1193" s="30">
        <f>IF(B1193="","",IFERROR(INDEX('Share classes'!$A$4:$A$203,MATCH(B1193,'Share classes'!$B$4:$B$203,0)),""))</f>
        <v/>
      </c>
      <c r="K1193" s="30">
        <f>IF(A1193="","",IFERROR(INDEX('Holders'!$B$4:$B$1003,MATCH(A1193,'Holders'!$A$4:$A$1003,0)),""))</f>
        <v/>
      </c>
      <c r="L1193" s="30">
        <f>IF(OR(A1193="",B1193="",D1193=""),"",IF(D1193=_xlfn.MAXIFS($D$4:$D$2503,$A$4:$A$2503,A1193,$B$4:$B$2503,B1193),"Yes","No"))</f>
        <v/>
      </c>
      <c r="M1193" s="30">
        <f>IF(B1193="","",IFERROR(INDEX('Share classes'!$F$4:$F$203,MATCH(B1193,'Share classes'!$B$4:$B$203,0)),""))</f>
        <v/>
      </c>
      <c r="N1193" s="30">
        <f>IF(A1193="","",IF(K1193="","Unknown holder ID",IF(J1193="","Unknown class code",IF(OR(C1193="",D1193=""),"Missing shares or date",IF(OR(C1193&lt;0,C1193&lt;&gt;INT(C1193)),"Shares must be a whole number",IF(COUNTIFS($A$4:$A$2503,A1193,$B$4:$B$2503,B1193,$D$4:$D$2503,D1193)&gt;1,"Duplicate row (same date)","OK"))))))</f>
        <v/>
      </c>
    </row>
    <row r="1194">
      <c r="A1194" s="26" t="n"/>
      <c r="B1194" s="26" t="n"/>
      <c r="C1194" s="34" t="n"/>
      <c r="D1194" s="28" t="n"/>
      <c r="E1194" s="26" t="n"/>
      <c r="F1194" s="26" t="n"/>
      <c r="G1194" s="26" t="n"/>
      <c r="H1194" s="38" t="n"/>
      <c r="I1194" s="28" t="n"/>
      <c r="J1194" s="30">
        <f>IF(B1194="","",IFERROR(INDEX('Share classes'!$A$4:$A$203,MATCH(B1194,'Share classes'!$B$4:$B$203,0)),""))</f>
        <v/>
      </c>
      <c r="K1194" s="30">
        <f>IF(A1194="","",IFERROR(INDEX('Holders'!$B$4:$B$1003,MATCH(A1194,'Holders'!$A$4:$A$1003,0)),""))</f>
        <v/>
      </c>
      <c r="L1194" s="30">
        <f>IF(OR(A1194="",B1194="",D1194=""),"",IF(D1194=_xlfn.MAXIFS($D$4:$D$2503,$A$4:$A$2503,A1194,$B$4:$B$2503,B1194),"Yes","No"))</f>
        <v/>
      </c>
      <c r="M1194" s="30">
        <f>IF(B1194="","",IFERROR(INDEX('Share classes'!$F$4:$F$203,MATCH(B1194,'Share classes'!$B$4:$B$203,0)),""))</f>
        <v/>
      </c>
      <c r="N1194" s="30">
        <f>IF(A1194="","",IF(K1194="","Unknown holder ID",IF(J1194="","Unknown class code",IF(OR(C1194="",D1194=""),"Missing shares or date",IF(OR(C1194&lt;0,C1194&lt;&gt;INT(C1194)),"Shares must be a whole number",IF(COUNTIFS($A$4:$A$2503,A1194,$B$4:$B$2503,B1194,$D$4:$D$2503,D1194)&gt;1,"Duplicate row (same date)","OK"))))))</f>
        <v/>
      </c>
    </row>
    <row r="1195">
      <c r="A1195" s="26" t="n"/>
      <c r="B1195" s="26" t="n"/>
      <c r="C1195" s="34" t="n"/>
      <c r="D1195" s="28" t="n"/>
      <c r="E1195" s="26" t="n"/>
      <c r="F1195" s="26" t="n"/>
      <c r="G1195" s="26" t="n"/>
      <c r="H1195" s="38" t="n"/>
      <c r="I1195" s="28" t="n"/>
      <c r="J1195" s="30">
        <f>IF(B1195="","",IFERROR(INDEX('Share classes'!$A$4:$A$203,MATCH(B1195,'Share classes'!$B$4:$B$203,0)),""))</f>
        <v/>
      </c>
      <c r="K1195" s="30">
        <f>IF(A1195="","",IFERROR(INDEX('Holders'!$B$4:$B$1003,MATCH(A1195,'Holders'!$A$4:$A$1003,0)),""))</f>
        <v/>
      </c>
      <c r="L1195" s="30">
        <f>IF(OR(A1195="",B1195="",D1195=""),"",IF(D1195=_xlfn.MAXIFS($D$4:$D$2503,$A$4:$A$2503,A1195,$B$4:$B$2503,B1195),"Yes","No"))</f>
        <v/>
      </c>
      <c r="M1195" s="30">
        <f>IF(B1195="","",IFERROR(INDEX('Share classes'!$F$4:$F$203,MATCH(B1195,'Share classes'!$B$4:$B$203,0)),""))</f>
        <v/>
      </c>
      <c r="N1195" s="30">
        <f>IF(A1195="","",IF(K1195="","Unknown holder ID",IF(J1195="","Unknown class code",IF(OR(C1195="",D1195=""),"Missing shares or date",IF(OR(C1195&lt;0,C1195&lt;&gt;INT(C1195)),"Shares must be a whole number",IF(COUNTIFS($A$4:$A$2503,A1195,$B$4:$B$2503,B1195,$D$4:$D$2503,D1195)&gt;1,"Duplicate row (same date)","OK"))))))</f>
        <v/>
      </c>
    </row>
    <row r="1196">
      <c r="A1196" s="26" t="n"/>
      <c r="B1196" s="26" t="n"/>
      <c r="C1196" s="34" t="n"/>
      <c r="D1196" s="28" t="n"/>
      <c r="E1196" s="26" t="n"/>
      <c r="F1196" s="26" t="n"/>
      <c r="G1196" s="26" t="n"/>
      <c r="H1196" s="38" t="n"/>
      <c r="I1196" s="28" t="n"/>
      <c r="J1196" s="30">
        <f>IF(B1196="","",IFERROR(INDEX('Share classes'!$A$4:$A$203,MATCH(B1196,'Share classes'!$B$4:$B$203,0)),""))</f>
        <v/>
      </c>
      <c r="K1196" s="30">
        <f>IF(A1196="","",IFERROR(INDEX('Holders'!$B$4:$B$1003,MATCH(A1196,'Holders'!$A$4:$A$1003,0)),""))</f>
        <v/>
      </c>
      <c r="L1196" s="30">
        <f>IF(OR(A1196="",B1196="",D1196=""),"",IF(D1196=_xlfn.MAXIFS($D$4:$D$2503,$A$4:$A$2503,A1196,$B$4:$B$2503,B1196),"Yes","No"))</f>
        <v/>
      </c>
      <c r="M1196" s="30">
        <f>IF(B1196="","",IFERROR(INDEX('Share classes'!$F$4:$F$203,MATCH(B1196,'Share classes'!$B$4:$B$203,0)),""))</f>
        <v/>
      </c>
      <c r="N1196" s="30">
        <f>IF(A1196="","",IF(K1196="","Unknown holder ID",IF(J1196="","Unknown class code",IF(OR(C1196="",D1196=""),"Missing shares or date",IF(OR(C1196&lt;0,C1196&lt;&gt;INT(C1196)),"Shares must be a whole number",IF(COUNTIFS($A$4:$A$2503,A1196,$B$4:$B$2503,B1196,$D$4:$D$2503,D1196)&gt;1,"Duplicate row (same date)","OK"))))))</f>
        <v/>
      </c>
    </row>
    <row r="1197">
      <c r="A1197" s="26" t="n"/>
      <c r="B1197" s="26" t="n"/>
      <c r="C1197" s="34" t="n"/>
      <c r="D1197" s="28" t="n"/>
      <c r="E1197" s="26" t="n"/>
      <c r="F1197" s="26" t="n"/>
      <c r="G1197" s="26" t="n"/>
      <c r="H1197" s="38" t="n"/>
      <c r="I1197" s="28" t="n"/>
      <c r="J1197" s="30">
        <f>IF(B1197="","",IFERROR(INDEX('Share classes'!$A$4:$A$203,MATCH(B1197,'Share classes'!$B$4:$B$203,0)),""))</f>
        <v/>
      </c>
      <c r="K1197" s="30">
        <f>IF(A1197="","",IFERROR(INDEX('Holders'!$B$4:$B$1003,MATCH(A1197,'Holders'!$A$4:$A$1003,0)),""))</f>
        <v/>
      </c>
      <c r="L1197" s="30">
        <f>IF(OR(A1197="",B1197="",D1197=""),"",IF(D1197=_xlfn.MAXIFS($D$4:$D$2503,$A$4:$A$2503,A1197,$B$4:$B$2503,B1197),"Yes","No"))</f>
        <v/>
      </c>
      <c r="M1197" s="30">
        <f>IF(B1197="","",IFERROR(INDEX('Share classes'!$F$4:$F$203,MATCH(B1197,'Share classes'!$B$4:$B$203,0)),""))</f>
        <v/>
      </c>
      <c r="N1197" s="30">
        <f>IF(A1197="","",IF(K1197="","Unknown holder ID",IF(J1197="","Unknown class code",IF(OR(C1197="",D1197=""),"Missing shares or date",IF(OR(C1197&lt;0,C1197&lt;&gt;INT(C1197)),"Shares must be a whole number",IF(COUNTIFS($A$4:$A$2503,A1197,$B$4:$B$2503,B1197,$D$4:$D$2503,D1197)&gt;1,"Duplicate row (same date)","OK"))))))</f>
        <v/>
      </c>
    </row>
    <row r="1198">
      <c r="A1198" s="26" t="n"/>
      <c r="B1198" s="26" t="n"/>
      <c r="C1198" s="34" t="n"/>
      <c r="D1198" s="28" t="n"/>
      <c r="E1198" s="26" t="n"/>
      <c r="F1198" s="26" t="n"/>
      <c r="G1198" s="26" t="n"/>
      <c r="H1198" s="38" t="n"/>
      <c r="I1198" s="28" t="n"/>
      <c r="J1198" s="30">
        <f>IF(B1198="","",IFERROR(INDEX('Share classes'!$A$4:$A$203,MATCH(B1198,'Share classes'!$B$4:$B$203,0)),""))</f>
        <v/>
      </c>
      <c r="K1198" s="30">
        <f>IF(A1198="","",IFERROR(INDEX('Holders'!$B$4:$B$1003,MATCH(A1198,'Holders'!$A$4:$A$1003,0)),""))</f>
        <v/>
      </c>
      <c r="L1198" s="30">
        <f>IF(OR(A1198="",B1198="",D1198=""),"",IF(D1198=_xlfn.MAXIFS($D$4:$D$2503,$A$4:$A$2503,A1198,$B$4:$B$2503,B1198),"Yes","No"))</f>
        <v/>
      </c>
      <c r="M1198" s="30">
        <f>IF(B1198="","",IFERROR(INDEX('Share classes'!$F$4:$F$203,MATCH(B1198,'Share classes'!$B$4:$B$203,0)),""))</f>
        <v/>
      </c>
      <c r="N1198" s="30">
        <f>IF(A1198="","",IF(K1198="","Unknown holder ID",IF(J1198="","Unknown class code",IF(OR(C1198="",D1198=""),"Missing shares or date",IF(OR(C1198&lt;0,C1198&lt;&gt;INT(C1198)),"Shares must be a whole number",IF(COUNTIFS($A$4:$A$2503,A1198,$B$4:$B$2503,B1198,$D$4:$D$2503,D1198)&gt;1,"Duplicate row (same date)","OK"))))))</f>
        <v/>
      </c>
    </row>
    <row r="1199">
      <c r="A1199" s="26" t="n"/>
      <c r="B1199" s="26" t="n"/>
      <c r="C1199" s="34" t="n"/>
      <c r="D1199" s="28" t="n"/>
      <c r="E1199" s="26" t="n"/>
      <c r="F1199" s="26" t="n"/>
      <c r="G1199" s="26" t="n"/>
      <c r="H1199" s="38" t="n"/>
      <c r="I1199" s="28" t="n"/>
      <c r="J1199" s="30">
        <f>IF(B1199="","",IFERROR(INDEX('Share classes'!$A$4:$A$203,MATCH(B1199,'Share classes'!$B$4:$B$203,0)),""))</f>
        <v/>
      </c>
      <c r="K1199" s="30">
        <f>IF(A1199="","",IFERROR(INDEX('Holders'!$B$4:$B$1003,MATCH(A1199,'Holders'!$A$4:$A$1003,0)),""))</f>
        <v/>
      </c>
      <c r="L1199" s="30">
        <f>IF(OR(A1199="",B1199="",D1199=""),"",IF(D1199=_xlfn.MAXIFS($D$4:$D$2503,$A$4:$A$2503,A1199,$B$4:$B$2503,B1199),"Yes","No"))</f>
        <v/>
      </c>
      <c r="M1199" s="30">
        <f>IF(B1199="","",IFERROR(INDEX('Share classes'!$F$4:$F$203,MATCH(B1199,'Share classes'!$B$4:$B$203,0)),""))</f>
        <v/>
      </c>
      <c r="N1199" s="30">
        <f>IF(A1199="","",IF(K1199="","Unknown holder ID",IF(J1199="","Unknown class code",IF(OR(C1199="",D1199=""),"Missing shares or date",IF(OR(C1199&lt;0,C1199&lt;&gt;INT(C1199)),"Shares must be a whole number",IF(COUNTIFS($A$4:$A$2503,A1199,$B$4:$B$2503,B1199,$D$4:$D$2503,D1199)&gt;1,"Duplicate row (same date)","OK"))))))</f>
        <v/>
      </c>
    </row>
    <row r="1200">
      <c r="A1200" s="26" t="n"/>
      <c r="B1200" s="26" t="n"/>
      <c r="C1200" s="34" t="n"/>
      <c r="D1200" s="28" t="n"/>
      <c r="E1200" s="26" t="n"/>
      <c r="F1200" s="26" t="n"/>
      <c r="G1200" s="26" t="n"/>
      <c r="H1200" s="38" t="n"/>
      <c r="I1200" s="28" t="n"/>
      <c r="J1200" s="30">
        <f>IF(B1200="","",IFERROR(INDEX('Share classes'!$A$4:$A$203,MATCH(B1200,'Share classes'!$B$4:$B$203,0)),""))</f>
        <v/>
      </c>
      <c r="K1200" s="30">
        <f>IF(A1200="","",IFERROR(INDEX('Holders'!$B$4:$B$1003,MATCH(A1200,'Holders'!$A$4:$A$1003,0)),""))</f>
        <v/>
      </c>
      <c r="L1200" s="30">
        <f>IF(OR(A1200="",B1200="",D1200=""),"",IF(D1200=_xlfn.MAXIFS($D$4:$D$2503,$A$4:$A$2503,A1200,$B$4:$B$2503,B1200),"Yes","No"))</f>
        <v/>
      </c>
      <c r="M1200" s="30">
        <f>IF(B1200="","",IFERROR(INDEX('Share classes'!$F$4:$F$203,MATCH(B1200,'Share classes'!$B$4:$B$203,0)),""))</f>
        <v/>
      </c>
      <c r="N1200" s="30">
        <f>IF(A1200="","",IF(K1200="","Unknown holder ID",IF(J1200="","Unknown class code",IF(OR(C1200="",D1200=""),"Missing shares or date",IF(OR(C1200&lt;0,C1200&lt;&gt;INT(C1200)),"Shares must be a whole number",IF(COUNTIFS($A$4:$A$2503,A1200,$B$4:$B$2503,B1200,$D$4:$D$2503,D1200)&gt;1,"Duplicate row (same date)","OK"))))))</f>
        <v/>
      </c>
    </row>
    <row r="1201">
      <c r="A1201" s="26" t="n"/>
      <c r="B1201" s="26" t="n"/>
      <c r="C1201" s="34" t="n"/>
      <c r="D1201" s="28" t="n"/>
      <c r="E1201" s="26" t="n"/>
      <c r="F1201" s="26" t="n"/>
      <c r="G1201" s="26" t="n"/>
      <c r="H1201" s="38" t="n"/>
      <c r="I1201" s="28" t="n"/>
      <c r="J1201" s="30">
        <f>IF(B1201="","",IFERROR(INDEX('Share classes'!$A$4:$A$203,MATCH(B1201,'Share classes'!$B$4:$B$203,0)),""))</f>
        <v/>
      </c>
      <c r="K1201" s="30">
        <f>IF(A1201="","",IFERROR(INDEX('Holders'!$B$4:$B$1003,MATCH(A1201,'Holders'!$A$4:$A$1003,0)),""))</f>
        <v/>
      </c>
      <c r="L1201" s="30">
        <f>IF(OR(A1201="",B1201="",D1201=""),"",IF(D1201=_xlfn.MAXIFS($D$4:$D$2503,$A$4:$A$2503,A1201,$B$4:$B$2503,B1201),"Yes","No"))</f>
        <v/>
      </c>
      <c r="M1201" s="30">
        <f>IF(B1201="","",IFERROR(INDEX('Share classes'!$F$4:$F$203,MATCH(B1201,'Share classes'!$B$4:$B$203,0)),""))</f>
        <v/>
      </c>
      <c r="N1201" s="30">
        <f>IF(A1201="","",IF(K1201="","Unknown holder ID",IF(J1201="","Unknown class code",IF(OR(C1201="",D1201=""),"Missing shares or date",IF(OR(C1201&lt;0,C1201&lt;&gt;INT(C1201)),"Shares must be a whole number",IF(COUNTIFS($A$4:$A$2503,A1201,$B$4:$B$2503,B1201,$D$4:$D$2503,D1201)&gt;1,"Duplicate row (same date)","OK"))))))</f>
        <v/>
      </c>
    </row>
    <row r="1202">
      <c r="A1202" s="26" t="n"/>
      <c r="B1202" s="26" t="n"/>
      <c r="C1202" s="34" t="n"/>
      <c r="D1202" s="28" t="n"/>
      <c r="E1202" s="26" t="n"/>
      <c r="F1202" s="26" t="n"/>
      <c r="G1202" s="26" t="n"/>
      <c r="H1202" s="38" t="n"/>
      <c r="I1202" s="28" t="n"/>
      <c r="J1202" s="30">
        <f>IF(B1202="","",IFERROR(INDEX('Share classes'!$A$4:$A$203,MATCH(B1202,'Share classes'!$B$4:$B$203,0)),""))</f>
        <v/>
      </c>
      <c r="K1202" s="30">
        <f>IF(A1202="","",IFERROR(INDEX('Holders'!$B$4:$B$1003,MATCH(A1202,'Holders'!$A$4:$A$1003,0)),""))</f>
        <v/>
      </c>
      <c r="L1202" s="30">
        <f>IF(OR(A1202="",B1202="",D1202=""),"",IF(D1202=_xlfn.MAXIFS($D$4:$D$2503,$A$4:$A$2503,A1202,$B$4:$B$2503,B1202),"Yes","No"))</f>
        <v/>
      </c>
      <c r="M1202" s="30">
        <f>IF(B1202="","",IFERROR(INDEX('Share classes'!$F$4:$F$203,MATCH(B1202,'Share classes'!$B$4:$B$203,0)),""))</f>
        <v/>
      </c>
      <c r="N1202" s="30">
        <f>IF(A1202="","",IF(K1202="","Unknown holder ID",IF(J1202="","Unknown class code",IF(OR(C1202="",D1202=""),"Missing shares or date",IF(OR(C1202&lt;0,C1202&lt;&gt;INT(C1202)),"Shares must be a whole number",IF(COUNTIFS($A$4:$A$2503,A1202,$B$4:$B$2503,B1202,$D$4:$D$2503,D1202)&gt;1,"Duplicate row (same date)","OK"))))))</f>
        <v/>
      </c>
    </row>
    <row r="1203">
      <c r="A1203" s="26" t="n"/>
      <c r="B1203" s="26" t="n"/>
      <c r="C1203" s="34" t="n"/>
      <c r="D1203" s="28" t="n"/>
      <c r="E1203" s="26" t="n"/>
      <c r="F1203" s="26" t="n"/>
      <c r="G1203" s="26" t="n"/>
      <c r="H1203" s="38" t="n"/>
      <c r="I1203" s="28" t="n"/>
      <c r="J1203" s="30">
        <f>IF(B1203="","",IFERROR(INDEX('Share classes'!$A$4:$A$203,MATCH(B1203,'Share classes'!$B$4:$B$203,0)),""))</f>
        <v/>
      </c>
      <c r="K1203" s="30">
        <f>IF(A1203="","",IFERROR(INDEX('Holders'!$B$4:$B$1003,MATCH(A1203,'Holders'!$A$4:$A$1003,0)),""))</f>
        <v/>
      </c>
      <c r="L1203" s="30">
        <f>IF(OR(A1203="",B1203="",D1203=""),"",IF(D1203=_xlfn.MAXIFS($D$4:$D$2503,$A$4:$A$2503,A1203,$B$4:$B$2503,B1203),"Yes","No"))</f>
        <v/>
      </c>
      <c r="M1203" s="30">
        <f>IF(B1203="","",IFERROR(INDEX('Share classes'!$F$4:$F$203,MATCH(B1203,'Share classes'!$B$4:$B$203,0)),""))</f>
        <v/>
      </c>
      <c r="N1203" s="30">
        <f>IF(A1203="","",IF(K1203="","Unknown holder ID",IF(J1203="","Unknown class code",IF(OR(C1203="",D1203=""),"Missing shares or date",IF(OR(C1203&lt;0,C1203&lt;&gt;INT(C1203)),"Shares must be a whole number",IF(COUNTIFS($A$4:$A$2503,A1203,$B$4:$B$2503,B1203,$D$4:$D$2503,D1203)&gt;1,"Duplicate row (same date)","OK"))))))</f>
        <v/>
      </c>
    </row>
    <row r="1204">
      <c r="A1204" s="26" t="n"/>
      <c r="B1204" s="26" t="n"/>
      <c r="C1204" s="34" t="n"/>
      <c r="D1204" s="28" t="n"/>
      <c r="E1204" s="26" t="n"/>
      <c r="F1204" s="26" t="n"/>
      <c r="G1204" s="26" t="n"/>
      <c r="H1204" s="38" t="n"/>
      <c r="I1204" s="28" t="n"/>
      <c r="J1204" s="30">
        <f>IF(B1204="","",IFERROR(INDEX('Share classes'!$A$4:$A$203,MATCH(B1204,'Share classes'!$B$4:$B$203,0)),""))</f>
        <v/>
      </c>
      <c r="K1204" s="30">
        <f>IF(A1204="","",IFERROR(INDEX('Holders'!$B$4:$B$1003,MATCH(A1204,'Holders'!$A$4:$A$1003,0)),""))</f>
        <v/>
      </c>
      <c r="L1204" s="30">
        <f>IF(OR(A1204="",B1204="",D1204=""),"",IF(D1204=_xlfn.MAXIFS($D$4:$D$2503,$A$4:$A$2503,A1204,$B$4:$B$2503,B1204),"Yes","No"))</f>
        <v/>
      </c>
      <c r="M1204" s="30">
        <f>IF(B1204="","",IFERROR(INDEX('Share classes'!$F$4:$F$203,MATCH(B1204,'Share classes'!$B$4:$B$203,0)),""))</f>
        <v/>
      </c>
      <c r="N1204" s="30">
        <f>IF(A1204="","",IF(K1204="","Unknown holder ID",IF(J1204="","Unknown class code",IF(OR(C1204="",D1204=""),"Missing shares or date",IF(OR(C1204&lt;0,C1204&lt;&gt;INT(C1204)),"Shares must be a whole number",IF(COUNTIFS($A$4:$A$2503,A1204,$B$4:$B$2503,B1204,$D$4:$D$2503,D1204)&gt;1,"Duplicate row (same date)","OK"))))))</f>
        <v/>
      </c>
    </row>
    <row r="1205">
      <c r="A1205" s="26" t="n"/>
      <c r="B1205" s="26" t="n"/>
      <c r="C1205" s="34" t="n"/>
      <c r="D1205" s="28" t="n"/>
      <c r="E1205" s="26" t="n"/>
      <c r="F1205" s="26" t="n"/>
      <c r="G1205" s="26" t="n"/>
      <c r="H1205" s="38" t="n"/>
      <c r="I1205" s="28" t="n"/>
      <c r="J1205" s="30">
        <f>IF(B1205="","",IFERROR(INDEX('Share classes'!$A$4:$A$203,MATCH(B1205,'Share classes'!$B$4:$B$203,0)),""))</f>
        <v/>
      </c>
      <c r="K1205" s="30">
        <f>IF(A1205="","",IFERROR(INDEX('Holders'!$B$4:$B$1003,MATCH(A1205,'Holders'!$A$4:$A$1003,0)),""))</f>
        <v/>
      </c>
      <c r="L1205" s="30">
        <f>IF(OR(A1205="",B1205="",D1205=""),"",IF(D1205=_xlfn.MAXIFS($D$4:$D$2503,$A$4:$A$2503,A1205,$B$4:$B$2503,B1205),"Yes","No"))</f>
        <v/>
      </c>
      <c r="M1205" s="30">
        <f>IF(B1205="","",IFERROR(INDEX('Share classes'!$F$4:$F$203,MATCH(B1205,'Share classes'!$B$4:$B$203,0)),""))</f>
        <v/>
      </c>
      <c r="N1205" s="30">
        <f>IF(A1205="","",IF(K1205="","Unknown holder ID",IF(J1205="","Unknown class code",IF(OR(C1205="",D1205=""),"Missing shares or date",IF(OR(C1205&lt;0,C1205&lt;&gt;INT(C1205)),"Shares must be a whole number",IF(COUNTIFS($A$4:$A$2503,A1205,$B$4:$B$2503,B1205,$D$4:$D$2503,D1205)&gt;1,"Duplicate row (same date)","OK"))))))</f>
        <v/>
      </c>
    </row>
    <row r="1206">
      <c r="A1206" s="26" t="n"/>
      <c r="B1206" s="26" t="n"/>
      <c r="C1206" s="34" t="n"/>
      <c r="D1206" s="28" t="n"/>
      <c r="E1206" s="26" t="n"/>
      <c r="F1206" s="26" t="n"/>
      <c r="G1206" s="26" t="n"/>
      <c r="H1206" s="38" t="n"/>
      <c r="I1206" s="28" t="n"/>
      <c r="J1206" s="30">
        <f>IF(B1206="","",IFERROR(INDEX('Share classes'!$A$4:$A$203,MATCH(B1206,'Share classes'!$B$4:$B$203,0)),""))</f>
        <v/>
      </c>
      <c r="K1206" s="30">
        <f>IF(A1206="","",IFERROR(INDEX('Holders'!$B$4:$B$1003,MATCH(A1206,'Holders'!$A$4:$A$1003,0)),""))</f>
        <v/>
      </c>
      <c r="L1206" s="30">
        <f>IF(OR(A1206="",B1206="",D1206=""),"",IF(D1206=_xlfn.MAXIFS($D$4:$D$2503,$A$4:$A$2503,A1206,$B$4:$B$2503,B1206),"Yes","No"))</f>
        <v/>
      </c>
      <c r="M1206" s="30">
        <f>IF(B1206="","",IFERROR(INDEX('Share classes'!$F$4:$F$203,MATCH(B1206,'Share classes'!$B$4:$B$203,0)),""))</f>
        <v/>
      </c>
      <c r="N1206" s="30">
        <f>IF(A1206="","",IF(K1206="","Unknown holder ID",IF(J1206="","Unknown class code",IF(OR(C1206="",D1206=""),"Missing shares or date",IF(OR(C1206&lt;0,C1206&lt;&gt;INT(C1206)),"Shares must be a whole number",IF(COUNTIFS($A$4:$A$2503,A1206,$B$4:$B$2503,B1206,$D$4:$D$2503,D1206)&gt;1,"Duplicate row (same date)","OK"))))))</f>
        <v/>
      </c>
    </row>
    <row r="1207">
      <c r="A1207" s="26" t="n"/>
      <c r="B1207" s="26" t="n"/>
      <c r="C1207" s="34" t="n"/>
      <c r="D1207" s="28" t="n"/>
      <c r="E1207" s="26" t="n"/>
      <c r="F1207" s="26" t="n"/>
      <c r="G1207" s="26" t="n"/>
      <c r="H1207" s="38" t="n"/>
      <c r="I1207" s="28" t="n"/>
      <c r="J1207" s="30">
        <f>IF(B1207="","",IFERROR(INDEX('Share classes'!$A$4:$A$203,MATCH(B1207,'Share classes'!$B$4:$B$203,0)),""))</f>
        <v/>
      </c>
      <c r="K1207" s="30">
        <f>IF(A1207="","",IFERROR(INDEX('Holders'!$B$4:$B$1003,MATCH(A1207,'Holders'!$A$4:$A$1003,0)),""))</f>
        <v/>
      </c>
      <c r="L1207" s="30">
        <f>IF(OR(A1207="",B1207="",D1207=""),"",IF(D1207=_xlfn.MAXIFS($D$4:$D$2503,$A$4:$A$2503,A1207,$B$4:$B$2503,B1207),"Yes","No"))</f>
        <v/>
      </c>
      <c r="M1207" s="30">
        <f>IF(B1207="","",IFERROR(INDEX('Share classes'!$F$4:$F$203,MATCH(B1207,'Share classes'!$B$4:$B$203,0)),""))</f>
        <v/>
      </c>
      <c r="N1207" s="30">
        <f>IF(A1207="","",IF(K1207="","Unknown holder ID",IF(J1207="","Unknown class code",IF(OR(C1207="",D1207=""),"Missing shares or date",IF(OR(C1207&lt;0,C1207&lt;&gt;INT(C1207)),"Shares must be a whole number",IF(COUNTIFS($A$4:$A$2503,A1207,$B$4:$B$2503,B1207,$D$4:$D$2503,D1207)&gt;1,"Duplicate row (same date)","OK"))))))</f>
        <v/>
      </c>
    </row>
    <row r="1208">
      <c r="A1208" s="26" t="n"/>
      <c r="B1208" s="26" t="n"/>
      <c r="C1208" s="34" t="n"/>
      <c r="D1208" s="28" t="n"/>
      <c r="E1208" s="26" t="n"/>
      <c r="F1208" s="26" t="n"/>
      <c r="G1208" s="26" t="n"/>
      <c r="H1208" s="38" t="n"/>
      <c r="I1208" s="28" t="n"/>
      <c r="J1208" s="30">
        <f>IF(B1208="","",IFERROR(INDEX('Share classes'!$A$4:$A$203,MATCH(B1208,'Share classes'!$B$4:$B$203,0)),""))</f>
        <v/>
      </c>
      <c r="K1208" s="30">
        <f>IF(A1208="","",IFERROR(INDEX('Holders'!$B$4:$B$1003,MATCH(A1208,'Holders'!$A$4:$A$1003,0)),""))</f>
        <v/>
      </c>
      <c r="L1208" s="30">
        <f>IF(OR(A1208="",B1208="",D1208=""),"",IF(D1208=_xlfn.MAXIFS($D$4:$D$2503,$A$4:$A$2503,A1208,$B$4:$B$2503,B1208),"Yes","No"))</f>
        <v/>
      </c>
      <c r="M1208" s="30">
        <f>IF(B1208="","",IFERROR(INDEX('Share classes'!$F$4:$F$203,MATCH(B1208,'Share classes'!$B$4:$B$203,0)),""))</f>
        <v/>
      </c>
      <c r="N1208" s="30">
        <f>IF(A1208="","",IF(K1208="","Unknown holder ID",IF(J1208="","Unknown class code",IF(OR(C1208="",D1208=""),"Missing shares or date",IF(OR(C1208&lt;0,C1208&lt;&gt;INT(C1208)),"Shares must be a whole number",IF(COUNTIFS($A$4:$A$2503,A1208,$B$4:$B$2503,B1208,$D$4:$D$2503,D1208)&gt;1,"Duplicate row (same date)","OK"))))))</f>
        <v/>
      </c>
    </row>
    <row r="1209">
      <c r="A1209" s="26" t="n"/>
      <c r="B1209" s="26" t="n"/>
      <c r="C1209" s="34" t="n"/>
      <c r="D1209" s="28" t="n"/>
      <c r="E1209" s="26" t="n"/>
      <c r="F1209" s="26" t="n"/>
      <c r="G1209" s="26" t="n"/>
      <c r="H1209" s="38" t="n"/>
      <c r="I1209" s="28" t="n"/>
      <c r="J1209" s="30">
        <f>IF(B1209="","",IFERROR(INDEX('Share classes'!$A$4:$A$203,MATCH(B1209,'Share classes'!$B$4:$B$203,0)),""))</f>
        <v/>
      </c>
      <c r="K1209" s="30">
        <f>IF(A1209="","",IFERROR(INDEX('Holders'!$B$4:$B$1003,MATCH(A1209,'Holders'!$A$4:$A$1003,0)),""))</f>
        <v/>
      </c>
      <c r="L1209" s="30">
        <f>IF(OR(A1209="",B1209="",D1209=""),"",IF(D1209=_xlfn.MAXIFS($D$4:$D$2503,$A$4:$A$2503,A1209,$B$4:$B$2503,B1209),"Yes","No"))</f>
        <v/>
      </c>
      <c r="M1209" s="30">
        <f>IF(B1209="","",IFERROR(INDEX('Share classes'!$F$4:$F$203,MATCH(B1209,'Share classes'!$B$4:$B$203,0)),""))</f>
        <v/>
      </c>
      <c r="N1209" s="30">
        <f>IF(A1209="","",IF(K1209="","Unknown holder ID",IF(J1209="","Unknown class code",IF(OR(C1209="",D1209=""),"Missing shares or date",IF(OR(C1209&lt;0,C1209&lt;&gt;INT(C1209)),"Shares must be a whole number",IF(COUNTIFS($A$4:$A$2503,A1209,$B$4:$B$2503,B1209,$D$4:$D$2503,D1209)&gt;1,"Duplicate row (same date)","OK"))))))</f>
        <v/>
      </c>
    </row>
    <row r="1210">
      <c r="A1210" s="26" t="n"/>
      <c r="B1210" s="26" t="n"/>
      <c r="C1210" s="34" t="n"/>
      <c r="D1210" s="28" t="n"/>
      <c r="E1210" s="26" t="n"/>
      <c r="F1210" s="26" t="n"/>
      <c r="G1210" s="26" t="n"/>
      <c r="H1210" s="38" t="n"/>
      <c r="I1210" s="28" t="n"/>
      <c r="J1210" s="30">
        <f>IF(B1210="","",IFERROR(INDEX('Share classes'!$A$4:$A$203,MATCH(B1210,'Share classes'!$B$4:$B$203,0)),""))</f>
        <v/>
      </c>
      <c r="K1210" s="30">
        <f>IF(A1210="","",IFERROR(INDEX('Holders'!$B$4:$B$1003,MATCH(A1210,'Holders'!$A$4:$A$1003,0)),""))</f>
        <v/>
      </c>
      <c r="L1210" s="30">
        <f>IF(OR(A1210="",B1210="",D1210=""),"",IF(D1210=_xlfn.MAXIFS($D$4:$D$2503,$A$4:$A$2503,A1210,$B$4:$B$2503,B1210),"Yes","No"))</f>
        <v/>
      </c>
      <c r="M1210" s="30">
        <f>IF(B1210="","",IFERROR(INDEX('Share classes'!$F$4:$F$203,MATCH(B1210,'Share classes'!$B$4:$B$203,0)),""))</f>
        <v/>
      </c>
      <c r="N1210" s="30">
        <f>IF(A1210="","",IF(K1210="","Unknown holder ID",IF(J1210="","Unknown class code",IF(OR(C1210="",D1210=""),"Missing shares or date",IF(OR(C1210&lt;0,C1210&lt;&gt;INT(C1210)),"Shares must be a whole number",IF(COUNTIFS($A$4:$A$2503,A1210,$B$4:$B$2503,B1210,$D$4:$D$2503,D1210)&gt;1,"Duplicate row (same date)","OK"))))))</f>
        <v/>
      </c>
    </row>
    <row r="1211">
      <c r="A1211" s="26" t="n"/>
      <c r="B1211" s="26" t="n"/>
      <c r="C1211" s="34" t="n"/>
      <c r="D1211" s="28" t="n"/>
      <c r="E1211" s="26" t="n"/>
      <c r="F1211" s="26" t="n"/>
      <c r="G1211" s="26" t="n"/>
      <c r="H1211" s="38" t="n"/>
      <c r="I1211" s="28" t="n"/>
      <c r="J1211" s="30">
        <f>IF(B1211="","",IFERROR(INDEX('Share classes'!$A$4:$A$203,MATCH(B1211,'Share classes'!$B$4:$B$203,0)),""))</f>
        <v/>
      </c>
      <c r="K1211" s="30">
        <f>IF(A1211="","",IFERROR(INDEX('Holders'!$B$4:$B$1003,MATCH(A1211,'Holders'!$A$4:$A$1003,0)),""))</f>
        <v/>
      </c>
      <c r="L1211" s="30">
        <f>IF(OR(A1211="",B1211="",D1211=""),"",IF(D1211=_xlfn.MAXIFS($D$4:$D$2503,$A$4:$A$2503,A1211,$B$4:$B$2503,B1211),"Yes","No"))</f>
        <v/>
      </c>
      <c r="M1211" s="30">
        <f>IF(B1211="","",IFERROR(INDEX('Share classes'!$F$4:$F$203,MATCH(B1211,'Share classes'!$B$4:$B$203,0)),""))</f>
        <v/>
      </c>
      <c r="N1211" s="30">
        <f>IF(A1211="","",IF(K1211="","Unknown holder ID",IF(J1211="","Unknown class code",IF(OR(C1211="",D1211=""),"Missing shares or date",IF(OR(C1211&lt;0,C1211&lt;&gt;INT(C1211)),"Shares must be a whole number",IF(COUNTIFS($A$4:$A$2503,A1211,$B$4:$B$2503,B1211,$D$4:$D$2503,D1211)&gt;1,"Duplicate row (same date)","OK"))))))</f>
        <v/>
      </c>
    </row>
    <row r="1212">
      <c r="A1212" s="26" t="n"/>
      <c r="B1212" s="26" t="n"/>
      <c r="C1212" s="34" t="n"/>
      <c r="D1212" s="28" t="n"/>
      <c r="E1212" s="26" t="n"/>
      <c r="F1212" s="26" t="n"/>
      <c r="G1212" s="26" t="n"/>
      <c r="H1212" s="38" t="n"/>
      <c r="I1212" s="28" t="n"/>
      <c r="J1212" s="30">
        <f>IF(B1212="","",IFERROR(INDEX('Share classes'!$A$4:$A$203,MATCH(B1212,'Share classes'!$B$4:$B$203,0)),""))</f>
        <v/>
      </c>
      <c r="K1212" s="30">
        <f>IF(A1212="","",IFERROR(INDEX('Holders'!$B$4:$B$1003,MATCH(A1212,'Holders'!$A$4:$A$1003,0)),""))</f>
        <v/>
      </c>
      <c r="L1212" s="30">
        <f>IF(OR(A1212="",B1212="",D1212=""),"",IF(D1212=_xlfn.MAXIFS($D$4:$D$2503,$A$4:$A$2503,A1212,$B$4:$B$2503,B1212),"Yes","No"))</f>
        <v/>
      </c>
      <c r="M1212" s="30">
        <f>IF(B1212="","",IFERROR(INDEX('Share classes'!$F$4:$F$203,MATCH(B1212,'Share classes'!$B$4:$B$203,0)),""))</f>
        <v/>
      </c>
      <c r="N1212" s="30">
        <f>IF(A1212="","",IF(K1212="","Unknown holder ID",IF(J1212="","Unknown class code",IF(OR(C1212="",D1212=""),"Missing shares or date",IF(OR(C1212&lt;0,C1212&lt;&gt;INT(C1212)),"Shares must be a whole number",IF(COUNTIFS($A$4:$A$2503,A1212,$B$4:$B$2503,B1212,$D$4:$D$2503,D1212)&gt;1,"Duplicate row (same date)","OK"))))))</f>
        <v/>
      </c>
    </row>
    <row r="1213">
      <c r="A1213" s="26" t="n"/>
      <c r="B1213" s="26" t="n"/>
      <c r="C1213" s="34" t="n"/>
      <c r="D1213" s="28" t="n"/>
      <c r="E1213" s="26" t="n"/>
      <c r="F1213" s="26" t="n"/>
      <c r="G1213" s="26" t="n"/>
      <c r="H1213" s="38" t="n"/>
      <c r="I1213" s="28" t="n"/>
      <c r="J1213" s="30">
        <f>IF(B1213="","",IFERROR(INDEX('Share classes'!$A$4:$A$203,MATCH(B1213,'Share classes'!$B$4:$B$203,0)),""))</f>
        <v/>
      </c>
      <c r="K1213" s="30">
        <f>IF(A1213="","",IFERROR(INDEX('Holders'!$B$4:$B$1003,MATCH(A1213,'Holders'!$A$4:$A$1003,0)),""))</f>
        <v/>
      </c>
      <c r="L1213" s="30">
        <f>IF(OR(A1213="",B1213="",D1213=""),"",IF(D1213=_xlfn.MAXIFS($D$4:$D$2503,$A$4:$A$2503,A1213,$B$4:$B$2503,B1213),"Yes","No"))</f>
        <v/>
      </c>
      <c r="M1213" s="30">
        <f>IF(B1213="","",IFERROR(INDEX('Share classes'!$F$4:$F$203,MATCH(B1213,'Share classes'!$B$4:$B$203,0)),""))</f>
        <v/>
      </c>
      <c r="N1213" s="30">
        <f>IF(A1213="","",IF(K1213="","Unknown holder ID",IF(J1213="","Unknown class code",IF(OR(C1213="",D1213=""),"Missing shares or date",IF(OR(C1213&lt;0,C1213&lt;&gt;INT(C1213)),"Shares must be a whole number",IF(COUNTIFS($A$4:$A$2503,A1213,$B$4:$B$2503,B1213,$D$4:$D$2503,D1213)&gt;1,"Duplicate row (same date)","OK"))))))</f>
        <v/>
      </c>
    </row>
    <row r="1214">
      <c r="A1214" s="26" t="n"/>
      <c r="B1214" s="26" t="n"/>
      <c r="C1214" s="34" t="n"/>
      <c r="D1214" s="28" t="n"/>
      <c r="E1214" s="26" t="n"/>
      <c r="F1214" s="26" t="n"/>
      <c r="G1214" s="26" t="n"/>
      <c r="H1214" s="38" t="n"/>
      <c r="I1214" s="28" t="n"/>
      <c r="J1214" s="30">
        <f>IF(B1214="","",IFERROR(INDEX('Share classes'!$A$4:$A$203,MATCH(B1214,'Share classes'!$B$4:$B$203,0)),""))</f>
        <v/>
      </c>
      <c r="K1214" s="30">
        <f>IF(A1214="","",IFERROR(INDEX('Holders'!$B$4:$B$1003,MATCH(A1214,'Holders'!$A$4:$A$1003,0)),""))</f>
        <v/>
      </c>
      <c r="L1214" s="30">
        <f>IF(OR(A1214="",B1214="",D1214=""),"",IF(D1214=_xlfn.MAXIFS($D$4:$D$2503,$A$4:$A$2503,A1214,$B$4:$B$2503,B1214),"Yes","No"))</f>
        <v/>
      </c>
      <c r="M1214" s="30">
        <f>IF(B1214="","",IFERROR(INDEX('Share classes'!$F$4:$F$203,MATCH(B1214,'Share classes'!$B$4:$B$203,0)),""))</f>
        <v/>
      </c>
      <c r="N1214" s="30">
        <f>IF(A1214="","",IF(K1214="","Unknown holder ID",IF(J1214="","Unknown class code",IF(OR(C1214="",D1214=""),"Missing shares or date",IF(OR(C1214&lt;0,C1214&lt;&gt;INT(C1214)),"Shares must be a whole number",IF(COUNTIFS($A$4:$A$2503,A1214,$B$4:$B$2503,B1214,$D$4:$D$2503,D1214)&gt;1,"Duplicate row (same date)","OK"))))))</f>
        <v/>
      </c>
    </row>
    <row r="1215">
      <c r="A1215" s="26" t="n"/>
      <c r="B1215" s="26" t="n"/>
      <c r="C1215" s="34" t="n"/>
      <c r="D1215" s="28" t="n"/>
      <c r="E1215" s="26" t="n"/>
      <c r="F1215" s="26" t="n"/>
      <c r="G1215" s="26" t="n"/>
      <c r="H1215" s="38" t="n"/>
      <c r="I1215" s="28" t="n"/>
      <c r="J1215" s="30">
        <f>IF(B1215="","",IFERROR(INDEX('Share classes'!$A$4:$A$203,MATCH(B1215,'Share classes'!$B$4:$B$203,0)),""))</f>
        <v/>
      </c>
      <c r="K1215" s="30">
        <f>IF(A1215="","",IFERROR(INDEX('Holders'!$B$4:$B$1003,MATCH(A1215,'Holders'!$A$4:$A$1003,0)),""))</f>
        <v/>
      </c>
      <c r="L1215" s="30">
        <f>IF(OR(A1215="",B1215="",D1215=""),"",IF(D1215=_xlfn.MAXIFS($D$4:$D$2503,$A$4:$A$2503,A1215,$B$4:$B$2503,B1215),"Yes","No"))</f>
        <v/>
      </c>
      <c r="M1215" s="30">
        <f>IF(B1215="","",IFERROR(INDEX('Share classes'!$F$4:$F$203,MATCH(B1215,'Share classes'!$B$4:$B$203,0)),""))</f>
        <v/>
      </c>
      <c r="N1215" s="30">
        <f>IF(A1215="","",IF(K1215="","Unknown holder ID",IF(J1215="","Unknown class code",IF(OR(C1215="",D1215=""),"Missing shares or date",IF(OR(C1215&lt;0,C1215&lt;&gt;INT(C1215)),"Shares must be a whole number",IF(COUNTIFS($A$4:$A$2503,A1215,$B$4:$B$2503,B1215,$D$4:$D$2503,D1215)&gt;1,"Duplicate row (same date)","OK"))))))</f>
        <v/>
      </c>
    </row>
    <row r="1216">
      <c r="A1216" s="26" t="n"/>
      <c r="B1216" s="26" t="n"/>
      <c r="C1216" s="34" t="n"/>
      <c r="D1216" s="28" t="n"/>
      <c r="E1216" s="26" t="n"/>
      <c r="F1216" s="26" t="n"/>
      <c r="G1216" s="26" t="n"/>
      <c r="H1216" s="38" t="n"/>
      <c r="I1216" s="28" t="n"/>
      <c r="J1216" s="30">
        <f>IF(B1216="","",IFERROR(INDEX('Share classes'!$A$4:$A$203,MATCH(B1216,'Share classes'!$B$4:$B$203,0)),""))</f>
        <v/>
      </c>
      <c r="K1216" s="30">
        <f>IF(A1216="","",IFERROR(INDEX('Holders'!$B$4:$B$1003,MATCH(A1216,'Holders'!$A$4:$A$1003,0)),""))</f>
        <v/>
      </c>
      <c r="L1216" s="30">
        <f>IF(OR(A1216="",B1216="",D1216=""),"",IF(D1216=_xlfn.MAXIFS($D$4:$D$2503,$A$4:$A$2503,A1216,$B$4:$B$2503,B1216),"Yes","No"))</f>
        <v/>
      </c>
      <c r="M1216" s="30">
        <f>IF(B1216="","",IFERROR(INDEX('Share classes'!$F$4:$F$203,MATCH(B1216,'Share classes'!$B$4:$B$203,0)),""))</f>
        <v/>
      </c>
      <c r="N1216" s="30">
        <f>IF(A1216="","",IF(K1216="","Unknown holder ID",IF(J1216="","Unknown class code",IF(OR(C1216="",D1216=""),"Missing shares or date",IF(OR(C1216&lt;0,C1216&lt;&gt;INT(C1216)),"Shares must be a whole number",IF(COUNTIFS($A$4:$A$2503,A1216,$B$4:$B$2503,B1216,$D$4:$D$2503,D1216)&gt;1,"Duplicate row (same date)","OK"))))))</f>
        <v/>
      </c>
    </row>
    <row r="1217">
      <c r="A1217" s="26" t="n"/>
      <c r="B1217" s="26" t="n"/>
      <c r="C1217" s="34" t="n"/>
      <c r="D1217" s="28" t="n"/>
      <c r="E1217" s="26" t="n"/>
      <c r="F1217" s="26" t="n"/>
      <c r="G1217" s="26" t="n"/>
      <c r="H1217" s="38" t="n"/>
      <c r="I1217" s="28" t="n"/>
      <c r="J1217" s="30">
        <f>IF(B1217="","",IFERROR(INDEX('Share classes'!$A$4:$A$203,MATCH(B1217,'Share classes'!$B$4:$B$203,0)),""))</f>
        <v/>
      </c>
      <c r="K1217" s="30">
        <f>IF(A1217="","",IFERROR(INDEX('Holders'!$B$4:$B$1003,MATCH(A1217,'Holders'!$A$4:$A$1003,0)),""))</f>
        <v/>
      </c>
      <c r="L1217" s="30">
        <f>IF(OR(A1217="",B1217="",D1217=""),"",IF(D1217=_xlfn.MAXIFS($D$4:$D$2503,$A$4:$A$2503,A1217,$B$4:$B$2503,B1217),"Yes","No"))</f>
        <v/>
      </c>
      <c r="M1217" s="30">
        <f>IF(B1217="","",IFERROR(INDEX('Share classes'!$F$4:$F$203,MATCH(B1217,'Share classes'!$B$4:$B$203,0)),""))</f>
        <v/>
      </c>
      <c r="N1217" s="30">
        <f>IF(A1217="","",IF(K1217="","Unknown holder ID",IF(J1217="","Unknown class code",IF(OR(C1217="",D1217=""),"Missing shares or date",IF(OR(C1217&lt;0,C1217&lt;&gt;INT(C1217)),"Shares must be a whole number",IF(COUNTIFS($A$4:$A$2503,A1217,$B$4:$B$2503,B1217,$D$4:$D$2503,D1217)&gt;1,"Duplicate row (same date)","OK"))))))</f>
        <v/>
      </c>
    </row>
    <row r="1218">
      <c r="A1218" s="26" t="n"/>
      <c r="B1218" s="26" t="n"/>
      <c r="C1218" s="34" t="n"/>
      <c r="D1218" s="28" t="n"/>
      <c r="E1218" s="26" t="n"/>
      <c r="F1218" s="26" t="n"/>
      <c r="G1218" s="26" t="n"/>
      <c r="H1218" s="38" t="n"/>
      <c r="I1218" s="28" t="n"/>
      <c r="J1218" s="30">
        <f>IF(B1218="","",IFERROR(INDEX('Share classes'!$A$4:$A$203,MATCH(B1218,'Share classes'!$B$4:$B$203,0)),""))</f>
        <v/>
      </c>
      <c r="K1218" s="30">
        <f>IF(A1218="","",IFERROR(INDEX('Holders'!$B$4:$B$1003,MATCH(A1218,'Holders'!$A$4:$A$1003,0)),""))</f>
        <v/>
      </c>
      <c r="L1218" s="30">
        <f>IF(OR(A1218="",B1218="",D1218=""),"",IF(D1218=_xlfn.MAXIFS($D$4:$D$2503,$A$4:$A$2503,A1218,$B$4:$B$2503,B1218),"Yes","No"))</f>
        <v/>
      </c>
      <c r="M1218" s="30">
        <f>IF(B1218="","",IFERROR(INDEX('Share classes'!$F$4:$F$203,MATCH(B1218,'Share classes'!$B$4:$B$203,0)),""))</f>
        <v/>
      </c>
      <c r="N1218" s="30">
        <f>IF(A1218="","",IF(K1218="","Unknown holder ID",IF(J1218="","Unknown class code",IF(OR(C1218="",D1218=""),"Missing shares or date",IF(OR(C1218&lt;0,C1218&lt;&gt;INT(C1218)),"Shares must be a whole number",IF(COUNTIFS($A$4:$A$2503,A1218,$B$4:$B$2503,B1218,$D$4:$D$2503,D1218)&gt;1,"Duplicate row (same date)","OK"))))))</f>
        <v/>
      </c>
    </row>
    <row r="1219">
      <c r="A1219" s="26" t="n"/>
      <c r="B1219" s="26" t="n"/>
      <c r="C1219" s="34" t="n"/>
      <c r="D1219" s="28" t="n"/>
      <c r="E1219" s="26" t="n"/>
      <c r="F1219" s="26" t="n"/>
      <c r="G1219" s="26" t="n"/>
      <c r="H1219" s="38" t="n"/>
      <c r="I1219" s="28" t="n"/>
      <c r="J1219" s="30">
        <f>IF(B1219="","",IFERROR(INDEX('Share classes'!$A$4:$A$203,MATCH(B1219,'Share classes'!$B$4:$B$203,0)),""))</f>
        <v/>
      </c>
      <c r="K1219" s="30">
        <f>IF(A1219="","",IFERROR(INDEX('Holders'!$B$4:$B$1003,MATCH(A1219,'Holders'!$A$4:$A$1003,0)),""))</f>
        <v/>
      </c>
      <c r="L1219" s="30">
        <f>IF(OR(A1219="",B1219="",D1219=""),"",IF(D1219=_xlfn.MAXIFS($D$4:$D$2503,$A$4:$A$2503,A1219,$B$4:$B$2503,B1219),"Yes","No"))</f>
        <v/>
      </c>
      <c r="M1219" s="30">
        <f>IF(B1219="","",IFERROR(INDEX('Share classes'!$F$4:$F$203,MATCH(B1219,'Share classes'!$B$4:$B$203,0)),""))</f>
        <v/>
      </c>
      <c r="N1219" s="30">
        <f>IF(A1219="","",IF(K1219="","Unknown holder ID",IF(J1219="","Unknown class code",IF(OR(C1219="",D1219=""),"Missing shares or date",IF(OR(C1219&lt;0,C1219&lt;&gt;INT(C1219)),"Shares must be a whole number",IF(COUNTIFS($A$4:$A$2503,A1219,$B$4:$B$2503,B1219,$D$4:$D$2503,D1219)&gt;1,"Duplicate row (same date)","OK"))))))</f>
        <v/>
      </c>
    </row>
    <row r="1220">
      <c r="A1220" s="26" t="n"/>
      <c r="B1220" s="26" t="n"/>
      <c r="C1220" s="34" t="n"/>
      <c r="D1220" s="28" t="n"/>
      <c r="E1220" s="26" t="n"/>
      <c r="F1220" s="26" t="n"/>
      <c r="G1220" s="26" t="n"/>
      <c r="H1220" s="38" t="n"/>
      <c r="I1220" s="28" t="n"/>
      <c r="J1220" s="30">
        <f>IF(B1220="","",IFERROR(INDEX('Share classes'!$A$4:$A$203,MATCH(B1220,'Share classes'!$B$4:$B$203,0)),""))</f>
        <v/>
      </c>
      <c r="K1220" s="30">
        <f>IF(A1220="","",IFERROR(INDEX('Holders'!$B$4:$B$1003,MATCH(A1220,'Holders'!$A$4:$A$1003,0)),""))</f>
        <v/>
      </c>
      <c r="L1220" s="30">
        <f>IF(OR(A1220="",B1220="",D1220=""),"",IF(D1220=_xlfn.MAXIFS($D$4:$D$2503,$A$4:$A$2503,A1220,$B$4:$B$2503,B1220),"Yes","No"))</f>
        <v/>
      </c>
      <c r="M1220" s="30">
        <f>IF(B1220="","",IFERROR(INDEX('Share classes'!$F$4:$F$203,MATCH(B1220,'Share classes'!$B$4:$B$203,0)),""))</f>
        <v/>
      </c>
      <c r="N1220" s="30">
        <f>IF(A1220="","",IF(K1220="","Unknown holder ID",IF(J1220="","Unknown class code",IF(OR(C1220="",D1220=""),"Missing shares or date",IF(OR(C1220&lt;0,C1220&lt;&gt;INT(C1220)),"Shares must be a whole number",IF(COUNTIFS($A$4:$A$2503,A1220,$B$4:$B$2503,B1220,$D$4:$D$2503,D1220)&gt;1,"Duplicate row (same date)","OK"))))))</f>
        <v/>
      </c>
    </row>
    <row r="1221">
      <c r="A1221" s="26" t="n"/>
      <c r="B1221" s="26" t="n"/>
      <c r="C1221" s="34" t="n"/>
      <c r="D1221" s="28" t="n"/>
      <c r="E1221" s="26" t="n"/>
      <c r="F1221" s="26" t="n"/>
      <c r="G1221" s="26" t="n"/>
      <c r="H1221" s="38" t="n"/>
      <c r="I1221" s="28" t="n"/>
      <c r="J1221" s="30">
        <f>IF(B1221="","",IFERROR(INDEX('Share classes'!$A$4:$A$203,MATCH(B1221,'Share classes'!$B$4:$B$203,0)),""))</f>
        <v/>
      </c>
      <c r="K1221" s="30">
        <f>IF(A1221="","",IFERROR(INDEX('Holders'!$B$4:$B$1003,MATCH(A1221,'Holders'!$A$4:$A$1003,0)),""))</f>
        <v/>
      </c>
      <c r="L1221" s="30">
        <f>IF(OR(A1221="",B1221="",D1221=""),"",IF(D1221=_xlfn.MAXIFS($D$4:$D$2503,$A$4:$A$2503,A1221,$B$4:$B$2503,B1221),"Yes","No"))</f>
        <v/>
      </c>
      <c r="M1221" s="30">
        <f>IF(B1221="","",IFERROR(INDEX('Share classes'!$F$4:$F$203,MATCH(B1221,'Share classes'!$B$4:$B$203,0)),""))</f>
        <v/>
      </c>
      <c r="N1221" s="30">
        <f>IF(A1221="","",IF(K1221="","Unknown holder ID",IF(J1221="","Unknown class code",IF(OR(C1221="",D1221=""),"Missing shares or date",IF(OR(C1221&lt;0,C1221&lt;&gt;INT(C1221)),"Shares must be a whole number",IF(COUNTIFS($A$4:$A$2503,A1221,$B$4:$B$2503,B1221,$D$4:$D$2503,D1221)&gt;1,"Duplicate row (same date)","OK"))))))</f>
        <v/>
      </c>
    </row>
    <row r="1222">
      <c r="A1222" s="26" t="n"/>
      <c r="B1222" s="26" t="n"/>
      <c r="C1222" s="34" t="n"/>
      <c r="D1222" s="28" t="n"/>
      <c r="E1222" s="26" t="n"/>
      <c r="F1222" s="26" t="n"/>
      <c r="G1222" s="26" t="n"/>
      <c r="H1222" s="38" t="n"/>
      <c r="I1222" s="28" t="n"/>
      <c r="J1222" s="30">
        <f>IF(B1222="","",IFERROR(INDEX('Share classes'!$A$4:$A$203,MATCH(B1222,'Share classes'!$B$4:$B$203,0)),""))</f>
        <v/>
      </c>
      <c r="K1222" s="30">
        <f>IF(A1222="","",IFERROR(INDEX('Holders'!$B$4:$B$1003,MATCH(A1222,'Holders'!$A$4:$A$1003,0)),""))</f>
        <v/>
      </c>
      <c r="L1222" s="30">
        <f>IF(OR(A1222="",B1222="",D1222=""),"",IF(D1222=_xlfn.MAXIFS($D$4:$D$2503,$A$4:$A$2503,A1222,$B$4:$B$2503,B1222),"Yes","No"))</f>
        <v/>
      </c>
      <c r="M1222" s="30">
        <f>IF(B1222="","",IFERROR(INDEX('Share classes'!$F$4:$F$203,MATCH(B1222,'Share classes'!$B$4:$B$203,0)),""))</f>
        <v/>
      </c>
      <c r="N1222" s="30">
        <f>IF(A1222="","",IF(K1222="","Unknown holder ID",IF(J1222="","Unknown class code",IF(OR(C1222="",D1222=""),"Missing shares or date",IF(OR(C1222&lt;0,C1222&lt;&gt;INT(C1222)),"Shares must be a whole number",IF(COUNTIFS($A$4:$A$2503,A1222,$B$4:$B$2503,B1222,$D$4:$D$2503,D1222)&gt;1,"Duplicate row (same date)","OK"))))))</f>
        <v/>
      </c>
    </row>
    <row r="1223">
      <c r="A1223" s="26" t="n"/>
      <c r="B1223" s="26" t="n"/>
      <c r="C1223" s="34" t="n"/>
      <c r="D1223" s="28" t="n"/>
      <c r="E1223" s="26" t="n"/>
      <c r="F1223" s="26" t="n"/>
      <c r="G1223" s="26" t="n"/>
      <c r="H1223" s="38" t="n"/>
      <c r="I1223" s="28" t="n"/>
      <c r="J1223" s="30">
        <f>IF(B1223="","",IFERROR(INDEX('Share classes'!$A$4:$A$203,MATCH(B1223,'Share classes'!$B$4:$B$203,0)),""))</f>
        <v/>
      </c>
      <c r="K1223" s="30">
        <f>IF(A1223="","",IFERROR(INDEX('Holders'!$B$4:$B$1003,MATCH(A1223,'Holders'!$A$4:$A$1003,0)),""))</f>
        <v/>
      </c>
      <c r="L1223" s="30">
        <f>IF(OR(A1223="",B1223="",D1223=""),"",IF(D1223=_xlfn.MAXIFS($D$4:$D$2503,$A$4:$A$2503,A1223,$B$4:$B$2503,B1223),"Yes","No"))</f>
        <v/>
      </c>
      <c r="M1223" s="30">
        <f>IF(B1223="","",IFERROR(INDEX('Share classes'!$F$4:$F$203,MATCH(B1223,'Share classes'!$B$4:$B$203,0)),""))</f>
        <v/>
      </c>
      <c r="N1223" s="30">
        <f>IF(A1223="","",IF(K1223="","Unknown holder ID",IF(J1223="","Unknown class code",IF(OR(C1223="",D1223=""),"Missing shares or date",IF(OR(C1223&lt;0,C1223&lt;&gt;INT(C1223)),"Shares must be a whole number",IF(COUNTIFS($A$4:$A$2503,A1223,$B$4:$B$2503,B1223,$D$4:$D$2503,D1223)&gt;1,"Duplicate row (same date)","OK"))))))</f>
        <v/>
      </c>
    </row>
    <row r="1224">
      <c r="A1224" s="26" t="n"/>
      <c r="B1224" s="26" t="n"/>
      <c r="C1224" s="34" t="n"/>
      <c r="D1224" s="28" t="n"/>
      <c r="E1224" s="26" t="n"/>
      <c r="F1224" s="26" t="n"/>
      <c r="G1224" s="26" t="n"/>
      <c r="H1224" s="38" t="n"/>
      <c r="I1224" s="28" t="n"/>
      <c r="J1224" s="30">
        <f>IF(B1224="","",IFERROR(INDEX('Share classes'!$A$4:$A$203,MATCH(B1224,'Share classes'!$B$4:$B$203,0)),""))</f>
        <v/>
      </c>
      <c r="K1224" s="30">
        <f>IF(A1224="","",IFERROR(INDEX('Holders'!$B$4:$B$1003,MATCH(A1224,'Holders'!$A$4:$A$1003,0)),""))</f>
        <v/>
      </c>
      <c r="L1224" s="30">
        <f>IF(OR(A1224="",B1224="",D1224=""),"",IF(D1224=_xlfn.MAXIFS($D$4:$D$2503,$A$4:$A$2503,A1224,$B$4:$B$2503,B1224),"Yes","No"))</f>
        <v/>
      </c>
      <c r="M1224" s="30">
        <f>IF(B1224="","",IFERROR(INDEX('Share classes'!$F$4:$F$203,MATCH(B1224,'Share classes'!$B$4:$B$203,0)),""))</f>
        <v/>
      </c>
      <c r="N1224" s="30">
        <f>IF(A1224="","",IF(K1224="","Unknown holder ID",IF(J1224="","Unknown class code",IF(OR(C1224="",D1224=""),"Missing shares or date",IF(OR(C1224&lt;0,C1224&lt;&gt;INT(C1224)),"Shares must be a whole number",IF(COUNTIFS($A$4:$A$2503,A1224,$B$4:$B$2503,B1224,$D$4:$D$2503,D1224)&gt;1,"Duplicate row (same date)","OK"))))))</f>
        <v/>
      </c>
    </row>
    <row r="1225">
      <c r="A1225" s="26" t="n"/>
      <c r="B1225" s="26" t="n"/>
      <c r="C1225" s="34" t="n"/>
      <c r="D1225" s="28" t="n"/>
      <c r="E1225" s="26" t="n"/>
      <c r="F1225" s="26" t="n"/>
      <c r="G1225" s="26" t="n"/>
      <c r="H1225" s="38" t="n"/>
      <c r="I1225" s="28" t="n"/>
      <c r="J1225" s="30">
        <f>IF(B1225="","",IFERROR(INDEX('Share classes'!$A$4:$A$203,MATCH(B1225,'Share classes'!$B$4:$B$203,0)),""))</f>
        <v/>
      </c>
      <c r="K1225" s="30">
        <f>IF(A1225="","",IFERROR(INDEX('Holders'!$B$4:$B$1003,MATCH(A1225,'Holders'!$A$4:$A$1003,0)),""))</f>
        <v/>
      </c>
      <c r="L1225" s="30">
        <f>IF(OR(A1225="",B1225="",D1225=""),"",IF(D1225=_xlfn.MAXIFS($D$4:$D$2503,$A$4:$A$2503,A1225,$B$4:$B$2503,B1225),"Yes","No"))</f>
        <v/>
      </c>
      <c r="M1225" s="30">
        <f>IF(B1225="","",IFERROR(INDEX('Share classes'!$F$4:$F$203,MATCH(B1225,'Share classes'!$B$4:$B$203,0)),""))</f>
        <v/>
      </c>
      <c r="N1225" s="30">
        <f>IF(A1225="","",IF(K1225="","Unknown holder ID",IF(J1225="","Unknown class code",IF(OR(C1225="",D1225=""),"Missing shares or date",IF(OR(C1225&lt;0,C1225&lt;&gt;INT(C1225)),"Shares must be a whole number",IF(COUNTIFS($A$4:$A$2503,A1225,$B$4:$B$2503,B1225,$D$4:$D$2503,D1225)&gt;1,"Duplicate row (same date)","OK"))))))</f>
        <v/>
      </c>
    </row>
    <row r="1226">
      <c r="A1226" s="26" t="n"/>
      <c r="B1226" s="26" t="n"/>
      <c r="C1226" s="34" t="n"/>
      <c r="D1226" s="28" t="n"/>
      <c r="E1226" s="26" t="n"/>
      <c r="F1226" s="26" t="n"/>
      <c r="G1226" s="26" t="n"/>
      <c r="H1226" s="38" t="n"/>
      <c r="I1226" s="28" t="n"/>
      <c r="J1226" s="30">
        <f>IF(B1226="","",IFERROR(INDEX('Share classes'!$A$4:$A$203,MATCH(B1226,'Share classes'!$B$4:$B$203,0)),""))</f>
        <v/>
      </c>
      <c r="K1226" s="30">
        <f>IF(A1226="","",IFERROR(INDEX('Holders'!$B$4:$B$1003,MATCH(A1226,'Holders'!$A$4:$A$1003,0)),""))</f>
        <v/>
      </c>
      <c r="L1226" s="30">
        <f>IF(OR(A1226="",B1226="",D1226=""),"",IF(D1226=_xlfn.MAXIFS($D$4:$D$2503,$A$4:$A$2503,A1226,$B$4:$B$2503,B1226),"Yes","No"))</f>
        <v/>
      </c>
      <c r="M1226" s="30">
        <f>IF(B1226="","",IFERROR(INDEX('Share classes'!$F$4:$F$203,MATCH(B1226,'Share classes'!$B$4:$B$203,0)),""))</f>
        <v/>
      </c>
      <c r="N1226" s="30">
        <f>IF(A1226="","",IF(K1226="","Unknown holder ID",IF(J1226="","Unknown class code",IF(OR(C1226="",D1226=""),"Missing shares or date",IF(OR(C1226&lt;0,C1226&lt;&gt;INT(C1226)),"Shares must be a whole number",IF(COUNTIFS($A$4:$A$2503,A1226,$B$4:$B$2503,B1226,$D$4:$D$2503,D1226)&gt;1,"Duplicate row (same date)","OK"))))))</f>
        <v/>
      </c>
    </row>
    <row r="1227">
      <c r="A1227" s="26" t="n"/>
      <c r="B1227" s="26" t="n"/>
      <c r="C1227" s="34" t="n"/>
      <c r="D1227" s="28" t="n"/>
      <c r="E1227" s="26" t="n"/>
      <c r="F1227" s="26" t="n"/>
      <c r="G1227" s="26" t="n"/>
      <c r="H1227" s="38" t="n"/>
      <c r="I1227" s="28" t="n"/>
      <c r="J1227" s="30">
        <f>IF(B1227="","",IFERROR(INDEX('Share classes'!$A$4:$A$203,MATCH(B1227,'Share classes'!$B$4:$B$203,0)),""))</f>
        <v/>
      </c>
      <c r="K1227" s="30">
        <f>IF(A1227="","",IFERROR(INDEX('Holders'!$B$4:$B$1003,MATCH(A1227,'Holders'!$A$4:$A$1003,0)),""))</f>
        <v/>
      </c>
      <c r="L1227" s="30">
        <f>IF(OR(A1227="",B1227="",D1227=""),"",IF(D1227=_xlfn.MAXIFS($D$4:$D$2503,$A$4:$A$2503,A1227,$B$4:$B$2503,B1227),"Yes","No"))</f>
        <v/>
      </c>
      <c r="M1227" s="30">
        <f>IF(B1227="","",IFERROR(INDEX('Share classes'!$F$4:$F$203,MATCH(B1227,'Share classes'!$B$4:$B$203,0)),""))</f>
        <v/>
      </c>
      <c r="N1227" s="30">
        <f>IF(A1227="","",IF(K1227="","Unknown holder ID",IF(J1227="","Unknown class code",IF(OR(C1227="",D1227=""),"Missing shares or date",IF(OR(C1227&lt;0,C1227&lt;&gt;INT(C1227)),"Shares must be a whole number",IF(COUNTIFS($A$4:$A$2503,A1227,$B$4:$B$2503,B1227,$D$4:$D$2503,D1227)&gt;1,"Duplicate row (same date)","OK"))))))</f>
        <v/>
      </c>
    </row>
    <row r="1228">
      <c r="A1228" s="26" t="n"/>
      <c r="B1228" s="26" t="n"/>
      <c r="C1228" s="34" t="n"/>
      <c r="D1228" s="28" t="n"/>
      <c r="E1228" s="26" t="n"/>
      <c r="F1228" s="26" t="n"/>
      <c r="G1228" s="26" t="n"/>
      <c r="H1228" s="38" t="n"/>
      <c r="I1228" s="28" t="n"/>
      <c r="J1228" s="30">
        <f>IF(B1228="","",IFERROR(INDEX('Share classes'!$A$4:$A$203,MATCH(B1228,'Share classes'!$B$4:$B$203,0)),""))</f>
        <v/>
      </c>
      <c r="K1228" s="30">
        <f>IF(A1228="","",IFERROR(INDEX('Holders'!$B$4:$B$1003,MATCH(A1228,'Holders'!$A$4:$A$1003,0)),""))</f>
        <v/>
      </c>
      <c r="L1228" s="30">
        <f>IF(OR(A1228="",B1228="",D1228=""),"",IF(D1228=_xlfn.MAXIFS($D$4:$D$2503,$A$4:$A$2503,A1228,$B$4:$B$2503,B1228),"Yes","No"))</f>
        <v/>
      </c>
      <c r="M1228" s="30">
        <f>IF(B1228="","",IFERROR(INDEX('Share classes'!$F$4:$F$203,MATCH(B1228,'Share classes'!$B$4:$B$203,0)),""))</f>
        <v/>
      </c>
      <c r="N1228" s="30">
        <f>IF(A1228="","",IF(K1228="","Unknown holder ID",IF(J1228="","Unknown class code",IF(OR(C1228="",D1228=""),"Missing shares or date",IF(OR(C1228&lt;0,C1228&lt;&gt;INT(C1228)),"Shares must be a whole number",IF(COUNTIFS($A$4:$A$2503,A1228,$B$4:$B$2503,B1228,$D$4:$D$2503,D1228)&gt;1,"Duplicate row (same date)","OK"))))))</f>
        <v/>
      </c>
    </row>
    <row r="1229">
      <c r="A1229" s="26" t="n"/>
      <c r="B1229" s="26" t="n"/>
      <c r="C1229" s="34" t="n"/>
      <c r="D1229" s="28" t="n"/>
      <c r="E1229" s="26" t="n"/>
      <c r="F1229" s="26" t="n"/>
      <c r="G1229" s="26" t="n"/>
      <c r="H1229" s="38" t="n"/>
      <c r="I1229" s="28" t="n"/>
      <c r="J1229" s="30">
        <f>IF(B1229="","",IFERROR(INDEX('Share classes'!$A$4:$A$203,MATCH(B1229,'Share classes'!$B$4:$B$203,0)),""))</f>
        <v/>
      </c>
      <c r="K1229" s="30">
        <f>IF(A1229="","",IFERROR(INDEX('Holders'!$B$4:$B$1003,MATCH(A1229,'Holders'!$A$4:$A$1003,0)),""))</f>
        <v/>
      </c>
      <c r="L1229" s="30">
        <f>IF(OR(A1229="",B1229="",D1229=""),"",IF(D1229=_xlfn.MAXIFS($D$4:$D$2503,$A$4:$A$2503,A1229,$B$4:$B$2503,B1229),"Yes","No"))</f>
        <v/>
      </c>
      <c r="M1229" s="30">
        <f>IF(B1229="","",IFERROR(INDEX('Share classes'!$F$4:$F$203,MATCH(B1229,'Share classes'!$B$4:$B$203,0)),""))</f>
        <v/>
      </c>
      <c r="N1229" s="30">
        <f>IF(A1229="","",IF(K1229="","Unknown holder ID",IF(J1229="","Unknown class code",IF(OR(C1229="",D1229=""),"Missing shares or date",IF(OR(C1229&lt;0,C1229&lt;&gt;INT(C1229)),"Shares must be a whole number",IF(COUNTIFS($A$4:$A$2503,A1229,$B$4:$B$2503,B1229,$D$4:$D$2503,D1229)&gt;1,"Duplicate row (same date)","OK"))))))</f>
        <v/>
      </c>
    </row>
    <row r="1230">
      <c r="A1230" s="26" t="n"/>
      <c r="B1230" s="26" t="n"/>
      <c r="C1230" s="34" t="n"/>
      <c r="D1230" s="28" t="n"/>
      <c r="E1230" s="26" t="n"/>
      <c r="F1230" s="26" t="n"/>
      <c r="G1230" s="26" t="n"/>
      <c r="H1230" s="38" t="n"/>
      <c r="I1230" s="28" t="n"/>
      <c r="J1230" s="30">
        <f>IF(B1230="","",IFERROR(INDEX('Share classes'!$A$4:$A$203,MATCH(B1230,'Share classes'!$B$4:$B$203,0)),""))</f>
        <v/>
      </c>
      <c r="K1230" s="30">
        <f>IF(A1230="","",IFERROR(INDEX('Holders'!$B$4:$B$1003,MATCH(A1230,'Holders'!$A$4:$A$1003,0)),""))</f>
        <v/>
      </c>
      <c r="L1230" s="30">
        <f>IF(OR(A1230="",B1230="",D1230=""),"",IF(D1230=_xlfn.MAXIFS($D$4:$D$2503,$A$4:$A$2503,A1230,$B$4:$B$2503,B1230),"Yes","No"))</f>
        <v/>
      </c>
      <c r="M1230" s="30">
        <f>IF(B1230="","",IFERROR(INDEX('Share classes'!$F$4:$F$203,MATCH(B1230,'Share classes'!$B$4:$B$203,0)),""))</f>
        <v/>
      </c>
      <c r="N1230" s="30">
        <f>IF(A1230="","",IF(K1230="","Unknown holder ID",IF(J1230="","Unknown class code",IF(OR(C1230="",D1230=""),"Missing shares or date",IF(OR(C1230&lt;0,C1230&lt;&gt;INT(C1230)),"Shares must be a whole number",IF(COUNTIFS($A$4:$A$2503,A1230,$B$4:$B$2503,B1230,$D$4:$D$2503,D1230)&gt;1,"Duplicate row (same date)","OK"))))))</f>
        <v/>
      </c>
    </row>
    <row r="1231">
      <c r="A1231" s="26" t="n"/>
      <c r="B1231" s="26" t="n"/>
      <c r="C1231" s="34" t="n"/>
      <c r="D1231" s="28" t="n"/>
      <c r="E1231" s="26" t="n"/>
      <c r="F1231" s="26" t="n"/>
      <c r="G1231" s="26" t="n"/>
      <c r="H1231" s="38" t="n"/>
      <c r="I1231" s="28" t="n"/>
      <c r="J1231" s="30">
        <f>IF(B1231="","",IFERROR(INDEX('Share classes'!$A$4:$A$203,MATCH(B1231,'Share classes'!$B$4:$B$203,0)),""))</f>
        <v/>
      </c>
      <c r="K1231" s="30">
        <f>IF(A1231="","",IFERROR(INDEX('Holders'!$B$4:$B$1003,MATCH(A1231,'Holders'!$A$4:$A$1003,0)),""))</f>
        <v/>
      </c>
      <c r="L1231" s="30">
        <f>IF(OR(A1231="",B1231="",D1231=""),"",IF(D1231=_xlfn.MAXIFS($D$4:$D$2503,$A$4:$A$2503,A1231,$B$4:$B$2503,B1231),"Yes","No"))</f>
        <v/>
      </c>
      <c r="M1231" s="30">
        <f>IF(B1231="","",IFERROR(INDEX('Share classes'!$F$4:$F$203,MATCH(B1231,'Share classes'!$B$4:$B$203,0)),""))</f>
        <v/>
      </c>
      <c r="N1231" s="30">
        <f>IF(A1231="","",IF(K1231="","Unknown holder ID",IF(J1231="","Unknown class code",IF(OR(C1231="",D1231=""),"Missing shares or date",IF(OR(C1231&lt;0,C1231&lt;&gt;INT(C1231)),"Shares must be a whole number",IF(COUNTIFS($A$4:$A$2503,A1231,$B$4:$B$2503,B1231,$D$4:$D$2503,D1231)&gt;1,"Duplicate row (same date)","OK"))))))</f>
        <v/>
      </c>
    </row>
    <row r="1232">
      <c r="A1232" s="26" t="n"/>
      <c r="B1232" s="26" t="n"/>
      <c r="C1232" s="34" t="n"/>
      <c r="D1232" s="28" t="n"/>
      <c r="E1232" s="26" t="n"/>
      <c r="F1232" s="26" t="n"/>
      <c r="G1232" s="26" t="n"/>
      <c r="H1232" s="38" t="n"/>
      <c r="I1232" s="28" t="n"/>
      <c r="J1232" s="30">
        <f>IF(B1232="","",IFERROR(INDEX('Share classes'!$A$4:$A$203,MATCH(B1232,'Share classes'!$B$4:$B$203,0)),""))</f>
        <v/>
      </c>
      <c r="K1232" s="30">
        <f>IF(A1232="","",IFERROR(INDEX('Holders'!$B$4:$B$1003,MATCH(A1232,'Holders'!$A$4:$A$1003,0)),""))</f>
        <v/>
      </c>
      <c r="L1232" s="30">
        <f>IF(OR(A1232="",B1232="",D1232=""),"",IF(D1232=_xlfn.MAXIFS($D$4:$D$2503,$A$4:$A$2503,A1232,$B$4:$B$2503,B1232),"Yes","No"))</f>
        <v/>
      </c>
      <c r="M1232" s="30">
        <f>IF(B1232="","",IFERROR(INDEX('Share classes'!$F$4:$F$203,MATCH(B1232,'Share classes'!$B$4:$B$203,0)),""))</f>
        <v/>
      </c>
      <c r="N1232" s="30">
        <f>IF(A1232="","",IF(K1232="","Unknown holder ID",IF(J1232="","Unknown class code",IF(OR(C1232="",D1232=""),"Missing shares or date",IF(OR(C1232&lt;0,C1232&lt;&gt;INT(C1232)),"Shares must be a whole number",IF(COUNTIFS($A$4:$A$2503,A1232,$B$4:$B$2503,B1232,$D$4:$D$2503,D1232)&gt;1,"Duplicate row (same date)","OK"))))))</f>
        <v/>
      </c>
    </row>
    <row r="1233">
      <c r="A1233" s="26" t="n"/>
      <c r="B1233" s="26" t="n"/>
      <c r="C1233" s="34" t="n"/>
      <c r="D1233" s="28" t="n"/>
      <c r="E1233" s="26" t="n"/>
      <c r="F1233" s="26" t="n"/>
      <c r="G1233" s="26" t="n"/>
      <c r="H1233" s="38" t="n"/>
      <c r="I1233" s="28" t="n"/>
      <c r="J1233" s="30">
        <f>IF(B1233="","",IFERROR(INDEX('Share classes'!$A$4:$A$203,MATCH(B1233,'Share classes'!$B$4:$B$203,0)),""))</f>
        <v/>
      </c>
      <c r="K1233" s="30">
        <f>IF(A1233="","",IFERROR(INDEX('Holders'!$B$4:$B$1003,MATCH(A1233,'Holders'!$A$4:$A$1003,0)),""))</f>
        <v/>
      </c>
      <c r="L1233" s="30">
        <f>IF(OR(A1233="",B1233="",D1233=""),"",IF(D1233=_xlfn.MAXIFS($D$4:$D$2503,$A$4:$A$2503,A1233,$B$4:$B$2503,B1233),"Yes","No"))</f>
        <v/>
      </c>
      <c r="M1233" s="30">
        <f>IF(B1233="","",IFERROR(INDEX('Share classes'!$F$4:$F$203,MATCH(B1233,'Share classes'!$B$4:$B$203,0)),""))</f>
        <v/>
      </c>
      <c r="N1233" s="30">
        <f>IF(A1233="","",IF(K1233="","Unknown holder ID",IF(J1233="","Unknown class code",IF(OR(C1233="",D1233=""),"Missing shares or date",IF(OR(C1233&lt;0,C1233&lt;&gt;INT(C1233)),"Shares must be a whole number",IF(COUNTIFS($A$4:$A$2503,A1233,$B$4:$B$2503,B1233,$D$4:$D$2503,D1233)&gt;1,"Duplicate row (same date)","OK"))))))</f>
        <v/>
      </c>
    </row>
    <row r="1234">
      <c r="A1234" s="26" t="n"/>
      <c r="B1234" s="26" t="n"/>
      <c r="C1234" s="34" t="n"/>
      <c r="D1234" s="28" t="n"/>
      <c r="E1234" s="26" t="n"/>
      <c r="F1234" s="26" t="n"/>
      <c r="G1234" s="26" t="n"/>
      <c r="H1234" s="38" t="n"/>
      <c r="I1234" s="28" t="n"/>
      <c r="J1234" s="30">
        <f>IF(B1234="","",IFERROR(INDEX('Share classes'!$A$4:$A$203,MATCH(B1234,'Share classes'!$B$4:$B$203,0)),""))</f>
        <v/>
      </c>
      <c r="K1234" s="30">
        <f>IF(A1234="","",IFERROR(INDEX('Holders'!$B$4:$B$1003,MATCH(A1234,'Holders'!$A$4:$A$1003,0)),""))</f>
        <v/>
      </c>
      <c r="L1234" s="30">
        <f>IF(OR(A1234="",B1234="",D1234=""),"",IF(D1234=_xlfn.MAXIFS($D$4:$D$2503,$A$4:$A$2503,A1234,$B$4:$B$2503,B1234),"Yes","No"))</f>
        <v/>
      </c>
      <c r="M1234" s="30">
        <f>IF(B1234="","",IFERROR(INDEX('Share classes'!$F$4:$F$203,MATCH(B1234,'Share classes'!$B$4:$B$203,0)),""))</f>
        <v/>
      </c>
      <c r="N1234" s="30">
        <f>IF(A1234="","",IF(K1234="","Unknown holder ID",IF(J1234="","Unknown class code",IF(OR(C1234="",D1234=""),"Missing shares or date",IF(OR(C1234&lt;0,C1234&lt;&gt;INT(C1234)),"Shares must be a whole number",IF(COUNTIFS($A$4:$A$2503,A1234,$B$4:$B$2503,B1234,$D$4:$D$2503,D1234)&gt;1,"Duplicate row (same date)","OK"))))))</f>
        <v/>
      </c>
    </row>
    <row r="1235">
      <c r="A1235" s="26" t="n"/>
      <c r="B1235" s="26" t="n"/>
      <c r="C1235" s="34" t="n"/>
      <c r="D1235" s="28" t="n"/>
      <c r="E1235" s="26" t="n"/>
      <c r="F1235" s="26" t="n"/>
      <c r="G1235" s="26" t="n"/>
      <c r="H1235" s="38" t="n"/>
      <c r="I1235" s="28" t="n"/>
      <c r="J1235" s="30">
        <f>IF(B1235="","",IFERROR(INDEX('Share classes'!$A$4:$A$203,MATCH(B1235,'Share classes'!$B$4:$B$203,0)),""))</f>
        <v/>
      </c>
      <c r="K1235" s="30">
        <f>IF(A1235="","",IFERROR(INDEX('Holders'!$B$4:$B$1003,MATCH(A1235,'Holders'!$A$4:$A$1003,0)),""))</f>
        <v/>
      </c>
      <c r="L1235" s="30">
        <f>IF(OR(A1235="",B1235="",D1235=""),"",IF(D1235=_xlfn.MAXIFS($D$4:$D$2503,$A$4:$A$2503,A1235,$B$4:$B$2503,B1235),"Yes","No"))</f>
        <v/>
      </c>
      <c r="M1235" s="30">
        <f>IF(B1235="","",IFERROR(INDEX('Share classes'!$F$4:$F$203,MATCH(B1235,'Share classes'!$B$4:$B$203,0)),""))</f>
        <v/>
      </c>
      <c r="N1235" s="30">
        <f>IF(A1235="","",IF(K1235="","Unknown holder ID",IF(J1235="","Unknown class code",IF(OR(C1235="",D1235=""),"Missing shares or date",IF(OR(C1235&lt;0,C1235&lt;&gt;INT(C1235)),"Shares must be a whole number",IF(COUNTIFS($A$4:$A$2503,A1235,$B$4:$B$2503,B1235,$D$4:$D$2503,D1235)&gt;1,"Duplicate row (same date)","OK"))))))</f>
        <v/>
      </c>
    </row>
    <row r="1236">
      <c r="A1236" s="26" t="n"/>
      <c r="B1236" s="26" t="n"/>
      <c r="C1236" s="34" t="n"/>
      <c r="D1236" s="28" t="n"/>
      <c r="E1236" s="26" t="n"/>
      <c r="F1236" s="26" t="n"/>
      <c r="G1236" s="26" t="n"/>
      <c r="H1236" s="38" t="n"/>
      <c r="I1236" s="28" t="n"/>
      <c r="J1236" s="30">
        <f>IF(B1236="","",IFERROR(INDEX('Share classes'!$A$4:$A$203,MATCH(B1236,'Share classes'!$B$4:$B$203,0)),""))</f>
        <v/>
      </c>
      <c r="K1236" s="30">
        <f>IF(A1236="","",IFERROR(INDEX('Holders'!$B$4:$B$1003,MATCH(A1236,'Holders'!$A$4:$A$1003,0)),""))</f>
        <v/>
      </c>
      <c r="L1236" s="30">
        <f>IF(OR(A1236="",B1236="",D1236=""),"",IF(D1236=_xlfn.MAXIFS($D$4:$D$2503,$A$4:$A$2503,A1236,$B$4:$B$2503,B1236),"Yes","No"))</f>
        <v/>
      </c>
      <c r="M1236" s="30">
        <f>IF(B1236="","",IFERROR(INDEX('Share classes'!$F$4:$F$203,MATCH(B1236,'Share classes'!$B$4:$B$203,0)),""))</f>
        <v/>
      </c>
      <c r="N1236" s="30">
        <f>IF(A1236="","",IF(K1236="","Unknown holder ID",IF(J1236="","Unknown class code",IF(OR(C1236="",D1236=""),"Missing shares or date",IF(OR(C1236&lt;0,C1236&lt;&gt;INT(C1236)),"Shares must be a whole number",IF(COUNTIFS($A$4:$A$2503,A1236,$B$4:$B$2503,B1236,$D$4:$D$2503,D1236)&gt;1,"Duplicate row (same date)","OK"))))))</f>
        <v/>
      </c>
    </row>
    <row r="1237">
      <c r="A1237" s="26" t="n"/>
      <c r="B1237" s="26" t="n"/>
      <c r="C1237" s="34" t="n"/>
      <c r="D1237" s="28" t="n"/>
      <c r="E1237" s="26" t="n"/>
      <c r="F1237" s="26" t="n"/>
      <c r="G1237" s="26" t="n"/>
      <c r="H1237" s="38" t="n"/>
      <c r="I1237" s="28" t="n"/>
      <c r="J1237" s="30">
        <f>IF(B1237="","",IFERROR(INDEX('Share classes'!$A$4:$A$203,MATCH(B1237,'Share classes'!$B$4:$B$203,0)),""))</f>
        <v/>
      </c>
      <c r="K1237" s="30">
        <f>IF(A1237="","",IFERROR(INDEX('Holders'!$B$4:$B$1003,MATCH(A1237,'Holders'!$A$4:$A$1003,0)),""))</f>
        <v/>
      </c>
      <c r="L1237" s="30">
        <f>IF(OR(A1237="",B1237="",D1237=""),"",IF(D1237=_xlfn.MAXIFS($D$4:$D$2503,$A$4:$A$2503,A1237,$B$4:$B$2503,B1237),"Yes","No"))</f>
        <v/>
      </c>
      <c r="M1237" s="30">
        <f>IF(B1237="","",IFERROR(INDEX('Share classes'!$F$4:$F$203,MATCH(B1237,'Share classes'!$B$4:$B$203,0)),""))</f>
        <v/>
      </c>
      <c r="N1237" s="30">
        <f>IF(A1237="","",IF(K1237="","Unknown holder ID",IF(J1237="","Unknown class code",IF(OR(C1237="",D1237=""),"Missing shares or date",IF(OR(C1237&lt;0,C1237&lt;&gt;INT(C1237)),"Shares must be a whole number",IF(COUNTIFS($A$4:$A$2503,A1237,$B$4:$B$2503,B1237,$D$4:$D$2503,D1237)&gt;1,"Duplicate row (same date)","OK"))))))</f>
        <v/>
      </c>
    </row>
    <row r="1238">
      <c r="A1238" s="26" t="n"/>
      <c r="B1238" s="26" t="n"/>
      <c r="C1238" s="34" t="n"/>
      <c r="D1238" s="28" t="n"/>
      <c r="E1238" s="26" t="n"/>
      <c r="F1238" s="26" t="n"/>
      <c r="G1238" s="26" t="n"/>
      <c r="H1238" s="38" t="n"/>
      <c r="I1238" s="28" t="n"/>
      <c r="J1238" s="30">
        <f>IF(B1238="","",IFERROR(INDEX('Share classes'!$A$4:$A$203,MATCH(B1238,'Share classes'!$B$4:$B$203,0)),""))</f>
        <v/>
      </c>
      <c r="K1238" s="30">
        <f>IF(A1238="","",IFERROR(INDEX('Holders'!$B$4:$B$1003,MATCH(A1238,'Holders'!$A$4:$A$1003,0)),""))</f>
        <v/>
      </c>
      <c r="L1238" s="30">
        <f>IF(OR(A1238="",B1238="",D1238=""),"",IF(D1238=_xlfn.MAXIFS($D$4:$D$2503,$A$4:$A$2503,A1238,$B$4:$B$2503,B1238),"Yes","No"))</f>
        <v/>
      </c>
      <c r="M1238" s="30">
        <f>IF(B1238="","",IFERROR(INDEX('Share classes'!$F$4:$F$203,MATCH(B1238,'Share classes'!$B$4:$B$203,0)),""))</f>
        <v/>
      </c>
      <c r="N1238" s="30">
        <f>IF(A1238="","",IF(K1238="","Unknown holder ID",IF(J1238="","Unknown class code",IF(OR(C1238="",D1238=""),"Missing shares or date",IF(OR(C1238&lt;0,C1238&lt;&gt;INT(C1238)),"Shares must be a whole number",IF(COUNTIFS($A$4:$A$2503,A1238,$B$4:$B$2503,B1238,$D$4:$D$2503,D1238)&gt;1,"Duplicate row (same date)","OK"))))))</f>
        <v/>
      </c>
    </row>
    <row r="1239">
      <c r="A1239" s="26" t="n"/>
      <c r="B1239" s="26" t="n"/>
      <c r="C1239" s="34" t="n"/>
      <c r="D1239" s="28" t="n"/>
      <c r="E1239" s="26" t="n"/>
      <c r="F1239" s="26" t="n"/>
      <c r="G1239" s="26" t="n"/>
      <c r="H1239" s="38" t="n"/>
      <c r="I1239" s="28" t="n"/>
      <c r="J1239" s="30">
        <f>IF(B1239="","",IFERROR(INDEX('Share classes'!$A$4:$A$203,MATCH(B1239,'Share classes'!$B$4:$B$203,0)),""))</f>
        <v/>
      </c>
      <c r="K1239" s="30">
        <f>IF(A1239="","",IFERROR(INDEX('Holders'!$B$4:$B$1003,MATCH(A1239,'Holders'!$A$4:$A$1003,0)),""))</f>
        <v/>
      </c>
      <c r="L1239" s="30">
        <f>IF(OR(A1239="",B1239="",D1239=""),"",IF(D1239=_xlfn.MAXIFS($D$4:$D$2503,$A$4:$A$2503,A1239,$B$4:$B$2503,B1239),"Yes","No"))</f>
        <v/>
      </c>
      <c r="M1239" s="30">
        <f>IF(B1239="","",IFERROR(INDEX('Share classes'!$F$4:$F$203,MATCH(B1239,'Share classes'!$B$4:$B$203,0)),""))</f>
        <v/>
      </c>
      <c r="N1239" s="30">
        <f>IF(A1239="","",IF(K1239="","Unknown holder ID",IF(J1239="","Unknown class code",IF(OR(C1239="",D1239=""),"Missing shares or date",IF(OR(C1239&lt;0,C1239&lt;&gt;INT(C1239)),"Shares must be a whole number",IF(COUNTIFS($A$4:$A$2503,A1239,$B$4:$B$2503,B1239,$D$4:$D$2503,D1239)&gt;1,"Duplicate row (same date)","OK"))))))</f>
        <v/>
      </c>
    </row>
    <row r="1240">
      <c r="A1240" s="26" t="n"/>
      <c r="B1240" s="26" t="n"/>
      <c r="C1240" s="34" t="n"/>
      <c r="D1240" s="28" t="n"/>
      <c r="E1240" s="26" t="n"/>
      <c r="F1240" s="26" t="n"/>
      <c r="G1240" s="26" t="n"/>
      <c r="H1240" s="38" t="n"/>
      <c r="I1240" s="28" t="n"/>
      <c r="J1240" s="30">
        <f>IF(B1240="","",IFERROR(INDEX('Share classes'!$A$4:$A$203,MATCH(B1240,'Share classes'!$B$4:$B$203,0)),""))</f>
        <v/>
      </c>
      <c r="K1240" s="30">
        <f>IF(A1240="","",IFERROR(INDEX('Holders'!$B$4:$B$1003,MATCH(A1240,'Holders'!$A$4:$A$1003,0)),""))</f>
        <v/>
      </c>
      <c r="L1240" s="30">
        <f>IF(OR(A1240="",B1240="",D1240=""),"",IF(D1240=_xlfn.MAXIFS($D$4:$D$2503,$A$4:$A$2503,A1240,$B$4:$B$2503,B1240),"Yes","No"))</f>
        <v/>
      </c>
      <c r="M1240" s="30">
        <f>IF(B1240="","",IFERROR(INDEX('Share classes'!$F$4:$F$203,MATCH(B1240,'Share classes'!$B$4:$B$203,0)),""))</f>
        <v/>
      </c>
      <c r="N1240" s="30">
        <f>IF(A1240="","",IF(K1240="","Unknown holder ID",IF(J1240="","Unknown class code",IF(OR(C1240="",D1240=""),"Missing shares or date",IF(OR(C1240&lt;0,C1240&lt;&gt;INT(C1240)),"Shares must be a whole number",IF(COUNTIFS($A$4:$A$2503,A1240,$B$4:$B$2503,B1240,$D$4:$D$2503,D1240)&gt;1,"Duplicate row (same date)","OK"))))))</f>
        <v/>
      </c>
    </row>
    <row r="1241">
      <c r="A1241" s="26" t="n"/>
      <c r="B1241" s="26" t="n"/>
      <c r="C1241" s="34" t="n"/>
      <c r="D1241" s="28" t="n"/>
      <c r="E1241" s="26" t="n"/>
      <c r="F1241" s="26" t="n"/>
      <c r="G1241" s="26" t="n"/>
      <c r="H1241" s="38" t="n"/>
      <c r="I1241" s="28" t="n"/>
      <c r="J1241" s="30">
        <f>IF(B1241="","",IFERROR(INDEX('Share classes'!$A$4:$A$203,MATCH(B1241,'Share classes'!$B$4:$B$203,0)),""))</f>
        <v/>
      </c>
      <c r="K1241" s="30">
        <f>IF(A1241="","",IFERROR(INDEX('Holders'!$B$4:$B$1003,MATCH(A1241,'Holders'!$A$4:$A$1003,0)),""))</f>
        <v/>
      </c>
      <c r="L1241" s="30">
        <f>IF(OR(A1241="",B1241="",D1241=""),"",IF(D1241=_xlfn.MAXIFS($D$4:$D$2503,$A$4:$A$2503,A1241,$B$4:$B$2503,B1241),"Yes","No"))</f>
        <v/>
      </c>
      <c r="M1241" s="30">
        <f>IF(B1241="","",IFERROR(INDEX('Share classes'!$F$4:$F$203,MATCH(B1241,'Share classes'!$B$4:$B$203,0)),""))</f>
        <v/>
      </c>
      <c r="N1241" s="30">
        <f>IF(A1241="","",IF(K1241="","Unknown holder ID",IF(J1241="","Unknown class code",IF(OR(C1241="",D1241=""),"Missing shares or date",IF(OR(C1241&lt;0,C1241&lt;&gt;INT(C1241)),"Shares must be a whole number",IF(COUNTIFS($A$4:$A$2503,A1241,$B$4:$B$2503,B1241,$D$4:$D$2503,D1241)&gt;1,"Duplicate row (same date)","OK"))))))</f>
        <v/>
      </c>
    </row>
    <row r="1242">
      <c r="A1242" s="26" t="n"/>
      <c r="B1242" s="26" t="n"/>
      <c r="C1242" s="34" t="n"/>
      <c r="D1242" s="28" t="n"/>
      <c r="E1242" s="26" t="n"/>
      <c r="F1242" s="26" t="n"/>
      <c r="G1242" s="26" t="n"/>
      <c r="H1242" s="38" t="n"/>
      <c r="I1242" s="28" t="n"/>
      <c r="J1242" s="30">
        <f>IF(B1242="","",IFERROR(INDEX('Share classes'!$A$4:$A$203,MATCH(B1242,'Share classes'!$B$4:$B$203,0)),""))</f>
        <v/>
      </c>
      <c r="K1242" s="30">
        <f>IF(A1242="","",IFERROR(INDEX('Holders'!$B$4:$B$1003,MATCH(A1242,'Holders'!$A$4:$A$1003,0)),""))</f>
        <v/>
      </c>
      <c r="L1242" s="30">
        <f>IF(OR(A1242="",B1242="",D1242=""),"",IF(D1242=_xlfn.MAXIFS($D$4:$D$2503,$A$4:$A$2503,A1242,$B$4:$B$2503,B1242),"Yes","No"))</f>
        <v/>
      </c>
      <c r="M1242" s="30">
        <f>IF(B1242="","",IFERROR(INDEX('Share classes'!$F$4:$F$203,MATCH(B1242,'Share classes'!$B$4:$B$203,0)),""))</f>
        <v/>
      </c>
      <c r="N1242" s="30">
        <f>IF(A1242="","",IF(K1242="","Unknown holder ID",IF(J1242="","Unknown class code",IF(OR(C1242="",D1242=""),"Missing shares or date",IF(OR(C1242&lt;0,C1242&lt;&gt;INT(C1242)),"Shares must be a whole number",IF(COUNTIFS($A$4:$A$2503,A1242,$B$4:$B$2503,B1242,$D$4:$D$2503,D1242)&gt;1,"Duplicate row (same date)","OK"))))))</f>
        <v/>
      </c>
    </row>
    <row r="1243">
      <c r="A1243" s="26" t="n"/>
      <c r="B1243" s="26" t="n"/>
      <c r="C1243" s="34" t="n"/>
      <c r="D1243" s="28" t="n"/>
      <c r="E1243" s="26" t="n"/>
      <c r="F1243" s="26" t="n"/>
      <c r="G1243" s="26" t="n"/>
      <c r="H1243" s="38" t="n"/>
      <c r="I1243" s="28" t="n"/>
      <c r="J1243" s="30">
        <f>IF(B1243="","",IFERROR(INDEX('Share classes'!$A$4:$A$203,MATCH(B1243,'Share classes'!$B$4:$B$203,0)),""))</f>
        <v/>
      </c>
      <c r="K1243" s="30">
        <f>IF(A1243="","",IFERROR(INDEX('Holders'!$B$4:$B$1003,MATCH(A1243,'Holders'!$A$4:$A$1003,0)),""))</f>
        <v/>
      </c>
      <c r="L1243" s="30">
        <f>IF(OR(A1243="",B1243="",D1243=""),"",IF(D1243=_xlfn.MAXIFS($D$4:$D$2503,$A$4:$A$2503,A1243,$B$4:$B$2503,B1243),"Yes","No"))</f>
        <v/>
      </c>
      <c r="M1243" s="30">
        <f>IF(B1243="","",IFERROR(INDEX('Share classes'!$F$4:$F$203,MATCH(B1243,'Share classes'!$B$4:$B$203,0)),""))</f>
        <v/>
      </c>
      <c r="N1243" s="30">
        <f>IF(A1243="","",IF(K1243="","Unknown holder ID",IF(J1243="","Unknown class code",IF(OR(C1243="",D1243=""),"Missing shares or date",IF(OR(C1243&lt;0,C1243&lt;&gt;INT(C1243)),"Shares must be a whole number",IF(COUNTIFS($A$4:$A$2503,A1243,$B$4:$B$2503,B1243,$D$4:$D$2503,D1243)&gt;1,"Duplicate row (same date)","OK"))))))</f>
        <v/>
      </c>
    </row>
    <row r="1244">
      <c r="A1244" s="26" t="n"/>
      <c r="B1244" s="26" t="n"/>
      <c r="C1244" s="34" t="n"/>
      <c r="D1244" s="28" t="n"/>
      <c r="E1244" s="26" t="n"/>
      <c r="F1244" s="26" t="n"/>
      <c r="G1244" s="26" t="n"/>
      <c r="H1244" s="38" t="n"/>
      <c r="I1244" s="28" t="n"/>
      <c r="J1244" s="30">
        <f>IF(B1244="","",IFERROR(INDEX('Share classes'!$A$4:$A$203,MATCH(B1244,'Share classes'!$B$4:$B$203,0)),""))</f>
        <v/>
      </c>
      <c r="K1244" s="30">
        <f>IF(A1244="","",IFERROR(INDEX('Holders'!$B$4:$B$1003,MATCH(A1244,'Holders'!$A$4:$A$1003,0)),""))</f>
        <v/>
      </c>
      <c r="L1244" s="30">
        <f>IF(OR(A1244="",B1244="",D1244=""),"",IF(D1244=_xlfn.MAXIFS($D$4:$D$2503,$A$4:$A$2503,A1244,$B$4:$B$2503,B1244),"Yes","No"))</f>
        <v/>
      </c>
      <c r="M1244" s="30">
        <f>IF(B1244="","",IFERROR(INDEX('Share classes'!$F$4:$F$203,MATCH(B1244,'Share classes'!$B$4:$B$203,0)),""))</f>
        <v/>
      </c>
      <c r="N1244" s="30">
        <f>IF(A1244="","",IF(K1244="","Unknown holder ID",IF(J1244="","Unknown class code",IF(OR(C1244="",D1244=""),"Missing shares or date",IF(OR(C1244&lt;0,C1244&lt;&gt;INT(C1244)),"Shares must be a whole number",IF(COUNTIFS($A$4:$A$2503,A1244,$B$4:$B$2503,B1244,$D$4:$D$2503,D1244)&gt;1,"Duplicate row (same date)","OK"))))))</f>
        <v/>
      </c>
    </row>
    <row r="1245">
      <c r="A1245" s="26" t="n"/>
      <c r="B1245" s="26" t="n"/>
      <c r="C1245" s="34" t="n"/>
      <c r="D1245" s="28" t="n"/>
      <c r="E1245" s="26" t="n"/>
      <c r="F1245" s="26" t="n"/>
      <c r="G1245" s="26" t="n"/>
      <c r="H1245" s="38" t="n"/>
      <c r="I1245" s="28" t="n"/>
      <c r="J1245" s="30">
        <f>IF(B1245="","",IFERROR(INDEX('Share classes'!$A$4:$A$203,MATCH(B1245,'Share classes'!$B$4:$B$203,0)),""))</f>
        <v/>
      </c>
      <c r="K1245" s="30">
        <f>IF(A1245="","",IFERROR(INDEX('Holders'!$B$4:$B$1003,MATCH(A1245,'Holders'!$A$4:$A$1003,0)),""))</f>
        <v/>
      </c>
      <c r="L1245" s="30">
        <f>IF(OR(A1245="",B1245="",D1245=""),"",IF(D1245=_xlfn.MAXIFS($D$4:$D$2503,$A$4:$A$2503,A1245,$B$4:$B$2503,B1245),"Yes","No"))</f>
        <v/>
      </c>
      <c r="M1245" s="30">
        <f>IF(B1245="","",IFERROR(INDEX('Share classes'!$F$4:$F$203,MATCH(B1245,'Share classes'!$B$4:$B$203,0)),""))</f>
        <v/>
      </c>
      <c r="N1245" s="30">
        <f>IF(A1245="","",IF(K1245="","Unknown holder ID",IF(J1245="","Unknown class code",IF(OR(C1245="",D1245=""),"Missing shares or date",IF(OR(C1245&lt;0,C1245&lt;&gt;INT(C1245)),"Shares must be a whole number",IF(COUNTIFS($A$4:$A$2503,A1245,$B$4:$B$2503,B1245,$D$4:$D$2503,D1245)&gt;1,"Duplicate row (same date)","OK"))))))</f>
        <v/>
      </c>
    </row>
    <row r="1246">
      <c r="A1246" s="26" t="n"/>
      <c r="B1246" s="26" t="n"/>
      <c r="C1246" s="34" t="n"/>
      <c r="D1246" s="28" t="n"/>
      <c r="E1246" s="26" t="n"/>
      <c r="F1246" s="26" t="n"/>
      <c r="G1246" s="26" t="n"/>
      <c r="H1246" s="38" t="n"/>
      <c r="I1246" s="28" t="n"/>
      <c r="J1246" s="30">
        <f>IF(B1246="","",IFERROR(INDEX('Share classes'!$A$4:$A$203,MATCH(B1246,'Share classes'!$B$4:$B$203,0)),""))</f>
        <v/>
      </c>
      <c r="K1246" s="30">
        <f>IF(A1246="","",IFERROR(INDEX('Holders'!$B$4:$B$1003,MATCH(A1246,'Holders'!$A$4:$A$1003,0)),""))</f>
        <v/>
      </c>
      <c r="L1246" s="30">
        <f>IF(OR(A1246="",B1246="",D1246=""),"",IF(D1246=_xlfn.MAXIFS($D$4:$D$2503,$A$4:$A$2503,A1246,$B$4:$B$2503,B1246),"Yes","No"))</f>
        <v/>
      </c>
      <c r="M1246" s="30">
        <f>IF(B1246="","",IFERROR(INDEX('Share classes'!$F$4:$F$203,MATCH(B1246,'Share classes'!$B$4:$B$203,0)),""))</f>
        <v/>
      </c>
      <c r="N1246" s="30">
        <f>IF(A1246="","",IF(K1246="","Unknown holder ID",IF(J1246="","Unknown class code",IF(OR(C1246="",D1246=""),"Missing shares or date",IF(OR(C1246&lt;0,C1246&lt;&gt;INT(C1246)),"Shares must be a whole number",IF(COUNTIFS($A$4:$A$2503,A1246,$B$4:$B$2503,B1246,$D$4:$D$2503,D1246)&gt;1,"Duplicate row (same date)","OK"))))))</f>
        <v/>
      </c>
    </row>
    <row r="1247">
      <c r="A1247" s="26" t="n"/>
      <c r="B1247" s="26" t="n"/>
      <c r="C1247" s="34" t="n"/>
      <c r="D1247" s="28" t="n"/>
      <c r="E1247" s="26" t="n"/>
      <c r="F1247" s="26" t="n"/>
      <c r="G1247" s="26" t="n"/>
      <c r="H1247" s="38" t="n"/>
      <c r="I1247" s="28" t="n"/>
      <c r="J1247" s="30">
        <f>IF(B1247="","",IFERROR(INDEX('Share classes'!$A$4:$A$203,MATCH(B1247,'Share classes'!$B$4:$B$203,0)),""))</f>
        <v/>
      </c>
      <c r="K1247" s="30">
        <f>IF(A1247="","",IFERROR(INDEX('Holders'!$B$4:$B$1003,MATCH(A1247,'Holders'!$A$4:$A$1003,0)),""))</f>
        <v/>
      </c>
      <c r="L1247" s="30">
        <f>IF(OR(A1247="",B1247="",D1247=""),"",IF(D1247=_xlfn.MAXIFS($D$4:$D$2503,$A$4:$A$2503,A1247,$B$4:$B$2503,B1247),"Yes","No"))</f>
        <v/>
      </c>
      <c r="M1247" s="30">
        <f>IF(B1247="","",IFERROR(INDEX('Share classes'!$F$4:$F$203,MATCH(B1247,'Share classes'!$B$4:$B$203,0)),""))</f>
        <v/>
      </c>
      <c r="N1247" s="30">
        <f>IF(A1247="","",IF(K1247="","Unknown holder ID",IF(J1247="","Unknown class code",IF(OR(C1247="",D1247=""),"Missing shares or date",IF(OR(C1247&lt;0,C1247&lt;&gt;INT(C1247)),"Shares must be a whole number",IF(COUNTIFS($A$4:$A$2503,A1247,$B$4:$B$2503,B1247,$D$4:$D$2503,D1247)&gt;1,"Duplicate row (same date)","OK"))))))</f>
        <v/>
      </c>
    </row>
    <row r="1248">
      <c r="A1248" s="26" t="n"/>
      <c r="B1248" s="26" t="n"/>
      <c r="C1248" s="34" t="n"/>
      <c r="D1248" s="28" t="n"/>
      <c r="E1248" s="26" t="n"/>
      <c r="F1248" s="26" t="n"/>
      <c r="G1248" s="26" t="n"/>
      <c r="H1248" s="38" t="n"/>
      <c r="I1248" s="28" t="n"/>
      <c r="J1248" s="30">
        <f>IF(B1248="","",IFERROR(INDEX('Share classes'!$A$4:$A$203,MATCH(B1248,'Share classes'!$B$4:$B$203,0)),""))</f>
        <v/>
      </c>
      <c r="K1248" s="30">
        <f>IF(A1248="","",IFERROR(INDEX('Holders'!$B$4:$B$1003,MATCH(A1248,'Holders'!$A$4:$A$1003,0)),""))</f>
        <v/>
      </c>
      <c r="L1248" s="30">
        <f>IF(OR(A1248="",B1248="",D1248=""),"",IF(D1248=_xlfn.MAXIFS($D$4:$D$2503,$A$4:$A$2503,A1248,$B$4:$B$2503,B1248),"Yes","No"))</f>
        <v/>
      </c>
      <c r="M1248" s="30">
        <f>IF(B1248="","",IFERROR(INDEX('Share classes'!$F$4:$F$203,MATCH(B1248,'Share classes'!$B$4:$B$203,0)),""))</f>
        <v/>
      </c>
      <c r="N1248" s="30">
        <f>IF(A1248="","",IF(K1248="","Unknown holder ID",IF(J1248="","Unknown class code",IF(OR(C1248="",D1248=""),"Missing shares or date",IF(OR(C1248&lt;0,C1248&lt;&gt;INT(C1248)),"Shares must be a whole number",IF(COUNTIFS($A$4:$A$2503,A1248,$B$4:$B$2503,B1248,$D$4:$D$2503,D1248)&gt;1,"Duplicate row (same date)","OK"))))))</f>
        <v/>
      </c>
    </row>
    <row r="1249">
      <c r="A1249" s="26" t="n"/>
      <c r="B1249" s="26" t="n"/>
      <c r="C1249" s="34" t="n"/>
      <c r="D1249" s="28" t="n"/>
      <c r="E1249" s="26" t="n"/>
      <c r="F1249" s="26" t="n"/>
      <c r="G1249" s="26" t="n"/>
      <c r="H1249" s="38" t="n"/>
      <c r="I1249" s="28" t="n"/>
      <c r="J1249" s="30">
        <f>IF(B1249="","",IFERROR(INDEX('Share classes'!$A$4:$A$203,MATCH(B1249,'Share classes'!$B$4:$B$203,0)),""))</f>
        <v/>
      </c>
      <c r="K1249" s="30">
        <f>IF(A1249="","",IFERROR(INDEX('Holders'!$B$4:$B$1003,MATCH(A1249,'Holders'!$A$4:$A$1003,0)),""))</f>
        <v/>
      </c>
      <c r="L1249" s="30">
        <f>IF(OR(A1249="",B1249="",D1249=""),"",IF(D1249=_xlfn.MAXIFS($D$4:$D$2503,$A$4:$A$2503,A1249,$B$4:$B$2503,B1249),"Yes","No"))</f>
        <v/>
      </c>
      <c r="M1249" s="30">
        <f>IF(B1249="","",IFERROR(INDEX('Share classes'!$F$4:$F$203,MATCH(B1249,'Share classes'!$B$4:$B$203,0)),""))</f>
        <v/>
      </c>
      <c r="N1249" s="30">
        <f>IF(A1249="","",IF(K1249="","Unknown holder ID",IF(J1249="","Unknown class code",IF(OR(C1249="",D1249=""),"Missing shares or date",IF(OR(C1249&lt;0,C1249&lt;&gt;INT(C1249)),"Shares must be a whole number",IF(COUNTIFS($A$4:$A$2503,A1249,$B$4:$B$2503,B1249,$D$4:$D$2503,D1249)&gt;1,"Duplicate row (same date)","OK"))))))</f>
        <v/>
      </c>
    </row>
    <row r="1250">
      <c r="A1250" s="26" t="n"/>
      <c r="B1250" s="26" t="n"/>
      <c r="C1250" s="34" t="n"/>
      <c r="D1250" s="28" t="n"/>
      <c r="E1250" s="26" t="n"/>
      <c r="F1250" s="26" t="n"/>
      <c r="G1250" s="26" t="n"/>
      <c r="H1250" s="38" t="n"/>
      <c r="I1250" s="28" t="n"/>
      <c r="J1250" s="30">
        <f>IF(B1250="","",IFERROR(INDEX('Share classes'!$A$4:$A$203,MATCH(B1250,'Share classes'!$B$4:$B$203,0)),""))</f>
        <v/>
      </c>
      <c r="K1250" s="30">
        <f>IF(A1250="","",IFERROR(INDEX('Holders'!$B$4:$B$1003,MATCH(A1250,'Holders'!$A$4:$A$1003,0)),""))</f>
        <v/>
      </c>
      <c r="L1250" s="30">
        <f>IF(OR(A1250="",B1250="",D1250=""),"",IF(D1250=_xlfn.MAXIFS($D$4:$D$2503,$A$4:$A$2503,A1250,$B$4:$B$2503,B1250),"Yes","No"))</f>
        <v/>
      </c>
      <c r="M1250" s="30">
        <f>IF(B1250="","",IFERROR(INDEX('Share classes'!$F$4:$F$203,MATCH(B1250,'Share classes'!$B$4:$B$203,0)),""))</f>
        <v/>
      </c>
      <c r="N1250" s="30">
        <f>IF(A1250="","",IF(K1250="","Unknown holder ID",IF(J1250="","Unknown class code",IF(OR(C1250="",D1250=""),"Missing shares or date",IF(OR(C1250&lt;0,C1250&lt;&gt;INT(C1250)),"Shares must be a whole number",IF(COUNTIFS($A$4:$A$2503,A1250,$B$4:$B$2503,B1250,$D$4:$D$2503,D1250)&gt;1,"Duplicate row (same date)","OK"))))))</f>
        <v/>
      </c>
    </row>
    <row r="1251">
      <c r="A1251" s="26" t="n"/>
      <c r="B1251" s="26" t="n"/>
      <c r="C1251" s="34" t="n"/>
      <c r="D1251" s="28" t="n"/>
      <c r="E1251" s="26" t="n"/>
      <c r="F1251" s="26" t="n"/>
      <c r="G1251" s="26" t="n"/>
      <c r="H1251" s="38" t="n"/>
      <c r="I1251" s="28" t="n"/>
      <c r="J1251" s="30">
        <f>IF(B1251="","",IFERROR(INDEX('Share classes'!$A$4:$A$203,MATCH(B1251,'Share classes'!$B$4:$B$203,0)),""))</f>
        <v/>
      </c>
      <c r="K1251" s="30">
        <f>IF(A1251="","",IFERROR(INDEX('Holders'!$B$4:$B$1003,MATCH(A1251,'Holders'!$A$4:$A$1003,0)),""))</f>
        <v/>
      </c>
      <c r="L1251" s="30">
        <f>IF(OR(A1251="",B1251="",D1251=""),"",IF(D1251=_xlfn.MAXIFS($D$4:$D$2503,$A$4:$A$2503,A1251,$B$4:$B$2503,B1251),"Yes","No"))</f>
        <v/>
      </c>
      <c r="M1251" s="30">
        <f>IF(B1251="","",IFERROR(INDEX('Share classes'!$F$4:$F$203,MATCH(B1251,'Share classes'!$B$4:$B$203,0)),""))</f>
        <v/>
      </c>
      <c r="N1251" s="30">
        <f>IF(A1251="","",IF(K1251="","Unknown holder ID",IF(J1251="","Unknown class code",IF(OR(C1251="",D1251=""),"Missing shares or date",IF(OR(C1251&lt;0,C1251&lt;&gt;INT(C1251)),"Shares must be a whole number",IF(COUNTIFS($A$4:$A$2503,A1251,$B$4:$B$2503,B1251,$D$4:$D$2503,D1251)&gt;1,"Duplicate row (same date)","OK"))))))</f>
        <v/>
      </c>
    </row>
    <row r="1252">
      <c r="A1252" s="26" t="n"/>
      <c r="B1252" s="26" t="n"/>
      <c r="C1252" s="34" t="n"/>
      <c r="D1252" s="28" t="n"/>
      <c r="E1252" s="26" t="n"/>
      <c r="F1252" s="26" t="n"/>
      <c r="G1252" s="26" t="n"/>
      <c r="H1252" s="38" t="n"/>
      <c r="I1252" s="28" t="n"/>
      <c r="J1252" s="30">
        <f>IF(B1252="","",IFERROR(INDEX('Share classes'!$A$4:$A$203,MATCH(B1252,'Share classes'!$B$4:$B$203,0)),""))</f>
        <v/>
      </c>
      <c r="K1252" s="30">
        <f>IF(A1252="","",IFERROR(INDEX('Holders'!$B$4:$B$1003,MATCH(A1252,'Holders'!$A$4:$A$1003,0)),""))</f>
        <v/>
      </c>
      <c r="L1252" s="30">
        <f>IF(OR(A1252="",B1252="",D1252=""),"",IF(D1252=_xlfn.MAXIFS($D$4:$D$2503,$A$4:$A$2503,A1252,$B$4:$B$2503,B1252),"Yes","No"))</f>
        <v/>
      </c>
      <c r="M1252" s="30">
        <f>IF(B1252="","",IFERROR(INDEX('Share classes'!$F$4:$F$203,MATCH(B1252,'Share classes'!$B$4:$B$203,0)),""))</f>
        <v/>
      </c>
      <c r="N1252" s="30">
        <f>IF(A1252="","",IF(K1252="","Unknown holder ID",IF(J1252="","Unknown class code",IF(OR(C1252="",D1252=""),"Missing shares or date",IF(OR(C1252&lt;0,C1252&lt;&gt;INT(C1252)),"Shares must be a whole number",IF(COUNTIFS($A$4:$A$2503,A1252,$B$4:$B$2503,B1252,$D$4:$D$2503,D1252)&gt;1,"Duplicate row (same date)","OK"))))))</f>
        <v/>
      </c>
    </row>
    <row r="1253">
      <c r="A1253" s="26" t="n"/>
      <c r="B1253" s="26" t="n"/>
      <c r="C1253" s="34" t="n"/>
      <c r="D1253" s="28" t="n"/>
      <c r="E1253" s="26" t="n"/>
      <c r="F1253" s="26" t="n"/>
      <c r="G1253" s="26" t="n"/>
      <c r="H1253" s="38" t="n"/>
      <c r="I1253" s="28" t="n"/>
      <c r="J1253" s="30">
        <f>IF(B1253="","",IFERROR(INDEX('Share classes'!$A$4:$A$203,MATCH(B1253,'Share classes'!$B$4:$B$203,0)),""))</f>
        <v/>
      </c>
      <c r="K1253" s="30">
        <f>IF(A1253="","",IFERROR(INDEX('Holders'!$B$4:$B$1003,MATCH(A1253,'Holders'!$A$4:$A$1003,0)),""))</f>
        <v/>
      </c>
      <c r="L1253" s="30">
        <f>IF(OR(A1253="",B1253="",D1253=""),"",IF(D1253=_xlfn.MAXIFS($D$4:$D$2503,$A$4:$A$2503,A1253,$B$4:$B$2503,B1253),"Yes","No"))</f>
        <v/>
      </c>
      <c r="M1253" s="30">
        <f>IF(B1253="","",IFERROR(INDEX('Share classes'!$F$4:$F$203,MATCH(B1253,'Share classes'!$B$4:$B$203,0)),""))</f>
        <v/>
      </c>
      <c r="N1253" s="30">
        <f>IF(A1253="","",IF(K1253="","Unknown holder ID",IF(J1253="","Unknown class code",IF(OR(C1253="",D1253=""),"Missing shares or date",IF(OR(C1253&lt;0,C1253&lt;&gt;INT(C1253)),"Shares must be a whole number",IF(COUNTIFS($A$4:$A$2503,A1253,$B$4:$B$2503,B1253,$D$4:$D$2503,D1253)&gt;1,"Duplicate row (same date)","OK"))))))</f>
        <v/>
      </c>
    </row>
    <row r="1254">
      <c r="A1254" s="26" t="n"/>
      <c r="B1254" s="26" t="n"/>
      <c r="C1254" s="34" t="n"/>
      <c r="D1254" s="28" t="n"/>
      <c r="E1254" s="26" t="n"/>
      <c r="F1254" s="26" t="n"/>
      <c r="G1254" s="26" t="n"/>
      <c r="H1254" s="38" t="n"/>
      <c r="I1254" s="28" t="n"/>
      <c r="J1254" s="30">
        <f>IF(B1254="","",IFERROR(INDEX('Share classes'!$A$4:$A$203,MATCH(B1254,'Share classes'!$B$4:$B$203,0)),""))</f>
        <v/>
      </c>
      <c r="K1254" s="30">
        <f>IF(A1254="","",IFERROR(INDEX('Holders'!$B$4:$B$1003,MATCH(A1254,'Holders'!$A$4:$A$1003,0)),""))</f>
        <v/>
      </c>
      <c r="L1254" s="30">
        <f>IF(OR(A1254="",B1254="",D1254=""),"",IF(D1254=_xlfn.MAXIFS($D$4:$D$2503,$A$4:$A$2503,A1254,$B$4:$B$2503,B1254),"Yes","No"))</f>
        <v/>
      </c>
      <c r="M1254" s="30">
        <f>IF(B1254="","",IFERROR(INDEX('Share classes'!$F$4:$F$203,MATCH(B1254,'Share classes'!$B$4:$B$203,0)),""))</f>
        <v/>
      </c>
      <c r="N1254" s="30">
        <f>IF(A1254="","",IF(K1254="","Unknown holder ID",IF(J1254="","Unknown class code",IF(OR(C1254="",D1254=""),"Missing shares or date",IF(OR(C1254&lt;0,C1254&lt;&gt;INT(C1254)),"Shares must be a whole number",IF(COUNTIFS($A$4:$A$2503,A1254,$B$4:$B$2503,B1254,$D$4:$D$2503,D1254)&gt;1,"Duplicate row (same date)","OK"))))))</f>
        <v/>
      </c>
    </row>
    <row r="1255">
      <c r="A1255" s="26" t="n"/>
      <c r="B1255" s="26" t="n"/>
      <c r="C1255" s="34" t="n"/>
      <c r="D1255" s="28" t="n"/>
      <c r="E1255" s="26" t="n"/>
      <c r="F1255" s="26" t="n"/>
      <c r="G1255" s="26" t="n"/>
      <c r="H1255" s="38" t="n"/>
      <c r="I1255" s="28" t="n"/>
      <c r="J1255" s="30">
        <f>IF(B1255="","",IFERROR(INDEX('Share classes'!$A$4:$A$203,MATCH(B1255,'Share classes'!$B$4:$B$203,0)),""))</f>
        <v/>
      </c>
      <c r="K1255" s="30">
        <f>IF(A1255="","",IFERROR(INDEX('Holders'!$B$4:$B$1003,MATCH(A1255,'Holders'!$A$4:$A$1003,0)),""))</f>
        <v/>
      </c>
      <c r="L1255" s="30">
        <f>IF(OR(A1255="",B1255="",D1255=""),"",IF(D1255=_xlfn.MAXIFS($D$4:$D$2503,$A$4:$A$2503,A1255,$B$4:$B$2503,B1255),"Yes","No"))</f>
        <v/>
      </c>
      <c r="M1255" s="30">
        <f>IF(B1255="","",IFERROR(INDEX('Share classes'!$F$4:$F$203,MATCH(B1255,'Share classes'!$B$4:$B$203,0)),""))</f>
        <v/>
      </c>
      <c r="N1255" s="30">
        <f>IF(A1255="","",IF(K1255="","Unknown holder ID",IF(J1255="","Unknown class code",IF(OR(C1255="",D1255=""),"Missing shares or date",IF(OR(C1255&lt;0,C1255&lt;&gt;INT(C1255)),"Shares must be a whole number",IF(COUNTIFS($A$4:$A$2503,A1255,$B$4:$B$2503,B1255,$D$4:$D$2503,D1255)&gt;1,"Duplicate row (same date)","OK"))))))</f>
        <v/>
      </c>
    </row>
    <row r="1256">
      <c r="A1256" s="26" t="n"/>
      <c r="B1256" s="26" t="n"/>
      <c r="C1256" s="34" t="n"/>
      <c r="D1256" s="28" t="n"/>
      <c r="E1256" s="26" t="n"/>
      <c r="F1256" s="26" t="n"/>
      <c r="G1256" s="26" t="n"/>
      <c r="H1256" s="38" t="n"/>
      <c r="I1256" s="28" t="n"/>
      <c r="J1256" s="30">
        <f>IF(B1256="","",IFERROR(INDEX('Share classes'!$A$4:$A$203,MATCH(B1256,'Share classes'!$B$4:$B$203,0)),""))</f>
        <v/>
      </c>
      <c r="K1256" s="30">
        <f>IF(A1256="","",IFERROR(INDEX('Holders'!$B$4:$B$1003,MATCH(A1256,'Holders'!$A$4:$A$1003,0)),""))</f>
        <v/>
      </c>
      <c r="L1256" s="30">
        <f>IF(OR(A1256="",B1256="",D1256=""),"",IF(D1256=_xlfn.MAXIFS($D$4:$D$2503,$A$4:$A$2503,A1256,$B$4:$B$2503,B1256),"Yes","No"))</f>
        <v/>
      </c>
      <c r="M1256" s="30">
        <f>IF(B1256="","",IFERROR(INDEX('Share classes'!$F$4:$F$203,MATCH(B1256,'Share classes'!$B$4:$B$203,0)),""))</f>
        <v/>
      </c>
      <c r="N1256" s="30">
        <f>IF(A1256="","",IF(K1256="","Unknown holder ID",IF(J1256="","Unknown class code",IF(OR(C1256="",D1256=""),"Missing shares or date",IF(OR(C1256&lt;0,C1256&lt;&gt;INT(C1256)),"Shares must be a whole number",IF(COUNTIFS($A$4:$A$2503,A1256,$B$4:$B$2503,B1256,$D$4:$D$2503,D1256)&gt;1,"Duplicate row (same date)","OK"))))))</f>
        <v/>
      </c>
    </row>
    <row r="1257">
      <c r="A1257" s="26" t="n"/>
      <c r="B1257" s="26" t="n"/>
      <c r="C1257" s="34" t="n"/>
      <c r="D1257" s="28" t="n"/>
      <c r="E1257" s="26" t="n"/>
      <c r="F1257" s="26" t="n"/>
      <c r="G1257" s="26" t="n"/>
      <c r="H1257" s="38" t="n"/>
      <c r="I1257" s="28" t="n"/>
      <c r="J1257" s="30">
        <f>IF(B1257="","",IFERROR(INDEX('Share classes'!$A$4:$A$203,MATCH(B1257,'Share classes'!$B$4:$B$203,0)),""))</f>
        <v/>
      </c>
      <c r="K1257" s="30">
        <f>IF(A1257="","",IFERROR(INDEX('Holders'!$B$4:$B$1003,MATCH(A1257,'Holders'!$A$4:$A$1003,0)),""))</f>
        <v/>
      </c>
      <c r="L1257" s="30">
        <f>IF(OR(A1257="",B1257="",D1257=""),"",IF(D1257=_xlfn.MAXIFS($D$4:$D$2503,$A$4:$A$2503,A1257,$B$4:$B$2503,B1257),"Yes","No"))</f>
        <v/>
      </c>
      <c r="M1257" s="30">
        <f>IF(B1257="","",IFERROR(INDEX('Share classes'!$F$4:$F$203,MATCH(B1257,'Share classes'!$B$4:$B$203,0)),""))</f>
        <v/>
      </c>
      <c r="N1257" s="30">
        <f>IF(A1257="","",IF(K1257="","Unknown holder ID",IF(J1257="","Unknown class code",IF(OR(C1257="",D1257=""),"Missing shares or date",IF(OR(C1257&lt;0,C1257&lt;&gt;INT(C1257)),"Shares must be a whole number",IF(COUNTIFS($A$4:$A$2503,A1257,$B$4:$B$2503,B1257,$D$4:$D$2503,D1257)&gt;1,"Duplicate row (same date)","OK"))))))</f>
        <v/>
      </c>
    </row>
    <row r="1258">
      <c r="A1258" s="26" t="n"/>
      <c r="B1258" s="26" t="n"/>
      <c r="C1258" s="34" t="n"/>
      <c r="D1258" s="28" t="n"/>
      <c r="E1258" s="26" t="n"/>
      <c r="F1258" s="26" t="n"/>
      <c r="G1258" s="26" t="n"/>
      <c r="H1258" s="38" t="n"/>
      <c r="I1258" s="28" t="n"/>
      <c r="J1258" s="30">
        <f>IF(B1258="","",IFERROR(INDEX('Share classes'!$A$4:$A$203,MATCH(B1258,'Share classes'!$B$4:$B$203,0)),""))</f>
        <v/>
      </c>
      <c r="K1258" s="30">
        <f>IF(A1258="","",IFERROR(INDEX('Holders'!$B$4:$B$1003,MATCH(A1258,'Holders'!$A$4:$A$1003,0)),""))</f>
        <v/>
      </c>
      <c r="L1258" s="30">
        <f>IF(OR(A1258="",B1258="",D1258=""),"",IF(D1258=_xlfn.MAXIFS($D$4:$D$2503,$A$4:$A$2503,A1258,$B$4:$B$2503,B1258),"Yes","No"))</f>
        <v/>
      </c>
      <c r="M1258" s="30">
        <f>IF(B1258="","",IFERROR(INDEX('Share classes'!$F$4:$F$203,MATCH(B1258,'Share classes'!$B$4:$B$203,0)),""))</f>
        <v/>
      </c>
      <c r="N1258" s="30">
        <f>IF(A1258="","",IF(K1258="","Unknown holder ID",IF(J1258="","Unknown class code",IF(OR(C1258="",D1258=""),"Missing shares or date",IF(OR(C1258&lt;0,C1258&lt;&gt;INT(C1258)),"Shares must be a whole number",IF(COUNTIFS($A$4:$A$2503,A1258,$B$4:$B$2503,B1258,$D$4:$D$2503,D1258)&gt;1,"Duplicate row (same date)","OK"))))))</f>
        <v/>
      </c>
    </row>
    <row r="1259">
      <c r="A1259" s="26" t="n"/>
      <c r="B1259" s="26" t="n"/>
      <c r="C1259" s="34" t="n"/>
      <c r="D1259" s="28" t="n"/>
      <c r="E1259" s="26" t="n"/>
      <c r="F1259" s="26" t="n"/>
      <c r="G1259" s="26" t="n"/>
      <c r="H1259" s="38" t="n"/>
      <c r="I1259" s="28" t="n"/>
      <c r="J1259" s="30">
        <f>IF(B1259="","",IFERROR(INDEX('Share classes'!$A$4:$A$203,MATCH(B1259,'Share classes'!$B$4:$B$203,0)),""))</f>
        <v/>
      </c>
      <c r="K1259" s="30">
        <f>IF(A1259="","",IFERROR(INDEX('Holders'!$B$4:$B$1003,MATCH(A1259,'Holders'!$A$4:$A$1003,0)),""))</f>
        <v/>
      </c>
      <c r="L1259" s="30">
        <f>IF(OR(A1259="",B1259="",D1259=""),"",IF(D1259=_xlfn.MAXIFS($D$4:$D$2503,$A$4:$A$2503,A1259,$B$4:$B$2503,B1259),"Yes","No"))</f>
        <v/>
      </c>
      <c r="M1259" s="30">
        <f>IF(B1259="","",IFERROR(INDEX('Share classes'!$F$4:$F$203,MATCH(B1259,'Share classes'!$B$4:$B$203,0)),""))</f>
        <v/>
      </c>
      <c r="N1259" s="30">
        <f>IF(A1259="","",IF(K1259="","Unknown holder ID",IF(J1259="","Unknown class code",IF(OR(C1259="",D1259=""),"Missing shares or date",IF(OR(C1259&lt;0,C1259&lt;&gt;INT(C1259)),"Shares must be a whole number",IF(COUNTIFS($A$4:$A$2503,A1259,$B$4:$B$2503,B1259,$D$4:$D$2503,D1259)&gt;1,"Duplicate row (same date)","OK"))))))</f>
        <v/>
      </c>
    </row>
    <row r="1260">
      <c r="A1260" s="26" t="n"/>
      <c r="B1260" s="26" t="n"/>
      <c r="C1260" s="34" t="n"/>
      <c r="D1260" s="28" t="n"/>
      <c r="E1260" s="26" t="n"/>
      <c r="F1260" s="26" t="n"/>
      <c r="G1260" s="26" t="n"/>
      <c r="H1260" s="38" t="n"/>
      <c r="I1260" s="28" t="n"/>
      <c r="J1260" s="30">
        <f>IF(B1260="","",IFERROR(INDEX('Share classes'!$A$4:$A$203,MATCH(B1260,'Share classes'!$B$4:$B$203,0)),""))</f>
        <v/>
      </c>
      <c r="K1260" s="30">
        <f>IF(A1260="","",IFERROR(INDEX('Holders'!$B$4:$B$1003,MATCH(A1260,'Holders'!$A$4:$A$1003,0)),""))</f>
        <v/>
      </c>
      <c r="L1260" s="30">
        <f>IF(OR(A1260="",B1260="",D1260=""),"",IF(D1260=_xlfn.MAXIFS($D$4:$D$2503,$A$4:$A$2503,A1260,$B$4:$B$2503,B1260),"Yes","No"))</f>
        <v/>
      </c>
      <c r="M1260" s="30">
        <f>IF(B1260="","",IFERROR(INDEX('Share classes'!$F$4:$F$203,MATCH(B1260,'Share classes'!$B$4:$B$203,0)),""))</f>
        <v/>
      </c>
      <c r="N1260" s="30">
        <f>IF(A1260="","",IF(K1260="","Unknown holder ID",IF(J1260="","Unknown class code",IF(OR(C1260="",D1260=""),"Missing shares or date",IF(OR(C1260&lt;0,C1260&lt;&gt;INT(C1260)),"Shares must be a whole number",IF(COUNTIFS($A$4:$A$2503,A1260,$B$4:$B$2503,B1260,$D$4:$D$2503,D1260)&gt;1,"Duplicate row (same date)","OK"))))))</f>
        <v/>
      </c>
    </row>
    <row r="1261">
      <c r="A1261" s="26" t="n"/>
      <c r="B1261" s="26" t="n"/>
      <c r="C1261" s="34" t="n"/>
      <c r="D1261" s="28" t="n"/>
      <c r="E1261" s="26" t="n"/>
      <c r="F1261" s="26" t="n"/>
      <c r="G1261" s="26" t="n"/>
      <c r="H1261" s="38" t="n"/>
      <c r="I1261" s="28" t="n"/>
      <c r="J1261" s="30">
        <f>IF(B1261="","",IFERROR(INDEX('Share classes'!$A$4:$A$203,MATCH(B1261,'Share classes'!$B$4:$B$203,0)),""))</f>
        <v/>
      </c>
      <c r="K1261" s="30">
        <f>IF(A1261="","",IFERROR(INDEX('Holders'!$B$4:$B$1003,MATCH(A1261,'Holders'!$A$4:$A$1003,0)),""))</f>
        <v/>
      </c>
      <c r="L1261" s="30">
        <f>IF(OR(A1261="",B1261="",D1261=""),"",IF(D1261=_xlfn.MAXIFS($D$4:$D$2503,$A$4:$A$2503,A1261,$B$4:$B$2503,B1261),"Yes","No"))</f>
        <v/>
      </c>
      <c r="M1261" s="30">
        <f>IF(B1261="","",IFERROR(INDEX('Share classes'!$F$4:$F$203,MATCH(B1261,'Share classes'!$B$4:$B$203,0)),""))</f>
        <v/>
      </c>
      <c r="N1261" s="30">
        <f>IF(A1261="","",IF(K1261="","Unknown holder ID",IF(J1261="","Unknown class code",IF(OR(C1261="",D1261=""),"Missing shares or date",IF(OR(C1261&lt;0,C1261&lt;&gt;INT(C1261)),"Shares must be a whole number",IF(COUNTIFS($A$4:$A$2503,A1261,$B$4:$B$2503,B1261,$D$4:$D$2503,D1261)&gt;1,"Duplicate row (same date)","OK"))))))</f>
        <v/>
      </c>
    </row>
    <row r="1262">
      <c r="A1262" s="26" t="n"/>
      <c r="B1262" s="26" t="n"/>
      <c r="C1262" s="34" t="n"/>
      <c r="D1262" s="28" t="n"/>
      <c r="E1262" s="26" t="n"/>
      <c r="F1262" s="26" t="n"/>
      <c r="G1262" s="26" t="n"/>
      <c r="H1262" s="38" t="n"/>
      <c r="I1262" s="28" t="n"/>
      <c r="J1262" s="30">
        <f>IF(B1262="","",IFERROR(INDEX('Share classes'!$A$4:$A$203,MATCH(B1262,'Share classes'!$B$4:$B$203,0)),""))</f>
        <v/>
      </c>
      <c r="K1262" s="30">
        <f>IF(A1262="","",IFERROR(INDEX('Holders'!$B$4:$B$1003,MATCH(A1262,'Holders'!$A$4:$A$1003,0)),""))</f>
        <v/>
      </c>
      <c r="L1262" s="30">
        <f>IF(OR(A1262="",B1262="",D1262=""),"",IF(D1262=_xlfn.MAXIFS($D$4:$D$2503,$A$4:$A$2503,A1262,$B$4:$B$2503,B1262),"Yes","No"))</f>
        <v/>
      </c>
      <c r="M1262" s="30">
        <f>IF(B1262="","",IFERROR(INDEX('Share classes'!$F$4:$F$203,MATCH(B1262,'Share classes'!$B$4:$B$203,0)),""))</f>
        <v/>
      </c>
      <c r="N1262" s="30">
        <f>IF(A1262="","",IF(K1262="","Unknown holder ID",IF(J1262="","Unknown class code",IF(OR(C1262="",D1262=""),"Missing shares or date",IF(OR(C1262&lt;0,C1262&lt;&gt;INT(C1262)),"Shares must be a whole number",IF(COUNTIFS($A$4:$A$2503,A1262,$B$4:$B$2503,B1262,$D$4:$D$2503,D1262)&gt;1,"Duplicate row (same date)","OK"))))))</f>
        <v/>
      </c>
    </row>
    <row r="1263">
      <c r="A1263" s="26" t="n"/>
      <c r="B1263" s="26" t="n"/>
      <c r="C1263" s="34" t="n"/>
      <c r="D1263" s="28" t="n"/>
      <c r="E1263" s="26" t="n"/>
      <c r="F1263" s="26" t="n"/>
      <c r="G1263" s="26" t="n"/>
      <c r="H1263" s="38" t="n"/>
      <c r="I1263" s="28" t="n"/>
      <c r="J1263" s="30">
        <f>IF(B1263="","",IFERROR(INDEX('Share classes'!$A$4:$A$203,MATCH(B1263,'Share classes'!$B$4:$B$203,0)),""))</f>
        <v/>
      </c>
      <c r="K1263" s="30">
        <f>IF(A1263="","",IFERROR(INDEX('Holders'!$B$4:$B$1003,MATCH(A1263,'Holders'!$A$4:$A$1003,0)),""))</f>
        <v/>
      </c>
      <c r="L1263" s="30">
        <f>IF(OR(A1263="",B1263="",D1263=""),"",IF(D1263=_xlfn.MAXIFS($D$4:$D$2503,$A$4:$A$2503,A1263,$B$4:$B$2503,B1263),"Yes","No"))</f>
        <v/>
      </c>
      <c r="M1263" s="30">
        <f>IF(B1263="","",IFERROR(INDEX('Share classes'!$F$4:$F$203,MATCH(B1263,'Share classes'!$B$4:$B$203,0)),""))</f>
        <v/>
      </c>
      <c r="N1263" s="30">
        <f>IF(A1263="","",IF(K1263="","Unknown holder ID",IF(J1263="","Unknown class code",IF(OR(C1263="",D1263=""),"Missing shares or date",IF(OR(C1263&lt;0,C1263&lt;&gt;INT(C1263)),"Shares must be a whole number",IF(COUNTIFS($A$4:$A$2503,A1263,$B$4:$B$2503,B1263,$D$4:$D$2503,D1263)&gt;1,"Duplicate row (same date)","OK"))))))</f>
        <v/>
      </c>
    </row>
    <row r="1264">
      <c r="A1264" s="26" t="n"/>
      <c r="B1264" s="26" t="n"/>
      <c r="C1264" s="34" t="n"/>
      <c r="D1264" s="28" t="n"/>
      <c r="E1264" s="26" t="n"/>
      <c r="F1264" s="26" t="n"/>
      <c r="G1264" s="26" t="n"/>
      <c r="H1264" s="38" t="n"/>
      <c r="I1264" s="28" t="n"/>
      <c r="J1264" s="30">
        <f>IF(B1264="","",IFERROR(INDEX('Share classes'!$A$4:$A$203,MATCH(B1264,'Share classes'!$B$4:$B$203,0)),""))</f>
        <v/>
      </c>
      <c r="K1264" s="30">
        <f>IF(A1264="","",IFERROR(INDEX('Holders'!$B$4:$B$1003,MATCH(A1264,'Holders'!$A$4:$A$1003,0)),""))</f>
        <v/>
      </c>
      <c r="L1264" s="30">
        <f>IF(OR(A1264="",B1264="",D1264=""),"",IF(D1264=_xlfn.MAXIFS($D$4:$D$2503,$A$4:$A$2503,A1264,$B$4:$B$2503,B1264),"Yes","No"))</f>
        <v/>
      </c>
      <c r="M1264" s="30">
        <f>IF(B1264="","",IFERROR(INDEX('Share classes'!$F$4:$F$203,MATCH(B1264,'Share classes'!$B$4:$B$203,0)),""))</f>
        <v/>
      </c>
      <c r="N1264" s="30">
        <f>IF(A1264="","",IF(K1264="","Unknown holder ID",IF(J1264="","Unknown class code",IF(OR(C1264="",D1264=""),"Missing shares or date",IF(OR(C1264&lt;0,C1264&lt;&gt;INT(C1264)),"Shares must be a whole number",IF(COUNTIFS($A$4:$A$2503,A1264,$B$4:$B$2503,B1264,$D$4:$D$2503,D1264)&gt;1,"Duplicate row (same date)","OK"))))))</f>
        <v/>
      </c>
    </row>
    <row r="1265">
      <c r="A1265" s="26" t="n"/>
      <c r="B1265" s="26" t="n"/>
      <c r="C1265" s="34" t="n"/>
      <c r="D1265" s="28" t="n"/>
      <c r="E1265" s="26" t="n"/>
      <c r="F1265" s="26" t="n"/>
      <c r="G1265" s="26" t="n"/>
      <c r="H1265" s="38" t="n"/>
      <c r="I1265" s="28" t="n"/>
      <c r="J1265" s="30">
        <f>IF(B1265="","",IFERROR(INDEX('Share classes'!$A$4:$A$203,MATCH(B1265,'Share classes'!$B$4:$B$203,0)),""))</f>
        <v/>
      </c>
      <c r="K1265" s="30">
        <f>IF(A1265="","",IFERROR(INDEX('Holders'!$B$4:$B$1003,MATCH(A1265,'Holders'!$A$4:$A$1003,0)),""))</f>
        <v/>
      </c>
      <c r="L1265" s="30">
        <f>IF(OR(A1265="",B1265="",D1265=""),"",IF(D1265=_xlfn.MAXIFS($D$4:$D$2503,$A$4:$A$2503,A1265,$B$4:$B$2503,B1265),"Yes","No"))</f>
        <v/>
      </c>
      <c r="M1265" s="30">
        <f>IF(B1265="","",IFERROR(INDEX('Share classes'!$F$4:$F$203,MATCH(B1265,'Share classes'!$B$4:$B$203,0)),""))</f>
        <v/>
      </c>
      <c r="N1265" s="30">
        <f>IF(A1265="","",IF(K1265="","Unknown holder ID",IF(J1265="","Unknown class code",IF(OR(C1265="",D1265=""),"Missing shares or date",IF(OR(C1265&lt;0,C1265&lt;&gt;INT(C1265)),"Shares must be a whole number",IF(COUNTIFS($A$4:$A$2503,A1265,$B$4:$B$2503,B1265,$D$4:$D$2503,D1265)&gt;1,"Duplicate row (same date)","OK"))))))</f>
        <v/>
      </c>
    </row>
    <row r="1266">
      <c r="A1266" s="26" t="n"/>
      <c r="B1266" s="26" t="n"/>
      <c r="C1266" s="34" t="n"/>
      <c r="D1266" s="28" t="n"/>
      <c r="E1266" s="26" t="n"/>
      <c r="F1266" s="26" t="n"/>
      <c r="G1266" s="26" t="n"/>
      <c r="H1266" s="38" t="n"/>
      <c r="I1266" s="28" t="n"/>
      <c r="J1266" s="30">
        <f>IF(B1266="","",IFERROR(INDEX('Share classes'!$A$4:$A$203,MATCH(B1266,'Share classes'!$B$4:$B$203,0)),""))</f>
        <v/>
      </c>
      <c r="K1266" s="30">
        <f>IF(A1266="","",IFERROR(INDEX('Holders'!$B$4:$B$1003,MATCH(A1266,'Holders'!$A$4:$A$1003,0)),""))</f>
        <v/>
      </c>
      <c r="L1266" s="30">
        <f>IF(OR(A1266="",B1266="",D1266=""),"",IF(D1266=_xlfn.MAXIFS($D$4:$D$2503,$A$4:$A$2503,A1266,$B$4:$B$2503,B1266),"Yes","No"))</f>
        <v/>
      </c>
      <c r="M1266" s="30">
        <f>IF(B1266="","",IFERROR(INDEX('Share classes'!$F$4:$F$203,MATCH(B1266,'Share classes'!$B$4:$B$203,0)),""))</f>
        <v/>
      </c>
      <c r="N1266" s="30">
        <f>IF(A1266="","",IF(K1266="","Unknown holder ID",IF(J1266="","Unknown class code",IF(OR(C1266="",D1266=""),"Missing shares or date",IF(OR(C1266&lt;0,C1266&lt;&gt;INT(C1266)),"Shares must be a whole number",IF(COUNTIFS($A$4:$A$2503,A1266,$B$4:$B$2503,B1266,$D$4:$D$2503,D1266)&gt;1,"Duplicate row (same date)","OK"))))))</f>
        <v/>
      </c>
    </row>
    <row r="1267">
      <c r="A1267" s="26" t="n"/>
      <c r="B1267" s="26" t="n"/>
      <c r="C1267" s="34" t="n"/>
      <c r="D1267" s="28" t="n"/>
      <c r="E1267" s="26" t="n"/>
      <c r="F1267" s="26" t="n"/>
      <c r="G1267" s="26" t="n"/>
      <c r="H1267" s="38" t="n"/>
      <c r="I1267" s="28" t="n"/>
      <c r="J1267" s="30">
        <f>IF(B1267="","",IFERROR(INDEX('Share classes'!$A$4:$A$203,MATCH(B1267,'Share classes'!$B$4:$B$203,0)),""))</f>
        <v/>
      </c>
      <c r="K1267" s="30">
        <f>IF(A1267="","",IFERROR(INDEX('Holders'!$B$4:$B$1003,MATCH(A1267,'Holders'!$A$4:$A$1003,0)),""))</f>
        <v/>
      </c>
      <c r="L1267" s="30">
        <f>IF(OR(A1267="",B1267="",D1267=""),"",IF(D1267=_xlfn.MAXIFS($D$4:$D$2503,$A$4:$A$2503,A1267,$B$4:$B$2503,B1267),"Yes","No"))</f>
        <v/>
      </c>
      <c r="M1267" s="30">
        <f>IF(B1267="","",IFERROR(INDEX('Share classes'!$F$4:$F$203,MATCH(B1267,'Share classes'!$B$4:$B$203,0)),""))</f>
        <v/>
      </c>
      <c r="N1267" s="30">
        <f>IF(A1267="","",IF(K1267="","Unknown holder ID",IF(J1267="","Unknown class code",IF(OR(C1267="",D1267=""),"Missing shares or date",IF(OR(C1267&lt;0,C1267&lt;&gt;INT(C1267)),"Shares must be a whole number",IF(COUNTIFS($A$4:$A$2503,A1267,$B$4:$B$2503,B1267,$D$4:$D$2503,D1267)&gt;1,"Duplicate row (same date)","OK"))))))</f>
        <v/>
      </c>
    </row>
    <row r="1268">
      <c r="A1268" s="26" t="n"/>
      <c r="B1268" s="26" t="n"/>
      <c r="C1268" s="34" t="n"/>
      <c r="D1268" s="28" t="n"/>
      <c r="E1268" s="26" t="n"/>
      <c r="F1268" s="26" t="n"/>
      <c r="G1268" s="26" t="n"/>
      <c r="H1268" s="38" t="n"/>
      <c r="I1268" s="28" t="n"/>
      <c r="J1268" s="30">
        <f>IF(B1268="","",IFERROR(INDEX('Share classes'!$A$4:$A$203,MATCH(B1268,'Share classes'!$B$4:$B$203,0)),""))</f>
        <v/>
      </c>
      <c r="K1268" s="30">
        <f>IF(A1268="","",IFERROR(INDEX('Holders'!$B$4:$B$1003,MATCH(A1268,'Holders'!$A$4:$A$1003,0)),""))</f>
        <v/>
      </c>
      <c r="L1268" s="30">
        <f>IF(OR(A1268="",B1268="",D1268=""),"",IF(D1268=_xlfn.MAXIFS($D$4:$D$2503,$A$4:$A$2503,A1268,$B$4:$B$2503,B1268),"Yes","No"))</f>
        <v/>
      </c>
      <c r="M1268" s="30">
        <f>IF(B1268="","",IFERROR(INDEX('Share classes'!$F$4:$F$203,MATCH(B1268,'Share classes'!$B$4:$B$203,0)),""))</f>
        <v/>
      </c>
      <c r="N1268" s="30">
        <f>IF(A1268="","",IF(K1268="","Unknown holder ID",IF(J1268="","Unknown class code",IF(OR(C1268="",D1268=""),"Missing shares or date",IF(OR(C1268&lt;0,C1268&lt;&gt;INT(C1268)),"Shares must be a whole number",IF(COUNTIFS($A$4:$A$2503,A1268,$B$4:$B$2503,B1268,$D$4:$D$2503,D1268)&gt;1,"Duplicate row (same date)","OK"))))))</f>
        <v/>
      </c>
    </row>
    <row r="1269">
      <c r="A1269" s="26" t="n"/>
      <c r="B1269" s="26" t="n"/>
      <c r="C1269" s="34" t="n"/>
      <c r="D1269" s="28" t="n"/>
      <c r="E1269" s="26" t="n"/>
      <c r="F1269" s="26" t="n"/>
      <c r="G1269" s="26" t="n"/>
      <c r="H1269" s="38" t="n"/>
      <c r="I1269" s="28" t="n"/>
      <c r="J1269" s="30">
        <f>IF(B1269="","",IFERROR(INDEX('Share classes'!$A$4:$A$203,MATCH(B1269,'Share classes'!$B$4:$B$203,0)),""))</f>
        <v/>
      </c>
      <c r="K1269" s="30">
        <f>IF(A1269="","",IFERROR(INDEX('Holders'!$B$4:$B$1003,MATCH(A1269,'Holders'!$A$4:$A$1003,0)),""))</f>
        <v/>
      </c>
      <c r="L1269" s="30">
        <f>IF(OR(A1269="",B1269="",D1269=""),"",IF(D1269=_xlfn.MAXIFS($D$4:$D$2503,$A$4:$A$2503,A1269,$B$4:$B$2503,B1269),"Yes","No"))</f>
        <v/>
      </c>
      <c r="M1269" s="30">
        <f>IF(B1269="","",IFERROR(INDEX('Share classes'!$F$4:$F$203,MATCH(B1269,'Share classes'!$B$4:$B$203,0)),""))</f>
        <v/>
      </c>
      <c r="N1269" s="30">
        <f>IF(A1269="","",IF(K1269="","Unknown holder ID",IF(J1269="","Unknown class code",IF(OR(C1269="",D1269=""),"Missing shares or date",IF(OR(C1269&lt;0,C1269&lt;&gt;INT(C1269)),"Shares must be a whole number",IF(COUNTIFS($A$4:$A$2503,A1269,$B$4:$B$2503,B1269,$D$4:$D$2503,D1269)&gt;1,"Duplicate row (same date)","OK"))))))</f>
        <v/>
      </c>
    </row>
    <row r="1270">
      <c r="A1270" s="26" t="n"/>
      <c r="B1270" s="26" t="n"/>
      <c r="C1270" s="34" t="n"/>
      <c r="D1270" s="28" t="n"/>
      <c r="E1270" s="26" t="n"/>
      <c r="F1270" s="26" t="n"/>
      <c r="G1270" s="26" t="n"/>
      <c r="H1270" s="38" t="n"/>
      <c r="I1270" s="28" t="n"/>
      <c r="J1270" s="30">
        <f>IF(B1270="","",IFERROR(INDEX('Share classes'!$A$4:$A$203,MATCH(B1270,'Share classes'!$B$4:$B$203,0)),""))</f>
        <v/>
      </c>
      <c r="K1270" s="30">
        <f>IF(A1270="","",IFERROR(INDEX('Holders'!$B$4:$B$1003,MATCH(A1270,'Holders'!$A$4:$A$1003,0)),""))</f>
        <v/>
      </c>
      <c r="L1270" s="30">
        <f>IF(OR(A1270="",B1270="",D1270=""),"",IF(D1270=_xlfn.MAXIFS($D$4:$D$2503,$A$4:$A$2503,A1270,$B$4:$B$2503,B1270),"Yes","No"))</f>
        <v/>
      </c>
      <c r="M1270" s="30">
        <f>IF(B1270="","",IFERROR(INDEX('Share classes'!$F$4:$F$203,MATCH(B1270,'Share classes'!$B$4:$B$203,0)),""))</f>
        <v/>
      </c>
      <c r="N1270" s="30">
        <f>IF(A1270="","",IF(K1270="","Unknown holder ID",IF(J1270="","Unknown class code",IF(OR(C1270="",D1270=""),"Missing shares or date",IF(OR(C1270&lt;0,C1270&lt;&gt;INT(C1270)),"Shares must be a whole number",IF(COUNTIFS($A$4:$A$2503,A1270,$B$4:$B$2503,B1270,$D$4:$D$2503,D1270)&gt;1,"Duplicate row (same date)","OK"))))))</f>
        <v/>
      </c>
    </row>
    <row r="1271">
      <c r="A1271" s="26" t="n"/>
      <c r="B1271" s="26" t="n"/>
      <c r="C1271" s="34" t="n"/>
      <c r="D1271" s="28" t="n"/>
      <c r="E1271" s="26" t="n"/>
      <c r="F1271" s="26" t="n"/>
      <c r="G1271" s="26" t="n"/>
      <c r="H1271" s="38" t="n"/>
      <c r="I1271" s="28" t="n"/>
      <c r="J1271" s="30">
        <f>IF(B1271="","",IFERROR(INDEX('Share classes'!$A$4:$A$203,MATCH(B1271,'Share classes'!$B$4:$B$203,0)),""))</f>
        <v/>
      </c>
      <c r="K1271" s="30">
        <f>IF(A1271="","",IFERROR(INDEX('Holders'!$B$4:$B$1003,MATCH(A1271,'Holders'!$A$4:$A$1003,0)),""))</f>
        <v/>
      </c>
      <c r="L1271" s="30">
        <f>IF(OR(A1271="",B1271="",D1271=""),"",IF(D1271=_xlfn.MAXIFS($D$4:$D$2503,$A$4:$A$2503,A1271,$B$4:$B$2503,B1271),"Yes","No"))</f>
        <v/>
      </c>
      <c r="M1271" s="30">
        <f>IF(B1271="","",IFERROR(INDEX('Share classes'!$F$4:$F$203,MATCH(B1271,'Share classes'!$B$4:$B$203,0)),""))</f>
        <v/>
      </c>
      <c r="N1271" s="30">
        <f>IF(A1271="","",IF(K1271="","Unknown holder ID",IF(J1271="","Unknown class code",IF(OR(C1271="",D1271=""),"Missing shares or date",IF(OR(C1271&lt;0,C1271&lt;&gt;INT(C1271)),"Shares must be a whole number",IF(COUNTIFS($A$4:$A$2503,A1271,$B$4:$B$2503,B1271,$D$4:$D$2503,D1271)&gt;1,"Duplicate row (same date)","OK"))))))</f>
        <v/>
      </c>
    </row>
    <row r="1272">
      <c r="A1272" s="26" t="n"/>
      <c r="B1272" s="26" t="n"/>
      <c r="C1272" s="34" t="n"/>
      <c r="D1272" s="28" t="n"/>
      <c r="E1272" s="26" t="n"/>
      <c r="F1272" s="26" t="n"/>
      <c r="G1272" s="26" t="n"/>
      <c r="H1272" s="38" t="n"/>
      <c r="I1272" s="28" t="n"/>
      <c r="J1272" s="30">
        <f>IF(B1272="","",IFERROR(INDEX('Share classes'!$A$4:$A$203,MATCH(B1272,'Share classes'!$B$4:$B$203,0)),""))</f>
        <v/>
      </c>
      <c r="K1272" s="30">
        <f>IF(A1272="","",IFERROR(INDEX('Holders'!$B$4:$B$1003,MATCH(A1272,'Holders'!$A$4:$A$1003,0)),""))</f>
        <v/>
      </c>
      <c r="L1272" s="30">
        <f>IF(OR(A1272="",B1272="",D1272=""),"",IF(D1272=_xlfn.MAXIFS($D$4:$D$2503,$A$4:$A$2503,A1272,$B$4:$B$2503,B1272),"Yes","No"))</f>
        <v/>
      </c>
      <c r="M1272" s="30">
        <f>IF(B1272="","",IFERROR(INDEX('Share classes'!$F$4:$F$203,MATCH(B1272,'Share classes'!$B$4:$B$203,0)),""))</f>
        <v/>
      </c>
      <c r="N1272" s="30">
        <f>IF(A1272="","",IF(K1272="","Unknown holder ID",IF(J1272="","Unknown class code",IF(OR(C1272="",D1272=""),"Missing shares or date",IF(OR(C1272&lt;0,C1272&lt;&gt;INT(C1272)),"Shares must be a whole number",IF(COUNTIFS($A$4:$A$2503,A1272,$B$4:$B$2503,B1272,$D$4:$D$2503,D1272)&gt;1,"Duplicate row (same date)","OK"))))))</f>
        <v/>
      </c>
    </row>
    <row r="1273">
      <c r="A1273" s="26" t="n"/>
      <c r="B1273" s="26" t="n"/>
      <c r="C1273" s="34" t="n"/>
      <c r="D1273" s="28" t="n"/>
      <c r="E1273" s="26" t="n"/>
      <c r="F1273" s="26" t="n"/>
      <c r="G1273" s="26" t="n"/>
      <c r="H1273" s="38" t="n"/>
      <c r="I1273" s="28" t="n"/>
      <c r="J1273" s="30">
        <f>IF(B1273="","",IFERROR(INDEX('Share classes'!$A$4:$A$203,MATCH(B1273,'Share classes'!$B$4:$B$203,0)),""))</f>
        <v/>
      </c>
      <c r="K1273" s="30">
        <f>IF(A1273="","",IFERROR(INDEX('Holders'!$B$4:$B$1003,MATCH(A1273,'Holders'!$A$4:$A$1003,0)),""))</f>
        <v/>
      </c>
      <c r="L1273" s="30">
        <f>IF(OR(A1273="",B1273="",D1273=""),"",IF(D1273=_xlfn.MAXIFS($D$4:$D$2503,$A$4:$A$2503,A1273,$B$4:$B$2503,B1273),"Yes","No"))</f>
        <v/>
      </c>
      <c r="M1273" s="30">
        <f>IF(B1273="","",IFERROR(INDEX('Share classes'!$F$4:$F$203,MATCH(B1273,'Share classes'!$B$4:$B$203,0)),""))</f>
        <v/>
      </c>
      <c r="N1273" s="30">
        <f>IF(A1273="","",IF(K1273="","Unknown holder ID",IF(J1273="","Unknown class code",IF(OR(C1273="",D1273=""),"Missing shares or date",IF(OR(C1273&lt;0,C1273&lt;&gt;INT(C1273)),"Shares must be a whole number",IF(COUNTIFS($A$4:$A$2503,A1273,$B$4:$B$2503,B1273,$D$4:$D$2503,D1273)&gt;1,"Duplicate row (same date)","OK"))))))</f>
        <v/>
      </c>
    </row>
    <row r="1274">
      <c r="A1274" s="26" t="n"/>
      <c r="B1274" s="26" t="n"/>
      <c r="C1274" s="34" t="n"/>
      <c r="D1274" s="28" t="n"/>
      <c r="E1274" s="26" t="n"/>
      <c r="F1274" s="26" t="n"/>
      <c r="G1274" s="26" t="n"/>
      <c r="H1274" s="38" t="n"/>
      <c r="I1274" s="28" t="n"/>
      <c r="J1274" s="30">
        <f>IF(B1274="","",IFERROR(INDEX('Share classes'!$A$4:$A$203,MATCH(B1274,'Share classes'!$B$4:$B$203,0)),""))</f>
        <v/>
      </c>
      <c r="K1274" s="30">
        <f>IF(A1274="","",IFERROR(INDEX('Holders'!$B$4:$B$1003,MATCH(A1274,'Holders'!$A$4:$A$1003,0)),""))</f>
        <v/>
      </c>
      <c r="L1274" s="30">
        <f>IF(OR(A1274="",B1274="",D1274=""),"",IF(D1274=_xlfn.MAXIFS($D$4:$D$2503,$A$4:$A$2503,A1274,$B$4:$B$2503,B1274),"Yes","No"))</f>
        <v/>
      </c>
      <c r="M1274" s="30">
        <f>IF(B1274="","",IFERROR(INDEX('Share classes'!$F$4:$F$203,MATCH(B1274,'Share classes'!$B$4:$B$203,0)),""))</f>
        <v/>
      </c>
      <c r="N1274" s="30">
        <f>IF(A1274="","",IF(K1274="","Unknown holder ID",IF(J1274="","Unknown class code",IF(OR(C1274="",D1274=""),"Missing shares or date",IF(OR(C1274&lt;0,C1274&lt;&gt;INT(C1274)),"Shares must be a whole number",IF(COUNTIFS($A$4:$A$2503,A1274,$B$4:$B$2503,B1274,$D$4:$D$2503,D1274)&gt;1,"Duplicate row (same date)","OK"))))))</f>
        <v/>
      </c>
    </row>
    <row r="1275">
      <c r="A1275" s="26" t="n"/>
      <c r="B1275" s="26" t="n"/>
      <c r="C1275" s="34" t="n"/>
      <c r="D1275" s="28" t="n"/>
      <c r="E1275" s="26" t="n"/>
      <c r="F1275" s="26" t="n"/>
      <c r="G1275" s="26" t="n"/>
      <c r="H1275" s="38" t="n"/>
      <c r="I1275" s="28" t="n"/>
      <c r="J1275" s="30">
        <f>IF(B1275="","",IFERROR(INDEX('Share classes'!$A$4:$A$203,MATCH(B1275,'Share classes'!$B$4:$B$203,0)),""))</f>
        <v/>
      </c>
      <c r="K1275" s="30">
        <f>IF(A1275="","",IFERROR(INDEX('Holders'!$B$4:$B$1003,MATCH(A1275,'Holders'!$A$4:$A$1003,0)),""))</f>
        <v/>
      </c>
      <c r="L1275" s="30">
        <f>IF(OR(A1275="",B1275="",D1275=""),"",IF(D1275=_xlfn.MAXIFS($D$4:$D$2503,$A$4:$A$2503,A1275,$B$4:$B$2503,B1275),"Yes","No"))</f>
        <v/>
      </c>
      <c r="M1275" s="30">
        <f>IF(B1275="","",IFERROR(INDEX('Share classes'!$F$4:$F$203,MATCH(B1275,'Share classes'!$B$4:$B$203,0)),""))</f>
        <v/>
      </c>
      <c r="N1275" s="30">
        <f>IF(A1275="","",IF(K1275="","Unknown holder ID",IF(J1275="","Unknown class code",IF(OR(C1275="",D1275=""),"Missing shares or date",IF(OR(C1275&lt;0,C1275&lt;&gt;INT(C1275)),"Shares must be a whole number",IF(COUNTIFS($A$4:$A$2503,A1275,$B$4:$B$2503,B1275,$D$4:$D$2503,D1275)&gt;1,"Duplicate row (same date)","OK"))))))</f>
        <v/>
      </c>
    </row>
    <row r="1276">
      <c r="A1276" s="26" t="n"/>
      <c r="B1276" s="26" t="n"/>
      <c r="C1276" s="34" t="n"/>
      <c r="D1276" s="28" t="n"/>
      <c r="E1276" s="26" t="n"/>
      <c r="F1276" s="26" t="n"/>
      <c r="G1276" s="26" t="n"/>
      <c r="H1276" s="38" t="n"/>
      <c r="I1276" s="28" t="n"/>
      <c r="J1276" s="30">
        <f>IF(B1276="","",IFERROR(INDEX('Share classes'!$A$4:$A$203,MATCH(B1276,'Share classes'!$B$4:$B$203,0)),""))</f>
        <v/>
      </c>
      <c r="K1276" s="30">
        <f>IF(A1276="","",IFERROR(INDEX('Holders'!$B$4:$B$1003,MATCH(A1276,'Holders'!$A$4:$A$1003,0)),""))</f>
        <v/>
      </c>
      <c r="L1276" s="30">
        <f>IF(OR(A1276="",B1276="",D1276=""),"",IF(D1276=_xlfn.MAXIFS($D$4:$D$2503,$A$4:$A$2503,A1276,$B$4:$B$2503,B1276),"Yes","No"))</f>
        <v/>
      </c>
      <c r="M1276" s="30">
        <f>IF(B1276="","",IFERROR(INDEX('Share classes'!$F$4:$F$203,MATCH(B1276,'Share classes'!$B$4:$B$203,0)),""))</f>
        <v/>
      </c>
      <c r="N1276" s="30">
        <f>IF(A1276="","",IF(K1276="","Unknown holder ID",IF(J1276="","Unknown class code",IF(OR(C1276="",D1276=""),"Missing shares or date",IF(OR(C1276&lt;0,C1276&lt;&gt;INT(C1276)),"Shares must be a whole number",IF(COUNTIFS($A$4:$A$2503,A1276,$B$4:$B$2503,B1276,$D$4:$D$2503,D1276)&gt;1,"Duplicate row (same date)","OK"))))))</f>
        <v/>
      </c>
    </row>
    <row r="1277">
      <c r="A1277" s="26" t="n"/>
      <c r="B1277" s="26" t="n"/>
      <c r="C1277" s="34" t="n"/>
      <c r="D1277" s="28" t="n"/>
      <c r="E1277" s="26" t="n"/>
      <c r="F1277" s="26" t="n"/>
      <c r="G1277" s="26" t="n"/>
      <c r="H1277" s="38" t="n"/>
      <c r="I1277" s="28" t="n"/>
      <c r="J1277" s="30">
        <f>IF(B1277="","",IFERROR(INDEX('Share classes'!$A$4:$A$203,MATCH(B1277,'Share classes'!$B$4:$B$203,0)),""))</f>
        <v/>
      </c>
      <c r="K1277" s="30">
        <f>IF(A1277="","",IFERROR(INDEX('Holders'!$B$4:$B$1003,MATCH(A1277,'Holders'!$A$4:$A$1003,0)),""))</f>
        <v/>
      </c>
      <c r="L1277" s="30">
        <f>IF(OR(A1277="",B1277="",D1277=""),"",IF(D1277=_xlfn.MAXIFS($D$4:$D$2503,$A$4:$A$2503,A1277,$B$4:$B$2503,B1277),"Yes","No"))</f>
        <v/>
      </c>
      <c r="M1277" s="30">
        <f>IF(B1277="","",IFERROR(INDEX('Share classes'!$F$4:$F$203,MATCH(B1277,'Share classes'!$B$4:$B$203,0)),""))</f>
        <v/>
      </c>
      <c r="N1277" s="30">
        <f>IF(A1277="","",IF(K1277="","Unknown holder ID",IF(J1277="","Unknown class code",IF(OR(C1277="",D1277=""),"Missing shares or date",IF(OR(C1277&lt;0,C1277&lt;&gt;INT(C1277)),"Shares must be a whole number",IF(COUNTIFS($A$4:$A$2503,A1277,$B$4:$B$2503,B1277,$D$4:$D$2503,D1277)&gt;1,"Duplicate row (same date)","OK"))))))</f>
        <v/>
      </c>
    </row>
    <row r="1278">
      <c r="A1278" s="26" t="n"/>
      <c r="B1278" s="26" t="n"/>
      <c r="C1278" s="34" t="n"/>
      <c r="D1278" s="28" t="n"/>
      <c r="E1278" s="26" t="n"/>
      <c r="F1278" s="26" t="n"/>
      <c r="G1278" s="26" t="n"/>
      <c r="H1278" s="38" t="n"/>
      <c r="I1278" s="28" t="n"/>
      <c r="J1278" s="30">
        <f>IF(B1278="","",IFERROR(INDEX('Share classes'!$A$4:$A$203,MATCH(B1278,'Share classes'!$B$4:$B$203,0)),""))</f>
        <v/>
      </c>
      <c r="K1278" s="30">
        <f>IF(A1278="","",IFERROR(INDEX('Holders'!$B$4:$B$1003,MATCH(A1278,'Holders'!$A$4:$A$1003,0)),""))</f>
        <v/>
      </c>
      <c r="L1278" s="30">
        <f>IF(OR(A1278="",B1278="",D1278=""),"",IF(D1278=_xlfn.MAXIFS($D$4:$D$2503,$A$4:$A$2503,A1278,$B$4:$B$2503,B1278),"Yes","No"))</f>
        <v/>
      </c>
      <c r="M1278" s="30">
        <f>IF(B1278="","",IFERROR(INDEX('Share classes'!$F$4:$F$203,MATCH(B1278,'Share classes'!$B$4:$B$203,0)),""))</f>
        <v/>
      </c>
      <c r="N1278" s="30">
        <f>IF(A1278="","",IF(K1278="","Unknown holder ID",IF(J1278="","Unknown class code",IF(OR(C1278="",D1278=""),"Missing shares or date",IF(OR(C1278&lt;0,C1278&lt;&gt;INT(C1278)),"Shares must be a whole number",IF(COUNTIFS($A$4:$A$2503,A1278,$B$4:$B$2503,B1278,$D$4:$D$2503,D1278)&gt;1,"Duplicate row (same date)","OK"))))))</f>
        <v/>
      </c>
    </row>
    <row r="1279">
      <c r="A1279" s="26" t="n"/>
      <c r="B1279" s="26" t="n"/>
      <c r="C1279" s="34" t="n"/>
      <c r="D1279" s="28" t="n"/>
      <c r="E1279" s="26" t="n"/>
      <c r="F1279" s="26" t="n"/>
      <c r="G1279" s="26" t="n"/>
      <c r="H1279" s="38" t="n"/>
      <c r="I1279" s="28" t="n"/>
      <c r="J1279" s="30">
        <f>IF(B1279="","",IFERROR(INDEX('Share classes'!$A$4:$A$203,MATCH(B1279,'Share classes'!$B$4:$B$203,0)),""))</f>
        <v/>
      </c>
      <c r="K1279" s="30">
        <f>IF(A1279="","",IFERROR(INDEX('Holders'!$B$4:$B$1003,MATCH(A1279,'Holders'!$A$4:$A$1003,0)),""))</f>
        <v/>
      </c>
      <c r="L1279" s="30">
        <f>IF(OR(A1279="",B1279="",D1279=""),"",IF(D1279=_xlfn.MAXIFS($D$4:$D$2503,$A$4:$A$2503,A1279,$B$4:$B$2503,B1279),"Yes","No"))</f>
        <v/>
      </c>
      <c r="M1279" s="30">
        <f>IF(B1279="","",IFERROR(INDEX('Share classes'!$F$4:$F$203,MATCH(B1279,'Share classes'!$B$4:$B$203,0)),""))</f>
        <v/>
      </c>
      <c r="N1279" s="30">
        <f>IF(A1279="","",IF(K1279="","Unknown holder ID",IF(J1279="","Unknown class code",IF(OR(C1279="",D1279=""),"Missing shares or date",IF(OR(C1279&lt;0,C1279&lt;&gt;INT(C1279)),"Shares must be a whole number",IF(COUNTIFS($A$4:$A$2503,A1279,$B$4:$B$2503,B1279,$D$4:$D$2503,D1279)&gt;1,"Duplicate row (same date)","OK"))))))</f>
        <v/>
      </c>
    </row>
    <row r="1280">
      <c r="A1280" s="26" t="n"/>
      <c r="B1280" s="26" t="n"/>
      <c r="C1280" s="34" t="n"/>
      <c r="D1280" s="28" t="n"/>
      <c r="E1280" s="26" t="n"/>
      <c r="F1280" s="26" t="n"/>
      <c r="G1280" s="26" t="n"/>
      <c r="H1280" s="38" t="n"/>
      <c r="I1280" s="28" t="n"/>
      <c r="J1280" s="30">
        <f>IF(B1280="","",IFERROR(INDEX('Share classes'!$A$4:$A$203,MATCH(B1280,'Share classes'!$B$4:$B$203,0)),""))</f>
        <v/>
      </c>
      <c r="K1280" s="30">
        <f>IF(A1280="","",IFERROR(INDEX('Holders'!$B$4:$B$1003,MATCH(A1280,'Holders'!$A$4:$A$1003,0)),""))</f>
        <v/>
      </c>
      <c r="L1280" s="30">
        <f>IF(OR(A1280="",B1280="",D1280=""),"",IF(D1280=_xlfn.MAXIFS($D$4:$D$2503,$A$4:$A$2503,A1280,$B$4:$B$2503,B1280),"Yes","No"))</f>
        <v/>
      </c>
      <c r="M1280" s="30">
        <f>IF(B1280="","",IFERROR(INDEX('Share classes'!$F$4:$F$203,MATCH(B1280,'Share classes'!$B$4:$B$203,0)),""))</f>
        <v/>
      </c>
      <c r="N1280" s="30">
        <f>IF(A1280="","",IF(K1280="","Unknown holder ID",IF(J1280="","Unknown class code",IF(OR(C1280="",D1280=""),"Missing shares or date",IF(OR(C1280&lt;0,C1280&lt;&gt;INT(C1280)),"Shares must be a whole number",IF(COUNTIFS($A$4:$A$2503,A1280,$B$4:$B$2503,B1280,$D$4:$D$2503,D1280)&gt;1,"Duplicate row (same date)","OK"))))))</f>
        <v/>
      </c>
    </row>
    <row r="1281">
      <c r="A1281" s="26" t="n"/>
      <c r="B1281" s="26" t="n"/>
      <c r="C1281" s="34" t="n"/>
      <c r="D1281" s="28" t="n"/>
      <c r="E1281" s="26" t="n"/>
      <c r="F1281" s="26" t="n"/>
      <c r="G1281" s="26" t="n"/>
      <c r="H1281" s="38" t="n"/>
      <c r="I1281" s="28" t="n"/>
      <c r="J1281" s="30">
        <f>IF(B1281="","",IFERROR(INDEX('Share classes'!$A$4:$A$203,MATCH(B1281,'Share classes'!$B$4:$B$203,0)),""))</f>
        <v/>
      </c>
      <c r="K1281" s="30">
        <f>IF(A1281="","",IFERROR(INDEX('Holders'!$B$4:$B$1003,MATCH(A1281,'Holders'!$A$4:$A$1003,0)),""))</f>
        <v/>
      </c>
      <c r="L1281" s="30">
        <f>IF(OR(A1281="",B1281="",D1281=""),"",IF(D1281=_xlfn.MAXIFS($D$4:$D$2503,$A$4:$A$2503,A1281,$B$4:$B$2503,B1281),"Yes","No"))</f>
        <v/>
      </c>
      <c r="M1281" s="30">
        <f>IF(B1281="","",IFERROR(INDEX('Share classes'!$F$4:$F$203,MATCH(B1281,'Share classes'!$B$4:$B$203,0)),""))</f>
        <v/>
      </c>
      <c r="N1281" s="30">
        <f>IF(A1281="","",IF(K1281="","Unknown holder ID",IF(J1281="","Unknown class code",IF(OR(C1281="",D1281=""),"Missing shares or date",IF(OR(C1281&lt;0,C1281&lt;&gt;INT(C1281)),"Shares must be a whole number",IF(COUNTIFS($A$4:$A$2503,A1281,$B$4:$B$2503,B1281,$D$4:$D$2503,D1281)&gt;1,"Duplicate row (same date)","OK"))))))</f>
        <v/>
      </c>
    </row>
    <row r="1282">
      <c r="A1282" s="26" t="n"/>
      <c r="B1282" s="26" t="n"/>
      <c r="C1282" s="34" t="n"/>
      <c r="D1282" s="28" t="n"/>
      <c r="E1282" s="26" t="n"/>
      <c r="F1282" s="26" t="n"/>
      <c r="G1282" s="26" t="n"/>
      <c r="H1282" s="38" t="n"/>
      <c r="I1282" s="28" t="n"/>
      <c r="J1282" s="30">
        <f>IF(B1282="","",IFERROR(INDEX('Share classes'!$A$4:$A$203,MATCH(B1282,'Share classes'!$B$4:$B$203,0)),""))</f>
        <v/>
      </c>
      <c r="K1282" s="30">
        <f>IF(A1282="","",IFERROR(INDEX('Holders'!$B$4:$B$1003,MATCH(A1282,'Holders'!$A$4:$A$1003,0)),""))</f>
        <v/>
      </c>
      <c r="L1282" s="30">
        <f>IF(OR(A1282="",B1282="",D1282=""),"",IF(D1282=_xlfn.MAXIFS($D$4:$D$2503,$A$4:$A$2503,A1282,$B$4:$B$2503,B1282),"Yes","No"))</f>
        <v/>
      </c>
      <c r="M1282" s="30">
        <f>IF(B1282="","",IFERROR(INDEX('Share classes'!$F$4:$F$203,MATCH(B1282,'Share classes'!$B$4:$B$203,0)),""))</f>
        <v/>
      </c>
      <c r="N1282" s="30">
        <f>IF(A1282="","",IF(K1282="","Unknown holder ID",IF(J1282="","Unknown class code",IF(OR(C1282="",D1282=""),"Missing shares or date",IF(OR(C1282&lt;0,C1282&lt;&gt;INT(C1282)),"Shares must be a whole number",IF(COUNTIFS($A$4:$A$2503,A1282,$B$4:$B$2503,B1282,$D$4:$D$2503,D1282)&gt;1,"Duplicate row (same date)","OK"))))))</f>
        <v/>
      </c>
    </row>
    <row r="1283">
      <c r="A1283" s="26" t="n"/>
      <c r="B1283" s="26" t="n"/>
      <c r="C1283" s="34" t="n"/>
      <c r="D1283" s="28" t="n"/>
      <c r="E1283" s="26" t="n"/>
      <c r="F1283" s="26" t="n"/>
      <c r="G1283" s="26" t="n"/>
      <c r="H1283" s="38" t="n"/>
      <c r="I1283" s="28" t="n"/>
      <c r="J1283" s="30">
        <f>IF(B1283="","",IFERROR(INDEX('Share classes'!$A$4:$A$203,MATCH(B1283,'Share classes'!$B$4:$B$203,0)),""))</f>
        <v/>
      </c>
      <c r="K1283" s="30">
        <f>IF(A1283="","",IFERROR(INDEX('Holders'!$B$4:$B$1003,MATCH(A1283,'Holders'!$A$4:$A$1003,0)),""))</f>
        <v/>
      </c>
      <c r="L1283" s="30">
        <f>IF(OR(A1283="",B1283="",D1283=""),"",IF(D1283=_xlfn.MAXIFS($D$4:$D$2503,$A$4:$A$2503,A1283,$B$4:$B$2503,B1283),"Yes","No"))</f>
        <v/>
      </c>
      <c r="M1283" s="30">
        <f>IF(B1283="","",IFERROR(INDEX('Share classes'!$F$4:$F$203,MATCH(B1283,'Share classes'!$B$4:$B$203,0)),""))</f>
        <v/>
      </c>
      <c r="N1283" s="30">
        <f>IF(A1283="","",IF(K1283="","Unknown holder ID",IF(J1283="","Unknown class code",IF(OR(C1283="",D1283=""),"Missing shares or date",IF(OR(C1283&lt;0,C1283&lt;&gt;INT(C1283)),"Shares must be a whole number",IF(COUNTIFS($A$4:$A$2503,A1283,$B$4:$B$2503,B1283,$D$4:$D$2503,D1283)&gt;1,"Duplicate row (same date)","OK"))))))</f>
        <v/>
      </c>
    </row>
    <row r="1284">
      <c r="A1284" s="26" t="n"/>
      <c r="B1284" s="26" t="n"/>
      <c r="C1284" s="34" t="n"/>
      <c r="D1284" s="28" t="n"/>
      <c r="E1284" s="26" t="n"/>
      <c r="F1284" s="26" t="n"/>
      <c r="G1284" s="26" t="n"/>
      <c r="H1284" s="38" t="n"/>
      <c r="I1284" s="28" t="n"/>
      <c r="J1284" s="30">
        <f>IF(B1284="","",IFERROR(INDEX('Share classes'!$A$4:$A$203,MATCH(B1284,'Share classes'!$B$4:$B$203,0)),""))</f>
        <v/>
      </c>
      <c r="K1284" s="30">
        <f>IF(A1284="","",IFERROR(INDEX('Holders'!$B$4:$B$1003,MATCH(A1284,'Holders'!$A$4:$A$1003,0)),""))</f>
        <v/>
      </c>
      <c r="L1284" s="30">
        <f>IF(OR(A1284="",B1284="",D1284=""),"",IF(D1284=_xlfn.MAXIFS($D$4:$D$2503,$A$4:$A$2503,A1284,$B$4:$B$2503,B1284),"Yes","No"))</f>
        <v/>
      </c>
      <c r="M1284" s="30">
        <f>IF(B1284="","",IFERROR(INDEX('Share classes'!$F$4:$F$203,MATCH(B1284,'Share classes'!$B$4:$B$203,0)),""))</f>
        <v/>
      </c>
      <c r="N1284" s="30">
        <f>IF(A1284="","",IF(K1284="","Unknown holder ID",IF(J1284="","Unknown class code",IF(OR(C1284="",D1284=""),"Missing shares or date",IF(OR(C1284&lt;0,C1284&lt;&gt;INT(C1284)),"Shares must be a whole number",IF(COUNTIFS($A$4:$A$2503,A1284,$B$4:$B$2503,B1284,$D$4:$D$2503,D1284)&gt;1,"Duplicate row (same date)","OK"))))))</f>
        <v/>
      </c>
    </row>
    <row r="1285">
      <c r="A1285" s="26" t="n"/>
      <c r="B1285" s="26" t="n"/>
      <c r="C1285" s="34" t="n"/>
      <c r="D1285" s="28" t="n"/>
      <c r="E1285" s="26" t="n"/>
      <c r="F1285" s="26" t="n"/>
      <c r="G1285" s="26" t="n"/>
      <c r="H1285" s="38" t="n"/>
      <c r="I1285" s="28" t="n"/>
      <c r="J1285" s="30">
        <f>IF(B1285="","",IFERROR(INDEX('Share classes'!$A$4:$A$203,MATCH(B1285,'Share classes'!$B$4:$B$203,0)),""))</f>
        <v/>
      </c>
      <c r="K1285" s="30">
        <f>IF(A1285="","",IFERROR(INDEX('Holders'!$B$4:$B$1003,MATCH(A1285,'Holders'!$A$4:$A$1003,0)),""))</f>
        <v/>
      </c>
      <c r="L1285" s="30">
        <f>IF(OR(A1285="",B1285="",D1285=""),"",IF(D1285=_xlfn.MAXIFS($D$4:$D$2503,$A$4:$A$2503,A1285,$B$4:$B$2503,B1285),"Yes","No"))</f>
        <v/>
      </c>
      <c r="M1285" s="30">
        <f>IF(B1285="","",IFERROR(INDEX('Share classes'!$F$4:$F$203,MATCH(B1285,'Share classes'!$B$4:$B$203,0)),""))</f>
        <v/>
      </c>
      <c r="N1285" s="30">
        <f>IF(A1285="","",IF(K1285="","Unknown holder ID",IF(J1285="","Unknown class code",IF(OR(C1285="",D1285=""),"Missing shares or date",IF(OR(C1285&lt;0,C1285&lt;&gt;INT(C1285)),"Shares must be a whole number",IF(COUNTIFS($A$4:$A$2503,A1285,$B$4:$B$2503,B1285,$D$4:$D$2503,D1285)&gt;1,"Duplicate row (same date)","OK"))))))</f>
        <v/>
      </c>
    </row>
    <row r="1286">
      <c r="A1286" s="26" t="n"/>
      <c r="B1286" s="26" t="n"/>
      <c r="C1286" s="34" t="n"/>
      <c r="D1286" s="28" t="n"/>
      <c r="E1286" s="26" t="n"/>
      <c r="F1286" s="26" t="n"/>
      <c r="G1286" s="26" t="n"/>
      <c r="H1286" s="38" t="n"/>
      <c r="I1286" s="28" t="n"/>
      <c r="J1286" s="30">
        <f>IF(B1286="","",IFERROR(INDEX('Share classes'!$A$4:$A$203,MATCH(B1286,'Share classes'!$B$4:$B$203,0)),""))</f>
        <v/>
      </c>
      <c r="K1286" s="30">
        <f>IF(A1286="","",IFERROR(INDEX('Holders'!$B$4:$B$1003,MATCH(A1286,'Holders'!$A$4:$A$1003,0)),""))</f>
        <v/>
      </c>
      <c r="L1286" s="30">
        <f>IF(OR(A1286="",B1286="",D1286=""),"",IF(D1286=_xlfn.MAXIFS($D$4:$D$2503,$A$4:$A$2503,A1286,$B$4:$B$2503,B1286),"Yes","No"))</f>
        <v/>
      </c>
      <c r="M1286" s="30">
        <f>IF(B1286="","",IFERROR(INDEX('Share classes'!$F$4:$F$203,MATCH(B1286,'Share classes'!$B$4:$B$203,0)),""))</f>
        <v/>
      </c>
      <c r="N1286" s="30">
        <f>IF(A1286="","",IF(K1286="","Unknown holder ID",IF(J1286="","Unknown class code",IF(OR(C1286="",D1286=""),"Missing shares or date",IF(OR(C1286&lt;0,C1286&lt;&gt;INT(C1286)),"Shares must be a whole number",IF(COUNTIFS($A$4:$A$2503,A1286,$B$4:$B$2503,B1286,$D$4:$D$2503,D1286)&gt;1,"Duplicate row (same date)","OK"))))))</f>
        <v/>
      </c>
    </row>
    <row r="1287">
      <c r="A1287" s="26" t="n"/>
      <c r="B1287" s="26" t="n"/>
      <c r="C1287" s="34" t="n"/>
      <c r="D1287" s="28" t="n"/>
      <c r="E1287" s="26" t="n"/>
      <c r="F1287" s="26" t="n"/>
      <c r="G1287" s="26" t="n"/>
      <c r="H1287" s="38" t="n"/>
      <c r="I1287" s="28" t="n"/>
      <c r="J1287" s="30">
        <f>IF(B1287="","",IFERROR(INDEX('Share classes'!$A$4:$A$203,MATCH(B1287,'Share classes'!$B$4:$B$203,0)),""))</f>
        <v/>
      </c>
      <c r="K1287" s="30">
        <f>IF(A1287="","",IFERROR(INDEX('Holders'!$B$4:$B$1003,MATCH(A1287,'Holders'!$A$4:$A$1003,0)),""))</f>
        <v/>
      </c>
      <c r="L1287" s="30">
        <f>IF(OR(A1287="",B1287="",D1287=""),"",IF(D1287=_xlfn.MAXIFS($D$4:$D$2503,$A$4:$A$2503,A1287,$B$4:$B$2503,B1287),"Yes","No"))</f>
        <v/>
      </c>
      <c r="M1287" s="30">
        <f>IF(B1287="","",IFERROR(INDEX('Share classes'!$F$4:$F$203,MATCH(B1287,'Share classes'!$B$4:$B$203,0)),""))</f>
        <v/>
      </c>
      <c r="N1287" s="30">
        <f>IF(A1287="","",IF(K1287="","Unknown holder ID",IF(J1287="","Unknown class code",IF(OR(C1287="",D1287=""),"Missing shares or date",IF(OR(C1287&lt;0,C1287&lt;&gt;INT(C1287)),"Shares must be a whole number",IF(COUNTIFS($A$4:$A$2503,A1287,$B$4:$B$2503,B1287,$D$4:$D$2503,D1287)&gt;1,"Duplicate row (same date)","OK"))))))</f>
        <v/>
      </c>
    </row>
    <row r="1288">
      <c r="A1288" s="26" t="n"/>
      <c r="B1288" s="26" t="n"/>
      <c r="C1288" s="34" t="n"/>
      <c r="D1288" s="28" t="n"/>
      <c r="E1288" s="26" t="n"/>
      <c r="F1288" s="26" t="n"/>
      <c r="G1288" s="26" t="n"/>
      <c r="H1288" s="38" t="n"/>
      <c r="I1288" s="28" t="n"/>
      <c r="J1288" s="30">
        <f>IF(B1288="","",IFERROR(INDEX('Share classes'!$A$4:$A$203,MATCH(B1288,'Share classes'!$B$4:$B$203,0)),""))</f>
        <v/>
      </c>
      <c r="K1288" s="30">
        <f>IF(A1288="","",IFERROR(INDEX('Holders'!$B$4:$B$1003,MATCH(A1288,'Holders'!$A$4:$A$1003,0)),""))</f>
        <v/>
      </c>
      <c r="L1288" s="30">
        <f>IF(OR(A1288="",B1288="",D1288=""),"",IF(D1288=_xlfn.MAXIFS($D$4:$D$2503,$A$4:$A$2503,A1288,$B$4:$B$2503,B1288),"Yes","No"))</f>
        <v/>
      </c>
      <c r="M1288" s="30">
        <f>IF(B1288="","",IFERROR(INDEX('Share classes'!$F$4:$F$203,MATCH(B1288,'Share classes'!$B$4:$B$203,0)),""))</f>
        <v/>
      </c>
      <c r="N1288" s="30">
        <f>IF(A1288="","",IF(K1288="","Unknown holder ID",IF(J1288="","Unknown class code",IF(OR(C1288="",D1288=""),"Missing shares or date",IF(OR(C1288&lt;0,C1288&lt;&gt;INT(C1288)),"Shares must be a whole number",IF(COUNTIFS($A$4:$A$2503,A1288,$B$4:$B$2503,B1288,$D$4:$D$2503,D1288)&gt;1,"Duplicate row (same date)","OK"))))))</f>
        <v/>
      </c>
    </row>
    <row r="1289">
      <c r="A1289" s="26" t="n"/>
      <c r="B1289" s="26" t="n"/>
      <c r="C1289" s="34" t="n"/>
      <c r="D1289" s="28" t="n"/>
      <c r="E1289" s="26" t="n"/>
      <c r="F1289" s="26" t="n"/>
      <c r="G1289" s="26" t="n"/>
      <c r="H1289" s="38" t="n"/>
      <c r="I1289" s="28" t="n"/>
      <c r="J1289" s="30">
        <f>IF(B1289="","",IFERROR(INDEX('Share classes'!$A$4:$A$203,MATCH(B1289,'Share classes'!$B$4:$B$203,0)),""))</f>
        <v/>
      </c>
      <c r="K1289" s="30">
        <f>IF(A1289="","",IFERROR(INDEX('Holders'!$B$4:$B$1003,MATCH(A1289,'Holders'!$A$4:$A$1003,0)),""))</f>
        <v/>
      </c>
      <c r="L1289" s="30">
        <f>IF(OR(A1289="",B1289="",D1289=""),"",IF(D1289=_xlfn.MAXIFS($D$4:$D$2503,$A$4:$A$2503,A1289,$B$4:$B$2503,B1289),"Yes","No"))</f>
        <v/>
      </c>
      <c r="M1289" s="30">
        <f>IF(B1289="","",IFERROR(INDEX('Share classes'!$F$4:$F$203,MATCH(B1289,'Share classes'!$B$4:$B$203,0)),""))</f>
        <v/>
      </c>
      <c r="N1289" s="30">
        <f>IF(A1289="","",IF(K1289="","Unknown holder ID",IF(J1289="","Unknown class code",IF(OR(C1289="",D1289=""),"Missing shares or date",IF(OR(C1289&lt;0,C1289&lt;&gt;INT(C1289)),"Shares must be a whole number",IF(COUNTIFS($A$4:$A$2503,A1289,$B$4:$B$2503,B1289,$D$4:$D$2503,D1289)&gt;1,"Duplicate row (same date)","OK"))))))</f>
        <v/>
      </c>
    </row>
    <row r="1290">
      <c r="A1290" s="26" t="n"/>
      <c r="B1290" s="26" t="n"/>
      <c r="C1290" s="34" t="n"/>
      <c r="D1290" s="28" t="n"/>
      <c r="E1290" s="26" t="n"/>
      <c r="F1290" s="26" t="n"/>
      <c r="G1290" s="26" t="n"/>
      <c r="H1290" s="38" t="n"/>
      <c r="I1290" s="28" t="n"/>
      <c r="J1290" s="30">
        <f>IF(B1290="","",IFERROR(INDEX('Share classes'!$A$4:$A$203,MATCH(B1290,'Share classes'!$B$4:$B$203,0)),""))</f>
        <v/>
      </c>
      <c r="K1290" s="30">
        <f>IF(A1290="","",IFERROR(INDEX('Holders'!$B$4:$B$1003,MATCH(A1290,'Holders'!$A$4:$A$1003,0)),""))</f>
        <v/>
      </c>
      <c r="L1290" s="30">
        <f>IF(OR(A1290="",B1290="",D1290=""),"",IF(D1290=_xlfn.MAXIFS($D$4:$D$2503,$A$4:$A$2503,A1290,$B$4:$B$2503,B1290),"Yes","No"))</f>
        <v/>
      </c>
      <c r="M1290" s="30">
        <f>IF(B1290="","",IFERROR(INDEX('Share classes'!$F$4:$F$203,MATCH(B1290,'Share classes'!$B$4:$B$203,0)),""))</f>
        <v/>
      </c>
      <c r="N1290" s="30">
        <f>IF(A1290="","",IF(K1290="","Unknown holder ID",IF(J1290="","Unknown class code",IF(OR(C1290="",D1290=""),"Missing shares or date",IF(OR(C1290&lt;0,C1290&lt;&gt;INT(C1290)),"Shares must be a whole number",IF(COUNTIFS($A$4:$A$2503,A1290,$B$4:$B$2503,B1290,$D$4:$D$2503,D1290)&gt;1,"Duplicate row (same date)","OK"))))))</f>
        <v/>
      </c>
    </row>
    <row r="1291">
      <c r="A1291" s="26" t="n"/>
      <c r="B1291" s="26" t="n"/>
      <c r="C1291" s="34" t="n"/>
      <c r="D1291" s="28" t="n"/>
      <c r="E1291" s="26" t="n"/>
      <c r="F1291" s="26" t="n"/>
      <c r="G1291" s="26" t="n"/>
      <c r="H1291" s="38" t="n"/>
      <c r="I1291" s="28" t="n"/>
      <c r="J1291" s="30">
        <f>IF(B1291="","",IFERROR(INDEX('Share classes'!$A$4:$A$203,MATCH(B1291,'Share classes'!$B$4:$B$203,0)),""))</f>
        <v/>
      </c>
      <c r="K1291" s="30">
        <f>IF(A1291="","",IFERROR(INDEX('Holders'!$B$4:$B$1003,MATCH(A1291,'Holders'!$A$4:$A$1003,0)),""))</f>
        <v/>
      </c>
      <c r="L1291" s="30">
        <f>IF(OR(A1291="",B1291="",D1291=""),"",IF(D1291=_xlfn.MAXIFS($D$4:$D$2503,$A$4:$A$2503,A1291,$B$4:$B$2503,B1291),"Yes","No"))</f>
        <v/>
      </c>
      <c r="M1291" s="30">
        <f>IF(B1291="","",IFERROR(INDEX('Share classes'!$F$4:$F$203,MATCH(B1291,'Share classes'!$B$4:$B$203,0)),""))</f>
        <v/>
      </c>
      <c r="N1291" s="30">
        <f>IF(A1291="","",IF(K1291="","Unknown holder ID",IF(J1291="","Unknown class code",IF(OR(C1291="",D1291=""),"Missing shares or date",IF(OR(C1291&lt;0,C1291&lt;&gt;INT(C1291)),"Shares must be a whole number",IF(COUNTIFS($A$4:$A$2503,A1291,$B$4:$B$2503,B1291,$D$4:$D$2503,D1291)&gt;1,"Duplicate row (same date)","OK"))))))</f>
        <v/>
      </c>
    </row>
    <row r="1292">
      <c r="A1292" s="26" t="n"/>
      <c r="B1292" s="26" t="n"/>
      <c r="C1292" s="34" t="n"/>
      <c r="D1292" s="28" t="n"/>
      <c r="E1292" s="26" t="n"/>
      <c r="F1292" s="26" t="n"/>
      <c r="G1292" s="26" t="n"/>
      <c r="H1292" s="38" t="n"/>
      <c r="I1292" s="28" t="n"/>
      <c r="J1292" s="30">
        <f>IF(B1292="","",IFERROR(INDEX('Share classes'!$A$4:$A$203,MATCH(B1292,'Share classes'!$B$4:$B$203,0)),""))</f>
        <v/>
      </c>
      <c r="K1292" s="30">
        <f>IF(A1292="","",IFERROR(INDEX('Holders'!$B$4:$B$1003,MATCH(A1292,'Holders'!$A$4:$A$1003,0)),""))</f>
        <v/>
      </c>
      <c r="L1292" s="30">
        <f>IF(OR(A1292="",B1292="",D1292=""),"",IF(D1292=_xlfn.MAXIFS($D$4:$D$2503,$A$4:$A$2503,A1292,$B$4:$B$2503,B1292),"Yes","No"))</f>
        <v/>
      </c>
      <c r="M1292" s="30">
        <f>IF(B1292="","",IFERROR(INDEX('Share classes'!$F$4:$F$203,MATCH(B1292,'Share classes'!$B$4:$B$203,0)),""))</f>
        <v/>
      </c>
      <c r="N1292" s="30">
        <f>IF(A1292="","",IF(K1292="","Unknown holder ID",IF(J1292="","Unknown class code",IF(OR(C1292="",D1292=""),"Missing shares or date",IF(OR(C1292&lt;0,C1292&lt;&gt;INT(C1292)),"Shares must be a whole number",IF(COUNTIFS($A$4:$A$2503,A1292,$B$4:$B$2503,B1292,$D$4:$D$2503,D1292)&gt;1,"Duplicate row (same date)","OK"))))))</f>
        <v/>
      </c>
    </row>
    <row r="1293">
      <c r="A1293" s="26" t="n"/>
      <c r="B1293" s="26" t="n"/>
      <c r="C1293" s="34" t="n"/>
      <c r="D1293" s="28" t="n"/>
      <c r="E1293" s="26" t="n"/>
      <c r="F1293" s="26" t="n"/>
      <c r="G1293" s="26" t="n"/>
      <c r="H1293" s="38" t="n"/>
      <c r="I1293" s="28" t="n"/>
      <c r="J1293" s="30">
        <f>IF(B1293="","",IFERROR(INDEX('Share classes'!$A$4:$A$203,MATCH(B1293,'Share classes'!$B$4:$B$203,0)),""))</f>
        <v/>
      </c>
      <c r="K1293" s="30">
        <f>IF(A1293="","",IFERROR(INDEX('Holders'!$B$4:$B$1003,MATCH(A1293,'Holders'!$A$4:$A$1003,0)),""))</f>
        <v/>
      </c>
      <c r="L1293" s="30">
        <f>IF(OR(A1293="",B1293="",D1293=""),"",IF(D1293=_xlfn.MAXIFS($D$4:$D$2503,$A$4:$A$2503,A1293,$B$4:$B$2503,B1293),"Yes","No"))</f>
        <v/>
      </c>
      <c r="M1293" s="30">
        <f>IF(B1293="","",IFERROR(INDEX('Share classes'!$F$4:$F$203,MATCH(B1293,'Share classes'!$B$4:$B$203,0)),""))</f>
        <v/>
      </c>
      <c r="N1293" s="30">
        <f>IF(A1293="","",IF(K1293="","Unknown holder ID",IF(J1293="","Unknown class code",IF(OR(C1293="",D1293=""),"Missing shares or date",IF(OR(C1293&lt;0,C1293&lt;&gt;INT(C1293)),"Shares must be a whole number",IF(COUNTIFS($A$4:$A$2503,A1293,$B$4:$B$2503,B1293,$D$4:$D$2503,D1293)&gt;1,"Duplicate row (same date)","OK"))))))</f>
        <v/>
      </c>
    </row>
    <row r="1294">
      <c r="A1294" s="26" t="n"/>
      <c r="B1294" s="26" t="n"/>
      <c r="C1294" s="34" t="n"/>
      <c r="D1294" s="28" t="n"/>
      <c r="E1294" s="26" t="n"/>
      <c r="F1294" s="26" t="n"/>
      <c r="G1294" s="26" t="n"/>
      <c r="H1294" s="38" t="n"/>
      <c r="I1294" s="28" t="n"/>
      <c r="J1294" s="30">
        <f>IF(B1294="","",IFERROR(INDEX('Share classes'!$A$4:$A$203,MATCH(B1294,'Share classes'!$B$4:$B$203,0)),""))</f>
        <v/>
      </c>
      <c r="K1294" s="30">
        <f>IF(A1294="","",IFERROR(INDEX('Holders'!$B$4:$B$1003,MATCH(A1294,'Holders'!$A$4:$A$1003,0)),""))</f>
        <v/>
      </c>
      <c r="L1294" s="30">
        <f>IF(OR(A1294="",B1294="",D1294=""),"",IF(D1294=_xlfn.MAXIFS($D$4:$D$2503,$A$4:$A$2503,A1294,$B$4:$B$2503,B1294),"Yes","No"))</f>
        <v/>
      </c>
      <c r="M1294" s="30">
        <f>IF(B1294="","",IFERROR(INDEX('Share classes'!$F$4:$F$203,MATCH(B1294,'Share classes'!$B$4:$B$203,0)),""))</f>
        <v/>
      </c>
      <c r="N1294" s="30">
        <f>IF(A1294="","",IF(K1294="","Unknown holder ID",IF(J1294="","Unknown class code",IF(OR(C1294="",D1294=""),"Missing shares or date",IF(OR(C1294&lt;0,C1294&lt;&gt;INT(C1294)),"Shares must be a whole number",IF(COUNTIFS($A$4:$A$2503,A1294,$B$4:$B$2503,B1294,$D$4:$D$2503,D1294)&gt;1,"Duplicate row (same date)","OK"))))))</f>
        <v/>
      </c>
    </row>
    <row r="1295">
      <c r="A1295" s="26" t="n"/>
      <c r="B1295" s="26" t="n"/>
      <c r="C1295" s="34" t="n"/>
      <c r="D1295" s="28" t="n"/>
      <c r="E1295" s="26" t="n"/>
      <c r="F1295" s="26" t="n"/>
      <c r="G1295" s="26" t="n"/>
      <c r="H1295" s="38" t="n"/>
      <c r="I1295" s="28" t="n"/>
      <c r="J1295" s="30">
        <f>IF(B1295="","",IFERROR(INDEX('Share classes'!$A$4:$A$203,MATCH(B1295,'Share classes'!$B$4:$B$203,0)),""))</f>
        <v/>
      </c>
      <c r="K1295" s="30">
        <f>IF(A1295="","",IFERROR(INDEX('Holders'!$B$4:$B$1003,MATCH(A1295,'Holders'!$A$4:$A$1003,0)),""))</f>
        <v/>
      </c>
      <c r="L1295" s="30">
        <f>IF(OR(A1295="",B1295="",D1295=""),"",IF(D1295=_xlfn.MAXIFS($D$4:$D$2503,$A$4:$A$2503,A1295,$B$4:$B$2503,B1295),"Yes","No"))</f>
        <v/>
      </c>
      <c r="M1295" s="30">
        <f>IF(B1295="","",IFERROR(INDEX('Share classes'!$F$4:$F$203,MATCH(B1295,'Share classes'!$B$4:$B$203,0)),""))</f>
        <v/>
      </c>
      <c r="N1295" s="30">
        <f>IF(A1295="","",IF(K1295="","Unknown holder ID",IF(J1295="","Unknown class code",IF(OR(C1295="",D1295=""),"Missing shares or date",IF(OR(C1295&lt;0,C1295&lt;&gt;INT(C1295)),"Shares must be a whole number",IF(COUNTIFS($A$4:$A$2503,A1295,$B$4:$B$2503,B1295,$D$4:$D$2503,D1295)&gt;1,"Duplicate row (same date)","OK"))))))</f>
        <v/>
      </c>
    </row>
    <row r="1296">
      <c r="A1296" s="26" t="n"/>
      <c r="B1296" s="26" t="n"/>
      <c r="C1296" s="34" t="n"/>
      <c r="D1296" s="28" t="n"/>
      <c r="E1296" s="26" t="n"/>
      <c r="F1296" s="26" t="n"/>
      <c r="G1296" s="26" t="n"/>
      <c r="H1296" s="38" t="n"/>
      <c r="I1296" s="28" t="n"/>
      <c r="J1296" s="30">
        <f>IF(B1296="","",IFERROR(INDEX('Share classes'!$A$4:$A$203,MATCH(B1296,'Share classes'!$B$4:$B$203,0)),""))</f>
        <v/>
      </c>
      <c r="K1296" s="30">
        <f>IF(A1296="","",IFERROR(INDEX('Holders'!$B$4:$B$1003,MATCH(A1296,'Holders'!$A$4:$A$1003,0)),""))</f>
        <v/>
      </c>
      <c r="L1296" s="30">
        <f>IF(OR(A1296="",B1296="",D1296=""),"",IF(D1296=_xlfn.MAXIFS($D$4:$D$2503,$A$4:$A$2503,A1296,$B$4:$B$2503,B1296),"Yes","No"))</f>
        <v/>
      </c>
      <c r="M1296" s="30">
        <f>IF(B1296="","",IFERROR(INDEX('Share classes'!$F$4:$F$203,MATCH(B1296,'Share classes'!$B$4:$B$203,0)),""))</f>
        <v/>
      </c>
      <c r="N1296" s="30">
        <f>IF(A1296="","",IF(K1296="","Unknown holder ID",IF(J1296="","Unknown class code",IF(OR(C1296="",D1296=""),"Missing shares or date",IF(OR(C1296&lt;0,C1296&lt;&gt;INT(C1296)),"Shares must be a whole number",IF(COUNTIFS($A$4:$A$2503,A1296,$B$4:$B$2503,B1296,$D$4:$D$2503,D1296)&gt;1,"Duplicate row (same date)","OK"))))))</f>
        <v/>
      </c>
    </row>
    <row r="1297">
      <c r="A1297" s="26" t="n"/>
      <c r="B1297" s="26" t="n"/>
      <c r="C1297" s="34" t="n"/>
      <c r="D1297" s="28" t="n"/>
      <c r="E1297" s="26" t="n"/>
      <c r="F1297" s="26" t="n"/>
      <c r="G1297" s="26" t="n"/>
      <c r="H1297" s="38" t="n"/>
      <c r="I1297" s="28" t="n"/>
      <c r="J1297" s="30">
        <f>IF(B1297="","",IFERROR(INDEX('Share classes'!$A$4:$A$203,MATCH(B1297,'Share classes'!$B$4:$B$203,0)),""))</f>
        <v/>
      </c>
      <c r="K1297" s="30">
        <f>IF(A1297="","",IFERROR(INDEX('Holders'!$B$4:$B$1003,MATCH(A1297,'Holders'!$A$4:$A$1003,0)),""))</f>
        <v/>
      </c>
      <c r="L1297" s="30">
        <f>IF(OR(A1297="",B1297="",D1297=""),"",IF(D1297=_xlfn.MAXIFS($D$4:$D$2503,$A$4:$A$2503,A1297,$B$4:$B$2503,B1297),"Yes","No"))</f>
        <v/>
      </c>
      <c r="M1297" s="30">
        <f>IF(B1297="","",IFERROR(INDEX('Share classes'!$F$4:$F$203,MATCH(B1297,'Share classes'!$B$4:$B$203,0)),""))</f>
        <v/>
      </c>
      <c r="N1297" s="30">
        <f>IF(A1297="","",IF(K1297="","Unknown holder ID",IF(J1297="","Unknown class code",IF(OR(C1297="",D1297=""),"Missing shares or date",IF(OR(C1297&lt;0,C1297&lt;&gt;INT(C1297)),"Shares must be a whole number",IF(COUNTIFS($A$4:$A$2503,A1297,$B$4:$B$2503,B1297,$D$4:$D$2503,D1297)&gt;1,"Duplicate row (same date)","OK"))))))</f>
        <v/>
      </c>
    </row>
    <row r="1298">
      <c r="A1298" s="26" t="n"/>
      <c r="B1298" s="26" t="n"/>
      <c r="C1298" s="34" t="n"/>
      <c r="D1298" s="28" t="n"/>
      <c r="E1298" s="26" t="n"/>
      <c r="F1298" s="26" t="n"/>
      <c r="G1298" s="26" t="n"/>
      <c r="H1298" s="38" t="n"/>
      <c r="I1298" s="28" t="n"/>
      <c r="J1298" s="30">
        <f>IF(B1298="","",IFERROR(INDEX('Share classes'!$A$4:$A$203,MATCH(B1298,'Share classes'!$B$4:$B$203,0)),""))</f>
        <v/>
      </c>
      <c r="K1298" s="30">
        <f>IF(A1298="","",IFERROR(INDEX('Holders'!$B$4:$B$1003,MATCH(A1298,'Holders'!$A$4:$A$1003,0)),""))</f>
        <v/>
      </c>
      <c r="L1298" s="30">
        <f>IF(OR(A1298="",B1298="",D1298=""),"",IF(D1298=_xlfn.MAXIFS($D$4:$D$2503,$A$4:$A$2503,A1298,$B$4:$B$2503,B1298),"Yes","No"))</f>
        <v/>
      </c>
      <c r="M1298" s="30">
        <f>IF(B1298="","",IFERROR(INDEX('Share classes'!$F$4:$F$203,MATCH(B1298,'Share classes'!$B$4:$B$203,0)),""))</f>
        <v/>
      </c>
      <c r="N1298" s="30">
        <f>IF(A1298="","",IF(K1298="","Unknown holder ID",IF(J1298="","Unknown class code",IF(OR(C1298="",D1298=""),"Missing shares or date",IF(OR(C1298&lt;0,C1298&lt;&gt;INT(C1298)),"Shares must be a whole number",IF(COUNTIFS($A$4:$A$2503,A1298,$B$4:$B$2503,B1298,$D$4:$D$2503,D1298)&gt;1,"Duplicate row (same date)","OK"))))))</f>
        <v/>
      </c>
    </row>
    <row r="1299">
      <c r="A1299" s="26" t="n"/>
      <c r="B1299" s="26" t="n"/>
      <c r="C1299" s="34" t="n"/>
      <c r="D1299" s="28" t="n"/>
      <c r="E1299" s="26" t="n"/>
      <c r="F1299" s="26" t="n"/>
      <c r="G1299" s="26" t="n"/>
      <c r="H1299" s="38" t="n"/>
      <c r="I1299" s="28" t="n"/>
      <c r="J1299" s="30">
        <f>IF(B1299="","",IFERROR(INDEX('Share classes'!$A$4:$A$203,MATCH(B1299,'Share classes'!$B$4:$B$203,0)),""))</f>
        <v/>
      </c>
      <c r="K1299" s="30">
        <f>IF(A1299="","",IFERROR(INDEX('Holders'!$B$4:$B$1003,MATCH(A1299,'Holders'!$A$4:$A$1003,0)),""))</f>
        <v/>
      </c>
      <c r="L1299" s="30">
        <f>IF(OR(A1299="",B1299="",D1299=""),"",IF(D1299=_xlfn.MAXIFS($D$4:$D$2503,$A$4:$A$2503,A1299,$B$4:$B$2503,B1299),"Yes","No"))</f>
        <v/>
      </c>
      <c r="M1299" s="30">
        <f>IF(B1299="","",IFERROR(INDEX('Share classes'!$F$4:$F$203,MATCH(B1299,'Share classes'!$B$4:$B$203,0)),""))</f>
        <v/>
      </c>
      <c r="N1299" s="30">
        <f>IF(A1299="","",IF(K1299="","Unknown holder ID",IF(J1299="","Unknown class code",IF(OR(C1299="",D1299=""),"Missing shares or date",IF(OR(C1299&lt;0,C1299&lt;&gt;INT(C1299)),"Shares must be a whole number",IF(COUNTIFS($A$4:$A$2503,A1299,$B$4:$B$2503,B1299,$D$4:$D$2503,D1299)&gt;1,"Duplicate row (same date)","OK"))))))</f>
        <v/>
      </c>
    </row>
    <row r="1300">
      <c r="A1300" s="26" t="n"/>
      <c r="B1300" s="26" t="n"/>
      <c r="C1300" s="34" t="n"/>
      <c r="D1300" s="28" t="n"/>
      <c r="E1300" s="26" t="n"/>
      <c r="F1300" s="26" t="n"/>
      <c r="G1300" s="26" t="n"/>
      <c r="H1300" s="38" t="n"/>
      <c r="I1300" s="28" t="n"/>
      <c r="J1300" s="30">
        <f>IF(B1300="","",IFERROR(INDEX('Share classes'!$A$4:$A$203,MATCH(B1300,'Share classes'!$B$4:$B$203,0)),""))</f>
        <v/>
      </c>
      <c r="K1300" s="30">
        <f>IF(A1300="","",IFERROR(INDEX('Holders'!$B$4:$B$1003,MATCH(A1300,'Holders'!$A$4:$A$1003,0)),""))</f>
        <v/>
      </c>
      <c r="L1300" s="30">
        <f>IF(OR(A1300="",B1300="",D1300=""),"",IF(D1300=_xlfn.MAXIFS($D$4:$D$2503,$A$4:$A$2503,A1300,$B$4:$B$2503,B1300),"Yes","No"))</f>
        <v/>
      </c>
      <c r="M1300" s="30">
        <f>IF(B1300="","",IFERROR(INDEX('Share classes'!$F$4:$F$203,MATCH(B1300,'Share classes'!$B$4:$B$203,0)),""))</f>
        <v/>
      </c>
      <c r="N1300" s="30">
        <f>IF(A1300="","",IF(K1300="","Unknown holder ID",IF(J1300="","Unknown class code",IF(OR(C1300="",D1300=""),"Missing shares or date",IF(OR(C1300&lt;0,C1300&lt;&gt;INT(C1300)),"Shares must be a whole number",IF(COUNTIFS($A$4:$A$2503,A1300,$B$4:$B$2503,B1300,$D$4:$D$2503,D1300)&gt;1,"Duplicate row (same date)","OK"))))))</f>
        <v/>
      </c>
    </row>
    <row r="1301">
      <c r="A1301" s="26" t="n"/>
      <c r="B1301" s="26" t="n"/>
      <c r="C1301" s="34" t="n"/>
      <c r="D1301" s="28" t="n"/>
      <c r="E1301" s="26" t="n"/>
      <c r="F1301" s="26" t="n"/>
      <c r="G1301" s="26" t="n"/>
      <c r="H1301" s="38" t="n"/>
      <c r="I1301" s="28" t="n"/>
      <c r="J1301" s="30">
        <f>IF(B1301="","",IFERROR(INDEX('Share classes'!$A$4:$A$203,MATCH(B1301,'Share classes'!$B$4:$B$203,0)),""))</f>
        <v/>
      </c>
      <c r="K1301" s="30">
        <f>IF(A1301="","",IFERROR(INDEX('Holders'!$B$4:$B$1003,MATCH(A1301,'Holders'!$A$4:$A$1003,0)),""))</f>
        <v/>
      </c>
      <c r="L1301" s="30">
        <f>IF(OR(A1301="",B1301="",D1301=""),"",IF(D1301=_xlfn.MAXIFS($D$4:$D$2503,$A$4:$A$2503,A1301,$B$4:$B$2503,B1301),"Yes","No"))</f>
        <v/>
      </c>
      <c r="M1301" s="30">
        <f>IF(B1301="","",IFERROR(INDEX('Share classes'!$F$4:$F$203,MATCH(B1301,'Share classes'!$B$4:$B$203,0)),""))</f>
        <v/>
      </c>
      <c r="N1301" s="30">
        <f>IF(A1301="","",IF(K1301="","Unknown holder ID",IF(J1301="","Unknown class code",IF(OR(C1301="",D1301=""),"Missing shares or date",IF(OR(C1301&lt;0,C1301&lt;&gt;INT(C1301)),"Shares must be a whole number",IF(COUNTIFS($A$4:$A$2503,A1301,$B$4:$B$2503,B1301,$D$4:$D$2503,D1301)&gt;1,"Duplicate row (same date)","OK"))))))</f>
        <v/>
      </c>
    </row>
    <row r="1302">
      <c r="A1302" s="26" t="n"/>
      <c r="B1302" s="26" t="n"/>
      <c r="C1302" s="34" t="n"/>
      <c r="D1302" s="28" t="n"/>
      <c r="E1302" s="26" t="n"/>
      <c r="F1302" s="26" t="n"/>
      <c r="G1302" s="26" t="n"/>
      <c r="H1302" s="38" t="n"/>
      <c r="I1302" s="28" t="n"/>
      <c r="J1302" s="30">
        <f>IF(B1302="","",IFERROR(INDEX('Share classes'!$A$4:$A$203,MATCH(B1302,'Share classes'!$B$4:$B$203,0)),""))</f>
        <v/>
      </c>
      <c r="K1302" s="30">
        <f>IF(A1302="","",IFERROR(INDEX('Holders'!$B$4:$B$1003,MATCH(A1302,'Holders'!$A$4:$A$1003,0)),""))</f>
        <v/>
      </c>
      <c r="L1302" s="30">
        <f>IF(OR(A1302="",B1302="",D1302=""),"",IF(D1302=_xlfn.MAXIFS($D$4:$D$2503,$A$4:$A$2503,A1302,$B$4:$B$2503,B1302),"Yes","No"))</f>
        <v/>
      </c>
      <c r="M1302" s="30">
        <f>IF(B1302="","",IFERROR(INDEX('Share classes'!$F$4:$F$203,MATCH(B1302,'Share classes'!$B$4:$B$203,0)),""))</f>
        <v/>
      </c>
      <c r="N1302" s="30">
        <f>IF(A1302="","",IF(K1302="","Unknown holder ID",IF(J1302="","Unknown class code",IF(OR(C1302="",D1302=""),"Missing shares or date",IF(OR(C1302&lt;0,C1302&lt;&gt;INT(C1302)),"Shares must be a whole number",IF(COUNTIFS($A$4:$A$2503,A1302,$B$4:$B$2503,B1302,$D$4:$D$2503,D1302)&gt;1,"Duplicate row (same date)","OK"))))))</f>
        <v/>
      </c>
    </row>
    <row r="1303">
      <c r="A1303" s="26" t="n"/>
      <c r="B1303" s="26" t="n"/>
      <c r="C1303" s="34" t="n"/>
      <c r="D1303" s="28" t="n"/>
      <c r="E1303" s="26" t="n"/>
      <c r="F1303" s="26" t="n"/>
      <c r="G1303" s="26" t="n"/>
      <c r="H1303" s="38" t="n"/>
      <c r="I1303" s="28" t="n"/>
      <c r="J1303" s="30">
        <f>IF(B1303="","",IFERROR(INDEX('Share classes'!$A$4:$A$203,MATCH(B1303,'Share classes'!$B$4:$B$203,0)),""))</f>
        <v/>
      </c>
      <c r="K1303" s="30">
        <f>IF(A1303="","",IFERROR(INDEX('Holders'!$B$4:$B$1003,MATCH(A1303,'Holders'!$A$4:$A$1003,0)),""))</f>
        <v/>
      </c>
      <c r="L1303" s="30">
        <f>IF(OR(A1303="",B1303="",D1303=""),"",IF(D1303=_xlfn.MAXIFS($D$4:$D$2503,$A$4:$A$2503,A1303,$B$4:$B$2503,B1303),"Yes","No"))</f>
        <v/>
      </c>
      <c r="M1303" s="30">
        <f>IF(B1303="","",IFERROR(INDEX('Share classes'!$F$4:$F$203,MATCH(B1303,'Share classes'!$B$4:$B$203,0)),""))</f>
        <v/>
      </c>
      <c r="N1303" s="30">
        <f>IF(A1303="","",IF(K1303="","Unknown holder ID",IF(J1303="","Unknown class code",IF(OR(C1303="",D1303=""),"Missing shares or date",IF(OR(C1303&lt;0,C1303&lt;&gt;INT(C1303)),"Shares must be a whole number",IF(COUNTIFS($A$4:$A$2503,A1303,$B$4:$B$2503,B1303,$D$4:$D$2503,D1303)&gt;1,"Duplicate row (same date)","OK"))))))</f>
        <v/>
      </c>
    </row>
    <row r="1304">
      <c r="A1304" s="26" t="n"/>
      <c r="B1304" s="26" t="n"/>
      <c r="C1304" s="34" t="n"/>
      <c r="D1304" s="28" t="n"/>
      <c r="E1304" s="26" t="n"/>
      <c r="F1304" s="26" t="n"/>
      <c r="G1304" s="26" t="n"/>
      <c r="H1304" s="38" t="n"/>
      <c r="I1304" s="28" t="n"/>
      <c r="J1304" s="30">
        <f>IF(B1304="","",IFERROR(INDEX('Share classes'!$A$4:$A$203,MATCH(B1304,'Share classes'!$B$4:$B$203,0)),""))</f>
        <v/>
      </c>
      <c r="K1304" s="30">
        <f>IF(A1304="","",IFERROR(INDEX('Holders'!$B$4:$B$1003,MATCH(A1304,'Holders'!$A$4:$A$1003,0)),""))</f>
        <v/>
      </c>
      <c r="L1304" s="30">
        <f>IF(OR(A1304="",B1304="",D1304=""),"",IF(D1304=_xlfn.MAXIFS($D$4:$D$2503,$A$4:$A$2503,A1304,$B$4:$B$2503,B1304),"Yes","No"))</f>
        <v/>
      </c>
      <c r="M1304" s="30">
        <f>IF(B1304="","",IFERROR(INDEX('Share classes'!$F$4:$F$203,MATCH(B1304,'Share classes'!$B$4:$B$203,0)),""))</f>
        <v/>
      </c>
      <c r="N1304" s="30">
        <f>IF(A1304="","",IF(K1304="","Unknown holder ID",IF(J1304="","Unknown class code",IF(OR(C1304="",D1304=""),"Missing shares or date",IF(OR(C1304&lt;0,C1304&lt;&gt;INT(C1304)),"Shares must be a whole number",IF(COUNTIFS($A$4:$A$2503,A1304,$B$4:$B$2503,B1304,$D$4:$D$2503,D1304)&gt;1,"Duplicate row (same date)","OK"))))))</f>
        <v/>
      </c>
    </row>
    <row r="1305">
      <c r="A1305" s="26" t="n"/>
      <c r="B1305" s="26" t="n"/>
      <c r="C1305" s="34" t="n"/>
      <c r="D1305" s="28" t="n"/>
      <c r="E1305" s="26" t="n"/>
      <c r="F1305" s="26" t="n"/>
      <c r="G1305" s="26" t="n"/>
      <c r="H1305" s="38" t="n"/>
      <c r="I1305" s="28" t="n"/>
      <c r="J1305" s="30">
        <f>IF(B1305="","",IFERROR(INDEX('Share classes'!$A$4:$A$203,MATCH(B1305,'Share classes'!$B$4:$B$203,0)),""))</f>
        <v/>
      </c>
      <c r="K1305" s="30">
        <f>IF(A1305="","",IFERROR(INDEX('Holders'!$B$4:$B$1003,MATCH(A1305,'Holders'!$A$4:$A$1003,0)),""))</f>
        <v/>
      </c>
      <c r="L1305" s="30">
        <f>IF(OR(A1305="",B1305="",D1305=""),"",IF(D1305=_xlfn.MAXIFS($D$4:$D$2503,$A$4:$A$2503,A1305,$B$4:$B$2503,B1305),"Yes","No"))</f>
        <v/>
      </c>
      <c r="M1305" s="30">
        <f>IF(B1305="","",IFERROR(INDEX('Share classes'!$F$4:$F$203,MATCH(B1305,'Share classes'!$B$4:$B$203,0)),""))</f>
        <v/>
      </c>
      <c r="N1305" s="30">
        <f>IF(A1305="","",IF(K1305="","Unknown holder ID",IF(J1305="","Unknown class code",IF(OR(C1305="",D1305=""),"Missing shares or date",IF(OR(C1305&lt;0,C1305&lt;&gt;INT(C1305)),"Shares must be a whole number",IF(COUNTIFS($A$4:$A$2503,A1305,$B$4:$B$2503,B1305,$D$4:$D$2503,D1305)&gt;1,"Duplicate row (same date)","OK"))))))</f>
        <v/>
      </c>
    </row>
    <row r="1306">
      <c r="A1306" s="26" t="n"/>
      <c r="B1306" s="26" t="n"/>
      <c r="C1306" s="34" t="n"/>
      <c r="D1306" s="28" t="n"/>
      <c r="E1306" s="26" t="n"/>
      <c r="F1306" s="26" t="n"/>
      <c r="G1306" s="26" t="n"/>
      <c r="H1306" s="38" t="n"/>
      <c r="I1306" s="28" t="n"/>
      <c r="J1306" s="30">
        <f>IF(B1306="","",IFERROR(INDEX('Share classes'!$A$4:$A$203,MATCH(B1306,'Share classes'!$B$4:$B$203,0)),""))</f>
        <v/>
      </c>
      <c r="K1306" s="30">
        <f>IF(A1306="","",IFERROR(INDEX('Holders'!$B$4:$B$1003,MATCH(A1306,'Holders'!$A$4:$A$1003,0)),""))</f>
        <v/>
      </c>
      <c r="L1306" s="30">
        <f>IF(OR(A1306="",B1306="",D1306=""),"",IF(D1306=_xlfn.MAXIFS($D$4:$D$2503,$A$4:$A$2503,A1306,$B$4:$B$2503,B1306),"Yes","No"))</f>
        <v/>
      </c>
      <c r="M1306" s="30">
        <f>IF(B1306="","",IFERROR(INDEX('Share classes'!$F$4:$F$203,MATCH(B1306,'Share classes'!$B$4:$B$203,0)),""))</f>
        <v/>
      </c>
      <c r="N1306" s="30">
        <f>IF(A1306="","",IF(K1306="","Unknown holder ID",IF(J1306="","Unknown class code",IF(OR(C1306="",D1306=""),"Missing shares or date",IF(OR(C1306&lt;0,C1306&lt;&gt;INT(C1306)),"Shares must be a whole number",IF(COUNTIFS($A$4:$A$2503,A1306,$B$4:$B$2503,B1306,$D$4:$D$2503,D1306)&gt;1,"Duplicate row (same date)","OK"))))))</f>
        <v/>
      </c>
    </row>
    <row r="1307">
      <c r="A1307" s="26" t="n"/>
      <c r="B1307" s="26" t="n"/>
      <c r="C1307" s="34" t="n"/>
      <c r="D1307" s="28" t="n"/>
      <c r="E1307" s="26" t="n"/>
      <c r="F1307" s="26" t="n"/>
      <c r="G1307" s="26" t="n"/>
      <c r="H1307" s="38" t="n"/>
      <c r="I1307" s="28" t="n"/>
      <c r="J1307" s="30">
        <f>IF(B1307="","",IFERROR(INDEX('Share classes'!$A$4:$A$203,MATCH(B1307,'Share classes'!$B$4:$B$203,0)),""))</f>
        <v/>
      </c>
      <c r="K1307" s="30">
        <f>IF(A1307="","",IFERROR(INDEX('Holders'!$B$4:$B$1003,MATCH(A1307,'Holders'!$A$4:$A$1003,0)),""))</f>
        <v/>
      </c>
      <c r="L1307" s="30">
        <f>IF(OR(A1307="",B1307="",D1307=""),"",IF(D1307=_xlfn.MAXIFS($D$4:$D$2503,$A$4:$A$2503,A1307,$B$4:$B$2503,B1307),"Yes","No"))</f>
        <v/>
      </c>
      <c r="M1307" s="30">
        <f>IF(B1307="","",IFERROR(INDEX('Share classes'!$F$4:$F$203,MATCH(B1307,'Share classes'!$B$4:$B$203,0)),""))</f>
        <v/>
      </c>
      <c r="N1307" s="30">
        <f>IF(A1307="","",IF(K1307="","Unknown holder ID",IF(J1307="","Unknown class code",IF(OR(C1307="",D1307=""),"Missing shares or date",IF(OR(C1307&lt;0,C1307&lt;&gt;INT(C1307)),"Shares must be a whole number",IF(COUNTIFS($A$4:$A$2503,A1307,$B$4:$B$2503,B1307,$D$4:$D$2503,D1307)&gt;1,"Duplicate row (same date)","OK"))))))</f>
        <v/>
      </c>
    </row>
    <row r="1308">
      <c r="A1308" s="26" t="n"/>
      <c r="B1308" s="26" t="n"/>
      <c r="C1308" s="34" t="n"/>
      <c r="D1308" s="28" t="n"/>
      <c r="E1308" s="26" t="n"/>
      <c r="F1308" s="26" t="n"/>
      <c r="G1308" s="26" t="n"/>
      <c r="H1308" s="38" t="n"/>
      <c r="I1308" s="28" t="n"/>
      <c r="J1308" s="30">
        <f>IF(B1308="","",IFERROR(INDEX('Share classes'!$A$4:$A$203,MATCH(B1308,'Share classes'!$B$4:$B$203,0)),""))</f>
        <v/>
      </c>
      <c r="K1308" s="30">
        <f>IF(A1308="","",IFERROR(INDEX('Holders'!$B$4:$B$1003,MATCH(A1308,'Holders'!$A$4:$A$1003,0)),""))</f>
        <v/>
      </c>
      <c r="L1308" s="30">
        <f>IF(OR(A1308="",B1308="",D1308=""),"",IF(D1308=_xlfn.MAXIFS($D$4:$D$2503,$A$4:$A$2503,A1308,$B$4:$B$2503,B1308),"Yes","No"))</f>
        <v/>
      </c>
      <c r="M1308" s="30">
        <f>IF(B1308="","",IFERROR(INDEX('Share classes'!$F$4:$F$203,MATCH(B1308,'Share classes'!$B$4:$B$203,0)),""))</f>
        <v/>
      </c>
      <c r="N1308" s="30">
        <f>IF(A1308="","",IF(K1308="","Unknown holder ID",IF(J1308="","Unknown class code",IF(OR(C1308="",D1308=""),"Missing shares or date",IF(OR(C1308&lt;0,C1308&lt;&gt;INT(C1308)),"Shares must be a whole number",IF(COUNTIFS($A$4:$A$2503,A1308,$B$4:$B$2503,B1308,$D$4:$D$2503,D1308)&gt;1,"Duplicate row (same date)","OK"))))))</f>
        <v/>
      </c>
    </row>
    <row r="1309">
      <c r="A1309" s="26" t="n"/>
      <c r="B1309" s="26" t="n"/>
      <c r="C1309" s="34" t="n"/>
      <c r="D1309" s="28" t="n"/>
      <c r="E1309" s="26" t="n"/>
      <c r="F1309" s="26" t="n"/>
      <c r="G1309" s="26" t="n"/>
      <c r="H1309" s="38" t="n"/>
      <c r="I1309" s="28" t="n"/>
      <c r="J1309" s="30">
        <f>IF(B1309="","",IFERROR(INDEX('Share classes'!$A$4:$A$203,MATCH(B1309,'Share classes'!$B$4:$B$203,0)),""))</f>
        <v/>
      </c>
      <c r="K1309" s="30">
        <f>IF(A1309="","",IFERROR(INDEX('Holders'!$B$4:$B$1003,MATCH(A1309,'Holders'!$A$4:$A$1003,0)),""))</f>
        <v/>
      </c>
      <c r="L1309" s="30">
        <f>IF(OR(A1309="",B1309="",D1309=""),"",IF(D1309=_xlfn.MAXIFS($D$4:$D$2503,$A$4:$A$2503,A1309,$B$4:$B$2503,B1309),"Yes","No"))</f>
        <v/>
      </c>
      <c r="M1309" s="30">
        <f>IF(B1309="","",IFERROR(INDEX('Share classes'!$F$4:$F$203,MATCH(B1309,'Share classes'!$B$4:$B$203,0)),""))</f>
        <v/>
      </c>
      <c r="N1309" s="30">
        <f>IF(A1309="","",IF(K1309="","Unknown holder ID",IF(J1309="","Unknown class code",IF(OR(C1309="",D1309=""),"Missing shares or date",IF(OR(C1309&lt;0,C1309&lt;&gt;INT(C1309)),"Shares must be a whole number",IF(COUNTIFS($A$4:$A$2503,A1309,$B$4:$B$2503,B1309,$D$4:$D$2503,D1309)&gt;1,"Duplicate row (same date)","OK"))))))</f>
        <v/>
      </c>
    </row>
    <row r="1310">
      <c r="A1310" s="26" t="n"/>
      <c r="B1310" s="26" t="n"/>
      <c r="C1310" s="34" t="n"/>
      <c r="D1310" s="28" t="n"/>
      <c r="E1310" s="26" t="n"/>
      <c r="F1310" s="26" t="n"/>
      <c r="G1310" s="26" t="n"/>
      <c r="H1310" s="38" t="n"/>
      <c r="I1310" s="28" t="n"/>
      <c r="J1310" s="30">
        <f>IF(B1310="","",IFERROR(INDEX('Share classes'!$A$4:$A$203,MATCH(B1310,'Share classes'!$B$4:$B$203,0)),""))</f>
        <v/>
      </c>
      <c r="K1310" s="30">
        <f>IF(A1310="","",IFERROR(INDEX('Holders'!$B$4:$B$1003,MATCH(A1310,'Holders'!$A$4:$A$1003,0)),""))</f>
        <v/>
      </c>
      <c r="L1310" s="30">
        <f>IF(OR(A1310="",B1310="",D1310=""),"",IF(D1310=_xlfn.MAXIFS($D$4:$D$2503,$A$4:$A$2503,A1310,$B$4:$B$2503,B1310),"Yes","No"))</f>
        <v/>
      </c>
      <c r="M1310" s="30">
        <f>IF(B1310="","",IFERROR(INDEX('Share classes'!$F$4:$F$203,MATCH(B1310,'Share classes'!$B$4:$B$203,0)),""))</f>
        <v/>
      </c>
      <c r="N1310" s="30">
        <f>IF(A1310="","",IF(K1310="","Unknown holder ID",IF(J1310="","Unknown class code",IF(OR(C1310="",D1310=""),"Missing shares or date",IF(OR(C1310&lt;0,C1310&lt;&gt;INT(C1310)),"Shares must be a whole number",IF(COUNTIFS($A$4:$A$2503,A1310,$B$4:$B$2503,B1310,$D$4:$D$2503,D1310)&gt;1,"Duplicate row (same date)","OK"))))))</f>
        <v/>
      </c>
    </row>
    <row r="1311">
      <c r="A1311" s="26" t="n"/>
      <c r="B1311" s="26" t="n"/>
      <c r="C1311" s="34" t="n"/>
      <c r="D1311" s="28" t="n"/>
      <c r="E1311" s="26" t="n"/>
      <c r="F1311" s="26" t="n"/>
      <c r="G1311" s="26" t="n"/>
      <c r="H1311" s="38" t="n"/>
      <c r="I1311" s="28" t="n"/>
      <c r="J1311" s="30">
        <f>IF(B1311="","",IFERROR(INDEX('Share classes'!$A$4:$A$203,MATCH(B1311,'Share classes'!$B$4:$B$203,0)),""))</f>
        <v/>
      </c>
      <c r="K1311" s="30">
        <f>IF(A1311="","",IFERROR(INDEX('Holders'!$B$4:$B$1003,MATCH(A1311,'Holders'!$A$4:$A$1003,0)),""))</f>
        <v/>
      </c>
      <c r="L1311" s="30">
        <f>IF(OR(A1311="",B1311="",D1311=""),"",IF(D1311=_xlfn.MAXIFS($D$4:$D$2503,$A$4:$A$2503,A1311,$B$4:$B$2503,B1311),"Yes","No"))</f>
        <v/>
      </c>
      <c r="M1311" s="30">
        <f>IF(B1311="","",IFERROR(INDEX('Share classes'!$F$4:$F$203,MATCH(B1311,'Share classes'!$B$4:$B$203,0)),""))</f>
        <v/>
      </c>
      <c r="N1311" s="30">
        <f>IF(A1311="","",IF(K1311="","Unknown holder ID",IF(J1311="","Unknown class code",IF(OR(C1311="",D1311=""),"Missing shares or date",IF(OR(C1311&lt;0,C1311&lt;&gt;INT(C1311)),"Shares must be a whole number",IF(COUNTIFS($A$4:$A$2503,A1311,$B$4:$B$2503,B1311,$D$4:$D$2503,D1311)&gt;1,"Duplicate row (same date)","OK"))))))</f>
        <v/>
      </c>
    </row>
    <row r="1312">
      <c r="A1312" s="26" t="n"/>
      <c r="B1312" s="26" t="n"/>
      <c r="C1312" s="34" t="n"/>
      <c r="D1312" s="28" t="n"/>
      <c r="E1312" s="26" t="n"/>
      <c r="F1312" s="26" t="n"/>
      <c r="G1312" s="26" t="n"/>
      <c r="H1312" s="38" t="n"/>
      <c r="I1312" s="28" t="n"/>
      <c r="J1312" s="30">
        <f>IF(B1312="","",IFERROR(INDEX('Share classes'!$A$4:$A$203,MATCH(B1312,'Share classes'!$B$4:$B$203,0)),""))</f>
        <v/>
      </c>
      <c r="K1312" s="30">
        <f>IF(A1312="","",IFERROR(INDEX('Holders'!$B$4:$B$1003,MATCH(A1312,'Holders'!$A$4:$A$1003,0)),""))</f>
        <v/>
      </c>
      <c r="L1312" s="30">
        <f>IF(OR(A1312="",B1312="",D1312=""),"",IF(D1312=_xlfn.MAXIFS($D$4:$D$2503,$A$4:$A$2503,A1312,$B$4:$B$2503,B1312),"Yes","No"))</f>
        <v/>
      </c>
      <c r="M1312" s="30">
        <f>IF(B1312="","",IFERROR(INDEX('Share classes'!$F$4:$F$203,MATCH(B1312,'Share classes'!$B$4:$B$203,0)),""))</f>
        <v/>
      </c>
      <c r="N1312" s="30">
        <f>IF(A1312="","",IF(K1312="","Unknown holder ID",IF(J1312="","Unknown class code",IF(OR(C1312="",D1312=""),"Missing shares or date",IF(OR(C1312&lt;0,C1312&lt;&gt;INT(C1312)),"Shares must be a whole number",IF(COUNTIFS($A$4:$A$2503,A1312,$B$4:$B$2503,B1312,$D$4:$D$2503,D1312)&gt;1,"Duplicate row (same date)","OK"))))))</f>
        <v/>
      </c>
    </row>
    <row r="1313">
      <c r="A1313" s="26" t="n"/>
      <c r="B1313" s="26" t="n"/>
      <c r="C1313" s="34" t="n"/>
      <c r="D1313" s="28" t="n"/>
      <c r="E1313" s="26" t="n"/>
      <c r="F1313" s="26" t="n"/>
      <c r="G1313" s="26" t="n"/>
      <c r="H1313" s="38" t="n"/>
      <c r="I1313" s="28" t="n"/>
      <c r="J1313" s="30">
        <f>IF(B1313="","",IFERROR(INDEX('Share classes'!$A$4:$A$203,MATCH(B1313,'Share classes'!$B$4:$B$203,0)),""))</f>
        <v/>
      </c>
      <c r="K1313" s="30">
        <f>IF(A1313="","",IFERROR(INDEX('Holders'!$B$4:$B$1003,MATCH(A1313,'Holders'!$A$4:$A$1003,0)),""))</f>
        <v/>
      </c>
      <c r="L1313" s="30">
        <f>IF(OR(A1313="",B1313="",D1313=""),"",IF(D1313=_xlfn.MAXIFS($D$4:$D$2503,$A$4:$A$2503,A1313,$B$4:$B$2503,B1313),"Yes","No"))</f>
        <v/>
      </c>
      <c r="M1313" s="30">
        <f>IF(B1313="","",IFERROR(INDEX('Share classes'!$F$4:$F$203,MATCH(B1313,'Share classes'!$B$4:$B$203,0)),""))</f>
        <v/>
      </c>
      <c r="N1313" s="30">
        <f>IF(A1313="","",IF(K1313="","Unknown holder ID",IF(J1313="","Unknown class code",IF(OR(C1313="",D1313=""),"Missing shares or date",IF(OR(C1313&lt;0,C1313&lt;&gt;INT(C1313)),"Shares must be a whole number",IF(COUNTIFS($A$4:$A$2503,A1313,$B$4:$B$2503,B1313,$D$4:$D$2503,D1313)&gt;1,"Duplicate row (same date)","OK"))))))</f>
        <v/>
      </c>
    </row>
    <row r="1314">
      <c r="A1314" s="26" t="n"/>
      <c r="B1314" s="26" t="n"/>
      <c r="C1314" s="34" t="n"/>
      <c r="D1314" s="28" t="n"/>
      <c r="E1314" s="26" t="n"/>
      <c r="F1314" s="26" t="n"/>
      <c r="G1314" s="26" t="n"/>
      <c r="H1314" s="38" t="n"/>
      <c r="I1314" s="28" t="n"/>
      <c r="J1314" s="30">
        <f>IF(B1314="","",IFERROR(INDEX('Share classes'!$A$4:$A$203,MATCH(B1314,'Share classes'!$B$4:$B$203,0)),""))</f>
        <v/>
      </c>
      <c r="K1314" s="30">
        <f>IF(A1314="","",IFERROR(INDEX('Holders'!$B$4:$B$1003,MATCH(A1314,'Holders'!$A$4:$A$1003,0)),""))</f>
        <v/>
      </c>
      <c r="L1314" s="30">
        <f>IF(OR(A1314="",B1314="",D1314=""),"",IF(D1314=_xlfn.MAXIFS($D$4:$D$2503,$A$4:$A$2503,A1314,$B$4:$B$2503,B1314),"Yes","No"))</f>
        <v/>
      </c>
      <c r="M1314" s="30">
        <f>IF(B1314="","",IFERROR(INDEX('Share classes'!$F$4:$F$203,MATCH(B1314,'Share classes'!$B$4:$B$203,0)),""))</f>
        <v/>
      </c>
      <c r="N1314" s="30">
        <f>IF(A1314="","",IF(K1314="","Unknown holder ID",IF(J1314="","Unknown class code",IF(OR(C1314="",D1314=""),"Missing shares or date",IF(OR(C1314&lt;0,C1314&lt;&gt;INT(C1314)),"Shares must be a whole number",IF(COUNTIFS($A$4:$A$2503,A1314,$B$4:$B$2503,B1314,$D$4:$D$2503,D1314)&gt;1,"Duplicate row (same date)","OK"))))))</f>
        <v/>
      </c>
    </row>
    <row r="1315">
      <c r="A1315" s="26" t="n"/>
      <c r="B1315" s="26" t="n"/>
      <c r="C1315" s="34" t="n"/>
      <c r="D1315" s="28" t="n"/>
      <c r="E1315" s="26" t="n"/>
      <c r="F1315" s="26" t="n"/>
      <c r="G1315" s="26" t="n"/>
      <c r="H1315" s="38" t="n"/>
      <c r="I1315" s="28" t="n"/>
      <c r="J1315" s="30">
        <f>IF(B1315="","",IFERROR(INDEX('Share classes'!$A$4:$A$203,MATCH(B1315,'Share classes'!$B$4:$B$203,0)),""))</f>
        <v/>
      </c>
      <c r="K1315" s="30">
        <f>IF(A1315="","",IFERROR(INDEX('Holders'!$B$4:$B$1003,MATCH(A1315,'Holders'!$A$4:$A$1003,0)),""))</f>
        <v/>
      </c>
      <c r="L1315" s="30">
        <f>IF(OR(A1315="",B1315="",D1315=""),"",IF(D1315=_xlfn.MAXIFS($D$4:$D$2503,$A$4:$A$2503,A1315,$B$4:$B$2503,B1315),"Yes","No"))</f>
        <v/>
      </c>
      <c r="M1315" s="30">
        <f>IF(B1315="","",IFERROR(INDEX('Share classes'!$F$4:$F$203,MATCH(B1315,'Share classes'!$B$4:$B$203,0)),""))</f>
        <v/>
      </c>
      <c r="N1315" s="30">
        <f>IF(A1315="","",IF(K1315="","Unknown holder ID",IF(J1315="","Unknown class code",IF(OR(C1315="",D1315=""),"Missing shares or date",IF(OR(C1315&lt;0,C1315&lt;&gt;INT(C1315)),"Shares must be a whole number",IF(COUNTIFS($A$4:$A$2503,A1315,$B$4:$B$2503,B1315,$D$4:$D$2503,D1315)&gt;1,"Duplicate row (same date)","OK"))))))</f>
        <v/>
      </c>
    </row>
    <row r="1316">
      <c r="A1316" s="26" t="n"/>
      <c r="B1316" s="26" t="n"/>
      <c r="C1316" s="34" t="n"/>
      <c r="D1316" s="28" t="n"/>
      <c r="E1316" s="26" t="n"/>
      <c r="F1316" s="26" t="n"/>
      <c r="G1316" s="26" t="n"/>
      <c r="H1316" s="38" t="n"/>
      <c r="I1316" s="28" t="n"/>
      <c r="J1316" s="30">
        <f>IF(B1316="","",IFERROR(INDEX('Share classes'!$A$4:$A$203,MATCH(B1316,'Share classes'!$B$4:$B$203,0)),""))</f>
        <v/>
      </c>
      <c r="K1316" s="30">
        <f>IF(A1316="","",IFERROR(INDEX('Holders'!$B$4:$B$1003,MATCH(A1316,'Holders'!$A$4:$A$1003,0)),""))</f>
        <v/>
      </c>
      <c r="L1316" s="30">
        <f>IF(OR(A1316="",B1316="",D1316=""),"",IF(D1316=_xlfn.MAXIFS($D$4:$D$2503,$A$4:$A$2503,A1316,$B$4:$B$2503,B1316),"Yes","No"))</f>
        <v/>
      </c>
      <c r="M1316" s="30">
        <f>IF(B1316="","",IFERROR(INDEX('Share classes'!$F$4:$F$203,MATCH(B1316,'Share classes'!$B$4:$B$203,0)),""))</f>
        <v/>
      </c>
      <c r="N1316" s="30">
        <f>IF(A1316="","",IF(K1316="","Unknown holder ID",IF(J1316="","Unknown class code",IF(OR(C1316="",D1316=""),"Missing shares or date",IF(OR(C1316&lt;0,C1316&lt;&gt;INT(C1316)),"Shares must be a whole number",IF(COUNTIFS($A$4:$A$2503,A1316,$B$4:$B$2503,B1316,$D$4:$D$2503,D1316)&gt;1,"Duplicate row (same date)","OK"))))))</f>
        <v/>
      </c>
    </row>
    <row r="1317">
      <c r="A1317" s="26" t="n"/>
      <c r="B1317" s="26" t="n"/>
      <c r="C1317" s="34" t="n"/>
      <c r="D1317" s="28" t="n"/>
      <c r="E1317" s="26" t="n"/>
      <c r="F1317" s="26" t="n"/>
      <c r="G1317" s="26" t="n"/>
      <c r="H1317" s="38" t="n"/>
      <c r="I1317" s="28" t="n"/>
      <c r="J1317" s="30">
        <f>IF(B1317="","",IFERROR(INDEX('Share classes'!$A$4:$A$203,MATCH(B1317,'Share classes'!$B$4:$B$203,0)),""))</f>
        <v/>
      </c>
      <c r="K1317" s="30">
        <f>IF(A1317="","",IFERROR(INDEX('Holders'!$B$4:$B$1003,MATCH(A1317,'Holders'!$A$4:$A$1003,0)),""))</f>
        <v/>
      </c>
      <c r="L1317" s="30">
        <f>IF(OR(A1317="",B1317="",D1317=""),"",IF(D1317=_xlfn.MAXIFS($D$4:$D$2503,$A$4:$A$2503,A1317,$B$4:$B$2503,B1317),"Yes","No"))</f>
        <v/>
      </c>
      <c r="M1317" s="30">
        <f>IF(B1317="","",IFERROR(INDEX('Share classes'!$F$4:$F$203,MATCH(B1317,'Share classes'!$B$4:$B$203,0)),""))</f>
        <v/>
      </c>
      <c r="N1317" s="30">
        <f>IF(A1317="","",IF(K1317="","Unknown holder ID",IF(J1317="","Unknown class code",IF(OR(C1317="",D1317=""),"Missing shares or date",IF(OR(C1317&lt;0,C1317&lt;&gt;INT(C1317)),"Shares must be a whole number",IF(COUNTIFS($A$4:$A$2503,A1317,$B$4:$B$2503,B1317,$D$4:$D$2503,D1317)&gt;1,"Duplicate row (same date)","OK"))))))</f>
        <v/>
      </c>
    </row>
    <row r="1318">
      <c r="A1318" s="26" t="n"/>
      <c r="B1318" s="26" t="n"/>
      <c r="C1318" s="34" t="n"/>
      <c r="D1318" s="28" t="n"/>
      <c r="E1318" s="26" t="n"/>
      <c r="F1318" s="26" t="n"/>
      <c r="G1318" s="26" t="n"/>
      <c r="H1318" s="38" t="n"/>
      <c r="I1318" s="28" t="n"/>
      <c r="J1318" s="30">
        <f>IF(B1318="","",IFERROR(INDEX('Share classes'!$A$4:$A$203,MATCH(B1318,'Share classes'!$B$4:$B$203,0)),""))</f>
        <v/>
      </c>
      <c r="K1318" s="30">
        <f>IF(A1318="","",IFERROR(INDEX('Holders'!$B$4:$B$1003,MATCH(A1318,'Holders'!$A$4:$A$1003,0)),""))</f>
        <v/>
      </c>
      <c r="L1318" s="30">
        <f>IF(OR(A1318="",B1318="",D1318=""),"",IF(D1318=_xlfn.MAXIFS($D$4:$D$2503,$A$4:$A$2503,A1318,$B$4:$B$2503,B1318),"Yes","No"))</f>
        <v/>
      </c>
      <c r="M1318" s="30">
        <f>IF(B1318="","",IFERROR(INDEX('Share classes'!$F$4:$F$203,MATCH(B1318,'Share classes'!$B$4:$B$203,0)),""))</f>
        <v/>
      </c>
      <c r="N1318" s="30">
        <f>IF(A1318="","",IF(K1318="","Unknown holder ID",IF(J1318="","Unknown class code",IF(OR(C1318="",D1318=""),"Missing shares or date",IF(OR(C1318&lt;0,C1318&lt;&gt;INT(C1318)),"Shares must be a whole number",IF(COUNTIFS($A$4:$A$2503,A1318,$B$4:$B$2503,B1318,$D$4:$D$2503,D1318)&gt;1,"Duplicate row (same date)","OK"))))))</f>
        <v/>
      </c>
    </row>
    <row r="1319">
      <c r="A1319" s="26" t="n"/>
      <c r="B1319" s="26" t="n"/>
      <c r="C1319" s="34" t="n"/>
      <c r="D1319" s="28" t="n"/>
      <c r="E1319" s="26" t="n"/>
      <c r="F1319" s="26" t="n"/>
      <c r="G1319" s="26" t="n"/>
      <c r="H1319" s="38" t="n"/>
      <c r="I1319" s="28" t="n"/>
      <c r="J1319" s="30">
        <f>IF(B1319="","",IFERROR(INDEX('Share classes'!$A$4:$A$203,MATCH(B1319,'Share classes'!$B$4:$B$203,0)),""))</f>
        <v/>
      </c>
      <c r="K1319" s="30">
        <f>IF(A1319="","",IFERROR(INDEX('Holders'!$B$4:$B$1003,MATCH(A1319,'Holders'!$A$4:$A$1003,0)),""))</f>
        <v/>
      </c>
      <c r="L1319" s="30">
        <f>IF(OR(A1319="",B1319="",D1319=""),"",IF(D1319=_xlfn.MAXIFS($D$4:$D$2503,$A$4:$A$2503,A1319,$B$4:$B$2503,B1319),"Yes","No"))</f>
        <v/>
      </c>
      <c r="M1319" s="30">
        <f>IF(B1319="","",IFERROR(INDEX('Share classes'!$F$4:$F$203,MATCH(B1319,'Share classes'!$B$4:$B$203,0)),""))</f>
        <v/>
      </c>
      <c r="N1319" s="30">
        <f>IF(A1319="","",IF(K1319="","Unknown holder ID",IF(J1319="","Unknown class code",IF(OR(C1319="",D1319=""),"Missing shares or date",IF(OR(C1319&lt;0,C1319&lt;&gt;INT(C1319)),"Shares must be a whole number",IF(COUNTIFS($A$4:$A$2503,A1319,$B$4:$B$2503,B1319,$D$4:$D$2503,D1319)&gt;1,"Duplicate row (same date)","OK"))))))</f>
        <v/>
      </c>
    </row>
    <row r="1320">
      <c r="A1320" s="26" t="n"/>
      <c r="B1320" s="26" t="n"/>
      <c r="C1320" s="34" t="n"/>
      <c r="D1320" s="28" t="n"/>
      <c r="E1320" s="26" t="n"/>
      <c r="F1320" s="26" t="n"/>
      <c r="G1320" s="26" t="n"/>
      <c r="H1320" s="38" t="n"/>
      <c r="I1320" s="28" t="n"/>
      <c r="J1320" s="30">
        <f>IF(B1320="","",IFERROR(INDEX('Share classes'!$A$4:$A$203,MATCH(B1320,'Share classes'!$B$4:$B$203,0)),""))</f>
        <v/>
      </c>
      <c r="K1320" s="30">
        <f>IF(A1320="","",IFERROR(INDEX('Holders'!$B$4:$B$1003,MATCH(A1320,'Holders'!$A$4:$A$1003,0)),""))</f>
        <v/>
      </c>
      <c r="L1320" s="30">
        <f>IF(OR(A1320="",B1320="",D1320=""),"",IF(D1320=_xlfn.MAXIFS($D$4:$D$2503,$A$4:$A$2503,A1320,$B$4:$B$2503,B1320),"Yes","No"))</f>
        <v/>
      </c>
      <c r="M1320" s="30">
        <f>IF(B1320="","",IFERROR(INDEX('Share classes'!$F$4:$F$203,MATCH(B1320,'Share classes'!$B$4:$B$203,0)),""))</f>
        <v/>
      </c>
      <c r="N1320" s="30">
        <f>IF(A1320="","",IF(K1320="","Unknown holder ID",IF(J1320="","Unknown class code",IF(OR(C1320="",D1320=""),"Missing shares or date",IF(OR(C1320&lt;0,C1320&lt;&gt;INT(C1320)),"Shares must be a whole number",IF(COUNTIFS($A$4:$A$2503,A1320,$B$4:$B$2503,B1320,$D$4:$D$2503,D1320)&gt;1,"Duplicate row (same date)","OK"))))))</f>
        <v/>
      </c>
    </row>
    <row r="1321">
      <c r="A1321" s="26" t="n"/>
      <c r="B1321" s="26" t="n"/>
      <c r="C1321" s="34" t="n"/>
      <c r="D1321" s="28" t="n"/>
      <c r="E1321" s="26" t="n"/>
      <c r="F1321" s="26" t="n"/>
      <c r="G1321" s="26" t="n"/>
      <c r="H1321" s="38" t="n"/>
      <c r="I1321" s="28" t="n"/>
      <c r="J1321" s="30">
        <f>IF(B1321="","",IFERROR(INDEX('Share classes'!$A$4:$A$203,MATCH(B1321,'Share classes'!$B$4:$B$203,0)),""))</f>
        <v/>
      </c>
      <c r="K1321" s="30">
        <f>IF(A1321="","",IFERROR(INDEX('Holders'!$B$4:$B$1003,MATCH(A1321,'Holders'!$A$4:$A$1003,0)),""))</f>
        <v/>
      </c>
      <c r="L1321" s="30">
        <f>IF(OR(A1321="",B1321="",D1321=""),"",IF(D1321=_xlfn.MAXIFS($D$4:$D$2503,$A$4:$A$2503,A1321,$B$4:$B$2503,B1321),"Yes","No"))</f>
        <v/>
      </c>
      <c r="M1321" s="30">
        <f>IF(B1321="","",IFERROR(INDEX('Share classes'!$F$4:$F$203,MATCH(B1321,'Share classes'!$B$4:$B$203,0)),""))</f>
        <v/>
      </c>
      <c r="N1321" s="30">
        <f>IF(A1321="","",IF(K1321="","Unknown holder ID",IF(J1321="","Unknown class code",IF(OR(C1321="",D1321=""),"Missing shares or date",IF(OR(C1321&lt;0,C1321&lt;&gt;INT(C1321)),"Shares must be a whole number",IF(COUNTIFS($A$4:$A$2503,A1321,$B$4:$B$2503,B1321,$D$4:$D$2503,D1321)&gt;1,"Duplicate row (same date)","OK"))))))</f>
        <v/>
      </c>
    </row>
    <row r="1322">
      <c r="A1322" s="26" t="n"/>
      <c r="B1322" s="26" t="n"/>
      <c r="C1322" s="34" t="n"/>
      <c r="D1322" s="28" t="n"/>
      <c r="E1322" s="26" t="n"/>
      <c r="F1322" s="26" t="n"/>
      <c r="G1322" s="26" t="n"/>
      <c r="H1322" s="38" t="n"/>
      <c r="I1322" s="28" t="n"/>
      <c r="J1322" s="30">
        <f>IF(B1322="","",IFERROR(INDEX('Share classes'!$A$4:$A$203,MATCH(B1322,'Share classes'!$B$4:$B$203,0)),""))</f>
        <v/>
      </c>
      <c r="K1322" s="30">
        <f>IF(A1322="","",IFERROR(INDEX('Holders'!$B$4:$B$1003,MATCH(A1322,'Holders'!$A$4:$A$1003,0)),""))</f>
        <v/>
      </c>
      <c r="L1322" s="30">
        <f>IF(OR(A1322="",B1322="",D1322=""),"",IF(D1322=_xlfn.MAXIFS($D$4:$D$2503,$A$4:$A$2503,A1322,$B$4:$B$2503,B1322),"Yes","No"))</f>
        <v/>
      </c>
      <c r="M1322" s="30">
        <f>IF(B1322="","",IFERROR(INDEX('Share classes'!$F$4:$F$203,MATCH(B1322,'Share classes'!$B$4:$B$203,0)),""))</f>
        <v/>
      </c>
      <c r="N1322" s="30">
        <f>IF(A1322="","",IF(K1322="","Unknown holder ID",IF(J1322="","Unknown class code",IF(OR(C1322="",D1322=""),"Missing shares or date",IF(OR(C1322&lt;0,C1322&lt;&gt;INT(C1322)),"Shares must be a whole number",IF(COUNTIFS($A$4:$A$2503,A1322,$B$4:$B$2503,B1322,$D$4:$D$2503,D1322)&gt;1,"Duplicate row (same date)","OK"))))))</f>
        <v/>
      </c>
    </row>
    <row r="1323">
      <c r="A1323" s="26" t="n"/>
      <c r="B1323" s="26" t="n"/>
      <c r="C1323" s="34" t="n"/>
      <c r="D1323" s="28" t="n"/>
      <c r="E1323" s="26" t="n"/>
      <c r="F1323" s="26" t="n"/>
      <c r="G1323" s="26" t="n"/>
      <c r="H1323" s="38" t="n"/>
      <c r="I1323" s="28" t="n"/>
      <c r="J1323" s="30">
        <f>IF(B1323="","",IFERROR(INDEX('Share classes'!$A$4:$A$203,MATCH(B1323,'Share classes'!$B$4:$B$203,0)),""))</f>
        <v/>
      </c>
      <c r="K1323" s="30">
        <f>IF(A1323="","",IFERROR(INDEX('Holders'!$B$4:$B$1003,MATCH(A1323,'Holders'!$A$4:$A$1003,0)),""))</f>
        <v/>
      </c>
      <c r="L1323" s="30">
        <f>IF(OR(A1323="",B1323="",D1323=""),"",IF(D1323=_xlfn.MAXIFS($D$4:$D$2503,$A$4:$A$2503,A1323,$B$4:$B$2503,B1323),"Yes","No"))</f>
        <v/>
      </c>
      <c r="M1323" s="30">
        <f>IF(B1323="","",IFERROR(INDEX('Share classes'!$F$4:$F$203,MATCH(B1323,'Share classes'!$B$4:$B$203,0)),""))</f>
        <v/>
      </c>
      <c r="N1323" s="30">
        <f>IF(A1323="","",IF(K1323="","Unknown holder ID",IF(J1323="","Unknown class code",IF(OR(C1323="",D1323=""),"Missing shares or date",IF(OR(C1323&lt;0,C1323&lt;&gt;INT(C1323)),"Shares must be a whole number",IF(COUNTIFS($A$4:$A$2503,A1323,$B$4:$B$2503,B1323,$D$4:$D$2503,D1323)&gt;1,"Duplicate row (same date)","OK"))))))</f>
        <v/>
      </c>
    </row>
    <row r="1324">
      <c r="A1324" s="26" t="n"/>
      <c r="B1324" s="26" t="n"/>
      <c r="C1324" s="34" t="n"/>
      <c r="D1324" s="28" t="n"/>
      <c r="E1324" s="26" t="n"/>
      <c r="F1324" s="26" t="n"/>
      <c r="G1324" s="26" t="n"/>
      <c r="H1324" s="38" t="n"/>
      <c r="I1324" s="28" t="n"/>
      <c r="J1324" s="30">
        <f>IF(B1324="","",IFERROR(INDEX('Share classes'!$A$4:$A$203,MATCH(B1324,'Share classes'!$B$4:$B$203,0)),""))</f>
        <v/>
      </c>
      <c r="K1324" s="30">
        <f>IF(A1324="","",IFERROR(INDEX('Holders'!$B$4:$B$1003,MATCH(A1324,'Holders'!$A$4:$A$1003,0)),""))</f>
        <v/>
      </c>
      <c r="L1324" s="30">
        <f>IF(OR(A1324="",B1324="",D1324=""),"",IF(D1324=_xlfn.MAXIFS($D$4:$D$2503,$A$4:$A$2503,A1324,$B$4:$B$2503,B1324),"Yes","No"))</f>
        <v/>
      </c>
      <c r="M1324" s="30">
        <f>IF(B1324="","",IFERROR(INDEX('Share classes'!$F$4:$F$203,MATCH(B1324,'Share classes'!$B$4:$B$203,0)),""))</f>
        <v/>
      </c>
      <c r="N1324" s="30">
        <f>IF(A1324="","",IF(K1324="","Unknown holder ID",IF(J1324="","Unknown class code",IF(OR(C1324="",D1324=""),"Missing shares or date",IF(OR(C1324&lt;0,C1324&lt;&gt;INT(C1324)),"Shares must be a whole number",IF(COUNTIFS($A$4:$A$2503,A1324,$B$4:$B$2503,B1324,$D$4:$D$2503,D1324)&gt;1,"Duplicate row (same date)","OK"))))))</f>
        <v/>
      </c>
    </row>
    <row r="1325">
      <c r="A1325" s="26" t="n"/>
      <c r="B1325" s="26" t="n"/>
      <c r="C1325" s="34" t="n"/>
      <c r="D1325" s="28" t="n"/>
      <c r="E1325" s="26" t="n"/>
      <c r="F1325" s="26" t="n"/>
      <c r="G1325" s="26" t="n"/>
      <c r="H1325" s="38" t="n"/>
      <c r="I1325" s="28" t="n"/>
      <c r="J1325" s="30">
        <f>IF(B1325="","",IFERROR(INDEX('Share classes'!$A$4:$A$203,MATCH(B1325,'Share classes'!$B$4:$B$203,0)),""))</f>
        <v/>
      </c>
      <c r="K1325" s="30">
        <f>IF(A1325="","",IFERROR(INDEX('Holders'!$B$4:$B$1003,MATCH(A1325,'Holders'!$A$4:$A$1003,0)),""))</f>
        <v/>
      </c>
      <c r="L1325" s="30">
        <f>IF(OR(A1325="",B1325="",D1325=""),"",IF(D1325=_xlfn.MAXIFS($D$4:$D$2503,$A$4:$A$2503,A1325,$B$4:$B$2503,B1325),"Yes","No"))</f>
        <v/>
      </c>
      <c r="M1325" s="30">
        <f>IF(B1325="","",IFERROR(INDEX('Share classes'!$F$4:$F$203,MATCH(B1325,'Share classes'!$B$4:$B$203,0)),""))</f>
        <v/>
      </c>
      <c r="N1325" s="30">
        <f>IF(A1325="","",IF(K1325="","Unknown holder ID",IF(J1325="","Unknown class code",IF(OR(C1325="",D1325=""),"Missing shares or date",IF(OR(C1325&lt;0,C1325&lt;&gt;INT(C1325)),"Shares must be a whole number",IF(COUNTIFS($A$4:$A$2503,A1325,$B$4:$B$2503,B1325,$D$4:$D$2503,D1325)&gt;1,"Duplicate row (same date)","OK"))))))</f>
        <v/>
      </c>
    </row>
    <row r="1326">
      <c r="A1326" s="26" t="n"/>
      <c r="B1326" s="26" t="n"/>
      <c r="C1326" s="34" t="n"/>
      <c r="D1326" s="28" t="n"/>
      <c r="E1326" s="26" t="n"/>
      <c r="F1326" s="26" t="n"/>
      <c r="G1326" s="26" t="n"/>
      <c r="H1326" s="38" t="n"/>
      <c r="I1326" s="28" t="n"/>
      <c r="J1326" s="30">
        <f>IF(B1326="","",IFERROR(INDEX('Share classes'!$A$4:$A$203,MATCH(B1326,'Share classes'!$B$4:$B$203,0)),""))</f>
        <v/>
      </c>
      <c r="K1326" s="30">
        <f>IF(A1326="","",IFERROR(INDEX('Holders'!$B$4:$B$1003,MATCH(A1326,'Holders'!$A$4:$A$1003,0)),""))</f>
        <v/>
      </c>
      <c r="L1326" s="30">
        <f>IF(OR(A1326="",B1326="",D1326=""),"",IF(D1326=_xlfn.MAXIFS($D$4:$D$2503,$A$4:$A$2503,A1326,$B$4:$B$2503,B1326),"Yes","No"))</f>
        <v/>
      </c>
      <c r="M1326" s="30">
        <f>IF(B1326="","",IFERROR(INDEX('Share classes'!$F$4:$F$203,MATCH(B1326,'Share classes'!$B$4:$B$203,0)),""))</f>
        <v/>
      </c>
      <c r="N1326" s="30">
        <f>IF(A1326="","",IF(K1326="","Unknown holder ID",IF(J1326="","Unknown class code",IF(OR(C1326="",D1326=""),"Missing shares or date",IF(OR(C1326&lt;0,C1326&lt;&gt;INT(C1326)),"Shares must be a whole number",IF(COUNTIFS($A$4:$A$2503,A1326,$B$4:$B$2503,B1326,$D$4:$D$2503,D1326)&gt;1,"Duplicate row (same date)","OK"))))))</f>
        <v/>
      </c>
    </row>
    <row r="1327">
      <c r="A1327" s="26" t="n"/>
      <c r="B1327" s="26" t="n"/>
      <c r="C1327" s="34" t="n"/>
      <c r="D1327" s="28" t="n"/>
      <c r="E1327" s="26" t="n"/>
      <c r="F1327" s="26" t="n"/>
      <c r="G1327" s="26" t="n"/>
      <c r="H1327" s="38" t="n"/>
      <c r="I1327" s="28" t="n"/>
      <c r="J1327" s="30">
        <f>IF(B1327="","",IFERROR(INDEX('Share classes'!$A$4:$A$203,MATCH(B1327,'Share classes'!$B$4:$B$203,0)),""))</f>
        <v/>
      </c>
      <c r="K1327" s="30">
        <f>IF(A1327="","",IFERROR(INDEX('Holders'!$B$4:$B$1003,MATCH(A1327,'Holders'!$A$4:$A$1003,0)),""))</f>
        <v/>
      </c>
      <c r="L1327" s="30">
        <f>IF(OR(A1327="",B1327="",D1327=""),"",IF(D1327=_xlfn.MAXIFS($D$4:$D$2503,$A$4:$A$2503,A1327,$B$4:$B$2503,B1327),"Yes","No"))</f>
        <v/>
      </c>
      <c r="M1327" s="30">
        <f>IF(B1327="","",IFERROR(INDEX('Share classes'!$F$4:$F$203,MATCH(B1327,'Share classes'!$B$4:$B$203,0)),""))</f>
        <v/>
      </c>
      <c r="N1327" s="30">
        <f>IF(A1327="","",IF(K1327="","Unknown holder ID",IF(J1327="","Unknown class code",IF(OR(C1327="",D1327=""),"Missing shares or date",IF(OR(C1327&lt;0,C1327&lt;&gt;INT(C1327)),"Shares must be a whole number",IF(COUNTIFS($A$4:$A$2503,A1327,$B$4:$B$2503,B1327,$D$4:$D$2503,D1327)&gt;1,"Duplicate row (same date)","OK"))))))</f>
        <v/>
      </c>
    </row>
    <row r="1328">
      <c r="A1328" s="26" t="n"/>
      <c r="B1328" s="26" t="n"/>
      <c r="C1328" s="34" t="n"/>
      <c r="D1328" s="28" t="n"/>
      <c r="E1328" s="26" t="n"/>
      <c r="F1328" s="26" t="n"/>
      <c r="G1328" s="26" t="n"/>
      <c r="H1328" s="38" t="n"/>
      <c r="I1328" s="28" t="n"/>
      <c r="J1328" s="30">
        <f>IF(B1328="","",IFERROR(INDEX('Share classes'!$A$4:$A$203,MATCH(B1328,'Share classes'!$B$4:$B$203,0)),""))</f>
        <v/>
      </c>
      <c r="K1328" s="30">
        <f>IF(A1328="","",IFERROR(INDEX('Holders'!$B$4:$B$1003,MATCH(A1328,'Holders'!$A$4:$A$1003,0)),""))</f>
        <v/>
      </c>
      <c r="L1328" s="30">
        <f>IF(OR(A1328="",B1328="",D1328=""),"",IF(D1328=_xlfn.MAXIFS($D$4:$D$2503,$A$4:$A$2503,A1328,$B$4:$B$2503,B1328),"Yes","No"))</f>
        <v/>
      </c>
      <c r="M1328" s="30">
        <f>IF(B1328="","",IFERROR(INDEX('Share classes'!$F$4:$F$203,MATCH(B1328,'Share classes'!$B$4:$B$203,0)),""))</f>
        <v/>
      </c>
      <c r="N1328" s="30">
        <f>IF(A1328="","",IF(K1328="","Unknown holder ID",IF(J1328="","Unknown class code",IF(OR(C1328="",D1328=""),"Missing shares or date",IF(OR(C1328&lt;0,C1328&lt;&gt;INT(C1328)),"Shares must be a whole number",IF(COUNTIFS($A$4:$A$2503,A1328,$B$4:$B$2503,B1328,$D$4:$D$2503,D1328)&gt;1,"Duplicate row (same date)","OK"))))))</f>
        <v/>
      </c>
    </row>
    <row r="1329">
      <c r="A1329" s="26" t="n"/>
      <c r="B1329" s="26" t="n"/>
      <c r="C1329" s="34" t="n"/>
      <c r="D1329" s="28" t="n"/>
      <c r="E1329" s="26" t="n"/>
      <c r="F1329" s="26" t="n"/>
      <c r="G1329" s="26" t="n"/>
      <c r="H1329" s="38" t="n"/>
      <c r="I1329" s="28" t="n"/>
      <c r="J1329" s="30">
        <f>IF(B1329="","",IFERROR(INDEX('Share classes'!$A$4:$A$203,MATCH(B1329,'Share classes'!$B$4:$B$203,0)),""))</f>
        <v/>
      </c>
      <c r="K1329" s="30">
        <f>IF(A1329="","",IFERROR(INDEX('Holders'!$B$4:$B$1003,MATCH(A1329,'Holders'!$A$4:$A$1003,0)),""))</f>
        <v/>
      </c>
      <c r="L1329" s="30">
        <f>IF(OR(A1329="",B1329="",D1329=""),"",IF(D1329=_xlfn.MAXIFS($D$4:$D$2503,$A$4:$A$2503,A1329,$B$4:$B$2503,B1329),"Yes","No"))</f>
        <v/>
      </c>
      <c r="M1329" s="30">
        <f>IF(B1329="","",IFERROR(INDEX('Share classes'!$F$4:$F$203,MATCH(B1329,'Share classes'!$B$4:$B$203,0)),""))</f>
        <v/>
      </c>
      <c r="N1329" s="30">
        <f>IF(A1329="","",IF(K1329="","Unknown holder ID",IF(J1329="","Unknown class code",IF(OR(C1329="",D1329=""),"Missing shares or date",IF(OR(C1329&lt;0,C1329&lt;&gt;INT(C1329)),"Shares must be a whole number",IF(COUNTIFS($A$4:$A$2503,A1329,$B$4:$B$2503,B1329,$D$4:$D$2503,D1329)&gt;1,"Duplicate row (same date)","OK"))))))</f>
        <v/>
      </c>
    </row>
    <row r="1330">
      <c r="A1330" s="26" t="n"/>
      <c r="B1330" s="26" t="n"/>
      <c r="C1330" s="34" t="n"/>
      <c r="D1330" s="28" t="n"/>
      <c r="E1330" s="26" t="n"/>
      <c r="F1330" s="26" t="n"/>
      <c r="G1330" s="26" t="n"/>
      <c r="H1330" s="38" t="n"/>
      <c r="I1330" s="28" t="n"/>
      <c r="J1330" s="30">
        <f>IF(B1330="","",IFERROR(INDEX('Share classes'!$A$4:$A$203,MATCH(B1330,'Share classes'!$B$4:$B$203,0)),""))</f>
        <v/>
      </c>
      <c r="K1330" s="30">
        <f>IF(A1330="","",IFERROR(INDEX('Holders'!$B$4:$B$1003,MATCH(A1330,'Holders'!$A$4:$A$1003,0)),""))</f>
        <v/>
      </c>
      <c r="L1330" s="30">
        <f>IF(OR(A1330="",B1330="",D1330=""),"",IF(D1330=_xlfn.MAXIFS($D$4:$D$2503,$A$4:$A$2503,A1330,$B$4:$B$2503,B1330),"Yes","No"))</f>
        <v/>
      </c>
      <c r="M1330" s="30">
        <f>IF(B1330="","",IFERROR(INDEX('Share classes'!$F$4:$F$203,MATCH(B1330,'Share classes'!$B$4:$B$203,0)),""))</f>
        <v/>
      </c>
      <c r="N1330" s="30">
        <f>IF(A1330="","",IF(K1330="","Unknown holder ID",IF(J1330="","Unknown class code",IF(OR(C1330="",D1330=""),"Missing shares or date",IF(OR(C1330&lt;0,C1330&lt;&gt;INT(C1330)),"Shares must be a whole number",IF(COUNTIFS($A$4:$A$2503,A1330,$B$4:$B$2503,B1330,$D$4:$D$2503,D1330)&gt;1,"Duplicate row (same date)","OK"))))))</f>
        <v/>
      </c>
    </row>
    <row r="1331">
      <c r="A1331" s="26" t="n"/>
      <c r="B1331" s="26" t="n"/>
      <c r="C1331" s="34" t="n"/>
      <c r="D1331" s="28" t="n"/>
      <c r="E1331" s="26" t="n"/>
      <c r="F1331" s="26" t="n"/>
      <c r="G1331" s="26" t="n"/>
      <c r="H1331" s="38" t="n"/>
      <c r="I1331" s="28" t="n"/>
      <c r="J1331" s="30">
        <f>IF(B1331="","",IFERROR(INDEX('Share classes'!$A$4:$A$203,MATCH(B1331,'Share classes'!$B$4:$B$203,0)),""))</f>
        <v/>
      </c>
      <c r="K1331" s="30">
        <f>IF(A1331="","",IFERROR(INDEX('Holders'!$B$4:$B$1003,MATCH(A1331,'Holders'!$A$4:$A$1003,0)),""))</f>
        <v/>
      </c>
      <c r="L1331" s="30">
        <f>IF(OR(A1331="",B1331="",D1331=""),"",IF(D1331=_xlfn.MAXIFS($D$4:$D$2503,$A$4:$A$2503,A1331,$B$4:$B$2503,B1331),"Yes","No"))</f>
        <v/>
      </c>
      <c r="M1331" s="30">
        <f>IF(B1331="","",IFERROR(INDEX('Share classes'!$F$4:$F$203,MATCH(B1331,'Share classes'!$B$4:$B$203,0)),""))</f>
        <v/>
      </c>
      <c r="N1331" s="30">
        <f>IF(A1331="","",IF(K1331="","Unknown holder ID",IF(J1331="","Unknown class code",IF(OR(C1331="",D1331=""),"Missing shares or date",IF(OR(C1331&lt;0,C1331&lt;&gt;INT(C1331)),"Shares must be a whole number",IF(COUNTIFS($A$4:$A$2503,A1331,$B$4:$B$2503,B1331,$D$4:$D$2503,D1331)&gt;1,"Duplicate row (same date)","OK"))))))</f>
        <v/>
      </c>
    </row>
    <row r="1332">
      <c r="A1332" s="26" t="n"/>
      <c r="B1332" s="26" t="n"/>
      <c r="C1332" s="34" t="n"/>
      <c r="D1332" s="28" t="n"/>
      <c r="E1332" s="26" t="n"/>
      <c r="F1332" s="26" t="n"/>
      <c r="G1332" s="26" t="n"/>
      <c r="H1332" s="38" t="n"/>
      <c r="I1332" s="28" t="n"/>
      <c r="J1332" s="30">
        <f>IF(B1332="","",IFERROR(INDEX('Share classes'!$A$4:$A$203,MATCH(B1332,'Share classes'!$B$4:$B$203,0)),""))</f>
        <v/>
      </c>
      <c r="K1332" s="30">
        <f>IF(A1332="","",IFERROR(INDEX('Holders'!$B$4:$B$1003,MATCH(A1332,'Holders'!$A$4:$A$1003,0)),""))</f>
        <v/>
      </c>
      <c r="L1332" s="30">
        <f>IF(OR(A1332="",B1332="",D1332=""),"",IF(D1332=_xlfn.MAXIFS($D$4:$D$2503,$A$4:$A$2503,A1332,$B$4:$B$2503,B1332),"Yes","No"))</f>
        <v/>
      </c>
      <c r="M1332" s="30">
        <f>IF(B1332="","",IFERROR(INDEX('Share classes'!$F$4:$F$203,MATCH(B1332,'Share classes'!$B$4:$B$203,0)),""))</f>
        <v/>
      </c>
      <c r="N1332" s="30">
        <f>IF(A1332="","",IF(K1332="","Unknown holder ID",IF(J1332="","Unknown class code",IF(OR(C1332="",D1332=""),"Missing shares or date",IF(OR(C1332&lt;0,C1332&lt;&gt;INT(C1332)),"Shares must be a whole number",IF(COUNTIFS($A$4:$A$2503,A1332,$B$4:$B$2503,B1332,$D$4:$D$2503,D1332)&gt;1,"Duplicate row (same date)","OK"))))))</f>
        <v/>
      </c>
    </row>
    <row r="1333">
      <c r="A1333" s="26" t="n"/>
      <c r="B1333" s="26" t="n"/>
      <c r="C1333" s="34" t="n"/>
      <c r="D1333" s="28" t="n"/>
      <c r="E1333" s="26" t="n"/>
      <c r="F1333" s="26" t="n"/>
      <c r="G1333" s="26" t="n"/>
      <c r="H1333" s="38" t="n"/>
      <c r="I1333" s="28" t="n"/>
      <c r="J1333" s="30">
        <f>IF(B1333="","",IFERROR(INDEX('Share classes'!$A$4:$A$203,MATCH(B1333,'Share classes'!$B$4:$B$203,0)),""))</f>
        <v/>
      </c>
      <c r="K1333" s="30">
        <f>IF(A1333="","",IFERROR(INDEX('Holders'!$B$4:$B$1003,MATCH(A1333,'Holders'!$A$4:$A$1003,0)),""))</f>
        <v/>
      </c>
      <c r="L1333" s="30">
        <f>IF(OR(A1333="",B1333="",D1333=""),"",IF(D1333=_xlfn.MAXIFS($D$4:$D$2503,$A$4:$A$2503,A1333,$B$4:$B$2503,B1333),"Yes","No"))</f>
        <v/>
      </c>
      <c r="M1333" s="30">
        <f>IF(B1333="","",IFERROR(INDEX('Share classes'!$F$4:$F$203,MATCH(B1333,'Share classes'!$B$4:$B$203,0)),""))</f>
        <v/>
      </c>
      <c r="N1333" s="30">
        <f>IF(A1333="","",IF(K1333="","Unknown holder ID",IF(J1333="","Unknown class code",IF(OR(C1333="",D1333=""),"Missing shares or date",IF(OR(C1333&lt;0,C1333&lt;&gt;INT(C1333)),"Shares must be a whole number",IF(COUNTIFS($A$4:$A$2503,A1333,$B$4:$B$2503,B1333,$D$4:$D$2503,D1333)&gt;1,"Duplicate row (same date)","OK"))))))</f>
        <v/>
      </c>
    </row>
    <row r="1334">
      <c r="A1334" s="26" t="n"/>
      <c r="B1334" s="26" t="n"/>
      <c r="C1334" s="34" t="n"/>
      <c r="D1334" s="28" t="n"/>
      <c r="E1334" s="26" t="n"/>
      <c r="F1334" s="26" t="n"/>
      <c r="G1334" s="26" t="n"/>
      <c r="H1334" s="38" t="n"/>
      <c r="I1334" s="28" t="n"/>
      <c r="J1334" s="30">
        <f>IF(B1334="","",IFERROR(INDEX('Share classes'!$A$4:$A$203,MATCH(B1334,'Share classes'!$B$4:$B$203,0)),""))</f>
        <v/>
      </c>
      <c r="K1334" s="30">
        <f>IF(A1334="","",IFERROR(INDEX('Holders'!$B$4:$B$1003,MATCH(A1334,'Holders'!$A$4:$A$1003,0)),""))</f>
        <v/>
      </c>
      <c r="L1334" s="30">
        <f>IF(OR(A1334="",B1334="",D1334=""),"",IF(D1334=_xlfn.MAXIFS($D$4:$D$2503,$A$4:$A$2503,A1334,$B$4:$B$2503,B1334),"Yes","No"))</f>
        <v/>
      </c>
      <c r="M1334" s="30">
        <f>IF(B1334="","",IFERROR(INDEX('Share classes'!$F$4:$F$203,MATCH(B1334,'Share classes'!$B$4:$B$203,0)),""))</f>
        <v/>
      </c>
      <c r="N1334" s="30">
        <f>IF(A1334="","",IF(K1334="","Unknown holder ID",IF(J1334="","Unknown class code",IF(OR(C1334="",D1334=""),"Missing shares or date",IF(OR(C1334&lt;0,C1334&lt;&gt;INT(C1334)),"Shares must be a whole number",IF(COUNTIFS($A$4:$A$2503,A1334,$B$4:$B$2503,B1334,$D$4:$D$2503,D1334)&gt;1,"Duplicate row (same date)","OK"))))))</f>
        <v/>
      </c>
    </row>
    <row r="1335">
      <c r="A1335" s="26" t="n"/>
      <c r="B1335" s="26" t="n"/>
      <c r="C1335" s="34" t="n"/>
      <c r="D1335" s="28" t="n"/>
      <c r="E1335" s="26" t="n"/>
      <c r="F1335" s="26" t="n"/>
      <c r="G1335" s="26" t="n"/>
      <c r="H1335" s="38" t="n"/>
      <c r="I1335" s="28" t="n"/>
      <c r="J1335" s="30">
        <f>IF(B1335="","",IFERROR(INDEX('Share classes'!$A$4:$A$203,MATCH(B1335,'Share classes'!$B$4:$B$203,0)),""))</f>
        <v/>
      </c>
      <c r="K1335" s="30">
        <f>IF(A1335="","",IFERROR(INDEX('Holders'!$B$4:$B$1003,MATCH(A1335,'Holders'!$A$4:$A$1003,0)),""))</f>
        <v/>
      </c>
      <c r="L1335" s="30">
        <f>IF(OR(A1335="",B1335="",D1335=""),"",IF(D1335=_xlfn.MAXIFS($D$4:$D$2503,$A$4:$A$2503,A1335,$B$4:$B$2503,B1335),"Yes","No"))</f>
        <v/>
      </c>
      <c r="M1335" s="30">
        <f>IF(B1335="","",IFERROR(INDEX('Share classes'!$F$4:$F$203,MATCH(B1335,'Share classes'!$B$4:$B$203,0)),""))</f>
        <v/>
      </c>
      <c r="N1335" s="30">
        <f>IF(A1335="","",IF(K1335="","Unknown holder ID",IF(J1335="","Unknown class code",IF(OR(C1335="",D1335=""),"Missing shares or date",IF(OR(C1335&lt;0,C1335&lt;&gt;INT(C1335)),"Shares must be a whole number",IF(COUNTIFS($A$4:$A$2503,A1335,$B$4:$B$2503,B1335,$D$4:$D$2503,D1335)&gt;1,"Duplicate row (same date)","OK"))))))</f>
        <v/>
      </c>
    </row>
    <row r="1336">
      <c r="A1336" s="26" t="n"/>
      <c r="B1336" s="26" t="n"/>
      <c r="C1336" s="34" t="n"/>
      <c r="D1336" s="28" t="n"/>
      <c r="E1336" s="26" t="n"/>
      <c r="F1336" s="26" t="n"/>
      <c r="G1336" s="26" t="n"/>
      <c r="H1336" s="38" t="n"/>
      <c r="I1336" s="28" t="n"/>
      <c r="J1336" s="30">
        <f>IF(B1336="","",IFERROR(INDEX('Share classes'!$A$4:$A$203,MATCH(B1336,'Share classes'!$B$4:$B$203,0)),""))</f>
        <v/>
      </c>
      <c r="K1336" s="30">
        <f>IF(A1336="","",IFERROR(INDEX('Holders'!$B$4:$B$1003,MATCH(A1336,'Holders'!$A$4:$A$1003,0)),""))</f>
        <v/>
      </c>
      <c r="L1336" s="30">
        <f>IF(OR(A1336="",B1336="",D1336=""),"",IF(D1336=_xlfn.MAXIFS($D$4:$D$2503,$A$4:$A$2503,A1336,$B$4:$B$2503,B1336),"Yes","No"))</f>
        <v/>
      </c>
      <c r="M1336" s="30">
        <f>IF(B1336="","",IFERROR(INDEX('Share classes'!$F$4:$F$203,MATCH(B1336,'Share classes'!$B$4:$B$203,0)),""))</f>
        <v/>
      </c>
      <c r="N1336" s="30">
        <f>IF(A1336="","",IF(K1336="","Unknown holder ID",IF(J1336="","Unknown class code",IF(OR(C1336="",D1336=""),"Missing shares or date",IF(OR(C1336&lt;0,C1336&lt;&gt;INT(C1336)),"Shares must be a whole number",IF(COUNTIFS($A$4:$A$2503,A1336,$B$4:$B$2503,B1336,$D$4:$D$2503,D1336)&gt;1,"Duplicate row (same date)","OK"))))))</f>
        <v/>
      </c>
    </row>
    <row r="1337">
      <c r="A1337" s="26" t="n"/>
      <c r="B1337" s="26" t="n"/>
      <c r="C1337" s="34" t="n"/>
      <c r="D1337" s="28" t="n"/>
      <c r="E1337" s="26" t="n"/>
      <c r="F1337" s="26" t="n"/>
      <c r="G1337" s="26" t="n"/>
      <c r="H1337" s="38" t="n"/>
      <c r="I1337" s="28" t="n"/>
      <c r="J1337" s="30">
        <f>IF(B1337="","",IFERROR(INDEX('Share classes'!$A$4:$A$203,MATCH(B1337,'Share classes'!$B$4:$B$203,0)),""))</f>
        <v/>
      </c>
      <c r="K1337" s="30">
        <f>IF(A1337="","",IFERROR(INDEX('Holders'!$B$4:$B$1003,MATCH(A1337,'Holders'!$A$4:$A$1003,0)),""))</f>
        <v/>
      </c>
      <c r="L1337" s="30">
        <f>IF(OR(A1337="",B1337="",D1337=""),"",IF(D1337=_xlfn.MAXIFS($D$4:$D$2503,$A$4:$A$2503,A1337,$B$4:$B$2503,B1337),"Yes","No"))</f>
        <v/>
      </c>
      <c r="M1337" s="30">
        <f>IF(B1337="","",IFERROR(INDEX('Share classes'!$F$4:$F$203,MATCH(B1337,'Share classes'!$B$4:$B$203,0)),""))</f>
        <v/>
      </c>
      <c r="N1337" s="30">
        <f>IF(A1337="","",IF(K1337="","Unknown holder ID",IF(J1337="","Unknown class code",IF(OR(C1337="",D1337=""),"Missing shares or date",IF(OR(C1337&lt;0,C1337&lt;&gt;INT(C1337)),"Shares must be a whole number",IF(COUNTIFS($A$4:$A$2503,A1337,$B$4:$B$2503,B1337,$D$4:$D$2503,D1337)&gt;1,"Duplicate row (same date)","OK"))))))</f>
        <v/>
      </c>
    </row>
    <row r="1338">
      <c r="A1338" s="26" t="n"/>
      <c r="B1338" s="26" t="n"/>
      <c r="C1338" s="34" t="n"/>
      <c r="D1338" s="28" t="n"/>
      <c r="E1338" s="26" t="n"/>
      <c r="F1338" s="26" t="n"/>
      <c r="G1338" s="26" t="n"/>
      <c r="H1338" s="38" t="n"/>
      <c r="I1338" s="28" t="n"/>
      <c r="J1338" s="30">
        <f>IF(B1338="","",IFERROR(INDEX('Share classes'!$A$4:$A$203,MATCH(B1338,'Share classes'!$B$4:$B$203,0)),""))</f>
        <v/>
      </c>
      <c r="K1338" s="30">
        <f>IF(A1338="","",IFERROR(INDEX('Holders'!$B$4:$B$1003,MATCH(A1338,'Holders'!$A$4:$A$1003,0)),""))</f>
        <v/>
      </c>
      <c r="L1338" s="30">
        <f>IF(OR(A1338="",B1338="",D1338=""),"",IF(D1338=_xlfn.MAXIFS($D$4:$D$2503,$A$4:$A$2503,A1338,$B$4:$B$2503,B1338),"Yes","No"))</f>
        <v/>
      </c>
      <c r="M1338" s="30">
        <f>IF(B1338="","",IFERROR(INDEX('Share classes'!$F$4:$F$203,MATCH(B1338,'Share classes'!$B$4:$B$203,0)),""))</f>
        <v/>
      </c>
      <c r="N1338" s="30">
        <f>IF(A1338="","",IF(K1338="","Unknown holder ID",IF(J1338="","Unknown class code",IF(OR(C1338="",D1338=""),"Missing shares or date",IF(OR(C1338&lt;0,C1338&lt;&gt;INT(C1338)),"Shares must be a whole number",IF(COUNTIFS($A$4:$A$2503,A1338,$B$4:$B$2503,B1338,$D$4:$D$2503,D1338)&gt;1,"Duplicate row (same date)","OK"))))))</f>
        <v/>
      </c>
    </row>
    <row r="1339">
      <c r="A1339" s="26" t="n"/>
      <c r="B1339" s="26" t="n"/>
      <c r="C1339" s="34" t="n"/>
      <c r="D1339" s="28" t="n"/>
      <c r="E1339" s="26" t="n"/>
      <c r="F1339" s="26" t="n"/>
      <c r="G1339" s="26" t="n"/>
      <c r="H1339" s="38" t="n"/>
      <c r="I1339" s="28" t="n"/>
      <c r="J1339" s="30">
        <f>IF(B1339="","",IFERROR(INDEX('Share classes'!$A$4:$A$203,MATCH(B1339,'Share classes'!$B$4:$B$203,0)),""))</f>
        <v/>
      </c>
      <c r="K1339" s="30">
        <f>IF(A1339="","",IFERROR(INDEX('Holders'!$B$4:$B$1003,MATCH(A1339,'Holders'!$A$4:$A$1003,0)),""))</f>
        <v/>
      </c>
      <c r="L1339" s="30">
        <f>IF(OR(A1339="",B1339="",D1339=""),"",IF(D1339=_xlfn.MAXIFS($D$4:$D$2503,$A$4:$A$2503,A1339,$B$4:$B$2503,B1339),"Yes","No"))</f>
        <v/>
      </c>
      <c r="M1339" s="30">
        <f>IF(B1339="","",IFERROR(INDEX('Share classes'!$F$4:$F$203,MATCH(B1339,'Share classes'!$B$4:$B$203,0)),""))</f>
        <v/>
      </c>
      <c r="N1339" s="30">
        <f>IF(A1339="","",IF(K1339="","Unknown holder ID",IF(J1339="","Unknown class code",IF(OR(C1339="",D1339=""),"Missing shares or date",IF(OR(C1339&lt;0,C1339&lt;&gt;INT(C1339)),"Shares must be a whole number",IF(COUNTIFS($A$4:$A$2503,A1339,$B$4:$B$2503,B1339,$D$4:$D$2503,D1339)&gt;1,"Duplicate row (same date)","OK"))))))</f>
        <v/>
      </c>
    </row>
    <row r="1340">
      <c r="A1340" s="26" t="n"/>
      <c r="B1340" s="26" t="n"/>
      <c r="C1340" s="34" t="n"/>
      <c r="D1340" s="28" t="n"/>
      <c r="E1340" s="26" t="n"/>
      <c r="F1340" s="26" t="n"/>
      <c r="G1340" s="26" t="n"/>
      <c r="H1340" s="38" t="n"/>
      <c r="I1340" s="28" t="n"/>
      <c r="J1340" s="30">
        <f>IF(B1340="","",IFERROR(INDEX('Share classes'!$A$4:$A$203,MATCH(B1340,'Share classes'!$B$4:$B$203,0)),""))</f>
        <v/>
      </c>
      <c r="K1340" s="30">
        <f>IF(A1340="","",IFERROR(INDEX('Holders'!$B$4:$B$1003,MATCH(A1340,'Holders'!$A$4:$A$1003,0)),""))</f>
        <v/>
      </c>
      <c r="L1340" s="30">
        <f>IF(OR(A1340="",B1340="",D1340=""),"",IF(D1340=_xlfn.MAXIFS($D$4:$D$2503,$A$4:$A$2503,A1340,$B$4:$B$2503,B1340),"Yes","No"))</f>
        <v/>
      </c>
      <c r="M1340" s="30">
        <f>IF(B1340="","",IFERROR(INDEX('Share classes'!$F$4:$F$203,MATCH(B1340,'Share classes'!$B$4:$B$203,0)),""))</f>
        <v/>
      </c>
      <c r="N1340" s="30">
        <f>IF(A1340="","",IF(K1340="","Unknown holder ID",IF(J1340="","Unknown class code",IF(OR(C1340="",D1340=""),"Missing shares or date",IF(OR(C1340&lt;0,C1340&lt;&gt;INT(C1340)),"Shares must be a whole number",IF(COUNTIFS($A$4:$A$2503,A1340,$B$4:$B$2503,B1340,$D$4:$D$2503,D1340)&gt;1,"Duplicate row (same date)","OK"))))))</f>
        <v/>
      </c>
    </row>
    <row r="1341">
      <c r="A1341" s="26" t="n"/>
      <c r="B1341" s="26" t="n"/>
      <c r="C1341" s="34" t="n"/>
      <c r="D1341" s="28" t="n"/>
      <c r="E1341" s="26" t="n"/>
      <c r="F1341" s="26" t="n"/>
      <c r="G1341" s="26" t="n"/>
      <c r="H1341" s="38" t="n"/>
      <c r="I1341" s="28" t="n"/>
      <c r="J1341" s="30">
        <f>IF(B1341="","",IFERROR(INDEX('Share classes'!$A$4:$A$203,MATCH(B1341,'Share classes'!$B$4:$B$203,0)),""))</f>
        <v/>
      </c>
      <c r="K1341" s="30">
        <f>IF(A1341="","",IFERROR(INDEX('Holders'!$B$4:$B$1003,MATCH(A1341,'Holders'!$A$4:$A$1003,0)),""))</f>
        <v/>
      </c>
      <c r="L1341" s="30">
        <f>IF(OR(A1341="",B1341="",D1341=""),"",IF(D1341=_xlfn.MAXIFS($D$4:$D$2503,$A$4:$A$2503,A1341,$B$4:$B$2503,B1341),"Yes","No"))</f>
        <v/>
      </c>
      <c r="M1341" s="30">
        <f>IF(B1341="","",IFERROR(INDEX('Share classes'!$F$4:$F$203,MATCH(B1341,'Share classes'!$B$4:$B$203,0)),""))</f>
        <v/>
      </c>
      <c r="N1341" s="30">
        <f>IF(A1341="","",IF(K1341="","Unknown holder ID",IF(J1341="","Unknown class code",IF(OR(C1341="",D1341=""),"Missing shares or date",IF(OR(C1341&lt;0,C1341&lt;&gt;INT(C1341)),"Shares must be a whole number",IF(COUNTIFS($A$4:$A$2503,A1341,$B$4:$B$2503,B1341,$D$4:$D$2503,D1341)&gt;1,"Duplicate row (same date)","OK"))))))</f>
        <v/>
      </c>
    </row>
    <row r="1342">
      <c r="A1342" s="26" t="n"/>
      <c r="B1342" s="26" t="n"/>
      <c r="C1342" s="34" t="n"/>
      <c r="D1342" s="28" t="n"/>
      <c r="E1342" s="26" t="n"/>
      <c r="F1342" s="26" t="n"/>
      <c r="G1342" s="26" t="n"/>
      <c r="H1342" s="38" t="n"/>
      <c r="I1342" s="28" t="n"/>
      <c r="J1342" s="30">
        <f>IF(B1342="","",IFERROR(INDEX('Share classes'!$A$4:$A$203,MATCH(B1342,'Share classes'!$B$4:$B$203,0)),""))</f>
        <v/>
      </c>
      <c r="K1342" s="30">
        <f>IF(A1342="","",IFERROR(INDEX('Holders'!$B$4:$B$1003,MATCH(A1342,'Holders'!$A$4:$A$1003,0)),""))</f>
        <v/>
      </c>
      <c r="L1342" s="30">
        <f>IF(OR(A1342="",B1342="",D1342=""),"",IF(D1342=_xlfn.MAXIFS($D$4:$D$2503,$A$4:$A$2503,A1342,$B$4:$B$2503,B1342),"Yes","No"))</f>
        <v/>
      </c>
      <c r="M1342" s="30">
        <f>IF(B1342="","",IFERROR(INDEX('Share classes'!$F$4:$F$203,MATCH(B1342,'Share classes'!$B$4:$B$203,0)),""))</f>
        <v/>
      </c>
      <c r="N1342" s="30">
        <f>IF(A1342="","",IF(K1342="","Unknown holder ID",IF(J1342="","Unknown class code",IF(OR(C1342="",D1342=""),"Missing shares or date",IF(OR(C1342&lt;0,C1342&lt;&gt;INT(C1342)),"Shares must be a whole number",IF(COUNTIFS($A$4:$A$2503,A1342,$B$4:$B$2503,B1342,$D$4:$D$2503,D1342)&gt;1,"Duplicate row (same date)","OK"))))))</f>
        <v/>
      </c>
    </row>
    <row r="1343">
      <c r="A1343" s="26" t="n"/>
      <c r="B1343" s="26" t="n"/>
      <c r="C1343" s="34" t="n"/>
      <c r="D1343" s="28" t="n"/>
      <c r="E1343" s="26" t="n"/>
      <c r="F1343" s="26" t="n"/>
      <c r="G1343" s="26" t="n"/>
      <c r="H1343" s="38" t="n"/>
      <c r="I1343" s="28" t="n"/>
      <c r="J1343" s="30">
        <f>IF(B1343="","",IFERROR(INDEX('Share classes'!$A$4:$A$203,MATCH(B1343,'Share classes'!$B$4:$B$203,0)),""))</f>
        <v/>
      </c>
      <c r="K1343" s="30">
        <f>IF(A1343="","",IFERROR(INDEX('Holders'!$B$4:$B$1003,MATCH(A1343,'Holders'!$A$4:$A$1003,0)),""))</f>
        <v/>
      </c>
      <c r="L1343" s="30">
        <f>IF(OR(A1343="",B1343="",D1343=""),"",IF(D1343=_xlfn.MAXIFS($D$4:$D$2503,$A$4:$A$2503,A1343,$B$4:$B$2503,B1343),"Yes","No"))</f>
        <v/>
      </c>
      <c r="M1343" s="30">
        <f>IF(B1343="","",IFERROR(INDEX('Share classes'!$F$4:$F$203,MATCH(B1343,'Share classes'!$B$4:$B$203,0)),""))</f>
        <v/>
      </c>
      <c r="N1343" s="30">
        <f>IF(A1343="","",IF(K1343="","Unknown holder ID",IF(J1343="","Unknown class code",IF(OR(C1343="",D1343=""),"Missing shares or date",IF(OR(C1343&lt;0,C1343&lt;&gt;INT(C1343)),"Shares must be a whole number",IF(COUNTIFS($A$4:$A$2503,A1343,$B$4:$B$2503,B1343,$D$4:$D$2503,D1343)&gt;1,"Duplicate row (same date)","OK"))))))</f>
        <v/>
      </c>
    </row>
    <row r="1344">
      <c r="A1344" s="26" t="n"/>
      <c r="B1344" s="26" t="n"/>
      <c r="C1344" s="34" t="n"/>
      <c r="D1344" s="28" t="n"/>
      <c r="E1344" s="26" t="n"/>
      <c r="F1344" s="26" t="n"/>
      <c r="G1344" s="26" t="n"/>
      <c r="H1344" s="38" t="n"/>
      <c r="I1344" s="28" t="n"/>
      <c r="J1344" s="30">
        <f>IF(B1344="","",IFERROR(INDEX('Share classes'!$A$4:$A$203,MATCH(B1344,'Share classes'!$B$4:$B$203,0)),""))</f>
        <v/>
      </c>
      <c r="K1344" s="30">
        <f>IF(A1344="","",IFERROR(INDEX('Holders'!$B$4:$B$1003,MATCH(A1344,'Holders'!$A$4:$A$1003,0)),""))</f>
        <v/>
      </c>
      <c r="L1344" s="30">
        <f>IF(OR(A1344="",B1344="",D1344=""),"",IF(D1344=_xlfn.MAXIFS($D$4:$D$2503,$A$4:$A$2503,A1344,$B$4:$B$2503,B1344),"Yes","No"))</f>
        <v/>
      </c>
      <c r="M1344" s="30">
        <f>IF(B1344="","",IFERROR(INDEX('Share classes'!$F$4:$F$203,MATCH(B1344,'Share classes'!$B$4:$B$203,0)),""))</f>
        <v/>
      </c>
      <c r="N1344" s="30">
        <f>IF(A1344="","",IF(K1344="","Unknown holder ID",IF(J1344="","Unknown class code",IF(OR(C1344="",D1344=""),"Missing shares or date",IF(OR(C1344&lt;0,C1344&lt;&gt;INT(C1344)),"Shares must be a whole number",IF(COUNTIFS($A$4:$A$2503,A1344,$B$4:$B$2503,B1344,$D$4:$D$2503,D1344)&gt;1,"Duplicate row (same date)","OK"))))))</f>
        <v/>
      </c>
    </row>
    <row r="1345">
      <c r="A1345" s="26" t="n"/>
      <c r="B1345" s="26" t="n"/>
      <c r="C1345" s="34" t="n"/>
      <c r="D1345" s="28" t="n"/>
      <c r="E1345" s="26" t="n"/>
      <c r="F1345" s="26" t="n"/>
      <c r="G1345" s="26" t="n"/>
      <c r="H1345" s="38" t="n"/>
      <c r="I1345" s="28" t="n"/>
      <c r="J1345" s="30">
        <f>IF(B1345="","",IFERROR(INDEX('Share classes'!$A$4:$A$203,MATCH(B1345,'Share classes'!$B$4:$B$203,0)),""))</f>
        <v/>
      </c>
      <c r="K1345" s="30">
        <f>IF(A1345="","",IFERROR(INDEX('Holders'!$B$4:$B$1003,MATCH(A1345,'Holders'!$A$4:$A$1003,0)),""))</f>
        <v/>
      </c>
      <c r="L1345" s="30">
        <f>IF(OR(A1345="",B1345="",D1345=""),"",IF(D1345=_xlfn.MAXIFS($D$4:$D$2503,$A$4:$A$2503,A1345,$B$4:$B$2503,B1345),"Yes","No"))</f>
        <v/>
      </c>
      <c r="M1345" s="30">
        <f>IF(B1345="","",IFERROR(INDEX('Share classes'!$F$4:$F$203,MATCH(B1345,'Share classes'!$B$4:$B$203,0)),""))</f>
        <v/>
      </c>
      <c r="N1345" s="30">
        <f>IF(A1345="","",IF(K1345="","Unknown holder ID",IF(J1345="","Unknown class code",IF(OR(C1345="",D1345=""),"Missing shares or date",IF(OR(C1345&lt;0,C1345&lt;&gt;INT(C1345)),"Shares must be a whole number",IF(COUNTIFS($A$4:$A$2503,A1345,$B$4:$B$2503,B1345,$D$4:$D$2503,D1345)&gt;1,"Duplicate row (same date)","OK"))))))</f>
        <v/>
      </c>
    </row>
    <row r="1346">
      <c r="A1346" s="26" t="n"/>
      <c r="B1346" s="26" t="n"/>
      <c r="C1346" s="34" t="n"/>
      <c r="D1346" s="28" t="n"/>
      <c r="E1346" s="26" t="n"/>
      <c r="F1346" s="26" t="n"/>
      <c r="G1346" s="26" t="n"/>
      <c r="H1346" s="38" t="n"/>
      <c r="I1346" s="28" t="n"/>
      <c r="J1346" s="30">
        <f>IF(B1346="","",IFERROR(INDEX('Share classes'!$A$4:$A$203,MATCH(B1346,'Share classes'!$B$4:$B$203,0)),""))</f>
        <v/>
      </c>
      <c r="K1346" s="30">
        <f>IF(A1346="","",IFERROR(INDEX('Holders'!$B$4:$B$1003,MATCH(A1346,'Holders'!$A$4:$A$1003,0)),""))</f>
        <v/>
      </c>
      <c r="L1346" s="30">
        <f>IF(OR(A1346="",B1346="",D1346=""),"",IF(D1346=_xlfn.MAXIFS($D$4:$D$2503,$A$4:$A$2503,A1346,$B$4:$B$2503,B1346),"Yes","No"))</f>
        <v/>
      </c>
      <c r="M1346" s="30">
        <f>IF(B1346="","",IFERROR(INDEX('Share classes'!$F$4:$F$203,MATCH(B1346,'Share classes'!$B$4:$B$203,0)),""))</f>
        <v/>
      </c>
      <c r="N1346" s="30">
        <f>IF(A1346="","",IF(K1346="","Unknown holder ID",IF(J1346="","Unknown class code",IF(OR(C1346="",D1346=""),"Missing shares or date",IF(OR(C1346&lt;0,C1346&lt;&gt;INT(C1346)),"Shares must be a whole number",IF(COUNTIFS($A$4:$A$2503,A1346,$B$4:$B$2503,B1346,$D$4:$D$2503,D1346)&gt;1,"Duplicate row (same date)","OK"))))))</f>
        <v/>
      </c>
    </row>
    <row r="1347">
      <c r="A1347" s="26" t="n"/>
      <c r="B1347" s="26" t="n"/>
      <c r="C1347" s="34" t="n"/>
      <c r="D1347" s="28" t="n"/>
      <c r="E1347" s="26" t="n"/>
      <c r="F1347" s="26" t="n"/>
      <c r="G1347" s="26" t="n"/>
      <c r="H1347" s="38" t="n"/>
      <c r="I1347" s="28" t="n"/>
      <c r="J1347" s="30">
        <f>IF(B1347="","",IFERROR(INDEX('Share classes'!$A$4:$A$203,MATCH(B1347,'Share classes'!$B$4:$B$203,0)),""))</f>
        <v/>
      </c>
      <c r="K1347" s="30">
        <f>IF(A1347="","",IFERROR(INDEX('Holders'!$B$4:$B$1003,MATCH(A1347,'Holders'!$A$4:$A$1003,0)),""))</f>
        <v/>
      </c>
      <c r="L1347" s="30">
        <f>IF(OR(A1347="",B1347="",D1347=""),"",IF(D1347=_xlfn.MAXIFS($D$4:$D$2503,$A$4:$A$2503,A1347,$B$4:$B$2503,B1347),"Yes","No"))</f>
        <v/>
      </c>
      <c r="M1347" s="30">
        <f>IF(B1347="","",IFERROR(INDEX('Share classes'!$F$4:$F$203,MATCH(B1347,'Share classes'!$B$4:$B$203,0)),""))</f>
        <v/>
      </c>
      <c r="N1347" s="30">
        <f>IF(A1347="","",IF(K1347="","Unknown holder ID",IF(J1347="","Unknown class code",IF(OR(C1347="",D1347=""),"Missing shares or date",IF(OR(C1347&lt;0,C1347&lt;&gt;INT(C1347)),"Shares must be a whole number",IF(COUNTIFS($A$4:$A$2503,A1347,$B$4:$B$2503,B1347,$D$4:$D$2503,D1347)&gt;1,"Duplicate row (same date)","OK"))))))</f>
        <v/>
      </c>
    </row>
    <row r="1348">
      <c r="A1348" s="26" t="n"/>
      <c r="B1348" s="26" t="n"/>
      <c r="C1348" s="34" t="n"/>
      <c r="D1348" s="28" t="n"/>
      <c r="E1348" s="26" t="n"/>
      <c r="F1348" s="26" t="n"/>
      <c r="G1348" s="26" t="n"/>
      <c r="H1348" s="38" t="n"/>
      <c r="I1348" s="28" t="n"/>
      <c r="J1348" s="30">
        <f>IF(B1348="","",IFERROR(INDEX('Share classes'!$A$4:$A$203,MATCH(B1348,'Share classes'!$B$4:$B$203,0)),""))</f>
        <v/>
      </c>
      <c r="K1348" s="30">
        <f>IF(A1348="","",IFERROR(INDEX('Holders'!$B$4:$B$1003,MATCH(A1348,'Holders'!$A$4:$A$1003,0)),""))</f>
        <v/>
      </c>
      <c r="L1348" s="30">
        <f>IF(OR(A1348="",B1348="",D1348=""),"",IF(D1348=_xlfn.MAXIFS($D$4:$D$2503,$A$4:$A$2503,A1348,$B$4:$B$2503,B1348),"Yes","No"))</f>
        <v/>
      </c>
      <c r="M1348" s="30">
        <f>IF(B1348="","",IFERROR(INDEX('Share classes'!$F$4:$F$203,MATCH(B1348,'Share classes'!$B$4:$B$203,0)),""))</f>
        <v/>
      </c>
      <c r="N1348" s="30">
        <f>IF(A1348="","",IF(K1348="","Unknown holder ID",IF(J1348="","Unknown class code",IF(OR(C1348="",D1348=""),"Missing shares or date",IF(OR(C1348&lt;0,C1348&lt;&gt;INT(C1348)),"Shares must be a whole number",IF(COUNTIFS($A$4:$A$2503,A1348,$B$4:$B$2503,B1348,$D$4:$D$2503,D1348)&gt;1,"Duplicate row (same date)","OK"))))))</f>
        <v/>
      </c>
    </row>
    <row r="1349">
      <c r="A1349" s="26" t="n"/>
      <c r="B1349" s="26" t="n"/>
      <c r="C1349" s="34" t="n"/>
      <c r="D1349" s="28" t="n"/>
      <c r="E1349" s="26" t="n"/>
      <c r="F1349" s="26" t="n"/>
      <c r="G1349" s="26" t="n"/>
      <c r="H1349" s="38" t="n"/>
      <c r="I1349" s="28" t="n"/>
      <c r="J1349" s="30">
        <f>IF(B1349="","",IFERROR(INDEX('Share classes'!$A$4:$A$203,MATCH(B1349,'Share classes'!$B$4:$B$203,0)),""))</f>
        <v/>
      </c>
      <c r="K1349" s="30">
        <f>IF(A1349="","",IFERROR(INDEX('Holders'!$B$4:$B$1003,MATCH(A1349,'Holders'!$A$4:$A$1003,0)),""))</f>
        <v/>
      </c>
      <c r="L1349" s="30">
        <f>IF(OR(A1349="",B1349="",D1349=""),"",IF(D1349=_xlfn.MAXIFS($D$4:$D$2503,$A$4:$A$2503,A1349,$B$4:$B$2503,B1349),"Yes","No"))</f>
        <v/>
      </c>
      <c r="M1349" s="30">
        <f>IF(B1349="","",IFERROR(INDEX('Share classes'!$F$4:$F$203,MATCH(B1349,'Share classes'!$B$4:$B$203,0)),""))</f>
        <v/>
      </c>
      <c r="N1349" s="30">
        <f>IF(A1349="","",IF(K1349="","Unknown holder ID",IF(J1349="","Unknown class code",IF(OR(C1349="",D1349=""),"Missing shares or date",IF(OR(C1349&lt;0,C1349&lt;&gt;INT(C1349)),"Shares must be a whole number",IF(COUNTIFS($A$4:$A$2503,A1349,$B$4:$B$2503,B1349,$D$4:$D$2503,D1349)&gt;1,"Duplicate row (same date)","OK"))))))</f>
        <v/>
      </c>
    </row>
    <row r="1350">
      <c r="A1350" s="26" t="n"/>
      <c r="B1350" s="26" t="n"/>
      <c r="C1350" s="34" t="n"/>
      <c r="D1350" s="28" t="n"/>
      <c r="E1350" s="26" t="n"/>
      <c r="F1350" s="26" t="n"/>
      <c r="G1350" s="26" t="n"/>
      <c r="H1350" s="38" t="n"/>
      <c r="I1350" s="28" t="n"/>
      <c r="J1350" s="30">
        <f>IF(B1350="","",IFERROR(INDEX('Share classes'!$A$4:$A$203,MATCH(B1350,'Share classes'!$B$4:$B$203,0)),""))</f>
        <v/>
      </c>
      <c r="K1350" s="30">
        <f>IF(A1350="","",IFERROR(INDEX('Holders'!$B$4:$B$1003,MATCH(A1350,'Holders'!$A$4:$A$1003,0)),""))</f>
        <v/>
      </c>
      <c r="L1350" s="30">
        <f>IF(OR(A1350="",B1350="",D1350=""),"",IF(D1350=_xlfn.MAXIFS($D$4:$D$2503,$A$4:$A$2503,A1350,$B$4:$B$2503,B1350),"Yes","No"))</f>
        <v/>
      </c>
      <c r="M1350" s="30">
        <f>IF(B1350="","",IFERROR(INDEX('Share classes'!$F$4:$F$203,MATCH(B1350,'Share classes'!$B$4:$B$203,0)),""))</f>
        <v/>
      </c>
      <c r="N1350" s="30">
        <f>IF(A1350="","",IF(K1350="","Unknown holder ID",IF(J1350="","Unknown class code",IF(OR(C1350="",D1350=""),"Missing shares or date",IF(OR(C1350&lt;0,C1350&lt;&gt;INT(C1350)),"Shares must be a whole number",IF(COUNTIFS($A$4:$A$2503,A1350,$B$4:$B$2503,B1350,$D$4:$D$2503,D1350)&gt;1,"Duplicate row (same date)","OK"))))))</f>
        <v/>
      </c>
    </row>
    <row r="1351">
      <c r="A1351" s="26" t="n"/>
      <c r="B1351" s="26" t="n"/>
      <c r="C1351" s="34" t="n"/>
      <c r="D1351" s="28" t="n"/>
      <c r="E1351" s="26" t="n"/>
      <c r="F1351" s="26" t="n"/>
      <c r="G1351" s="26" t="n"/>
      <c r="H1351" s="38" t="n"/>
      <c r="I1351" s="28" t="n"/>
      <c r="J1351" s="30">
        <f>IF(B1351="","",IFERROR(INDEX('Share classes'!$A$4:$A$203,MATCH(B1351,'Share classes'!$B$4:$B$203,0)),""))</f>
        <v/>
      </c>
      <c r="K1351" s="30">
        <f>IF(A1351="","",IFERROR(INDEX('Holders'!$B$4:$B$1003,MATCH(A1351,'Holders'!$A$4:$A$1003,0)),""))</f>
        <v/>
      </c>
      <c r="L1351" s="30">
        <f>IF(OR(A1351="",B1351="",D1351=""),"",IF(D1351=_xlfn.MAXIFS($D$4:$D$2503,$A$4:$A$2503,A1351,$B$4:$B$2503,B1351),"Yes","No"))</f>
        <v/>
      </c>
      <c r="M1351" s="30">
        <f>IF(B1351="","",IFERROR(INDEX('Share classes'!$F$4:$F$203,MATCH(B1351,'Share classes'!$B$4:$B$203,0)),""))</f>
        <v/>
      </c>
      <c r="N1351" s="30">
        <f>IF(A1351="","",IF(K1351="","Unknown holder ID",IF(J1351="","Unknown class code",IF(OR(C1351="",D1351=""),"Missing shares or date",IF(OR(C1351&lt;0,C1351&lt;&gt;INT(C1351)),"Shares must be a whole number",IF(COUNTIFS($A$4:$A$2503,A1351,$B$4:$B$2503,B1351,$D$4:$D$2503,D1351)&gt;1,"Duplicate row (same date)","OK"))))))</f>
        <v/>
      </c>
    </row>
    <row r="1352">
      <c r="A1352" s="26" t="n"/>
      <c r="B1352" s="26" t="n"/>
      <c r="C1352" s="34" t="n"/>
      <c r="D1352" s="28" t="n"/>
      <c r="E1352" s="26" t="n"/>
      <c r="F1352" s="26" t="n"/>
      <c r="G1352" s="26" t="n"/>
      <c r="H1352" s="38" t="n"/>
      <c r="I1352" s="28" t="n"/>
      <c r="J1352" s="30">
        <f>IF(B1352="","",IFERROR(INDEX('Share classes'!$A$4:$A$203,MATCH(B1352,'Share classes'!$B$4:$B$203,0)),""))</f>
        <v/>
      </c>
      <c r="K1352" s="30">
        <f>IF(A1352="","",IFERROR(INDEX('Holders'!$B$4:$B$1003,MATCH(A1352,'Holders'!$A$4:$A$1003,0)),""))</f>
        <v/>
      </c>
      <c r="L1352" s="30">
        <f>IF(OR(A1352="",B1352="",D1352=""),"",IF(D1352=_xlfn.MAXIFS($D$4:$D$2503,$A$4:$A$2503,A1352,$B$4:$B$2503,B1352),"Yes","No"))</f>
        <v/>
      </c>
      <c r="M1352" s="30">
        <f>IF(B1352="","",IFERROR(INDEX('Share classes'!$F$4:$F$203,MATCH(B1352,'Share classes'!$B$4:$B$203,0)),""))</f>
        <v/>
      </c>
      <c r="N1352" s="30">
        <f>IF(A1352="","",IF(K1352="","Unknown holder ID",IF(J1352="","Unknown class code",IF(OR(C1352="",D1352=""),"Missing shares or date",IF(OR(C1352&lt;0,C1352&lt;&gt;INT(C1352)),"Shares must be a whole number",IF(COUNTIFS($A$4:$A$2503,A1352,$B$4:$B$2503,B1352,$D$4:$D$2503,D1352)&gt;1,"Duplicate row (same date)","OK"))))))</f>
        <v/>
      </c>
    </row>
    <row r="1353">
      <c r="A1353" s="26" t="n"/>
      <c r="B1353" s="26" t="n"/>
      <c r="C1353" s="34" t="n"/>
      <c r="D1353" s="28" t="n"/>
      <c r="E1353" s="26" t="n"/>
      <c r="F1353" s="26" t="n"/>
      <c r="G1353" s="26" t="n"/>
      <c r="H1353" s="38" t="n"/>
      <c r="I1353" s="28" t="n"/>
      <c r="J1353" s="30">
        <f>IF(B1353="","",IFERROR(INDEX('Share classes'!$A$4:$A$203,MATCH(B1353,'Share classes'!$B$4:$B$203,0)),""))</f>
        <v/>
      </c>
      <c r="K1353" s="30">
        <f>IF(A1353="","",IFERROR(INDEX('Holders'!$B$4:$B$1003,MATCH(A1353,'Holders'!$A$4:$A$1003,0)),""))</f>
        <v/>
      </c>
      <c r="L1353" s="30">
        <f>IF(OR(A1353="",B1353="",D1353=""),"",IF(D1353=_xlfn.MAXIFS($D$4:$D$2503,$A$4:$A$2503,A1353,$B$4:$B$2503,B1353),"Yes","No"))</f>
        <v/>
      </c>
      <c r="M1353" s="30">
        <f>IF(B1353="","",IFERROR(INDEX('Share classes'!$F$4:$F$203,MATCH(B1353,'Share classes'!$B$4:$B$203,0)),""))</f>
        <v/>
      </c>
      <c r="N1353" s="30">
        <f>IF(A1353="","",IF(K1353="","Unknown holder ID",IF(J1353="","Unknown class code",IF(OR(C1353="",D1353=""),"Missing shares or date",IF(OR(C1353&lt;0,C1353&lt;&gt;INT(C1353)),"Shares must be a whole number",IF(COUNTIFS($A$4:$A$2503,A1353,$B$4:$B$2503,B1353,$D$4:$D$2503,D1353)&gt;1,"Duplicate row (same date)","OK"))))))</f>
        <v/>
      </c>
    </row>
    <row r="1354">
      <c r="A1354" s="26" t="n"/>
      <c r="B1354" s="26" t="n"/>
      <c r="C1354" s="34" t="n"/>
      <c r="D1354" s="28" t="n"/>
      <c r="E1354" s="26" t="n"/>
      <c r="F1354" s="26" t="n"/>
      <c r="G1354" s="26" t="n"/>
      <c r="H1354" s="38" t="n"/>
      <c r="I1354" s="28" t="n"/>
      <c r="J1354" s="30">
        <f>IF(B1354="","",IFERROR(INDEX('Share classes'!$A$4:$A$203,MATCH(B1354,'Share classes'!$B$4:$B$203,0)),""))</f>
        <v/>
      </c>
      <c r="K1354" s="30">
        <f>IF(A1354="","",IFERROR(INDEX('Holders'!$B$4:$B$1003,MATCH(A1354,'Holders'!$A$4:$A$1003,0)),""))</f>
        <v/>
      </c>
      <c r="L1354" s="30">
        <f>IF(OR(A1354="",B1354="",D1354=""),"",IF(D1354=_xlfn.MAXIFS($D$4:$D$2503,$A$4:$A$2503,A1354,$B$4:$B$2503,B1354),"Yes","No"))</f>
        <v/>
      </c>
      <c r="M1354" s="30">
        <f>IF(B1354="","",IFERROR(INDEX('Share classes'!$F$4:$F$203,MATCH(B1354,'Share classes'!$B$4:$B$203,0)),""))</f>
        <v/>
      </c>
      <c r="N1354" s="30">
        <f>IF(A1354="","",IF(K1354="","Unknown holder ID",IF(J1354="","Unknown class code",IF(OR(C1354="",D1354=""),"Missing shares or date",IF(OR(C1354&lt;0,C1354&lt;&gt;INT(C1354)),"Shares must be a whole number",IF(COUNTIFS($A$4:$A$2503,A1354,$B$4:$B$2503,B1354,$D$4:$D$2503,D1354)&gt;1,"Duplicate row (same date)","OK"))))))</f>
        <v/>
      </c>
    </row>
    <row r="1355">
      <c r="A1355" s="26" t="n"/>
      <c r="B1355" s="26" t="n"/>
      <c r="C1355" s="34" t="n"/>
      <c r="D1355" s="28" t="n"/>
      <c r="E1355" s="26" t="n"/>
      <c r="F1355" s="26" t="n"/>
      <c r="G1355" s="26" t="n"/>
      <c r="H1355" s="38" t="n"/>
      <c r="I1355" s="28" t="n"/>
      <c r="J1355" s="30">
        <f>IF(B1355="","",IFERROR(INDEX('Share classes'!$A$4:$A$203,MATCH(B1355,'Share classes'!$B$4:$B$203,0)),""))</f>
        <v/>
      </c>
      <c r="K1355" s="30">
        <f>IF(A1355="","",IFERROR(INDEX('Holders'!$B$4:$B$1003,MATCH(A1355,'Holders'!$A$4:$A$1003,0)),""))</f>
        <v/>
      </c>
      <c r="L1355" s="30">
        <f>IF(OR(A1355="",B1355="",D1355=""),"",IF(D1355=_xlfn.MAXIFS($D$4:$D$2503,$A$4:$A$2503,A1355,$B$4:$B$2503,B1355),"Yes","No"))</f>
        <v/>
      </c>
      <c r="M1355" s="30">
        <f>IF(B1355="","",IFERROR(INDEX('Share classes'!$F$4:$F$203,MATCH(B1355,'Share classes'!$B$4:$B$203,0)),""))</f>
        <v/>
      </c>
      <c r="N1355" s="30">
        <f>IF(A1355="","",IF(K1355="","Unknown holder ID",IF(J1355="","Unknown class code",IF(OR(C1355="",D1355=""),"Missing shares or date",IF(OR(C1355&lt;0,C1355&lt;&gt;INT(C1355)),"Shares must be a whole number",IF(COUNTIFS($A$4:$A$2503,A1355,$B$4:$B$2503,B1355,$D$4:$D$2503,D1355)&gt;1,"Duplicate row (same date)","OK"))))))</f>
        <v/>
      </c>
    </row>
    <row r="1356">
      <c r="A1356" s="26" t="n"/>
      <c r="B1356" s="26" t="n"/>
      <c r="C1356" s="34" t="n"/>
      <c r="D1356" s="28" t="n"/>
      <c r="E1356" s="26" t="n"/>
      <c r="F1356" s="26" t="n"/>
      <c r="G1356" s="26" t="n"/>
      <c r="H1356" s="38" t="n"/>
      <c r="I1356" s="28" t="n"/>
      <c r="J1356" s="30">
        <f>IF(B1356="","",IFERROR(INDEX('Share classes'!$A$4:$A$203,MATCH(B1356,'Share classes'!$B$4:$B$203,0)),""))</f>
        <v/>
      </c>
      <c r="K1356" s="30">
        <f>IF(A1356="","",IFERROR(INDEX('Holders'!$B$4:$B$1003,MATCH(A1356,'Holders'!$A$4:$A$1003,0)),""))</f>
        <v/>
      </c>
      <c r="L1356" s="30">
        <f>IF(OR(A1356="",B1356="",D1356=""),"",IF(D1356=_xlfn.MAXIFS($D$4:$D$2503,$A$4:$A$2503,A1356,$B$4:$B$2503,B1356),"Yes","No"))</f>
        <v/>
      </c>
      <c r="M1356" s="30">
        <f>IF(B1356="","",IFERROR(INDEX('Share classes'!$F$4:$F$203,MATCH(B1356,'Share classes'!$B$4:$B$203,0)),""))</f>
        <v/>
      </c>
      <c r="N1356" s="30">
        <f>IF(A1356="","",IF(K1356="","Unknown holder ID",IF(J1356="","Unknown class code",IF(OR(C1356="",D1356=""),"Missing shares or date",IF(OR(C1356&lt;0,C1356&lt;&gt;INT(C1356)),"Shares must be a whole number",IF(COUNTIFS($A$4:$A$2503,A1356,$B$4:$B$2503,B1356,$D$4:$D$2503,D1356)&gt;1,"Duplicate row (same date)","OK"))))))</f>
        <v/>
      </c>
    </row>
    <row r="1357">
      <c r="A1357" s="26" t="n"/>
      <c r="B1357" s="26" t="n"/>
      <c r="C1357" s="34" t="n"/>
      <c r="D1357" s="28" t="n"/>
      <c r="E1357" s="26" t="n"/>
      <c r="F1357" s="26" t="n"/>
      <c r="G1357" s="26" t="n"/>
      <c r="H1357" s="38" t="n"/>
      <c r="I1357" s="28" t="n"/>
      <c r="J1357" s="30">
        <f>IF(B1357="","",IFERROR(INDEX('Share classes'!$A$4:$A$203,MATCH(B1357,'Share classes'!$B$4:$B$203,0)),""))</f>
        <v/>
      </c>
      <c r="K1357" s="30">
        <f>IF(A1357="","",IFERROR(INDEX('Holders'!$B$4:$B$1003,MATCH(A1357,'Holders'!$A$4:$A$1003,0)),""))</f>
        <v/>
      </c>
      <c r="L1357" s="30">
        <f>IF(OR(A1357="",B1357="",D1357=""),"",IF(D1357=_xlfn.MAXIFS($D$4:$D$2503,$A$4:$A$2503,A1357,$B$4:$B$2503,B1357),"Yes","No"))</f>
        <v/>
      </c>
      <c r="M1357" s="30">
        <f>IF(B1357="","",IFERROR(INDEX('Share classes'!$F$4:$F$203,MATCH(B1357,'Share classes'!$B$4:$B$203,0)),""))</f>
        <v/>
      </c>
      <c r="N1357" s="30">
        <f>IF(A1357="","",IF(K1357="","Unknown holder ID",IF(J1357="","Unknown class code",IF(OR(C1357="",D1357=""),"Missing shares or date",IF(OR(C1357&lt;0,C1357&lt;&gt;INT(C1357)),"Shares must be a whole number",IF(COUNTIFS($A$4:$A$2503,A1357,$B$4:$B$2503,B1357,$D$4:$D$2503,D1357)&gt;1,"Duplicate row (same date)","OK"))))))</f>
        <v/>
      </c>
    </row>
    <row r="1358">
      <c r="A1358" s="26" t="n"/>
      <c r="B1358" s="26" t="n"/>
      <c r="C1358" s="34" t="n"/>
      <c r="D1358" s="28" t="n"/>
      <c r="E1358" s="26" t="n"/>
      <c r="F1358" s="26" t="n"/>
      <c r="G1358" s="26" t="n"/>
      <c r="H1358" s="38" t="n"/>
      <c r="I1358" s="28" t="n"/>
      <c r="J1358" s="30">
        <f>IF(B1358="","",IFERROR(INDEX('Share classes'!$A$4:$A$203,MATCH(B1358,'Share classes'!$B$4:$B$203,0)),""))</f>
        <v/>
      </c>
      <c r="K1358" s="30">
        <f>IF(A1358="","",IFERROR(INDEX('Holders'!$B$4:$B$1003,MATCH(A1358,'Holders'!$A$4:$A$1003,0)),""))</f>
        <v/>
      </c>
      <c r="L1358" s="30">
        <f>IF(OR(A1358="",B1358="",D1358=""),"",IF(D1358=_xlfn.MAXIFS($D$4:$D$2503,$A$4:$A$2503,A1358,$B$4:$B$2503,B1358),"Yes","No"))</f>
        <v/>
      </c>
      <c r="M1358" s="30">
        <f>IF(B1358="","",IFERROR(INDEX('Share classes'!$F$4:$F$203,MATCH(B1358,'Share classes'!$B$4:$B$203,0)),""))</f>
        <v/>
      </c>
      <c r="N1358" s="30">
        <f>IF(A1358="","",IF(K1358="","Unknown holder ID",IF(J1358="","Unknown class code",IF(OR(C1358="",D1358=""),"Missing shares or date",IF(OR(C1358&lt;0,C1358&lt;&gt;INT(C1358)),"Shares must be a whole number",IF(COUNTIFS($A$4:$A$2503,A1358,$B$4:$B$2503,B1358,$D$4:$D$2503,D1358)&gt;1,"Duplicate row (same date)","OK"))))))</f>
        <v/>
      </c>
    </row>
    <row r="1359">
      <c r="A1359" s="26" t="n"/>
      <c r="B1359" s="26" t="n"/>
      <c r="C1359" s="34" t="n"/>
      <c r="D1359" s="28" t="n"/>
      <c r="E1359" s="26" t="n"/>
      <c r="F1359" s="26" t="n"/>
      <c r="G1359" s="26" t="n"/>
      <c r="H1359" s="38" t="n"/>
      <c r="I1359" s="28" t="n"/>
      <c r="J1359" s="30">
        <f>IF(B1359="","",IFERROR(INDEX('Share classes'!$A$4:$A$203,MATCH(B1359,'Share classes'!$B$4:$B$203,0)),""))</f>
        <v/>
      </c>
      <c r="K1359" s="30">
        <f>IF(A1359="","",IFERROR(INDEX('Holders'!$B$4:$B$1003,MATCH(A1359,'Holders'!$A$4:$A$1003,0)),""))</f>
        <v/>
      </c>
      <c r="L1359" s="30">
        <f>IF(OR(A1359="",B1359="",D1359=""),"",IF(D1359=_xlfn.MAXIFS($D$4:$D$2503,$A$4:$A$2503,A1359,$B$4:$B$2503,B1359),"Yes","No"))</f>
        <v/>
      </c>
      <c r="M1359" s="30">
        <f>IF(B1359="","",IFERROR(INDEX('Share classes'!$F$4:$F$203,MATCH(B1359,'Share classes'!$B$4:$B$203,0)),""))</f>
        <v/>
      </c>
      <c r="N1359" s="30">
        <f>IF(A1359="","",IF(K1359="","Unknown holder ID",IF(J1359="","Unknown class code",IF(OR(C1359="",D1359=""),"Missing shares or date",IF(OR(C1359&lt;0,C1359&lt;&gt;INT(C1359)),"Shares must be a whole number",IF(COUNTIFS($A$4:$A$2503,A1359,$B$4:$B$2503,B1359,$D$4:$D$2503,D1359)&gt;1,"Duplicate row (same date)","OK"))))))</f>
        <v/>
      </c>
    </row>
    <row r="1360">
      <c r="A1360" s="26" t="n"/>
      <c r="B1360" s="26" t="n"/>
      <c r="C1360" s="34" t="n"/>
      <c r="D1360" s="28" t="n"/>
      <c r="E1360" s="26" t="n"/>
      <c r="F1360" s="26" t="n"/>
      <c r="G1360" s="26" t="n"/>
      <c r="H1360" s="38" t="n"/>
      <c r="I1360" s="28" t="n"/>
      <c r="J1360" s="30">
        <f>IF(B1360="","",IFERROR(INDEX('Share classes'!$A$4:$A$203,MATCH(B1360,'Share classes'!$B$4:$B$203,0)),""))</f>
        <v/>
      </c>
      <c r="K1360" s="30">
        <f>IF(A1360="","",IFERROR(INDEX('Holders'!$B$4:$B$1003,MATCH(A1360,'Holders'!$A$4:$A$1003,0)),""))</f>
        <v/>
      </c>
      <c r="L1360" s="30">
        <f>IF(OR(A1360="",B1360="",D1360=""),"",IF(D1360=_xlfn.MAXIFS($D$4:$D$2503,$A$4:$A$2503,A1360,$B$4:$B$2503,B1360),"Yes","No"))</f>
        <v/>
      </c>
      <c r="M1360" s="30">
        <f>IF(B1360="","",IFERROR(INDEX('Share classes'!$F$4:$F$203,MATCH(B1360,'Share classes'!$B$4:$B$203,0)),""))</f>
        <v/>
      </c>
      <c r="N1360" s="30">
        <f>IF(A1360="","",IF(K1360="","Unknown holder ID",IF(J1360="","Unknown class code",IF(OR(C1360="",D1360=""),"Missing shares or date",IF(OR(C1360&lt;0,C1360&lt;&gt;INT(C1360)),"Shares must be a whole number",IF(COUNTIFS($A$4:$A$2503,A1360,$B$4:$B$2503,B1360,$D$4:$D$2503,D1360)&gt;1,"Duplicate row (same date)","OK"))))))</f>
        <v/>
      </c>
    </row>
    <row r="1361">
      <c r="A1361" s="26" t="n"/>
      <c r="B1361" s="26" t="n"/>
      <c r="C1361" s="34" t="n"/>
      <c r="D1361" s="28" t="n"/>
      <c r="E1361" s="26" t="n"/>
      <c r="F1361" s="26" t="n"/>
      <c r="G1361" s="26" t="n"/>
      <c r="H1361" s="38" t="n"/>
      <c r="I1361" s="28" t="n"/>
      <c r="J1361" s="30">
        <f>IF(B1361="","",IFERROR(INDEX('Share classes'!$A$4:$A$203,MATCH(B1361,'Share classes'!$B$4:$B$203,0)),""))</f>
        <v/>
      </c>
      <c r="K1361" s="30">
        <f>IF(A1361="","",IFERROR(INDEX('Holders'!$B$4:$B$1003,MATCH(A1361,'Holders'!$A$4:$A$1003,0)),""))</f>
        <v/>
      </c>
      <c r="L1361" s="30">
        <f>IF(OR(A1361="",B1361="",D1361=""),"",IF(D1361=_xlfn.MAXIFS($D$4:$D$2503,$A$4:$A$2503,A1361,$B$4:$B$2503,B1361),"Yes","No"))</f>
        <v/>
      </c>
      <c r="M1361" s="30">
        <f>IF(B1361="","",IFERROR(INDEX('Share classes'!$F$4:$F$203,MATCH(B1361,'Share classes'!$B$4:$B$203,0)),""))</f>
        <v/>
      </c>
      <c r="N1361" s="30">
        <f>IF(A1361="","",IF(K1361="","Unknown holder ID",IF(J1361="","Unknown class code",IF(OR(C1361="",D1361=""),"Missing shares or date",IF(OR(C1361&lt;0,C1361&lt;&gt;INT(C1361)),"Shares must be a whole number",IF(COUNTIFS($A$4:$A$2503,A1361,$B$4:$B$2503,B1361,$D$4:$D$2503,D1361)&gt;1,"Duplicate row (same date)","OK"))))))</f>
        <v/>
      </c>
    </row>
    <row r="1362">
      <c r="A1362" s="26" t="n"/>
      <c r="B1362" s="26" t="n"/>
      <c r="C1362" s="34" t="n"/>
      <c r="D1362" s="28" t="n"/>
      <c r="E1362" s="26" t="n"/>
      <c r="F1362" s="26" t="n"/>
      <c r="G1362" s="26" t="n"/>
      <c r="H1362" s="38" t="n"/>
      <c r="I1362" s="28" t="n"/>
      <c r="J1362" s="30">
        <f>IF(B1362="","",IFERROR(INDEX('Share classes'!$A$4:$A$203,MATCH(B1362,'Share classes'!$B$4:$B$203,0)),""))</f>
        <v/>
      </c>
      <c r="K1362" s="30">
        <f>IF(A1362="","",IFERROR(INDEX('Holders'!$B$4:$B$1003,MATCH(A1362,'Holders'!$A$4:$A$1003,0)),""))</f>
        <v/>
      </c>
      <c r="L1362" s="30">
        <f>IF(OR(A1362="",B1362="",D1362=""),"",IF(D1362=_xlfn.MAXIFS($D$4:$D$2503,$A$4:$A$2503,A1362,$B$4:$B$2503,B1362),"Yes","No"))</f>
        <v/>
      </c>
      <c r="M1362" s="30">
        <f>IF(B1362="","",IFERROR(INDEX('Share classes'!$F$4:$F$203,MATCH(B1362,'Share classes'!$B$4:$B$203,0)),""))</f>
        <v/>
      </c>
      <c r="N1362" s="30">
        <f>IF(A1362="","",IF(K1362="","Unknown holder ID",IF(J1362="","Unknown class code",IF(OR(C1362="",D1362=""),"Missing shares or date",IF(OR(C1362&lt;0,C1362&lt;&gt;INT(C1362)),"Shares must be a whole number",IF(COUNTIFS($A$4:$A$2503,A1362,$B$4:$B$2503,B1362,$D$4:$D$2503,D1362)&gt;1,"Duplicate row (same date)","OK"))))))</f>
        <v/>
      </c>
    </row>
    <row r="1363">
      <c r="A1363" s="26" t="n"/>
      <c r="B1363" s="26" t="n"/>
      <c r="C1363" s="34" t="n"/>
      <c r="D1363" s="28" t="n"/>
      <c r="E1363" s="26" t="n"/>
      <c r="F1363" s="26" t="n"/>
      <c r="G1363" s="26" t="n"/>
      <c r="H1363" s="38" t="n"/>
      <c r="I1363" s="28" t="n"/>
      <c r="J1363" s="30">
        <f>IF(B1363="","",IFERROR(INDEX('Share classes'!$A$4:$A$203,MATCH(B1363,'Share classes'!$B$4:$B$203,0)),""))</f>
        <v/>
      </c>
      <c r="K1363" s="30">
        <f>IF(A1363="","",IFERROR(INDEX('Holders'!$B$4:$B$1003,MATCH(A1363,'Holders'!$A$4:$A$1003,0)),""))</f>
        <v/>
      </c>
      <c r="L1363" s="30">
        <f>IF(OR(A1363="",B1363="",D1363=""),"",IF(D1363=_xlfn.MAXIFS($D$4:$D$2503,$A$4:$A$2503,A1363,$B$4:$B$2503,B1363),"Yes","No"))</f>
        <v/>
      </c>
      <c r="M1363" s="30">
        <f>IF(B1363="","",IFERROR(INDEX('Share classes'!$F$4:$F$203,MATCH(B1363,'Share classes'!$B$4:$B$203,0)),""))</f>
        <v/>
      </c>
      <c r="N1363" s="30">
        <f>IF(A1363="","",IF(K1363="","Unknown holder ID",IF(J1363="","Unknown class code",IF(OR(C1363="",D1363=""),"Missing shares or date",IF(OR(C1363&lt;0,C1363&lt;&gt;INT(C1363)),"Shares must be a whole number",IF(COUNTIFS($A$4:$A$2503,A1363,$B$4:$B$2503,B1363,$D$4:$D$2503,D1363)&gt;1,"Duplicate row (same date)","OK"))))))</f>
        <v/>
      </c>
    </row>
    <row r="1364">
      <c r="A1364" s="26" t="n"/>
      <c r="B1364" s="26" t="n"/>
      <c r="C1364" s="34" t="n"/>
      <c r="D1364" s="28" t="n"/>
      <c r="E1364" s="26" t="n"/>
      <c r="F1364" s="26" t="n"/>
      <c r="G1364" s="26" t="n"/>
      <c r="H1364" s="38" t="n"/>
      <c r="I1364" s="28" t="n"/>
      <c r="J1364" s="30">
        <f>IF(B1364="","",IFERROR(INDEX('Share classes'!$A$4:$A$203,MATCH(B1364,'Share classes'!$B$4:$B$203,0)),""))</f>
        <v/>
      </c>
      <c r="K1364" s="30">
        <f>IF(A1364="","",IFERROR(INDEX('Holders'!$B$4:$B$1003,MATCH(A1364,'Holders'!$A$4:$A$1003,0)),""))</f>
        <v/>
      </c>
      <c r="L1364" s="30">
        <f>IF(OR(A1364="",B1364="",D1364=""),"",IF(D1364=_xlfn.MAXIFS($D$4:$D$2503,$A$4:$A$2503,A1364,$B$4:$B$2503,B1364),"Yes","No"))</f>
        <v/>
      </c>
      <c r="M1364" s="30">
        <f>IF(B1364="","",IFERROR(INDEX('Share classes'!$F$4:$F$203,MATCH(B1364,'Share classes'!$B$4:$B$203,0)),""))</f>
        <v/>
      </c>
      <c r="N1364" s="30">
        <f>IF(A1364="","",IF(K1364="","Unknown holder ID",IF(J1364="","Unknown class code",IF(OR(C1364="",D1364=""),"Missing shares or date",IF(OR(C1364&lt;0,C1364&lt;&gt;INT(C1364)),"Shares must be a whole number",IF(COUNTIFS($A$4:$A$2503,A1364,$B$4:$B$2503,B1364,$D$4:$D$2503,D1364)&gt;1,"Duplicate row (same date)","OK"))))))</f>
        <v/>
      </c>
    </row>
    <row r="1365">
      <c r="A1365" s="26" t="n"/>
      <c r="B1365" s="26" t="n"/>
      <c r="C1365" s="34" t="n"/>
      <c r="D1365" s="28" t="n"/>
      <c r="E1365" s="26" t="n"/>
      <c r="F1365" s="26" t="n"/>
      <c r="G1365" s="26" t="n"/>
      <c r="H1365" s="38" t="n"/>
      <c r="I1365" s="28" t="n"/>
      <c r="J1365" s="30">
        <f>IF(B1365="","",IFERROR(INDEX('Share classes'!$A$4:$A$203,MATCH(B1365,'Share classes'!$B$4:$B$203,0)),""))</f>
        <v/>
      </c>
      <c r="K1365" s="30">
        <f>IF(A1365="","",IFERROR(INDEX('Holders'!$B$4:$B$1003,MATCH(A1365,'Holders'!$A$4:$A$1003,0)),""))</f>
        <v/>
      </c>
      <c r="L1365" s="30">
        <f>IF(OR(A1365="",B1365="",D1365=""),"",IF(D1365=_xlfn.MAXIFS($D$4:$D$2503,$A$4:$A$2503,A1365,$B$4:$B$2503,B1365),"Yes","No"))</f>
        <v/>
      </c>
      <c r="M1365" s="30">
        <f>IF(B1365="","",IFERROR(INDEX('Share classes'!$F$4:$F$203,MATCH(B1365,'Share classes'!$B$4:$B$203,0)),""))</f>
        <v/>
      </c>
      <c r="N1365" s="30">
        <f>IF(A1365="","",IF(K1365="","Unknown holder ID",IF(J1365="","Unknown class code",IF(OR(C1365="",D1365=""),"Missing shares or date",IF(OR(C1365&lt;0,C1365&lt;&gt;INT(C1365)),"Shares must be a whole number",IF(COUNTIFS($A$4:$A$2503,A1365,$B$4:$B$2503,B1365,$D$4:$D$2503,D1365)&gt;1,"Duplicate row (same date)","OK"))))))</f>
        <v/>
      </c>
    </row>
    <row r="1366">
      <c r="A1366" s="26" t="n"/>
      <c r="B1366" s="26" t="n"/>
      <c r="C1366" s="34" t="n"/>
      <c r="D1366" s="28" t="n"/>
      <c r="E1366" s="26" t="n"/>
      <c r="F1366" s="26" t="n"/>
      <c r="G1366" s="26" t="n"/>
      <c r="H1366" s="38" t="n"/>
      <c r="I1366" s="28" t="n"/>
      <c r="J1366" s="30">
        <f>IF(B1366="","",IFERROR(INDEX('Share classes'!$A$4:$A$203,MATCH(B1366,'Share classes'!$B$4:$B$203,0)),""))</f>
        <v/>
      </c>
      <c r="K1366" s="30">
        <f>IF(A1366="","",IFERROR(INDEX('Holders'!$B$4:$B$1003,MATCH(A1366,'Holders'!$A$4:$A$1003,0)),""))</f>
        <v/>
      </c>
      <c r="L1366" s="30">
        <f>IF(OR(A1366="",B1366="",D1366=""),"",IF(D1366=_xlfn.MAXIFS($D$4:$D$2503,$A$4:$A$2503,A1366,$B$4:$B$2503,B1366),"Yes","No"))</f>
        <v/>
      </c>
      <c r="M1366" s="30">
        <f>IF(B1366="","",IFERROR(INDEX('Share classes'!$F$4:$F$203,MATCH(B1366,'Share classes'!$B$4:$B$203,0)),""))</f>
        <v/>
      </c>
      <c r="N1366" s="30">
        <f>IF(A1366="","",IF(K1366="","Unknown holder ID",IF(J1366="","Unknown class code",IF(OR(C1366="",D1366=""),"Missing shares or date",IF(OR(C1366&lt;0,C1366&lt;&gt;INT(C1366)),"Shares must be a whole number",IF(COUNTIFS($A$4:$A$2503,A1366,$B$4:$B$2503,B1366,$D$4:$D$2503,D1366)&gt;1,"Duplicate row (same date)","OK"))))))</f>
        <v/>
      </c>
    </row>
    <row r="1367">
      <c r="A1367" s="26" t="n"/>
      <c r="B1367" s="26" t="n"/>
      <c r="C1367" s="34" t="n"/>
      <c r="D1367" s="28" t="n"/>
      <c r="E1367" s="26" t="n"/>
      <c r="F1367" s="26" t="n"/>
      <c r="G1367" s="26" t="n"/>
      <c r="H1367" s="38" t="n"/>
      <c r="I1367" s="28" t="n"/>
      <c r="J1367" s="30">
        <f>IF(B1367="","",IFERROR(INDEX('Share classes'!$A$4:$A$203,MATCH(B1367,'Share classes'!$B$4:$B$203,0)),""))</f>
        <v/>
      </c>
      <c r="K1367" s="30">
        <f>IF(A1367="","",IFERROR(INDEX('Holders'!$B$4:$B$1003,MATCH(A1367,'Holders'!$A$4:$A$1003,0)),""))</f>
        <v/>
      </c>
      <c r="L1367" s="30">
        <f>IF(OR(A1367="",B1367="",D1367=""),"",IF(D1367=_xlfn.MAXIFS($D$4:$D$2503,$A$4:$A$2503,A1367,$B$4:$B$2503,B1367),"Yes","No"))</f>
        <v/>
      </c>
      <c r="M1367" s="30">
        <f>IF(B1367="","",IFERROR(INDEX('Share classes'!$F$4:$F$203,MATCH(B1367,'Share classes'!$B$4:$B$203,0)),""))</f>
        <v/>
      </c>
      <c r="N1367" s="30">
        <f>IF(A1367="","",IF(K1367="","Unknown holder ID",IF(J1367="","Unknown class code",IF(OR(C1367="",D1367=""),"Missing shares or date",IF(OR(C1367&lt;0,C1367&lt;&gt;INT(C1367)),"Shares must be a whole number",IF(COUNTIFS($A$4:$A$2503,A1367,$B$4:$B$2503,B1367,$D$4:$D$2503,D1367)&gt;1,"Duplicate row (same date)","OK"))))))</f>
        <v/>
      </c>
    </row>
    <row r="1368">
      <c r="A1368" s="26" t="n"/>
      <c r="B1368" s="26" t="n"/>
      <c r="C1368" s="34" t="n"/>
      <c r="D1368" s="28" t="n"/>
      <c r="E1368" s="26" t="n"/>
      <c r="F1368" s="26" t="n"/>
      <c r="G1368" s="26" t="n"/>
      <c r="H1368" s="38" t="n"/>
      <c r="I1368" s="28" t="n"/>
      <c r="J1368" s="30">
        <f>IF(B1368="","",IFERROR(INDEX('Share classes'!$A$4:$A$203,MATCH(B1368,'Share classes'!$B$4:$B$203,0)),""))</f>
        <v/>
      </c>
      <c r="K1368" s="30">
        <f>IF(A1368="","",IFERROR(INDEX('Holders'!$B$4:$B$1003,MATCH(A1368,'Holders'!$A$4:$A$1003,0)),""))</f>
        <v/>
      </c>
      <c r="L1368" s="30">
        <f>IF(OR(A1368="",B1368="",D1368=""),"",IF(D1368=_xlfn.MAXIFS($D$4:$D$2503,$A$4:$A$2503,A1368,$B$4:$B$2503,B1368),"Yes","No"))</f>
        <v/>
      </c>
      <c r="M1368" s="30">
        <f>IF(B1368="","",IFERROR(INDEX('Share classes'!$F$4:$F$203,MATCH(B1368,'Share classes'!$B$4:$B$203,0)),""))</f>
        <v/>
      </c>
      <c r="N1368" s="30">
        <f>IF(A1368="","",IF(K1368="","Unknown holder ID",IF(J1368="","Unknown class code",IF(OR(C1368="",D1368=""),"Missing shares or date",IF(OR(C1368&lt;0,C1368&lt;&gt;INT(C1368)),"Shares must be a whole number",IF(COUNTIFS($A$4:$A$2503,A1368,$B$4:$B$2503,B1368,$D$4:$D$2503,D1368)&gt;1,"Duplicate row (same date)","OK"))))))</f>
        <v/>
      </c>
    </row>
    <row r="1369">
      <c r="A1369" s="26" t="n"/>
      <c r="B1369" s="26" t="n"/>
      <c r="C1369" s="34" t="n"/>
      <c r="D1369" s="28" t="n"/>
      <c r="E1369" s="26" t="n"/>
      <c r="F1369" s="26" t="n"/>
      <c r="G1369" s="26" t="n"/>
      <c r="H1369" s="38" t="n"/>
      <c r="I1369" s="28" t="n"/>
      <c r="J1369" s="30">
        <f>IF(B1369="","",IFERROR(INDEX('Share classes'!$A$4:$A$203,MATCH(B1369,'Share classes'!$B$4:$B$203,0)),""))</f>
        <v/>
      </c>
      <c r="K1369" s="30">
        <f>IF(A1369="","",IFERROR(INDEX('Holders'!$B$4:$B$1003,MATCH(A1369,'Holders'!$A$4:$A$1003,0)),""))</f>
        <v/>
      </c>
      <c r="L1369" s="30">
        <f>IF(OR(A1369="",B1369="",D1369=""),"",IF(D1369=_xlfn.MAXIFS($D$4:$D$2503,$A$4:$A$2503,A1369,$B$4:$B$2503,B1369),"Yes","No"))</f>
        <v/>
      </c>
      <c r="M1369" s="30">
        <f>IF(B1369="","",IFERROR(INDEX('Share classes'!$F$4:$F$203,MATCH(B1369,'Share classes'!$B$4:$B$203,0)),""))</f>
        <v/>
      </c>
      <c r="N1369" s="30">
        <f>IF(A1369="","",IF(K1369="","Unknown holder ID",IF(J1369="","Unknown class code",IF(OR(C1369="",D1369=""),"Missing shares or date",IF(OR(C1369&lt;0,C1369&lt;&gt;INT(C1369)),"Shares must be a whole number",IF(COUNTIFS($A$4:$A$2503,A1369,$B$4:$B$2503,B1369,$D$4:$D$2503,D1369)&gt;1,"Duplicate row (same date)","OK"))))))</f>
        <v/>
      </c>
    </row>
    <row r="1370">
      <c r="A1370" s="26" t="n"/>
      <c r="B1370" s="26" t="n"/>
      <c r="C1370" s="34" t="n"/>
      <c r="D1370" s="28" t="n"/>
      <c r="E1370" s="26" t="n"/>
      <c r="F1370" s="26" t="n"/>
      <c r="G1370" s="26" t="n"/>
      <c r="H1370" s="38" t="n"/>
      <c r="I1370" s="28" t="n"/>
      <c r="J1370" s="30">
        <f>IF(B1370="","",IFERROR(INDEX('Share classes'!$A$4:$A$203,MATCH(B1370,'Share classes'!$B$4:$B$203,0)),""))</f>
        <v/>
      </c>
      <c r="K1370" s="30">
        <f>IF(A1370="","",IFERROR(INDEX('Holders'!$B$4:$B$1003,MATCH(A1370,'Holders'!$A$4:$A$1003,0)),""))</f>
        <v/>
      </c>
      <c r="L1370" s="30">
        <f>IF(OR(A1370="",B1370="",D1370=""),"",IF(D1370=_xlfn.MAXIFS($D$4:$D$2503,$A$4:$A$2503,A1370,$B$4:$B$2503,B1370),"Yes","No"))</f>
        <v/>
      </c>
      <c r="M1370" s="30">
        <f>IF(B1370="","",IFERROR(INDEX('Share classes'!$F$4:$F$203,MATCH(B1370,'Share classes'!$B$4:$B$203,0)),""))</f>
        <v/>
      </c>
      <c r="N1370" s="30">
        <f>IF(A1370="","",IF(K1370="","Unknown holder ID",IF(J1370="","Unknown class code",IF(OR(C1370="",D1370=""),"Missing shares or date",IF(OR(C1370&lt;0,C1370&lt;&gt;INT(C1370)),"Shares must be a whole number",IF(COUNTIFS($A$4:$A$2503,A1370,$B$4:$B$2503,B1370,$D$4:$D$2503,D1370)&gt;1,"Duplicate row (same date)","OK"))))))</f>
        <v/>
      </c>
    </row>
    <row r="1371">
      <c r="A1371" s="26" t="n"/>
      <c r="B1371" s="26" t="n"/>
      <c r="C1371" s="34" t="n"/>
      <c r="D1371" s="28" t="n"/>
      <c r="E1371" s="26" t="n"/>
      <c r="F1371" s="26" t="n"/>
      <c r="G1371" s="26" t="n"/>
      <c r="H1371" s="38" t="n"/>
      <c r="I1371" s="28" t="n"/>
      <c r="J1371" s="30">
        <f>IF(B1371="","",IFERROR(INDEX('Share classes'!$A$4:$A$203,MATCH(B1371,'Share classes'!$B$4:$B$203,0)),""))</f>
        <v/>
      </c>
      <c r="K1371" s="30">
        <f>IF(A1371="","",IFERROR(INDEX('Holders'!$B$4:$B$1003,MATCH(A1371,'Holders'!$A$4:$A$1003,0)),""))</f>
        <v/>
      </c>
      <c r="L1371" s="30">
        <f>IF(OR(A1371="",B1371="",D1371=""),"",IF(D1371=_xlfn.MAXIFS($D$4:$D$2503,$A$4:$A$2503,A1371,$B$4:$B$2503,B1371),"Yes","No"))</f>
        <v/>
      </c>
      <c r="M1371" s="30">
        <f>IF(B1371="","",IFERROR(INDEX('Share classes'!$F$4:$F$203,MATCH(B1371,'Share classes'!$B$4:$B$203,0)),""))</f>
        <v/>
      </c>
      <c r="N1371" s="30">
        <f>IF(A1371="","",IF(K1371="","Unknown holder ID",IF(J1371="","Unknown class code",IF(OR(C1371="",D1371=""),"Missing shares or date",IF(OR(C1371&lt;0,C1371&lt;&gt;INT(C1371)),"Shares must be a whole number",IF(COUNTIFS($A$4:$A$2503,A1371,$B$4:$B$2503,B1371,$D$4:$D$2503,D1371)&gt;1,"Duplicate row (same date)","OK"))))))</f>
        <v/>
      </c>
    </row>
    <row r="1372">
      <c r="A1372" s="26" t="n"/>
      <c r="B1372" s="26" t="n"/>
      <c r="C1372" s="34" t="n"/>
      <c r="D1372" s="28" t="n"/>
      <c r="E1372" s="26" t="n"/>
      <c r="F1372" s="26" t="n"/>
      <c r="G1372" s="26" t="n"/>
      <c r="H1372" s="38" t="n"/>
      <c r="I1372" s="28" t="n"/>
      <c r="J1372" s="30">
        <f>IF(B1372="","",IFERROR(INDEX('Share classes'!$A$4:$A$203,MATCH(B1372,'Share classes'!$B$4:$B$203,0)),""))</f>
        <v/>
      </c>
      <c r="K1372" s="30">
        <f>IF(A1372="","",IFERROR(INDEX('Holders'!$B$4:$B$1003,MATCH(A1372,'Holders'!$A$4:$A$1003,0)),""))</f>
        <v/>
      </c>
      <c r="L1372" s="30">
        <f>IF(OR(A1372="",B1372="",D1372=""),"",IF(D1372=_xlfn.MAXIFS($D$4:$D$2503,$A$4:$A$2503,A1372,$B$4:$B$2503,B1372),"Yes","No"))</f>
        <v/>
      </c>
      <c r="M1372" s="30">
        <f>IF(B1372="","",IFERROR(INDEX('Share classes'!$F$4:$F$203,MATCH(B1372,'Share classes'!$B$4:$B$203,0)),""))</f>
        <v/>
      </c>
      <c r="N1372" s="30">
        <f>IF(A1372="","",IF(K1372="","Unknown holder ID",IF(J1372="","Unknown class code",IF(OR(C1372="",D1372=""),"Missing shares or date",IF(OR(C1372&lt;0,C1372&lt;&gt;INT(C1372)),"Shares must be a whole number",IF(COUNTIFS($A$4:$A$2503,A1372,$B$4:$B$2503,B1372,$D$4:$D$2503,D1372)&gt;1,"Duplicate row (same date)","OK"))))))</f>
        <v/>
      </c>
    </row>
    <row r="1373">
      <c r="A1373" s="26" t="n"/>
      <c r="B1373" s="26" t="n"/>
      <c r="C1373" s="34" t="n"/>
      <c r="D1373" s="28" t="n"/>
      <c r="E1373" s="26" t="n"/>
      <c r="F1373" s="26" t="n"/>
      <c r="G1373" s="26" t="n"/>
      <c r="H1373" s="38" t="n"/>
      <c r="I1373" s="28" t="n"/>
      <c r="J1373" s="30">
        <f>IF(B1373="","",IFERROR(INDEX('Share classes'!$A$4:$A$203,MATCH(B1373,'Share classes'!$B$4:$B$203,0)),""))</f>
        <v/>
      </c>
      <c r="K1373" s="30">
        <f>IF(A1373="","",IFERROR(INDEX('Holders'!$B$4:$B$1003,MATCH(A1373,'Holders'!$A$4:$A$1003,0)),""))</f>
        <v/>
      </c>
      <c r="L1373" s="30">
        <f>IF(OR(A1373="",B1373="",D1373=""),"",IF(D1373=_xlfn.MAXIFS($D$4:$D$2503,$A$4:$A$2503,A1373,$B$4:$B$2503,B1373),"Yes","No"))</f>
        <v/>
      </c>
      <c r="M1373" s="30">
        <f>IF(B1373="","",IFERROR(INDEX('Share classes'!$F$4:$F$203,MATCH(B1373,'Share classes'!$B$4:$B$203,0)),""))</f>
        <v/>
      </c>
      <c r="N1373" s="30">
        <f>IF(A1373="","",IF(K1373="","Unknown holder ID",IF(J1373="","Unknown class code",IF(OR(C1373="",D1373=""),"Missing shares or date",IF(OR(C1373&lt;0,C1373&lt;&gt;INT(C1373)),"Shares must be a whole number",IF(COUNTIFS($A$4:$A$2503,A1373,$B$4:$B$2503,B1373,$D$4:$D$2503,D1373)&gt;1,"Duplicate row (same date)","OK"))))))</f>
        <v/>
      </c>
    </row>
    <row r="1374">
      <c r="A1374" s="26" t="n"/>
      <c r="B1374" s="26" t="n"/>
      <c r="C1374" s="34" t="n"/>
      <c r="D1374" s="28" t="n"/>
      <c r="E1374" s="26" t="n"/>
      <c r="F1374" s="26" t="n"/>
      <c r="G1374" s="26" t="n"/>
      <c r="H1374" s="38" t="n"/>
      <c r="I1374" s="28" t="n"/>
      <c r="J1374" s="30">
        <f>IF(B1374="","",IFERROR(INDEX('Share classes'!$A$4:$A$203,MATCH(B1374,'Share classes'!$B$4:$B$203,0)),""))</f>
        <v/>
      </c>
      <c r="K1374" s="30">
        <f>IF(A1374="","",IFERROR(INDEX('Holders'!$B$4:$B$1003,MATCH(A1374,'Holders'!$A$4:$A$1003,0)),""))</f>
        <v/>
      </c>
      <c r="L1374" s="30">
        <f>IF(OR(A1374="",B1374="",D1374=""),"",IF(D1374=_xlfn.MAXIFS($D$4:$D$2503,$A$4:$A$2503,A1374,$B$4:$B$2503,B1374),"Yes","No"))</f>
        <v/>
      </c>
      <c r="M1374" s="30">
        <f>IF(B1374="","",IFERROR(INDEX('Share classes'!$F$4:$F$203,MATCH(B1374,'Share classes'!$B$4:$B$203,0)),""))</f>
        <v/>
      </c>
      <c r="N1374" s="30">
        <f>IF(A1374="","",IF(K1374="","Unknown holder ID",IF(J1374="","Unknown class code",IF(OR(C1374="",D1374=""),"Missing shares or date",IF(OR(C1374&lt;0,C1374&lt;&gt;INT(C1374)),"Shares must be a whole number",IF(COUNTIFS($A$4:$A$2503,A1374,$B$4:$B$2503,B1374,$D$4:$D$2503,D1374)&gt;1,"Duplicate row (same date)","OK"))))))</f>
        <v/>
      </c>
    </row>
    <row r="1375">
      <c r="A1375" s="26" t="n"/>
      <c r="B1375" s="26" t="n"/>
      <c r="C1375" s="34" t="n"/>
      <c r="D1375" s="28" t="n"/>
      <c r="E1375" s="26" t="n"/>
      <c r="F1375" s="26" t="n"/>
      <c r="G1375" s="26" t="n"/>
      <c r="H1375" s="38" t="n"/>
      <c r="I1375" s="28" t="n"/>
      <c r="J1375" s="30">
        <f>IF(B1375="","",IFERROR(INDEX('Share classes'!$A$4:$A$203,MATCH(B1375,'Share classes'!$B$4:$B$203,0)),""))</f>
        <v/>
      </c>
      <c r="K1375" s="30">
        <f>IF(A1375="","",IFERROR(INDEX('Holders'!$B$4:$B$1003,MATCH(A1375,'Holders'!$A$4:$A$1003,0)),""))</f>
        <v/>
      </c>
      <c r="L1375" s="30">
        <f>IF(OR(A1375="",B1375="",D1375=""),"",IF(D1375=_xlfn.MAXIFS($D$4:$D$2503,$A$4:$A$2503,A1375,$B$4:$B$2503,B1375),"Yes","No"))</f>
        <v/>
      </c>
      <c r="M1375" s="30">
        <f>IF(B1375="","",IFERROR(INDEX('Share classes'!$F$4:$F$203,MATCH(B1375,'Share classes'!$B$4:$B$203,0)),""))</f>
        <v/>
      </c>
      <c r="N1375" s="30">
        <f>IF(A1375="","",IF(K1375="","Unknown holder ID",IF(J1375="","Unknown class code",IF(OR(C1375="",D1375=""),"Missing shares or date",IF(OR(C1375&lt;0,C1375&lt;&gt;INT(C1375)),"Shares must be a whole number",IF(COUNTIFS($A$4:$A$2503,A1375,$B$4:$B$2503,B1375,$D$4:$D$2503,D1375)&gt;1,"Duplicate row (same date)","OK"))))))</f>
        <v/>
      </c>
    </row>
    <row r="1376">
      <c r="A1376" s="26" t="n"/>
      <c r="B1376" s="26" t="n"/>
      <c r="C1376" s="34" t="n"/>
      <c r="D1376" s="28" t="n"/>
      <c r="E1376" s="26" t="n"/>
      <c r="F1376" s="26" t="n"/>
      <c r="G1376" s="26" t="n"/>
      <c r="H1376" s="38" t="n"/>
      <c r="I1376" s="28" t="n"/>
      <c r="J1376" s="30">
        <f>IF(B1376="","",IFERROR(INDEX('Share classes'!$A$4:$A$203,MATCH(B1376,'Share classes'!$B$4:$B$203,0)),""))</f>
        <v/>
      </c>
      <c r="K1376" s="30">
        <f>IF(A1376="","",IFERROR(INDEX('Holders'!$B$4:$B$1003,MATCH(A1376,'Holders'!$A$4:$A$1003,0)),""))</f>
        <v/>
      </c>
      <c r="L1376" s="30">
        <f>IF(OR(A1376="",B1376="",D1376=""),"",IF(D1376=_xlfn.MAXIFS($D$4:$D$2503,$A$4:$A$2503,A1376,$B$4:$B$2503,B1376),"Yes","No"))</f>
        <v/>
      </c>
      <c r="M1376" s="30">
        <f>IF(B1376="","",IFERROR(INDEX('Share classes'!$F$4:$F$203,MATCH(B1376,'Share classes'!$B$4:$B$203,0)),""))</f>
        <v/>
      </c>
      <c r="N1376" s="30">
        <f>IF(A1376="","",IF(K1376="","Unknown holder ID",IF(J1376="","Unknown class code",IF(OR(C1376="",D1376=""),"Missing shares or date",IF(OR(C1376&lt;0,C1376&lt;&gt;INT(C1376)),"Shares must be a whole number",IF(COUNTIFS($A$4:$A$2503,A1376,$B$4:$B$2503,B1376,$D$4:$D$2503,D1376)&gt;1,"Duplicate row (same date)","OK"))))))</f>
        <v/>
      </c>
    </row>
    <row r="1377">
      <c r="A1377" s="26" t="n"/>
      <c r="B1377" s="26" t="n"/>
      <c r="C1377" s="34" t="n"/>
      <c r="D1377" s="28" t="n"/>
      <c r="E1377" s="26" t="n"/>
      <c r="F1377" s="26" t="n"/>
      <c r="G1377" s="26" t="n"/>
      <c r="H1377" s="38" t="n"/>
      <c r="I1377" s="28" t="n"/>
      <c r="J1377" s="30">
        <f>IF(B1377="","",IFERROR(INDEX('Share classes'!$A$4:$A$203,MATCH(B1377,'Share classes'!$B$4:$B$203,0)),""))</f>
        <v/>
      </c>
      <c r="K1377" s="30">
        <f>IF(A1377="","",IFERROR(INDEX('Holders'!$B$4:$B$1003,MATCH(A1377,'Holders'!$A$4:$A$1003,0)),""))</f>
        <v/>
      </c>
      <c r="L1377" s="30">
        <f>IF(OR(A1377="",B1377="",D1377=""),"",IF(D1377=_xlfn.MAXIFS($D$4:$D$2503,$A$4:$A$2503,A1377,$B$4:$B$2503,B1377),"Yes","No"))</f>
        <v/>
      </c>
      <c r="M1377" s="30">
        <f>IF(B1377="","",IFERROR(INDEX('Share classes'!$F$4:$F$203,MATCH(B1377,'Share classes'!$B$4:$B$203,0)),""))</f>
        <v/>
      </c>
      <c r="N1377" s="30">
        <f>IF(A1377="","",IF(K1377="","Unknown holder ID",IF(J1377="","Unknown class code",IF(OR(C1377="",D1377=""),"Missing shares or date",IF(OR(C1377&lt;0,C1377&lt;&gt;INT(C1377)),"Shares must be a whole number",IF(COUNTIFS($A$4:$A$2503,A1377,$B$4:$B$2503,B1377,$D$4:$D$2503,D1377)&gt;1,"Duplicate row (same date)","OK"))))))</f>
        <v/>
      </c>
    </row>
    <row r="1378">
      <c r="A1378" s="26" t="n"/>
      <c r="B1378" s="26" t="n"/>
      <c r="C1378" s="34" t="n"/>
      <c r="D1378" s="28" t="n"/>
      <c r="E1378" s="26" t="n"/>
      <c r="F1378" s="26" t="n"/>
      <c r="G1378" s="26" t="n"/>
      <c r="H1378" s="38" t="n"/>
      <c r="I1378" s="28" t="n"/>
      <c r="J1378" s="30">
        <f>IF(B1378="","",IFERROR(INDEX('Share classes'!$A$4:$A$203,MATCH(B1378,'Share classes'!$B$4:$B$203,0)),""))</f>
        <v/>
      </c>
      <c r="K1378" s="30">
        <f>IF(A1378="","",IFERROR(INDEX('Holders'!$B$4:$B$1003,MATCH(A1378,'Holders'!$A$4:$A$1003,0)),""))</f>
        <v/>
      </c>
      <c r="L1378" s="30">
        <f>IF(OR(A1378="",B1378="",D1378=""),"",IF(D1378=_xlfn.MAXIFS($D$4:$D$2503,$A$4:$A$2503,A1378,$B$4:$B$2503,B1378),"Yes","No"))</f>
        <v/>
      </c>
      <c r="M1378" s="30">
        <f>IF(B1378="","",IFERROR(INDEX('Share classes'!$F$4:$F$203,MATCH(B1378,'Share classes'!$B$4:$B$203,0)),""))</f>
        <v/>
      </c>
      <c r="N1378" s="30">
        <f>IF(A1378="","",IF(K1378="","Unknown holder ID",IF(J1378="","Unknown class code",IF(OR(C1378="",D1378=""),"Missing shares or date",IF(OR(C1378&lt;0,C1378&lt;&gt;INT(C1378)),"Shares must be a whole number",IF(COUNTIFS($A$4:$A$2503,A1378,$B$4:$B$2503,B1378,$D$4:$D$2503,D1378)&gt;1,"Duplicate row (same date)","OK"))))))</f>
        <v/>
      </c>
    </row>
    <row r="1379">
      <c r="A1379" s="26" t="n"/>
      <c r="B1379" s="26" t="n"/>
      <c r="C1379" s="34" t="n"/>
      <c r="D1379" s="28" t="n"/>
      <c r="E1379" s="26" t="n"/>
      <c r="F1379" s="26" t="n"/>
      <c r="G1379" s="26" t="n"/>
      <c r="H1379" s="38" t="n"/>
      <c r="I1379" s="28" t="n"/>
      <c r="J1379" s="30">
        <f>IF(B1379="","",IFERROR(INDEX('Share classes'!$A$4:$A$203,MATCH(B1379,'Share classes'!$B$4:$B$203,0)),""))</f>
        <v/>
      </c>
      <c r="K1379" s="30">
        <f>IF(A1379="","",IFERROR(INDEX('Holders'!$B$4:$B$1003,MATCH(A1379,'Holders'!$A$4:$A$1003,0)),""))</f>
        <v/>
      </c>
      <c r="L1379" s="30">
        <f>IF(OR(A1379="",B1379="",D1379=""),"",IF(D1379=_xlfn.MAXIFS($D$4:$D$2503,$A$4:$A$2503,A1379,$B$4:$B$2503,B1379),"Yes","No"))</f>
        <v/>
      </c>
      <c r="M1379" s="30">
        <f>IF(B1379="","",IFERROR(INDEX('Share classes'!$F$4:$F$203,MATCH(B1379,'Share classes'!$B$4:$B$203,0)),""))</f>
        <v/>
      </c>
      <c r="N1379" s="30">
        <f>IF(A1379="","",IF(K1379="","Unknown holder ID",IF(J1379="","Unknown class code",IF(OR(C1379="",D1379=""),"Missing shares or date",IF(OR(C1379&lt;0,C1379&lt;&gt;INT(C1379)),"Shares must be a whole number",IF(COUNTIFS($A$4:$A$2503,A1379,$B$4:$B$2503,B1379,$D$4:$D$2503,D1379)&gt;1,"Duplicate row (same date)","OK"))))))</f>
        <v/>
      </c>
    </row>
    <row r="1380">
      <c r="A1380" s="26" t="n"/>
      <c r="B1380" s="26" t="n"/>
      <c r="C1380" s="34" t="n"/>
      <c r="D1380" s="28" t="n"/>
      <c r="E1380" s="26" t="n"/>
      <c r="F1380" s="26" t="n"/>
      <c r="G1380" s="26" t="n"/>
      <c r="H1380" s="38" t="n"/>
      <c r="I1380" s="28" t="n"/>
      <c r="J1380" s="30">
        <f>IF(B1380="","",IFERROR(INDEX('Share classes'!$A$4:$A$203,MATCH(B1380,'Share classes'!$B$4:$B$203,0)),""))</f>
        <v/>
      </c>
      <c r="K1380" s="30">
        <f>IF(A1380="","",IFERROR(INDEX('Holders'!$B$4:$B$1003,MATCH(A1380,'Holders'!$A$4:$A$1003,0)),""))</f>
        <v/>
      </c>
      <c r="L1380" s="30">
        <f>IF(OR(A1380="",B1380="",D1380=""),"",IF(D1380=_xlfn.MAXIFS($D$4:$D$2503,$A$4:$A$2503,A1380,$B$4:$B$2503,B1380),"Yes","No"))</f>
        <v/>
      </c>
      <c r="M1380" s="30">
        <f>IF(B1380="","",IFERROR(INDEX('Share classes'!$F$4:$F$203,MATCH(B1380,'Share classes'!$B$4:$B$203,0)),""))</f>
        <v/>
      </c>
      <c r="N1380" s="30">
        <f>IF(A1380="","",IF(K1380="","Unknown holder ID",IF(J1380="","Unknown class code",IF(OR(C1380="",D1380=""),"Missing shares or date",IF(OR(C1380&lt;0,C1380&lt;&gt;INT(C1380)),"Shares must be a whole number",IF(COUNTIFS($A$4:$A$2503,A1380,$B$4:$B$2503,B1380,$D$4:$D$2503,D1380)&gt;1,"Duplicate row (same date)","OK"))))))</f>
        <v/>
      </c>
    </row>
    <row r="1381">
      <c r="A1381" s="26" t="n"/>
      <c r="B1381" s="26" t="n"/>
      <c r="C1381" s="34" t="n"/>
      <c r="D1381" s="28" t="n"/>
      <c r="E1381" s="26" t="n"/>
      <c r="F1381" s="26" t="n"/>
      <c r="G1381" s="26" t="n"/>
      <c r="H1381" s="38" t="n"/>
      <c r="I1381" s="28" t="n"/>
      <c r="J1381" s="30">
        <f>IF(B1381="","",IFERROR(INDEX('Share classes'!$A$4:$A$203,MATCH(B1381,'Share classes'!$B$4:$B$203,0)),""))</f>
        <v/>
      </c>
      <c r="K1381" s="30">
        <f>IF(A1381="","",IFERROR(INDEX('Holders'!$B$4:$B$1003,MATCH(A1381,'Holders'!$A$4:$A$1003,0)),""))</f>
        <v/>
      </c>
      <c r="L1381" s="30">
        <f>IF(OR(A1381="",B1381="",D1381=""),"",IF(D1381=_xlfn.MAXIFS($D$4:$D$2503,$A$4:$A$2503,A1381,$B$4:$B$2503,B1381),"Yes","No"))</f>
        <v/>
      </c>
      <c r="M1381" s="30">
        <f>IF(B1381="","",IFERROR(INDEX('Share classes'!$F$4:$F$203,MATCH(B1381,'Share classes'!$B$4:$B$203,0)),""))</f>
        <v/>
      </c>
      <c r="N1381" s="30">
        <f>IF(A1381="","",IF(K1381="","Unknown holder ID",IF(J1381="","Unknown class code",IF(OR(C1381="",D1381=""),"Missing shares or date",IF(OR(C1381&lt;0,C1381&lt;&gt;INT(C1381)),"Shares must be a whole number",IF(COUNTIFS($A$4:$A$2503,A1381,$B$4:$B$2503,B1381,$D$4:$D$2503,D1381)&gt;1,"Duplicate row (same date)","OK"))))))</f>
        <v/>
      </c>
    </row>
    <row r="1382">
      <c r="A1382" s="26" t="n"/>
      <c r="B1382" s="26" t="n"/>
      <c r="C1382" s="34" t="n"/>
      <c r="D1382" s="28" t="n"/>
      <c r="E1382" s="26" t="n"/>
      <c r="F1382" s="26" t="n"/>
      <c r="G1382" s="26" t="n"/>
      <c r="H1382" s="38" t="n"/>
      <c r="I1382" s="28" t="n"/>
      <c r="J1382" s="30">
        <f>IF(B1382="","",IFERROR(INDEX('Share classes'!$A$4:$A$203,MATCH(B1382,'Share classes'!$B$4:$B$203,0)),""))</f>
        <v/>
      </c>
      <c r="K1382" s="30">
        <f>IF(A1382="","",IFERROR(INDEX('Holders'!$B$4:$B$1003,MATCH(A1382,'Holders'!$A$4:$A$1003,0)),""))</f>
        <v/>
      </c>
      <c r="L1382" s="30">
        <f>IF(OR(A1382="",B1382="",D1382=""),"",IF(D1382=_xlfn.MAXIFS($D$4:$D$2503,$A$4:$A$2503,A1382,$B$4:$B$2503,B1382),"Yes","No"))</f>
        <v/>
      </c>
      <c r="M1382" s="30">
        <f>IF(B1382="","",IFERROR(INDEX('Share classes'!$F$4:$F$203,MATCH(B1382,'Share classes'!$B$4:$B$203,0)),""))</f>
        <v/>
      </c>
      <c r="N1382" s="30">
        <f>IF(A1382="","",IF(K1382="","Unknown holder ID",IF(J1382="","Unknown class code",IF(OR(C1382="",D1382=""),"Missing shares or date",IF(OR(C1382&lt;0,C1382&lt;&gt;INT(C1382)),"Shares must be a whole number",IF(COUNTIFS($A$4:$A$2503,A1382,$B$4:$B$2503,B1382,$D$4:$D$2503,D1382)&gt;1,"Duplicate row (same date)","OK"))))))</f>
        <v/>
      </c>
    </row>
    <row r="1383">
      <c r="A1383" s="26" t="n"/>
      <c r="B1383" s="26" t="n"/>
      <c r="C1383" s="34" t="n"/>
      <c r="D1383" s="28" t="n"/>
      <c r="E1383" s="26" t="n"/>
      <c r="F1383" s="26" t="n"/>
      <c r="G1383" s="26" t="n"/>
      <c r="H1383" s="38" t="n"/>
      <c r="I1383" s="28" t="n"/>
      <c r="J1383" s="30">
        <f>IF(B1383="","",IFERROR(INDEX('Share classes'!$A$4:$A$203,MATCH(B1383,'Share classes'!$B$4:$B$203,0)),""))</f>
        <v/>
      </c>
      <c r="K1383" s="30">
        <f>IF(A1383="","",IFERROR(INDEX('Holders'!$B$4:$B$1003,MATCH(A1383,'Holders'!$A$4:$A$1003,0)),""))</f>
        <v/>
      </c>
      <c r="L1383" s="30">
        <f>IF(OR(A1383="",B1383="",D1383=""),"",IF(D1383=_xlfn.MAXIFS($D$4:$D$2503,$A$4:$A$2503,A1383,$B$4:$B$2503,B1383),"Yes","No"))</f>
        <v/>
      </c>
      <c r="M1383" s="30">
        <f>IF(B1383="","",IFERROR(INDEX('Share classes'!$F$4:$F$203,MATCH(B1383,'Share classes'!$B$4:$B$203,0)),""))</f>
        <v/>
      </c>
      <c r="N1383" s="30">
        <f>IF(A1383="","",IF(K1383="","Unknown holder ID",IF(J1383="","Unknown class code",IF(OR(C1383="",D1383=""),"Missing shares or date",IF(OR(C1383&lt;0,C1383&lt;&gt;INT(C1383)),"Shares must be a whole number",IF(COUNTIFS($A$4:$A$2503,A1383,$B$4:$B$2503,B1383,$D$4:$D$2503,D1383)&gt;1,"Duplicate row (same date)","OK"))))))</f>
        <v/>
      </c>
    </row>
    <row r="1384">
      <c r="A1384" s="26" t="n"/>
      <c r="B1384" s="26" t="n"/>
      <c r="C1384" s="34" t="n"/>
      <c r="D1384" s="28" t="n"/>
      <c r="E1384" s="26" t="n"/>
      <c r="F1384" s="26" t="n"/>
      <c r="G1384" s="26" t="n"/>
      <c r="H1384" s="38" t="n"/>
      <c r="I1384" s="28" t="n"/>
      <c r="J1384" s="30">
        <f>IF(B1384="","",IFERROR(INDEX('Share classes'!$A$4:$A$203,MATCH(B1384,'Share classes'!$B$4:$B$203,0)),""))</f>
        <v/>
      </c>
      <c r="K1384" s="30">
        <f>IF(A1384="","",IFERROR(INDEX('Holders'!$B$4:$B$1003,MATCH(A1384,'Holders'!$A$4:$A$1003,0)),""))</f>
        <v/>
      </c>
      <c r="L1384" s="30">
        <f>IF(OR(A1384="",B1384="",D1384=""),"",IF(D1384=_xlfn.MAXIFS($D$4:$D$2503,$A$4:$A$2503,A1384,$B$4:$B$2503,B1384),"Yes","No"))</f>
        <v/>
      </c>
      <c r="M1384" s="30">
        <f>IF(B1384="","",IFERROR(INDEX('Share classes'!$F$4:$F$203,MATCH(B1384,'Share classes'!$B$4:$B$203,0)),""))</f>
        <v/>
      </c>
      <c r="N1384" s="30">
        <f>IF(A1384="","",IF(K1384="","Unknown holder ID",IF(J1384="","Unknown class code",IF(OR(C1384="",D1384=""),"Missing shares or date",IF(OR(C1384&lt;0,C1384&lt;&gt;INT(C1384)),"Shares must be a whole number",IF(COUNTIFS($A$4:$A$2503,A1384,$B$4:$B$2503,B1384,$D$4:$D$2503,D1384)&gt;1,"Duplicate row (same date)","OK"))))))</f>
        <v/>
      </c>
    </row>
    <row r="1385">
      <c r="A1385" s="26" t="n"/>
      <c r="B1385" s="26" t="n"/>
      <c r="C1385" s="34" t="n"/>
      <c r="D1385" s="28" t="n"/>
      <c r="E1385" s="26" t="n"/>
      <c r="F1385" s="26" t="n"/>
      <c r="G1385" s="26" t="n"/>
      <c r="H1385" s="38" t="n"/>
      <c r="I1385" s="28" t="n"/>
      <c r="J1385" s="30">
        <f>IF(B1385="","",IFERROR(INDEX('Share classes'!$A$4:$A$203,MATCH(B1385,'Share classes'!$B$4:$B$203,0)),""))</f>
        <v/>
      </c>
      <c r="K1385" s="30">
        <f>IF(A1385="","",IFERROR(INDEX('Holders'!$B$4:$B$1003,MATCH(A1385,'Holders'!$A$4:$A$1003,0)),""))</f>
        <v/>
      </c>
      <c r="L1385" s="30">
        <f>IF(OR(A1385="",B1385="",D1385=""),"",IF(D1385=_xlfn.MAXIFS($D$4:$D$2503,$A$4:$A$2503,A1385,$B$4:$B$2503,B1385),"Yes","No"))</f>
        <v/>
      </c>
      <c r="M1385" s="30">
        <f>IF(B1385="","",IFERROR(INDEX('Share classes'!$F$4:$F$203,MATCH(B1385,'Share classes'!$B$4:$B$203,0)),""))</f>
        <v/>
      </c>
      <c r="N1385" s="30">
        <f>IF(A1385="","",IF(K1385="","Unknown holder ID",IF(J1385="","Unknown class code",IF(OR(C1385="",D1385=""),"Missing shares or date",IF(OR(C1385&lt;0,C1385&lt;&gt;INT(C1385)),"Shares must be a whole number",IF(COUNTIFS($A$4:$A$2503,A1385,$B$4:$B$2503,B1385,$D$4:$D$2503,D1385)&gt;1,"Duplicate row (same date)","OK"))))))</f>
        <v/>
      </c>
    </row>
    <row r="1386">
      <c r="A1386" s="26" t="n"/>
      <c r="B1386" s="26" t="n"/>
      <c r="C1386" s="34" t="n"/>
      <c r="D1386" s="28" t="n"/>
      <c r="E1386" s="26" t="n"/>
      <c r="F1386" s="26" t="n"/>
      <c r="G1386" s="26" t="n"/>
      <c r="H1386" s="38" t="n"/>
      <c r="I1386" s="28" t="n"/>
      <c r="J1386" s="30">
        <f>IF(B1386="","",IFERROR(INDEX('Share classes'!$A$4:$A$203,MATCH(B1386,'Share classes'!$B$4:$B$203,0)),""))</f>
        <v/>
      </c>
      <c r="K1386" s="30">
        <f>IF(A1386="","",IFERROR(INDEX('Holders'!$B$4:$B$1003,MATCH(A1386,'Holders'!$A$4:$A$1003,0)),""))</f>
        <v/>
      </c>
      <c r="L1386" s="30">
        <f>IF(OR(A1386="",B1386="",D1386=""),"",IF(D1386=_xlfn.MAXIFS($D$4:$D$2503,$A$4:$A$2503,A1386,$B$4:$B$2503,B1386),"Yes","No"))</f>
        <v/>
      </c>
      <c r="M1386" s="30">
        <f>IF(B1386="","",IFERROR(INDEX('Share classes'!$F$4:$F$203,MATCH(B1386,'Share classes'!$B$4:$B$203,0)),""))</f>
        <v/>
      </c>
      <c r="N1386" s="30">
        <f>IF(A1386="","",IF(K1386="","Unknown holder ID",IF(J1386="","Unknown class code",IF(OR(C1386="",D1386=""),"Missing shares or date",IF(OR(C1386&lt;0,C1386&lt;&gt;INT(C1386)),"Shares must be a whole number",IF(COUNTIFS($A$4:$A$2503,A1386,$B$4:$B$2503,B1386,$D$4:$D$2503,D1386)&gt;1,"Duplicate row (same date)","OK"))))))</f>
        <v/>
      </c>
    </row>
    <row r="1387">
      <c r="A1387" s="26" t="n"/>
      <c r="B1387" s="26" t="n"/>
      <c r="C1387" s="34" t="n"/>
      <c r="D1387" s="28" t="n"/>
      <c r="E1387" s="26" t="n"/>
      <c r="F1387" s="26" t="n"/>
      <c r="G1387" s="26" t="n"/>
      <c r="H1387" s="38" t="n"/>
      <c r="I1387" s="28" t="n"/>
      <c r="J1387" s="30">
        <f>IF(B1387="","",IFERROR(INDEX('Share classes'!$A$4:$A$203,MATCH(B1387,'Share classes'!$B$4:$B$203,0)),""))</f>
        <v/>
      </c>
      <c r="K1387" s="30">
        <f>IF(A1387="","",IFERROR(INDEX('Holders'!$B$4:$B$1003,MATCH(A1387,'Holders'!$A$4:$A$1003,0)),""))</f>
        <v/>
      </c>
      <c r="L1387" s="30">
        <f>IF(OR(A1387="",B1387="",D1387=""),"",IF(D1387=_xlfn.MAXIFS($D$4:$D$2503,$A$4:$A$2503,A1387,$B$4:$B$2503,B1387),"Yes","No"))</f>
        <v/>
      </c>
      <c r="M1387" s="30">
        <f>IF(B1387="","",IFERROR(INDEX('Share classes'!$F$4:$F$203,MATCH(B1387,'Share classes'!$B$4:$B$203,0)),""))</f>
        <v/>
      </c>
      <c r="N1387" s="30">
        <f>IF(A1387="","",IF(K1387="","Unknown holder ID",IF(J1387="","Unknown class code",IF(OR(C1387="",D1387=""),"Missing shares or date",IF(OR(C1387&lt;0,C1387&lt;&gt;INT(C1387)),"Shares must be a whole number",IF(COUNTIFS($A$4:$A$2503,A1387,$B$4:$B$2503,B1387,$D$4:$D$2503,D1387)&gt;1,"Duplicate row (same date)","OK"))))))</f>
        <v/>
      </c>
    </row>
    <row r="1388">
      <c r="A1388" s="26" t="n"/>
      <c r="B1388" s="26" t="n"/>
      <c r="C1388" s="34" t="n"/>
      <c r="D1388" s="28" t="n"/>
      <c r="E1388" s="26" t="n"/>
      <c r="F1388" s="26" t="n"/>
      <c r="G1388" s="26" t="n"/>
      <c r="H1388" s="38" t="n"/>
      <c r="I1388" s="28" t="n"/>
      <c r="J1388" s="30">
        <f>IF(B1388="","",IFERROR(INDEX('Share classes'!$A$4:$A$203,MATCH(B1388,'Share classes'!$B$4:$B$203,0)),""))</f>
        <v/>
      </c>
      <c r="K1388" s="30">
        <f>IF(A1388="","",IFERROR(INDEX('Holders'!$B$4:$B$1003,MATCH(A1388,'Holders'!$A$4:$A$1003,0)),""))</f>
        <v/>
      </c>
      <c r="L1388" s="30">
        <f>IF(OR(A1388="",B1388="",D1388=""),"",IF(D1388=_xlfn.MAXIFS($D$4:$D$2503,$A$4:$A$2503,A1388,$B$4:$B$2503,B1388),"Yes","No"))</f>
        <v/>
      </c>
      <c r="M1388" s="30">
        <f>IF(B1388="","",IFERROR(INDEX('Share classes'!$F$4:$F$203,MATCH(B1388,'Share classes'!$B$4:$B$203,0)),""))</f>
        <v/>
      </c>
      <c r="N1388" s="30">
        <f>IF(A1388="","",IF(K1388="","Unknown holder ID",IF(J1388="","Unknown class code",IF(OR(C1388="",D1388=""),"Missing shares or date",IF(OR(C1388&lt;0,C1388&lt;&gt;INT(C1388)),"Shares must be a whole number",IF(COUNTIFS($A$4:$A$2503,A1388,$B$4:$B$2503,B1388,$D$4:$D$2503,D1388)&gt;1,"Duplicate row (same date)","OK"))))))</f>
        <v/>
      </c>
    </row>
    <row r="1389">
      <c r="A1389" s="26" t="n"/>
      <c r="B1389" s="26" t="n"/>
      <c r="C1389" s="34" t="n"/>
      <c r="D1389" s="28" t="n"/>
      <c r="E1389" s="26" t="n"/>
      <c r="F1389" s="26" t="n"/>
      <c r="G1389" s="26" t="n"/>
      <c r="H1389" s="38" t="n"/>
      <c r="I1389" s="28" t="n"/>
      <c r="J1389" s="30">
        <f>IF(B1389="","",IFERROR(INDEX('Share classes'!$A$4:$A$203,MATCH(B1389,'Share classes'!$B$4:$B$203,0)),""))</f>
        <v/>
      </c>
      <c r="K1389" s="30">
        <f>IF(A1389="","",IFERROR(INDEX('Holders'!$B$4:$B$1003,MATCH(A1389,'Holders'!$A$4:$A$1003,0)),""))</f>
        <v/>
      </c>
      <c r="L1389" s="30">
        <f>IF(OR(A1389="",B1389="",D1389=""),"",IF(D1389=_xlfn.MAXIFS($D$4:$D$2503,$A$4:$A$2503,A1389,$B$4:$B$2503,B1389),"Yes","No"))</f>
        <v/>
      </c>
      <c r="M1389" s="30">
        <f>IF(B1389="","",IFERROR(INDEX('Share classes'!$F$4:$F$203,MATCH(B1389,'Share classes'!$B$4:$B$203,0)),""))</f>
        <v/>
      </c>
      <c r="N1389" s="30">
        <f>IF(A1389="","",IF(K1389="","Unknown holder ID",IF(J1389="","Unknown class code",IF(OR(C1389="",D1389=""),"Missing shares or date",IF(OR(C1389&lt;0,C1389&lt;&gt;INT(C1389)),"Shares must be a whole number",IF(COUNTIFS($A$4:$A$2503,A1389,$B$4:$B$2503,B1389,$D$4:$D$2503,D1389)&gt;1,"Duplicate row (same date)","OK"))))))</f>
        <v/>
      </c>
    </row>
    <row r="1390">
      <c r="A1390" s="26" t="n"/>
      <c r="B1390" s="26" t="n"/>
      <c r="C1390" s="34" t="n"/>
      <c r="D1390" s="28" t="n"/>
      <c r="E1390" s="26" t="n"/>
      <c r="F1390" s="26" t="n"/>
      <c r="G1390" s="26" t="n"/>
      <c r="H1390" s="38" t="n"/>
      <c r="I1390" s="28" t="n"/>
      <c r="J1390" s="30">
        <f>IF(B1390="","",IFERROR(INDEX('Share classes'!$A$4:$A$203,MATCH(B1390,'Share classes'!$B$4:$B$203,0)),""))</f>
        <v/>
      </c>
      <c r="K1390" s="30">
        <f>IF(A1390="","",IFERROR(INDEX('Holders'!$B$4:$B$1003,MATCH(A1390,'Holders'!$A$4:$A$1003,0)),""))</f>
        <v/>
      </c>
      <c r="L1390" s="30">
        <f>IF(OR(A1390="",B1390="",D1390=""),"",IF(D1390=_xlfn.MAXIFS($D$4:$D$2503,$A$4:$A$2503,A1390,$B$4:$B$2503,B1390),"Yes","No"))</f>
        <v/>
      </c>
      <c r="M1390" s="30">
        <f>IF(B1390="","",IFERROR(INDEX('Share classes'!$F$4:$F$203,MATCH(B1390,'Share classes'!$B$4:$B$203,0)),""))</f>
        <v/>
      </c>
      <c r="N1390" s="30">
        <f>IF(A1390="","",IF(K1390="","Unknown holder ID",IF(J1390="","Unknown class code",IF(OR(C1390="",D1390=""),"Missing shares or date",IF(OR(C1390&lt;0,C1390&lt;&gt;INT(C1390)),"Shares must be a whole number",IF(COUNTIFS($A$4:$A$2503,A1390,$B$4:$B$2503,B1390,$D$4:$D$2503,D1390)&gt;1,"Duplicate row (same date)","OK"))))))</f>
        <v/>
      </c>
    </row>
    <row r="1391">
      <c r="A1391" s="26" t="n"/>
      <c r="B1391" s="26" t="n"/>
      <c r="C1391" s="34" t="n"/>
      <c r="D1391" s="28" t="n"/>
      <c r="E1391" s="26" t="n"/>
      <c r="F1391" s="26" t="n"/>
      <c r="G1391" s="26" t="n"/>
      <c r="H1391" s="38" t="n"/>
      <c r="I1391" s="28" t="n"/>
      <c r="J1391" s="30">
        <f>IF(B1391="","",IFERROR(INDEX('Share classes'!$A$4:$A$203,MATCH(B1391,'Share classes'!$B$4:$B$203,0)),""))</f>
        <v/>
      </c>
      <c r="K1391" s="30">
        <f>IF(A1391="","",IFERROR(INDEX('Holders'!$B$4:$B$1003,MATCH(A1391,'Holders'!$A$4:$A$1003,0)),""))</f>
        <v/>
      </c>
      <c r="L1391" s="30">
        <f>IF(OR(A1391="",B1391="",D1391=""),"",IF(D1391=_xlfn.MAXIFS($D$4:$D$2503,$A$4:$A$2503,A1391,$B$4:$B$2503,B1391),"Yes","No"))</f>
        <v/>
      </c>
      <c r="M1391" s="30">
        <f>IF(B1391="","",IFERROR(INDEX('Share classes'!$F$4:$F$203,MATCH(B1391,'Share classes'!$B$4:$B$203,0)),""))</f>
        <v/>
      </c>
      <c r="N1391" s="30">
        <f>IF(A1391="","",IF(K1391="","Unknown holder ID",IF(J1391="","Unknown class code",IF(OR(C1391="",D1391=""),"Missing shares or date",IF(OR(C1391&lt;0,C1391&lt;&gt;INT(C1391)),"Shares must be a whole number",IF(COUNTIFS($A$4:$A$2503,A1391,$B$4:$B$2503,B1391,$D$4:$D$2503,D1391)&gt;1,"Duplicate row (same date)","OK"))))))</f>
        <v/>
      </c>
    </row>
    <row r="1392">
      <c r="A1392" s="26" t="n"/>
      <c r="B1392" s="26" t="n"/>
      <c r="C1392" s="34" t="n"/>
      <c r="D1392" s="28" t="n"/>
      <c r="E1392" s="26" t="n"/>
      <c r="F1392" s="26" t="n"/>
      <c r="G1392" s="26" t="n"/>
      <c r="H1392" s="38" t="n"/>
      <c r="I1392" s="28" t="n"/>
      <c r="J1392" s="30">
        <f>IF(B1392="","",IFERROR(INDEX('Share classes'!$A$4:$A$203,MATCH(B1392,'Share classes'!$B$4:$B$203,0)),""))</f>
        <v/>
      </c>
      <c r="K1392" s="30">
        <f>IF(A1392="","",IFERROR(INDEX('Holders'!$B$4:$B$1003,MATCH(A1392,'Holders'!$A$4:$A$1003,0)),""))</f>
        <v/>
      </c>
      <c r="L1392" s="30">
        <f>IF(OR(A1392="",B1392="",D1392=""),"",IF(D1392=_xlfn.MAXIFS($D$4:$D$2503,$A$4:$A$2503,A1392,$B$4:$B$2503,B1392),"Yes","No"))</f>
        <v/>
      </c>
      <c r="M1392" s="30">
        <f>IF(B1392="","",IFERROR(INDEX('Share classes'!$F$4:$F$203,MATCH(B1392,'Share classes'!$B$4:$B$203,0)),""))</f>
        <v/>
      </c>
      <c r="N1392" s="30">
        <f>IF(A1392="","",IF(K1392="","Unknown holder ID",IF(J1392="","Unknown class code",IF(OR(C1392="",D1392=""),"Missing shares or date",IF(OR(C1392&lt;0,C1392&lt;&gt;INT(C1392)),"Shares must be a whole number",IF(COUNTIFS($A$4:$A$2503,A1392,$B$4:$B$2503,B1392,$D$4:$D$2503,D1392)&gt;1,"Duplicate row (same date)","OK"))))))</f>
        <v/>
      </c>
    </row>
    <row r="1393">
      <c r="A1393" s="26" t="n"/>
      <c r="B1393" s="26" t="n"/>
      <c r="C1393" s="34" t="n"/>
      <c r="D1393" s="28" t="n"/>
      <c r="E1393" s="26" t="n"/>
      <c r="F1393" s="26" t="n"/>
      <c r="G1393" s="26" t="n"/>
      <c r="H1393" s="38" t="n"/>
      <c r="I1393" s="28" t="n"/>
      <c r="J1393" s="30">
        <f>IF(B1393="","",IFERROR(INDEX('Share classes'!$A$4:$A$203,MATCH(B1393,'Share classes'!$B$4:$B$203,0)),""))</f>
        <v/>
      </c>
      <c r="K1393" s="30">
        <f>IF(A1393="","",IFERROR(INDEX('Holders'!$B$4:$B$1003,MATCH(A1393,'Holders'!$A$4:$A$1003,0)),""))</f>
        <v/>
      </c>
      <c r="L1393" s="30">
        <f>IF(OR(A1393="",B1393="",D1393=""),"",IF(D1393=_xlfn.MAXIFS($D$4:$D$2503,$A$4:$A$2503,A1393,$B$4:$B$2503,B1393),"Yes","No"))</f>
        <v/>
      </c>
      <c r="M1393" s="30">
        <f>IF(B1393="","",IFERROR(INDEX('Share classes'!$F$4:$F$203,MATCH(B1393,'Share classes'!$B$4:$B$203,0)),""))</f>
        <v/>
      </c>
      <c r="N1393" s="30">
        <f>IF(A1393="","",IF(K1393="","Unknown holder ID",IF(J1393="","Unknown class code",IF(OR(C1393="",D1393=""),"Missing shares or date",IF(OR(C1393&lt;0,C1393&lt;&gt;INT(C1393)),"Shares must be a whole number",IF(COUNTIFS($A$4:$A$2503,A1393,$B$4:$B$2503,B1393,$D$4:$D$2503,D1393)&gt;1,"Duplicate row (same date)","OK"))))))</f>
        <v/>
      </c>
    </row>
    <row r="1394">
      <c r="A1394" s="26" t="n"/>
      <c r="B1394" s="26" t="n"/>
      <c r="C1394" s="34" t="n"/>
      <c r="D1394" s="28" t="n"/>
      <c r="E1394" s="26" t="n"/>
      <c r="F1394" s="26" t="n"/>
      <c r="G1394" s="26" t="n"/>
      <c r="H1394" s="38" t="n"/>
      <c r="I1394" s="28" t="n"/>
      <c r="J1394" s="30">
        <f>IF(B1394="","",IFERROR(INDEX('Share classes'!$A$4:$A$203,MATCH(B1394,'Share classes'!$B$4:$B$203,0)),""))</f>
        <v/>
      </c>
      <c r="K1394" s="30">
        <f>IF(A1394="","",IFERROR(INDEX('Holders'!$B$4:$B$1003,MATCH(A1394,'Holders'!$A$4:$A$1003,0)),""))</f>
        <v/>
      </c>
      <c r="L1394" s="30">
        <f>IF(OR(A1394="",B1394="",D1394=""),"",IF(D1394=_xlfn.MAXIFS($D$4:$D$2503,$A$4:$A$2503,A1394,$B$4:$B$2503,B1394),"Yes","No"))</f>
        <v/>
      </c>
      <c r="M1394" s="30">
        <f>IF(B1394="","",IFERROR(INDEX('Share classes'!$F$4:$F$203,MATCH(B1394,'Share classes'!$B$4:$B$203,0)),""))</f>
        <v/>
      </c>
      <c r="N1394" s="30">
        <f>IF(A1394="","",IF(K1394="","Unknown holder ID",IF(J1394="","Unknown class code",IF(OR(C1394="",D1394=""),"Missing shares or date",IF(OR(C1394&lt;0,C1394&lt;&gt;INT(C1394)),"Shares must be a whole number",IF(COUNTIFS($A$4:$A$2503,A1394,$B$4:$B$2503,B1394,$D$4:$D$2503,D1394)&gt;1,"Duplicate row (same date)","OK"))))))</f>
        <v/>
      </c>
    </row>
    <row r="1395">
      <c r="A1395" s="26" t="n"/>
      <c r="B1395" s="26" t="n"/>
      <c r="C1395" s="34" t="n"/>
      <c r="D1395" s="28" t="n"/>
      <c r="E1395" s="26" t="n"/>
      <c r="F1395" s="26" t="n"/>
      <c r="G1395" s="26" t="n"/>
      <c r="H1395" s="38" t="n"/>
      <c r="I1395" s="28" t="n"/>
      <c r="J1395" s="30">
        <f>IF(B1395="","",IFERROR(INDEX('Share classes'!$A$4:$A$203,MATCH(B1395,'Share classes'!$B$4:$B$203,0)),""))</f>
        <v/>
      </c>
      <c r="K1395" s="30">
        <f>IF(A1395="","",IFERROR(INDEX('Holders'!$B$4:$B$1003,MATCH(A1395,'Holders'!$A$4:$A$1003,0)),""))</f>
        <v/>
      </c>
      <c r="L1395" s="30">
        <f>IF(OR(A1395="",B1395="",D1395=""),"",IF(D1395=_xlfn.MAXIFS($D$4:$D$2503,$A$4:$A$2503,A1395,$B$4:$B$2503,B1395),"Yes","No"))</f>
        <v/>
      </c>
      <c r="M1395" s="30">
        <f>IF(B1395="","",IFERROR(INDEX('Share classes'!$F$4:$F$203,MATCH(B1395,'Share classes'!$B$4:$B$203,0)),""))</f>
        <v/>
      </c>
      <c r="N1395" s="30">
        <f>IF(A1395="","",IF(K1395="","Unknown holder ID",IF(J1395="","Unknown class code",IF(OR(C1395="",D1395=""),"Missing shares or date",IF(OR(C1395&lt;0,C1395&lt;&gt;INT(C1395)),"Shares must be a whole number",IF(COUNTIFS($A$4:$A$2503,A1395,$B$4:$B$2503,B1395,$D$4:$D$2503,D1395)&gt;1,"Duplicate row (same date)","OK"))))))</f>
        <v/>
      </c>
    </row>
    <row r="1396">
      <c r="A1396" s="26" t="n"/>
      <c r="B1396" s="26" t="n"/>
      <c r="C1396" s="34" t="n"/>
      <c r="D1396" s="28" t="n"/>
      <c r="E1396" s="26" t="n"/>
      <c r="F1396" s="26" t="n"/>
      <c r="G1396" s="26" t="n"/>
      <c r="H1396" s="38" t="n"/>
      <c r="I1396" s="28" t="n"/>
      <c r="J1396" s="30">
        <f>IF(B1396="","",IFERROR(INDEX('Share classes'!$A$4:$A$203,MATCH(B1396,'Share classes'!$B$4:$B$203,0)),""))</f>
        <v/>
      </c>
      <c r="K1396" s="30">
        <f>IF(A1396="","",IFERROR(INDEX('Holders'!$B$4:$B$1003,MATCH(A1396,'Holders'!$A$4:$A$1003,0)),""))</f>
        <v/>
      </c>
      <c r="L1396" s="30">
        <f>IF(OR(A1396="",B1396="",D1396=""),"",IF(D1396=_xlfn.MAXIFS($D$4:$D$2503,$A$4:$A$2503,A1396,$B$4:$B$2503,B1396),"Yes","No"))</f>
        <v/>
      </c>
      <c r="M1396" s="30">
        <f>IF(B1396="","",IFERROR(INDEX('Share classes'!$F$4:$F$203,MATCH(B1396,'Share classes'!$B$4:$B$203,0)),""))</f>
        <v/>
      </c>
      <c r="N1396" s="30">
        <f>IF(A1396="","",IF(K1396="","Unknown holder ID",IF(J1396="","Unknown class code",IF(OR(C1396="",D1396=""),"Missing shares or date",IF(OR(C1396&lt;0,C1396&lt;&gt;INT(C1396)),"Shares must be a whole number",IF(COUNTIFS($A$4:$A$2503,A1396,$B$4:$B$2503,B1396,$D$4:$D$2503,D1396)&gt;1,"Duplicate row (same date)","OK"))))))</f>
        <v/>
      </c>
    </row>
    <row r="1397">
      <c r="A1397" s="26" t="n"/>
      <c r="B1397" s="26" t="n"/>
      <c r="C1397" s="34" t="n"/>
      <c r="D1397" s="28" t="n"/>
      <c r="E1397" s="26" t="n"/>
      <c r="F1397" s="26" t="n"/>
      <c r="G1397" s="26" t="n"/>
      <c r="H1397" s="38" t="n"/>
      <c r="I1397" s="28" t="n"/>
      <c r="J1397" s="30">
        <f>IF(B1397="","",IFERROR(INDEX('Share classes'!$A$4:$A$203,MATCH(B1397,'Share classes'!$B$4:$B$203,0)),""))</f>
        <v/>
      </c>
      <c r="K1397" s="30">
        <f>IF(A1397="","",IFERROR(INDEX('Holders'!$B$4:$B$1003,MATCH(A1397,'Holders'!$A$4:$A$1003,0)),""))</f>
        <v/>
      </c>
      <c r="L1397" s="30">
        <f>IF(OR(A1397="",B1397="",D1397=""),"",IF(D1397=_xlfn.MAXIFS($D$4:$D$2503,$A$4:$A$2503,A1397,$B$4:$B$2503,B1397),"Yes","No"))</f>
        <v/>
      </c>
      <c r="M1397" s="30">
        <f>IF(B1397="","",IFERROR(INDEX('Share classes'!$F$4:$F$203,MATCH(B1397,'Share classes'!$B$4:$B$203,0)),""))</f>
        <v/>
      </c>
      <c r="N1397" s="30">
        <f>IF(A1397="","",IF(K1397="","Unknown holder ID",IF(J1397="","Unknown class code",IF(OR(C1397="",D1397=""),"Missing shares or date",IF(OR(C1397&lt;0,C1397&lt;&gt;INT(C1397)),"Shares must be a whole number",IF(COUNTIFS($A$4:$A$2503,A1397,$B$4:$B$2503,B1397,$D$4:$D$2503,D1397)&gt;1,"Duplicate row (same date)","OK"))))))</f>
        <v/>
      </c>
    </row>
    <row r="1398">
      <c r="A1398" s="26" t="n"/>
      <c r="B1398" s="26" t="n"/>
      <c r="C1398" s="34" t="n"/>
      <c r="D1398" s="28" t="n"/>
      <c r="E1398" s="26" t="n"/>
      <c r="F1398" s="26" t="n"/>
      <c r="G1398" s="26" t="n"/>
      <c r="H1398" s="38" t="n"/>
      <c r="I1398" s="28" t="n"/>
      <c r="J1398" s="30">
        <f>IF(B1398="","",IFERROR(INDEX('Share classes'!$A$4:$A$203,MATCH(B1398,'Share classes'!$B$4:$B$203,0)),""))</f>
        <v/>
      </c>
      <c r="K1398" s="30">
        <f>IF(A1398="","",IFERROR(INDEX('Holders'!$B$4:$B$1003,MATCH(A1398,'Holders'!$A$4:$A$1003,0)),""))</f>
        <v/>
      </c>
      <c r="L1398" s="30">
        <f>IF(OR(A1398="",B1398="",D1398=""),"",IF(D1398=_xlfn.MAXIFS($D$4:$D$2503,$A$4:$A$2503,A1398,$B$4:$B$2503,B1398),"Yes","No"))</f>
        <v/>
      </c>
      <c r="M1398" s="30">
        <f>IF(B1398="","",IFERROR(INDEX('Share classes'!$F$4:$F$203,MATCH(B1398,'Share classes'!$B$4:$B$203,0)),""))</f>
        <v/>
      </c>
      <c r="N1398" s="30">
        <f>IF(A1398="","",IF(K1398="","Unknown holder ID",IF(J1398="","Unknown class code",IF(OR(C1398="",D1398=""),"Missing shares or date",IF(OR(C1398&lt;0,C1398&lt;&gt;INT(C1398)),"Shares must be a whole number",IF(COUNTIFS($A$4:$A$2503,A1398,$B$4:$B$2503,B1398,$D$4:$D$2503,D1398)&gt;1,"Duplicate row (same date)","OK"))))))</f>
        <v/>
      </c>
    </row>
    <row r="1399">
      <c r="A1399" s="26" t="n"/>
      <c r="B1399" s="26" t="n"/>
      <c r="C1399" s="34" t="n"/>
      <c r="D1399" s="28" t="n"/>
      <c r="E1399" s="26" t="n"/>
      <c r="F1399" s="26" t="n"/>
      <c r="G1399" s="26" t="n"/>
      <c r="H1399" s="38" t="n"/>
      <c r="I1399" s="28" t="n"/>
      <c r="J1399" s="30">
        <f>IF(B1399="","",IFERROR(INDEX('Share classes'!$A$4:$A$203,MATCH(B1399,'Share classes'!$B$4:$B$203,0)),""))</f>
        <v/>
      </c>
      <c r="K1399" s="30">
        <f>IF(A1399="","",IFERROR(INDEX('Holders'!$B$4:$B$1003,MATCH(A1399,'Holders'!$A$4:$A$1003,0)),""))</f>
        <v/>
      </c>
      <c r="L1399" s="30">
        <f>IF(OR(A1399="",B1399="",D1399=""),"",IF(D1399=_xlfn.MAXIFS($D$4:$D$2503,$A$4:$A$2503,A1399,$B$4:$B$2503,B1399),"Yes","No"))</f>
        <v/>
      </c>
      <c r="M1399" s="30">
        <f>IF(B1399="","",IFERROR(INDEX('Share classes'!$F$4:$F$203,MATCH(B1399,'Share classes'!$B$4:$B$203,0)),""))</f>
        <v/>
      </c>
      <c r="N1399" s="30">
        <f>IF(A1399="","",IF(K1399="","Unknown holder ID",IF(J1399="","Unknown class code",IF(OR(C1399="",D1399=""),"Missing shares or date",IF(OR(C1399&lt;0,C1399&lt;&gt;INT(C1399)),"Shares must be a whole number",IF(COUNTIFS($A$4:$A$2503,A1399,$B$4:$B$2503,B1399,$D$4:$D$2503,D1399)&gt;1,"Duplicate row (same date)","OK"))))))</f>
        <v/>
      </c>
    </row>
    <row r="1400">
      <c r="A1400" s="26" t="n"/>
      <c r="B1400" s="26" t="n"/>
      <c r="C1400" s="34" t="n"/>
      <c r="D1400" s="28" t="n"/>
      <c r="E1400" s="26" t="n"/>
      <c r="F1400" s="26" t="n"/>
      <c r="G1400" s="26" t="n"/>
      <c r="H1400" s="38" t="n"/>
      <c r="I1400" s="28" t="n"/>
      <c r="J1400" s="30">
        <f>IF(B1400="","",IFERROR(INDEX('Share classes'!$A$4:$A$203,MATCH(B1400,'Share classes'!$B$4:$B$203,0)),""))</f>
        <v/>
      </c>
      <c r="K1400" s="30">
        <f>IF(A1400="","",IFERROR(INDEX('Holders'!$B$4:$B$1003,MATCH(A1400,'Holders'!$A$4:$A$1003,0)),""))</f>
        <v/>
      </c>
      <c r="L1400" s="30">
        <f>IF(OR(A1400="",B1400="",D1400=""),"",IF(D1400=_xlfn.MAXIFS($D$4:$D$2503,$A$4:$A$2503,A1400,$B$4:$B$2503,B1400),"Yes","No"))</f>
        <v/>
      </c>
      <c r="M1400" s="30">
        <f>IF(B1400="","",IFERROR(INDEX('Share classes'!$F$4:$F$203,MATCH(B1400,'Share classes'!$B$4:$B$203,0)),""))</f>
        <v/>
      </c>
      <c r="N1400" s="30">
        <f>IF(A1400="","",IF(K1400="","Unknown holder ID",IF(J1400="","Unknown class code",IF(OR(C1400="",D1400=""),"Missing shares or date",IF(OR(C1400&lt;0,C1400&lt;&gt;INT(C1400)),"Shares must be a whole number",IF(COUNTIFS($A$4:$A$2503,A1400,$B$4:$B$2503,B1400,$D$4:$D$2503,D1400)&gt;1,"Duplicate row (same date)","OK"))))))</f>
        <v/>
      </c>
    </row>
    <row r="1401">
      <c r="A1401" s="26" t="n"/>
      <c r="B1401" s="26" t="n"/>
      <c r="C1401" s="34" t="n"/>
      <c r="D1401" s="28" t="n"/>
      <c r="E1401" s="26" t="n"/>
      <c r="F1401" s="26" t="n"/>
      <c r="G1401" s="26" t="n"/>
      <c r="H1401" s="38" t="n"/>
      <c r="I1401" s="28" t="n"/>
      <c r="J1401" s="30">
        <f>IF(B1401="","",IFERROR(INDEX('Share classes'!$A$4:$A$203,MATCH(B1401,'Share classes'!$B$4:$B$203,0)),""))</f>
        <v/>
      </c>
      <c r="K1401" s="30">
        <f>IF(A1401="","",IFERROR(INDEX('Holders'!$B$4:$B$1003,MATCH(A1401,'Holders'!$A$4:$A$1003,0)),""))</f>
        <v/>
      </c>
      <c r="L1401" s="30">
        <f>IF(OR(A1401="",B1401="",D1401=""),"",IF(D1401=_xlfn.MAXIFS($D$4:$D$2503,$A$4:$A$2503,A1401,$B$4:$B$2503,B1401),"Yes","No"))</f>
        <v/>
      </c>
      <c r="M1401" s="30">
        <f>IF(B1401="","",IFERROR(INDEX('Share classes'!$F$4:$F$203,MATCH(B1401,'Share classes'!$B$4:$B$203,0)),""))</f>
        <v/>
      </c>
      <c r="N1401" s="30">
        <f>IF(A1401="","",IF(K1401="","Unknown holder ID",IF(J1401="","Unknown class code",IF(OR(C1401="",D1401=""),"Missing shares or date",IF(OR(C1401&lt;0,C1401&lt;&gt;INT(C1401)),"Shares must be a whole number",IF(COUNTIFS($A$4:$A$2503,A1401,$B$4:$B$2503,B1401,$D$4:$D$2503,D1401)&gt;1,"Duplicate row (same date)","OK"))))))</f>
        <v/>
      </c>
    </row>
    <row r="1402">
      <c r="A1402" s="26" t="n"/>
      <c r="B1402" s="26" t="n"/>
      <c r="C1402" s="34" t="n"/>
      <c r="D1402" s="28" t="n"/>
      <c r="E1402" s="26" t="n"/>
      <c r="F1402" s="26" t="n"/>
      <c r="G1402" s="26" t="n"/>
      <c r="H1402" s="38" t="n"/>
      <c r="I1402" s="28" t="n"/>
      <c r="J1402" s="30">
        <f>IF(B1402="","",IFERROR(INDEX('Share classes'!$A$4:$A$203,MATCH(B1402,'Share classes'!$B$4:$B$203,0)),""))</f>
        <v/>
      </c>
      <c r="K1402" s="30">
        <f>IF(A1402="","",IFERROR(INDEX('Holders'!$B$4:$B$1003,MATCH(A1402,'Holders'!$A$4:$A$1003,0)),""))</f>
        <v/>
      </c>
      <c r="L1402" s="30">
        <f>IF(OR(A1402="",B1402="",D1402=""),"",IF(D1402=_xlfn.MAXIFS($D$4:$D$2503,$A$4:$A$2503,A1402,$B$4:$B$2503,B1402),"Yes","No"))</f>
        <v/>
      </c>
      <c r="M1402" s="30">
        <f>IF(B1402="","",IFERROR(INDEX('Share classes'!$F$4:$F$203,MATCH(B1402,'Share classes'!$B$4:$B$203,0)),""))</f>
        <v/>
      </c>
      <c r="N1402" s="30">
        <f>IF(A1402="","",IF(K1402="","Unknown holder ID",IF(J1402="","Unknown class code",IF(OR(C1402="",D1402=""),"Missing shares or date",IF(OR(C1402&lt;0,C1402&lt;&gt;INT(C1402)),"Shares must be a whole number",IF(COUNTIFS($A$4:$A$2503,A1402,$B$4:$B$2503,B1402,$D$4:$D$2503,D1402)&gt;1,"Duplicate row (same date)","OK"))))))</f>
        <v/>
      </c>
    </row>
    <row r="1403">
      <c r="A1403" s="26" t="n"/>
      <c r="B1403" s="26" t="n"/>
      <c r="C1403" s="34" t="n"/>
      <c r="D1403" s="28" t="n"/>
      <c r="E1403" s="26" t="n"/>
      <c r="F1403" s="26" t="n"/>
      <c r="G1403" s="26" t="n"/>
      <c r="H1403" s="38" t="n"/>
      <c r="I1403" s="28" t="n"/>
      <c r="J1403" s="30">
        <f>IF(B1403="","",IFERROR(INDEX('Share classes'!$A$4:$A$203,MATCH(B1403,'Share classes'!$B$4:$B$203,0)),""))</f>
        <v/>
      </c>
      <c r="K1403" s="30">
        <f>IF(A1403="","",IFERROR(INDEX('Holders'!$B$4:$B$1003,MATCH(A1403,'Holders'!$A$4:$A$1003,0)),""))</f>
        <v/>
      </c>
      <c r="L1403" s="30">
        <f>IF(OR(A1403="",B1403="",D1403=""),"",IF(D1403=_xlfn.MAXIFS($D$4:$D$2503,$A$4:$A$2503,A1403,$B$4:$B$2503,B1403),"Yes","No"))</f>
        <v/>
      </c>
      <c r="M1403" s="30">
        <f>IF(B1403="","",IFERROR(INDEX('Share classes'!$F$4:$F$203,MATCH(B1403,'Share classes'!$B$4:$B$203,0)),""))</f>
        <v/>
      </c>
      <c r="N1403" s="30">
        <f>IF(A1403="","",IF(K1403="","Unknown holder ID",IF(J1403="","Unknown class code",IF(OR(C1403="",D1403=""),"Missing shares or date",IF(OR(C1403&lt;0,C1403&lt;&gt;INT(C1403)),"Shares must be a whole number",IF(COUNTIFS($A$4:$A$2503,A1403,$B$4:$B$2503,B1403,$D$4:$D$2503,D1403)&gt;1,"Duplicate row (same date)","OK"))))))</f>
        <v/>
      </c>
    </row>
    <row r="1404">
      <c r="A1404" s="26" t="n"/>
      <c r="B1404" s="26" t="n"/>
      <c r="C1404" s="34" t="n"/>
      <c r="D1404" s="28" t="n"/>
      <c r="E1404" s="26" t="n"/>
      <c r="F1404" s="26" t="n"/>
      <c r="G1404" s="26" t="n"/>
      <c r="H1404" s="38" t="n"/>
      <c r="I1404" s="28" t="n"/>
      <c r="J1404" s="30">
        <f>IF(B1404="","",IFERROR(INDEX('Share classes'!$A$4:$A$203,MATCH(B1404,'Share classes'!$B$4:$B$203,0)),""))</f>
        <v/>
      </c>
      <c r="K1404" s="30">
        <f>IF(A1404="","",IFERROR(INDEX('Holders'!$B$4:$B$1003,MATCH(A1404,'Holders'!$A$4:$A$1003,0)),""))</f>
        <v/>
      </c>
      <c r="L1404" s="30">
        <f>IF(OR(A1404="",B1404="",D1404=""),"",IF(D1404=_xlfn.MAXIFS($D$4:$D$2503,$A$4:$A$2503,A1404,$B$4:$B$2503,B1404),"Yes","No"))</f>
        <v/>
      </c>
      <c r="M1404" s="30">
        <f>IF(B1404="","",IFERROR(INDEX('Share classes'!$F$4:$F$203,MATCH(B1404,'Share classes'!$B$4:$B$203,0)),""))</f>
        <v/>
      </c>
      <c r="N1404" s="30">
        <f>IF(A1404="","",IF(K1404="","Unknown holder ID",IF(J1404="","Unknown class code",IF(OR(C1404="",D1404=""),"Missing shares or date",IF(OR(C1404&lt;0,C1404&lt;&gt;INT(C1404)),"Shares must be a whole number",IF(COUNTIFS($A$4:$A$2503,A1404,$B$4:$B$2503,B1404,$D$4:$D$2503,D1404)&gt;1,"Duplicate row (same date)","OK"))))))</f>
        <v/>
      </c>
    </row>
    <row r="1405">
      <c r="A1405" s="26" t="n"/>
      <c r="B1405" s="26" t="n"/>
      <c r="C1405" s="34" t="n"/>
      <c r="D1405" s="28" t="n"/>
      <c r="E1405" s="26" t="n"/>
      <c r="F1405" s="26" t="n"/>
      <c r="G1405" s="26" t="n"/>
      <c r="H1405" s="38" t="n"/>
      <c r="I1405" s="28" t="n"/>
      <c r="J1405" s="30">
        <f>IF(B1405="","",IFERROR(INDEX('Share classes'!$A$4:$A$203,MATCH(B1405,'Share classes'!$B$4:$B$203,0)),""))</f>
        <v/>
      </c>
      <c r="K1405" s="30">
        <f>IF(A1405="","",IFERROR(INDEX('Holders'!$B$4:$B$1003,MATCH(A1405,'Holders'!$A$4:$A$1003,0)),""))</f>
        <v/>
      </c>
      <c r="L1405" s="30">
        <f>IF(OR(A1405="",B1405="",D1405=""),"",IF(D1405=_xlfn.MAXIFS($D$4:$D$2503,$A$4:$A$2503,A1405,$B$4:$B$2503,B1405),"Yes","No"))</f>
        <v/>
      </c>
      <c r="M1405" s="30">
        <f>IF(B1405="","",IFERROR(INDEX('Share classes'!$F$4:$F$203,MATCH(B1405,'Share classes'!$B$4:$B$203,0)),""))</f>
        <v/>
      </c>
      <c r="N1405" s="30">
        <f>IF(A1405="","",IF(K1405="","Unknown holder ID",IF(J1405="","Unknown class code",IF(OR(C1405="",D1405=""),"Missing shares or date",IF(OR(C1405&lt;0,C1405&lt;&gt;INT(C1405)),"Shares must be a whole number",IF(COUNTIFS($A$4:$A$2503,A1405,$B$4:$B$2503,B1405,$D$4:$D$2503,D1405)&gt;1,"Duplicate row (same date)","OK"))))))</f>
        <v/>
      </c>
    </row>
    <row r="1406">
      <c r="A1406" s="26" t="n"/>
      <c r="B1406" s="26" t="n"/>
      <c r="C1406" s="34" t="n"/>
      <c r="D1406" s="28" t="n"/>
      <c r="E1406" s="26" t="n"/>
      <c r="F1406" s="26" t="n"/>
      <c r="G1406" s="26" t="n"/>
      <c r="H1406" s="38" t="n"/>
      <c r="I1406" s="28" t="n"/>
      <c r="J1406" s="30">
        <f>IF(B1406="","",IFERROR(INDEX('Share classes'!$A$4:$A$203,MATCH(B1406,'Share classes'!$B$4:$B$203,0)),""))</f>
        <v/>
      </c>
      <c r="K1406" s="30">
        <f>IF(A1406="","",IFERROR(INDEX('Holders'!$B$4:$B$1003,MATCH(A1406,'Holders'!$A$4:$A$1003,0)),""))</f>
        <v/>
      </c>
      <c r="L1406" s="30">
        <f>IF(OR(A1406="",B1406="",D1406=""),"",IF(D1406=_xlfn.MAXIFS($D$4:$D$2503,$A$4:$A$2503,A1406,$B$4:$B$2503,B1406),"Yes","No"))</f>
        <v/>
      </c>
      <c r="M1406" s="30">
        <f>IF(B1406="","",IFERROR(INDEX('Share classes'!$F$4:$F$203,MATCH(B1406,'Share classes'!$B$4:$B$203,0)),""))</f>
        <v/>
      </c>
      <c r="N1406" s="30">
        <f>IF(A1406="","",IF(K1406="","Unknown holder ID",IF(J1406="","Unknown class code",IF(OR(C1406="",D1406=""),"Missing shares or date",IF(OR(C1406&lt;0,C1406&lt;&gt;INT(C1406)),"Shares must be a whole number",IF(COUNTIFS($A$4:$A$2503,A1406,$B$4:$B$2503,B1406,$D$4:$D$2503,D1406)&gt;1,"Duplicate row (same date)","OK"))))))</f>
        <v/>
      </c>
    </row>
    <row r="1407">
      <c r="A1407" s="26" t="n"/>
      <c r="B1407" s="26" t="n"/>
      <c r="C1407" s="34" t="n"/>
      <c r="D1407" s="28" t="n"/>
      <c r="E1407" s="26" t="n"/>
      <c r="F1407" s="26" t="n"/>
      <c r="G1407" s="26" t="n"/>
      <c r="H1407" s="38" t="n"/>
      <c r="I1407" s="28" t="n"/>
      <c r="J1407" s="30">
        <f>IF(B1407="","",IFERROR(INDEX('Share classes'!$A$4:$A$203,MATCH(B1407,'Share classes'!$B$4:$B$203,0)),""))</f>
        <v/>
      </c>
      <c r="K1407" s="30">
        <f>IF(A1407="","",IFERROR(INDEX('Holders'!$B$4:$B$1003,MATCH(A1407,'Holders'!$A$4:$A$1003,0)),""))</f>
        <v/>
      </c>
      <c r="L1407" s="30">
        <f>IF(OR(A1407="",B1407="",D1407=""),"",IF(D1407=_xlfn.MAXIFS($D$4:$D$2503,$A$4:$A$2503,A1407,$B$4:$B$2503,B1407),"Yes","No"))</f>
        <v/>
      </c>
      <c r="M1407" s="30">
        <f>IF(B1407="","",IFERROR(INDEX('Share classes'!$F$4:$F$203,MATCH(B1407,'Share classes'!$B$4:$B$203,0)),""))</f>
        <v/>
      </c>
      <c r="N1407" s="30">
        <f>IF(A1407="","",IF(K1407="","Unknown holder ID",IF(J1407="","Unknown class code",IF(OR(C1407="",D1407=""),"Missing shares or date",IF(OR(C1407&lt;0,C1407&lt;&gt;INT(C1407)),"Shares must be a whole number",IF(COUNTIFS($A$4:$A$2503,A1407,$B$4:$B$2503,B1407,$D$4:$D$2503,D1407)&gt;1,"Duplicate row (same date)","OK"))))))</f>
        <v/>
      </c>
    </row>
    <row r="1408">
      <c r="A1408" s="26" t="n"/>
      <c r="B1408" s="26" t="n"/>
      <c r="C1408" s="34" t="n"/>
      <c r="D1408" s="28" t="n"/>
      <c r="E1408" s="26" t="n"/>
      <c r="F1408" s="26" t="n"/>
      <c r="G1408" s="26" t="n"/>
      <c r="H1408" s="38" t="n"/>
      <c r="I1408" s="28" t="n"/>
      <c r="J1408" s="30">
        <f>IF(B1408="","",IFERROR(INDEX('Share classes'!$A$4:$A$203,MATCH(B1408,'Share classes'!$B$4:$B$203,0)),""))</f>
        <v/>
      </c>
      <c r="K1408" s="30">
        <f>IF(A1408="","",IFERROR(INDEX('Holders'!$B$4:$B$1003,MATCH(A1408,'Holders'!$A$4:$A$1003,0)),""))</f>
        <v/>
      </c>
      <c r="L1408" s="30">
        <f>IF(OR(A1408="",B1408="",D1408=""),"",IF(D1408=_xlfn.MAXIFS($D$4:$D$2503,$A$4:$A$2503,A1408,$B$4:$B$2503,B1408),"Yes","No"))</f>
        <v/>
      </c>
      <c r="M1408" s="30">
        <f>IF(B1408="","",IFERROR(INDEX('Share classes'!$F$4:$F$203,MATCH(B1408,'Share classes'!$B$4:$B$203,0)),""))</f>
        <v/>
      </c>
      <c r="N1408" s="30">
        <f>IF(A1408="","",IF(K1408="","Unknown holder ID",IF(J1408="","Unknown class code",IF(OR(C1408="",D1408=""),"Missing shares or date",IF(OR(C1408&lt;0,C1408&lt;&gt;INT(C1408)),"Shares must be a whole number",IF(COUNTIFS($A$4:$A$2503,A1408,$B$4:$B$2503,B1408,$D$4:$D$2503,D1408)&gt;1,"Duplicate row (same date)","OK"))))))</f>
        <v/>
      </c>
    </row>
    <row r="1409">
      <c r="A1409" s="26" t="n"/>
      <c r="B1409" s="26" t="n"/>
      <c r="C1409" s="34" t="n"/>
      <c r="D1409" s="28" t="n"/>
      <c r="E1409" s="26" t="n"/>
      <c r="F1409" s="26" t="n"/>
      <c r="G1409" s="26" t="n"/>
      <c r="H1409" s="38" t="n"/>
      <c r="I1409" s="28" t="n"/>
      <c r="J1409" s="30">
        <f>IF(B1409="","",IFERROR(INDEX('Share classes'!$A$4:$A$203,MATCH(B1409,'Share classes'!$B$4:$B$203,0)),""))</f>
        <v/>
      </c>
      <c r="K1409" s="30">
        <f>IF(A1409="","",IFERROR(INDEX('Holders'!$B$4:$B$1003,MATCH(A1409,'Holders'!$A$4:$A$1003,0)),""))</f>
        <v/>
      </c>
      <c r="L1409" s="30">
        <f>IF(OR(A1409="",B1409="",D1409=""),"",IF(D1409=_xlfn.MAXIFS($D$4:$D$2503,$A$4:$A$2503,A1409,$B$4:$B$2503,B1409),"Yes","No"))</f>
        <v/>
      </c>
      <c r="M1409" s="30">
        <f>IF(B1409="","",IFERROR(INDEX('Share classes'!$F$4:$F$203,MATCH(B1409,'Share classes'!$B$4:$B$203,0)),""))</f>
        <v/>
      </c>
      <c r="N1409" s="30">
        <f>IF(A1409="","",IF(K1409="","Unknown holder ID",IF(J1409="","Unknown class code",IF(OR(C1409="",D1409=""),"Missing shares or date",IF(OR(C1409&lt;0,C1409&lt;&gt;INT(C1409)),"Shares must be a whole number",IF(COUNTIFS($A$4:$A$2503,A1409,$B$4:$B$2503,B1409,$D$4:$D$2503,D1409)&gt;1,"Duplicate row (same date)","OK"))))))</f>
        <v/>
      </c>
    </row>
    <row r="1410">
      <c r="A1410" s="26" t="n"/>
      <c r="B1410" s="26" t="n"/>
      <c r="C1410" s="34" t="n"/>
      <c r="D1410" s="28" t="n"/>
      <c r="E1410" s="26" t="n"/>
      <c r="F1410" s="26" t="n"/>
      <c r="G1410" s="26" t="n"/>
      <c r="H1410" s="38" t="n"/>
      <c r="I1410" s="28" t="n"/>
      <c r="J1410" s="30">
        <f>IF(B1410="","",IFERROR(INDEX('Share classes'!$A$4:$A$203,MATCH(B1410,'Share classes'!$B$4:$B$203,0)),""))</f>
        <v/>
      </c>
      <c r="K1410" s="30">
        <f>IF(A1410="","",IFERROR(INDEX('Holders'!$B$4:$B$1003,MATCH(A1410,'Holders'!$A$4:$A$1003,0)),""))</f>
        <v/>
      </c>
      <c r="L1410" s="30">
        <f>IF(OR(A1410="",B1410="",D1410=""),"",IF(D1410=_xlfn.MAXIFS($D$4:$D$2503,$A$4:$A$2503,A1410,$B$4:$B$2503,B1410),"Yes","No"))</f>
        <v/>
      </c>
      <c r="M1410" s="30">
        <f>IF(B1410="","",IFERROR(INDEX('Share classes'!$F$4:$F$203,MATCH(B1410,'Share classes'!$B$4:$B$203,0)),""))</f>
        <v/>
      </c>
      <c r="N1410" s="30">
        <f>IF(A1410="","",IF(K1410="","Unknown holder ID",IF(J1410="","Unknown class code",IF(OR(C1410="",D1410=""),"Missing shares or date",IF(OR(C1410&lt;0,C1410&lt;&gt;INT(C1410)),"Shares must be a whole number",IF(COUNTIFS($A$4:$A$2503,A1410,$B$4:$B$2503,B1410,$D$4:$D$2503,D1410)&gt;1,"Duplicate row (same date)","OK"))))))</f>
        <v/>
      </c>
    </row>
    <row r="1411">
      <c r="A1411" s="26" t="n"/>
      <c r="B1411" s="26" t="n"/>
      <c r="C1411" s="34" t="n"/>
      <c r="D1411" s="28" t="n"/>
      <c r="E1411" s="26" t="n"/>
      <c r="F1411" s="26" t="n"/>
      <c r="G1411" s="26" t="n"/>
      <c r="H1411" s="38" t="n"/>
      <c r="I1411" s="28" t="n"/>
      <c r="J1411" s="30">
        <f>IF(B1411="","",IFERROR(INDEX('Share classes'!$A$4:$A$203,MATCH(B1411,'Share classes'!$B$4:$B$203,0)),""))</f>
        <v/>
      </c>
      <c r="K1411" s="30">
        <f>IF(A1411="","",IFERROR(INDEX('Holders'!$B$4:$B$1003,MATCH(A1411,'Holders'!$A$4:$A$1003,0)),""))</f>
        <v/>
      </c>
      <c r="L1411" s="30">
        <f>IF(OR(A1411="",B1411="",D1411=""),"",IF(D1411=_xlfn.MAXIFS($D$4:$D$2503,$A$4:$A$2503,A1411,$B$4:$B$2503,B1411),"Yes","No"))</f>
        <v/>
      </c>
      <c r="M1411" s="30">
        <f>IF(B1411="","",IFERROR(INDEX('Share classes'!$F$4:$F$203,MATCH(B1411,'Share classes'!$B$4:$B$203,0)),""))</f>
        <v/>
      </c>
      <c r="N1411" s="30">
        <f>IF(A1411="","",IF(K1411="","Unknown holder ID",IF(J1411="","Unknown class code",IF(OR(C1411="",D1411=""),"Missing shares or date",IF(OR(C1411&lt;0,C1411&lt;&gt;INT(C1411)),"Shares must be a whole number",IF(COUNTIFS($A$4:$A$2503,A1411,$B$4:$B$2503,B1411,$D$4:$D$2503,D1411)&gt;1,"Duplicate row (same date)","OK"))))))</f>
        <v/>
      </c>
    </row>
    <row r="1412">
      <c r="A1412" s="26" t="n"/>
      <c r="B1412" s="26" t="n"/>
      <c r="C1412" s="34" t="n"/>
      <c r="D1412" s="28" t="n"/>
      <c r="E1412" s="26" t="n"/>
      <c r="F1412" s="26" t="n"/>
      <c r="G1412" s="26" t="n"/>
      <c r="H1412" s="38" t="n"/>
      <c r="I1412" s="28" t="n"/>
      <c r="J1412" s="30">
        <f>IF(B1412="","",IFERROR(INDEX('Share classes'!$A$4:$A$203,MATCH(B1412,'Share classes'!$B$4:$B$203,0)),""))</f>
        <v/>
      </c>
      <c r="K1412" s="30">
        <f>IF(A1412="","",IFERROR(INDEX('Holders'!$B$4:$B$1003,MATCH(A1412,'Holders'!$A$4:$A$1003,0)),""))</f>
        <v/>
      </c>
      <c r="L1412" s="30">
        <f>IF(OR(A1412="",B1412="",D1412=""),"",IF(D1412=_xlfn.MAXIFS($D$4:$D$2503,$A$4:$A$2503,A1412,$B$4:$B$2503,B1412),"Yes","No"))</f>
        <v/>
      </c>
      <c r="M1412" s="30">
        <f>IF(B1412="","",IFERROR(INDEX('Share classes'!$F$4:$F$203,MATCH(B1412,'Share classes'!$B$4:$B$203,0)),""))</f>
        <v/>
      </c>
      <c r="N1412" s="30">
        <f>IF(A1412="","",IF(K1412="","Unknown holder ID",IF(J1412="","Unknown class code",IF(OR(C1412="",D1412=""),"Missing shares or date",IF(OR(C1412&lt;0,C1412&lt;&gt;INT(C1412)),"Shares must be a whole number",IF(COUNTIFS($A$4:$A$2503,A1412,$B$4:$B$2503,B1412,$D$4:$D$2503,D1412)&gt;1,"Duplicate row (same date)","OK"))))))</f>
        <v/>
      </c>
    </row>
    <row r="1413">
      <c r="A1413" s="26" t="n"/>
      <c r="B1413" s="26" t="n"/>
      <c r="C1413" s="34" t="n"/>
      <c r="D1413" s="28" t="n"/>
      <c r="E1413" s="26" t="n"/>
      <c r="F1413" s="26" t="n"/>
      <c r="G1413" s="26" t="n"/>
      <c r="H1413" s="38" t="n"/>
      <c r="I1413" s="28" t="n"/>
      <c r="J1413" s="30">
        <f>IF(B1413="","",IFERROR(INDEX('Share classes'!$A$4:$A$203,MATCH(B1413,'Share classes'!$B$4:$B$203,0)),""))</f>
        <v/>
      </c>
      <c r="K1413" s="30">
        <f>IF(A1413="","",IFERROR(INDEX('Holders'!$B$4:$B$1003,MATCH(A1413,'Holders'!$A$4:$A$1003,0)),""))</f>
        <v/>
      </c>
      <c r="L1413" s="30">
        <f>IF(OR(A1413="",B1413="",D1413=""),"",IF(D1413=_xlfn.MAXIFS($D$4:$D$2503,$A$4:$A$2503,A1413,$B$4:$B$2503,B1413),"Yes","No"))</f>
        <v/>
      </c>
      <c r="M1413" s="30">
        <f>IF(B1413="","",IFERROR(INDEX('Share classes'!$F$4:$F$203,MATCH(B1413,'Share classes'!$B$4:$B$203,0)),""))</f>
        <v/>
      </c>
      <c r="N1413" s="30">
        <f>IF(A1413="","",IF(K1413="","Unknown holder ID",IF(J1413="","Unknown class code",IF(OR(C1413="",D1413=""),"Missing shares or date",IF(OR(C1413&lt;0,C1413&lt;&gt;INT(C1413)),"Shares must be a whole number",IF(COUNTIFS($A$4:$A$2503,A1413,$B$4:$B$2503,B1413,$D$4:$D$2503,D1413)&gt;1,"Duplicate row (same date)","OK"))))))</f>
        <v/>
      </c>
    </row>
    <row r="1414">
      <c r="A1414" s="26" t="n"/>
      <c r="B1414" s="26" t="n"/>
      <c r="C1414" s="34" t="n"/>
      <c r="D1414" s="28" t="n"/>
      <c r="E1414" s="26" t="n"/>
      <c r="F1414" s="26" t="n"/>
      <c r="G1414" s="26" t="n"/>
      <c r="H1414" s="38" t="n"/>
      <c r="I1414" s="28" t="n"/>
      <c r="J1414" s="30">
        <f>IF(B1414="","",IFERROR(INDEX('Share classes'!$A$4:$A$203,MATCH(B1414,'Share classes'!$B$4:$B$203,0)),""))</f>
        <v/>
      </c>
      <c r="K1414" s="30">
        <f>IF(A1414="","",IFERROR(INDEX('Holders'!$B$4:$B$1003,MATCH(A1414,'Holders'!$A$4:$A$1003,0)),""))</f>
        <v/>
      </c>
      <c r="L1414" s="30">
        <f>IF(OR(A1414="",B1414="",D1414=""),"",IF(D1414=_xlfn.MAXIFS($D$4:$D$2503,$A$4:$A$2503,A1414,$B$4:$B$2503,B1414),"Yes","No"))</f>
        <v/>
      </c>
      <c r="M1414" s="30">
        <f>IF(B1414="","",IFERROR(INDEX('Share classes'!$F$4:$F$203,MATCH(B1414,'Share classes'!$B$4:$B$203,0)),""))</f>
        <v/>
      </c>
      <c r="N1414" s="30">
        <f>IF(A1414="","",IF(K1414="","Unknown holder ID",IF(J1414="","Unknown class code",IF(OR(C1414="",D1414=""),"Missing shares or date",IF(OR(C1414&lt;0,C1414&lt;&gt;INT(C1414)),"Shares must be a whole number",IF(COUNTIFS($A$4:$A$2503,A1414,$B$4:$B$2503,B1414,$D$4:$D$2503,D1414)&gt;1,"Duplicate row (same date)","OK"))))))</f>
        <v/>
      </c>
    </row>
    <row r="1415">
      <c r="A1415" s="26" t="n"/>
      <c r="B1415" s="26" t="n"/>
      <c r="C1415" s="34" t="n"/>
      <c r="D1415" s="28" t="n"/>
      <c r="E1415" s="26" t="n"/>
      <c r="F1415" s="26" t="n"/>
      <c r="G1415" s="26" t="n"/>
      <c r="H1415" s="38" t="n"/>
      <c r="I1415" s="28" t="n"/>
      <c r="J1415" s="30">
        <f>IF(B1415="","",IFERROR(INDEX('Share classes'!$A$4:$A$203,MATCH(B1415,'Share classes'!$B$4:$B$203,0)),""))</f>
        <v/>
      </c>
      <c r="K1415" s="30">
        <f>IF(A1415="","",IFERROR(INDEX('Holders'!$B$4:$B$1003,MATCH(A1415,'Holders'!$A$4:$A$1003,0)),""))</f>
        <v/>
      </c>
      <c r="L1415" s="30">
        <f>IF(OR(A1415="",B1415="",D1415=""),"",IF(D1415=_xlfn.MAXIFS($D$4:$D$2503,$A$4:$A$2503,A1415,$B$4:$B$2503,B1415),"Yes","No"))</f>
        <v/>
      </c>
      <c r="M1415" s="30">
        <f>IF(B1415="","",IFERROR(INDEX('Share classes'!$F$4:$F$203,MATCH(B1415,'Share classes'!$B$4:$B$203,0)),""))</f>
        <v/>
      </c>
      <c r="N1415" s="30">
        <f>IF(A1415="","",IF(K1415="","Unknown holder ID",IF(J1415="","Unknown class code",IF(OR(C1415="",D1415=""),"Missing shares or date",IF(OR(C1415&lt;0,C1415&lt;&gt;INT(C1415)),"Shares must be a whole number",IF(COUNTIFS($A$4:$A$2503,A1415,$B$4:$B$2503,B1415,$D$4:$D$2503,D1415)&gt;1,"Duplicate row (same date)","OK"))))))</f>
        <v/>
      </c>
    </row>
    <row r="1416">
      <c r="A1416" s="26" t="n"/>
      <c r="B1416" s="26" t="n"/>
      <c r="C1416" s="34" t="n"/>
      <c r="D1416" s="28" t="n"/>
      <c r="E1416" s="26" t="n"/>
      <c r="F1416" s="26" t="n"/>
      <c r="G1416" s="26" t="n"/>
      <c r="H1416" s="38" t="n"/>
      <c r="I1416" s="28" t="n"/>
      <c r="J1416" s="30">
        <f>IF(B1416="","",IFERROR(INDEX('Share classes'!$A$4:$A$203,MATCH(B1416,'Share classes'!$B$4:$B$203,0)),""))</f>
        <v/>
      </c>
      <c r="K1416" s="30">
        <f>IF(A1416="","",IFERROR(INDEX('Holders'!$B$4:$B$1003,MATCH(A1416,'Holders'!$A$4:$A$1003,0)),""))</f>
        <v/>
      </c>
      <c r="L1416" s="30">
        <f>IF(OR(A1416="",B1416="",D1416=""),"",IF(D1416=_xlfn.MAXIFS($D$4:$D$2503,$A$4:$A$2503,A1416,$B$4:$B$2503,B1416),"Yes","No"))</f>
        <v/>
      </c>
      <c r="M1416" s="30">
        <f>IF(B1416="","",IFERROR(INDEX('Share classes'!$F$4:$F$203,MATCH(B1416,'Share classes'!$B$4:$B$203,0)),""))</f>
        <v/>
      </c>
      <c r="N1416" s="30">
        <f>IF(A1416="","",IF(K1416="","Unknown holder ID",IF(J1416="","Unknown class code",IF(OR(C1416="",D1416=""),"Missing shares or date",IF(OR(C1416&lt;0,C1416&lt;&gt;INT(C1416)),"Shares must be a whole number",IF(COUNTIFS($A$4:$A$2503,A1416,$B$4:$B$2503,B1416,$D$4:$D$2503,D1416)&gt;1,"Duplicate row (same date)","OK"))))))</f>
        <v/>
      </c>
    </row>
    <row r="1417">
      <c r="A1417" s="26" t="n"/>
      <c r="B1417" s="26" t="n"/>
      <c r="C1417" s="34" t="n"/>
      <c r="D1417" s="28" t="n"/>
      <c r="E1417" s="26" t="n"/>
      <c r="F1417" s="26" t="n"/>
      <c r="G1417" s="26" t="n"/>
      <c r="H1417" s="38" t="n"/>
      <c r="I1417" s="28" t="n"/>
      <c r="J1417" s="30">
        <f>IF(B1417="","",IFERROR(INDEX('Share classes'!$A$4:$A$203,MATCH(B1417,'Share classes'!$B$4:$B$203,0)),""))</f>
        <v/>
      </c>
      <c r="K1417" s="30">
        <f>IF(A1417="","",IFERROR(INDEX('Holders'!$B$4:$B$1003,MATCH(A1417,'Holders'!$A$4:$A$1003,0)),""))</f>
        <v/>
      </c>
      <c r="L1417" s="30">
        <f>IF(OR(A1417="",B1417="",D1417=""),"",IF(D1417=_xlfn.MAXIFS($D$4:$D$2503,$A$4:$A$2503,A1417,$B$4:$B$2503,B1417),"Yes","No"))</f>
        <v/>
      </c>
      <c r="M1417" s="30">
        <f>IF(B1417="","",IFERROR(INDEX('Share classes'!$F$4:$F$203,MATCH(B1417,'Share classes'!$B$4:$B$203,0)),""))</f>
        <v/>
      </c>
      <c r="N1417" s="30">
        <f>IF(A1417="","",IF(K1417="","Unknown holder ID",IF(J1417="","Unknown class code",IF(OR(C1417="",D1417=""),"Missing shares or date",IF(OR(C1417&lt;0,C1417&lt;&gt;INT(C1417)),"Shares must be a whole number",IF(COUNTIFS($A$4:$A$2503,A1417,$B$4:$B$2503,B1417,$D$4:$D$2503,D1417)&gt;1,"Duplicate row (same date)","OK"))))))</f>
        <v/>
      </c>
    </row>
    <row r="1418">
      <c r="A1418" s="26" t="n"/>
      <c r="B1418" s="26" t="n"/>
      <c r="C1418" s="34" t="n"/>
      <c r="D1418" s="28" t="n"/>
      <c r="E1418" s="26" t="n"/>
      <c r="F1418" s="26" t="n"/>
      <c r="G1418" s="26" t="n"/>
      <c r="H1418" s="38" t="n"/>
      <c r="I1418" s="28" t="n"/>
      <c r="J1418" s="30">
        <f>IF(B1418="","",IFERROR(INDEX('Share classes'!$A$4:$A$203,MATCH(B1418,'Share classes'!$B$4:$B$203,0)),""))</f>
        <v/>
      </c>
      <c r="K1418" s="30">
        <f>IF(A1418="","",IFERROR(INDEX('Holders'!$B$4:$B$1003,MATCH(A1418,'Holders'!$A$4:$A$1003,0)),""))</f>
        <v/>
      </c>
      <c r="L1418" s="30">
        <f>IF(OR(A1418="",B1418="",D1418=""),"",IF(D1418=_xlfn.MAXIFS($D$4:$D$2503,$A$4:$A$2503,A1418,$B$4:$B$2503,B1418),"Yes","No"))</f>
        <v/>
      </c>
      <c r="M1418" s="30">
        <f>IF(B1418="","",IFERROR(INDEX('Share classes'!$F$4:$F$203,MATCH(B1418,'Share classes'!$B$4:$B$203,0)),""))</f>
        <v/>
      </c>
      <c r="N1418" s="30">
        <f>IF(A1418="","",IF(K1418="","Unknown holder ID",IF(J1418="","Unknown class code",IF(OR(C1418="",D1418=""),"Missing shares or date",IF(OR(C1418&lt;0,C1418&lt;&gt;INT(C1418)),"Shares must be a whole number",IF(COUNTIFS($A$4:$A$2503,A1418,$B$4:$B$2503,B1418,$D$4:$D$2503,D1418)&gt;1,"Duplicate row (same date)","OK"))))))</f>
        <v/>
      </c>
    </row>
    <row r="1419">
      <c r="A1419" s="26" t="n"/>
      <c r="B1419" s="26" t="n"/>
      <c r="C1419" s="34" t="n"/>
      <c r="D1419" s="28" t="n"/>
      <c r="E1419" s="26" t="n"/>
      <c r="F1419" s="26" t="n"/>
      <c r="G1419" s="26" t="n"/>
      <c r="H1419" s="38" t="n"/>
      <c r="I1419" s="28" t="n"/>
      <c r="J1419" s="30">
        <f>IF(B1419="","",IFERROR(INDEX('Share classes'!$A$4:$A$203,MATCH(B1419,'Share classes'!$B$4:$B$203,0)),""))</f>
        <v/>
      </c>
      <c r="K1419" s="30">
        <f>IF(A1419="","",IFERROR(INDEX('Holders'!$B$4:$B$1003,MATCH(A1419,'Holders'!$A$4:$A$1003,0)),""))</f>
        <v/>
      </c>
      <c r="L1419" s="30">
        <f>IF(OR(A1419="",B1419="",D1419=""),"",IF(D1419=_xlfn.MAXIFS($D$4:$D$2503,$A$4:$A$2503,A1419,$B$4:$B$2503,B1419),"Yes","No"))</f>
        <v/>
      </c>
      <c r="M1419" s="30">
        <f>IF(B1419="","",IFERROR(INDEX('Share classes'!$F$4:$F$203,MATCH(B1419,'Share classes'!$B$4:$B$203,0)),""))</f>
        <v/>
      </c>
      <c r="N1419" s="30">
        <f>IF(A1419="","",IF(K1419="","Unknown holder ID",IF(J1419="","Unknown class code",IF(OR(C1419="",D1419=""),"Missing shares or date",IF(OR(C1419&lt;0,C1419&lt;&gt;INT(C1419)),"Shares must be a whole number",IF(COUNTIFS($A$4:$A$2503,A1419,$B$4:$B$2503,B1419,$D$4:$D$2503,D1419)&gt;1,"Duplicate row (same date)","OK"))))))</f>
        <v/>
      </c>
    </row>
    <row r="1420">
      <c r="A1420" s="26" t="n"/>
      <c r="B1420" s="26" t="n"/>
      <c r="C1420" s="34" t="n"/>
      <c r="D1420" s="28" t="n"/>
      <c r="E1420" s="26" t="n"/>
      <c r="F1420" s="26" t="n"/>
      <c r="G1420" s="26" t="n"/>
      <c r="H1420" s="38" t="n"/>
      <c r="I1420" s="28" t="n"/>
      <c r="J1420" s="30">
        <f>IF(B1420="","",IFERROR(INDEX('Share classes'!$A$4:$A$203,MATCH(B1420,'Share classes'!$B$4:$B$203,0)),""))</f>
        <v/>
      </c>
      <c r="K1420" s="30">
        <f>IF(A1420="","",IFERROR(INDEX('Holders'!$B$4:$B$1003,MATCH(A1420,'Holders'!$A$4:$A$1003,0)),""))</f>
        <v/>
      </c>
      <c r="L1420" s="30">
        <f>IF(OR(A1420="",B1420="",D1420=""),"",IF(D1420=_xlfn.MAXIFS($D$4:$D$2503,$A$4:$A$2503,A1420,$B$4:$B$2503,B1420),"Yes","No"))</f>
        <v/>
      </c>
      <c r="M1420" s="30">
        <f>IF(B1420="","",IFERROR(INDEX('Share classes'!$F$4:$F$203,MATCH(B1420,'Share classes'!$B$4:$B$203,0)),""))</f>
        <v/>
      </c>
      <c r="N1420" s="30">
        <f>IF(A1420="","",IF(K1420="","Unknown holder ID",IF(J1420="","Unknown class code",IF(OR(C1420="",D1420=""),"Missing shares or date",IF(OR(C1420&lt;0,C1420&lt;&gt;INT(C1420)),"Shares must be a whole number",IF(COUNTIFS($A$4:$A$2503,A1420,$B$4:$B$2503,B1420,$D$4:$D$2503,D1420)&gt;1,"Duplicate row (same date)","OK"))))))</f>
        <v/>
      </c>
    </row>
    <row r="1421">
      <c r="A1421" s="26" t="n"/>
      <c r="B1421" s="26" t="n"/>
      <c r="C1421" s="34" t="n"/>
      <c r="D1421" s="28" t="n"/>
      <c r="E1421" s="26" t="n"/>
      <c r="F1421" s="26" t="n"/>
      <c r="G1421" s="26" t="n"/>
      <c r="H1421" s="38" t="n"/>
      <c r="I1421" s="28" t="n"/>
      <c r="J1421" s="30">
        <f>IF(B1421="","",IFERROR(INDEX('Share classes'!$A$4:$A$203,MATCH(B1421,'Share classes'!$B$4:$B$203,0)),""))</f>
        <v/>
      </c>
      <c r="K1421" s="30">
        <f>IF(A1421="","",IFERROR(INDEX('Holders'!$B$4:$B$1003,MATCH(A1421,'Holders'!$A$4:$A$1003,0)),""))</f>
        <v/>
      </c>
      <c r="L1421" s="30">
        <f>IF(OR(A1421="",B1421="",D1421=""),"",IF(D1421=_xlfn.MAXIFS($D$4:$D$2503,$A$4:$A$2503,A1421,$B$4:$B$2503,B1421),"Yes","No"))</f>
        <v/>
      </c>
      <c r="M1421" s="30">
        <f>IF(B1421="","",IFERROR(INDEX('Share classes'!$F$4:$F$203,MATCH(B1421,'Share classes'!$B$4:$B$203,0)),""))</f>
        <v/>
      </c>
      <c r="N1421" s="30">
        <f>IF(A1421="","",IF(K1421="","Unknown holder ID",IF(J1421="","Unknown class code",IF(OR(C1421="",D1421=""),"Missing shares or date",IF(OR(C1421&lt;0,C1421&lt;&gt;INT(C1421)),"Shares must be a whole number",IF(COUNTIFS($A$4:$A$2503,A1421,$B$4:$B$2503,B1421,$D$4:$D$2503,D1421)&gt;1,"Duplicate row (same date)","OK"))))))</f>
        <v/>
      </c>
    </row>
    <row r="1422">
      <c r="A1422" s="26" t="n"/>
      <c r="B1422" s="26" t="n"/>
      <c r="C1422" s="34" t="n"/>
      <c r="D1422" s="28" t="n"/>
      <c r="E1422" s="26" t="n"/>
      <c r="F1422" s="26" t="n"/>
      <c r="G1422" s="26" t="n"/>
      <c r="H1422" s="38" t="n"/>
      <c r="I1422" s="28" t="n"/>
      <c r="J1422" s="30">
        <f>IF(B1422="","",IFERROR(INDEX('Share classes'!$A$4:$A$203,MATCH(B1422,'Share classes'!$B$4:$B$203,0)),""))</f>
        <v/>
      </c>
      <c r="K1422" s="30">
        <f>IF(A1422="","",IFERROR(INDEX('Holders'!$B$4:$B$1003,MATCH(A1422,'Holders'!$A$4:$A$1003,0)),""))</f>
        <v/>
      </c>
      <c r="L1422" s="30">
        <f>IF(OR(A1422="",B1422="",D1422=""),"",IF(D1422=_xlfn.MAXIFS($D$4:$D$2503,$A$4:$A$2503,A1422,$B$4:$B$2503,B1422),"Yes","No"))</f>
        <v/>
      </c>
      <c r="M1422" s="30">
        <f>IF(B1422="","",IFERROR(INDEX('Share classes'!$F$4:$F$203,MATCH(B1422,'Share classes'!$B$4:$B$203,0)),""))</f>
        <v/>
      </c>
      <c r="N1422" s="30">
        <f>IF(A1422="","",IF(K1422="","Unknown holder ID",IF(J1422="","Unknown class code",IF(OR(C1422="",D1422=""),"Missing shares or date",IF(OR(C1422&lt;0,C1422&lt;&gt;INT(C1422)),"Shares must be a whole number",IF(COUNTIFS($A$4:$A$2503,A1422,$B$4:$B$2503,B1422,$D$4:$D$2503,D1422)&gt;1,"Duplicate row (same date)","OK"))))))</f>
        <v/>
      </c>
    </row>
    <row r="1423">
      <c r="A1423" s="26" t="n"/>
      <c r="B1423" s="26" t="n"/>
      <c r="C1423" s="34" t="n"/>
      <c r="D1423" s="28" t="n"/>
      <c r="E1423" s="26" t="n"/>
      <c r="F1423" s="26" t="n"/>
      <c r="G1423" s="26" t="n"/>
      <c r="H1423" s="38" t="n"/>
      <c r="I1423" s="28" t="n"/>
      <c r="J1423" s="30">
        <f>IF(B1423="","",IFERROR(INDEX('Share classes'!$A$4:$A$203,MATCH(B1423,'Share classes'!$B$4:$B$203,0)),""))</f>
        <v/>
      </c>
      <c r="K1423" s="30">
        <f>IF(A1423="","",IFERROR(INDEX('Holders'!$B$4:$B$1003,MATCH(A1423,'Holders'!$A$4:$A$1003,0)),""))</f>
        <v/>
      </c>
      <c r="L1423" s="30">
        <f>IF(OR(A1423="",B1423="",D1423=""),"",IF(D1423=_xlfn.MAXIFS($D$4:$D$2503,$A$4:$A$2503,A1423,$B$4:$B$2503,B1423),"Yes","No"))</f>
        <v/>
      </c>
      <c r="M1423" s="30">
        <f>IF(B1423="","",IFERROR(INDEX('Share classes'!$F$4:$F$203,MATCH(B1423,'Share classes'!$B$4:$B$203,0)),""))</f>
        <v/>
      </c>
      <c r="N1423" s="30">
        <f>IF(A1423="","",IF(K1423="","Unknown holder ID",IF(J1423="","Unknown class code",IF(OR(C1423="",D1423=""),"Missing shares or date",IF(OR(C1423&lt;0,C1423&lt;&gt;INT(C1423)),"Shares must be a whole number",IF(COUNTIFS($A$4:$A$2503,A1423,$B$4:$B$2503,B1423,$D$4:$D$2503,D1423)&gt;1,"Duplicate row (same date)","OK"))))))</f>
        <v/>
      </c>
    </row>
    <row r="1424">
      <c r="A1424" s="26" t="n"/>
      <c r="B1424" s="26" t="n"/>
      <c r="C1424" s="34" t="n"/>
      <c r="D1424" s="28" t="n"/>
      <c r="E1424" s="26" t="n"/>
      <c r="F1424" s="26" t="n"/>
      <c r="G1424" s="26" t="n"/>
      <c r="H1424" s="38" t="n"/>
      <c r="I1424" s="28" t="n"/>
      <c r="J1424" s="30">
        <f>IF(B1424="","",IFERROR(INDEX('Share classes'!$A$4:$A$203,MATCH(B1424,'Share classes'!$B$4:$B$203,0)),""))</f>
        <v/>
      </c>
      <c r="K1424" s="30">
        <f>IF(A1424="","",IFERROR(INDEX('Holders'!$B$4:$B$1003,MATCH(A1424,'Holders'!$A$4:$A$1003,0)),""))</f>
        <v/>
      </c>
      <c r="L1424" s="30">
        <f>IF(OR(A1424="",B1424="",D1424=""),"",IF(D1424=_xlfn.MAXIFS($D$4:$D$2503,$A$4:$A$2503,A1424,$B$4:$B$2503,B1424),"Yes","No"))</f>
        <v/>
      </c>
      <c r="M1424" s="30">
        <f>IF(B1424="","",IFERROR(INDEX('Share classes'!$F$4:$F$203,MATCH(B1424,'Share classes'!$B$4:$B$203,0)),""))</f>
        <v/>
      </c>
      <c r="N1424" s="30">
        <f>IF(A1424="","",IF(K1424="","Unknown holder ID",IF(J1424="","Unknown class code",IF(OR(C1424="",D1424=""),"Missing shares or date",IF(OR(C1424&lt;0,C1424&lt;&gt;INT(C1424)),"Shares must be a whole number",IF(COUNTIFS($A$4:$A$2503,A1424,$B$4:$B$2503,B1424,$D$4:$D$2503,D1424)&gt;1,"Duplicate row (same date)","OK"))))))</f>
        <v/>
      </c>
    </row>
    <row r="1425">
      <c r="A1425" s="26" t="n"/>
      <c r="B1425" s="26" t="n"/>
      <c r="C1425" s="34" t="n"/>
      <c r="D1425" s="28" t="n"/>
      <c r="E1425" s="26" t="n"/>
      <c r="F1425" s="26" t="n"/>
      <c r="G1425" s="26" t="n"/>
      <c r="H1425" s="38" t="n"/>
      <c r="I1425" s="28" t="n"/>
      <c r="J1425" s="30">
        <f>IF(B1425="","",IFERROR(INDEX('Share classes'!$A$4:$A$203,MATCH(B1425,'Share classes'!$B$4:$B$203,0)),""))</f>
        <v/>
      </c>
      <c r="K1425" s="30">
        <f>IF(A1425="","",IFERROR(INDEX('Holders'!$B$4:$B$1003,MATCH(A1425,'Holders'!$A$4:$A$1003,0)),""))</f>
        <v/>
      </c>
      <c r="L1425" s="30">
        <f>IF(OR(A1425="",B1425="",D1425=""),"",IF(D1425=_xlfn.MAXIFS($D$4:$D$2503,$A$4:$A$2503,A1425,$B$4:$B$2503,B1425),"Yes","No"))</f>
        <v/>
      </c>
      <c r="M1425" s="30">
        <f>IF(B1425="","",IFERROR(INDEX('Share classes'!$F$4:$F$203,MATCH(B1425,'Share classes'!$B$4:$B$203,0)),""))</f>
        <v/>
      </c>
      <c r="N1425" s="30">
        <f>IF(A1425="","",IF(K1425="","Unknown holder ID",IF(J1425="","Unknown class code",IF(OR(C1425="",D1425=""),"Missing shares or date",IF(OR(C1425&lt;0,C1425&lt;&gt;INT(C1425)),"Shares must be a whole number",IF(COUNTIFS($A$4:$A$2503,A1425,$B$4:$B$2503,B1425,$D$4:$D$2503,D1425)&gt;1,"Duplicate row (same date)","OK"))))))</f>
        <v/>
      </c>
    </row>
    <row r="1426">
      <c r="A1426" s="26" t="n"/>
      <c r="B1426" s="26" t="n"/>
      <c r="C1426" s="34" t="n"/>
      <c r="D1426" s="28" t="n"/>
      <c r="E1426" s="26" t="n"/>
      <c r="F1426" s="26" t="n"/>
      <c r="G1426" s="26" t="n"/>
      <c r="H1426" s="38" t="n"/>
      <c r="I1426" s="28" t="n"/>
      <c r="J1426" s="30">
        <f>IF(B1426="","",IFERROR(INDEX('Share classes'!$A$4:$A$203,MATCH(B1426,'Share classes'!$B$4:$B$203,0)),""))</f>
        <v/>
      </c>
      <c r="K1426" s="30">
        <f>IF(A1426="","",IFERROR(INDEX('Holders'!$B$4:$B$1003,MATCH(A1426,'Holders'!$A$4:$A$1003,0)),""))</f>
        <v/>
      </c>
      <c r="L1426" s="30">
        <f>IF(OR(A1426="",B1426="",D1426=""),"",IF(D1426=_xlfn.MAXIFS($D$4:$D$2503,$A$4:$A$2503,A1426,$B$4:$B$2503,B1426),"Yes","No"))</f>
        <v/>
      </c>
      <c r="M1426" s="30">
        <f>IF(B1426="","",IFERROR(INDEX('Share classes'!$F$4:$F$203,MATCH(B1426,'Share classes'!$B$4:$B$203,0)),""))</f>
        <v/>
      </c>
      <c r="N1426" s="30">
        <f>IF(A1426="","",IF(K1426="","Unknown holder ID",IF(J1426="","Unknown class code",IF(OR(C1426="",D1426=""),"Missing shares or date",IF(OR(C1426&lt;0,C1426&lt;&gt;INT(C1426)),"Shares must be a whole number",IF(COUNTIFS($A$4:$A$2503,A1426,$B$4:$B$2503,B1426,$D$4:$D$2503,D1426)&gt;1,"Duplicate row (same date)","OK"))))))</f>
        <v/>
      </c>
    </row>
    <row r="1427">
      <c r="A1427" s="26" t="n"/>
      <c r="B1427" s="26" t="n"/>
      <c r="C1427" s="34" t="n"/>
      <c r="D1427" s="28" t="n"/>
      <c r="E1427" s="26" t="n"/>
      <c r="F1427" s="26" t="n"/>
      <c r="G1427" s="26" t="n"/>
      <c r="H1427" s="38" t="n"/>
      <c r="I1427" s="28" t="n"/>
      <c r="J1427" s="30">
        <f>IF(B1427="","",IFERROR(INDEX('Share classes'!$A$4:$A$203,MATCH(B1427,'Share classes'!$B$4:$B$203,0)),""))</f>
        <v/>
      </c>
      <c r="K1427" s="30">
        <f>IF(A1427="","",IFERROR(INDEX('Holders'!$B$4:$B$1003,MATCH(A1427,'Holders'!$A$4:$A$1003,0)),""))</f>
        <v/>
      </c>
      <c r="L1427" s="30">
        <f>IF(OR(A1427="",B1427="",D1427=""),"",IF(D1427=_xlfn.MAXIFS($D$4:$D$2503,$A$4:$A$2503,A1427,$B$4:$B$2503,B1427),"Yes","No"))</f>
        <v/>
      </c>
      <c r="M1427" s="30">
        <f>IF(B1427="","",IFERROR(INDEX('Share classes'!$F$4:$F$203,MATCH(B1427,'Share classes'!$B$4:$B$203,0)),""))</f>
        <v/>
      </c>
      <c r="N1427" s="30">
        <f>IF(A1427="","",IF(K1427="","Unknown holder ID",IF(J1427="","Unknown class code",IF(OR(C1427="",D1427=""),"Missing shares or date",IF(OR(C1427&lt;0,C1427&lt;&gt;INT(C1427)),"Shares must be a whole number",IF(COUNTIFS($A$4:$A$2503,A1427,$B$4:$B$2503,B1427,$D$4:$D$2503,D1427)&gt;1,"Duplicate row (same date)","OK"))))))</f>
        <v/>
      </c>
    </row>
    <row r="1428">
      <c r="A1428" s="26" t="n"/>
      <c r="B1428" s="26" t="n"/>
      <c r="C1428" s="34" t="n"/>
      <c r="D1428" s="28" t="n"/>
      <c r="E1428" s="26" t="n"/>
      <c r="F1428" s="26" t="n"/>
      <c r="G1428" s="26" t="n"/>
      <c r="H1428" s="38" t="n"/>
      <c r="I1428" s="28" t="n"/>
      <c r="J1428" s="30">
        <f>IF(B1428="","",IFERROR(INDEX('Share classes'!$A$4:$A$203,MATCH(B1428,'Share classes'!$B$4:$B$203,0)),""))</f>
        <v/>
      </c>
      <c r="K1428" s="30">
        <f>IF(A1428="","",IFERROR(INDEX('Holders'!$B$4:$B$1003,MATCH(A1428,'Holders'!$A$4:$A$1003,0)),""))</f>
        <v/>
      </c>
      <c r="L1428" s="30">
        <f>IF(OR(A1428="",B1428="",D1428=""),"",IF(D1428=_xlfn.MAXIFS($D$4:$D$2503,$A$4:$A$2503,A1428,$B$4:$B$2503,B1428),"Yes","No"))</f>
        <v/>
      </c>
      <c r="M1428" s="30">
        <f>IF(B1428="","",IFERROR(INDEX('Share classes'!$F$4:$F$203,MATCH(B1428,'Share classes'!$B$4:$B$203,0)),""))</f>
        <v/>
      </c>
      <c r="N1428" s="30">
        <f>IF(A1428="","",IF(K1428="","Unknown holder ID",IF(J1428="","Unknown class code",IF(OR(C1428="",D1428=""),"Missing shares or date",IF(OR(C1428&lt;0,C1428&lt;&gt;INT(C1428)),"Shares must be a whole number",IF(COUNTIFS($A$4:$A$2503,A1428,$B$4:$B$2503,B1428,$D$4:$D$2503,D1428)&gt;1,"Duplicate row (same date)","OK"))))))</f>
        <v/>
      </c>
    </row>
    <row r="1429">
      <c r="A1429" s="26" t="n"/>
      <c r="B1429" s="26" t="n"/>
      <c r="C1429" s="34" t="n"/>
      <c r="D1429" s="28" t="n"/>
      <c r="E1429" s="26" t="n"/>
      <c r="F1429" s="26" t="n"/>
      <c r="G1429" s="26" t="n"/>
      <c r="H1429" s="38" t="n"/>
      <c r="I1429" s="28" t="n"/>
      <c r="J1429" s="30">
        <f>IF(B1429="","",IFERROR(INDEX('Share classes'!$A$4:$A$203,MATCH(B1429,'Share classes'!$B$4:$B$203,0)),""))</f>
        <v/>
      </c>
      <c r="K1429" s="30">
        <f>IF(A1429="","",IFERROR(INDEX('Holders'!$B$4:$B$1003,MATCH(A1429,'Holders'!$A$4:$A$1003,0)),""))</f>
        <v/>
      </c>
      <c r="L1429" s="30">
        <f>IF(OR(A1429="",B1429="",D1429=""),"",IF(D1429=_xlfn.MAXIFS($D$4:$D$2503,$A$4:$A$2503,A1429,$B$4:$B$2503,B1429),"Yes","No"))</f>
        <v/>
      </c>
      <c r="M1429" s="30">
        <f>IF(B1429="","",IFERROR(INDEX('Share classes'!$F$4:$F$203,MATCH(B1429,'Share classes'!$B$4:$B$203,0)),""))</f>
        <v/>
      </c>
      <c r="N1429" s="30">
        <f>IF(A1429="","",IF(K1429="","Unknown holder ID",IF(J1429="","Unknown class code",IF(OR(C1429="",D1429=""),"Missing shares or date",IF(OR(C1429&lt;0,C1429&lt;&gt;INT(C1429)),"Shares must be a whole number",IF(COUNTIFS($A$4:$A$2503,A1429,$B$4:$B$2503,B1429,$D$4:$D$2503,D1429)&gt;1,"Duplicate row (same date)","OK"))))))</f>
        <v/>
      </c>
    </row>
    <row r="1430">
      <c r="A1430" s="26" t="n"/>
      <c r="B1430" s="26" t="n"/>
      <c r="C1430" s="34" t="n"/>
      <c r="D1430" s="28" t="n"/>
      <c r="E1430" s="26" t="n"/>
      <c r="F1430" s="26" t="n"/>
      <c r="G1430" s="26" t="n"/>
      <c r="H1430" s="38" t="n"/>
      <c r="I1430" s="28" t="n"/>
      <c r="J1430" s="30">
        <f>IF(B1430="","",IFERROR(INDEX('Share classes'!$A$4:$A$203,MATCH(B1430,'Share classes'!$B$4:$B$203,0)),""))</f>
        <v/>
      </c>
      <c r="K1430" s="30">
        <f>IF(A1430="","",IFERROR(INDEX('Holders'!$B$4:$B$1003,MATCH(A1430,'Holders'!$A$4:$A$1003,0)),""))</f>
        <v/>
      </c>
      <c r="L1430" s="30">
        <f>IF(OR(A1430="",B1430="",D1430=""),"",IF(D1430=_xlfn.MAXIFS($D$4:$D$2503,$A$4:$A$2503,A1430,$B$4:$B$2503,B1430),"Yes","No"))</f>
        <v/>
      </c>
      <c r="M1430" s="30">
        <f>IF(B1430="","",IFERROR(INDEX('Share classes'!$F$4:$F$203,MATCH(B1430,'Share classes'!$B$4:$B$203,0)),""))</f>
        <v/>
      </c>
      <c r="N1430" s="30">
        <f>IF(A1430="","",IF(K1430="","Unknown holder ID",IF(J1430="","Unknown class code",IF(OR(C1430="",D1430=""),"Missing shares or date",IF(OR(C1430&lt;0,C1430&lt;&gt;INT(C1430)),"Shares must be a whole number",IF(COUNTIFS($A$4:$A$2503,A1430,$B$4:$B$2503,B1430,$D$4:$D$2503,D1430)&gt;1,"Duplicate row (same date)","OK"))))))</f>
        <v/>
      </c>
    </row>
    <row r="1431">
      <c r="A1431" s="26" t="n"/>
      <c r="B1431" s="26" t="n"/>
      <c r="C1431" s="34" t="n"/>
      <c r="D1431" s="28" t="n"/>
      <c r="E1431" s="26" t="n"/>
      <c r="F1431" s="26" t="n"/>
      <c r="G1431" s="26" t="n"/>
      <c r="H1431" s="38" t="n"/>
      <c r="I1431" s="28" t="n"/>
      <c r="J1431" s="30">
        <f>IF(B1431="","",IFERROR(INDEX('Share classes'!$A$4:$A$203,MATCH(B1431,'Share classes'!$B$4:$B$203,0)),""))</f>
        <v/>
      </c>
      <c r="K1431" s="30">
        <f>IF(A1431="","",IFERROR(INDEX('Holders'!$B$4:$B$1003,MATCH(A1431,'Holders'!$A$4:$A$1003,0)),""))</f>
        <v/>
      </c>
      <c r="L1431" s="30">
        <f>IF(OR(A1431="",B1431="",D1431=""),"",IF(D1431=_xlfn.MAXIFS($D$4:$D$2503,$A$4:$A$2503,A1431,$B$4:$B$2503,B1431),"Yes","No"))</f>
        <v/>
      </c>
      <c r="M1431" s="30">
        <f>IF(B1431="","",IFERROR(INDEX('Share classes'!$F$4:$F$203,MATCH(B1431,'Share classes'!$B$4:$B$203,0)),""))</f>
        <v/>
      </c>
      <c r="N1431" s="30">
        <f>IF(A1431="","",IF(K1431="","Unknown holder ID",IF(J1431="","Unknown class code",IF(OR(C1431="",D1431=""),"Missing shares or date",IF(OR(C1431&lt;0,C1431&lt;&gt;INT(C1431)),"Shares must be a whole number",IF(COUNTIFS($A$4:$A$2503,A1431,$B$4:$B$2503,B1431,$D$4:$D$2503,D1431)&gt;1,"Duplicate row (same date)","OK"))))))</f>
        <v/>
      </c>
    </row>
    <row r="1432">
      <c r="A1432" s="26" t="n"/>
      <c r="B1432" s="26" t="n"/>
      <c r="C1432" s="34" t="n"/>
      <c r="D1432" s="28" t="n"/>
      <c r="E1432" s="26" t="n"/>
      <c r="F1432" s="26" t="n"/>
      <c r="G1432" s="26" t="n"/>
      <c r="H1432" s="38" t="n"/>
      <c r="I1432" s="28" t="n"/>
      <c r="J1432" s="30">
        <f>IF(B1432="","",IFERROR(INDEX('Share classes'!$A$4:$A$203,MATCH(B1432,'Share classes'!$B$4:$B$203,0)),""))</f>
        <v/>
      </c>
      <c r="K1432" s="30">
        <f>IF(A1432="","",IFERROR(INDEX('Holders'!$B$4:$B$1003,MATCH(A1432,'Holders'!$A$4:$A$1003,0)),""))</f>
        <v/>
      </c>
      <c r="L1432" s="30">
        <f>IF(OR(A1432="",B1432="",D1432=""),"",IF(D1432=_xlfn.MAXIFS($D$4:$D$2503,$A$4:$A$2503,A1432,$B$4:$B$2503,B1432),"Yes","No"))</f>
        <v/>
      </c>
      <c r="M1432" s="30">
        <f>IF(B1432="","",IFERROR(INDEX('Share classes'!$F$4:$F$203,MATCH(B1432,'Share classes'!$B$4:$B$203,0)),""))</f>
        <v/>
      </c>
      <c r="N1432" s="30">
        <f>IF(A1432="","",IF(K1432="","Unknown holder ID",IF(J1432="","Unknown class code",IF(OR(C1432="",D1432=""),"Missing shares or date",IF(OR(C1432&lt;0,C1432&lt;&gt;INT(C1432)),"Shares must be a whole number",IF(COUNTIFS($A$4:$A$2503,A1432,$B$4:$B$2503,B1432,$D$4:$D$2503,D1432)&gt;1,"Duplicate row (same date)","OK"))))))</f>
        <v/>
      </c>
    </row>
    <row r="1433">
      <c r="A1433" s="26" t="n"/>
      <c r="B1433" s="26" t="n"/>
      <c r="C1433" s="34" t="n"/>
      <c r="D1433" s="28" t="n"/>
      <c r="E1433" s="26" t="n"/>
      <c r="F1433" s="26" t="n"/>
      <c r="G1433" s="26" t="n"/>
      <c r="H1433" s="38" t="n"/>
      <c r="I1433" s="28" t="n"/>
      <c r="J1433" s="30">
        <f>IF(B1433="","",IFERROR(INDEX('Share classes'!$A$4:$A$203,MATCH(B1433,'Share classes'!$B$4:$B$203,0)),""))</f>
        <v/>
      </c>
      <c r="K1433" s="30">
        <f>IF(A1433="","",IFERROR(INDEX('Holders'!$B$4:$B$1003,MATCH(A1433,'Holders'!$A$4:$A$1003,0)),""))</f>
        <v/>
      </c>
      <c r="L1433" s="30">
        <f>IF(OR(A1433="",B1433="",D1433=""),"",IF(D1433=_xlfn.MAXIFS($D$4:$D$2503,$A$4:$A$2503,A1433,$B$4:$B$2503,B1433),"Yes","No"))</f>
        <v/>
      </c>
      <c r="M1433" s="30">
        <f>IF(B1433="","",IFERROR(INDEX('Share classes'!$F$4:$F$203,MATCH(B1433,'Share classes'!$B$4:$B$203,0)),""))</f>
        <v/>
      </c>
      <c r="N1433" s="30">
        <f>IF(A1433="","",IF(K1433="","Unknown holder ID",IF(J1433="","Unknown class code",IF(OR(C1433="",D1433=""),"Missing shares or date",IF(OR(C1433&lt;0,C1433&lt;&gt;INT(C1433)),"Shares must be a whole number",IF(COUNTIFS($A$4:$A$2503,A1433,$B$4:$B$2503,B1433,$D$4:$D$2503,D1433)&gt;1,"Duplicate row (same date)","OK"))))))</f>
        <v/>
      </c>
    </row>
    <row r="1434">
      <c r="A1434" s="26" t="n"/>
      <c r="B1434" s="26" t="n"/>
      <c r="C1434" s="34" t="n"/>
      <c r="D1434" s="28" t="n"/>
      <c r="E1434" s="26" t="n"/>
      <c r="F1434" s="26" t="n"/>
      <c r="G1434" s="26" t="n"/>
      <c r="H1434" s="38" t="n"/>
      <c r="I1434" s="28" t="n"/>
      <c r="J1434" s="30">
        <f>IF(B1434="","",IFERROR(INDEX('Share classes'!$A$4:$A$203,MATCH(B1434,'Share classes'!$B$4:$B$203,0)),""))</f>
        <v/>
      </c>
      <c r="K1434" s="30">
        <f>IF(A1434="","",IFERROR(INDEX('Holders'!$B$4:$B$1003,MATCH(A1434,'Holders'!$A$4:$A$1003,0)),""))</f>
        <v/>
      </c>
      <c r="L1434" s="30">
        <f>IF(OR(A1434="",B1434="",D1434=""),"",IF(D1434=_xlfn.MAXIFS($D$4:$D$2503,$A$4:$A$2503,A1434,$B$4:$B$2503,B1434),"Yes","No"))</f>
        <v/>
      </c>
      <c r="M1434" s="30">
        <f>IF(B1434="","",IFERROR(INDEX('Share classes'!$F$4:$F$203,MATCH(B1434,'Share classes'!$B$4:$B$203,0)),""))</f>
        <v/>
      </c>
      <c r="N1434" s="30">
        <f>IF(A1434="","",IF(K1434="","Unknown holder ID",IF(J1434="","Unknown class code",IF(OR(C1434="",D1434=""),"Missing shares or date",IF(OR(C1434&lt;0,C1434&lt;&gt;INT(C1434)),"Shares must be a whole number",IF(COUNTIFS($A$4:$A$2503,A1434,$B$4:$B$2503,B1434,$D$4:$D$2503,D1434)&gt;1,"Duplicate row (same date)","OK"))))))</f>
        <v/>
      </c>
    </row>
    <row r="1435">
      <c r="A1435" s="26" t="n"/>
      <c r="B1435" s="26" t="n"/>
      <c r="C1435" s="34" t="n"/>
      <c r="D1435" s="28" t="n"/>
      <c r="E1435" s="26" t="n"/>
      <c r="F1435" s="26" t="n"/>
      <c r="G1435" s="26" t="n"/>
      <c r="H1435" s="38" t="n"/>
      <c r="I1435" s="28" t="n"/>
      <c r="J1435" s="30">
        <f>IF(B1435="","",IFERROR(INDEX('Share classes'!$A$4:$A$203,MATCH(B1435,'Share classes'!$B$4:$B$203,0)),""))</f>
        <v/>
      </c>
      <c r="K1435" s="30">
        <f>IF(A1435="","",IFERROR(INDEX('Holders'!$B$4:$B$1003,MATCH(A1435,'Holders'!$A$4:$A$1003,0)),""))</f>
        <v/>
      </c>
      <c r="L1435" s="30">
        <f>IF(OR(A1435="",B1435="",D1435=""),"",IF(D1435=_xlfn.MAXIFS($D$4:$D$2503,$A$4:$A$2503,A1435,$B$4:$B$2503,B1435),"Yes","No"))</f>
        <v/>
      </c>
      <c r="M1435" s="30">
        <f>IF(B1435="","",IFERROR(INDEX('Share classes'!$F$4:$F$203,MATCH(B1435,'Share classes'!$B$4:$B$203,0)),""))</f>
        <v/>
      </c>
      <c r="N1435" s="30">
        <f>IF(A1435="","",IF(K1435="","Unknown holder ID",IF(J1435="","Unknown class code",IF(OR(C1435="",D1435=""),"Missing shares or date",IF(OR(C1435&lt;0,C1435&lt;&gt;INT(C1435)),"Shares must be a whole number",IF(COUNTIFS($A$4:$A$2503,A1435,$B$4:$B$2503,B1435,$D$4:$D$2503,D1435)&gt;1,"Duplicate row (same date)","OK"))))))</f>
        <v/>
      </c>
    </row>
    <row r="1436">
      <c r="A1436" s="26" t="n"/>
      <c r="B1436" s="26" t="n"/>
      <c r="C1436" s="34" t="n"/>
      <c r="D1436" s="28" t="n"/>
      <c r="E1436" s="26" t="n"/>
      <c r="F1436" s="26" t="n"/>
      <c r="G1436" s="26" t="n"/>
      <c r="H1436" s="38" t="n"/>
      <c r="I1436" s="28" t="n"/>
      <c r="J1436" s="30">
        <f>IF(B1436="","",IFERROR(INDEX('Share classes'!$A$4:$A$203,MATCH(B1436,'Share classes'!$B$4:$B$203,0)),""))</f>
        <v/>
      </c>
      <c r="K1436" s="30">
        <f>IF(A1436="","",IFERROR(INDEX('Holders'!$B$4:$B$1003,MATCH(A1436,'Holders'!$A$4:$A$1003,0)),""))</f>
        <v/>
      </c>
      <c r="L1436" s="30">
        <f>IF(OR(A1436="",B1436="",D1436=""),"",IF(D1436=_xlfn.MAXIFS($D$4:$D$2503,$A$4:$A$2503,A1436,$B$4:$B$2503,B1436),"Yes","No"))</f>
        <v/>
      </c>
      <c r="M1436" s="30">
        <f>IF(B1436="","",IFERROR(INDEX('Share classes'!$F$4:$F$203,MATCH(B1436,'Share classes'!$B$4:$B$203,0)),""))</f>
        <v/>
      </c>
      <c r="N1436" s="30">
        <f>IF(A1436="","",IF(K1436="","Unknown holder ID",IF(J1436="","Unknown class code",IF(OR(C1436="",D1436=""),"Missing shares or date",IF(OR(C1436&lt;0,C1436&lt;&gt;INT(C1436)),"Shares must be a whole number",IF(COUNTIFS($A$4:$A$2503,A1436,$B$4:$B$2503,B1436,$D$4:$D$2503,D1436)&gt;1,"Duplicate row (same date)","OK"))))))</f>
        <v/>
      </c>
    </row>
    <row r="1437">
      <c r="A1437" s="26" t="n"/>
      <c r="B1437" s="26" t="n"/>
      <c r="C1437" s="34" t="n"/>
      <c r="D1437" s="28" t="n"/>
      <c r="E1437" s="26" t="n"/>
      <c r="F1437" s="26" t="n"/>
      <c r="G1437" s="26" t="n"/>
      <c r="H1437" s="38" t="n"/>
      <c r="I1437" s="28" t="n"/>
      <c r="J1437" s="30">
        <f>IF(B1437="","",IFERROR(INDEX('Share classes'!$A$4:$A$203,MATCH(B1437,'Share classes'!$B$4:$B$203,0)),""))</f>
        <v/>
      </c>
      <c r="K1437" s="30">
        <f>IF(A1437="","",IFERROR(INDEX('Holders'!$B$4:$B$1003,MATCH(A1437,'Holders'!$A$4:$A$1003,0)),""))</f>
        <v/>
      </c>
      <c r="L1437" s="30">
        <f>IF(OR(A1437="",B1437="",D1437=""),"",IF(D1437=_xlfn.MAXIFS($D$4:$D$2503,$A$4:$A$2503,A1437,$B$4:$B$2503,B1437),"Yes","No"))</f>
        <v/>
      </c>
      <c r="M1437" s="30">
        <f>IF(B1437="","",IFERROR(INDEX('Share classes'!$F$4:$F$203,MATCH(B1437,'Share classes'!$B$4:$B$203,0)),""))</f>
        <v/>
      </c>
      <c r="N1437" s="30">
        <f>IF(A1437="","",IF(K1437="","Unknown holder ID",IF(J1437="","Unknown class code",IF(OR(C1437="",D1437=""),"Missing shares or date",IF(OR(C1437&lt;0,C1437&lt;&gt;INT(C1437)),"Shares must be a whole number",IF(COUNTIFS($A$4:$A$2503,A1437,$B$4:$B$2503,B1437,$D$4:$D$2503,D1437)&gt;1,"Duplicate row (same date)","OK"))))))</f>
        <v/>
      </c>
    </row>
    <row r="1438">
      <c r="A1438" s="26" t="n"/>
      <c r="B1438" s="26" t="n"/>
      <c r="C1438" s="34" t="n"/>
      <c r="D1438" s="28" t="n"/>
      <c r="E1438" s="26" t="n"/>
      <c r="F1438" s="26" t="n"/>
      <c r="G1438" s="26" t="n"/>
      <c r="H1438" s="38" t="n"/>
      <c r="I1438" s="28" t="n"/>
      <c r="J1438" s="30">
        <f>IF(B1438="","",IFERROR(INDEX('Share classes'!$A$4:$A$203,MATCH(B1438,'Share classes'!$B$4:$B$203,0)),""))</f>
        <v/>
      </c>
      <c r="K1438" s="30">
        <f>IF(A1438="","",IFERROR(INDEX('Holders'!$B$4:$B$1003,MATCH(A1438,'Holders'!$A$4:$A$1003,0)),""))</f>
        <v/>
      </c>
      <c r="L1438" s="30">
        <f>IF(OR(A1438="",B1438="",D1438=""),"",IF(D1438=_xlfn.MAXIFS($D$4:$D$2503,$A$4:$A$2503,A1438,$B$4:$B$2503,B1438),"Yes","No"))</f>
        <v/>
      </c>
      <c r="M1438" s="30">
        <f>IF(B1438="","",IFERROR(INDEX('Share classes'!$F$4:$F$203,MATCH(B1438,'Share classes'!$B$4:$B$203,0)),""))</f>
        <v/>
      </c>
      <c r="N1438" s="30">
        <f>IF(A1438="","",IF(K1438="","Unknown holder ID",IF(J1438="","Unknown class code",IF(OR(C1438="",D1438=""),"Missing shares or date",IF(OR(C1438&lt;0,C1438&lt;&gt;INT(C1438)),"Shares must be a whole number",IF(COUNTIFS($A$4:$A$2503,A1438,$B$4:$B$2503,B1438,$D$4:$D$2503,D1438)&gt;1,"Duplicate row (same date)","OK"))))))</f>
        <v/>
      </c>
    </row>
    <row r="1439">
      <c r="A1439" s="26" t="n"/>
      <c r="B1439" s="26" t="n"/>
      <c r="C1439" s="34" t="n"/>
      <c r="D1439" s="28" t="n"/>
      <c r="E1439" s="26" t="n"/>
      <c r="F1439" s="26" t="n"/>
      <c r="G1439" s="26" t="n"/>
      <c r="H1439" s="38" t="n"/>
      <c r="I1439" s="28" t="n"/>
      <c r="J1439" s="30">
        <f>IF(B1439="","",IFERROR(INDEX('Share classes'!$A$4:$A$203,MATCH(B1439,'Share classes'!$B$4:$B$203,0)),""))</f>
        <v/>
      </c>
      <c r="K1439" s="30">
        <f>IF(A1439="","",IFERROR(INDEX('Holders'!$B$4:$B$1003,MATCH(A1439,'Holders'!$A$4:$A$1003,0)),""))</f>
        <v/>
      </c>
      <c r="L1439" s="30">
        <f>IF(OR(A1439="",B1439="",D1439=""),"",IF(D1439=_xlfn.MAXIFS($D$4:$D$2503,$A$4:$A$2503,A1439,$B$4:$B$2503,B1439),"Yes","No"))</f>
        <v/>
      </c>
      <c r="M1439" s="30">
        <f>IF(B1439="","",IFERROR(INDEX('Share classes'!$F$4:$F$203,MATCH(B1439,'Share classes'!$B$4:$B$203,0)),""))</f>
        <v/>
      </c>
      <c r="N1439" s="30">
        <f>IF(A1439="","",IF(K1439="","Unknown holder ID",IF(J1439="","Unknown class code",IF(OR(C1439="",D1439=""),"Missing shares or date",IF(OR(C1439&lt;0,C1439&lt;&gt;INT(C1439)),"Shares must be a whole number",IF(COUNTIFS($A$4:$A$2503,A1439,$B$4:$B$2503,B1439,$D$4:$D$2503,D1439)&gt;1,"Duplicate row (same date)","OK"))))))</f>
        <v/>
      </c>
    </row>
    <row r="1440">
      <c r="A1440" s="26" t="n"/>
      <c r="B1440" s="26" t="n"/>
      <c r="C1440" s="34" t="n"/>
      <c r="D1440" s="28" t="n"/>
      <c r="E1440" s="26" t="n"/>
      <c r="F1440" s="26" t="n"/>
      <c r="G1440" s="26" t="n"/>
      <c r="H1440" s="38" t="n"/>
      <c r="I1440" s="28" t="n"/>
      <c r="J1440" s="30">
        <f>IF(B1440="","",IFERROR(INDEX('Share classes'!$A$4:$A$203,MATCH(B1440,'Share classes'!$B$4:$B$203,0)),""))</f>
        <v/>
      </c>
      <c r="K1440" s="30">
        <f>IF(A1440="","",IFERROR(INDEX('Holders'!$B$4:$B$1003,MATCH(A1440,'Holders'!$A$4:$A$1003,0)),""))</f>
        <v/>
      </c>
      <c r="L1440" s="30">
        <f>IF(OR(A1440="",B1440="",D1440=""),"",IF(D1440=_xlfn.MAXIFS($D$4:$D$2503,$A$4:$A$2503,A1440,$B$4:$B$2503,B1440),"Yes","No"))</f>
        <v/>
      </c>
      <c r="M1440" s="30">
        <f>IF(B1440="","",IFERROR(INDEX('Share classes'!$F$4:$F$203,MATCH(B1440,'Share classes'!$B$4:$B$203,0)),""))</f>
        <v/>
      </c>
      <c r="N1440" s="30">
        <f>IF(A1440="","",IF(K1440="","Unknown holder ID",IF(J1440="","Unknown class code",IF(OR(C1440="",D1440=""),"Missing shares or date",IF(OR(C1440&lt;0,C1440&lt;&gt;INT(C1440)),"Shares must be a whole number",IF(COUNTIFS($A$4:$A$2503,A1440,$B$4:$B$2503,B1440,$D$4:$D$2503,D1440)&gt;1,"Duplicate row (same date)","OK"))))))</f>
        <v/>
      </c>
    </row>
    <row r="1441">
      <c r="A1441" s="26" t="n"/>
      <c r="B1441" s="26" t="n"/>
      <c r="C1441" s="34" t="n"/>
      <c r="D1441" s="28" t="n"/>
      <c r="E1441" s="26" t="n"/>
      <c r="F1441" s="26" t="n"/>
      <c r="G1441" s="26" t="n"/>
      <c r="H1441" s="38" t="n"/>
      <c r="I1441" s="28" t="n"/>
      <c r="J1441" s="30">
        <f>IF(B1441="","",IFERROR(INDEX('Share classes'!$A$4:$A$203,MATCH(B1441,'Share classes'!$B$4:$B$203,0)),""))</f>
        <v/>
      </c>
      <c r="K1441" s="30">
        <f>IF(A1441="","",IFERROR(INDEX('Holders'!$B$4:$B$1003,MATCH(A1441,'Holders'!$A$4:$A$1003,0)),""))</f>
        <v/>
      </c>
      <c r="L1441" s="30">
        <f>IF(OR(A1441="",B1441="",D1441=""),"",IF(D1441=_xlfn.MAXIFS($D$4:$D$2503,$A$4:$A$2503,A1441,$B$4:$B$2503,B1441),"Yes","No"))</f>
        <v/>
      </c>
      <c r="M1441" s="30">
        <f>IF(B1441="","",IFERROR(INDEX('Share classes'!$F$4:$F$203,MATCH(B1441,'Share classes'!$B$4:$B$203,0)),""))</f>
        <v/>
      </c>
      <c r="N1441" s="30">
        <f>IF(A1441="","",IF(K1441="","Unknown holder ID",IF(J1441="","Unknown class code",IF(OR(C1441="",D1441=""),"Missing shares or date",IF(OR(C1441&lt;0,C1441&lt;&gt;INT(C1441)),"Shares must be a whole number",IF(COUNTIFS($A$4:$A$2503,A1441,$B$4:$B$2503,B1441,$D$4:$D$2503,D1441)&gt;1,"Duplicate row (same date)","OK"))))))</f>
        <v/>
      </c>
    </row>
    <row r="1442">
      <c r="A1442" s="26" t="n"/>
      <c r="B1442" s="26" t="n"/>
      <c r="C1442" s="34" t="n"/>
      <c r="D1442" s="28" t="n"/>
      <c r="E1442" s="26" t="n"/>
      <c r="F1442" s="26" t="n"/>
      <c r="G1442" s="26" t="n"/>
      <c r="H1442" s="38" t="n"/>
      <c r="I1442" s="28" t="n"/>
      <c r="J1442" s="30">
        <f>IF(B1442="","",IFERROR(INDEX('Share classes'!$A$4:$A$203,MATCH(B1442,'Share classes'!$B$4:$B$203,0)),""))</f>
        <v/>
      </c>
      <c r="K1442" s="30">
        <f>IF(A1442="","",IFERROR(INDEX('Holders'!$B$4:$B$1003,MATCH(A1442,'Holders'!$A$4:$A$1003,0)),""))</f>
        <v/>
      </c>
      <c r="L1442" s="30">
        <f>IF(OR(A1442="",B1442="",D1442=""),"",IF(D1442=_xlfn.MAXIFS($D$4:$D$2503,$A$4:$A$2503,A1442,$B$4:$B$2503,B1442),"Yes","No"))</f>
        <v/>
      </c>
      <c r="M1442" s="30">
        <f>IF(B1442="","",IFERROR(INDEX('Share classes'!$F$4:$F$203,MATCH(B1442,'Share classes'!$B$4:$B$203,0)),""))</f>
        <v/>
      </c>
      <c r="N1442" s="30">
        <f>IF(A1442="","",IF(K1442="","Unknown holder ID",IF(J1442="","Unknown class code",IF(OR(C1442="",D1442=""),"Missing shares or date",IF(OR(C1442&lt;0,C1442&lt;&gt;INT(C1442)),"Shares must be a whole number",IF(COUNTIFS($A$4:$A$2503,A1442,$B$4:$B$2503,B1442,$D$4:$D$2503,D1442)&gt;1,"Duplicate row (same date)","OK"))))))</f>
        <v/>
      </c>
    </row>
    <row r="1443">
      <c r="A1443" s="26" t="n"/>
      <c r="B1443" s="26" t="n"/>
      <c r="C1443" s="34" t="n"/>
      <c r="D1443" s="28" t="n"/>
      <c r="E1443" s="26" t="n"/>
      <c r="F1443" s="26" t="n"/>
      <c r="G1443" s="26" t="n"/>
      <c r="H1443" s="38" t="n"/>
      <c r="I1443" s="28" t="n"/>
      <c r="J1443" s="30">
        <f>IF(B1443="","",IFERROR(INDEX('Share classes'!$A$4:$A$203,MATCH(B1443,'Share classes'!$B$4:$B$203,0)),""))</f>
        <v/>
      </c>
      <c r="K1443" s="30">
        <f>IF(A1443="","",IFERROR(INDEX('Holders'!$B$4:$B$1003,MATCH(A1443,'Holders'!$A$4:$A$1003,0)),""))</f>
        <v/>
      </c>
      <c r="L1443" s="30">
        <f>IF(OR(A1443="",B1443="",D1443=""),"",IF(D1443=_xlfn.MAXIFS($D$4:$D$2503,$A$4:$A$2503,A1443,$B$4:$B$2503,B1443),"Yes","No"))</f>
        <v/>
      </c>
      <c r="M1443" s="30">
        <f>IF(B1443="","",IFERROR(INDEX('Share classes'!$F$4:$F$203,MATCH(B1443,'Share classes'!$B$4:$B$203,0)),""))</f>
        <v/>
      </c>
      <c r="N1443" s="30">
        <f>IF(A1443="","",IF(K1443="","Unknown holder ID",IF(J1443="","Unknown class code",IF(OR(C1443="",D1443=""),"Missing shares or date",IF(OR(C1443&lt;0,C1443&lt;&gt;INT(C1443)),"Shares must be a whole number",IF(COUNTIFS($A$4:$A$2503,A1443,$B$4:$B$2503,B1443,$D$4:$D$2503,D1443)&gt;1,"Duplicate row (same date)","OK"))))))</f>
        <v/>
      </c>
    </row>
    <row r="1444">
      <c r="A1444" s="26" t="n"/>
      <c r="B1444" s="26" t="n"/>
      <c r="C1444" s="34" t="n"/>
      <c r="D1444" s="28" t="n"/>
      <c r="E1444" s="26" t="n"/>
      <c r="F1444" s="26" t="n"/>
      <c r="G1444" s="26" t="n"/>
      <c r="H1444" s="38" t="n"/>
      <c r="I1444" s="28" t="n"/>
      <c r="J1444" s="30">
        <f>IF(B1444="","",IFERROR(INDEX('Share classes'!$A$4:$A$203,MATCH(B1444,'Share classes'!$B$4:$B$203,0)),""))</f>
        <v/>
      </c>
      <c r="K1444" s="30">
        <f>IF(A1444="","",IFERROR(INDEX('Holders'!$B$4:$B$1003,MATCH(A1444,'Holders'!$A$4:$A$1003,0)),""))</f>
        <v/>
      </c>
      <c r="L1444" s="30">
        <f>IF(OR(A1444="",B1444="",D1444=""),"",IF(D1444=_xlfn.MAXIFS($D$4:$D$2503,$A$4:$A$2503,A1444,$B$4:$B$2503,B1444),"Yes","No"))</f>
        <v/>
      </c>
      <c r="M1444" s="30">
        <f>IF(B1444="","",IFERROR(INDEX('Share classes'!$F$4:$F$203,MATCH(B1444,'Share classes'!$B$4:$B$203,0)),""))</f>
        <v/>
      </c>
      <c r="N1444" s="30">
        <f>IF(A1444="","",IF(K1444="","Unknown holder ID",IF(J1444="","Unknown class code",IF(OR(C1444="",D1444=""),"Missing shares or date",IF(OR(C1444&lt;0,C1444&lt;&gt;INT(C1444)),"Shares must be a whole number",IF(COUNTIFS($A$4:$A$2503,A1444,$B$4:$B$2503,B1444,$D$4:$D$2503,D1444)&gt;1,"Duplicate row (same date)","OK"))))))</f>
        <v/>
      </c>
    </row>
    <row r="1445">
      <c r="A1445" s="26" t="n"/>
      <c r="B1445" s="26" t="n"/>
      <c r="C1445" s="34" t="n"/>
      <c r="D1445" s="28" t="n"/>
      <c r="E1445" s="26" t="n"/>
      <c r="F1445" s="26" t="n"/>
      <c r="G1445" s="26" t="n"/>
      <c r="H1445" s="38" t="n"/>
      <c r="I1445" s="28" t="n"/>
      <c r="J1445" s="30">
        <f>IF(B1445="","",IFERROR(INDEX('Share classes'!$A$4:$A$203,MATCH(B1445,'Share classes'!$B$4:$B$203,0)),""))</f>
        <v/>
      </c>
      <c r="K1445" s="30">
        <f>IF(A1445="","",IFERROR(INDEX('Holders'!$B$4:$B$1003,MATCH(A1445,'Holders'!$A$4:$A$1003,0)),""))</f>
        <v/>
      </c>
      <c r="L1445" s="30">
        <f>IF(OR(A1445="",B1445="",D1445=""),"",IF(D1445=_xlfn.MAXIFS($D$4:$D$2503,$A$4:$A$2503,A1445,$B$4:$B$2503,B1445),"Yes","No"))</f>
        <v/>
      </c>
      <c r="M1445" s="30">
        <f>IF(B1445="","",IFERROR(INDEX('Share classes'!$F$4:$F$203,MATCH(B1445,'Share classes'!$B$4:$B$203,0)),""))</f>
        <v/>
      </c>
      <c r="N1445" s="30">
        <f>IF(A1445="","",IF(K1445="","Unknown holder ID",IF(J1445="","Unknown class code",IF(OR(C1445="",D1445=""),"Missing shares or date",IF(OR(C1445&lt;0,C1445&lt;&gt;INT(C1445)),"Shares must be a whole number",IF(COUNTIFS($A$4:$A$2503,A1445,$B$4:$B$2503,B1445,$D$4:$D$2503,D1445)&gt;1,"Duplicate row (same date)","OK"))))))</f>
        <v/>
      </c>
    </row>
    <row r="1446">
      <c r="A1446" s="26" t="n"/>
      <c r="B1446" s="26" t="n"/>
      <c r="C1446" s="34" t="n"/>
      <c r="D1446" s="28" t="n"/>
      <c r="E1446" s="26" t="n"/>
      <c r="F1446" s="26" t="n"/>
      <c r="G1446" s="26" t="n"/>
      <c r="H1446" s="38" t="n"/>
      <c r="I1446" s="28" t="n"/>
      <c r="J1446" s="30">
        <f>IF(B1446="","",IFERROR(INDEX('Share classes'!$A$4:$A$203,MATCH(B1446,'Share classes'!$B$4:$B$203,0)),""))</f>
        <v/>
      </c>
      <c r="K1446" s="30">
        <f>IF(A1446="","",IFERROR(INDEX('Holders'!$B$4:$B$1003,MATCH(A1446,'Holders'!$A$4:$A$1003,0)),""))</f>
        <v/>
      </c>
      <c r="L1446" s="30">
        <f>IF(OR(A1446="",B1446="",D1446=""),"",IF(D1446=_xlfn.MAXIFS($D$4:$D$2503,$A$4:$A$2503,A1446,$B$4:$B$2503,B1446),"Yes","No"))</f>
        <v/>
      </c>
      <c r="M1446" s="30">
        <f>IF(B1446="","",IFERROR(INDEX('Share classes'!$F$4:$F$203,MATCH(B1446,'Share classes'!$B$4:$B$203,0)),""))</f>
        <v/>
      </c>
      <c r="N1446" s="30">
        <f>IF(A1446="","",IF(K1446="","Unknown holder ID",IF(J1446="","Unknown class code",IF(OR(C1446="",D1446=""),"Missing shares or date",IF(OR(C1446&lt;0,C1446&lt;&gt;INT(C1446)),"Shares must be a whole number",IF(COUNTIFS($A$4:$A$2503,A1446,$B$4:$B$2503,B1446,$D$4:$D$2503,D1446)&gt;1,"Duplicate row (same date)","OK"))))))</f>
        <v/>
      </c>
    </row>
    <row r="1447">
      <c r="A1447" s="26" t="n"/>
      <c r="B1447" s="26" t="n"/>
      <c r="C1447" s="34" t="n"/>
      <c r="D1447" s="28" t="n"/>
      <c r="E1447" s="26" t="n"/>
      <c r="F1447" s="26" t="n"/>
      <c r="G1447" s="26" t="n"/>
      <c r="H1447" s="38" t="n"/>
      <c r="I1447" s="28" t="n"/>
      <c r="J1447" s="30">
        <f>IF(B1447="","",IFERROR(INDEX('Share classes'!$A$4:$A$203,MATCH(B1447,'Share classes'!$B$4:$B$203,0)),""))</f>
        <v/>
      </c>
      <c r="K1447" s="30">
        <f>IF(A1447="","",IFERROR(INDEX('Holders'!$B$4:$B$1003,MATCH(A1447,'Holders'!$A$4:$A$1003,0)),""))</f>
        <v/>
      </c>
      <c r="L1447" s="30">
        <f>IF(OR(A1447="",B1447="",D1447=""),"",IF(D1447=_xlfn.MAXIFS($D$4:$D$2503,$A$4:$A$2503,A1447,$B$4:$B$2503,B1447),"Yes","No"))</f>
        <v/>
      </c>
      <c r="M1447" s="30">
        <f>IF(B1447="","",IFERROR(INDEX('Share classes'!$F$4:$F$203,MATCH(B1447,'Share classes'!$B$4:$B$203,0)),""))</f>
        <v/>
      </c>
      <c r="N1447" s="30">
        <f>IF(A1447="","",IF(K1447="","Unknown holder ID",IF(J1447="","Unknown class code",IF(OR(C1447="",D1447=""),"Missing shares or date",IF(OR(C1447&lt;0,C1447&lt;&gt;INT(C1447)),"Shares must be a whole number",IF(COUNTIFS($A$4:$A$2503,A1447,$B$4:$B$2503,B1447,$D$4:$D$2503,D1447)&gt;1,"Duplicate row (same date)","OK"))))))</f>
        <v/>
      </c>
    </row>
    <row r="1448">
      <c r="A1448" s="26" t="n"/>
      <c r="B1448" s="26" t="n"/>
      <c r="C1448" s="34" t="n"/>
      <c r="D1448" s="28" t="n"/>
      <c r="E1448" s="26" t="n"/>
      <c r="F1448" s="26" t="n"/>
      <c r="G1448" s="26" t="n"/>
      <c r="H1448" s="38" t="n"/>
      <c r="I1448" s="28" t="n"/>
      <c r="J1448" s="30">
        <f>IF(B1448="","",IFERROR(INDEX('Share classes'!$A$4:$A$203,MATCH(B1448,'Share classes'!$B$4:$B$203,0)),""))</f>
        <v/>
      </c>
      <c r="K1448" s="30">
        <f>IF(A1448="","",IFERROR(INDEX('Holders'!$B$4:$B$1003,MATCH(A1448,'Holders'!$A$4:$A$1003,0)),""))</f>
        <v/>
      </c>
      <c r="L1448" s="30">
        <f>IF(OR(A1448="",B1448="",D1448=""),"",IF(D1448=_xlfn.MAXIFS($D$4:$D$2503,$A$4:$A$2503,A1448,$B$4:$B$2503,B1448),"Yes","No"))</f>
        <v/>
      </c>
      <c r="M1448" s="30">
        <f>IF(B1448="","",IFERROR(INDEX('Share classes'!$F$4:$F$203,MATCH(B1448,'Share classes'!$B$4:$B$203,0)),""))</f>
        <v/>
      </c>
      <c r="N1448" s="30">
        <f>IF(A1448="","",IF(K1448="","Unknown holder ID",IF(J1448="","Unknown class code",IF(OR(C1448="",D1448=""),"Missing shares or date",IF(OR(C1448&lt;0,C1448&lt;&gt;INT(C1448)),"Shares must be a whole number",IF(COUNTIFS($A$4:$A$2503,A1448,$B$4:$B$2503,B1448,$D$4:$D$2503,D1448)&gt;1,"Duplicate row (same date)","OK"))))))</f>
        <v/>
      </c>
    </row>
    <row r="1449">
      <c r="A1449" s="26" t="n"/>
      <c r="B1449" s="26" t="n"/>
      <c r="C1449" s="34" t="n"/>
      <c r="D1449" s="28" t="n"/>
      <c r="E1449" s="26" t="n"/>
      <c r="F1449" s="26" t="n"/>
      <c r="G1449" s="26" t="n"/>
      <c r="H1449" s="38" t="n"/>
      <c r="I1449" s="28" t="n"/>
      <c r="J1449" s="30">
        <f>IF(B1449="","",IFERROR(INDEX('Share classes'!$A$4:$A$203,MATCH(B1449,'Share classes'!$B$4:$B$203,0)),""))</f>
        <v/>
      </c>
      <c r="K1449" s="30">
        <f>IF(A1449="","",IFERROR(INDEX('Holders'!$B$4:$B$1003,MATCH(A1449,'Holders'!$A$4:$A$1003,0)),""))</f>
        <v/>
      </c>
      <c r="L1449" s="30">
        <f>IF(OR(A1449="",B1449="",D1449=""),"",IF(D1449=_xlfn.MAXIFS($D$4:$D$2503,$A$4:$A$2503,A1449,$B$4:$B$2503,B1449),"Yes","No"))</f>
        <v/>
      </c>
      <c r="M1449" s="30">
        <f>IF(B1449="","",IFERROR(INDEX('Share classes'!$F$4:$F$203,MATCH(B1449,'Share classes'!$B$4:$B$203,0)),""))</f>
        <v/>
      </c>
      <c r="N1449" s="30">
        <f>IF(A1449="","",IF(K1449="","Unknown holder ID",IF(J1449="","Unknown class code",IF(OR(C1449="",D1449=""),"Missing shares or date",IF(OR(C1449&lt;0,C1449&lt;&gt;INT(C1449)),"Shares must be a whole number",IF(COUNTIFS($A$4:$A$2503,A1449,$B$4:$B$2503,B1449,$D$4:$D$2503,D1449)&gt;1,"Duplicate row (same date)","OK"))))))</f>
        <v/>
      </c>
    </row>
    <row r="1450">
      <c r="A1450" s="26" t="n"/>
      <c r="B1450" s="26" t="n"/>
      <c r="C1450" s="34" t="n"/>
      <c r="D1450" s="28" t="n"/>
      <c r="E1450" s="26" t="n"/>
      <c r="F1450" s="26" t="n"/>
      <c r="G1450" s="26" t="n"/>
      <c r="H1450" s="38" t="n"/>
      <c r="I1450" s="28" t="n"/>
      <c r="J1450" s="30">
        <f>IF(B1450="","",IFERROR(INDEX('Share classes'!$A$4:$A$203,MATCH(B1450,'Share classes'!$B$4:$B$203,0)),""))</f>
        <v/>
      </c>
      <c r="K1450" s="30">
        <f>IF(A1450="","",IFERROR(INDEX('Holders'!$B$4:$B$1003,MATCH(A1450,'Holders'!$A$4:$A$1003,0)),""))</f>
        <v/>
      </c>
      <c r="L1450" s="30">
        <f>IF(OR(A1450="",B1450="",D1450=""),"",IF(D1450=_xlfn.MAXIFS($D$4:$D$2503,$A$4:$A$2503,A1450,$B$4:$B$2503,B1450),"Yes","No"))</f>
        <v/>
      </c>
      <c r="M1450" s="30">
        <f>IF(B1450="","",IFERROR(INDEX('Share classes'!$F$4:$F$203,MATCH(B1450,'Share classes'!$B$4:$B$203,0)),""))</f>
        <v/>
      </c>
      <c r="N1450" s="30">
        <f>IF(A1450="","",IF(K1450="","Unknown holder ID",IF(J1450="","Unknown class code",IF(OR(C1450="",D1450=""),"Missing shares or date",IF(OR(C1450&lt;0,C1450&lt;&gt;INT(C1450)),"Shares must be a whole number",IF(COUNTIFS($A$4:$A$2503,A1450,$B$4:$B$2503,B1450,$D$4:$D$2503,D1450)&gt;1,"Duplicate row (same date)","OK"))))))</f>
        <v/>
      </c>
    </row>
    <row r="1451">
      <c r="A1451" s="26" t="n"/>
      <c r="B1451" s="26" t="n"/>
      <c r="C1451" s="34" t="n"/>
      <c r="D1451" s="28" t="n"/>
      <c r="E1451" s="26" t="n"/>
      <c r="F1451" s="26" t="n"/>
      <c r="G1451" s="26" t="n"/>
      <c r="H1451" s="38" t="n"/>
      <c r="I1451" s="28" t="n"/>
      <c r="J1451" s="30">
        <f>IF(B1451="","",IFERROR(INDEX('Share classes'!$A$4:$A$203,MATCH(B1451,'Share classes'!$B$4:$B$203,0)),""))</f>
        <v/>
      </c>
      <c r="K1451" s="30">
        <f>IF(A1451="","",IFERROR(INDEX('Holders'!$B$4:$B$1003,MATCH(A1451,'Holders'!$A$4:$A$1003,0)),""))</f>
        <v/>
      </c>
      <c r="L1451" s="30">
        <f>IF(OR(A1451="",B1451="",D1451=""),"",IF(D1451=_xlfn.MAXIFS($D$4:$D$2503,$A$4:$A$2503,A1451,$B$4:$B$2503,B1451),"Yes","No"))</f>
        <v/>
      </c>
      <c r="M1451" s="30">
        <f>IF(B1451="","",IFERROR(INDEX('Share classes'!$F$4:$F$203,MATCH(B1451,'Share classes'!$B$4:$B$203,0)),""))</f>
        <v/>
      </c>
      <c r="N1451" s="30">
        <f>IF(A1451="","",IF(K1451="","Unknown holder ID",IF(J1451="","Unknown class code",IF(OR(C1451="",D1451=""),"Missing shares or date",IF(OR(C1451&lt;0,C1451&lt;&gt;INT(C1451)),"Shares must be a whole number",IF(COUNTIFS($A$4:$A$2503,A1451,$B$4:$B$2503,B1451,$D$4:$D$2503,D1451)&gt;1,"Duplicate row (same date)","OK"))))))</f>
        <v/>
      </c>
    </row>
    <row r="1452">
      <c r="A1452" s="26" t="n"/>
      <c r="B1452" s="26" t="n"/>
      <c r="C1452" s="34" t="n"/>
      <c r="D1452" s="28" t="n"/>
      <c r="E1452" s="26" t="n"/>
      <c r="F1452" s="26" t="n"/>
      <c r="G1452" s="26" t="n"/>
      <c r="H1452" s="38" t="n"/>
      <c r="I1452" s="28" t="n"/>
      <c r="J1452" s="30">
        <f>IF(B1452="","",IFERROR(INDEX('Share classes'!$A$4:$A$203,MATCH(B1452,'Share classes'!$B$4:$B$203,0)),""))</f>
        <v/>
      </c>
      <c r="K1452" s="30">
        <f>IF(A1452="","",IFERROR(INDEX('Holders'!$B$4:$B$1003,MATCH(A1452,'Holders'!$A$4:$A$1003,0)),""))</f>
        <v/>
      </c>
      <c r="L1452" s="30">
        <f>IF(OR(A1452="",B1452="",D1452=""),"",IF(D1452=_xlfn.MAXIFS($D$4:$D$2503,$A$4:$A$2503,A1452,$B$4:$B$2503,B1452),"Yes","No"))</f>
        <v/>
      </c>
      <c r="M1452" s="30">
        <f>IF(B1452="","",IFERROR(INDEX('Share classes'!$F$4:$F$203,MATCH(B1452,'Share classes'!$B$4:$B$203,0)),""))</f>
        <v/>
      </c>
      <c r="N1452" s="30">
        <f>IF(A1452="","",IF(K1452="","Unknown holder ID",IF(J1452="","Unknown class code",IF(OR(C1452="",D1452=""),"Missing shares or date",IF(OR(C1452&lt;0,C1452&lt;&gt;INT(C1452)),"Shares must be a whole number",IF(COUNTIFS($A$4:$A$2503,A1452,$B$4:$B$2503,B1452,$D$4:$D$2503,D1452)&gt;1,"Duplicate row (same date)","OK"))))))</f>
        <v/>
      </c>
    </row>
    <row r="1453">
      <c r="A1453" s="26" t="n"/>
      <c r="B1453" s="26" t="n"/>
      <c r="C1453" s="34" t="n"/>
      <c r="D1453" s="28" t="n"/>
      <c r="E1453" s="26" t="n"/>
      <c r="F1453" s="26" t="n"/>
      <c r="G1453" s="26" t="n"/>
      <c r="H1453" s="38" t="n"/>
      <c r="I1453" s="28" t="n"/>
      <c r="J1453" s="30">
        <f>IF(B1453="","",IFERROR(INDEX('Share classes'!$A$4:$A$203,MATCH(B1453,'Share classes'!$B$4:$B$203,0)),""))</f>
        <v/>
      </c>
      <c r="K1453" s="30">
        <f>IF(A1453="","",IFERROR(INDEX('Holders'!$B$4:$B$1003,MATCH(A1453,'Holders'!$A$4:$A$1003,0)),""))</f>
        <v/>
      </c>
      <c r="L1453" s="30">
        <f>IF(OR(A1453="",B1453="",D1453=""),"",IF(D1453=_xlfn.MAXIFS($D$4:$D$2503,$A$4:$A$2503,A1453,$B$4:$B$2503,B1453),"Yes","No"))</f>
        <v/>
      </c>
      <c r="M1453" s="30">
        <f>IF(B1453="","",IFERROR(INDEX('Share classes'!$F$4:$F$203,MATCH(B1453,'Share classes'!$B$4:$B$203,0)),""))</f>
        <v/>
      </c>
      <c r="N1453" s="30">
        <f>IF(A1453="","",IF(K1453="","Unknown holder ID",IF(J1453="","Unknown class code",IF(OR(C1453="",D1453=""),"Missing shares or date",IF(OR(C1453&lt;0,C1453&lt;&gt;INT(C1453)),"Shares must be a whole number",IF(COUNTIFS($A$4:$A$2503,A1453,$B$4:$B$2503,B1453,$D$4:$D$2503,D1453)&gt;1,"Duplicate row (same date)","OK"))))))</f>
        <v/>
      </c>
    </row>
    <row r="1454">
      <c r="A1454" s="26" t="n"/>
      <c r="B1454" s="26" t="n"/>
      <c r="C1454" s="34" t="n"/>
      <c r="D1454" s="28" t="n"/>
      <c r="E1454" s="26" t="n"/>
      <c r="F1454" s="26" t="n"/>
      <c r="G1454" s="26" t="n"/>
      <c r="H1454" s="38" t="n"/>
      <c r="I1454" s="28" t="n"/>
      <c r="J1454" s="30">
        <f>IF(B1454="","",IFERROR(INDEX('Share classes'!$A$4:$A$203,MATCH(B1454,'Share classes'!$B$4:$B$203,0)),""))</f>
        <v/>
      </c>
      <c r="K1454" s="30">
        <f>IF(A1454="","",IFERROR(INDEX('Holders'!$B$4:$B$1003,MATCH(A1454,'Holders'!$A$4:$A$1003,0)),""))</f>
        <v/>
      </c>
      <c r="L1454" s="30">
        <f>IF(OR(A1454="",B1454="",D1454=""),"",IF(D1454=_xlfn.MAXIFS($D$4:$D$2503,$A$4:$A$2503,A1454,$B$4:$B$2503,B1454),"Yes","No"))</f>
        <v/>
      </c>
      <c r="M1454" s="30">
        <f>IF(B1454="","",IFERROR(INDEX('Share classes'!$F$4:$F$203,MATCH(B1454,'Share classes'!$B$4:$B$203,0)),""))</f>
        <v/>
      </c>
      <c r="N1454" s="30">
        <f>IF(A1454="","",IF(K1454="","Unknown holder ID",IF(J1454="","Unknown class code",IF(OR(C1454="",D1454=""),"Missing shares or date",IF(OR(C1454&lt;0,C1454&lt;&gt;INT(C1454)),"Shares must be a whole number",IF(COUNTIFS($A$4:$A$2503,A1454,$B$4:$B$2503,B1454,$D$4:$D$2503,D1454)&gt;1,"Duplicate row (same date)","OK"))))))</f>
        <v/>
      </c>
    </row>
    <row r="1455">
      <c r="A1455" s="26" t="n"/>
      <c r="B1455" s="26" t="n"/>
      <c r="C1455" s="34" t="n"/>
      <c r="D1455" s="28" t="n"/>
      <c r="E1455" s="26" t="n"/>
      <c r="F1455" s="26" t="n"/>
      <c r="G1455" s="26" t="n"/>
      <c r="H1455" s="38" t="n"/>
      <c r="I1455" s="28" t="n"/>
      <c r="J1455" s="30">
        <f>IF(B1455="","",IFERROR(INDEX('Share classes'!$A$4:$A$203,MATCH(B1455,'Share classes'!$B$4:$B$203,0)),""))</f>
        <v/>
      </c>
      <c r="K1455" s="30">
        <f>IF(A1455="","",IFERROR(INDEX('Holders'!$B$4:$B$1003,MATCH(A1455,'Holders'!$A$4:$A$1003,0)),""))</f>
        <v/>
      </c>
      <c r="L1455" s="30">
        <f>IF(OR(A1455="",B1455="",D1455=""),"",IF(D1455=_xlfn.MAXIFS($D$4:$D$2503,$A$4:$A$2503,A1455,$B$4:$B$2503,B1455),"Yes","No"))</f>
        <v/>
      </c>
      <c r="M1455" s="30">
        <f>IF(B1455="","",IFERROR(INDEX('Share classes'!$F$4:$F$203,MATCH(B1455,'Share classes'!$B$4:$B$203,0)),""))</f>
        <v/>
      </c>
      <c r="N1455" s="30">
        <f>IF(A1455="","",IF(K1455="","Unknown holder ID",IF(J1455="","Unknown class code",IF(OR(C1455="",D1455=""),"Missing shares or date",IF(OR(C1455&lt;0,C1455&lt;&gt;INT(C1455)),"Shares must be a whole number",IF(COUNTIFS($A$4:$A$2503,A1455,$B$4:$B$2503,B1455,$D$4:$D$2503,D1455)&gt;1,"Duplicate row (same date)","OK"))))))</f>
        <v/>
      </c>
    </row>
    <row r="1456">
      <c r="A1456" s="26" t="n"/>
      <c r="B1456" s="26" t="n"/>
      <c r="C1456" s="34" t="n"/>
      <c r="D1456" s="28" t="n"/>
      <c r="E1456" s="26" t="n"/>
      <c r="F1456" s="26" t="n"/>
      <c r="G1456" s="26" t="n"/>
      <c r="H1456" s="38" t="n"/>
      <c r="I1456" s="28" t="n"/>
      <c r="J1456" s="30">
        <f>IF(B1456="","",IFERROR(INDEX('Share classes'!$A$4:$A$203,MATCH(B1456,'Share classes'!$B$4:$B$203,0)),""))</f>
        <v/>
      </c>
      <c r="K1456" s="30">
        <f>IF(A1456="","",IFERROR(INDEX('Holders'!$B$4:$B$1003,MATCH(A1456,'Holders'!$A$4:$A$1003,0)),""))</f>
        <v/>
      </c>
      <c r="L1456" s="30">
        <f>IF(OR(A1456="",B1456="",D1456=""),"",IF(D1456=_xlfn.MAXIFS($D$4:$D$2503,$A$4:$A$2503,A1456,$B$4:$B$2503,B1456),"Yes","No"))</f>
        <v/>
      </c>
      <c r="M1456" s="30">
        <f>IF(B1456="","",IFERROR(INDEX('Share classes'!$F$4:$F$203,MATCH(B1456,'Share classes'!$B$4:$B$203,0)),""))</f>
        <v/>
      </c>
      <c r="N1456" s="30">
        <f>IF(A1456="","",IF(K1456="","Unknown holder ID",IF(J1456="","Unknown class code",IF(OR(C1456="",D1456=""),"Missing shares or date",IF(OR(C1456&lt;0,C1456&lt;&gt;INT(C1456)),"Shares must be a whole number",IF(COUNTIFS($A$4:$A$2503,A1456,$B$4:$B$2503,B1456,$D$4:$D$2503,D1456)&gt;1,"Duplicate row (same date)","OK"))))))</f>
        <v/>
      </c>
    </row>
    <row r="1457">
      <c r="A1457" s="26" t="n"/>
      <c r="B1457" s="26" t="n"/>
      <c r="C1457" s="34" t="n"/>
      <c r="D1457" s="28" t="n"/>
      <c r="E1457" s="26" t="n"/>
      <c r="F1457" s="26" t="n"/>
      <c r="G1457" s="26" t="n"/>
      <c r="H1457" s="38" t="n"/>
      <c r="I1457" s="28" t="n"/>
      <c r="J1457" s="30">
        <f>IF(B1457="","",IFERROR(INDEX('Share classes'!$A$4:$A$203,MATCH(B1457,'Share classes'!$B$4:$B$203,0)),""))</f>
        <v/>
      </c>
      <c r="K1457" s="30">
        <f>IF(A1457="","",IFERROR(INDEX('Holders'!$B$4:$B$1003,MATCH(A1457,'Holders'!$A$4:$A$1003,0)),""))</f>
        <v/>
      </c>
      <c r="L1457" s="30">
        <f>IF(OR(A1457="",B1457="",D1457=""),"",IF(D1457=_xlfn.MAXIFS($D$4:$D$2503,$A$4:$A$2503,A1457,$B$4:$B$2503,B1457),"Yes","No"))</f>
        <v/>
      </c>
      <c r="M1457" s="30">
        <f>IF(B1457="","",IFERROR(INDEX('Share classes'!$F$4:$F$203,MATCH(B1457,'Share classes'!$B$4:$B$203,0)),""))</f>
        <v/>
      </c>
      <c r="N1457" s="30">
        <f>IF(A1457="","",IF(K1457="","Unknown holder ID",IF(J1457="","Unknown class code",IF(OR(C1457="",D1457=""),"Missing shares or date",IF(OR(C1457&lt;0,C1457&lt;&gt;INT(C1457)),"Shares must be a whole number",IF(COUNTIFS($A$4:$A$2503,A1457,$B$4:$B$2503,B1457,$D$4:$D$2503,D1457)&gt;1,"Duplicate row (same date)","OK"))))))</f>
        <v/>
      </c>
    </row>
    <row r="1458">
      <c r="A1458" s="26" t="n"/>
      <c r="B1458" s="26" t="n"/>
      <c r="C1458" s="34" t="n"/>
      <c r="D1458" s="28" t="n"/>
      <c r="E1458" s="26" t="n"/>
      <c r="F1458" s="26" t="n"/>
      <c r="G1458" s="26" t="n"/>
      <c r="H1458" s="38" t="n"/>
      <c r="I1458" s="28" t="n"/>
      <c r="J1458" s="30">
        <f>IF(B1458="","",IFERROR(INDEX('Share classes'!$A$4:$A$203,MATCH(B1458,'Share classes'!$B$4:$B$203,0)),""))</f>
        <v/>
      </c>
      <c r="K1458" s="30">
        <f>IF(A1458="","",IFERROR(INDEX('Holders'!$B$4:$B$1003,MATCH(A1458,'Holders'!$A$4:$A$1003,0)),""))</f>
        <v/>
      </c>
      <c r="L1458" s="30">
        <f>IF(OR(A1458="",B1458="",D1458=""),"",IF(D1458=_xlfn.MAXIFS($D$4:$D$2503,$A$4:$A$2503,A1458,$B$4:$B$2503,B1458),"Yes","No"))</f>
        <v/>
      </c>
      <c r="M1458" s="30">
        <f>IF(B1458="","",IFERROR(INDEX('Share classes'!$F$4:$F$203,MATCH(B1458,'Share classes'!$B$4:$B$203,0)),""))</f>
        <v/>
      </c>
      <c r="N1458" s="30">
        <f>IF(A1458="","",IF(K1458="","Unknown holder ID",IF(J1458="","Unknown class code",IF(OR(C1458="",D1458=""),"Missing shares or date",IF(OR(C1458&lt;0,C1458&lt;&gt;INT(C1458)),"Shares must be a whole number",IF(COUNTIFS($A$4:$A$2503,A1458,$B$4:$B$2503,B1458,$D$4:$D$2503,D1458)&gt;1,"Duplicate row (same date)","OK"))))))</f>
        <v/>
      </c>
    </row>
    <row r="1459">
      <c r="A1459" s="26" t="n"/>
      <c r="B1459" s="26" t="n"/>
      <c r="C1459" s="34" t="n"/>
      <c r="D1459" s="28" t="n"/>
      <c r="E1459" s="26" t="n"/>
      <c r="F1459" s="26" t="n"/>
      <c r="G1459" s="26" t="n"/>
      <c r="H1459" s="38" t="n"/>
      <c r="I1459" s="28" t="n"/>
      <c r="J1459" s="30">
        <f>IF(B1459="","",IFERROR(INDEX('Share classes'!$A$4:$A$203,MATCH(B1459,'Share classes'!$B$4:$B$203,0)),""))</f>
        <v/>
      </c>
      <c r="K1459" s="30">
        <f>IF(A1459="","",IFERROR(INDEX('Holders'!$B$4:$B$1003,MATCH(A1459,'Holders'!$A$4:$A$1003,0)),""))</f>
        <v/>
      </c>
      <c r="L1459" s="30">
        <f>IF(OR(A1459="",B1459="",D1459=""),"",IF(D1459=_xlfn.MAXIFS($D$4:$D$2503,$A$4:$A$2503,A1459,$B$4:$B$2503,B1459),"Yes","No"))</f>
        <v/>
      </c>
      <c r="M1459" s="30">
        <f>IF(B1459="","",IFERROR(INDEX('Share classes'!$F$4:$F$203,MATCH(B1459,'Share classes'!$B$4:$B$203,0)),""))</f>
        <v/>
      </c>
      <c r="N1459" s="30">
        <f>IF(A1459="","",IF(K1459="","Unknown holder ID",IF(J1459="","Unknown class code",IF(OR(C1459="",D1459=""),"Missing shares or date",IF(OR(C1459&lt;0,C1459&lt;&gt;INT(C1459)),"Shares must be a whole number",IF(COUNTIFS($A$4:$A$2503,A1459,$B$4:$B$2503,B1459,$D$4:$D$2503,D1459)&gt;1,"Duplicate row (same date)","OK"))))))</f>
        <v/>
      </c>
    </row>
    <row r="1460">
      <c r="A1460" s="26" t="n"/>
      <c r="B1460" s="26" t="n"/>
      <c r="C1460" s="34" t="n"/>
      <c r="D1460" s="28" t="n"/>
      <c r="E1460" s="26" t="n"/>
      <c r="F1460" s="26" t="n"/>
      <c r="G1460" s="26" t="n"/>
      <c r="H1460" s="38" t="n"/>
      <c r="I1460" s="28" t="n"/>
      <c r="J1460" s="30">
        <f>IF(B1460="","",IFERROR(INDEX('Share classes'!$A$4:$A$203,MATCH(B1460,'Share classes'!$B$4:$B$203,0)),""))</f>
        <v/>
      </c>
      <c r="K1460" s="30">
        <f>IF(A1460="","",IFERROR(INDEX('Holders'!$B$4:$B$1003,MATCH(A1460,'Holders'!$A$4:$A$1003,0)),""))</f>
        <v/>
      </c>
      <c r="L1460" s="30">
        <f>IF(OR(A1460="",B1460="",D1460=""),"",IF(D1460=_xlfn.MAXIFS($D$4:$D$2503,$A$4:$A$2503,A1460,$B$4:$B$2503,B1460),"Yes","No"))</f>
        <v/>
      </c>
      <c r="M1460" s="30">
        <f>IF(B1460="","",IFERROR(INDEX('Share classes'!$F$4:$F$203,MATCH(B1460,'Share classes'!$B$4:$B$203,0)),""))</f>
        <v/>
      </c>
      <c r="N1460" s="30">
        <f>IF(A1460="","",IF(K1460="","Unknown holder ID",IF(J1460="","Unknown class code",IF(OR(C1460="",D1460=""),"Missing shares or date",IF(OR(C1460&lt;0,C1460&lt;&gt;INT(C1460)),"Shares must be a whole number",IF(COUNTIFS($A$4:$A$2503,A1460,$B$4:$B$2503,B1460,$D$4:$D$2503,D1460)&gt;1,"Duplicate row (same date)","OK"))))))</f>
        <v/>
      </c>
    </row>
    <row r="1461">
      <c r="A1461" s="26" t="n"/>
      <c r="B1461" s="26" t="n"/>
      <c r="C1461" s="34" t="n"/>
      <c r="D1461" s="28" t="n"/>
      <c r="E1461" s="26" t="n"/>
      <c r="F1461" s="26" t="n"/>
      <c r="G1461" s="26" t="n"/>
      <c r="H1461" s="38" t="n"/>
      <c r="I1461" s="28" t="n"/>
      <c r="J1461" s="30">
        <f>IF(B1461="","",IFERROR(INDEX('Share classes'!$A$4:$A$203,MATCH(B1461,'Share classes'!$B$4:$B$203,0)),""))</f>
        <v/>
      </c>
      <c r="K1461" s="30">
        <f>IF(A1461="","",IFERROR(INDEX('Holders'!$B$4:$B$1003,MATCH(A1461,'Holders'!$A$4:$A$1003,0)),""))</f>
        <v/>
      </c>
      <c r="L1461" s="30">
        <f>IF(OR(A1461="",B1461="",D1461=""),"",IF(D1461=_xlfn.MAXIFS($D$4:$D$2503,$A$4:$A$2503,A1461,$B$4:$B$2503,B1461),"Yes","No"))</f>
        <v/>
      </c>
      <c r="M1461" s="30">
        <f>IF(B1461="","",IFERROR(INDEX('Share classes'!$F$4:$F$203,MATCH(B1461,'Share classes'!$B$4:$B$203,0)),""))</f>
        <v/>
      </c>
      <c r="N1461" s="30">
        <f>IF(A1461="","",IF(K1461="","Unknown holder ID",IF(J1461="","Unknown class code",IF(OR(C1461="",D1461=""),"Missing shares or date",IF(OR(C1461&lt;0,C1461&lt;&gt;INT(C1461)),"Shares must be a whole number",IF(COUNTIFS($A$4:$A$2503,A1461,$B$4:$B$2503,B1461,$D$4:$D$2503,D1461)&gt;1,"Duplicate row (same date)","OK"))))))</f>
        <v/>
      </c>
    </row>
    <row r="1462">
      <c r="A1462" s="26" t="n"/>
      <c r="B1462" s="26" t="n"/>
      <c r="C1462" s="34" t="n"/>
      <c r="D1462" s="28" t="n"/>
      <c r="E1462" s="26" t="n"/>
      <c r="F1462" s="26" t="n"/>
      <c r="G1462" s="26" t="n"/>
      <c r="H1462" s="38" t="n"/>
      <c r="I1462" s="28" t="n"/>
      <c r="J1462" s="30">
        <f>IF(B1462="","",IFERROR(INDEX('Share classes'!$A$4:$A$203,MATCH(B1462,'Share classes'!$B$4:$B$203,0)),""))</f>
        <v/>
      </c>
      <c r="K1462" s="30">
        <f>IF(A1462="","",IFERROR(INDEX('Holders'!$B$4:$B$1003,MATCH(A1462,'Holders'!$A$4:$A$1003,0)),""))</f>
        <v/>
      </c>
      <c r="L1462" s="30">
        <f>IF(OR(A1462="",B1462="",D1462=""),"",IF(D1462=_xlfn.MAXIFS($D$4:$D$2503,$A$4:$A$2503,A1462,$B$4:$B$2503,B1462),"Yes","No"))</f>
        <v/>
      </c>
      <c r="M1462" s="30">
        <f>IF(B1462="","",IFERROR(INDEX('Share classes'!$F$4:$F$203,MATCH(B1462,'Share classes'!$B$4:$B$203,0)),""))</f>
        <v/>
      </c>
      <c r="N1462" s="30">
        <f>IF(A1462="","",IF(K1462="","Unknown holder ID",IF(J1462="","Unknown class code",IF(OR(C1462="",D1462=""),"Missing shares or date",IF(OR(C1462&lt;0,C1462&lt;&gt;INT(C1462)),"Shares must be a whole number",IF(COUNTIFS($A$4:$A$2503,A1462,$B$4:$B$2503,B1462,$D$4:$D$2503,D1462)&gt;1,"Duplicate row (same date)","OK"))))))</f>
        <v/>
      </c>
    </row>
    <row r="1463">
      <c r="A1463" s="26" t="n"/>
      <c r="B1463" s="26" t="n"/>
      <c r="C1463" s="34" t="n"/>
      <c r="D1463" s="28" t="n"/>
      <c r="E1463" s="26" t="n"/>
      <c r="F1463" s="26" t="n"/>
      <c r="G1463" s="26" t="n"/>
      <c r="H1463" s="38" t="n"/>
      <c r="I1463" s="28" t="n"/>
      <c r="J1463" s="30">
        <f>IF(B1463="","",IFERROR(INDEX('Share classes'!$A$4:$A$203,MATCH(B1463,'Share classes'!$B$4:$B$203,0)),""))</f>
        <v/>
      </c>
      <c r="K1463" s="30">
        <f>IF(A1463="","",IFERROR(INDEX('Holders'!$B$4:$B$1003,MATCH(A1463,'Holders'!$A$4:$A$1003,0)),""))</f>
        <v/>
      </c>
      <c r="L1463" s="30">
        <f>IF(OR(A1463="",B1463="",D1463=""),"",IF(D1463=_xlfn.MAXIFS($D$4:$D$2503,$A$4:$A$2503,A1463,$B$4:$B$2503,B1463),"Yes","No"))</f>
        <v/>
      </c>
      <c r="M1463" s="30">
        <f>IF(B1463="","",IFERROR(INDEX('Share classes'!$F$4:$F$203,MATCH(B1463,'Share classes'!$B$4:$B$203,0)),""))</f>
        <v/>
      </c>
      <c r="N1463" s="30">
        <f>IF(A1463="","",IF(K1463="","Unknown holder ID",IF(J1463="","Unknown class code",IF(OR(C1463="",D1463=""),"Missing shares or date",IF(OR(C1463&lt;0,C1463&lt;&gt;INT(C1463)),"Shares must be a whole number",IF(COUNTIFS($A$4:$A$2503,A1463,$B$4:$B$2503,B1463,$D$4:$D$2503,D1463)&gt;1,"Duplicate row (same date)","OK"))))))</f>
        <v/>
      </c>
    </row>
    <row r="1464">
      <c r="A1464" s="26" t="n"/>
      <c r="B1464" s="26" t="n"/>
      <c r="C1464" s="34" t="n"/>
      <c r="D1464" s="28" t="n"/>
      <c r="E1464" s="26" t="n"/>
      <c r="F1464" s="26" t="n"/>
      <c r="G1464" s="26" t="n"/>
      <c r="H1464" s="38" t="n"/>
      <c r="I1464" s="28" t="n"/>
      <c r="J1464" s="30">
        <f>IF(B1464="","",IFERROR(INDEX('Share classes'!$A$4:$A$203,MATCH(B1464,'Share classes'!$B$4:$B$203,0)),""))</f>
        <v/>
      </c>
      <c r="K1464" s="30">
        <f>IF(A1464="","",IFERROR(INDEX('Holders'!$B$4:$B$1003,MATCH(A1464,'Holders'!$A$4:$A$1003,0)),""))</f>
        <v/>
      </c>
      <c r="L1464" s="30">
        <f>IF(OR(A1464="",B1464="",D1464=""),"",IF(D1464=_xlfn.MAXIFS($D$4:$D$2503,$A$4:$A$2503,A1464,$B$4:$B$2503,B1464),"Yes","No"))</f>
        <v/>
      </c>
      <c r="M1464" s="30">
        <f>IF(B1464="","",IFERROR(INDEX('Share classes'!$F$4:$F$203,MATCH(B1464,'Share classes'!$B$4:$B$203,0)),""))</f>
        <v/>
      </c>
      <c r="N1464" s="30">
        <f>IF(A1464="","",IF(K1464="","Unknown holder ID",IF(J1464="","Unknown class code",IF(OR(C1464="",D1464=""),"Missing shares or date",IF(OR(C1464&lt;0,C1464&lt;&gt;INT(C1464)),"Shares must be a whole number",IF(COUNTIFS($A$4:$A$2503,A1464,$B$4:$B$2503,B1464,$D$4:$D$2503,D1464)&gt;1,"Duplicate row (same date)","OK"))))))</f>
        <v/>
      </c>
    </row>
    <row r="1465">
      <c r="A1465" s="26" t="n"/>
      <c r="B1465" s="26" t="n"/>
      <c r="C1465" s="34" t="n"/>
      <c r="D1465" s="28" t="n"/>
      <c r="E1465" s="26" t="n"/>
      <c r="F1465" s="26" t="n"/>
      <c r="G1465" s="26" t="n"/>
      <c r="H1465" s="38" t="n"/>
      <c r="I1465" s="28" t="n"/>
      <c r="J1465" s="30">
        <f>IF(B1465="","",IFERROR(INDEX('Share classes'!$A$4:$A$203,MATCH(B1465,'Share classes'!$B$4:$B$203,0)),""))</f>
        <v/>
      </c>
      <c r="K1465" s="30">
        <f>IF(A1465="","",IFERROR(INDEX('Holders'!$B$4:$B$1003,MATCH(A1465,'Holders'!$A$4:$A$1003,0)),""))</f>
        <v/>
      </c>
      <c r="L1465" s="30">
        <f>IF(OR(A1465="",B1465="",D1465=""),"",IF(D1465=_xlfn.MAXIFS($D$4:$D$2503,$A$4:$A$2503,A1465,$B$4:$B$2503,B1465),"Yes","No"))</f>
        <v/>
      </c>
      <c r="M1465" s="30">
        <f>IF(B1465="","",IFERROR(INDEX('Share classes'!$F$4:$F$203,MATCH(B1465,'Share classes'!$B$4:$B$203,0)),""))</f>
        <v/>
      </c>
      <c r="N1465" s="30">
        <f>IF(A1465="","",IF(K1465="","Unknown holder ID",IF(J1465="","Unknown class code",IF(OR(C1465="",D1465=""),"Missing shares or date",IF(OR(C1465&lt;0,C1465&lt;&gt;INT(C1465)),"Shares must be a whole number",IF(COUNTIFS($A$4:$A$2503,A1465,$B$4:$B$2503,B1465,$D$4:$D$2503,D1465)&gt;1,"Duplicate row (same date)","OK"))))))</f>
        <v/>
      </c>
    </row>
    <row r="1466">
      <c r="A1466" s="26" t="n"/>
      <c r="B1466" s="26" t="n"/>
      <c r="C1466" s="34" t="n"/>
      <c r="D1466" s="28" t="n"/>
      <c r="E1466" s="26" t="n"/>
      <c r="F1466" s="26" t="n"/>
      <c r="G1466" s="26" t="n"/>
      <c r="H1466" s="38" t="n"/>
      <c r="I1466" s="28" t="n"/>
      <c r="J1466" s="30">
        <f>IF(B1466="","",IFERROR(INDEX('Share classes'!$A$4:$A$203,MATCH(B1466,'Share classes'!$B$4:$B$203,0)),""))</f>
        <v/>
      </c>
      <c r="K1466" s="30">
        <f>IF(A1466="","",IFERROR(INDEX('Holders'!$B$4:$B$1003,MATCH(A1466,'Holders'!$A$4:$A$1003,0)),""))</f>
        <v/>
      </c>
      <c r="L1466" s="30">
        <f>IF(OR(A1466="",B1466="",D1466=""),"",IF(D1466=_xlfn.MAXIFS($D$4:$D$2503,$A$4:$A$2503,A1466,$B$4:$B$2503,B1466),"Yes","No"))</f>
        <v/>
      </c>
      <c r="M1466" s="30">
        <f>IF(B1466="","",IFERROR(INDEX('Share classes'!$F$4:$F$203,MATCH(B1466,'Share classes'!$B$4:$B$203,0)),""))</f>
        <v/>
      </c>
      <c r="N1466" s="30">
        <f>IF(A1466="","",IF(K1466="","Unknown holder ID",IF(J1466="","Unknown class code",IF(OR(C1466="",D1466=""),"Missing shares or date",IF(OR(C1466&lt;0,C1466&lt;&gt;INT(C1466)),"Shares must be a whole number",IF(COUNTIFS($A$4:$A$2503,A1466,$B$4:$B$2503,B1466,$D$4:$D$2503,D1466)&gt;1,"Duplicate row (same date)","OK"))))))</f>
        <v/>
      </c>
    </row>
    <row r="1467">
      <c r="A1467" s="26" t="n"/>
      <c r="B1467" s="26" t="n"/>
      <c r="C1467" s="34" t="n"/>
      <c r="D1467" s="28" t="n"/>
      <c r="E1467" s="26" t="n"/>
      <c r="F1467" s="26" t="n"/>
      <c r="G1467" s="26" t="n"/>
      <c r="H1467" s="38" t="n"/>
      <c r="I1467" s="28" t="n"/>
      <c r="J1467" s="30">
        <f>IF(B1467="","",IFERROR(INDEX('Share classes'!$A$4:$A$203,MATCH(B1467,'Share classes'!$B$4:$B$203,0)),""))</f>
        <v/>
      </c>
      <c r="K1467" s="30">
        <f>IF(A1467="","",IFERROR(INDEX('Holders'!$B$4:$B$1003,MATCH(A1467,'Holders'!$A$4:$A$1003,0)),""))</f>
        <v/>
      </c>
      <c r="L1467" s="30">
        <f>IF(OR(A1467="",B1467="",D1467=""),"",IF(D1467=_xlfn.MAXIFS($D$4:$D$2503,$A$4:$A$2503,A1467,$B$4:$B$2503,B1467),"Yes","No"))</f>
        <v/>
      </c>
      <c r="M1467" s="30">
        <f>IF(B1467="","",IFERROR(INDEX('Share classes'!$F$4:$F$203,MATCH(B1467,'Share classes'!$B$4:$B$203,0)),""))</f>
        <v/>
      </c>
      <c r="N1467" s="30">
        <f>IF(A1467="","",IF(K1467="","Unknown holder ID",IF(J1467="","Unknown class code",IF(OR(C1467="",D1467=""),"Missing shares or date",IF(OR(C1467&lt;0,C1467&lt;&gt;INT(C1467)),"Shares must be a whole number",IF(COUNTIFS($A$4:$A$2503,A1467,$B$4:$B$2503,B1467,$D$4:$D$2503,D1467)&gt;1,"Duplicate row (same date)","OK"))))))</f>
        <v/>
      </c>
    </row>
    <row r="1468">
      <c r="A1468" s="26" t="n"/>
      <c r="B1468" s="26" t="n"/>
      <c r="C1468" s="34" t="n"/>
      <c r="D1468" s="28" t="n"/>
      <c r="E1468" s="26" t="n"/>
      <c r="F1468" s="26" t="n"/>
      <c r="G1468" s="26" t="n"/>
      <c r="H1468" s="38" t="n"/>
      <c r="I1468" s="28" t="n"/>
      <c r="J1468" s="30">
        <f>IF(B1468="","",IFERROR(INDEX('Share classes'!$A$4:$A$203,MATCH(B1468,'Share classes'!$B$4:$B$203,0)),""))</f>
        <v/>
      </c>
      <c r="K1468" s="30">
        <f>IF(A1468="","",IFERROR(INDEX('Holders'!$B$4:$B$1003,MATCH(A1468,'Holders'!$A$4:$A$1003,0)),""))</f>
        <v/>
      </c>
      <c r="L1468" s="30">
        <f>IF(OR(A1468="",B1468="",D1468=""),"",IF(D1468=_xlfn.MAXIFS($D$4:$D$2503,$A$4:$A$2503,A1468,$B$4:$B$2503,B1468),"Yes","No"))</f>
        <v/>
      </c>
      <c r="M1468" s="30">
        <f>IF(B1468="","",IFERROR(INDEX('Share classes'!$F$4:$F$203,MATCH(B1468,'Share classes'!$B$4:$B$203,0)),""))</f>
        <v/>
      </c>
      <c r="N1468" s="30">
        <f>IF(A1468="","",IF(K1468="","Unknown holder ID",IF(J1468="","Unknown class code",IF(OR(C1468="",D1468=""),"Missing shares or date",IF(OR(C1468&lt;0,C1468&lt;&gt;INT(C1468)),"Shares must be a whole number",IF(COUNTIFS($A$4:$A$2503,A1468,$B$4:$B$2503,B1468,$D$4:$D$2503,D1468)&gt;1,"Duplicate row (same date)","OK"))))))</f>
        <v/>
      </c>
    </row>
    <row r="1469">
      <c r="A1469" s="26" t="n"/>
      <c r="B1469" s="26" t="n"/>
      <c r="C1469" s="34" t="n"/>
      <c r="D1469" s="28" t="n"/>
      <c r="E1469" s="26" t="n"/>
      <c r="F1469" s="26" t="n"/>
      <c r="G1469" s="26" t="n"/>
      <c r="H1469" s="38" t="n"/>
      <c r="I1469" s="28" t="n"/>
      <c r="J1469" s="30">
        <f>IF(B1469="","",IFERROR(INDEX('Share classes'!$A$4:$A$203,MATCH(B1469,'Share classes'!$B$4:$B$203,0)),""))</f>
        <v/>
      </c>
      <c r="K1469" s="30">
        <f>IF(A1469="","",IFERROR(INDEX('Holders'!$B$4:$B$1003,MATCH(A1469,'Holders'!$A$4:$A$1003,0)),""))</f>
        <v/>
      </c>
      <c r="L1469" s="30">
        <f>IF(OR(A1469="",B1469="",D1469=""),"",IF(D1469=_xlfn.MAXIFS($D$4:$D$2503,$A$4:$A$2503,A1469,$B$4:$B$2503,B1469),"Yes","No"))</f>
        <v/>
      </c>
      <c r="M1469" s="30">
        <f>IF(B1469="","",IFERROR(INDEX('Share classes'!$F$4:$F$203,MATCH(B1469,'Share classes'!$B$4:$B$203,0)),""))</f>
        <v/>
      </c>
      <c r="N1469" s="30">
        <f>IF(A1469="","",IF(K1469="","Unknown holder ID",IF(J1469="","Unknown class code",IF(OR(C1469="",D1469=""),"Missing shares or date",IF(OR(C1469&lt;0,C1469&lt;&gt;INT(C1469)),"Shares must be a whole number",IF(COUNTIFS($A$4:$A$2503,A1469,$B$4:$B$2503,B1469,$D$4:$D$2503,D1469)&gt;1,"Duplicate row (same date)","OK"))))))</f>
        <v/>
      </c>
    </row>
    <row r="1470">
      <c r="A1470" s="26" t="n"/>
      <c r="B1470" s="26" t="n"/>
      <c r="C1470" s="34" t="n"/>
      <c r="D1470" s="28" t="n"/>
      <c r="E1470" s="26" t="n"/>
      <c r="F1470" s="26" t="n"/>
      <c r="G1470" s="26" t="n"/>
      <c r="H1470" s="38" t="n"/>
      <c r="I1470" s="28" t="n"/>
      <c r="J1470" s="30">
        <f>IF(B1470="","",IFERROR(INDEX('Share classes'!$A$4:$A$203,MATCH(B1470,'Share classes'!$B$4:$B$203,0)),""))</f>
        <v/>
      </c>
      <c r="K1470" s="30">
        <f>IF(A1470="","",IFERROR(INDEX('Holders'!$B$4:$B$1003,MATCH(A1470,'Holders'!$A$4:$A$1003,0)),""))</f>
        <v/>
      </c>
      <c r="L1470" s="30">
        <f>IF(OR(A1470="",B1470="",D1470=""),"",IF(D1470=_xlfn.MAXIFS($D$4:$D$2503,$A$4:$A$2503,A1470,$B$4:$B$2503,B1470),"Yes","No"))</f>
        <v/>
      </c>
      <c r="M1470" s="30">
        <f>IF(B1470="","",IFERROR(INDEX('Share classes'!$F$4:$F$203,MATCH(B1470,'Share classes'!$B$4:$B$203,0)),""))</f>
        <v/>
      </c>
      <c r="N1470" s="30">
        <f>IF(A1470="","",IF(K1470="","Unknown holder ID",IF(J1470="","Unknown class code",IF(OR(C1470="",D1470=""),"Missing shares or date",IF(OR(C1470&lt;0,C1470&lt;&gt;INT(C1470)),"Shares must be a whole number",IF(COUNTIFS($A$4:$A$2503,A1470,$B$4:$B$2503,B1470,$D$4:$D$2503,D1470)&gt;1,"Duplicate row (same date)","OK"))))))</f>
        <v/>
      </c>
    </row>
    <row r="1471">
      <c r="A1471" s="26" t="n"/>
      <c r="B1471" s="26" t="n"/>
      <c r="C1471" s="34" t="n"/>
      <c r="D1471" s="28" t="n"/>
      <c r="E1471" s="26" t="n"/>
      <c r="F1471" s="26" t="n"/>
      <c r="G1471" s="26" t="n"/>
      <c r="H1471" s="38" t="n"/>
      <c r="I1471" s="28" t="n"/>
      <c r="J1471" s="30">
        <f>IF(B1471="","",IFERROR(INDEX('Share classes'!$A$4:$A$203,MATCH(B1471,'Share classes'!$B$4:$B$203,0)),""))</f>
        <v/>
      </c>
      <c r="K1471" s="30">
        <f>IF(A1471="","",IFERROR(INDEX('Holders'!$B$4:$B$1003,MATCH(A1471,'Holders'!$A$4:$A$1003,0)),""))</f>
        <v/>
      </c>
      <c r="L1471" s="30">
        <f>IF(OR(A1471="",B1471="",D1471=""),"",IF(D1471=_xlfn.MAXIFS($D$4:$D$2503,$A$4:$A$2503,A1471,$B$4:$B$2503,B1471),"Yes","No"))</f>
        <v/>
      </c>
      <c r="M1471" s="30">
        <f>IF(B1471="","",IFERROR(INDEX('Share classes'!$F$4:$F$203,MATCH(B1471,'Share classes'!$B$4:$B$203,0)),""))</f>
        <v/>
      </c>
      <c r="N1471" s="30">
        <f>IF(A1471="","",IF(K1471="","Unknown holder ID",IF(J1471="","Unknown class code",IF(OR(C1471="",D1471=""),"Missing shares or date",IF(OR(C1471&lt;0,C1471&lt;&gt;INT(C1471)),"Shares must be a whole number",IF(COUNTIFS($A$4:$A$2503,A1471,$B$4:$B$2503,B1471,$D$4:$D$2503,D1471)&gt;1,"Duplicate row (same date)","OK"))))))</f>
        <v/>
      </c>
    </row>
    <row r="1472">
      <c r="A1472" s="26" t="n"/>
      <c r="B1472" s="26" t="n"/>
      <c r="C1472" s="34" t="n"/>
      <c r="D1472" s="28" t="n"/>
      <c r="E1472" s="26" t="n"/>
      <c r="F1472" s="26" t="n"/>
      <c r="G1472" s="26" t="n"/>
      <c r="H1472" s="38" t="n"/>
      <c r="I1472" s="28" t="n"/>
      <c r="J1472" s="30">
        <f>IF(B1472="","",IFERROR(INDEX('Share classes'!$A$4:$A$203,MATCH(B1472,'Share classes'!$B$4:$B$203,0)),""))</f>
        <v/>
      </c>
      <c r="K1472" s="30">
        <f>IF(A1472="","",IFERROR(INDEX('Holders'!$B$4:$B$1003,MATCH(A1472,'Holders'!$A$4:$A$1003,0)),""))</f>
        <v/>
      </c>
      <c r="L1472" s="30">
        <f>IF(OR(A1472="",B1472="",D1472=""),"",IF(D1472=_xlfn.MAXIFS($D$4:$D$2503,$A$4:$A$2503,A1472,$B$4:$B$2503,B1472),"Yes","No"))</f>
        <v/>
      </c>
      <c r="M1472" s="30">
        <f>IF(B1472="","",IFERROR(INDEX('Share classes'!$F$4:$F$203,MATCH(B1472,'Share classes'!$B$4:$B$203,0)),""))</f>
        <v/>
      </c>
      <c r="N1472" s="30">
        <f>IF(A1472="","",IF(K1472="","Unknown holder ID",IF(J1472="","Unknown class code",IF(OR(C1472="",D1472=""),"Missing shares or date",IF(OR(C1472&lt;0,C1472&lt;&gt;INT(C1472)),"Shares must be a whole number",IF(COUNTIFS($A$4:$A$2503,A1472,$B$4:$B$2503,B1472,$D$4:$D$2503,D1472)&gt;1,"Duplicate row (same date)","OK"))))))</f>
        <v/>
      </c>
    </row>
    <row r="1473">
      <c r="A1473" s="26" t="n"/>
      <c r="B1473" s="26" t="n"/>
      <c r="C1473" s="34" t="n"/>
      <c r="D1473" s="28" t="n"/>
      <c r="E1473" s="26" t="n"/>
      <c r="F1473" s="26" t="n"/>
      <c r="G1473" s="26" t="n"/>
      <c r="H1473" s="38" t="n"/>
      <c r="I1473" s="28" t="n"/>
      <c r="J1473" s="30">
        <f>IF(B1473="","",IFERROR(INDEX('Share classes'!$A$4:$A$203,MATCH(B1473,'Share classes'!$B$4:$B$203,0)),""))</f>
        <v/>
      </c>
      <c r="K1473" s="30">
        <f>IF(A1473="","",IFERROR(INDEX('Holders'!$B$4:$B$1003,MATCH(A1473,'Holders'!$A$4:$A$1003,0)),""))</f>
        <v/>
      </c>
      <c r="L1473" s="30">
        <f>IF(OR(A1473="",B1473="",D1473=""),"",IF(D1473=_xlfn.MAXIFS($D$4:$D$2503,$A$4:$A$2503,A1473,$B$4:$B$2503,B1473),"Yes","No"))</f>
        <v/>
      </c>
      <c r="M1473" s="30">
        <f>IF(B1473="","",IFERROR(INDEX('Share classes'!$F$4:$F$203,MATCH(B1473,'Share classes'!$B$4:$B$203,0)),""))</f>
        <v/>
      </c>
      <c r="N1473" s="30">
        <f>IF(A1473="","",IF(K1473="","Unknown holder ID",IF(J1473="","Unknown class code",IF(OR(C1473="",D1473=""),"Missing shares or date",IF(OR(C1473&lt;0,C1473&lt;&gt;INT(C1473)),"Shares must be a whole number",IF(COUNTIFS($A$4:$A$2503,A1473,$B$4:$B$2503,B1473,$D$4:$D$2503,D1473)&gt;1,"Duplicate row (same date)","OK"))))))</f>
        <v/>
      </c>
    </row>
    <row r="1474">
      <c r="A1474" s="26" t="n"/>
      <c r="B1474" s="26" t="n"/>
      <c r="C1474" s="34" t="n"/>
      <c r="D1474" s="28" t="n"/>
      <c r="E1474" s="26" t="n"/>
      <c r="F1474" s="26" t="n"/>
      <c r="G1474" s="26" t="n"/>
      <c r="H1474" s="38" t="n"/>
      <c r="I1474" s="28" t="n"/>
      <c r="J1474" s="30">
        <f>IF(B1474="","",IFERROR(INDEX('Share classes'!$A$4:$A$203,MATCH(B1474,'Share classes'!$B$4:$B$203,0)),""))</f>
        <v/>
      </c>
      <c r="K1474" s="30">
        <f>IF(A1474="","",IFERROR(INDEX('Holders'!$B$4:$B$1003,MATCH(A1474,'Holders'!$A$4:$A$1003,0)),""))</f>
        <v/>
      </c>
      <c r="L1474" s="30">
        <f>IF(OR(A1474="",B1474="",D1474=""),"",IF(D1474=_xlfn.MAXIFS($D$4:$D$2503,$A$4:$A$2503,A1474,$B$4:$B$2503,B1474),"Yes","No"))</f>
        <v/>
      </c>
      <c r="M1474" s="30">
        <f>IF(B1474="","",IFERROR(INDEX('Share classes'!$F$4:$F$203,MATCH(B1474,'Share classes'!$B$4:$B$203,0)),""))</f>
        <v/>
      </c>
      <c r="N1474" s="30">
        <f>IF(A1474="","",IF(K1474="","Unknown holder ID",IF(J1474="","Unknown class code",IF(OR(C1474="",D1474=""),"Missing shares or date",IF(OR(C1474&lt;0,C1474&lt;&gt;INT(C1474)),"Shares must be a whole number",IF(COUNTIFS($A$4:$A$2503,A1474,$B$4:$B$2503,B1474,$D$4:$D$2503,D1474)&gt;1,"Duplicate row (same date)","OK"))))))</f>
        <v/>
      </c>
    </row>
    <row r="1475">
      <c r="A1475" s="26" t="n"/>
      <c r="B1475" s="26" t="n"/>
      <c r="C1475" s="34" t="n"/>
      <c r="D1475" s="28" t="n"/>
      <c r="E1475" s="26" t="n"/>
      <c r="F1475" s="26" t="n"/>
      <c r="G1475" s="26" t="n"/>
      <c r="H1475" s="38" t="n"/>
      <c r="I1475" s="28" t="n"/>
      <c r="J1475" s="30">
        <f>IF(B1475="","",IFERROR(INDEX('Share classes'!$A$4:$A$203,MATCH(B1475,'Share classes'!$B$4:$B$203,0)),""))</f>
        <v/>
      </c>
      <c r="K1475" s="30">
        <f>IF(A1475="","",IFERROR(INDEX('Holders'!$B$4:$B$1003,MATCH(A1475,'Holders'!$A$4:$A$1003,0)),""))</f>
        <v/>
      </c>
      <c r="L1475" s="30">
        <f>IF(OR(A1475="",B1475="",D1475=""),"",IF(D1475=_xlfn.MAXIFS($D$4:$D$2503,$A$4:$A$2503,A1475,$B$4:$B$2503,B1475),"Yes","No"))</f>
        <v/>
      </c>
      <c r="M1475" s="30">
        <f>IF(B1475="","",IFERROR(INDEX('Share classes'!$F$4:$F$203,MATCH(B1475,'Share classes'!$B$4:$B$203,0)),""))</f>
        <v/>
      </c>
      <c r="N1475" s="30">
        <f>IF(A1475="","",IF(K1475="","Unknown holder ID",IF(J1475="","Unknown class code",IF(OR(C1475="",D1475=""),"Missing shares or date",IF(OR(C1475&lt;0,C1475&lt;&gt;INT(C1475)),"Shares must be a whole number",IF(COUNTIFS($A$4:$A$2503,A1475,$B$4:$B$2503,B1475,$D$4:$D$2503,D1475)&gt;1,"Duplicate row (same date)","OK"))))))</f>
        <v/>
      </c>
    </row>
    <row r="1476">
      <c r="A1476" s="26" t="n"/>
      <c r="B1476" s="26" t="n"/>
      <c r="C1476" s="34" t="n"/>
      <c r="D1476" s="28" t="n"/>
      <c r="E1476" s="26" t="n"/>
      <c r="F1476" s="26" t="n"/>
      <c r="G1476" s="26" t="n"/>
      <c r="H1476" s="38" t="n"/>
      <c r="I1476" s="28" t="n"/>
      <c r="J1476" s="30">
        <f>IF(B1476="","",IFERROR(INDEX('Share classes'!$A$4:$A$203,MATCH(B1476,'Share classes'!$B$4:$B$203,0)),""))</f>
        <v/>
      </c>
      <c r="K1476" s="30">
        <f>IF(A1476="","",IFERROR(INDEX('Holders'!$B$4:$B$1003,MATCH(A1476,'Holders'!$A$4:$A$1003,0)),""))</f>
        <v/>
      </c>
      <c r="L1476" s="30">
        <f>IF(OR(A1476="",B1476="",D1476=""),"",IF(D1476=_xlfn.MAXIFS($D$4:$D$2503,$A$4:$A$2503,A1476,$B$4:$B$2503,B1476),"Yes","No"))</f>
        <v/>
      </c>
      <c r="M1476" s="30">
        <f>IF(B1476="","",IFERROR(INDEX('Share classes'!$F$4:$F$203,MATCH(B1476,'Share classes'!$B$4:$B$203,0)),""))</f>
        <v/>
      </c>
      <c r="N1476" s="30">
        <f>IF(A1476="","",IF(K1476="","Unknown holder ID",IF(J1476="","Unknown class code",IF(OR(C1476="",D1476=""),"Missing shares or date",IF(OR(C1476&lt;0,C1476&lt;&gt;INT(C1476)),"Shares must be a whole number",IF(COUNTIFS($A$4:$A$2503,A1476,$B$4:$B$2503,B1476,$D$4:$D$2503,D1476)&gt;1,"Duplicate row (same date)","OK"))))))</f>
        <v/>
      </c>
    </row>
    <row r="1477">
      <c r="A1477" s="26" t="n"/>
      <c r="B1477" s="26" t="n"/>
      <c r="C1477" s="34" t="n"/>
      <c r="D1477" s="28" t="n"/>
      <c r="E1477" s="26" t="n"/>
      <c r="F1477" s="26" t="n"/>
      <c r="G1477" s="26" t="n"/>
      <c r="H1477" s="38" t="n"/>
      <c r="I1477" s="28" t="n"/>
      <c r="J1477" s="30">
        <f>IF(B1477="","",IFERROR(INDEX('Share classes'!$A$4:$A$203,MATCH(B1477,'Share classes'!$B$4:$B$203,0)),""))</f>
        <v/>
      </c>
      <c r="K1477" s="30">
        <f>IF(A1477="","",IFERROR(INDEX('Holders'!$B$4:$B$1003,MATCH(A1477,'Holders'!$A$4:$A$1003,0)),""))</f>
        <v/>
      </c>
      <c r="L1477" s="30">
        <f>IF(OR(A1477="",B1477="",D1477=""),"",IF(D1477=_xlfn.MAXIFS($D$4:$D$2503,$A$4:$A$2503,A1477,$B$4:$B$2503,B1477),"Yes","No"))</f>
        <v/>
      </c>
      <c r="M1477" s="30">
        <f>IF(B1477="","",IFERROR(INDEX('Share classes'!$F$4:$F$203,MATCH(B1477,'Share classes'!$B$4:$B$203,0)),""))</f>
        <v/>
      </c>
      <c r="N1477" s="30">
        <f>IF(A1477="","",IF(K1477="","Unknown holder ID",IF(J1477="","Unknown class code",IF(OR(C1477="",D1477=""),"Missing shares or date",IF(OR(C1477&lt;0,C1477&lt;&gt;INT(C1477)),"Shares must be a whole number",IF(COUNTIFS($A$4:$A$2503,A1477,$B$4:$B$2503,B1477,$D$4:$D$2503,D1477)&gt;1,"Duplicate row (same date)","OK"))))))</f>
        <v/>
      </c>
    </row>
    <row r="1478">
      <c r="A1478" s="26" t="n"/>
      <c r="B1478" s="26" t="n"/>
      <c r="C1478" s="34" t="n"/>
      <c r="D1478" s="28" t="n"/>
      <c r="E1478" s="26" t="n"/>
      <c r="F1478" s="26" t="n"/>
      <c r="G1478" s="26" t="n"/>
      <c r="H1478" s="38" t="n"/>
      <c r="I1478" s="28" t="n"/>
      <c r="J1478" s="30">
        <f>IF(B1478="","",IFERROR(INDEX('Share classes'!$A$4:$A$203,MATCH(B1478,'Share classes'!$B$4:$B$203,0)),""))</f>
        <v/>
      </c>
      <c r="K1478" s="30">
        <f>IF(A1478="","",IFERROR(INDEX('Holders'!$B$4:$B$1003,MATCH(A1478,'Holders'!$A$4:$A$1003,0)),""))</f>
        <v/>
      </c>
      <c r="L1478" s="30">
        <f>IF(OR(A1478="",B1478="",D1478=""),"",IF(D1478=_xlfn.MAXIFS($D$4:$D$2503,$A$4:$A$2503,A1478,$B$4:$B$2503,B1478),"Yes","No"))</f>
        <v/>
      </c>
      <c r="M1478" s="30">
        <f>IF(B1478="","",IFERROR(INDEX('Share classes'!$F$4:$F$203,MATCH(B1478,'Share classes'!$B$4:$B$203,0)),""))</f>
        <v/>
      </c>
      <c r="N1478" s="30">
        <f>IF(A1478="","",IF(K1478="","Unknown holder ID",IF(J1478="","Unknown class code",IF(OR(C1478="",D1478=""),"Missing shares or date",IF(OR(C1478&lt;0,C1478&lt;&gt;INT(C1478)),"Shares must be a whole number",IF(COUNTIFS($A$4:$A$2503,A1478,$B$4:$B$2503,B1478,$D$4:$D$2503,D1478)&gt;1,"Duplicate row (same date)","OK"))))))</f>
        <v/>
      </c>
    </row>
    <row r="1479">
      <c r="A1479" s="26" t="n"/>
      <c r="B1479" s="26" t="n"/>
      <c r="C1479" s="34" t="n"/>
      <c r="D1479" s="28" t="n"/>
      <c r="E1479" s="26" t="n"/>
      <c r="F1479" s="26" t="n"/>
      <c r="G1479" s="26" t="n"/>
      <c r="H1479" s="38" t="n"/>
      <c r="I1479" s="28" t="n"/>
      <c r="J1479" s="30">
        <f>IF(B1479="","",IFERROR(INDEX('Share classes'!$A$4:$A$203,MATCH(B1479,'Share classes'!$B$4:$B$203,0)),""))</f>
        <v/>
      </c>
      <c r="K1479" s="30">
        <f>IF(A1479="","",IFERROR(INDEX('Holders'!$B$4:$B$1003,MATCH(A1479,'Holders'!$A$4:$A$1003,0)),""))</f>
        <v/>
      </c>
      <c r="L1479" s="30">
        <f>IF(OR(A1479="",B1479="",D1479=""),"",IF(D1479=_xlfn.MAXIFS($D$4:$D$2503,$A$4:$A$2503,A1479,$B$4:$B$2503,B1479),"Yes","No"))</f>
        <v/>
      </c>
      <c r="M1479" s="30">
        <f>IF(B1479="","",IFERROR(INDEX('Share classes'!$F$4:$F$203,MATCH(B1479,'Share classes'!$B$4:$B$203,0)),""))</f>
        <v/>
      </c>
      <c r="N1479" s="30">
        <f>IF(A1479="","",IF(K1479="","Unknown holder ID",IF(J1479="","Unknown class code",IF(OR(C1479="",D1479=""),"Missing shares or date",IF(OR(C1479&lt;0,C1479&lt;&gt;INT(C1479)),"Shares must be a whole number",IF(COUNTIFS($A$4:$A$2503,A1479,$B$4:$B$2503,B1479,$D$4:$D$2503,D1479)&gt;1,"Duplicate row (same date)","OK"))))))</f>
        <v/>
      </c>
    </row>
    <row r="1480">
      <c r="A1480" s="26" t="n"/>
      <c r="B1480" s="26" t="n"/>
      <c r="C1480" s="34" t="n"/>
      <c r="D1480" s="28" t="n"/>
      <c r="E1480" s="26" t="n"/>
      <c r="F1480" s="26" t="n"/>
      <c r="G1480" s="26" t="n"/>
      <c r="H1480" s="38" t="n"/>
      <c r="I1480" s="28" t="n"/>
      <c r="J1480" s="30">
        <f>IF(B1480="","",IFERROR(INDEX('Share classes'!$A$4:$A$203,MATCH(B1480,'Share classes'!$B$4:$B$203,0)),""))</f>
        <v/>
      </c>
      <c r="K1480" s="30">
        <f>IF(A1480="","",IFERROR(INDEX('Holders'!$B$4:$B$1003,MATCH(A1480,'Holders'!$A$4:$A$1003,0)),""))</f>
        <v/>
      </c>
      <c r="L1480" s="30">
        <f>IF(OR(A1480="",B1480="",D1480=""),"",IF(D1480=_xlfn.MAXIFS($D$4:$D$2503,$A$4:$A$2503,A1480,$B$4:$B$2503,B1480),"Yes","No"))</f>
        <v/>
      </c>
      <c r="M1480" s="30">
        <f>IF(B1480="","",IFERROR(INDEX('Share classes'!$F$4:$F$203,MATCH(B1480,'Share classes'!$B$4:$B$203,0)),""))</f>
        <v/>
      </c>
      <c r="N1480" s="30">
        <f>IF(A1480="","",IF(K1480="","Unknown holder ID",IF(J1480="","Unknown class code",IF(OR(C1480="",D1480=""),"Missing shares or date",IF(OR(C1480&lt;0,C1480&lt;&gt;INT(C1480)),"Shares must be a whole number",IF(COUNTIFS($A$4:$A$2503,A1480,$B$4:$B$2503,B1480,$D$4:$D$2503,D1480)&gt;1,"Duplicate row (same date)","OK"))))))</f>
        <v/>
      </c>
    </row>
    <row r="1481">
      <c r="A1481" s="26" t="n"/>
      <c r="B1481" s="26" t="n"/>
      <c r="C1481" s="34" t="n"/>
      <c r="D1481" s="28" t="n"/>
      <c r="E1481" s="26" t="n"/>
      <c r="F1481" s="26" t="n"/>
      <c r="G1481" s="26" t="n"/>
      <c r="H1481" s="38" t="n"/>
      <c r="I1481" s="28" t="n"/>
      <c r="J1481" s="30">
        <f>IF(B1481="","",IFERROR(INDEX('Share classes'!$A$4:$A$203,MATCH(B1481,'Share classes'!$B$4:$B$203,0)),""))</f>
        <v/>
      </c>
      <c r="K1481" s="30">
        <f>IF(A1481="","",IFERROR(INDEX('Holders'!$B$4:$B$1003,MATCH(A1481,'Holders'!$A$4:$A$1003,0)),""))</f>
        <v/>
      </c>
      <c r="L1481" s="30">
        <f>IF(OR(A1481="",B1481="",D1481=""),"",IF(D1481=_xlfn.MAXIFS($D$4:$D$2503,$A$4:$A$2503,A1481,$B$4:$B$2503,B1481),"Yes","No"))</f>
        <v/>
      </c>
      <c r="M1481" s="30">
        <f>IF(B1481="","",IFERROR(INDEX('Share classes'!$F$4:$F$203,MATCH(B1481,'Share classes'!$B$4:$B$203,0)),""))</f>
        <v/>
      </c>
      <c r="N1481" s="30">
        <f>IF(A1481="","",IF(K1481="","Unknown holder ID",IF(J1481="","Unknown class code",IF(OR(C1481="",D1481=""),"Missing shares or date",IF(OR(C1481&lt;0,C1481&lt;&gt;INT(C1481)),"Shares must be a whole number",IF(COUNTIFS($A$4:$A$2503,A1481,$B$4:$B$2503,B1481,$D$4:$D$2503,D1481)&gt;1,"Duplicate row (same date)","OK"))))))</f>
        <v/>
      </c>
    </row>
    <row r="1482">
      <c r="A1482" s="26" t="n"/>
      <c r="B1482" s="26" t="n"/>
      <c r="C1482" s="34" t="n"/>
      <c r="D1482" s="28" t="n"/>
      <c r="E1482" s="26" t="n"/>
      <c r="F1482" s="26" t="n"/>
      <c r="G1482" s="26" t="n"/>
      <c r="H1482" s="38" t="n"/>
      <c r="I1482" s="28" t="n"/>
      <c r="J1482" s="30">
        <f>IF(B1482="","",IFERROR(INDEX('Share classes'!$A$4:$A$203,MATCH(B1482,'Share classes'!$B$4:$B$203,0)),""))</f>
        <v/>
      </c>
      <c r="K1482" s="30">
        <f>IF(A1482="","",IFERROR(INDEX('Holders'!$B$4:$B$1003,MATCH(A1482,'Holders'!$A$4:$A$1003,0)),""))</f>
        <v/>
      </c>
      <c r="L1482" s="30">
        <f>IF(OR(A1482="",B1482="",D1482=""),"",IF(D1482=_xlfn.MAXIFS($D$4:$D$2503,$A$4:$A$2503,A1482,$B$4:$B$2503,B1482),"Yes","No"))</f>
        <v/>
      </c>
      <c r="M1482" s="30">
        <f>IF(B1482="","",IFERROR(INDEX('Share classes'!$F$4:$F$203,MATCH(B1482,'Share classes'!$B$4:$B$203,0)),""))</f>
        <v/>
      </c>
      <c r="N1482" s="30">
        <f>IF(A1482="","",IF(K1482="","Unknown holder ID",IF(J1482="","Unknown class code",IF(OR(C1482="",D1482=""),"Missing shares or date",IF(OR(C1482&lt;0,C1482&lt;&gt;INT(C1482)),"Shares must be a whole number",IF(COUNTIFS($A$4:$A$2503,A1482,$B$4:$B$2503,B1482,$D$4:$D$2503,D1482)&gt;1,"Duplicate row (same date)","OK"))))))</f>
        <v/>
      </c>
    </row>
    <row r="1483">
      <c r="A1483" s="26" t="n"/>
      <c r="B1483" s="26" t="n"/>
      <c r="C1483" s="34" t="n"/>
      <c r="D1483" s="28" t="n"/>
      <c r="E1483" s="26" t="n"/>
      <c r="F1483" s="26" t="n"/>
      <c r="G1483" s="26" t="n"/>
      <c r="H1483" s="38" t="n"/>
      <c r="I1483" s="28" t="n"/>
      <c r="J1483" s="30">
        <f>IF(B1483="","",IFERROR(INDEX('Share classes'!$A$4:$A$203,MATCH(B1483,'Share classes'!$B$4:$B$203,0)),""))</f>
        <v/>
      </c>
      <c r="K1483" s="30">
        <f>IF(A1483="","",IFERROR(INDEX('Holders'!$B$4:$B$1003,MATCH(A1483,'Holders'!$A$4:$A$1003,0)),""))</f>
        <v/>
      </c>
      <c r="L1483" s="30">
        <f>IF(OR(A1483="",B1483="",D1483=""),"",IF(D1483=_xlfn.MAXIFS($D$4:$D$2503,$A$4:$A$2503,A1483,$B$4:$B$2503,B1483),"Yes","No"))</f>
        <v/>
      </c>
      <c r="M1483" s="30">
        <f>IF(B1483="","",IFERROR(INDEX('Share classes'!$F$4:$F$203,MATCH(B1483,'Share classes'!$B$4:$B$203,0)),""))</f>
        <v/>
      </c>
      <c r="N1483" s="30">
        <f>IF(A1483="","",IF(K1483="","Unknown holder ID",IF(J1483="","Unknown class code",IF(OR(C1483="",D1483=""),"Missing shares or date",IF(OR(C1483&lt;0,C1483&lt;&gt;INT(C1483)),"Shares must be a whole number",IF(COUNTIFS($A$4:$A$2503,A1483,$B$4:$B$2503,B1483,$D$4:$D$2503,D1483)&gt;1,"Duplicate row (same date)","OK"))))))</f>
        <v/>
      </c>
    </row>
    <row r="1484">
      <c r="A1484" s="26" t="n"/>
      <c r="B1484" s="26" t="n"/>
      <c r="C1484" s="34" t="n"/>
      <c r="D1484" s="28" t="n"/>
      <c r="E1484" s="26" t="n"/>
      <c r="F1484" s="26" t="n"/>
      <c r="G1484" s="26" t="n"/>
      <c r="H1484" s="38" t="n"/>
      <c r="I1484" s="28" t="n"/>
      <c r="J1484" s="30">
        <f>IF(B1484="","",IFERROR(INDEX('Share classes'!$A$4:$A$203,MATCH(B1484,'Share classes'!$B$4:$B$203,0)),""))</f>
        <v/>
      </c>
      <c r="K1484" s="30">
        <f>IF(A1484="","",IFERROR(INDEX('Holders'!$B$4:$B$1003,MATCH(A1484,'Holders'!$A$4:$A$1003,0)),""))</f>
        <v/>
      </c>
      <c r="L1484" s="30">
        <f>IF(OR(A1484="",B1484="",D1484=""),"",IF(D1484=_xlfn.MAXIFS($D$4:$D$2503,$A$4:$A$2503,A1484,$B$4:$B$2503,B1484),"Yes","No"))</f>
        <v/>
      </c>
      <c r="M1484" s="30">
        <f>IF(B1484="","",IFERROR(INDEX('Share classes'!$F$4:$F$203,MATCH(B1484,'Share classes'!$B$4:$B$203,0)),""))</f>
        <v/>
      </c>
      <c r="N1484" s="30">
        <f>IF(A1484="","",IF(K1484="","Unknown holder ID",IF(J1484="","Unknown class code",IF(OR(C1484="",D1484=""),"Missing shares or date",IF(OR(C1484&lt;0,C1484&lt;&gt;INT(C1484)),"Shares must be a whole number",IF(COUNTIFS($A$4:$A$2503,A1484,$B$4:$B$2503,B1484,$D$4:$D$2503,D1484)&gt;1,"Duplicate row (same date)","OK"))))))</f>
        <v/>
      </c>
    </row>
    <row r="1485">
      <c r="A1485" s="26" t="n"/>
      <c r="B1485" s="26" t="n"/>
      <c r="C1485" s="34" t="n"/>
      <c r="D1485" s="28" t="n"/>
      <c r="E1485" s="26" t="n"/>
      <c r="F1485" s="26" t="n"/>
      <c r="G1485" s="26" t="n"/>
      <c r="H1485" s="38" t="n"/>
      <c r="I1485" s="28" t="n"/>
      <c r="J1485" s="30">
        <f>IF(B1485="","",IFERROR(INDEX('Share classes'!$A$4:$A$203,MATCH(B1485,'Share classes'!$B$4:$B$203,0)),""))</f>
        <v/>
      </c>
      <c r="K1485" s="30">
        <f>IF(A1485="","",IFERROR(INDEX('Holders'!$B$4:$B$1003,MATCH(A1485,'Holders'!$A$4:$A$1003,0)),""))</f>
        <v/>
      </c>
      <c r="L1485" s="30">
        <f>IF(OR(A1485="",B1485="",D1485=""),"",IF(D1485=_xlfn.MAXIFS($D$4:$D$2503,$A$4:$A$2503,A1485,$B$4:$B$2503,B1485),"Yes","No"))</f>
        <v/>
      </c>
      <c r="M1485" s="30">
        <f>IF(B1485="","",IFERROR(INDEX('Share classes'!$F$4:$F$203,MATCH(B1485,'Share classes'!$B$4:$B$203,0)),""))</f>
        <v/>
      </c>
      <c r="N1485" s="30">
        <f>IF(A1485="","",IF(K1485="","Unknown holder ID",IF(J1485="","Unknown class code",IF(OR(C1485="",D1485=""),"Missing shares or date",IF(OR(C1485&lt;0,C1485&lt;&gt;INT(C1485)),"Shares must be a whole number",IF(COUNTIFS($A$4:$A$2503,A1485,$B$4:$B$2503,B1485,$D$4:$D$2503,D1485)&gt;1,"Duplicate row (same date)","OK"))))))</f>
        <v/>
      </c>
    </row>
    <row r="1486">
      <c r="A1486" s="26" t="n"/>
      <c r="B1486" s="26" t="n"/>
      <c r="C1486" s="34" t="n"/>
      <c r="D1486" s="28" t="n"/>
      <c r="E1486" s="26" t="n"/>
      <c r="F1486" s="26" t="n"/>
      <c r="G1486" s="26" t="n"/>
      <c r="H1486" s="38" t="n"/>
      <c r="I1486" s="28" t="n"/>
      <c r="J1486" s="30">
        <f>IF(B1486="","",IFERROR(INDEX('Share classes'!$A$4:$A$203,MATCH(B1486,'Share classes'!$B$4:$B$203,0)),""))</f>
        <v/>
      </c>
      <c r="K1486" s="30">
        <f>IF(A1486="","",IFERROR(INDEX('Holders'!$B$4:$B$1003,MATCH(A1486,'Holders'!$A$4:$A$1003,0)),""))</f>
        <v/>
      </c>
      <c r="L1486" s="30">
        <f>IF(OR(A1486="",B1486="",D1486=""),"",IF(D1486=_xlfn.MAXIFS($D$4:$D$2503,$A$4:$A$2503,A1486,$B$4:$B$2503,B1486),"Yes","No"))</f>
        <v/>
      </c>
      <c r="M1486" s="30">
        <f>IF(B1486="","",IFERROR(INDEX('Share classes'!$F$4:$F$203,MATCH(B1486,'Share classes'!$B$4:$B$203,0)),""))</f>
        <v/>
      </c>
      <c r="N1486" s="30">
        <f>IF(A1486="","",IF(K1486="","Unknown holder ID",IF(J1486="","Unknown class code",IF(OR(C1486="",D1486=""),"Missing shares or date",IF(OR(C1486&lt;0,C1486&lt;&gt;INT(C1486)),"Shares must be a whole number",IF(COUNTIFS($A$4:$A$2503,A1486,$B$4:$B$2503,B1486,$D$4:$D$2503,D1486)&gt;1,"Duplicate row (same date)","OK"))))))</f>
        <v/>
      </c>
    </row>
    <row r="1487">
      <c r="A1487" s="26" t="n"/>
      <c r="B1487" s="26" t="n"/>
      <c r="C1487" s="34" t="n"/>
      <c r="D1487" s="28" t="n"/>
      <c r="E1487" s="26" t="n"/>
      <c r="F1487" s="26" t="n"/>
      <c r="G1487" s="26" t="n"/>
      <c r="H1487" s="38" t="n"/>
      <c r="I1487" s="28" t="n"/>
      <c r="J1487" s="30">
        <f>IF(B1487="","",IFERROR(INDEX('Share classes'!$A$4:$A$203,MATCH(B1487,'Share classes'!$B$4:$B$203,0)),""))</f>
        <v/>
      </c>
      <c r="K1487" s="30">
        <f>IF(A1487="","",IFERROR(INDEX('Holders'!$B$4:$B$1003,MATCH(A1487,'Holders'!$A$4:$A$1003,0)),""))</f>
        <v/>
      </c>
      <c r="L1487" s="30">
        <f>IF(OR(A1487="",B1487="",D1487=""),"",IF(D1487=_xlfn.MAXIFS($D$4:$D$2503,$A$4:$A$2503,A1487,$B$4:$B$2503,B1487),"Yes","No"))</f>
        <v/>
      </c>
      <c r="M1487" s="30">
        <f>IF(B1487="","",IFERROR(INDEX('Share classes'!$F$4:$F$203,MATCH(B1487,'Share classes'!$B$4:$B$203,0)),""))</f>
        <v/>
      </c>
      <c r="N1487" s="30">
        <f>IF(A1487="","",IF(K1487="","Unknown holder ID",IF(J1487="","Unknown class code",IF(OR(C1487="",D1487=""),"Missing shares or date",IF(OR(C1487&lt;0,C1487&lt;&gt;INT(C1487)),"Shares must be a whole number",IF(COUNTIFS($A$4:$A$2503,A1487,$B$4:$B$2503,B1487,$D$4:$D$2503,D1487)&gt;1,"Duplicate row (same date)","OK"))))))</f>
        <v/>
      </c>
    </row>
    <row r="1488">
      <c r="A1488" s="26" t="n"/>
      <c r="B1488" s="26" t="n"/>
      <c r="C1488" s="34" t="n"/>
      <c r="D1488" s="28" t="n"/>
      <c r="E1488" s="26" t="n"/>
      <c r="F1488" s="26" t="n"/>
      <c r="G1488" s="26" t="n"/>
      <c r="H1488" s="38" t="n"/>
      <c r="I1488" s="28" t="n"/>
      <c r="J1488" s="30">
        <f>IF(B1488="","",IFERROR(INDEX('Share classes'!$A$4:$A$203,MATCH(B1488,'Share classes'!$B$4:$B$203,0)),""))</f>
        <v/>
      </c>
      <c r="K1488" s="30">
        <f>IF(A1488="","",IFERROR(INDEX('Holders'!$B$4:$B$1003,MATCH(A1488,'Holders'!$A$4:$A$1003,0)),""))</f>
        <v/>
      </c>
      <c r="L1488" s="30">
        <f>IF(OR(A1488="",B1488="",D1488=""),"",IF(D1488=_xlfn.MAXIFS($D$4:$D$2503,$A$4:$A$2503,A1488,$B$4:$B$2503,B1488),"Yes","No"))</f>
        <v/>
      </c>
      <c r="M1488" s="30">
        <f>IF(B1488="","",IFERROR(INDEX('Share classes'!$F$4:$F$203,MATCH(B1488,'Share classes'!$B$4:$B$203,0)),""))</f>
        <v/>
      </c>
      <c r="N1488" s="30">
        <f>IF(A1488="","",IF(K1488="","Unknown holder ID",IF(J1488="","Unknown class code",IF(OR(C1488="",D1488=""),"Missing shares or date",IF(OR(C1488&lt;0,C1488&lt;&gt;INT(C1488)),"Shares must be a whole number",IF(COUNTIFS($A$4:$A$2503,A1488,$B$4:$B$2503,B1488,$D$4:$D$2503,D1488)&gt;1,"Duplicate row (same date)","OK"))))))</f>
        <v/>
      </c>
    </row>
    <row r="1489">
      <c r="A1489" s="26" t="n"/>
      <c r="B1489" s="26" t="n"/>
      <c r="C1489" s="34" t="n"/>
      <c r="D1489" s="28" t="n"/>
      <c r="E1489" s="26" t="n"/>
      <c r="F1489" s="26" t="n"/>
      <c r="G1489" s="26" t="n"/>
      <c r="H1489" s="38" t="n"/>
      <c r="I1489" s="28" t="n"/>
      <c r="J1489" s="30">
        <f>IF(B1489="","",IFERROR(INDEX('Share classes'!$A$4:$A$203,MATCH(B1489,'Share classes'!$B$4:$B$203,0)),""))</f>
        <v/>
      </c>
      <c r="K1489" s="30">
        <f>IF(A1489="","",IFERROR(INDEX('Holders'!$B$4:$B$1003,MATCH(A1489,'Holders'!$A$4:$A$1003,0)),""))</f>
        <v/>
      </c>
      <c r="L1489" s="30">
        <f>IF(OR(A1489="",B1489="",D1489=""),"",IF(D1489=_xlfn.MAXIFS($D$4:$D$2503,$A$4:$A$2503,A1489,$B$4:$B$2503,B1489),"Yes","No"))</f>
        <v/>
      </c>
      <c r="M1489" s="30">
        <f>IF(B1489="","",IFERROR(INDEX('Share classes'!$F$4:$F$203,MATCH(B1489,'Share classes'!$B$4:$B$203,0)),""))</f>
        <v/>
      </c>
      <c r="N1489" s="30">
        <f>IF(A1489="","",IF(K1489="","Unknown holder ID",IF(J1489="","Unknown class code",IF(OR(C1489="",D1489=""),"Missing shares or date",IF(OR(C1489&lt;0,C1489&lt;&gt;INT(C1489)),"Shares must be a whole number",IF(COUNTIFS($A$4:$A$2503,A1489,$B$4:$B$2503,B1489,$D$4:$D$2503,D1489)&gt;1,"Duplicate row (same date)","OK"))))))</f>
        <v/>
      </c>
    </row>
    <row r="1490">
      <c r="A1490" s="26" t="n"/>
      <c r="B1490" s="26" t="n"/>
      <c r="C1490" s="34" t="n"/>
      <c r="D1490" s="28" t="n"/>
      <c r="E1490" s="26" t="n"/>
      <c r="F1490" s="26" t="n"/>
      <c r="G1490" s="26" t="n"/>
      <c r="H1490" s="38" t="n"/>
      <c r="I1490" s="28" t="n"/>
      <c r="J1490" s="30">
        <f>IF(B1490="","",IFERROR(INDEX('Share classes'!$A$4:$A$203,MATCH(B1490,'Share classes'!$B$4:$B$203,0)),""))</f>
        <v/>
      </c>
      <c r="K1490" s="30">
        <f>IF(A1490="","",IFERROR(INDEX('Holders'!$B$4:$B$1003,MATCH(A1490,'Holders'!$A$4:$A$1003,0)),""))</f>
        <v/>
      </c>
      <c r="L1490" s="30">
        <f>IF(OR(A1490="",B1490="",D1490=""),"",IF(D1490=_xlfn.MAXIFS($D$4:$D$2503,$A$4:$A$2503,A1490,$B$4:$B$2503,B1490),"Yes","No"))</f>
        <v/>
      </c>
      <c r="M1490" s="30">
        <f>IF(B1490="","",IFERROR(INDEX('Share classes'!$F$4:$F$203,MATCH(B1490,'Share classes'!$B$4:$B$203,0)),""))</f>
        <v/>
      </c>
      <c r="N1490" s="30">
        <f>IF(A1490="","",IF(K1490="","Unknown holder ID",IF(J1490="","Unknown class code",IF(OR(C1490="",D1490=""),"Missing shares or date",IF(OR(C1490&lt;0,C1490&lt;&gt;INT(C1490)),"Shares must be a whole number",IF(COUNTIFS($A$4:$A$2503,A1490,$B$4:$B$2503,B1490,$D$4:$D$2503,D1490)&gt;1,"Duplicate row (same date)","OK"))))))</f>
        <v/>
      </c>
    </row>
    <row r="1491">
      <c r="A1491" s="26" t="n"/>
      <c r="B1491" s="26" t="n"/>
      <c r="C1491" s="34" t="n"/>
      <c r="D1491" s="28" t="n"/>
      <c r="E1491" s="26" t="n"/>
      <c r="F1491" s="26" t="n"/>
      <c r="G1491" s="26" t="n"/>
      <c r="H1491" s="38" t="n"/>
      <c r="I1491" s="28" t="n"/>
      <c r="J1491" s="30">
        <f>IF(B1491="","",IFERROR(INDEX('Share classes'!$A$4:$A$203,MATCH(B1491,'Share classes'!$B$4:$B$203,0)),""))</f>
        <v/>
      </c>
      <c r="K1491" s="30">
        <f>IF(A1491="","",IFERROR(INDEX('Holders'!$B$4:$B$1003,MATCH(A1491,'Holders'!$A$4:$A$1003,0)),""))</f>
        <v/>
      </c>
      <c r="L1491" s="30">
        <f>IF(OR(A1491="",B1491="",D1491=""),"",IF(D1491=_xlfn.MAXIFS($D$4:$D$2503,$A$4:$A$2503,A1491,$B$4:$B$2503,B1491),"Yes","No"))</f>
        <v/>
      </c>
      <c r="M1491" s="30">
        <f>IF(B1491="","",IFERROR(INDEX('Share classes'!$F$4:$F$203,MATCH(B1491,'Share classes'!$B$4:$B$203,0)),""))</f>
        <v/>
      </c>
      <c r="N1491" s="30">
        <f>IF(A1491="","",IF(K1491="","Unknown holder ID",IF(J1491="","Unknown class code",IF(OR(C1491="",D1491=""),"Missing shares or date",IF(OR(C1491&lt;0,C1491&lt;&gt;INT(C1491)),"Shares must be a whole number",IF(COUNTIFS($A$4:$A$2503,A1491,$B$4:$B$2503,B1491,$D$4:$D$2503,D1491)&gt;1,"Duplicate row (same date)","OK"))))))</f>
        <v/>
      </c>
    </row>
    <row r="1492">
      <c r="A1492" s="26" t="n"/>
      <c r="B1492" s="26" t="n"/>
      <c r="C1492" s="34" t="n"/>
      <c r="D1492" s="28" t="n"/>
      <c r="E1492" s="26" t="n"/>
      <c r="F1492" s="26" t="n"/>
      <c r="G1492" s="26" t="n"/>
      <c r="H1492" s="38" t="n"/>
      <c r="I1492" s="28" t="n"/>
      <c r="J1492" s="30">
        <f>IF(B1492="","",IFERROR(INDEX('Share classes'!$A$4:$A$203,MATCH(B1492,'Share classes'!$B$4:$B$203,0)),""))</f>
        <v/>
      </c>
      <c r="K1492" s="30">
        <f>IF(A1492="","",IFERROR(INDEX('Holders'!$B$4:$B$1003,MATCH(A1492,'Holders'!$A$4:$A$1003,0)),""))</f>
        <v/>
      </c>
      <c r="L1492" s="30">
        <f>IF(OR(A1492="",B1492="",D1492=""),"",IF(D1492=_xlfn.MAXIFS($D$4:$D$2503,$A$4:$A$2503,A1492,$B$4:$B$2503,B1492),"Yes","No"))</f>
        <v/>
      </c>
      <c r="M1492" s="30">
        <f>IF(B1492="","",IFERROR(INDEX('Share classes'!$F$4:$F$203,MATCH(B1492,'Share classes'!$B$4:$B$203,0)),""))</f>
        <v/>
      </c>
      <c r="N1492" s="30">
        <f>IF(A1492="","",IF(K1492="","Unknown holder ID",IF(J1492="","Unknown class code",IF(OR(C1492="",D1492=""),"Missing shares or date",IF(OR(C1492&lt;0,C1492&lt;&gt;INT(C1492)),"Shares must be a whole number",IF(COUNTIFS($A$4:$A$2503,A1492,$B$4:$B$2503,B1492,$D$4:$D$2503,D1492)&gt;1,"Duplicate row (same date)","OK"))))))</f>
        <v/>
      </c>
    </row>
    <row r="1493">
      <c r="A1493" s="26" t="n"/>
      <c r="B1493" s="26" t="n"/>
      <c r="C1493" s="34" t="n"/>
      <c r="D1493" s="28" t="n"/>
      <c r="E1493" s="26" t="n"/>
      <c r="F1493" s="26" t="n"/>
      <c r="G1493" s="26" t="n"/>
      <c r="H1493" s="38" t="n"/>
      <c r="I1493" s="28" t="n"/>
      <c r="J1493" s="30">
        <f>IF(B1493="","",IFERROR(INDEX('Share classes'!$A$4:$A$203,MATCH(B1493,'Share classes'!$B$4:$B$203,0)),""))</f>
        <v/>
      </c>
      <c r="K1493" s="30">
        <f>IF(A1493="","",IFERROR(INDEX('Holders'!$B$4:$B$1003,MATCH(A1493,'Holders'!$A$4:$A$1003,0)),""))</f>
        <v/>
      </c>
      <c r="L1493" s="30">
        <f>IF(OR(A1493="",B1493="",D1493=""),"",IF(D1493=_xlfn.MAXIFS($D$4:$D$2503,$A$4:$A$2503,A1493,$B$4:$B$2503,B1493),"Yes","No"))</f>
        <v/>
      </c>
      <c r="M1493" s="30">
        <f>IF(B1493="","",IFERROR(INDEX('Share classes'!$F$4:$F$203,MATCH(B1493,'Share classes'!$B$4:$B$203,0)),""))</f>
        <v/>
      </c>
      <c r="N1493" s="30">
        <f>IF(A1493="","",IF(K1493="","Unknown holder ID",IF(J1493="","Unknown class code",IF(OR(C1493="",D1493=""),"Missing shares or date",IF(OR(C1493&lt;0,C1493&lt;&gt;INT(C1493)),"Shares must be a whole number",IF(COUNTIFS($A$4:$A$2503,A1493,$B$4:$B$2503,B1493,$D$4:$D$2503,D1493)&gt;1,"Duplicate row (same date)","OK"))))))</f>
        <v/>
      </c>
    </row>
    <row r="1494">
      <c r="A1494" s="26" t="n"/>
      <c r="B1494" s="26" t="n"/>
      <c r="C1494" s="34" t="n"/>
      <c r="D1494" s="28" t="n"/>
      <c r="E1494" s="26" t="n"/>
      <c r="F1494" s="26" t="n"/>
      <c r="G1494" s="26" t="n"/>
      <c r="H1494" s="38" t="n"/>
      <c r="I1494" s="28" t="n"/>
      <c r="J1494" s="30">
        <f>IF(B1494="","",IFERROR(INDEX('Share classes'!$A$4:$A$203,MATCH(B1494,'Share classes'!$B$4:$B$203,0)),""))</f>
        <v/>
      </c>
      <c r="K1494" s="30">
        <f>IF(A1494="","",IFERROR(INDEX('Holders'!$B$4:$B$1003,MATCH(A1494,'Holders'!$A$4:$A$1003,0)),""))</f>
        <v/>
      </c>
      <c r="L1494" s="30">
        <f>IF(OR(A1494="",B1494="",D1494=""),"",IF(D1494=_xlfn.MAXIFS($D$4:$D$2503,$A$4:$A$2503,A1494,$B$4:$B$2503,B1494),"Yes","No"))</f>
        <v/>
      </c>
      <c r="M1494" s="30">
        <f>IF(B1494="","",IFERROR(INDEX('Share classes'!$F$4:$F$203,MATCH(B1494,'Share classes'!$B$4:$B$203,0)),""))</f>
        <v/>
      </c>
      <c r="N1494" s="30">
        <f>IF(A1494="","",IF(K1494="","Unknown holder ID",IF(J1494="","Unknown class code",IF(OR(C1494="",D1494=""),"Missing shares or date",IF(OR(C1494&lt;0,C1494&lt;&gt;INT(C1494)),"Shares must be a whole number",IF(COUNTIFS($A$4:$A$2503,A1494,$B$4:$B$2503,B1494,$D$4:$D$2503,D1494)&gt;1,"Duplicate row (same date)","OK"))))))</f>
        <v/>
      </c>
    </row>
    <row r="1495">
      <c r="A1495" s="26" t="n"/>
      <c r="B1495" s="26" t="n"/>
      <c r="C1495" s="34" t="n"/>
      <c r="D1495" s="28" t="n"/>
      <c r="E1495" s="26" t="n"/>
      <c r="F1495" s="26" t="n"/>
      <c r="G1495" s="26" t="n"/>
      <c r="H1495" s="38" t="n"/>
      <c r="I1495" s="28" t="n"/>
      <c r="J1495" s="30">
        <f>IF(B1495="","",IFERROR(INDEX('Share classes'!$A$4:$A$203,MATCH(B1495,'Share classes'!$B$4:$B$203,0)),""))</f>
        <v/>
      </c>
      <c r="K1495" s="30">
        <f>IF(A1495="","",IFERROR(INDEX('Holders'!$B$4:$B$1003,MATCH(A1495,'Holders'!$A$4:$A$1003,0)),""))</f>
        <v/>
      </c>
      <c r="L1495" s="30">
        <f>IF(OR(A1495="",B1495="",D1495=""),"",IF(D1495=_xlfn.MAXIFS($D$4:$D$2503,$A$4:$A$2503,A1495,$B$4:$B$2503,B1495),"Yes","No"))</f>
        <v/>
      </c>
      <c r="M1495" s="30">
        <f>IF(B1495="","",IFERROR(INDEX('Share classes'!$F$4:$F$203,MATCH(B1495,'Share classes'!$B$4:$B$203,0)),""))</f>
        <v/>
      </c>
      <c r="N1495" s="30">
        <f>IF(A1495="","",IF(K1495="","Unknown holder ID",IF(J1495="","Unknown class code",IF(OR(C1495="",D1495=""),"Missing shares or date",IF(OR(C1495&lt;0,C1495&lt;&gt;INT(C1495)),"Shares must be a whole number",IF(COUNTIFS($A$4:$A$2503,A1495,$B$4:$B$2503,B1495,$D$4:$D$2503,D1495)&gt;1,"Duplicate row (same date)","OK"))))))</f>
        <v/>
      </c>
    </row>
    <row r="1496">
      <c r="A1496" s="26" t="n"/>
      <c r="B1496" s="26" t="n"/>
      <c r="C1496" s="34" t="n"/>
      <c r="D1496" s="28" t="n"/>
      <c r="E1496" s="26" t="n"/>
      <c r="F1496" s="26" t="n"/>
      <c r="G1496" s="26" t="n"/>
      <c r="H1496" s="38" t="n"/>
      <c r="I1496" s="28" t="n"/>
      <c r="J1496" s="30">
        <f>IF(B1496="","",IFERROR(INDEX('Share classes'!$A$4:$A$203,MATCH(B1496,'Share classes'!$B$4:$B$203,0)),""))</f>
        <v/>
      </c>
      <c r="K1496" s="30">
        <f>IF(A1496="","",IFERROR(INDEX('Holders'!$B$4:$B$1003,MATCH(A1496,'Holders'!$A$4:$A$1003,0)),""))</f>
        <v/>
      </c>
      <c r="L1496" s="30">
        <f>IF(OR(A1496="",B1496="",D1496=""),"",IF(D1496=_xlfn.MAXIFS($D$4:$D$2503,$A$4:$A$2503,A1496,$B$4:$B$2503,B1496),"Yes","No"))</f>
        <v/>
      </c>
      <c r="M1496" s="30">
        <f>IF(B1496="","",IFERROR(INDEX('Share classes'!$F$4:$F$203,MATCH(B1496,'Share classes'!$B$4:$B$203,0)),""))</f>
        <v/>
      </c>
      <c r="N1496" s="30">
        <f>IF(A1496="","",IF(K1496="","Unknown holder ID",IF(J1496="","Unknown class code",IF(OR(C1496="",D1496=""),"Missing shares or date",IF(OR(C1496&lt;0,C1496&lt;&gt;INT(C1496)),"Shares must be a whole number",IF(COUNTIFS($A$4:$A$2503,A1496,$B$4:$B$2503,B1496,$D$4:$D$2503,D1496)&gt;1,"Duplicate row (same date)","OK"))))))</f>
        <v/>
      </c>
    </row>
    <row r="1497">
      <c r="A1497" s="26" t="n"/>
      <c r="B1497" s="26" t="n"/>
      <c r="C1497" s="34" t="n"/>
      <c r="D1497" s="28" t="n"/>
      <c r="E1497" s="26" t="n"/>
      <c r="F1497" s="26" t="n"/>
      <c r="G1497" s="26" t="n"/>
      <c r="H1497" s="38" t="n"/>
      <c r="I1497" s="28" t="n"/>
      <c r="J1497" s="30">
        <f>IF(B1497="","",IFERROR(INDEX('Share classes'!$A$4:$A$203,MATCH(B1497,'Share classes'!$B$4:$B$203,0)),""))</f>
        <v/>
      </c>
      <c r="K1497" s="30">
        <f>IF(A1497="","",IFERROR(INDEX('Holders'!$B$4:$B$1003,MATCH(A1497,'Holders'!$A$4:$A$1003,0)),""))</f>
        <v/>
      </c>
      <c r="L1497" s="30">
        <f>IF(OR(A1497="",B1497="",D1497=""),"",IF(D1497=_xlfn.MAXIFS($D$4:$D$2503,$A$4:$A$2503,A1497,$B$4:$B$2503,B1497),"Yes","No"))</f>
        <v/>
      </c>
      <c r="M1497" s="30">
        <f>IF(B1497="","",IFERROR(INDEX('Share classes'!$F$4:$F$203,MATCH(B1497,'Share classes'!$B$4:$B$203,0)),""))</f>
        <v/>
      </c>
      <c r="N1497" s="30">
        <f>IF(A1497="","",IF(K1497="","Unknown holder ID",IF(J1497="","Unknown class code",IF(OR(C1497="",D1497=""),"Missing shares or date",IF(OR(C1497&lt;0,C1497&lt;&gt;INT(C1497)),"Shares must be a whole number",IF(COUNTIFS($A$4:$A$2503,A1497,$B$4:$B$2503,B1497,$D$4:$D$2503,D1497)&gt;1,"Duplicate row (same date)","OK"))))))</f>
        <v/>
      </c>
    </row>
    <row r="1498">
      <c r="A1498" s="26" t="n"/>
      <c r="B1498" s="26" t="n"/>
      <c r="C1498" s="34" t="n"/>
      <c r="D1498" s="28" t="n"/>
      <c r="E1498" s="26" t="n"/>
      <c r="F1498" s="26" t="n"/>
      <c r="G1498" s="26" t="n"/>
      <c r="H1498" s="38" t="n"/>
      <c r="I1498" s="28" t="n"/>
      <c r="J1498" s="30">
        <f>IF(B1498="","",IFERROR(INDEX('Share classes'!$A$4:$A$203,MATCH(B1498,'Share classes'!$B$4:$B$203,0)),""))</f>
        <v/>
      </c>
      <c r="K1498" s="30">
        <f>IF(A1498="","",IFERROR(INDEX('Holders'!$B$4:$B$1003,MATCH(A1498,'Holders'!$A$4:$A$1003,0)),""))</f>
        <v/>
      </c>
      <c r="L1498" s="30">
        <f>IF(OR(A1498="",B1498="",D1498=""),"",IF(D1498=_xlfn.MAXIFS($D$4:$D$2503,$A$4:$A$2503,A1498,$B$4:$B$2503,B1498),"Yes","No"))</f>
        <v/>
      </c>
      <c r="M1498" s="30">
        <f>IF(B1498="","",IFERROR(INDEX('Share classes'!$F$4:$F$203,MATCH(B1498,'Share classes'!$B$4:$B$203,0)),""))</f>
        <v/>
      </c>
      <c r="N1498" s="30">
        <f>IF(A1498="","",IF(K1498="","Unknown holder ID",IF(J1498="","Unknown class code",IF(OR(C1498="",D1498=""),"Missing shares or date",IF(OR(C1498&lt;0,C1498&lt;&gt;INT(C1498)),"Shares must be a whole number",IF(COUNTIFS($A$4:$A$2503,A1498,$B$4:$B$2503,B1498,$D$4:$D$2503,D1498)&gt;1,"Duplicate row (same date)","OK"))))))</f>
        <v/>
      </c>
    </row>
    <row r="1499">
      <c r="A1499" s="26" t="n"/>
      <c r="B1499" s="26" t="n"/>
      <c r="C1499" s="34" t="n"/>
      <c r="D1499" s="28" t="n"/>
      <c r="E1499" s="26" t="n"/>
      <c r="F1499" s="26" t="n"/>
      <c r="G1499" s="26" t="n"/>
      <c r="H1499" s="38" t="n"/>
      <c r="I1499" s="28" t="n"/>
      <c r="J1499" s="30">
        <f>IF(B1499="","",IFERROR(INDEX('Share classes'!$A$4:$A$203,MATCH(B1499,'Share classes'!$B$4:$B$203,0)),""))</f>
        <v/>
      </c>
      <c r="K1499" s="30">
        <f>IF(A1499="","",IFERROR(INDEX('Holders'!$B$4:$B$1003,MATCH(A1499,'Holders'!$A$4:$A$1003,0)),""))</f>
        <v/>
      </c>
      <c r="L1499" s="30">
        <f>IF(OR(A1499="",B1499="",D1499=""),"",IF(D1499=_xlfn.MAXIFS($D$4:$D$2503,$A$4:$A$2503,A1499,$B$4:$B$2503,B1499),"Yes","No"))</f>
        <v/>
      </c>
      <c r="M1499" s="30">
        <f>IF(B1499="","",IFERROR(INDEX('Share classes'!$F$4:$F$203,MATCH(B1499,'Share classes'!$B$4:$B$203,0)),""))</f>
        <v/>
      </c>
      <c r="N1499" s="30">
        <f>IF(A1499="","",IF(K1499="","Unknown holder ID",IF(J1499="","Unknown class code",IF(OR(C1499="",D1499=""),"Missing shares or date",IF(OR(C1499&lt;0,C1499&lt;&gt;INT(C1499)),"Shares must be a whole number",IF(COUNTIFS($A$4:$A$2503,A1499,$B$4:$B$2503,B1499,$D$4:$D$2503,D1499)&gt;1,"Duplicate row (same date)","OK"))))))</f>
        <v/>
      </c>
    </row>
    <row r="1500">
      <c r="A1500" s="26" t="n"/>
      <c r="B1500" s="26" t="n"/>
      <c r="C1500" s="34" t="n"/>
      <c r="D1500" s="28" t="n"/>
      <c r="E1500" s="26" t="n"/>
      <c r="F1500" s="26" t="n"/>
      <c r="G1500" s="26" t="n"/>
      <c r="H1500" s="38" t="n"/>
      <c r="I1500" s="28" t="n"/>
      <c r="J1500" s="30">
        <f>IF(B1500="","",IFERROR(INDEX('Share classes'!$A$4:$A$203,MATCH(B1500,'Share classes'!$B$4:$B$203,0)),""))</f>
        <v/>
      </c>
      <c r="K1500" s="30">
        <f>IF(A1500="","",IFERROR(INDEX('Holders'!$B$4:$B$1003,MATCH(A1500,'Holders'!$A$4:$A$1003,0)),""))</f>
        <v/>
      </c>
      <c r="L1500" s="30">
        <f>IF(OR(A1500="",B1500="",D1500=""),"",IF(D1500=_xlfn.MAXIFS($D$4:$D$2503,$A$4:$A$2503,A1500,$B$4:$B$2503,B1500),"Yes","No"))</f>
        <v/>
      </c>
      <c r="M1500" s="30">
        <f>IF(B1500="","",IFERROR(INDEX('Share classes'!$F$4:$F$203,MATCH(B1500,'Share classes'!$B$4:$B$203,0)),""))</f>
        <v/>
      </c>
      <c r="N1500" s="30">
        <f>IF(A1500="","",IF(K1500="","Unknown holder ID",IF(J1500="","Unknown class code",IF(OR(C1500="",D1500=""),"Missing shares or date",IF(OR(C1500&lt;0,C1500&lt;&gt;INT(C1500)),"Shares must be a whole number",IF(COUNTIFS($A$4:$A$2503,A1500,$B$4:$B$2503,B1500,$D$4:$D$2503,D1500)&gt;1,"Duplicate row (same date)","OK"))))))</f>
        <v/>
      </c>
    </row>
    <row r="1501">
      <c r="A1501" s="26" t="n"/>
      <c r="B1501" s="26" t="n"/>
      <c r="C1501" s="34" t="n"/>
      <c r="D1501" s="28" t="n"/>
      <c r="E1501" s="26" t="n"/>
      <c r="F1501" s="26" t="n"/>
      <c r="G1501" s="26" t="n"/>
      <c r="H1501" s="38" t="n"/>
      <c r="I1501" s="28" t="n"/>
      <c r="J1501" s="30">
        <f>IF(B1501="","",IFERROR(INDEX('Share classes'!$A$4:$A$203,MATCH(B1501,'Share classes'!$B$4:$B$203,0)),""))</f>
        <v/>
      </c>
      <c r="K1501" s="30">
        <f>IF(A1501="","",IFERROR(INDEX('Holders'!$B$4:$B$1003,MATCH(A1501,'Holders'!$A$4:$A$1003,0)),""))</f>
        <v/>
      </c>
      <c r="L1501" s="30">
        <f>IF(OR(A1501="",B1501="",D1501=""),"",IF(D1501=_xlfn.MAXIFS($D$4:$D$2503,$A$4:$A$2503,A1501,$B$4:$B$2503,B1501),"Yes","No"))</f>
        <v/>
      </c>
      <c r="M1501" s="30">
        <f>IF(B1501="","",IFERROR(INDEX('Share classes'!$F$4:$F$203,MATCH(B1501,'Share classes'!$B$4:$B$203,0)),""))</f>
        <v/>
      </c>
      <c r="N1501" s="30">
        <f>IF(A1501="","",IF(K1501="","Unknown holder ID",IF(J1501="","Unknown class code",IF(OR(C1501="",D1501=""),"Missing shares or date",IF(OR(C1501&lt;0,C1501&lt;&gt;INT(C1501)),"Shares must be a whole number",IF(COUNTIFS($A$4:$A$2503,A1501,$B$4:$B$2503,B1501,$D$4:$D$2503,D1501)&gt;1,"Duplicate row (same date)","OK"))))))</f>
        <v/>
      </c>
    </row>
    <row r="1502">
      <c r="A1502" s="26" t="n"/>
      <c r="B1502" s="26" t="n"/>
      <c r="C1502" s="34" t="n"/>
      <c r="D1502" s="28" t="n"/>
      <c r="E1502" s="26" t="n"/>
      <c r="F1502" s="26" t="n"/>
      <c r="G1502" s="26" t="n"/>
      <c r="H1502" s="38" t="n"/>
      <c r="I1502" s="28" t="n"/>
      <c r="J1502" s="30">
        <f>IF(B1502="","",IFERROR(INDEX('Share classes'!$A$4:$A$203,MATCH(B1502,'Share classes'!$B$4:$B$203,0)),""))</f>
        <v/>
      </c>
      <c r="K1502" s="30">
        <f>IF(A1502="","",IFERROR(INDEX('Holders'!$B$4:$B$1003,MATCH(A1502,'Holders'!$A$4:$A$1003,0)),""))</f>
        <v/>
      </c>
      <c r="L1502" s="30">
        <f>IF(OR(A1502="",B1502="",D1502=""),"",IF(D1502=_xlfn.MAXIFS($D$4:$D$2503,$A$4:$A$2503,A1502,$B$4:$B$2503,B1502),"Yes","No"))</f>
        <v/>
      </c>
      <c r="M1502" s="30">
        <f>IF(B1502="","",IFERROR(INDEX('Share classes'!$F$4:$F$203,MATCH(B1502,'Share classes'!$B$4:$B$203,0)),""))</f>
        <v/>
      </c>
      <c r="N1502" s="30">
        <f>IF(A1502="","",IF(K1502="","Unknown holder ID",IF(J1502="","Unknown class code",IF(OR(C1502="",D1502=""),"Missing shares or date",IF(OR(C1502&lt;0,C1502&lt;&gt;INT(C1502)),"Shares must be a whole number",IF(COUNTIFS($A$4:$A$2503,A1502,$B$4:$B$2503,B1502,$D$4:$D$2503,D1502)&gt;1,"Duplicate row (same date)","OK"))))))</f>
        <v/>
      </c>
    </row>
    <row r="1503">
      <c r="A1503" s="26" t="n"/>
      <c r="B1503" s="26" t="n"/>
      <c r="C1503" s="34" t="n"/>
      <c r="D1503" s="28" t="n"/>
      <c r="E1503" s="26" t="n"/>
      <c r="F1503" s="26" t="n"/>
      <c r="G1503" s="26" t="n"/>
      <c r="H1503" s="38" t="n"/>
      <c r="I1503" s="28" t="n"/>
      <c r="J1503" s="30">
        <f>IF(B1503="","",IFERROR(INDEX('Share classes'!$A$4:$A$203,MATCH(B1503,'Share classes'!$B$4:$B$203,0)),""))</f>
        <v/>
      </c>
      <c r="K1503" s="30">
        <f>IF(A1503="","",IFERROR(INDEX('Holders'!$B$4:$B$1003,MATCH(A1503,'Holders'!$A$4:$A$1003,0)),""))</f>
        <v/>
      </c>
      <c r="L1503" s="30">
        <f>IF(OR(A1503="",B1503="",D1503=""),"",IF(D1503=_xlfn.MAXIFS($D$4:$D$2503,$A$4:$A$2503,A1503,$B$4:$B$2503,B1503),"Yes","No"))</f>
        <v/>
      </c>
      <c r="M1503" s="30">
        <f>IF(B1503="","",IFERROR(INDEX('Share classes'!$F$4:$F$203,MATCH(B1503,'Share classes'!$B$4:$B$203,0)),""))</f>
        <v/>
      </c>
      <c r="N1503" s="30">
        <f>IF(A1503="","",IF(K1503="","Unknown holder ID",IF(J1503="","Unknown class code",IF(OR(C1503="",D1503=""),"Missing shares or date",IF(OR(C1503&lt;0,C1503&lt;&gt;INT(C1503)),"Shares must be a whole number",IF(COUNTIFS($A$4:$A$2503,A1503,$B$4:$B$2503,B1503,$D$4:$D$2503,D1503)&gt;1,"Duplicate row (same date)","OK"))))))</f>
        <v/>
      </c>
    </row>
    <row r="1504">
      <c r="A1504" s="26" t="n"/>
      <c r="B1504" s="26" t="n"/>
      <c r="C1504" s="34" t="n"/>
      <c r="D1504" s="28" t="n"/>
      <c r="E1504" s="26" t="n"/>
      <c r="F1504" s="26" t="n"/>
      <c r="G1504" s="26" t="n"/>
      <c r="H1504" s="38" t="n"/>
      <c r="I1504" s="28" t="n"/>
      <c r="J1504" s="30">
        <f>IF(B1504="","",IFERROR(INDEX('Share classes'!$A$4:$A$203,MATCH(B1504,'Share classes'!$B$4:$B$203,0)),""))</f>
        <v/>
      </c>
      <c r="K1504" s="30">
        <f>IF(A1504="","",IFERROR(INDEX('Holders'!$B$4:$B$1003,MATCH(A1504,'Holders'!$A$4:$A$1003,0)),""))</f>
        <v/>
      </c>
      <c r="L1504" s="30">
        <f>IF(OR(A1504="",B1504="",D1504=""),"",IF(D1504=_xlfn.MAXIFS($D$4:$D$2503,$A$4:$A$2503,A1504,$B$4:$B$2503,B1504),"Yes","No"))</f>
        <v/>
      </c>
      <c r="M1504" s="30">
        <f>IF(B1504="","",IFERROR(INDEX('Share classes'!$F$4:$F$203,MATCH(B1504,'Share classes'!$B$4:$B$203,0)),""))</f>
        <v/>
      </c>
      <c r="N1504" s="30">
        <f>IF(A1504="","",IF(K1504="","Unknown holder ID",IF(J1504="","Unknown class code",IF(OR(C1504="",D1504=""),"Missing shares or date",IF(OR(C1504&lt;0,C1504&lt;&gt;INT(C1504)),"Shares must be a whole number",IF(COUNTIFS($A$4:$A$2503,A1504,$B$4:$B$2503,B1504,$D$4:$D$2503,D1504)&gt;1,"Duplicate row (same date)","OK"))))))</f>
        <v/>
      </c>
    </row>
    <row r="1505">
      <c r="A1505" s="26" t="n"/>
      <c r="B1505" s="26" t="n"/>
      <c r="C1505" s="34" t="n"/>
      <c r="D1505" s="28" t="n"/>
      <c r="E1505" s="26" t="n"/>
      <c r="F1505" s="26" t="n"/>
      <c r="G1505" s="26" t="n"/>
      <c r="H1505" s="38" t="n"/>
      <c r="I1505" s="28" t="n"/>
      <c r="J1505" s="30">
        <f>IF(B1505="","",IFERROR(INDEX('Share classes'!$A$4:$A$203,MATCH(B1505,'Share classes'!$B$4:$B$203,0)),""))</f>
        <v/>
      </c>
      <c r="K1505" s="30">
        <f>IF(A1505="","",IFERROR(INDEX('Holders'!$B$4:$B$1003,MATCH(A1505,'Holders'!$A$4:$A$1003,0)),""))</f>
        <v/>
      </c>
      <c r="L1505" s="30">
        <f>IF(OR(A1505="",B1505="",D1505=""),"",IF(D1505=_xlfn.MAXIFS($D$4:$D$2503,$A$4:$A$2503,A1505,$B$4:$B$2503,B1505),"Yes","No"))</f>
        <v/>
      </c>
      <c r="M1505" s="30">
        <f>IF(B1505="","",IFERROR(INDEX('Share classes'!$F$4:$F$203,MATCH(B1505,'Share classes'!$B$4:$B$203,0)),""))</f>
        <v/>
      </c>
      <c r="N1505" s="30">
        <f>IF(A1505="","",IF(K1505="","Unknown holder ID",IF(J1505="","Unknown class code",IF(OR(C1505="",D1505=""),"Missing shares or date",IF(OR(C1505&lt;0,C1505&lt;&gt;INT(C1505)),"Shares must be a whole number",IF(COUNTIFS($A$4:$A$2503,A1505,$B$4:$B$2503,B1505,$D$4:$D$2503,D1505)&gt;1,"Duplicate row (same date)","OK"))))))</f>
        <v/>
      </c>
    </row>
    <row r="1506">
      <c r="A1506" s="26" t="n"/>
      <c r="B1506" s="26" t="n"/>
      <c r="C1506" s="34" t="n"/>
      <c r="D1506" s="28" t="n"/>
      <c r="E1506" s="26" t="n"/>
      <c r="F1506" s="26" t="n"/>
      <c r="G1506" s="26" t="n"/>
      <c r="H1506" s="38" t="n"/>
      <c r="I1506" s="28" t="n"/>
      <c r="J1506" s="30">
        <f>IF(B1506="","",IFERROR(INDEX('Share classes'!$A$4:$A$203,MATCH(B1506,'Share classes'!$B$4:$B$203,0)),""))</f>
        <v/>
      </c>
      <c r="K1506" s="30">
        <f>IF(A1506="","",IFERROR(INDEX('Holders'!$B$4:$B$1003,MATCH(A1506,'Holders'!$A$4:$A$1003,0)),""))</f>
        <v/>
      </c>
      <c r="L1506" s="30">
        <f>IF(OR(A1506="",B1506="",D1506=""),"",IF(D1506=_xlfn.MAXIFS($D$4:$D$2503,$A$4:$A$2503,A1506,$B$4:$B$2503,B1506),"Yes","No"))</f>
        <v/>
      </c>
      <c r="M1506" s="30">
        <f>IF(B1506="","",IFERROR(INDEX('Share classes'!$F$4:$F$203,MATCH(B1506,'Share classes'!$B$4:$B$203,0)),""))</f>
        <v/>
      </c>
      <c r="N1506" s="30">
        <f>IF(A1506="","",IF(K1506="","Unknown holder ID",IF(J1506="","Unknown class code",IF(OR(C1506="",D1506=""),"Missing shares or date",IF(OR(C1506&lt;0,C1506&lt;&gt;INT(C1506)),"Shares must be a whole number",IF(COUNTIFS($A$4:$A$2503,A1506,$B$4:$B$2503,B1506,$D$4:$D$2503,D1506)&gt;1,"Duplicate row (same date)","OK"))))))</f>
        <v/>
      </c>
    </row>
    <row r="1507">
      <c r="A1507" s="26" t="n"/>
      <c r="B1507" s="26" t="n"/>
      <c r="C1507" s="34" t="n"/>
      <c r="D1507" s="28" t="n"/>
      <c r="E1507" s="26" t="n"/>
      <c r="F1507" s="26" t="n"/>
      <c r="G1507" s="26" t="n"/>
      <c r="H1507" s="38" t="n"/>
      <c r="I1507" s="28" t="n"/>
      <c r="J1507" s="30">
        <f>IF(B1507="","",IFERROR(INDEX('Share classes'!$A$4:$A$203,MATCH(B1507,'Share classes'!$B$4:$B$203,0)),""))</f>
        <v/>
      </c>
      <c r="K1507" s="30">
        <f>IF(A1507="","",IFERROR(INDEX('Holders'!$B$4:$B$1003,MATCH(A1507,'Holders'!$A$4:$A$1003,0)),""))</f>
        <v/>
      </c>
      <c r="L1507" s="30">
        <f>IF(OR(A1507="",B1507="",D1507=""),"",IF(D1507=_xlfn.MAXIFS($D$4:$D$2503,$A$4:$A$2503,A1507,$B$4:$B$2503,B1507),"Yes","No"))</f>
        <v/>
      </c>
      <c r="M1507" s="30">
        <f>IF(B1507="","",IFERROR(INDEX('Share classes'!$F$4:$F$203,MATCH(B1507,'Share classes'!$B$4:$B$203,0)),""))</f>
        <v/>
      </c>
      <c r="N1507" s="30">
        <f>IF(A1507="","",IF(K1507="","Unknown holder ID",IF(J1507="","Unknown class code",IF(OR(C1507="",D1507=""),"Missing shares or date",IF(OR(C1507&lt;0,C1507&lt;&gt;INT(C1507)),"Shares must be a whole number",IF(COUNTIFS($A$4:$A$2503,A1507,$B$4:$B$2503,B1507,$D$4:$D$2503,D1507)&gt;1,"Duplicate row (same date)","OK"))))))</f>
        <v/>
      </c>
    </row>
    <row r="1508">
      <c r="A1508" s="26" t="n"/>
      <c r="B1508" s="26" t="n"/>
      <c r="C1508" s="34" t="n"/>
      <c r="D1508" s="28" t="n"/>
      <c r="E1508" s="26" t="n"/>
      <c r="F1508" s="26" t="n"/>
      <c r="G1508" s="26" t="n"/>
      <c r="H1508" s="38" t="n"/>
      <c r="I1508" s="28" t="n"/>
      <c r="J1508" s="30">
        <f>IF(B1508="","",IFERROR(INDEX('Share classes'!$A$4:$A$203,MATCH(B1508,'Share classes'!$B$4:$B$203,0)),""))</f>
        <v/>
      </c>
      <c r="K1508" s="30">
        <f>IF(A1508="","",IFERROR(INDEX('Holders'!$B$4:$B$1003,MATCH(A1508,'Holders'!$A$4:$A$1003,0)),""))</f>
        <v/>
      </c>
      <c r="L1508" s="30">
        <f>IF(OR(A1508="",B1508="",D1508=""),"",IF(D1508=_xlfn.MAXIFS($D$4:$D$2503,$A$4:$A$2503,A1508,$B$4:$B$2503,B1508),"Yes","No"))</f>
        <v/>
      </c>
      <c r="M1508" s="30">
        <f>IF(B1508="","",IFERROR(INDEX('Share classes'!$F$4:$F$203,MATCH(B1508,'Share classes'!$B$4:$B$203,0)),""))</f>
        <v/>
      </c>
      <c r="N1508" s="30">
        <f>IF(A1508="","",IF(K1508="","Unknown holder ID",IF(J1508="","Unknown class code",IF(OR(C1508="",D1508=""),"Missing shares or date",IF(OR(C1508&lt;0,C1508&lt;&gt;INT(C1508)),"Shares must be a whole number",IF(COUNTIFS($A$4:$A$2503,A1508,$B$4:$B$2503,B1508,$D$4:$D$2503,D1508)&gt;1,"Duplicate row (same date)","OK"))))))</f>
        <v/>
      </c>
    </row>
    <row r="1509">
      <c r="A1509" s="26" t="n"/>
      <c r="B1509" s="26" t="n"/>
      <c r="C1509" s="34" t="n"/>
      <c r="D1509" s="28" t="n"/>
      <c r="E1509" s="26" t="n"/>
      <c r="F1509" s="26" t="n"/>
      <c r="G1509" s="26" t="n"/>
      <c r="H1509" s="38" t="n"/>
      <c r="I1509" s="28" t="n"/>
      <c r="J1509" s="30">
        <f>IF(B1509="","",IFERROR(INDEX('Share classes'!$A$4:$A$203,MATCH(B1509,'Share classes'!$B$4:$B$203,0)),""))</f>
        <v/>
      </c>
      <c r="K1509" s="30">
        <f>IF(A1509="","",IFERROR(INDEX('Holders'!$B$4:$B$1003,MATCH(A1509,'Holders'!$A$4:$A$1003,0)),""))</f>
        <v/>
      </c>
      <c r="L1509" s="30">
        <f>IF(OR(A1509="",B1509="",D1509=""),"",IF(D1509=_xlfn.MAXIFS($D$4:$D$2503,$A$4:$A$2503,A1509,$B$4:$B$2503,B1509),"Yes","No"))</f>
        <v/>
      </c>
      <c r="M1509" s="30">
        <f>IF(B1509="","",IFERROR(INDEX('Share classes'!$F$4:$F$203,MATCH(B1509,'Share classes'!$B$4:$B$203,0)),""))</f>
        <v/>
      </c>
      <c r="N1509" s="30">
        <f>IF(A1509="","",IF(K1509="","Unknown holder ID",IF(J1509="","Unknown class code",IF(OR(C1509="",D1509=""),"Missing shares or date",IF(OR(C1509&lt;0,C1509&lt;&gt;INT(C1509)),"Shares must be a whole number",IF(COUNTIFS($A$4:$A$2503,A1509,$B$4:$B$2503,B1509,$D$4:$D$2503,D1509)&gt;1,"Duplicate row (same date)","OK"))))))</f>
        <v/>
      </c>
    </row>
    <row r="1510">
      <c r="A1510" s="26" t="n"/>
      <c r="B1510" s="26" t="n"/>
      <c r="C1510" s="34" t="n"/>
      <c r="D1510" s="28" t="n"/>
      <c r="E1510" s="26" t="n"/>
      <c r="F1510" s="26" t="n"/>
      <c r="G1510" s="26" t="n"/>
      <c r="H1510" s="38" t="n"/>
      <c r="I1510" s="28" t="n"/>
      <c r="J1510" s="30">
        <f>IF(B1510="","",IFERROR(INDEX('Share classes'!$A$4:$A$203,MATCH(B1510,'Share classes'!$B$4:$B$203,0)),""))</f>
        <v/>
      </c>
      <c r="K1510" s="30">
        <f>IF(A1510="","",IFERROR(INDEX('Holders'!$B$4:$B$1003,MATCH(A1510,'Holders'!$A$4:$A$1003,0)),""))</f>
        <v/>
      </c>
      <c r="L1510" s="30">
        <f>IF(OR(A1510="",B1510="",D1510=""),"",IF(D1510=_xlfn.MAXIFS($D$4:$D$2503,$A$4:$A$2503,A1510,$B$4:$B$2503,B1510),"Yes","No"))</f>
        <v/>
      </c>
      <c r="M1510" s="30">
        <f>IF(B1510="","",IFERROR(INDEX('Share classes'!$F$4:$F$203,MATCH(B1510,'Share classes'!$B$4:$B$203,0)),""))</f>
        <v/>
      </c>
      <c r="N1510" s="30">
        <f>IF(A1510="","",IF(K1510="","Unknown holder ID",IF(J1510="","Unknown class code",IF(OR(C1510="",D1510=""),"Missing shares or date",IF(OR(C1510&lt;0,C1510&lt;&gt;INT(C1510)),"Shares must be a whole number",IF(COUNTIFS($A$4:$A$2503,A1510,$B$4:$B$2503,B1510,$D$4:$D$2503,D1510)&gt;1,"Duplicate row (same date)","OK"))))))</f>
        <v/>
      </c>
    </row>
    <row r="1511">
      <c r="A1511" s="26" t="n"/>
      <c r="B1511" s="26" t="n"/>
      <c r="C1511" s="34" t="n"/>
      <c r="D1511" s="28" t="n"/>
      <c r="E1511" s="26" t="n"/>
      <c r="F1511" s="26" t="n"/>
      <c r="G1511" s="26" t="n"/>
      <c r="H1511" s="38" t="n"/>
      <c r="I1511" s="28" t="n"/>
      <c r="J1511" s="30">
        <f>IF(B1511="","",IFERROR(INDEX('Share classes'!$A$4:$A$203,MATCH(B1511,'Share classes'!$B$4:$B$203,0)),""))</f>
        <v/>
      </c>
      <c r="K1511" s="30">
        <f>IF(A1511="","",IFERROR(INDEX('Holders'!$B$4:$B$1003,MATCH(A1511,'Holders'!$A$4:$A$1003,0)),""))</f>
        <v/>
      </c>
      <c r="L1511" s="30">
        <f>IF(OR(A1511="",B1511="",D1511=""),"",IF(D1511=_xlfn.MAXIFS($D$4:$D$2503,$A$4:$A$2503,A1511,$B$4:$B$2503,B1511),"Yes","No"))</f>
        <v/>
      </c>
      <c r="M1511" s="30">
        <f>IF(B1511="","",IFERROR(INDEX('Share classes'!$F$4:$F$203,MATCH(B1511,'Share classes'!$B$4:$B$203,0)),""))</f>
        <v/>
      </c>
      <c r="N1511" s="30">
        <f>IF(A1511="","",IF(K1511="","Unknown holder ID",IF(J1511="","Unknown class code",IF(OR(C1511="",D1511=""),"Missing shares or date",IF(OR(C1511&lt;0,C1511&lt;&gt;INT(C1511)),"Shares must be a whole number",IF(COUNTIFS($A$4:$A$2503,A1511,$B$4:$B$2503,B1511,$D$4:$D$2503,D1511)&gt;1,"Duplicate row (same date)","OK"))))))</f>
        <v/>
      </c>
    </row>
    <row r="1512">
      <c r="A1512" s="26" t="n"/>
      <c r="B1512" s="26" t="n"/>
      <c r="C1512" s="34" t="n"/>
      <c r="D1512" s="28" t="n"/>
      <c r="E1512" s="26" t="n"/>
      <c r="F1512" s="26" t="n"/>
      <c r="G1512" s="26" t="n"/>
      <c r="H1512" s="38" t="n"/>
      <c r="I1512" s="28" t="n"/>
      <c r="J1512" s="30">
        <f>IF(B1512="","",IFERROR(INDEX('Share classes'!$A$4:$A$203,MATCH(B1512,'Share classes'!$B$4:$B$203,0)),""))</f>
        <v/>
      </c>
      <c r="K1512" s="30">
        <f>IF(A1512="","",IFERROR(INDEX('Holders'!$B$4:$B$1003,MATCH(A1512,'Holders'!$A$4:$A$1003,0)),""))</f>
        <v/>
      </c>
      <c r="L1512" s="30">
        <f>IF(OR(A1512="",B1512="",D1512=""),"",IF(D1512=_xlfn.MAXIFS($D$4:$D$2503,$A$4:$A$2503,A1512,$B$4:$B$2503,B1512),"Yes","No"))</f>
        <v/>
      </c>
      <c r="M1512" s="30">
        <f>IF(B1512="","",IFERROR(INDEX('Share classes'!$F$4:$F$203,MATCH(B1512,'Share classes'!$B$4:$B$203,0)),""))</f>
        <v/>
      </c>
      <c r="N1512" s="30">
        <f>IF(A1512="","",IF(K1512="","Unknown holder ID",IF(J1512="","Unknown class code",IF(OR(C1512="",D1512=""),"Missing shares or date",IF(OR(C1512&lt;0,C1512&lt;&gt;INT(C1512)),"Shares must be a whole number",IF(COUNTIFS($A$4:$A$2503,A1512,$B$4:$B$2503,B1512,$D$4:$D$2503,D1512)&gt;1,"Duplicate row (same date)","OK"))))))</f>
        <v/>
      </c>
    </row>
    <row r="1513">
      <c r="A1513" s="26" t="n"/>
      <c r="B1513" s="26" t="n"/>
      <c r="C1513" s="34" t="n"/>
      <c r="D1513" s="28" t="n"/>
      <c r="E1513" s="26" t="n"/>
      <c r="F1513" s="26" t="n"/>
      <c r="G1513" s="26" t="n"/>
      <c r="H1513" s="38" t="n"/>
      <c r="I1513" s="28" t="n"/>
      <c r="J1513" s="30">
        <f>IF(B1513="","",IFERROR(INDEX('Share classes'!$A$4:$A$203,MATCH(B1513,'Share classes'!$B$4:$B$203,0)),""))</f>
        <v/>
      </c>
      <c r="K1513" s="30">
        <f>IF(A1513="","",IFERROR(INDEX('Holders'!$B$4:$B$1003,MATCH(A1513,'Holders'!$A$4:$A$1003,0)),""))</f>
        <v/>
      </c>
      <c r="L1513" s="30">
        <f>IF(OR(A1513="",B1513="",D1513=""),"",IF(D1513=_xlfn.MAXIFS($D$4:$D$2503,$A$4:$A$2503,A1513,$B$4:$B$2503,B1513),"Yes","No"))</f>
        <v/>
      </c>
      <c r="M1513" s="30">
        <f>IF(B1513="","",IFERROR(INDEX('Share classes'!$F$4:$F$203,MATCH(B1513,'Share classes'!$B$4:$B$203,0)),""))</f>
        <v/>
      </c>
      <c r="N1513" s="30">
        <f>IF(A1513="","",IF(K1513="","Unknown holder ID",IF(J1513="","Unknown class code",IF(OR(C1513="",D1513=""),"Missing shares or date",IF(OR(C1513&lt;0,C1513&lt;&gt;INT(C1513)),"Shares must be a whole number",IF(COUNTIFS($A$4:$A$2503,A1513,$B$4:$B$2503,B1513,$D$4:$D$2503,D1513)&gt;1,"Duplicate row (same date)","OK"))))))</f>
        <v/>
      </c>
    </row>
    <row r="1514">
      <c r="A1514" s="26" t="n"/>
      <c r="B1514" s="26" t="n"/>
      <c r="C1514" s="34" t="n"/>
      <c r="D1514" s="28" t="n"/>
      <c r="E1514" s="26" t="n"/>
      <c r="F1514" s="26" t="n"/>
      <c r="G1514" s="26" t="n"/>
      <c r="H1514" s="38" t="n"/>
      <c r="I1514" s="28" t="n"/>
      <c r="J1514" s="30">
        <f>IF(B1514="","",IFERROR(INDEX('Share classes'!$A$4:$A$203,MATCH(B1514,'Share classes'!$B$4:$B$203,0)),""))</f>
        <v/>
      </c>
      <c r="K1514" s="30">
        <f>IF(A1514="","",IFERROR(INDEX('Holders'!$B$4:$B$1003,MATCH(A1514,'Holders'!$A$4:$A$1003,0)),""))</f>
        <v/>
      </c>
      <c r="L1514" s="30">
        <f>IF(OR(A1514="",B1514="",D1514=""),"",IF(D1514=_xlfn.MAXIFS($D$4:$D$2503,$A$4:$A$2503,A1514,$B$4:$B$2503,B1514),"Yes","No"))</f>
        <v/>
      </c>
      <c r="M1514" s="30">
        <f>IF(B1514="","",IFERROR(INDEX('Share classes'!$F$4:$F$203,MATCH(B1514,'Share classes'!$B$4:$B$203,0)),""))</f>
        <v/>
      </c>
      <c r="N1514" s="30">
        <f>IF(A1514="","",IF(K1514="","Unknown holder ID",IF(J1514="","Unknown class code",IF(OR(C1514="",D1514=""),"Missing shares or date",IF(OR(C1514&lt;0,C1514&lt;&gt;INT(C1514)),"Shares must be a whole number",IF(COUNTIFS($A$4:$A$2503,A1514,$B$4:$B$2503,B1514,$D$4:$D$2503,D1514)&gt;1,"Duplicate row (same date)","OK"))))))</f>
        <v/>
      </c>
    </row>
    <row r="1515">
      <c r="A1515" s="26" t="n"/>
      <c r="B1515" s="26" t="n"/>
      <c r="C1515" s="34" t="n"/>
      <c r="D1515" s="28" t="n"/>
      <c r="E1515" s="26" t="n"/>
      <c r="F1515" s="26" t="n"/>
      <c r="G1515" s="26" t="n"/>
      <c r="H1515" s="38" t="n"/>
      <c r="I1515" s="28" t="n"/>
      <c r="J1515" s="30">
        <f>IF(B1515="","",IFERROR(INDEX('Share classes'!$A$4:$A$203,MATCH(B1515,'Share classes'!$B$4:$B$203,0)),""))</f>
        <v/>
      </c>
      <c r="K1515" s="30">
        <f>IF(A1515="","",IFERROR(INDEX('Holders'!$B$4:$B$1003,MATCH(A1515,'Holders'!$A$4:$A$1003,0)),""))</f>
        <v/>
      </c>
      <c r="L1515" s="30">
        <f>IF(OR(A1515="",B1515="",D1515=""),"",IF(D1515=_xlfn.MAXIFS($D$4:$D$2503,$A$4:$A$2503,A1515,$B$4:$B$2503,B1515),"Yes","No"))</f>
        <v/>
      </c>
      <c r="M1515" s="30">
        <f>IF(B1515="","",IFERROR(INDEX('Share classes'!$F$4:$F$203,MATCH(B1515,'Share classes'!$B$4:$B$203,0)),""))</f>
        <v/>
      </c>
      <c r="N1515" s="30">
        <f>IF(A1515="","",IF(K1515="","Unknown holder ID",IF(J1515="","Unknown class code",IF(OR(C1515="",D1515=""),"Missing shares or date",IF(OR(C1515&lt;0,C1515&lt;&gt;INT(C1515)),"Shares must be a whole number",IF(COUNTIFS($A$4:$A$2503,A1515,$B$4:$B$2503,B1515,$D$4:$D$2503,D1515)&gt;1,"Duplicate row (same date)","OK"))))))</f>
        <v/>
      </c>
    </row>
    <row r="1516">
      <c r="A1516" s="26" t="n"/>
      <c r="B1516" s="26" t="n"/>
      <c r="C1516" s="34" t="n"/>
      <c r="D1516" s="28" t="n"/>
      <c r="E1516" s="26" t="n"/>
      <c r="F1516" s="26" t="n"/>
      <c r="G1516" s="26" t="n"/>
      <c r="H1516" s="38" t="n"/>
      <c r="I1516" s="28" t="n"/>
      <c r="J1516" s="30">
        <f>IF(B1516="","",IFERROR(INDEX('Share classes'!$A$4:$A$203,MATCH(B1516,'Share classes'!$B$4:$B$203,0)),""))</f>
        <v/>
      </c>
      <c r="K1516" s="30">
        <f>IF(A1516="","",IFERROR(INDEX('Holders'!$B$4:$B$1003,MATCH(A1516,'Holders'!$A$4:$A$1003,0)),""))</f>
        <v/>
      </c>
      <c r="L1516" s="30">
        <f>IF(OR(A1516="",B1516="",D1516=""),"",IF(D1516=_xlfn.MAXIFS($D$4:$D$2503,$A$4:$A$2503,A1516,$B$4:$B$2503,B1516),"Yes","No"))</f>
        <v/>
      </c>
      <c r="M1516" s="30">
        <f>IF(B1516="","",IFERROR(INDEX('Share classes'!$F$4:$F$203,MATCH(B1516,'Share classes'!$B$4:$B$203,0)),""))</f>
        <v/>
      </c>
      <c r="N1516" s="30">
        <f>IF(A1516="","",IF(K1516="","Unknown holder ID",IF(J1516="","Unknown class code",IF(OR(C1516="",D1516=""),"Missing shares or date",IF(OR(C1516&lt;0,C1516&lt;&gt;INT(C1516)),"Shares must be a whole number",IF(COUNTIFS($A$4:$A$2503,A1516,$B$4:$B$2503,B1516,$D$4:$D$2503,D1516)&gt;1,"Duplicate row (same date)","OK"))))))</f>
        <v/>
      </c>
    </row>
    <row r="1517">
      <c r="A1517" s="26" t="n"/>
      <c r="B1517" s="26" t="n"/>
      <c r="C1517" s="34" t="n"/>
      <c r="D1517" s="28" t="n"/>
      <c r="E1517" s="26" t="n"/>
      <c r="F1517" s="26" t="n"/>
      <c r="G1517" s="26" t="n"/>
      <c r="H1517" s="38" t="n"/>
      <c r="I1517" s="28" t="n"/>
      <c r="J1517" s="30">
        <f>IF(B1517="","",IFERROR(INDEX('Share classes'!$A$4:$A$203,MATCH(B1517,'Share classes'!$B$4:$B$203,0)),""))</f>
        <v/>
      </c>
      <c r="K1517" s="30">
        <f>IF(A1517="","",IFERROR(INDEX('Holders'!$B$4:$B$1003,MATCH(A1517,'Holders'!$A$4:$A$1003,0)),""))</f>
        <v/>
      </c>
      <c r="L1517" s="30">
        <f>IF(OR(A1517="",B1517="",D1517=""),"",IF(D1517=_xlfn.MAXIFS($D$4:$D$2503,$A$4:$A$2503,A1517,$B$4:$B$2503,B1517),"Yes","No"))</f>
        <v/>
      </c>
      <c r="M1517" s="30">
        <f>IF(B1517="","",IFERROR(INDEX('Share classes'!$F$4:$F$203,MATCH(B1517,'Share classes'!$B$4:$B$203,0)),""))</f>
        <v/>
      </c>
      <c r="N1517" s="30">
        <f>IF(A1517="","",IF(K1517="","Unknown holder ID",IF(J1517="","Unknown class code",IF(OR(C1517="",D1517=""),"Missing shares or date",IF(OR(C1517&lt;0,C1517&lt;&gt;INT(C1517)),"Shares must be a whole number",IF(COUNTIFS($A$4:$A$2503,A1517,$B$4:$B$2503,B1517,$D$4:$D$2503,D1517)&gt;1,"Duplicate row (same date)","OK"))))))</f>
        <v/>
      </c>
    </row>
    <row r="1518">
      <c r="A1518" s="26" t="n"/>
      <c r="B1518" s="26" t="n"/>
      <c r="C1518" s="34" t="n"/>
      <c r="D1518" s="28" t="n"/>
      <c r="E1518" s="26" t="n"/>
      <c r="F1518" s="26" t="n"/>
      <c r="G1518" s="26" t="n"/>
      <c r="H1518" s="38" t="n"/>
      <c r="I1518" s="28" t="n"/>
      <c r="J1518" s="30">
        <f>IF(B1518="","",IFERROR(INDEX('Share classes'!$A$4:$A$203,MATCH(B1518,'Share classes'!$B$4:$B$203,0)),""))</f>
        <v/>
      </c>
      <c r="K1518" s="30">
        <f>IF(A1518="","",IFERROR(INDEX('Holders'!$B$4:$B$1003,MATCH(A1518,'Holders'!$A$4:$A$1003,0)),""))</f>
        <v/>
      </c>
      <c r="L1518" s="30">
        <f>IF(OR(A1518="",B1518="",D1518=""),"",IF(D1518=_xlfn.MAXIFS($D$4:$D$2503,$A$4:$A$2503,A1518,$B$4:$B$2503,B1518),"Yes","No"))</f>
        <v/>
      </c>
      <c r="M1518" s="30">
        <f>IF(B1518="","",IFERROR(INDEX('Share classes'!$F$4:$F$203,MATCH(B1518,'Share classes'!$B$4:$B$203,0)),""))</f>
        <v/>
      </c>
      <c r="N1518" s="30">
        <f>IF(A1518="","",IF(K1518="","Unknown holder ID",IF(J1518="","Unknown class code",IF(OR(C1518="",D1518=""),"Missing shares or date",IF(OR(C1518&lt;0,C1518&lt;&gt;INT(C1518)),"Shares must be a whole number",IF(COUNTIFS($A$4:$A$2503,A1518,$B$4:$B$2503,B1518,$D$4:$D$2503,D1518)&gt;1,"Duplicate row (same date)","OK"))))))</f>
        <v/>
      </c>
    </row>
    <row r="1519">
      <c r="A1519" s="26" t="n"/>
      <c r="B1519" s="26" t="n"/>
      <c r="C1519" s="34" t="n"/>
      <c r="D1519" s="28" t="n"/>
      <c r="E1519" s="26" t="n"/>
      <c r="F1519" s="26" t="n"/>
      <c r="G1519" s="26" t="n"/>
      <c r="H1519" s="38" t="n"/>
      <c r="I1519" s="28" t="n"/>
      <c r="J1519" s="30">
        <f>IF(B1519="","",IFERROR(INDEX('Share classes'!$A$4:$A$203,MATCH(B1519,'Share classes'!$B$4:$B$203,0)),""))</f>
        <v/>
      </c>
      <c r="K1519" s="30">
        <f>IF(A1519="","",IFERROR(INDEX('Holders'!$B$4:$B$1003,MATCH(A1519,'Holders'!$A$4:$A$1003,0)),""))</f>
        <v/>
      </c>
      <c r="L1519" s="30">
        <f>IF(OR(A1519="",B1519="",D1519=""),"",IF(D1519=_xlfn.MAXIFS($D$4:$D$2503,$A$4:$A$2503,A1519,$B$4:$B$2503,B1519),"Yes","No"))</f>
        <v/>
      </c>
      <c r="M1519" s="30">
        <f>IF(B1519="","",IFERROR(INDEX('Share classes'!$F$4:$F$203,MATCH(B1519,'Share classes'!$B$4:$B$203,0)),""))</f>
        <v/>
      </c>
      <c r="N1519" s="30">
        <f>IF(A1519="","",IF(K1519="","Unknown holder ID",IF(J1519="","Unknown class code",IF(OR(C1519="",D1519=""),"Missing shares or date",IF(OR(C1519&lt;0,C1519&lt;&gt;INT(C1519)),"Shares must be a whole number",IF(COUNTIFS($A$4:$A$2503,A1519,$B$4:$B$2503,B1519,$D$4:$D$2503,D1519)&gt;1,"Duplicate row (same date)","OK"))))))</f>
        <v/>
      </c>
    </row>
    <row r="1520">
      <c r="A1520" s="26" t="n"/>
      <c r="B1520" s="26" t="n"/>
      <c r="C1520" s="34" t="n"/>
      <c r="D1520" s="28" t="n"/>
      <c r="E1520" s="26" t="n"/>
      <c r="F1520" s="26" t="n"/>
      <c r="G1520" s="26" t="n"/>
      <c r="H1520" s="38" t="n"/>
      <c r="I1520" s="28" t="n"/>
      <c r="J1520" s="30">
        <f>IF(B1520="","",IFERROR(INDEX('Share classes'!$A$4:$A$203,MATCH(B1520,'Share classes'!$B$4:$B$203,0)),""))</f>
        <v/>
      </c>
      <c r="K1520" s="30">
        <f>IF(A1520="","",IFERROR(INDEX('Holders'!$B$4:$B$1003,MATCH(A1520,'Holders'!$A$4:$A$1003,0)),""))</f>
        <v/>
      </c>
      <c r="L1520" s="30">
        <f>IF(OR(A1520="",B1520="",D1520=""),"",IF(D1520=_xlfn.MAXIFS($D$4:$D$2503,$A$4:$A$2503,A1520,$B$4:$B$2503,B1520),"Yes","No"))</f>
        <v/>
      </c>
      <c r="M1520" s="30">
        <f>IF(B1520="","",IFERROR(INDEX('Share classes'!$F$4:$F$203,MATCH(B1520,'Share classes'!$B$4:$B$203,0)),""))</f>
        <v/>
      </c>
      <c r="N1520" s="30">
        <f>IF(A1520="","",IF(K1520="","Unknown holder ID",IF(J1520="","Unknown class code",IF(OR(C1520="",D1520=""),"Missing shares or date",IF(OR(C1520&lt;0,C1520&lt;&gt;INT(C1520)),"Shares must be a whole number",IF(COUNTIFS($A$4:$A$2503,A1520,$B$4:$B$2503,B1520,$D$4:$D$2503,D1520)&gt;1,"Duplicate row (same date)","OK"))))))</f>
        <v/>
      </c>
    </row>
    <row r="1521">
      <c r="A1521" s="26" t="n"/>
      <c r="B1521" s="26" t="n"/>
      <c r="C1521" s="34" t="n"/>
      <c r="D1521" s="28" t="n"/>
      <c r="E1521" s="26" t="n"/>
      <c r="F1521" s="26" t="n"/>
      <c r="G1521" s="26" t="n"/>
      <c r="H1521" s="38" t="n"/>
      <c r="I1521" s="28" t="n"/>
      <c r="J1521" s="30">
        <f>IF(B1521="","",IFERROR(INDEX('Share classes'!$A$4:$A$203,MATCH(B1521,'Share classes'!$B$4:$B$203,0)),""))</f>
        <v/>
      </c>
      <c r="K1521" s="30">
        <f>IF(A1521="","",IFERROR(INDEX('Holders'!$B$4:$B$1003,MATCH(A1521,'Holders'!$A$4:$A$1003,0)),""))</f>
        <v/>
      </c>
      <c r="L1521" s="30">
        <f>IF(OR(A1521="",B1521="",D1521=""),"",IF(D1521=_xlfn.MAXIFS($D$4:$D$2503,$A$4:$A$2503,A1521,$B$4:$B$2503,B1521),"Yes","No"))</f>
        <v/>
      </c>
      <c r="M1521" s="30">
        <f>IF(B1521="","",IFERROR(INDEX('Share classes'!$F$4:$F$203,MATCH(B1521,'Share classes'!$B$4:$B$203,0)),""))</f>
        <v/>
      </c>
      <c r="N1521" s="30">
        <f>IF(A1521="","",IF(K1521="","Unknown holder ID",IF(J1521="","Unknown class code",IF(OR(C1521="",D1521=""),"Missing shares or date",IF(OR(C1521&lt;0,C1521&lt;&gt;INT(C1521)),"Shares must be a whole number",IF(COUNTIFS($A$4:$A$2503,A1521,$B$4:$B$2503,B1521,$D$4:$D$2503,D1521)&gt;1,"Duplicate row (same date)","OK"))))))</f>
        <v/>
      </c>
    </row>
    <row r="1522">
      <c r="A1522" s="26" t="n"/>
      <c r="B1522" s="26" t="n"/>
      <c r="C1522" s="34" t="n"/>
      <c r="D1522" s="28" t="n"/>
      <c r="E1522" s="26" t="n"/>
      <c r="F1522" s="26" t="n"/>
      <c r="G1522" s="26" t="n"/>
      <c r="H1522" s="38" t="n"/>
      <c r="I1522" s="28" t="n"/>
      <c r="J1522" s="30">
        <f>IF(B1522="","",IFERROR(INDEX('Share classes'!$A$4:$A$203,MATCH(B1522,'Share classes'!$B$4:$B$203,0)),""))</f>
        <v/>
      </c>
      <c r="K1522" s="30">
        <f>IF(A1522="","",IFERROR(INDEX('Holders'!$B$4:$B$1003,MATCH(A1522,'Holders'!$A$4:$A$1003,0)),""))</f>
        <v/>
      </c>
      <c r="L1522" s="30">
        <f>IF(OR(A1522="",B1522="",D1522=""),"",IF(D1522=_xlfn.MAXIFS($D$4:$D$2503,$A$4:$A$2503,A1522,$B$4:$B$2503,B1522),"Yes","No"))</f>
        <v/>
      </c>
      <c r="M1522" s="30">
        <f>IF(B1522="","",IFERROR(INDEX('Share classes'!$F$4:$F$203,MATCH(B1522,'Share classes'!$B$4:$B$203,0)),""))</f>
        <v/>
      </c>
      <c r="N1522" s="30">
        <f>IF(A1522="","",IF(K1522="","Unknown holder ID",IF(J1522="","Unknown class code",IF(OR(C1522="",D1522=""),"Missing shares or date",IF(OR(C1522&lt;0,C1522&lt;&gt;INT(C1522)),"Shares must be a whole number",IF(COUNTIFS($A$4:$A$2503,A1522,$B$4:$B$2503,B1522,$D$4:$D$2503,D1522)&gt;1,"Duplicate row (same date)","OK"))))))</f>
        <v/>
      </c>
    </row>
    <row r="1523">
      <c r="A1523" s="26" t="n"/>
      <c r="B1523" s="26" t="n"/>
      <c r="C1523" s="34" t="n"/>
      <c r="D1523" s="28" t="n"/>
      <c r="E1523" s="26" t="n"/>
      <c r="F1523" s="26" t="n"/>
      <c r="G1523" s="26" t="n"/>
      <c r="H1523" s="38" t="n"/>
      <c r="I1523" s="28" t="n"/>
      <c r="J1523" s="30">
        <f>IF(B1523="","",IFERROR(INDEX('Share classes'!$A$4:$A$203,MATCH(B1523,'Share classes'!$B$4:$B$203,0)),""))</f>
        <v/>
      </c>
      <c r="K1523" s="30">
        <f>IF(A1523="","",IFERROR(INDEX('Holders'!$B$4:$B$1003,MATCH(A1523,'Holders'!$A$4:$A$1003,0)),""))</f>
        <v/>
      </c>
      <c r="L1523" s="30">
        <f>IF(OR(A1523="",B1523="",D1523=""),"",IF(D1523=_xlfn.MAXIFS($D$4:$D$2503,$A$4:$A$2503,A1523,$B$4:$B$2503,B1523),"Yes","No"))</f>
        <v/>
      </c>
      <c r="M1523" s="30">
        <f>IF(B1523="","",IFERROR(INDEX('Share classes'!$F$4:$F$203,MATCH(B1523,'Share classes'!$B$4:$B$203,0)),""))</f>
        <v/>
      </c>
      <c r="N1523" s="30">
        <f>IF(A1523="","",IF(K1523="","Unknown holder ID",IF(J1523="","Unknown class code",IF(OR(C1523="",D1523=""),"Missing shares or date",IF(OR(C1523&lt;0,C1523&lt;&gt;INT(C1523)),"Shares must be a whole number",IF(COUNTIFS($A$4:$A$2503,A1523,$B$4:$B$2503,B1523,$D$4:$D$2503,D1523)&gt;1,"Duplicate row (same date)","OK"))))))</f>
        <v/>
      </c>
    </row>
    <row r="1524">
      <c r="A1524" s="26" t="n"/>
      <c r="B1524" s="26" t="n"/>
      <c r="C1524" s="34" t="n"/>
      <c r="D1524" s="28" t="n"/>
      <c r="E1524" s="26" t="n"/>
      <c r="F1524" s="26" t="n"/>
      <c r="G1524" s="26" t="n"/>
      <c r="H1524" s="38" t="n"/>
      <c r="I1524" s="28" t="n"/>
      <c r="J1524" s="30">
        <f>IF(B1524="","",IFERROR(INDEX('Share classes'!$A$4:$A$203,MATCH(B1524,'Share classes'!$B$4:$B$203,0)),""))</f>
        <v/>
      </c>
      <c r="K1524" s="30">
        <f>IF(A1524="","",IFERROR(INDEX('Holders'!$B$4:$B$1003,MATCH(A1524,'Holders'!$A$4:$A$1003,0)),""))</f>
        <v/>
      </c>
      <c r="L1524" s="30">
        <f>IF(OR(A1524="",B1524="",D1524=""),"",IF(D1524=_xlfn.MAXIFS($D$4:$D$2503,$A$4:$A$2503,A1524,$B$4:$B$2503,B1524),"Yes","No"))</f>
        <v/>
      </c>
      <c r="M1524" s="30">
        <f>IF(B1524="","",IFERROR(INDEX('Share classes'!$F$4:$F$203,MATCH(B1524,'Share classes'!$B$4:$B$203,0)),""))</f>
        <v/>
      </c>
      <c r="N1524" s="30">
        <f>IF(A1524="","",IF(K1524="","Unknown holder ID",IF(J1524="","Unknown class code",IF(OR(C1524="",D1524=""),"Missing shares or date",IF(OR(C1524&lt;0,C1524&lt;&gt;INT(C1524)),"Shares must be a whole number",IF(COUNTIFS($A$4:$A$2503,A1524,$B$4:$B$2503,B1524,$D$4:$D$2503,D1524)&gt;1,"Duplicate row (same date)","OK"))))))</f>
        <v/>
      </c>
    </row>
    <row r="1525">
      <c r="A1525" s="26" t="n"/>
      <c r="B1525" s="26" t="n"/>
      <c r="C1525" s="34" t="n"/>
      <c r="D1525" s="28" t="n"/>
      <c r="E1525" s="26" t="n"/>
      <c r="F1525" s="26" t="n"/>
      <c r="G1525" s="26" t="n"/>
      <c r="H1525" s="38" t="n"/>
      <c r="I1525" s="28" t="n"/>
      <c r="J1525" s="30">
        <f>IF(B1525="","",IFERROR(INDEX('Share classes'!$A$4:$A$203,MATCH(B1525,'Share classes'!$B$4:$B$203,0)),""))</f>
        <v/>
      </c>
      <c r="K1525" s="30">
        <f>IF(A1525="","",IFERROR(INDEX('Holders'!$B$4:$B$1003,MATCH(A1525,'Holders'!$A$4:$A$1003,0)),""))</f>
        <v/>
      </c>
      <c r="L1525" s="30">
        <f>IF(OR(A1525="",B1525="",D1525=""),"",IF(D1525=_xlfn.MAXIFS($D$4:$D$2503,$A$4:$A$2503,A1525,$B$4:$B$2503,B1525),"Yes","No"))</f>
        <v/>
      </c>
      <c r="M1525" s="30">
        <f>IF(B1525="","",IFERROR(INDEX('Share classes'!$F$4:$F$203,MATCH(B1525,'Share classes'!$B$4:$B$203,0)),""))</f>
        <v/>
      </c>
      <c r="N1525" s="30">
        <f>IF(A1525="","",IF(K1525="","Unknown holder ID",IF(J1525="","Unknown class code",IF(OR(C1525="",D1525=""),"Missing shares or date",IF(OR(C1525&lt;0,C1525&lt;&gt;INT(C1525)),"Shares must be a whole number",IF(COUNTIFS($A$4:$A$2503,A1525,$B$4:$B$2503,B1525,$D$4:$D$2503,D1525)&gt;1,"Duplicate row (same date)","OK"))))))</f>
        <v/>
      </c>
    </row>
    <row r="1526">
      <c r="A1526" s="26" t="n"/>
      <c r="B1526" s="26" t="n"/>
      <c r="C1526" s="34" t="n"/>
      <c r="D1526" s="28" t="n"/>
      <c r="E1526" s="26" t="n"/>
      <c r="F1526" s="26" t="n"/>
      <c r="G1526" s="26" t="n"/>
      <c r="H1526" s="38" t="n"/>
      <c r="I1526" s="28" t="n"/>
      <c r="J1526" s="30">
        <f>IF(B1526="","",IFERROR(INDEX('Share classes'!$A$4:$A$203,MATCH(B1526,'Share classes'!$B$4:$B$203,0)),""))</f>
        <v/>
      </c>
      <c r="K1526" s="30">
        <f>IF(A1526="","",IFERROR(INDEX('Holders'!$B$4:$B$1003,MATCH(A1526,'Holders'!$A$4:$A$1003,0)),""))</f>
        <v/>
      </c>
      <c r="L1526" s="30">
        <f>IF(OR(A1526="",B1526="",D1526=""),"",IF(D1526=_xlfn.MAXIFS($D$4:$D$2503,$A$4:$A$2503,A1526,$B$4:$B$2503,B1526),"Yes","No"))</f>
        <v/>
      </c>
      <c r="M1526" s="30">
        <f>IF(B1526="","",IFERROR(INDEX('Share classes'!$F$4:$F$203,MATCH(B1526,'Share classes'!$B$4:$B$203,0)),""))</f>
        <v/>
      </c>
      <c r="N1526" s="30">
        <f>IF(A1526="","",IF(K1526="","Unknown holder ID",IF(J1526="","Unknown class code",IF(OR(C1526="",D1526=""),"Missing shares or date",IF(OR(C1526&lt;0,C1526&lt;&gt;INT(C1526)),"Shares must be a whole number",IF(COUNTIFS($A$4:$A$2503,A1526,$B$4:$B$2503,B1526,$D$4:$D$2503,D1526)&gt;1,"Duplicate row (same date)","OK"))))))</f>
        <v/>
      </c>
    </row>
    <row r="1527">
      <c r="A1527" s="26" t="n"/>
      <c r="B1527" s="26" t="n"/>
      <c r="C1527" s="34" t="n"/>
      <c r="D1527" s="28" t="n"/>
      <c r="E1527" s="26" t="n"/>
      <c r="F1527" s="26" t="n"/>
      <c r="G1527" s="26" t="n"/>
      <c r="H1527" s="38" t="n"/>
      <c r="I1527" s="28" t="n"/>
      <c r="J1527" s="30">
        <f>IF(B1527="","",IFERROR(INDEX('Share classes'!$A$4:$A$203,MATCH(B1527,'Share classes'!$B$4:$B$203,0)),""))</f>
        <v/>
      </c>
      <c r="K1527" s="30">
        <f>IF(A1527="","",IFERROR(INDEX('Holders'!$B$4:$B$1003,MATCH(A1527,'Holders'!$A$4:$A$1003,0)),""))</f>
        <v/>
      </c>
      <c r="L1527" s="30">
        <f>IF(OR(A1527="",B1527="",D1527=""),"",IF(D1527=_xlfn.MAXIFS($D$4:$D$2503,$A$4:$A$2503,A1527,$B$4:$B$2503,B1527),"Yes","No"))</f>
        <v/>
      </c>
      <c r="M1527" s="30">
        <f>IF(B1527="","",IFERROR(INDEX('Share classes'!$F$4:$F$203,MATCH(B1527,'Share classes'!$B$4:$B$203,0)),""))</f>
        <v/>
      </c>
      <c r="N1527" s="30">
        <f>IF(A1527="","",IF(K1527="","Unknown holder ID",IF(J1527="","Unknown class code",IF(OR(C1527="",D1527=""),"Missing shares or date",IF(OR(C1527&lt;0,C1527&lt;&gt;INT(C1527)),"Shares must be a whole number",IF(COUNTIFS($A$4:$A$2503,A1527,$B$4:$B$2503,B1527,$D$4:$D$2503,D1527)&gt;1,"Duplicate row (same date)","OK"))))))</f>
        <v/>
      </c>
    </row>
    <row r="1528">
      <c r="A1528" s="26" t="n"/>
      <c r="B1528" s="26" t="n"/>
      <c r="C1528" s="34" t="n"/>
      <c r="D1528" s="28" t="n"/>
      <c r="E1528" s="26" t="n"/>
      <c r="F1528" s="26" t="n"/>
      <c r="G1528" s="26" t="n"/>
      <c r="H1528" s="38" t="n"/>
      <c r="I1528" s="28" t="n"/>
      <c r="J1528" s="30">
        <f>IF(B1528="","",IFERROR(INDEX('Share classes'!$A$4:$A$203,MATCH(B1528,'Share classes'!$B$4:$B$203,0)),""))</f>
        <v/>
      </c>
      <c r="K1528" s="30">
        <f>IF(A1528="","",IFERROR(INDEX('Holders'!$B$4:$B$1003,MATCH(A1528,'Holders'!$A$4:$A$1003,0)),""))</f>
        <v/>
      </c>
      <c r="L1528" s="30">
        <f>IF(OR(A1528="",B1528="",D1528=""),"",IF(D1528=_xlfn.MAXIFS($D$4:$D$2503,$A$4:$A$2503,A1528,$B$4:$B$2503,B1528),"Yes","No"))</f>
        <v/>
      </c>
      <c r="M1528" s="30">
        <f>IF(B1528="","",IFERROR(INDEX('Share classes'!$F$4:$F$203,MATCH(B1528,'Share classes'!$B$4:$B$203,0)),""))</f>
        <v/>
      </c>
      <c r="N1528" s="30">
        <f>IF(A1528="","",IF(K1528="","Unknown holder ID",IF(J1528="","Unknown class code",IF(OR(C1528="",D1528=""),"Missing shares or date",IF(OR(C1528&lt;0,C1528&lt;&gt;INT(C1528)),"Shares must be a whole number",IF(COUNTIFS($A$4:$A$2503,A1528,$B$4:$B$2503,B1528,$D$4:$D$2503,D1528)&gt;1,"Duplicate row (same date)","OK"))))))</f>
        <v/>
      </c>
    </row>
    <row r="1529">
      <c r="A1529" s="26" t="n"/>
      <c r="B1529" s="26" t="n"/>
      <c r="C1529" s="34" t="n"/>
      <c r="D1529" s="28" t="n"/>
      <c r="E1529" s="26" t="n"/>
      <c r="F1529" s="26" t="n"/>
      <c r="G1529" s="26" t="n"/>
      <c r="H1529" s="38" t="n"/>
      <c r="I1529" s="28" t="n"/>
      <c r="J1529" s="30">
        <f>IF(B1529="","",IFERROR(INDEX('Share classes'!$A$4:$A$203,MATCH(B1529,'Share classes'!$B$4:$B$203,0)),""))</f>
        <v/>
      </c>
      <c r="K1529" s="30">
        <f>IF(A1529="","",IFERROR(INDEX('Holders'!$B$4:$B$1003,MATCH(A1529,'Holders'!$A$4:$A$1003,0)),""))</f>
        <v/>
      </c>
      <c r="L1529" s="30">
        <f>IF(OR(A1529="",B1529="",D1529=""),"",IF(D1529=_xlfn.MAXIFS($D$4:$D$2503,$A$4:$A$2503,A1529,$B$4:$B$2503,B1529),"Yes","No"))</f>
        <v/>
      </c>
      <c r="M1529" s="30">
        <f>IF(B1529="","",IFERROR(INDEX('Share classes'!$F$4:$F$203,MATCH(B1529,'Share classes'!$B$4:$B$203,0)),""))</f>
        <v/>
      </c>
      <c r="N1529" s="30">
        <f>IF(A1529="","",IF(K1529="","Unknown holder ID",IF(J1529="","Unknown class code",IF(OR(C1529="",D1529=""),"Missing shares or date",IF(OR(C1529&lt;0,C1529&lt;&gt;INT(C1529)),"Shares must be a whole number",IF(COUNTIFS($A$4:$A$2503,A1529,$B$4:$B$2503,B1529,$D$4:$D$2503,D1529)&gt;1,"Duplicate row (same date)","OK"))))))</f>
        <v/>
      </c>
    </row>
    <row r="1530">
      <c r="A1530" s="26" t="n"/>
      <c r="B1530" s="26" t="n"/>
      <c r="C1530" s="34" t="n"/>
      <c r="D1530" s="28" t="n"/>
      <c r="E1530" s="26" t="n"/>
      <c r="F1530" s="26" t="n"/>
      <c r="G1530" s="26" t="n"/>
      <c r="H1530" s="38" t="n"/>
      <c r="I1530" s="28" t="n"/>
      <c r="J1530" s="30">
        <f>IF(B1530="","",IFERROR(INDEX('Share classes'!$A$4:$A$203,MATCH(B1530,'Share classes'!$B$4:$B$203,0)),""))</f>
        <v/>
      </c>
      <c r="K1530" s="30">
        <f>IF(A1530="","",IFERROR(INDEX('Holders'!$B$4:$B$1003,MATCH(A1530,'Holders'!$A$4:$A$1003,0)),""))</f>
        <v/>
      </c>
      <c r="L1530" s="30">
        <f>IF(OR(A1530="",B1530="",D1530=""),"",IF(D1530=_xlfn.MAXIFS($D$4:$D$2503,$A$4:$A$2503,A1530,$B$4:$B$2503,B1530),"Yes","No"))</f>
        <v/>
      </c>
      <c r="M1530" s="30">
        <f>IF(B1530="","",IFERROR(INDEX('Share classes'!$F$4:$F$203,MATCH(B1530,'Share classes'!$B$4:$B$203,0)),""))</f>
        <v/>
      </c>
      <c r="N1530" s="30">
        <f>IF(A1530="","",IF(K1530="","Unknown holder ID",IF(J1530="","Unknown class code",IF(OR(C1530="",D1530=""),"Missing shares or date",IF(OR(C1530&lt;0,C1530&lt;&gt;INT(C1530)),"Shares must be a whole number",IF(COUNTIFS($A$4:$A$2503,A1530,$B$4:$B$2503,B1530,$D$4:$D$2503,D1530)&gt;1,"Duplicate row (same date)","OK"))))))</f>
        <v/>
      </c>
    </row>
    <row r="1531">
      <c r="A1531" s="26" t="n"/>
      <c r="B1531" s="26" t="n"/>
      <c r="C1531" s="34" t="n"/>
      <c r="D1531" s="28" t="n"/>
      <c r="E1531" s="26" t="n"/>
      <c r="F1531" s="26" t="n"/>
      <c r="G1531" s="26" t="n"/>
      <c r="H1531" s="38" t="n"/>
      <c r="I1531" s="28" t="n"/>
      <c r="J1531" s="30">
        <f>IF(B1531="","",IFERROR(INDEX('Share classes'!$A$4:$A$203,MATCH(B1531,'Share classes'!$B$4:$B$203,0)),""))</f>
        <v/>
      </c>
      <c r="K1531" s="30">
        <f>IF(A1531="","",IFERROR(INDEX('Holders'!$B$4:$B$1003,MATCH(A1531,'Holders'!$A$4:$A$1003,0)),""))</f>
        <v/>
      </c>
      <c r="L1531" s="30">
        <f>IF(OR(A1531="",B1531="",D1531=""),"",IF(D1531=_xlfn.MAXIFS($D$4:$D$2503,$A$4:$A$2503,A1531,$B$4:$B$2503,B1531),"Yes","No"))</f>
        <v/>
      </c>
      <c r="M1531" s="30">
        <f>IF(B1531="","",IFERROR(INDEX('Share classes'!$F$4:$F$203,MATCH(B1531,'Share classes'!$B$4:$B$203,0)),""))</f>
        <v/>
      </c>
      <c r="N1531" s="30">
        <f>IF(A1531="","",IF(K1531="","Unknown holder ID",IF(J1531="","Unknown class code",IF(OR(C1531="",D1531=""),"Missing shares or date",IF(OR(C1531&lt;0,C1531&lt;&gt;INT(C1531)),"Shares must be a whole number",IF(COUNTIFS($A$4:$A$2503,A1531,$B$4:$B$2503,B1531,$D$4:$D$2503,D1531)&gt;1,"Duplicate row (same date)","OK"))))))</f>
        <v/>
      </c>
    </row>
    <row r="1532">
      <c r="A1532" s="26" t="n"/>
      <c r="B1532" s="26" t="n"/>
      <c r="C1532" s="34" t="n"/>
      <c r="D1532" s="28" t="n"/>
      <c r="E1532" s="26" t="n"/>
      <c r="F1532" s="26" t="n"/>
      <c r="G1532" s="26" t="n"/>
      <c r="H1532" s="38" t="n"/>
      <c r="I1532" s="28" t="n"/>
      <c r="J1532" s="30">
        <f>IF(B1532="","",IFERROR(INDEX('Share classes'!$A$4:$A$203,MATCH(B1532,'Share classes'!$B$4:$B$203,0)),""))</f>
        <v/>
      </c>
      <c r="K1532" s="30">
        <f>IF(A1532="","",IFERROR(INDEX('Holders'!$B$4:$B$1003,MATCH(A1532,'Holders'!$A$4:$A$1003,0)),""))</f>
        <v/>
      </c>
      <c r="L1532" s="30">
        <f>IF(OR(A1532="",B1532="",D1532=""),"",IF(D1532=_xlfn.MAXIFS($D$4:$D$2503,$A$4:$A$2503,A1532,$B$4:$B$2503,B1532),"Yes","No"))</f>
        <v/>
      </c>
      <c r="M1532" s="30">
        <f>IF(B1532="","",IFERROR(INDEX('Share classes'!$F$4:$F$203,MATCH(B1532,'Share classes'!$B$4:$B$203,0)),""))</f>
        <v/>
      </c>
      <c r="N1532" s="30">
        <f>IF(A1532="","",IF(K1532="","Unknown holder ID",IF(J1532="","Unknown class code",IF(OR(C1532="",D1532=""),"Missing shares or date",IF(OR(C1532&lt;0,C1532&lt;&gt;INT(C1532)),"Shares must be a whole number",IF(COUNTIFS($A$4:$A$2503,A1532,$B$4:$B$2503,B1532,$D$4:$D$2503,D1532)&gt;1,"Duplicate row (same date)","OK"))))))</f>
        <v/>
      </c>
    </row>
    <row r="1533">
      <c r="A1533" s="26" t="n"/>
      <c r="B1533" s="26" t="n"/>
      <c r="C1533" s="34" t="n"/>
      <c r="D1533" s="28" t="n"/>
      <c r="E1533" s="26" t="n"/>
      <c r="F1533" s="26" t="n"/>
      <c r="G1533" s="26" t="n"/>
      <c r="H1533" s="38" t="n"/>
      <c r="I1533" s="28" t="n"/>
      <c r="J1533" s="30">
        <f>IF(B1533="","",IFERROR(INDEX('Share classes'!$A$4:$A$203,MATCH(B1533,'Share classes'!$B$4:$B$203,0)),""))</f>
        <v/>
      </c>
      <c r="K1533" s="30">
        <f>IF(A1533="","",IFERROR(INDEX('Holders'!$B$4:$B$1003,MATCH(A1533,'Holders'!$A$4:$A$1003,0)),""))</f>
        <v/>
      </c>
      <c r="L1533" s="30">
        <f>IF(OR(A1533="",B1533="",D1533=""),"",IF(D1533=_xlfn.MAXIFS($D$4:$D$2503,$A$4:$A$2503,A1533,$B$4:$B$2503,B1533),"Yes","No"))</f>
        <v/>
      </c>
      <c r="M1533" s="30">
        <f>IF(B1533="","",IFERROR(INDEX('Share classes'!$F$4:$F$203,MATCH(B1533,'Share classes'!$B$4:$B$203,0)),""))</f>
        <v/>
      </c>
      <c r="N1533" s="30">
        <f>IF(A1533="","",IF(K1533="","Unknown holder ID",IF(J1533="","Unknown class code",IF(OR(C1533="",D1533=""),"Missing shares or date",IF(OR(C1533&lt;0,C1533&lt;&gt;INT(C1533)),"Shares must be a whole number",IF(COUNTIFS($A$4:$A$2503,A1533,$B$4:$B$2503,B1533,$D$4:$D$2503,D1533)&gt;1,"Duplicate row (same date)","OK"))))))</f>
        <v/>
      </c>
    </row>
    <row r="1534">
      <c r="A1534" s="26" t="n"/>
      <c r="B1534" s="26" t="n"/>
      <c r="C1534" s="34" t="n"/>
      <c r="D1534" s="28" t="n"/>
      <c r="E1534" s="26" t="n"/>
      <c r="F1534" s="26" t="n"/>
      <c r="G1534" s="26" t="n"/>
      <c r="H1534" s="38" t="n"/>
      <c r="I1534" s="28" t="n"/>
      <c r="J1534" s="30">
        <f>IF(B1534="","",IFERROR(INDEX('Share classes'!$A$4:$A$203,MATCH(B1534,'Share classes'!$B$4:$B$203,0)),""))</f>
        <v/>
      </c>
      <c r="K1534" s="30">
        <f>IF(A1534="","",IFERROR(INDEX('Holders'!$B$4:$B$1003,MATCH(A1534,'Holders'!$A$4:$A$1003,0)),""))</f>
        <v/>
      </c>
      <c r="L1534" s="30">
        <f>IF(OR(A1534="",B1534="",D1534=""),"",IF(D1534=_xlfn.MAXIFS($D$4:$D$2503,$A$4:$A$2503,A1534,$B$4:$B$2503,B1534),"Yes","No"))</f>
        <v/>
      </c>
      <c r="M1534" s="30">
        <f>IF(B1534="","",IFERROR(INDEX('Share classes'!$F$4:$F$203,MATCH(B1534,'Share classes'!$B$4:$B$203,0)),""))</f>
        <v/>
      </c>
      <c r="N1534" s="30">
        <f>IF(A1534="","",IF(K1534="","Unknown holder ID",IF(J1534="","Unknown class code",IF(OR(C1534="",D1534=""),"Missing shares or date",IF(OR(C1534&lt;0,C1534&lt;&gt;INT(C1534)),"Shares must be a whole number",IF(COUNTIFS($A$4:$A$2503,A1534,$B$4:$B$2503,B1534,$D$4:$D$2503,D1534)&gt;1,"Duplicate row (same date)","OK"))))))</f>
        <v/>
      </c>
    </row>
    <row r="1535">
      <c r="A1535" s="26" t="n"/>
      <c r="B1535" s="26" t="n"/>
      <c r="C1535" s="34" t="n"/>
      <c r="D1535" s="28" t="n"/>
      <c r="E1535" s="26" t="n"/>
      <c r="F1535" s="26" t="n"/>
      <c r="G1535" s="26" t="n"/>
      <c r="H1535" s="38" t="n"/>
      <c r="I1535" s="28" t="n"/>
      <c r="J1535" s="30">
        <f>IF(B1535="","",IFERROR(INDEX('Share classes'!$A$4:$A$203,MATCH(B1535,'Share classes'!$B$4:$B$203,0)),""))</f>
        <v/>
      </c>
      <c r="K1535" s="30">
        <f>IF(A1535="","",IFERROR(INDEX('Holders'!$B$4:$B$1003,MATCH(A1535,'Holders'!$A$4:$A$1003,0)),""))</f>
        <v/>
      </c>
      <c r="L1535" s="30">
        <f>IF(OR(A1535="",B1535="",D1535=""),"",IF(D1535=_xlfn.MAXIFS($D$4:$D$2503,$A$4:$A$2503,A1535,$B$4:$B$2503,B1535),"Yes","No"))</f>
        <v/>
      </c>
      <c r="M1535" s="30">
        <f>IF(B1535="","",IFERROR(INDEX('Share classes'!$F$4:$F$203,MATCH(B1535,'Share classes'!$B$4:$B$203,0)),""))</f>
        <v/>
      </c>
      <c r="N1535" s="30">
        <f>IF(A1535="","",IF(K1535="","Unknown holder ID",IF(J1535="","Unknown class code",IF(OR(C1535="",D1535=""),"Missing shares or date",IF(OR(C1535&lt;0,C1535&lt;&gt;INT(C1535)),"Shares must be a whole number",IF(COUNTIFS($A$4:$A$2503,A1535,$B$4:$B$2503,B1535,$D$4:$D$2503,D1535)&gt;1,"Duplicate row (same date)","OK"))))))</f>
        <v/>
      </c>
    </row>
    <row r="1536">
      <c r="A1536" s="26" t="n"/>
      <c r="B1536" s="26" t="n"/>
      <c r="C1536" s="34" t="n"/>
      <c r="D1536" s="28" t="n"/>
      <c r="E1536" s="26" t="n"/>
      <c r="F1536" s="26" t="n"/>
      <c r="G1536" s="26" t="n"/>
      <c r="H1536" s="38" t="n"/>
      <c r="I1536" s="28" t="n"/>
      <c r="J1536" s="30">
        <f>IF(B1536="","",IFERROR(INDEX('Share classes'!$A$4:$A$203,MATCH(B1536,'Share classes'!$B$4:$B$203,0)),""))</f>
        <v/>
      </c>
      <c r="K1536" s="30">
        <f>IF(A1536="","",IFERROR(INDEX('Holders'!$B$4:$B$1003,MATCH(A1536,'Holders'!$A$4:$A$1003,0)),""))</f>
        <v/>
      </c>
      <c r="L1536" s="30">
        <f>IF(OR(A1536="",B1536="",D1536=""),"",IF(D1536=_xlfn.MAXIFS($D$4:$D$2503,$A$4:$A$2503,A1536,$B$4:$B$2503,B1536),"Yes","No"))</f>
        <v/>
      </c>
      <c r="M1536" s="30">
        <f>IF(B1536="","",IFERROR(INDEX('Share classes'!$F$4:$F$203,MATCH(B1536,'Share classes'!$B$4:$B$203,0)),""))</f>
        <v/>
      </c>
      <c r="N1536" s="30">
        <f>IF(A1536="","",IF(K1536="","Unknown holder ID",IF(J1536="","Unknown class code",IF(OR(C1536="",D1536=""),"Missing shares or date",IF(OR(C1536&lt;0,C1536&lt;&gt;INT(C1536)),"Shares must be a whole number",IF(COUNTIFS($A$4:$A$2503,A1536,$B$4:$B$2503,B1536,$D$4:$D$2503,D1536)&gt;1,"Duplicate row (same date)","OK"))))))</f>
        <v/>
      </c>
    </row>
    <row r="1537">
      <c r="A1537" s="26" t="n"/>
      <c r="B1537" s="26" t="n"/>
      <c r="C1537" s="34" t="n"/>
      <c r="D1537" s="28" t="n"/>
      <c r="E1537" s="26" t="n"/>
      <c r="F1537" s="26" t="n"/>
      <c r="G1537" s="26" t="n"/>
      <c r="H1537" s="38" t="n"/>
      <c r="I1537" s="28" t="n"/>
      <c r="J1537" s="30">
        <f>IF(B1537="","",IFERROR(INDEX('Share classes'!$A$4:$A$203,MATCH(B1537,'Share classes'!$B$4:$B$203,0)),""))</f>
        <v/>
      </c>
      <c r="K1537" s="30">
        <f>IF(A1537="","",IFERROR(INDEX('Holders'!$B$4:$B$1003,MATCH(A1537,'Holders'!$A$4:$A$1003,0)),""))</f>
        <v/>
      </c>
      <c r="L1537" s="30">
        <f>IF(OR(A1537="",B1537="",D1537=""),"",IF(D1537=_xlfn.MAXIFS($D$4:$D$2503,$A$4:$A$2503,A1537,$B$4:$B$2503,B1537),"Yes","No"))</f>
        <v/>
      </c>
      <c r="M1537" s="30">
        <f>IF(B1537="","",IFERROR(INDEX('Share classes'!$F$4:$F$203,MATCH(B1537,'Share classes'!$B$4:$B$203,0)),""))</f>
        <v/>
      </c>
      <c r="N1537" s="30">
        <f>IF(A1537="","",IF(K1537="","Unknown holder ID",IF(J1537="","Unknown class code",IF(OR(C1537="",D1537=""),"Missing shares or date",IF(OR(C1537&lt;0,C1537&lt;&gt;INT(C1537)),"Shares must be a whole number",IF(COUNTIFS($A$4:$A$2503,A1537,$B$4:$B$2503,B1537,$D$4:$D$2503,D1537)&gt;1,"Duplicate row (same date)","OK"))))))</f>
        <v/>
      </c>
    </row>
    <row r="1538">
      <c r="A1538" s="26" t="n"/>
      <c r="B1538" s="26" t="n"/>
      <c r="C1538" s="34" t="n"/>
      <c r="D1538" s="28" t="n"/>
      <c r="E1538" s="26" t="n"/>
      <c r="F1538" s="26" t="n"/>
      <c r="G1538" s="26" t="n"/>
      <c r="H1538" s="38" t="n"/>
      <c r="I1538" s="28" t="n"/>
      <c r="J1538" s="30">
        <f>IF(B1538="","",IFERROR(INDEX('Share classes'!$A$4:$A$203,MATCH(B1538,'Share classes'!$B$4:$B$203,0)),""))</f>
        <v/>
      </c>
      <c r="K1538" s="30">
        <f>IF(A1538="","",IFERROR(INDEX('Holders'!$B$4:$B$1003,MATCH(A1538,'Holders'!$A$4:$A$1003,0)),""))</f>
        <v/>
      </c>
      <c r="L1538" s="30">
        <f>IF(OR(A1538="",B1538="",D1538=""),"",IF(D1538=_xlfn.MAXIFS($D$4:$D$2503,$A$4:$A$2503,A1538,$B$4:$B$2503,B1538),"Yes","No"))</f>
        <v/>
      </c>
      <c r="M1538" s="30">
        <f>IF(B1538="","",IFERROR(INDEX('Share classes'!$F$4:$F$203,MATCH(B1538,'Share classes'!$B$4:$B$203,0)),""))</f>
        <v/>
      </c>
      <c r="N1538" s="30">
        <f>IF(A1538="","",IF(K1538="","Unknown holder ID",IF(J1538="","Unknown class code",IF(OR(C1538="",D1538=""),"Missing shares or date",IF(OR(C1538&lt;0,C1538&lt;&gt;INT(C1538)),"Shares must be a whole number",IF(COUNTIFS($A$4:$A$2503,A1538,$B$4:$B$2503,B1538,$D$4:$D$2503,D1538)&gt;1,"Duplicate row (same date)","OK"))))))</f>
        <v/>
      </c>
    </row>
    <row r="1539">
      <c r="A1539" s="26" t="n"/>
      <c r="B1539" s="26" t="n"/>
      <c r="C1539" s="34" t="n"/>
      <c r="D1539" s="28" t="n"/>
      <c r="E1539" s="26" t="n"/>
      <c r="F1539" s="26" t="n"/>
      <c r="G1539" s="26" t="n"/>
      <c r="H1539" s="38" t="n"/>
      <c r="I1539" s="28" t="n"/>
      <c r="J1539" s="30">
        <f>IF(B1539="","",IFERROR(INDEX('Share classes'!$A$4:$A$203,MATCH(B1539,'Share classes'!$B$4:$B$203,0)),""))</f>
        <v/>
      </c>
      <c r="K1539" s="30">
        <f>IF(A1539="","",IFERROR(INDEX('Holders'!$B$4:$B$1003,MATCH(A1539,'Holders'!$A$4:$A$1003,0)),""))</f>
        <v/>
      </c>
      <c r="L1539" s="30">
        <f>IF(OR(A1539="",B1539="",D1539=""),"",IF(D1539=_xlfn.MAXIFS($D$4:$D$2503,$A$4:$A$2503,A1539,$B$4:$B$2503,B1539),"Yes","No"))</f>
        <v/>
      </c>
      <c r="M1539" s="30">
        <f>IF(B1539="","",IFERROR(INDEX('Share classes'!$F$4:$F$203,MATCH(B1539,'Share classes'!$B$4:$B$203,0)),""))</f>
        <v/>
      </c>
      <c r="N1539" s="30">
        <f>IF(A1539="","",IF(K1539="","Unknown holder ID",IF(J1539="","Unknown class code",IF(OR(C1539="",D1539=""),"Missing shares or date",IF(OR(C1539&lt;0,C1539&lt;&gt;INT(C1539)),"Shares must be a whole number",IF(COUNTIFS($A$4:$A$2503,A1539,$B$4:$B$2503,B1539,$D$4:$D$2503,D1539)&gt;1,"Duplicate row (same date)","OK"))))))</f>
        <v/>
      </c>
    </row>
    <row r="1540">
      <c r="A1540" s="26" t="n"/>
      <c r="B1540" s="26" t="n"/>
      <c r="C1540" s="34" t="n"/>
      <c r="D1540" s="28" t="n"/>
      <c r="E1540" s="26" t="n"/>
      <c r="F1540" s="26" t="n"/>
      <c r="G1540" s="26" t="n"/>
      <c r="H1540" s="38" t="n"/>
      <c r="I1540" s="28" t="n"/>
      <c r="J1540" s="30">
        <f>IF(B1540="","",IFERROR(INDEX('Share classes'!$A$4:$A$203,MATCH(B1540,'Share classes'!$B$4:$B$203,0)),""))</f>
        <v/>
      </c>
      <c r="K1540" s="30">
        <f>IF(A1540="","",IFERROR(INDEX('Holders'!$B$4:$B$1003,MATCH(A1540,'Holders'!$A$4:$A$1003,0)),""))</f>
        <v/>
      </c>
      <c r="L1540" s="30">
        <f>IF(OR(A1540="",B1540="",D1540=""),"",IF(D1540=_xlfn.MAXIFS($D$4:$D$2503,$A$4:$A$2503,A1540,$B$4:$B$2503,B1540),"Yes","No"))</f>
        <v/>
      </c>
      <c r="M1540" s="30">
        <f>IF(B1540="","",IFERROR(INDEX('Share classes'!$F$4:$F$203,MATCH(B1540,'Share classes'!$B$4:$B$203,0)),""))</f>
        <v/>
      </c>
      <c r="N1540" s="30">
        <f>IF(A1540="","",IF(K1540="","Unknown holder ID",IF(J1540="","Unknown class code",IF(OR(C1540="",D1540=""),"Missing shares or date",IF(OR(C1540&lt;0,C1540&lt;&gt;INT(C1540)),"Shares must be a whole number",IF(COUNTIFS($A$4:$A$2503,A1540,$B$4:$B$2503,B1540,$D$4:$D$2503,D1540)&gt;1,"Duplicate row (same date)","OK"))))))</f>
        <v/>
      </c>
    </row>
    <row r="1541">
      <c r="A1541" s="26" t="n"/>
      <c r="B1541" s="26" t="n"/>
      <c r="C1541" s="34" t="n"/>
      <c r="D1541" s="28" t="n"/>
      <c r="E1541" s="26" t="n"/>
      <c r="F1541" s="26" t="n"/>
      <c r="G1541" s="26" t="n"/>
      <c r="H1541" s="38" t="n"/>
      <c r="I1541" s="28" t="n"/>
      <c r="J1541" s="30">
        <f>IF(B1541="","",IFERROR(INDEX('Share classes'!$A$4:$A$203,MATCH(B1541,'Share classes'!$B$4:$B$203,0)),""))</f>
        <v/>
      </c>
      <c r="K1541" s="30">
        <f>IF(A1541="","",IFERROR(INDEX('Holders'!$B$4:$B$1003,MATCH(A1541,'Holders'!$A$4:$A$1003,0)),""))</f>
        <v/>
      </c>
      <c r="L1541" s="30">
        <f>IF(OR(A1541="",B1541="",D1541=""),"",IF(D1541=_xlfn.MAXIFS($D$4:$D$2503,$A$4:$A$2503,A1541,$B$4:$B$2503,B1541),"Yes","No"))</f>
        <v/>
      </c>
      <c r="M1541" s="30">
        <f>IF(B1541="","",IFERROR(INDEX('Share classes'!$F$4:$F$203,MATCH(B1541,'Share classes'!$B$4:$B$203,0)),""))</f>
        <v/>
      </c>
      <c r="N1541" s="30">
        <f>IF(A1541="","",IF(K1541="","Unknown holder ID",IF(J1541="","Unknown class code",IF(OR(C1541="",D1541=""),"Missing shares or date",IF(OR(C1541&lt;0,C1541&lt;&gt;INT(C1541)),"Shares must be a whole number",IF(COUNTIFS($A$4:$A$2503,A1541,$B$4:$B$2503,B1541,$D$4:$D$2503,D1541)&gt;1,"Duplicate row (same date)","OK"))))))</f>
        <v/>
      </c>
    </row>
    <row r="1542">
      <c r="A1542" s="26" t="n"/>
      <c r="B1542" s="26" t="n"/>
      <c r="C1542" s="34" t="n"/>
      <c r="D1542" s="28" t="n"/>
      <c r="E1542" s="26" t="n"/>
      <c r="F1542" s="26" t="n"/>
      <c r="G1542" s="26" t="n"/>
      <c r="H1542" s="38" t="n"/>
      <c r="I1542" s="28" t="n"/>
      <c r="J1542" s="30">
        <f>IF(B1542="","",IFERROR(INDEX('Share classes'!$A$4:$A$203,MATCH(B1542,'Share classes'!$B$4:$B$203,0)),""))</f>
        <v/>
      </c>
      <c r="K1542" s="30">
        <f>IF(A1542="","",IFERROR(INDEX('Holders'!$B$4:$B$1003,MATCH(A1542,'Holders'!$A$4:$A$1003,0)),""))</f>
        <v/>
      </c>
      <c r="L1542" s="30">
        <f>IF(OR(A1542="",B1542="",D1542=""),"",IF(D1542=_xlfn.MAXIFS($D$4:$D$2503,$A$4:$A$2503,A1542,$B$4:$B$2503,B1542),"Yes","No"))</f>
        <v/>
      </c>
      <c r="M1542" s="30">
        <f>IF(B1542="","",IFERROR(INDEX('Share classes'!$F$4:$F$203,MATCH(B1542,'Share classes'!$B$4:$B$203,0)),""))</f>
        <v/>
      </c>
      <c r="N1542" s="30">
        <f>IF(A1542="","",IF(K1542="","Unknown holder ID",IF(J1542="","Unknown class code",IF(OR(C1542="",D1542=""),"Missing shares or date",IF(OR(C1542&lt;0,C1542&lt;&gt;INT(C1542)),"Shares must be a whole number",IF(COUNTIFS($A$4:$A$2503,A1542,$B$4:$B$2503,B1542,$D$4:$D$2503,D1542)&gt;1,"Duplicate row (same date)","OK"))))))</f>
        <v/>
      </c>
    </row>
    <row r="1543">
      <c r="A1543" s="26" t="n"/>
      <c r="B1543" s="26" t="n"/>
      <c r="C1543" s="34" t="n"/>
      <c r="D1543" s="28" t="n"/>
      <c r="E1543" s="26" t="n"/>
      <c r="F1543" s="26" t="n"/>
      <c r="G1543" s="26" t="n"/>
      <c r="H1543" s="38" t="n"/>
      <c r="I1543" s="28" t="n"/>
      <c r="J1543" s="30">
        <f>IF(B1543="","",IFERROR(INDEX('Share classes'!$A$4:$A$203,MATCH(B1543,'Share classes'!$B$4:$B$203,0)),""))</f>
        <v/>
      </c>
      <c r="K1543" s="30">
        <f>IF(A1543="","",IFERROR(INDEX('Holders'!$B$4:$B$1003,MATCH(A1543,'Holders'!$A$4:$A$1003,0)),""))</f>
        <v/>
      </c>
      <c r="L1543" s="30">
        <f>IF(OR(A1543="",B1543="",D1543=""),"",IF(D1543=_xlfn.MAXIFS($D$4:$D$2503,$A$4:$A$2503,A1543,$B$4:$B$2503,B1543),"Yes","No"))</f>
        <v/>
      </c>
      <c r="M1543" s="30">
        <f>IF(B1543="","",IFERROR(INDEX('Share classes'!$F$4:$F$203,MATCH(B1543,'Share classes'!$B$4:$B$203,0)),""))</f>
        <v/>
      </c>
      <c r="N1543" s="30">
        <f>IF(A1543="","",IF(K1543="","Unknown holder ID",IF(J1543="","Unknown class code",IF(OR(C1543="",D1543=""),"Missing shares or date",IF(OR(C1543&lt;0,C1543&lt;&gt;INT(C1543)),"Shares must be a whole number",IF(COUNTIFS($A$4:$A$2503,A1543,$B$4:$B$2503,B1543,$D$4:$D$2503,D1543)&gt;1,"Duplicate row (same date)","OK"))))))</f>
        <v/>
      </c>
    </row>
    <row r="1544">
      <c r="A1544" s="26" t="n"/>
      <c r="B1544" s="26" t="n"/>
      <c r="C1544" s="34" t="n"/>
      <c r="D1544" s="28" t="n"/>
      <c r="E1544" s="26" t="n"/>
      <c r="F1544" s="26" t="n"/>
      <c r="G1544" s="26" t="n"/>
      <c r="H1544" s="38" t="n"/>
      <c r="I1544" s="28" t="n"/>
      <c r="J1544" s="30">
        <f>IF(B1544="","",IFERROR(INDEX('Share classes'!$A$4:$A$203,MATCH(B1544,'Share classes'!$B$4:$B$203,0)),""))</f>
        <v/>
      </c>
      <c r="K1544" s="30">
        <f>IF(A1544="","",IFERROR(INDEX('Holders'!$B$4:$B$1003,MATCH(A1544,'Holders'!$A$4:$A$1003,0)),""))</f>
        <v/>
      </c>
      <c r="L1544" s="30">
        <f>IF(OR(A1544="",B1544="",D1544=""),"",IF(D1544=_xlfn.MAXIFS($D$4:$D$2503,$A$4:$A$2503,A1544,$B$4:$B$2503,B1544),"Yes","No"))</f>
        <v/>
      </c>
      <c r="M1544" s="30">
        <f>IF(B1544="","",IFERROR(INDEX('Share classes'!$F$4:$F$203,MATCH(B1544,'Share classes'!$B$4:$B$203,0)),""))</f>
        <v/>
      </c>
      <c r="N1544" s="30">
        <f>IF(A1544="","",IF(K1544="","Unknown holder ID",IF(J1544="","Unknown class code",IF(OR(C1544="",D1544=""),"Missing shares or date",IF(OR(C1544&lt;0,C1544&lt;&gt;INT(C1544)),"Shares must be a whole number",IF(COUNTIFS($A$4:$A$2503,A1544,$B$4:$B$2503,B1544,$D$4:$D$2503,D1544)&gt;1,"Duplicate row (same date)","OK"))))))</f>
        <v/>
      </c>
    </row>
    <row r="1545">
      <c r="A1545" s="26" t="n"/>
      <c r="B1545" s="26" t="n"/>
      <c r="C1545" s="34" t="n"/>
      <c r="D1545" s="28" t="n"/>
      <c r="E1545" s="26" t="n"/>
      <c r="F1545" s="26" t="n"/>
      <c r="G1545" s="26" t="n"/>
      <c r="H1545" s="38" t="n"/>
      <c r="I1545" s="28" t="n"/>
      <c r="J1545" s="30">
        <f>IF(B1545="","",IFERROR(INDEX('Share classes'!$A$4:$A$203,MATCH(B1545,'Share classes'!$B$4:$B$203,0)),""))</f>
        <v/>
      </c>
      <c r="K1545" s="30">
        <f>IF(A1545="","",IFERROR(INDEX('Holders'!$B$4:$B$1003,MATCH(A1545,'Holders'!$A$4:$A$1003,0)),""))</f>
        <v/>
      </c>
      <c r="L1545" s="30">
        <f>IF(OR(A1545="",B1545="",D1545=""),"",IF(D1545=_xlfn.MAXIFS($D$4:$D$2503,$A$4:$A$2503,A1545,$B$4:$B$2503,B1545),"Yes","No"))</f>
        <v/>
      </c>
      <c r="M1545" s="30">
        <f>IF(B1545="","",IFERROR(INDEX('Share classes'!$F$4:$F$203,MATCH(B1545,'Share classes'!$B$4:$B$203,0)),""))</f>
        <v/>
      </c>
      <c r="N1545" s="30">
        <f>IF(A1545="","",IF(K1545="","Unknown holder ID",IF(J1545="","Unknown class code",IF(OR(C1545="",D1545=""),"Missing shares or date",IF(OR(C1545&lt;0,C1545&lt;&gt;INT(C1545)),"Shares must be a whole number",IF(COUNTIFS($A$4:$A$2503,A1545,$B$4:$B$2503,B1545,$D$4:$D$2503,D1545)&gt;1,"Duplicate row (same date)","OK"))))))</f>
        <v/>
      </c>
    </row>
    <row r="1546">
      <c r="A1546" s="26" t="n"/>
      <c r="B1546" s="26" t="n"/>
      <c r="C1546" s="34" t="n"/>
      <c r="D1546" s="28" t="n"/>
      <c r="E1546" s="26" t="n"/>
      <c r="F1546" s="26" t="n"/>
      <c r="G1546" s="26" t="n"/>
      <c r="H1546" s="38" t="n"/>
      <c r="I1546" s="28" t="n"/>
      <c r="J1546" s="30">
        <f>IF(B1546="","",IFERROR(INDEX('Share classes'!$A$4:$A$203,MATCH(B1546,'Share classes'!$B$4:$B$203,0)),""))</f>
        <v/>
      </c>
      <c r="K1546" s="30">
        <f>IF(A1546="","",IFERROR(INDEX('Holders'!$B$4:$B$1003,MATCH(A1546,'Holders'!$A$4:$A$1003,0)),""))</f>
        <v/>
      </c>
      <c r="L1546" s="30">
        <f>IF(OR(A1546="",B1546="",D1546=""),"",IF(D1546=_xlfn.MAXIFS($D$4:$D$2503,$A$4:$A$2503,A1546,$B$4:$B$2503,B1546),"Yes","No"))</f>
        <v/>
      </c>
      <c r="M1546" s="30">
        <f>IF(B1546="","",IFERROR(INDEX('Share classes'!$F$4:$F$203,MATCH(B1546,'Share classes'!$B$4:$B$203,0)),""))</f>
        <v/>
      </c>
      <c r="N1546" s="30">
        <f>IF(A1546="","",IF(K1546="","Unknown holder ID",IF(J1546="","Unknown class code",IF(OR(C1546="",D1546=""),"Missing shares or date",IF(OR(C1546&lt;0,C1546&lt;&gt;INT(C1546)),"Shares must be a whole number",IF(COUNTIFS($A$4:$A$2503,A1546,$B$4:$B$2503,B1546,$D$4:$D$2503,D1546)&gt;1,"Duplicate row (same date)","OK"))))))</f>
        <v/>
      </c>
    </row>
    <row r="1547">
      <c r="A1547" s="26" t="n"/>
      <c r="B1547" s="26" t="n"/>
      <c r="C1547" s="34" t="n"/>
      <c r="D1547" s="28" t="n"/>
      <c r="E1547" s="26" t="n"/>
      <c r="F1547" s="26" t="n"/>
      <c r="G1547" s="26" t="n"/>
      <c r="H1547" s="38" t="n"/>
      <c r="I1547" s="28" t="n"/>
      <c r="J1547" s="30">
        <f>IF(B1547="","",IFERROR(INDEX('Share classes'!$A$4:$A$203,MATCH(B1547,'Share classes'!$B$4:$B$203,0)),""))</f>
        <v/>
      </c>
      <c r="K1547" s="30">
        <f>IF(A1547="","",IFERROR(INDEX('Holders'!$B$4:$B$1003,MATCH(A1547,'Holders'!$A$4:$A$1003,0)),""))</f>
        <v/>
      </c>
      <c r="L1547" s="30">
        <f>IF(OR(A1547="",B1547="",D1547=""),"",IF(D1547=_xlfn.MAXIFS($D$4:$D$2503,$A$4:$A$2503,A1547,$B$4:$B$2503,B1547),"Yes","No"))</f>
        <v/>
      </c>
      <c r="M1547" s="30">
        <f>IF(B1547="","",IFERROR(INDEX('Share classes'!$F$4:$F$203,MATCH(B1547,'Share classes'!$B$4:$B$203,0)),""))</f>
        <v/>
      </c>
      <c r="N1547" s="30">
        <f>IF(A1547="","",IF(K1547="","Unknown holder ID",IF(J1547="","Unknown class code",IF(OR(C1547="",D1547=""),"Missing shares or date",IF(OR(C1547&lt;0,C1547&lt;&gt;INT(C1547)),"Shares must be a whole number",IF(COUNTIFS($A$4:$A$2503,A1547,$B$4:$B$2503,B1547,$D$4:$D$2503,D1547)&gt;1,"Duplicate row (same date)","OK"))))))</f>
        <v/>
      </c>
    </row>
    <row r="1548">
      <c r="A1548" s="26" t="n"/>
      <c r="B1548" s="26" t="n"/>
      <c r="C1548" s="34" t="n"/>
      <c r="D1548" s="28" t="n"/>
      <c r="E1548" s="26" t="n"/>
      <c r="F1548" s="26" t="n"/>
      <c r="G1548" s="26" t="n"/>
      <c r="H1548" s="38" t="n"/>
      <c r="I1548" s="28" t="n"/>
      <c r="J1548" s="30">
        <f>IF(B1548="","",IFERROR(INDEX('Share classes'!$A$4:$A$203,MATCH(B1548,'Share classes'!$B$4:$B$203,0)),""))</f>
        <v/>
      </c>
      <c r="K1548" s="30">
        <f>IF(A1548="","",IFERROR(INDEX('Holders'!$B$4:$B$1003,MATCH(A1548,'Holders'!$A$4:$A$1003,0)),""))</f>
        <v/>
      </c>
      <c r="L1548" s="30">
        <f>IF(OR(A1548="",B1548="",D1548=""),"",IF(D1548=_xlfn.MAXIFS($D$4:$D$2503,$A$4:$A$2503,A1548,$B$4:$B$2503,B1548),"Yes","No"))</f>
        <v/>
      </c>
      <c r="M1548" s="30">
        <f>IF(B1548="","",IFERROR(INDEX('Share classes'!$F$4:$F$203,MATCH(B1548,'Share classes'!$B$4:$B$203,0)),""))</f>
        <v/>
      </c>
      <c r="N1548" s="30">
        <f>IF(A1548="","",IF(K1548="","Unknown holder ID",IF(J1548="","Unknown class code",IF(OR(C1548="",D1548=""),"Missing shares or date",IF(OR(C1548&lt;0,C1548&lt;&gt;INT(C1548)),"Shares must be a whole number",IF(COUNTIFS($A$4:$A$2503,A1548,$B$4:$B$2503,B1548,$D$4:$D$2503,D1548)&gt;1,"Duplicate row (same date)","OK"))))))</f>
        <v/>
      </c>
    </row>
    <row r="1549">
      <c r="A1549" s="26" t="n"/>
      <c r="B1549" s="26" t="n"/>
      <c r="C1549" s="34" t="n"/>
      <c r="D1549" s="28" t="n"/>
      <c r="E1549" s="26" t="n"/>
      <c r="F1549" s="26" t="n"/>
      <c r="G1549" s="26" t="n"/>
      <c r="H1549" s="38" t="n"/>
      <c r="I1549" s="28" t="n"/>
      <c r="J1549" s="30">
        <f>IF(B1549="","",IFERROR(INDEX('Share classes'!$A$4:$A$203,MATCH(B1549,'Share classes'!$B$4:$B$203,0)),""))</f>
        <v/>
      </c>
      <c r="K1549" s="30">
        <f>IF(A1549="","",IFERROR(INDEX('Holders'!$B$4:$B$1003,MATCH(A1549,'Holders'!$A$4:$A$1003,0)),""))</f>
        <v/>
      </c>
      <c r="L1549" s="30">
        <f>IF(OR(A1549="",B1549="",D1549=""),"",IF(D1549=_xlfn.MAXIFS($D$4:$D$2503,$A$4:$A$2503,A1549,$B$4:$B$2503,B1549),"Yes","No"))</f>
        <v/>
      </c>
      <c r="M1549" s="30">
        <f>IF(B1549="","",IFERROR(INDEX('Share classes'!$F$4:$F$203,MATCH(B1549,'Share classes'!$B$4:$B$203,0)),""))</f>
        <v/>
      </c>
      <c r="N1549" s="30">
        <f>IF(A1549="","",IF(K1549="","Unknown holder ID",IF(J1549="","Unknown class code",IF(OR(C1549="",D1549=""),"Missing shares or date",IF(OR(C1549&lt;0,C1549&lt;&gt;INT(C1549)),"Shares must be a whole number",IF(COUNTIFS($A$4:$A$2503,A1549,$B$4:$B$2503,B1549,$D$4:$D$2503,D1549)&gt;1,"Duplicate row (same date)","OK"))))))</f>
        <v/>
      </c>
    </row>
    <row r="1550">
      <c r="A1550" s="26" t="n"/>
      <c r="B1550" s="26" t="n"/>
      <c r="C1550" s="34" t="n"/>
      <c r="D1550" s="28" t="n"/>
      <c r="E1550" s="26" t="n"/>
      <c r="F1550" s="26" t="n"/>
      <c r="G1550" s="26" t="n"/>
      <c r="H1550" s="38" t="n"/>
      <c r="I1550" s="28" t="n"/>
      <c r="J1550" s="30">
        <f>IF(B1550="","",IFERROR(INDEX('Share classes'!$A$4:$A$203,MATCH(B1550,'Share classes'!$B$4:$B$203,0)),""))</f>
        <v/>
      </c>
      <c r="K1550" s="30">
        <f>IF(A1550="","",IFERROR(INDEX('Holders'!$B$4:$B$1003,MATCH(A1550,'Holders'!$A$4:$A$1003,0)),""))</f>
        <v/>
      </c>
      <c r="L1550" s="30">
        <f>IF(OR(A1550="",B1550="",D1550=""),"",IF(D1550=_xlfn.MAXIFS($D$4:$D$2503,$A$4:$A$2503,A1550,$B$4:$B$2503,B1550),"Yes","No"))</f>
        <v/>
      </c>
      <c r="M1550" s="30">
        <f>IF(B1550="","",IFERROR(INDEX('Share classes'!$F$4:$F$203,MATCH(B1550,'Share classes'!$B$4:$B$203,0)),""))</f>
        <v/>
      </c>
      <c r="N1550" s="30">
        <f>IF(A1550="","",IF(K1550="","Unknown holder ID",IF(J1550="","Unknown class code",IF(OR(C1550="",D1550=""),"Missing shares or date",IF(OR(C1550&lt;0,C1550&lt;&gt;INT(C1550)),"Shares must be a whole number",IF(COUNTIFS($A$4:$A$2503,A1550,$B$4:$B$2503,B1550,$D$4:$D$2503,D1550)&gt;1,"Duplicate row (same date)","OK"))))))</f>
        <v/>
      </c>
    </row>
    <row r="1551">
      <c r="A1551" s="26" t="n"/>
      <c r="B1551" s="26" t="n"/>
      <c r="C1551" s="34" t="n"/>
      <c r="D1551" s="28" t="n"/>
      <c r="E1551" s="26" t="n"/>
      <c r="F1551" s="26" t="n"/>
      <c r="G1551" s="26" t="n"/>
      <c r="H1551" s="38" t="n"/>
      <c r="I1551" s="28" t="n"/>
      <c r="J1551" s="30">
        <f>IF(B1551="","",IFERROR(INDEX('Share classes'!$A$4:$A$203,MATCH(B1551,'Share classes'!$B$4:$B$203,0)),""))</f>
        <v/>
      </c>
      <c r="K1551" s="30">
        <f>IF(A1551="","",IFERROR(INDEX('Holders'!$B$4:$B$1003,MATCH(A1551,'Holders'!$A$4:$A$1003,0)),""))</f>
        <v/>
      </c>
      <c r="L1551" s="30">
        <f>IF(OR(A1551="",B1551="",D1551=""),"",IF(D1551=_xlfn.MAXIFS($D$4:$D$2503,$A$4:$A$2503,A1551,$B$4:$B$2503,B1551),"Yes","No"))</f>
        <v/>
      </c>
      <c r="M1551" s="30">
        <f>IF(B1551="","",IFERROR(INDEX('Share classes'!$F$4:$F$203,MATCH(B1551,'Share classes'!$B$4:$B$203,0)),""))</f>
        <v/>
      </c>
      <c r="N1551" s="30">
        <f>IF(A1551="","",IF(K1551="","Unknown holder ID",IF(J1551="","Unknown class code",IF(OR(C1551="",D1551=""),"Missing shares or date",IF(OR(C1551&lt;0,C1551&lt;&gt;INT(C1551)),"Shares must be a whole number",IF(COUNTIFS($A$4:$A$2503,A1551,$B$4:$B$2503,B1551,$D$4:$D$2503,D1551)&gt;1,"Duplicate row (same date)","OK"))))))</f>
        <v/>
      </c>
    </row>
    <row r="1552">
      <c r="A1552" s="26" t="n"/>
      <c r="B1552" s="26" t="n"/>
      <c r="C1552" s="34" t="n"/>
      <c r="D1552" s="28" t="n"/>
      <c r="E1552" s="26" t="n"/>
      <c r="F1552" s="26" t="n"/>
      <c r="G1552" s="26" t="n"/>
      <c r="H1552" s="38" t="n"/>
      <c r="I1552" s="28" t="n"/>
      <c r="J1552" s="30">
        <f>IF(B1552="","",IFERROR(INDEX('Share classes'!$A$4:$A$203,MATCH(B1552,'Share classes'!$B$4:$B$203,0)),""))</f>
        <v/>
      </c>
      <c r="K1552" s="30">
        <f>IF(A1552="","",IFERROR(INDEX('Holders'!$B$4:$B$1003,MATCH(A1552,'Holders'!$A$4:$A$1003,0)),""))</f>
        <v/>
      </c>
      <c r="L1552" s="30">
        <f>IF(OR(A1552="",B1552="",D1552=""),"",IF(D1552=_xlfn.MAXIFS($D$4:$D$2503,$A$4:$A$2503,A1552,$B$4:$B$2503,B1552),"Yes","No"))</f>
        <v/>
      </c>
      <c r="M1552" s="30">
        <f>IF(B1552="","",IFERROR(INDEX('Share classes'!$F$4:$F$203,MATCH(B1552,'Share classes'!$B$4:$B$203,0)),""))</f>
        <v/>
      </c>
      <c r="N1552" s="30">
        <f>IF(A1552="","",IF(K1552="","Unknown holder ID",IF(J1552="","Unknown class code",IF(OR(C1552="",D1552=""),"Missing shares or date",IF(OR(C1552&lt;0,C1552&lt;&gt;INT(C1552)),"Shares must be a whole number",IF(COUNTIFS($A$4:$A$2503,A1552,$B$4:$B$2503,B1552,$D$4:$D$2503,D1552)&gt;1,"Duplicate row (same date)","OK"))))))</f>
        <v/>
      </c>
    </row>
    <row r="1553">
      <c r="A1553" s="26" t="n"/>
      <c r="B1553" s="26" t="n"/>
      <c r="C1553" s="34" t="n"/>
      <c r="D1553" s="28" t="n"/>
      <c r="E1553" s="26" t="n"/>
      <c r="F1553" s="26" t="n"/>
      <c r="G1553" s="26" t="n"/>
      <c r="H1553" s="38" t="n"/>
      <c r="I1553" s="28" t="n"/>
      <c r="J1553" s="30">
        <f>IF(B1553="","",IFERROR(INDEX('Share classes'!$A$4:$A$203,MATCH(B1553,'Share classes'!$B$4:$B$203,0)),""))</f>
        <v/>
      </c>
      <c r="K1553" s="30">
        <f>IF(A1553="","",IFERROR(INDEX('Holders'!$B$4:$B$1003,MATCH(A1553,'Holders'!$A$4:$A$1003,0)),""))</f>
        <v/>
      </c>
      <c r="L1553" s="30">
        <f>IF(OR(A1553="",B1553="",D1553=""),"",IF(D1553=_xlfn.MAXIFS($D$4:$D$2503,$A$4:$A$2503,A1553,$B$4:$B$2503,B1553),"Yes","No"))</f>
        <v/>
      </c>
      <c r="M1553" s="30">
        <f>IF(B1553="","",IFERROR(INDEX('Share classes'!$F$4:$F$203,MATCH(B1553,'Share classes'!$B$4:$B$203,0)),""))</f>
        <v/>
      </c>
      <c r="N1553" s="30">
        <f>IF(A1553="","",IF(K1553="","Unknown holder ID",IF(J1553="","Unknown class code",IF(OR(C1553="",D1553=""),"Missing shares or date",IF(OR(C1553&lt;0,C1553&lt;&gt;INT(C1553)),"Shares must be a whole number",IF(COUNTIFS($A$4:$A$2503,A1553,$B$4:$B$2503,B1553,$D$4:$D$2503,D1553)&gt;1,"Duplicate row (same date)","OK"))))))</f>
        <v/>
      </c>
    </row>
    <row r="1554">
      <c r="A1554" s="26" t="n"/>
      <c r="B1554" s="26" t="n"/>
      <c r="C1554" s="34" t="n"/>
      <c r="D1554" s="28" t="n"/>
      <c r="E1554" s="26" t="n"/>
      <c r="F1554" s="26" t="n"/>
      <c r="G1554" s="26" t="n"/>
      <c r="H1554" s="38" t="n"/>
      <c r="I1554" s="28" t="n"/>
      <c r="J1554" s="30">
        <f>IF(B1554="","",IFERROR(INDEX('Share classes'!$A$4:$A$203,MATCH(B1554,'Share classes'!$B$4:$B$203,0)),""))</f>
        <v/>
      </c>
      <c r="K1554" s="30">
        <f>IF(A1554="","",IFERROR(INDEX('Holders'!$B$4:$B$1003,MATCH(A1554,'Holders'!$A$4:$A$1003,0)),""))</f>
        <v/>
      </c>
      <c r="L1554" s="30">
        <f>IF(OR(A1554="",B1554="",D1554=""),"",IF(D1554=_xlfn.MAXIFS($D$4:$D$2503,$A$4:$A$2503,A1554,$B$4:$B$2503,B1554),"Yes","No"))</f>
        <v/>
      </c>
      <c r="M1554" s="30">
        <f>IF(B1554="","",IFERROR(INDEX('Share classes'!$F$4:$F$203,MATCH(B1554,'Share classes'!$B$4:$B$203,0)),""))</f>
        <v/>
      </c>
      <c r="N1554" s="30">
        <f>IF(A1554="","",IF(K1554="","Unknown holder ID",IF(J1554="","Unknown class code",IF(OR(C1554="",D1554=""),"Missing shares or date",IF(OR(C1554&lt;0,C1554&lt;&gt;INT(C1554)),"Shares must be a whole number",IF(COUNTIFS($A$4:$A$2503,A1554,$B$4:$B$2503,B1554,$D$4:$D$2503,D1554)&gt;1,"Duplicate row (same date)","OK"))))))</f>
        <v/>
      </c>
    </row>
    <row r="1555">
      <c r="A1555" s="26" t="n"/>
      <c r="B1555" s="26" t="n"/>
      <c r="C1555" s="34" t="n"/>
      <c r="D1555" s="28" t="n"/>
      <c r="E1555" s="26" t="n"/>
      <c r="F1555" s="26" t="n"/>
      <c r="G1555" s="26" t="n"/>
      <c r="H1555" s="38" t="n"/>
      <c r="I1555" s="28" t="n"/>
      <c r="J1555" s="30">
        <f>IF(B1555="","",IFERROR(INDEX('Share classes'!$A$4:$A$203,MATCH(B1555,'Share classes'!$B$4:$B$203,0)),""))</f>
        <v/>
      </c>
      <c r="K1555" s="30">
        <f>IF(A1555="","",IFERROR(INDEX('Holders'!$B$4:$B$1003,MATCH(A1555,'Holders'!$A$4:$A$1003,0)),""))</f>
        <v/>
      </c>
      <c r="L1555" s="30">
        <f>IF(OR(A1555="",B1555="",D1555=""),"",IF(D1555=_xlfn.MAXIFS($D$4:$D$2503,$A$4:$A$2503,A1555,$B$4:$B$2503,B1555),"Yes","No"))</f>
        <v/>
      </c>
      <c r="M1555" s="30">
        <f>IF(B1555="","",IFERROR(INDEX('Share classes'!$F$4:$F$203,MATCH(B1555,'Share classes'!$B$4:$B$203,0)),""))</f>
        <v/>
      </c>
      <c r="N1555" s="30">
        <f>IF(A1555="","",IF(K1555="","Unknown holder ID",IF(J1555="","Unknown class code",IF(OR(C1555="",D1555=""),"Missing shares or date",IF(OR(C1555&lt;0,C1555&lt;&gt;INT(C1555)),"Shares must be a whole number",IF(COUNTIFS($A$4:$A$2503,A1555,$B$4:$B$2503,B1555,$D$4:$D$2503,D1555)&gt;1,"Duplicate row (same date)","OK"))))))</f>
        <v/>
      </c>
    </row>
    <row r="1556">
      <c r="A1556" s="26" t="n"/>
      <c r="B1556" s="26" t="n"/>
      <c r="C1556" s="34" t="n"/>
      <c r="D1556" s="28" t="n"/>
      <c r="E1556" s="26" t="n"/>
      <c r="F1556" s="26" t="n"/>
      <c r="G1556" s="26" t="n"/>
      <c r="H1556" s="38" t="n"/>
      <c r="I1556" s="28" t="n"/>
      <c r="J1556" s="30">
        <f>IF(B1556="","",IFERROR(INDEX('Share classes'!$A$4:$A$203,MATCH(B1556,'Share classes'!$B$4:$B$203,0)),""))</f>
        <v/>
      </c>
      <c r="K1556" s="30">
        <f>IF(A1556="","",IFERROR(INDEX('Holders'!$B$4:$B$1003,MATCH(A1556,'Holders'!$A$4:$A$1003,0)),""))</f>
        <v/>
      </c>
      <c r="L1556" s="30">
        <f>IF(OR(A1556="",B1556="",D1556=""),"",IF(D1556=_xlfn.MAXIFS($D$4:$D$2503,$A$4:$A$2503,A1556,$B$4:$B$2503,B1556),"Yes","No"))</f>
        <v/>
      </c>
      <c r="M1556" s="30">
        <f>IF(B1556="","",IFERROR(INDEX('Share classes'!$F$4:$F$203,MATCH(B1556,'Share classes'!$B$4:$B$203,0)),""))</f>
        <v/>
      </c>
      <c r="N1556" s="30">
        <f>IF(A1556="","",IF(K1556="","Unknown holder ID",IF(J1556="","Unknown class code",IF(OR(C1556="",D1556=""),"Missing shares or date",IF(OR(C1556&lt;0,C1556&lt;&gt;INT(C1556)),"Shares must be a whole number",IF(COUNTIFS($A$4:$A$2503,A1556,$B$4:$B$2503,B1556,$D$4:$D$2503,D1556)&gt;1,"Duplicate row (same date)","OK"))))))</f>
        <v/>
      </c>
    </row>
    <row r="1557">
      <c r="A1557" s="26" t="n"/>
      <c r="B1557" s="26" t="n"/>
      <c r="C1557" s="34" t="n"/>
      <c r="D1557" s="28" t="n"/>
      <c r="E1557" s="26" t="n"/>
      <c r="F1557" s="26" t="n"/>
      <c r="G1557" s="26" t="n"/>
      <c r="H1557" s="38" t="n"/>
      <c r="I1557" s="28" t="n"/>
      <c r="J1557" s="30">
        <f>IF(B1557="","",IFERROR(INDEX('Share classes'!$A$4:$A$203,MATCH(B1557,'Share classes'!$B$4:$B$203,0)),""))</f>
        <v/>
      </c>
      <c r="K1557" s="30">
        <f>IF(A1557="","",IFERROR(INDEX('Holders'!$B$4:$B$1003,MATCH(A1557,'Holders'!$A$4:$A$1003,0)),""))</f>
        <v/>
      </c>
      <c r="L1557" s="30">
        <f>IF(OR(A1557="",B1557="",D1557=""),"",IF(D1557=_xlfn.MAXIFS($D$4:$D$2503,$A$4:$A$2503,A1557,$B$4:$B$2503,B1557),"Yes","No"))</f>
        <v/>
      </c>
      <c r="M1557" s="30">
        <f>IF(B1557="","",IFERROR(INDEX('Share classes'!$F$4:$F$203,MATCH(B1557,'Share classes'!$B$4:$B$203,0)),""))</f>
        <v/>
      </c>
      <c r="N1557" s="30">
        <f>IF(A1557="","",IF(K1557="","Unknown holder ID",IF(J1557="","Unknown class code",IF(OR(C1557="",D1557=""),"Missing shares or date",IF(OR(C1557&lt;0,C1557&lt;&gt;INT(C1557)),"Shares must be a whole number",IF(COUNTIFS($A$4:$A$2503,A1557,$B$4:$B$2503,B1557,$D$4:$D$2503,D1557)&gt;1,"Duplicate row (same date)","OK"))))))</f>
        <v/>
      </c>
    </row>
    <row r="1558">
      <c r="A1558" s="26" t="n"/>
      <c r="B1558" s="26" t="n"/>
      <c r="C1558" s="34" t="n"/>
      <c r="D1558" s="28" t="n"/>
      <c r="E1558" s="26" t="n"/>
      <c r="F1558" s="26" t="n"/>
      <c r="G1558" s="26" t="n"/>
      <c r="H1558" s="38" t="n"/>
      <c r="I1558" s="28" t="n"/>
      <c r="J1558" s="30">
        <f>IF(B1558="","",IFERROR(INDEX('Share classes'!$A$4:$A$203,MATCH(B1558,'Share classes'!$B$4:$B$203,0)),""))</f>
        <v/>
      </c>
      <c r="K1558" s="30">
        <f>IF(A1558="","",IFERROR(INDEX('Holders'!$B$4:$B$1003,MATCH(A1558,'Holders'!$A$4:$A$1003,0)),""))</f>
        <v/>
      </c>
      <c r="L1558" s="30">
        <f>IF(OR(A1558="",B1558="",D1558=""),"",IF(D1558=_xlfn.MAXIFS($D$4:$D$2503,$A$4:$A$2503,A1558,$B$4:$B$2503,B1558),"Yes","No"))</f>
        <v/>
      </c>
      <c r="M1558" s="30">
        <f>IF(B1558="","",IFERROR(INDEX('Share classes'!$F$4:$F$203,MATCH(B1558,'Share classes'!$B$4:$B$203,0)),""))</f>
        <v/>
      </c>
      <c r="N1558" s="30">
        <f>IF(A1558="","",IF(K1558="","Unknown holder ID",IF(J1558="","Unknown class code",IF(OR(C1558="",D1558=""),"Missing shares or date",IF(OR(C1558&lt;0,C1558&lt;&gt;INT(C1558)),"Shares must be a whole number",IF(COUNTIFS($A$4:$A$2503,A1558,$B$4:$B$2503,B1558,$D$4:$D$2503,D1558)&gt;1,"Duplicate row (same date)","OK"))))))</f>
        <v/>
      </c>
    </row>
    <row r="1559">
      <c r="A1559" s="26" t="n"/>
      <c r="B1559" s="26" t="n"/>
      <c r="C1559" s="34" t="n"/>
      <c r="D1559" s="28" t="n"/>
      <c r="E1559" s="26" t="n"/>
      <c r="F1559" s="26" t="n"/>
      <c r="G1559" s="26" t="n"/>
      <c r="H1559" s="38" t="n"/>
      <c r="I1559" s="28" t="n"/>
      <c r="J1559" s="30">
        <f>IF(B1559="","",IFERROR(INDEX('Share classes'!$A$4:$A$203,MATCH(B1559,'Share classes'!$B$4:$B$203,0)),""))</f>
        <v/>
      </c>
      <c r="K1559" s="30">
        <f>IF(A1559="","",IFERROR(INDEX('Holders'!$B$4:$B$1003,MATCH(A1559,'Holders'!$A$4:$A$1003,0)),""))</f>
        <v/>
      </c>
      <c r="L1559" s="30">
        <f>IF(OR(A1559="",B1559="",D1559=""),"",IF(D1559=_xlfn.MAXIFS($D$4:$D$2503,$A$4:$A$2503,A1559,$B$4:$B$2503,B1559),"Yes","No"))</f>
        <v/>
      </c>
      <c r="M1559" s="30">
        <f>IF(B1559="","",IFERROR(INDEX('Share classes'!$F$4:$F$203,MATCH(B1559,'Share classes'!$B$4:$B$203,0)),""))</f>
        <v/>
      </c>
      <c r="N1559" s="30">
        <f>IF(A1559="","",IF(K1559="","Unknown holder ID",IF(J1559="","Unknown class code",IF(OR(C1559="",D1559=""),"Missing shares or date",IF(OR(C1559&lt;0,C1559&lt;&gt;INT(C1559)),"Shares must be a whole number",IF(COUNTIFS($A$4:$A$2503,A1559,$B$4:$B$2503,B1559,$D$4:$D$2503,D1559)&gt;1,"Duplicate row (same date)","OK"))))))</f>
        <v/>
      </c>
    </row>
    <row r="1560">
      <c r="A1560" s="26" t="n"/>
      <c r="B1560" s="26" t="n"/>
      <c r="C1560" s="34" t="n"/>
      <c r="D1560" s="28" t="n"/>
      <c r="E1560" s="26" t="n"/>
      <c r="F1560" s="26" t="n"/>
      <c r="G1560" s="26" t="n"/>
      <c r="H1560" s="38" t="n"/>
      <c r="I1560" s="28" t="n"/>
      <c r="J1560" s="30">
        <f>IF(B1560="","",IFERROR(INDEX('Share classes'!$A$4:$A$203,MATCH(B1560,'Share classes'!$B$4:$B$203,0)),""))</f>
        <v/>
      </c>
      <c r="K1560" s="30">
        <f>IF(A1560="","",IFERROR(INDEX('Holders'!$B$4:$B$1003,MATCH(A1560,'Holders'!$A$4:$A$1003,0)),""))</f>
        <v/>
      </c>
      <c r="L1560" s="30">
        <f>IF(OR(A1560="",B1560="",D1560=""),"",IF(D1560=_xlfn.MAXIFS($D$4:$D$2503,$A$4:$A$2503,A1560,$B$4:$B$2503,B1560),"Yes","No"))</f>
        <v/>
      </c>
      <c r="M1560" s="30">
        <f>IF(B1560="","",IFERROR(INDEX('Share classes'!$F$4:$F$203,MATCH(B1560,'Share classes'!$B$4:$B$203,0)),""))</f>
        <v/>
      </c>
      <c r="N1560" s="30">
        <f>IF(A1560="","",IF(K1560="","Unknown holder ID",IF(J1560="","Unknown class code",IF(OR(C1560="",D1560=""),"Missing shares or date",IF(OR(C1560&lt;0,C1560&lt;&gt;INT(C1560)),"Shares must be a whole number",IF(COUNTIFS($A$4:$A$2503,A1560,$B$4:$B$2503,B1560,$D$4:$D$2503,D1560)&gt;1,"Duplicate row (same date)","OK"))))))</f>
        <v/>
      </c>
    </row>
    <row r="1561">
      <c r="A1561" s="26" t="n"/>
      <c r="B1561" s="26" t="n"/>
      <c r="C1561" s="34" t="n"/>
      <c r="D1561" s="28" t="n"/>
      <c r="E1561" s="26" t="n"/>
      <c r="F1561" s="26" t="n"/>
      <c r="G1561" s="26" t="n"/>
      <c r="H1561" s="38" t="n"/>
      <c r="I1561" s="28" t="n"/>
      <c r="J1561" s="30">
        <f>IF(B1561="","",IFERROR(INDEX('Share classes'!$A$4:$A$203,MATCH(B1561,'Share classes'!$B$4:$B$203,0)),""))</f>
        <v/>
      </c>
      <c r="K1561" s="30">
        <f>IF(A1561="","",IFERROR(INDEX('Holders'!$B$4:$B$1003,MATCH(A1561,'Holders'!$A$4:$A$1003,0)),""))</f>
        <v/>
      </c>
      <c r="L1561" s="30">
        <f>IF(OR(A1561="",B1561="",D1561=""),"",IF(D1561=_xlfn.MAXIFS($D$4:$D$2503,$A$4:$A$2503,A1561,$B$4:$B$2503,B1561),"Yes","No"))</f>
        <v/>
      </c>
      <c r="M1561" s="30">
        <f>IF(B1561="","",IFERROR(INDEX('Share classes'!$F$4:$F$203,MATCH(B1561,'Share classes'!$B$4:$B$203,0)),""))</f>
        <v/>
      </c>
      <c r="N1561" s="30">
        <f>IF(A1561="","",IF(K1561="","Unknown holder ID",IF(J1561="","Unknown class code",IF(OR(C1561="",D1561=""),"Missing shares or date",IF(OR(C1561&lt;0,C1561&lt;&gt;INT(C1561)),"Shares must be a whole number",IF(COUNTIFS($A$4:$A$2503,A1561,$B$4:$B$2503,B1561,$D$4:$D$2503,D1561)&gt;1,"Duplicate row (same date)","OK"))))))</f>
        <v/>
      </c>
    </row>
    <row r="1562">
      <c r="A1562" s="26" t="n"/>
      <c r="B1562" s="26" t="n"/>
      <c r="C1562" s="34" t="n"/>
      <c r="D1562" s="28" t="n"/>
      <c r="E1562" s="26" t="n"/>
      <c r="F1562" s="26" t="n"/>
      <c r="G1562" s="26" t="n"/>
      <c r="H1562" s="38" t="n"/>
      <c r="I1562" s="28" t="n"/>
      <c r="J1562" s="30">
        <f>IF(B1562="","",IFERROR(INDEX('Share classes'!$A$4:$A$203,MATCH(B1562,'Share classes'!$B$4:$B$203,0)),""))</f>
        <v/>
      </c>
      <c r="K1562" s="30">
        <f>IF(A1562="","",IFERROR(INDEX('Holders'!$B$4:$B$1003,MATCH(A1562,'Holders'!$A$4:$A$1003,0)),""))</f>
        <v/>
      </c>
      <c r="L1562" s="30">
        <f>IF(OR(A1562="",B1562="",D1562=""),"",IF(D1562=_xlfn.MAXIFS($D$4:$D$2503,$A$4:$A$2503,A1562,$B$4:$B$2503,B1562),"Yes","No"))</f>
        <v/>
      </c>
      <c r="M1562" s="30">
        <f>IF(B1562="","",IFERROR(INDEX('Share classes'!$F$4:$F$203,MATCH(B1562,'Share classes'!$B$4:$B$203,0)),""))</f>
        <v/>
      </c>
      <c r="N1562" s="30">
        <f>IF(A1562="","",IF(K1562="","Unknown holder ID",IF(J1562="","Unknown class code",IF(OR(C1562="",D1562=""),"Missing shares or date",IF(OR(C1562&lt;0,C1562&lt;&gt;INT(C1562)),"Shares must be a whole number",IF(COUNTIFS($A$4:$A$2503,A1562,$B$4:$B$2503,B1562,$D$4:$D$2503,D1562)&gt;1,"Duplicate row (same date)","OK"))))))</f>
        <v/>
      </c>
    </row>
    <row r="1563">
      <c r="A1563" s="26" t="n"/>
      <c r="B1563" s="26" t="n"/>
      <c r="C1563" s="34" t="n"/>
      <c r="D1563" s="28" t="n"/>
      <c r="E1563" s="26" t="n"/>
      <c r="F1563" s="26" t="n"/>
      <c r="G1563" s="26" t="n"/>
      <c r="H1563" s="38" t="n"/>
      <c r="I1563" s="28" t="n"/>
      <c r="J1563" s="30">
        <f>IF(B1563="","",IFERROR(INDEX('Share classes'!$A$4:$A$203,MATCH(B1563,'Share classes'!$B$4:$B$203,0)),""))</f>
        <v/>
      </c>
      <c r="K1563" s="30">
        <f>IF(A1563="","",IFERROR(INDEX('Holders'!$B$4:$B$1003,MATCH(A1563,'Holders'!$A$4:$A$1003,0)),""))</f>
        <v/>
      </c>
      <c r="L1563" s="30">
        <f>IF(OR(A1563="",B1563="",D1563=""),"",IF(D1563=_xlfn.MAXIFS($D$4:$D$2503,$A$4:$A$2503,A1563,$B$4:$B$2503,B1563),"Yes","No"))</f>
        <v/>
      </c>
      <c r="M1563" s="30">
        <f>IF(B1563="","",IFERROR(INDEX('Share classes'!$F$4:$F$203,MATCH(B1563,'Share classes'!$B$4:$B$203,0)),""))</f>
        <v/>
      </c>
      <c r="N1563" s="30">
        <f>IF(A1563="","",IF(K1563="","Unknown holder ID",IF(J1563="","Unknown class code",IF(OR(C1563="",D1563=""),"Missing shares or date",IF(OR(C1563&lt;0,C1563&lt;&gt;INT(C1563)),"Shares must be a whole number",IF(COUNTIFS($A$4:$A$2503,A1563,$B$4:$B$2503,B1563,$D$4:$D$2503,D1563)&gt;1,"Duplicate row (same date)","OK"))))))</f>
        <v/>
      </c>
    </row>
    <row r="1564">
      <c r="A1564" s="26" t="n"/>
      <c r="B1564" s="26" t="n"/>
      <c r="C1564" s="34" t="n"/>
      <c r="D1564" s="28" t="n"/>
      <c r="E1564" s="26" t="n"/>
      <c r="F1564" s="26" t="n"/>
      <c r="G1564" s="26" t="n"/>
      <c r="H1564" s="38" t="n"/>
      <c r="I1564" s="28" t="n"/>
      <c r="J1564" s="30">
        <f>IF(B1564="","",IFERROR(INDEX('Share classes'!$A$4:$A$203,MATCH(B1564,'Share classes'!$B$4:$B$203,0)),""))</f>
        <v/>
      </c>
      <c r="K1564" s="30">
        <f>IF(A1564="","",IFERROR(INDEX('Holders'!$B$4:$B$1003,MATCH(A1564,'Holders'!$A$4:$A$1003,0)),""))</f>
        <v/>
      </c>
      <c r="L1564" s="30">
        <f>IF(OR(A1564="",B1564="",D1564=""),"",IF(D1564=_xlfn.MAXIFS($D$4:$D$2503,$A$4:$A$2503,A1564,$B$4:$B$2503,B1564),"Yes","No"))</f>
        <v/>
      </c>
      <c r="M1564" s="30">
        <f>IF(B1564="","",IFERROR(INDEX('Share classes'!$F$4:$F$203,MATCH(B1564,'Share classes'!$B$4:$B$203,0)),""))</f>
        <v/>
      </c>
      <c r="N1564" s="30">
        <f>IF(A1564="","",IF(K1564="","Unknown holder ID",IF(J1564="","Unknown class code",IF(OR(C1564="",D1564=""),"Missing shares or date",IF(OR(C1564&lt;0,C1564&lt;&gt;INT(C1564)),"Shares must be a whole number",IF(COUNTIFS($A$4:$A$2503,A1564,$B$4:$B$2503,B1564,$D$4:$D$2503,D1564)&gt;1,"Duplicate row (same date)","OK"))))))</f>
        <v/>
      </c>
    </row>
    <row r="1565">
      <c r="A1565" s="26" t="n"/>
      <c r="B1565" s="26" t="n"/>
      <c r="C1565" s="34" t="n"/>
      <c r="D1565" s="28" t="n"/>
      <c r="E1565" s="26" t="n"/>
      <c r="F1565" s="26" t="n"/>
      <c r="G1565" s="26" t="n"/>
      <c r="H1565" s="38" t="n"/>
      <c r="I1565" s="28" t="n"/>
      <c r="J1565" s="30">
        <f>IF(B1565="","",IFERROR(INDEX('Share classes'!$A$4:$A$203,MATCH(B1565,'Share classes'!$B$4:$B$203,0)),""))</f>
        <v/>
      </c>
      <c r="K1565" s="30">
        <f>IF(A1565="","",IFERROR(INDEX('Holders'!$B$4:$B$1003,MATCH(A1565,'Holders'!$A$4:$A$1003,0)),""))</f>
        <v/>
      </c>
      <c r="L1565" s="30">
        <f>IF(OR(A1565="",B1565="",D1565=""),"",IF(D1565=_xlfn.MAXIFS($D$4:$D$2503,$A$4:$A$2503,A1565,$B$4:$B$2503,B1565),"Yes","No"))</f>
        <v/>
      </c>
      <c r="M1565" s="30">
        <f>IF(B1565="","",IFERROR(INDEX('Share classes'!$F$4:$F$203,MATCH(B1565,'Share classes'!$B$4:$B$203,0)),""))</f>
        <v/>
      </c>
      <c r="N1565" s="30">
        <f>IF(A1565="","",IF(K1565="","Unknown holder ID",IF(J1565="","Unknown class code",IF(OR(C1565="",D1565=""),"Missing shares or date",IF(OR(C1565&lt;0,C1565&lt;&gt;INT(C1565)),"Shares must be a whole number",IF(COUNTIFS($A$4:$A$2503,A1565,$B$4:$B$2503,B1565,$D$4:$D$2503,D1565)&gt;1,"Duplicate row (same date)","OK"))))))</f>
        <v/>
      </c>
    </row>
    <row r="1566">
      <c r="A1566" s="26" t="n"/>
      <c r="B1566" s="26" t="n"/>
      <c r="C1566" s="34" t="n"/>
      <c r="D1566" s="28" t="n"/>
      <c r="E1566" s="26" t="n"/>
      <c r="F1566" s="26" t="n"/>
      <c r="G1566" s="26" t="n"/>
      <c r="H1566" s="38" t="n"/>
      <c r="I1566" s="28" t="n"/>
      <c r="J1566" s="30">
        <f>IF(B1566="","",IFERROR(INDEX('Share classes'!$A$4:$A$203,MATCH(B1566,'Share classes'!$B$4:$B$203,0)),""))</f>
        <v/>
      </c>
      <c r="K1566" s="30">
        <f>IF(A1566="","",IFERROR(INDEX('Holders'!$B$4:$B$1003,MATCH(A1566,'Holders'!$A$4:$A$1003,0)),""))</f>
        <v/>
      </c>
      <c r="L1566" s="30">
        <f>IF(OR(A1566="",B1566="",D1566=""),"",IF(D1566=_xlfn.MAXIFS($D$4:$D$2503,$A$4:$A$2503,A1566,$B$4:$B$2503,B1566),"Yes","No"))</f>
        <v/>
      </c>
      <c r="M1566" s="30">
        <f>IF(B1566="","",IFERROR(INDEX('Share classes'!$F$4:$F$203,MATCH(B1566,'Share classes'!$B$4:$B$203,0)),""))</f>
        <v/>
      </c>
      <c r="N1566" s="30">
        <f>IF(A1566="","",IF(K1566="","Unknown holder ID",IF(J1566="","Unknown class code",IF(OR(C1566="",D1566=""),"Missing shares or date",IF(OR(C1566&lt;0,C1566&lt;&gt;INT(C1566)),"Shares must be a whole number",IF(COUNTIFS($A$4:$A$2503,A1566,$B$4:$B$2503,B1566,$D$4:$D$2503,D1566)&gt;1,"Duplicate row (same date)","OK"))))))</f>
        <v/>
      </c>
    </row>
    <row r="1567">
      <c r="A1567" s="26" t="n"/>
      <c r="B1567" s="26" t="n"/>
      <c r="C1567" s="34" t="n"/>
      <c r="D1567" s="28" t="n"/>
      <c r="E1567" s="26" t="n"/>
      <c r="F1567" s="26" t="n"/>
      <c r="G1567" s="26" t="n"/>
      <c r="H1567" s="38" t="n"/>
      <c r="I1567" s="28" t="n"/>
      <c r="J1567" s="30">
        <f>IF(B1567="","",IFERROR(INDEX('Share classes'!$A$4:$A$203,MATCH(B1567,'Share classes'!$B$4:$B$203,0)),""))</f>
        <v/>
      </c>
      <c r="K1567" s="30">
        <f>IF(A1567="","",IFERROR(INDEX('Holders'!$B$4:$B$1003,MATCH(A1567,'Holders'!$A$4:$A$1003,0)),""))</f>
        <v/>
      </c>
      <c r="L1567" s="30">
        <f>IF(OR(A1567="",B1567="",D1567=""),"",IF(D1567=_xlfn.MAXIFS($D$4:$D$2503,$A$4:$A$2503,A1567,$B$4:$B$2503,B1567),"Yes","No"))</f>
        <v/>
      </c>
      <c r="M1567" s="30">
        <f>IF(B1567="","",IFERROR(INDEX('Share classes'!$F$4:$F$203,MATCH(B1567,'Share classes'!$B$4:$B$203,0)),""))</f>
        <v/>
      </c>
      <c r="N1567" s="30">
        <f>IF(A1567="","",IF(K1567="","Unknown holder ID",IF(J1567="","Unknown class code",IF(OR(C1567="",D1567=""),"Missing shares or date",IF(OR(C1567&lt;0,C1567&lt;&gt;INT(C1567)),"Shares must be a whole number",IF(COUNTIFS($A$4:$A$2503,A1567,$B$4:$B$2503,B1567,$D$4:$D$2503,D1567)&gt;1,"Duplicate row (same date)","OK"))))))</f>
        <v/>
      </c>
    </row>
    <row r="1568">
      <c r="A1568" s="26" t="n"/>
      <c r="B1568" s="26" t="n"/>
      <c r="C1568" s="34" t="n"/>
      <c r="D1568" s="28" t="n"/>
      <c r="E1568" s="26" t="n"/>
      <c r="F1568" s="26" t="n"/>
      <c r="G1568" s="26" t="n"/>
      <c r="H1568" s="38" t="n"/>
      <c r="I1568" s="28" t="n"/>
      <c r="J1568" s="30">
        <f>IF(B1568="","",IFERROR(INDEX('Share classes'!$A$4:$A$203,MATCH(B1568,'Share classes'!$B$4:$B$203,0)),""))</f>
        <v/>
      </c>
      <c r="K1568" s="30">
        <f>IF(A1568="","",IFERROR(INDEX('Holders'!$B$4:$B$1003,MATCH(A1568,'Holders'!$A$4:$A$1003,0)),""))</f>
        <v/>
      </c>
      <c r="L1568" s="30">
        <f>IF(OR(A1568="",B1568="",D1568=""),"",IF(D1568=_xlfn.MAXIFS($D$4:$D$2503,$A$4:$A$2503,A1568,$B$4:$B$2503,B1568),"Yes","No"))</f>
        <v/>
      </c>
      <c r="M1568" s="30">
        <f>IF(B1568="","",IFERROR(INDEX('Share classes'!$F$4:$F$203,MATCH(B1568,'Share classes'!$B$4:$B$203,0)),""))</f>
        <v/>
      </c>
      <c r="N1568" s="30">
        <f>IF(A1568="","",IF(K1568="","Unknown holder ID",IF(J1568="","Unknown class code",IF(OR(C1568="",D1568=""),"Missing shares or date",IF(OR(C1568&lt;0,C1568&lt;&gt;INT(C1568)),"Shares must be a whole number",IF(COUNTIFS($A$4:$A$2503,A1568,$B$4:$B$2503,B1568,$D$4:$D$2503,D1568)&gt;1,"Duplicate row (same date)","OK"))))))</f>
        <v/>
      </c>
    </row>
    <row r="1569">
      <c r="A1569" s="26" t="n"/>
      <c r="B1569" s="26" t="n"/>
      <c r="C1569" s="34" t="n"/>
      <c r="D1569" s="28" t="n"/>
      <c r="E1569" s="26" t="n"/>
      <c r="F1569" s="26" t="n"/>
      <c r="G1569" s="26" t="n"/>
      <c r="H1569" s="38" t="n"/>
      <c r="I1569" s="28" t="n"/>
      <c r="J1569" s="30">
        <f>IF(B1569="","",IFERROR(INDEX('Share classes'!$A$4:$A$203,MATCH(B1569,'Share classes'!$B$4:$B$203,0)),""))</f>
        <v/>
      </c>
      <c r="K1569" s="30">
        <f>IF(A1569="","",IFERROR(INDEX('Holders'!$B$4:$B$1003,MATCH(A1569,'Holders'!$A$4:$A$1003,0)),""))</f>
        <v/>
      </c>
      <c r="L1569" s="30">
        <f>IF(OR(A1569="",B1569="",D1569=""),"",IF(D1569=_xlfn.MAXIFS($D$4:$D$2503,$A$4:$A$2503,A1569,$B$4:$B$2503,B1569),"Yes","No"))</f>
        <v/>
      </c>
      <c r="M1569" s="30">
        <f>IF(B1569="","",IFERROR(INDEX('Share classes'!$F$4:$F$203,MATCH(B1569,'Share classes'!$B$4:$B$203,0)),""))</f>
        <v/>
      </c>
      <c r="N1569" s="30">
        <f>IF(A1569="","",IF(K1569="","Unknown holder ID",IF(J1569="","Unknown class code",IF(OR(C1569="",D1569=""),"Missing shares or date",IF(OR(C1569&lt;0,C1569&lt;&gt;INT(C1569)),"Shares must be a whole number",IF(COUNTIFS($A$4:$A$2503,A1569,$B$4:$B$2503,B1569,$D$4:$D$2503,D1569)&gt;1,"Duplicate row (same date)","OK"))))))</f>
        <v/>
      </c>
    </row>
    <row r="1570">
      <c r="A1570" s="26" t="n"/>
      <c r="B1570" s="26" t="n"/>
      <c r="C1570" s="34" t="n"/>
      <c r="D1570" s="28" t="n"/>
      <c r="E1570" s="26" t="n"/>
      <c r="F1570" s="26" t="n"/>
      <c r="G1570" s="26" t="n"/>
      <c r="H1570" s="38" t="n"/>
      <c r="I1570" s="28" t="n"/>
      <c r="J1570" s="30">
        <f>IF(B1570="","",IFERROR(INDEX('Share classes'!$A$4:$A$203,MATCH(B1570,'Share classes'!$B$4:$B$203,0)),""))</f>
        <v/>
      </c>
      <c r="K1570" s="30">
        <f>IF(A1570="","",IFERROR(INDEX('Holders'!$B$4:$B$1003,MATCH(A1570,'Holders'!$A$4:$A$1003,0)),""))</f>
        <v/>
      </c>
      <c r="L1570" s="30">
        <f>IF(OR(A1570="",B1570="",D1570=""),"",IF(D1570=_xlfn.MAXIFS($D$4:$D$2503,$A$4:$A$2503,A1570,$B$4:$B$2503,B1570),"Yes","No"))</f>
        <v/>
      </c>
      <c r="M1570" s="30">
        <f>IF(B1570="","",IFERROR(INDEX('Share classes'!$F$4:$F$203,MATCH(B1570,'Share classes'!$B$4:$B$203,0)),""))</f>
        <v/>
      </c>
      <c r="N1570" s="30">
        <f>IF(A1570="","",IF(K1570="","Unknown holder ID",IF(J1570="","Unknown class code",IF(OR(C1570="",D1570=""),"Missing shares or date",IF(OR(C1570&lt;0,C1570&lt;&gt;INT(C1570)),"Shares must be a whole number",IF(COUNTIFS($A$4:$A$2503,A1570,$B$4:$B$2503,B1570,$D$4:$D$2503,D1570)&gt;1,"Duplicate row (same date)","OK"))))))</f>
        <v/>
      </c>
    </row>
    <row r="1571">
      <c r="A1571" s="26" t="n"/>
      <c r="B1571" s="26" t="n"/>
      <c r="C1571" s="34" t="n"/>
      <c r="D1571" s="28" t="n"/>
      <c r="E1571" s="26" t="n"/>
      <c r="F1571" s="26" t="n"/>
      <c r="G1571" s="26" t="n"/>
      <c r="H1571" s="38" t="n"/>
      <c r="I1571" s="28" t="n"/>
      <c r="J1571" s="30">
        <f>IF(B1571="","",IFERROR(INDEX('Share classes'!$A$4:$A$203,MATCH(B1571,'Share classes'!$B$4:$B$203,0)),""))</f>
        <v/>
      </c>
      <c r="K1571" s="30">
        <f>IF(A1571="","",IFERROR(INDEX('Holders'!$B$4:$B$1003,MATCH(A1571,'Holders'!$A$4:$A$1003,0)),""))</f>
        <v/>
      </c>
      <c r="L1571" s="30">
        <f>IF(OR(A1571="",B1571="",D1571=""),"",IF(D1571=_xlfn.MAXIFS($D$4:$D$2503,$A$4:$A$2503,A1571,$B$4:$B$2503,B1571),"Yes","No"))</f>
        <v/>
      </c>
      <c r="M1571" s="30">
        <f>IF(B1571="","",IFERROR(INDEX('Share classes'!$F$4:$F$203,MATCH(B1571,'Share classes'!$B$4:$B$203,0)),""))</f>
        <v/>
      </c>
      <c r="N1571" s="30">
        <f>IF(A1571="","",IF(K1571="","Unknown holder ID",IF(J1571="","Unknown class code",IF(OR(C1571="",D1571=""),"Missing shares or date",IF(OR(C1571&lt;0,C1571&lt;&gt;INT(C1571)),"Shares must be a whole number",IF(COUNTIFS($A$4:$A$2503,A1571,$B$4:$B$2503,B1571,$D$4:$D$2503,D1571)&gt;1,"Duplicate row (same date)","OK"))))))</f>
        <v/>
      </c>
    </row>
    <row r="1572">
      <c r="A1572" s="26" t="n"/>
      <c r="B1572" s="26" t="n"/>
      <c r="C1572" s="34" t="n"/>
      <c r="D1572" s="28" t="n"/>
      <c r="E1572" s="26" t="n"/>
      <c r="F1572" s="26" t="n"/>
      <c r="G1572" s="26" t="n"/>
      <c r="H1572" s="38" t="n"/>
      <c r="I1572" s="28" t="n"/>
      <c r="J1572" s="30">
        <f>IF(B1572="","",IFERROR(INDEX('Share classes'!$A$4:$A$203,MATCH(B1572,'Share classes'!$B$4:$B$203,0)),""))</f>
        <v/>
      </c>
      <c r="K1572" s="30">
        <f>IF(A1572="","",IFERROR(INDEX('Holders'!$B$4:$B$1003,MATCH(A1572,'Holders'!$A$4:$A$1003,0)),""))</f>
        <v/>
      </c>
      <c r="L1572" s="30">
        <f>IF(OR(A1572="",B1572="",D1572=""),"",IF(D1572=_xlfn.MAXIFS($D$4:$D$2503,$A$4:$A$2503,A1572,$B$4:$B$2503,B1572),"Yes","No"))</f>
        <v/>
      </c>
      <c r="M1572" s="30">
        <f>IF(B1572="","",IFERROR(INDEX('Share classes'!$F$4:$F$203,MATCH(B1572,'Share classes'!$B$4:$B$203,0)),""))</f>
        <v/>
      </c>
      <c r="N1572" s="30">
        <f>IF(A1572="","",IF(K1572="","Unknown holder ID",IF(J1572="","Unknown class code",IF(OR(C1572="",D1572=""),"Missing shares or date",IF(OR(C1572&lt;0,C1572&lt;&gt;INT(C1572)),"Shares must be a whole number",IF(COUNTIFS($A$4:$A$2503,A1572,$B$4:$B$2503,B1572,$D$4:$D$2503,D1572)&gt;1,"Duplicate row (same date)","OK"))))))</f>
        <v/>
      </c>
    </row>
    <row r="1573">
      <c r="A1573" s="26" t="n"/>
      <c r="B1573" s="26" t="n"/>
      <c r="C1573" s="34" t="n"/>
      <c r="D1573" s="28" t="n"/>
      <c r="E1573" s="26" t="n"/>
      <c r="F1573" s="26" t="n"/>
      <c r="G1573" s="26" t="n"/>
      <c r="H1573" s="38" t="n"/>
      <c r="I1573" s="28" t="n"/>
      <c r="J1573" s="30">
        <f>IF(B1573="","",IFERROR(INDEX('Share classes'!$A$4:$A$203,MATCH(B1573,'Share classes'!$B$4:$B$203,0)),""))</f>
        <v/>
      </c>
      <c r="K1573" s="30">
        <f>IF(A1573="","",IFERROR(INDEX('Holders'!$B$4:$B$1003,MATCH(A1573,'Holders'!$A$4:$A$1003,0)),""))</f>
        <v/>
      </c>
      <c r="L1573" s="30">
        <f>IF(OR(A1573="",B1573="",D1573=""),"",IF(D1573=_xlfn.MAXIFS($D$4:$D$2503,$A$4:$A$2503,A1573,$B$4:$B$2503,B1573),"Yes","No"))</f>
        <v/>
      </c>
      <c r="M1573" s="30">
        <f>IF(B1573="","",IFERROR(INDEX('Share classes'!$F$4:$F$203,MATCH(B1573,'Share classes'!$B$4:$B$203,0)),""))</f>
        <v/>
      </c>
      <c r="N1573" s="30">
        <f>IF(A1573="","",IF(K1573="","Unknown holder ID",IF(J1573="","Unknown class code",IF(OR(C1573="",D1573=""),"Missing shares or date",IF(OR(C1573&lt;0,C1573&lt;&gt;INT(C1573)),"Shares must be a whole number",IF(COUNTIFS($A$4:$A$2503,A1573,$B$4:$B$2503,B1573,$D$4:$D$2503,D1573)&gt;1,"Duplicate row (same date)","OK"))))))</f>
        <v/>
      </c>
    </row>
    <row r="1574">
      <c r="A1574" s="26" t="n"/>
      <c r="B1574" s="26" t="n"/>
      <c r="C1574" s="34" t="n"/>
      <c r="D1574" s="28" t="n"/>
      <c r="E1574" s="26" t="n"/>
      <c r="F1574" s="26" t="n"/>
      <c r="G1574" s="26" t="n"/>
      <c r="H1574" s="38" t="n"/>
      <c r="I1574" s="28" t="n"/>
      <c r="J1574" s="30">
        <f>IF(B1574="","",IFERROR(INDEX('Share classes'!$A$4:$A$203,MATCH(B1574,'Share classes'!$B$4:$B$203,0)),""))</f>
        <v/>
      </c>
      <c r="K1574" s="30">
        <f>IF(A1574="","",IFERROR(INDEX('Holders'!$B$4:$B$1003,MATCH(A1574,'Holders'!$A$4:$A$1003,0)),""))</f>
        <v/>
      </c>
      <c r="L1574" s="30">
        <f>IF(OR(A1574="",B1574="",D1574=""),"",IF(D1574=_xlfn.MAXIFS($D$4:$D$2503,$A$4:$A$2503,A1574,$B$4:$B$2503,B1574),"Yes","No"))</f>
        <v/>
      </c>
      <c r="M1574" s="30">
        <f>IF(B1574="","",IFERROR(INDEX('Share classes'!$F$4:$F$203,MATCH(B1574,'Share classes'!$B$4:$B$203,0)),""))</f>
        <v/>
      </c>
      <c r="N1574" s="30">
        <f>IF(A1574="","",IF(K1574="","Unknown holder ID",IF(J1574="","Unknown class code",IF(OR(C1574="",D1574=""),"Missing shares or date",IF(OR(C1574&lt;0,C1574&lt;&gt;INT(C1574)),"Shares must be a whole number",IF(COUNTIFS($A$4:$A$2503,A1574,$B$4:$B$2503,B1574,$D$4:$D$2503,D1574)&gt;1,"Duplicate row (same date)","OK"))))))</f>
        <v/>
      </c>
    </row>
    <row r="1575">
      <c r="A1575" s="26" t="n"/>
      <c r="B1575" s="26" t="n"/>
      <c r="C1575" s="34" t="n"/>
      <c r="D1575" s="28" t="n"/>
      <c r="E1575" s="26" t="n"/>
      <c r="F1575" s="26" t="n"/>
      <c r="G1575" s="26" t="n"/>
      <c r="H1575" s="38" t="n"/>
      <c r="I1575" s="28" t="n"/>
      <c r="J1575" s="30">
        <f>IF(B1575="","",IFERROR(INDEX('Share classes'!$A$4:$A$203,MATCH(B1575,'Share classes'!$B$4:$B$203,0)),""))</f>
        <v/>
      </c>
      <c r="K1575" s="30">
        <f>IF(A1575="","",IFERROR(INDEX('Holders'!$B$4:$B$1003,MATCH(A1575,'Holders'!$A$4:$A$1003,0)),""))</f>
        <v/>
      </c>
      <c r="L1575" s="30">
        <f>IF(OR(A1575="",B1575="",D1575=""),"",IF(D1575=_xlfn.MAXIFS($D$4:$D$2503,$A$4:$A$2503,A1575,$B$4:$B$2503,B1575),"Yes","No"))</f>
        <v/>
      </c>
      <c r="M1575" s="30">
        <f>IF(B1575="","",IFERROR(INDEX('Share classes'!$F$4:$F$203,MATCH(B1575,'Share classes'!$B$4:$B$203,0)),""))</f>
        <v/>
      </c>
      <c r="N1575" s="30">
        <f>IF(A1575="","",IF(K1575="","Unknown holder ID",IF(J1575="","Unknown class code",IF(OR(C1575="",D1575=""),"Missing shares or date",IF(OR(C1575&lt;0,C1575&lt;&gt;INT(C1575)),"Shares must be a whole number",IF(COUNTIFS($A$4:$A$2503,A1575,$B$4:$B$2503,B1575,$D$4:$D$2503,D1575)&gt;1,"Duplicate row (same date)","OK"))))))</f>
        <v/>
      </c>
    </row>
    <row r="1576">
      <c r="A1576" s="26" t="n"/>
      <c r="B1576" s="26" t="n"/>
      <c r="C1576" s="34" t="n"/>
      <c r="D1576" s="28" t="n"/>
      <c r="E1576" s="26" t="n"/>
      <c r="F1576" s="26" t="n"/>
      <c r="G1576" s="26" t="n"/>
      <c r="H1576" s="38" t="n"/>
      <c r="I1576" s="28" t="n"/>
      <c r="J1576" s="30">
        <f>IF(B1576="","",IFERROR(INDEX('Share classes'!$A$4:$A$203,MATCH(B1576,'Share classes'!$B$4:$B$203,0)),""))</f>
        <v/>
      </c>
      <c r="K1576" s="30">
        <f>IF(A1576="","",IFERROR(INDEX('Holders'!$B$4:$B$1003,MATCH(A1576,'Holders'!$A$4:$A$1003,0)),""))</f>
        <v/>
      </c>
      <c r="L1576" s="30">
        <f>IF(OR(A1576="",B1576="",D1576=""),"",IF(D1576=_xlfn.MAXIFS($D$4:$D$2503,$A$4:$A$2503,A1576,$B$4:$B$2503,B1576),"Yes","No"))</f>
        <v/>
      </c>
      <c r="M1576" s="30">
        <f>IF(B1576="","",IFERROR(INDEX('Share classes'!$F$4:$F$203,MATCH(B1576,'Share classes'!$B$4:$B$203,0)),""))</f>
        <v/>
      </c>
      <c r="N1576" s="30">
        <f>IF(A1576="","",IF(K1576="","Unknown holder ID",IF(J1576="","Unknown class code",IF(OR(C1576="",D1576=""),"Missing shares or date",IF(OR(C1576&lt;0,C1576&lt;&gt;INT(C1576)),"Shares must be a whole number",IF(COUNTIFS($A$4:$A$2503,A1576,$B$4:$B$2503,B1576,$D$4:$D$2503,D1576)&gt;1,"Duplicate row (same date)","OK"))))))</f>
        <v/>
      </c>
    </row>
    <row r="1577">
      <c r="A1577" s="26" t="n"/>
      <c r="B1577" s="26" t="n"/>
      <c r="C1577" s="34" t="n"/>
      <c r="D1577" s="28" t="n"/>
      <c r="E1577" s="26" t="n"/>
      <c r="F1577" s="26" t="n"/>
      <c r="G1577" s="26" t="n"/>
      <c r="H1577" s="38" t="n"/>
      <c r="I1577" s="28" t="n"/>
      <c r="J1577" s="30">
        <f>IF(B1577="","",IFERROR(INDEX('Share classes'!$A$4:$A$203,MATCH(B1577,'Share classes'!$B$4:$B$203,0)),""))</f>
        <v/>
      </c>
      <c r="K1577" s="30">
        <f>IF(A1577="","",IFERROR(INDEX('Holders'!$B$4:$B$1003,MATCH(A1577,'Holders'!$A$4:$A$1003,0)),""))</f>
        <v/>
      </c>
      <c r="L1577" s="30">
        <f>IF(OR(A1577="",B1577="",D1577=""),"",IF(D1577=_xlfn.MAXIFS($D$4:$D$2503,$A$4:$A$2503,A1577,$B$4:$B$2503,B1577),"Yes","No"))</f>
        <v/>
      </c>
      <c r="M1577" s="30">
        <f>IF(B1577="","",IFERROR(INDEX('Share classes'!$F$4:$F$203,MATCH(B1577,'Share classes'!$B$4:$B$203,0)),""))</f>
        <v/>
      </c>
      <c r="N1577" s="30">
        <f>IF(A1577="","",IF(K1577="","Unknown holder ID",IF(J1577="","Unknown class code",IF(OR(C1577="",D1577=""),"Missing shares or date",IF(OR(C1577&lt;0,C1577&lt;&gt;INT(C1577)),"Shares must be a whole number",IF(COUNTIFS($A$4:$A$2503,A1577,$B$4:$B$2503,B1577,$D$4:$D$2503,D1577)&gt;1,"Duplicate row (same date)","OK"))))))</f>
        <v/>
      </c>
    </row>
    <row r="1578">
      <c r="A1578" s="26" t="n"/>
      <c r="B1578" s="26" t="n"/>
      <c r="C1578" s="34" t="n"/>
      <c r="D1578" s="28" t="n"/>
      <c r="E1578" s="26" t="n"/>
      <c r="F1578" s="26" t="n"/>
      <c r="G1578" s="26" t="n"/>
      <c r="H1578" s="38" t="n"/>
      <c r="I1578" s="28" t="n"/>
      <c r="J1578" s="30">
        <f>IF(B1578="","",IFERROR(INDEX('Share classes'!$A$4:$A$203,MATCH(B1578,'Share classes'!$B$4:$B$203,0)),""))</f>
        <v/>
      </c>
      <c r="K1578" s="30">
        <f>IF(A1578="","",IFERROR(INDEX('Holders'!$B$4:$B$1003,MATCH(A1578,'Holders'!$A$4:$A$1003,0)),""))</f>
        <v/>
      </c>
      <c r="L1578" s="30">
        <f>IF(OR(A1578="",B1578="",D1578=""),"",IF(D1578=_xlfn.MAXIFS($D$4:$D$2503,$A$4:$A$2503,A1578,$B$4:$B$2503,B1578),"Yes","No"))</f>
        <v/>
      </c>
      <c r="M1578" s="30">
        <f>IF(B1578="","",IFERROR(INDEX('Share classes'!$F$4:$F$203,MATCH(B1578,'Share classes'!$B$4:$B$203,0)),""))</f>
        <v/>
      </c>
      <c r="N1578" s="30">
        <f>IF(A1578="","",IF(K1578="","Unknown holder ID",IF(J1578="","Unknown class code",IF(OR(C1578="",D1578=""),"Missing shares or date",IF(OR(C1578&lt;0,C1578&lt;&gt;INT(C1578)),"Shares must be a whole number",IF(COUNTIFS($A$4:$A$2503,A1578,$B$4:$B$2503,B1578,$D$4:$D$2503,D1578)&gt;1,"Duplicate row (same date)","OK"))))))</f>
        <v/>
      </c>
    </row>
    <row r="1579">
      <c r="A1579" s="26" t="n"/>
      <c r="B1579" s="26" t="n"/>
      <c r="C1579" s="34" t="n"/>
      <c r="D1579" s="28" t="n"/>
      <c r="E1579" s="26" t="n"/>
      <c r="F1579" s="26" t="n"/>
      <c r="G1579" s="26" t="n"/>
      <c r="H1579" s="38" t="n"/>
      <c r="I1579" s="28" t="n"/>
      <c r="J1579" s="30">
        <f>IF(B1579="","",IFERROR(INDEX('Share classes'!$A$4:$A$203,MATCH(B1579,'Share classes'!$B$4:$B$203,0)),""))</f>
        <v/>
      </c>
      <c r="K1579" s="30">
        <f>IF(A1579="","",IFERROR(INDEX('Holders'!$B$4:$B$1003,MATCH(A1579,'Holders'!$A$4:$A$1003,0)),""))</f>
        <v/>
      </c>
      <c r="L1579" s="30">
        <f>IF(OR(A1579="",B1579="",D1579=""),"",IF(D1579=_xlfn.MAXIFS($D$4:$D$2503,$A$4:$A$2503,A1579,$B$4:$B$2503,B1579),"Yes","No"))</f>
        <v/>
      </c>
      <c r="M1579" s="30">
        <f>IF(B1579="","",IFERROR(INDEX('Share classes'!$F$4:$F$203,MATCH(B1579,'Share classes'!$B$4:$B$203,0)),""))</f>
        <v/>
      </c>
      <c r="N1579" s="30">
        <f>IF(A1579="","",IF(K1579="","Unknown holder ID",IF(J1579="","Unknown class code",IF(OR(C1579="",D1579=""),"Missing shares or date",IF(OR(C1579&lt;0,C1579&lt;&gt;INT(C1579)),"Shares must be a whole number",IF(COUNTIFS($A$4:$A$2503,A1579,$B$4:$B$2503,B1579,$D$4:$D$2503,D1579)&gt;1,"Duplicate row (same date)","OK"))))))</f>
        <v/>
      </c>
    </row>
    <row r="1580">
      <c r="A1580" s="26" t="n"/>
      <c r="B1580" s="26" t="n"/>
      <c r="C1580" s="34" t="n"/>
      <c r="D1580" s="28" t="n"/>
      <c r="E1580" s="26" t="n"/>
      <c r="F1580" s="26" t="n"/>
      <c r="G1580" s="26" t="n"/>
      <c r="H1580" s="38" t="n"/>
      <c r="I1580" s="28" t="n"/>
      <c r="J1580" s="30">
        <f>IF(B1580="","",IFERROR(INDEX('Share classes'!$A$4:$A$203,MATCH(B1580,'Share classes'!$B$4:$B$203,0)),""))</f>
        <v/>
      </c>
      <c r="K1580" s="30">
        <f>IF(A1580="","",IFERROR(INDEX('Holders'!$B$4:$B$1003,MATCH(A1580,'Holders'!$A$4:$A$1003,0)),""))</f>
        <v/>
      </c>
      <c r="L1580" s="30">
        <f>IF(OR(A1580="",B1580="",D1580=""),"",IF(D1580=_xlfn.MAXIFS($D$4:$D$2503,$A$4:$A$2503,A1580,$B$4:$B$2503,B1580),"Yes","No"))</f>
        <v/>
      </c>
      <c r="M1580" s="30">
        <f>IF(B1580="","",IFERROR(INDEX('Share classes'!$F$4:$F$203,MATCH(B1580,'Share classes'!$B$4:$B$203,0)),""))</f>
        <v/>
      </c>
      <c r="N1580" s="30">
        <f>IF(A1580="","",IF(K1580="","Unknown holder ID",IF(J1580="","Unknown class code",IF(OR(C1580="",D1580=""),"Missing shares or date",IF(OR(C1580&lt;0,C1580&lt;&gt;INT(C1580)),"Shares must be a whole number",IF(COUNTIFS($A$4:$A$2503,A1580,$B$4:$B$2503,B1580,$D$4:$D$2503,D1580)&gt;1,"Duplicate row (same date)","OK"))))))</f>
        <v/>
      </c>
    </row>
    <row r="1581">
      <c r="A1581" s="26" t="n"/>
      <c r="B1581" s="26" t="n"/>
      <c r="C1581" s="34" t="n"/>
      <c r="D1581" s="28" t="n"/>
      <c r="E1581" s="26" t="n"/>
      <c r="F1581" s="26" t="n"/>
      <c r="G1581" s="26" t="n"/>
      <c r="H1581" s="38" t="n"/>
      <c r="I1581" s="28" t="n"/>
      <c r="J1581" s="30">
        <f>IF(B1581="","",IFERROR(INDEX('Share classes'!$A$4:$A$203,MATCH(B1581,'Share classes'!$B$4:$B$203,0)),""))</f>
        <v/>
      </c>
      <c r="K1581" s="30">
        <f>IF(A1581="","",IFERROR(INDEX('Holders'!$B$4:$B$1003,MATCH(A1581,'Holders'!$A$4:$A$1003,0)),""))</f>
        <v/>
      </c>
      <c r="L1581" s="30">
        <f>IF(OR(A1581="",B1581="",D1581=""),"",IF(D1581=_xlfn.MAXIFS($D$4:$D$2503,$A$4:$A$2503,A1581,$B$4:$B$2503,B1581),"Yes","No"))</f>
        <v/>
      </c>
      <c r="M1581" s="30">
        <f>IF(B1581="","",IFERROR(INDEX('Share classes'!$F$4:$F$203,MATCH(B1581,'Share classes'!$B$4:$B$203,0)),""))</f>
        <v/>
      </c>
      <c r="N1581" s="30">
        <f>IF(A1581="","",IF(K1581="","Unknown holder ID",IF(J1581="","Unknown class code",IF(OR(C1581="",D1581=""),"Missing shares or date",IF(OR(C1581&lt;0,C1581&lt;&gt;INT(C1581)),"Shares must be a whole number",IF(COUNTIFS($A$4:$A$2503,A1581,$B$4:$B$2503,B1581,$D$4:$D$2503,D1581)&gt;1,"Duplicate row (same date)","OK"))))))</f>
        <v/>
      </c>
    </row>
    <row r="1582">
      <c r="A1582" s="26" t="n"/>
      <c r="B1582" s="26" t="n"/>
      <c r="C1582" s="34" t="n"/>
      <c r="D1582" s="28" t="n"/>
      <c r="E1582" s="26" t="n"/>
      <c r="F1582" s="26" t="n"/>
      <c r="G1582" s="26" t="n"/>
      <c r="H1582" s="38" t="n"/>
      <c r="I1582" s="28" t="n"/>
      <c r="J1582" s="30">
        <f>IF(B1582="","",IFERROR(INDEX('Share classes'!$A$4:$A$203,MATCH(B1582,'Share classes'!$B$4:$B$203,0)),""))</f>
        <v/>
      </c>
      <c r="K1582" s="30">
        <f>IF(A1582="","",IFERROR(INDEX('Holders'!$B$4:$B$1003,MATCH(A1582,'Holders'!$A$4:$A$1003,0)),""))</f>
        <v/>
      </c>
      <c r="L1582" s="30">
        <f>IF(OR(A1582="",B1582="",D1582=""),"",IF(D1582=_xlfn.MAXIFS($D$4:$D$2503,$A$4:$A$2503,A1582,$B$4:$B$2503,B1582),"Yes","No"))</f>
        <v/>
      </c>
      <c r="M1582" s="30">
        <f>IF(B1582="","",IFERROR(INDEX('Share classes'!$F$4:$F$203,MATCH(B1582,'Share classes'!$B$4:$B$203,0)),""))</f>
        <v/>
      </c>
      <c r="N1582" s="30">
        <f>IF(A1582="","",IF(K1582="","Unknown holder ID",IF(J1582="","Unknown class code",IF(OR(C1582="",D1582=""),"Missing shares or date",IF(OR(C1582&lt;0,C1582&lt;&gt;INT(C1582)),"Shares must be a whole number",IF(COUNTIFS($A$4:$A$2503,A1582,$B$4:$B$2503,B1582,$D$4:$D$2503,D1582)&gt;1,"Duplicate row (same date)","OK"))))))</f>
        <v/>
      </c>
    </row>
    <row r="1583">
      <c r="A1583" s="26" t="n"/>
      <c r="B1583" s="26" t="n"/>
      <c r="C1583" s="34" t="n"/>
      <c r="D1583" s="28" t="n"/>
      <c r="E1583" s="26" t="n"/>
      <c r="F1583" s="26" t="n"/>
      <c r="G1583" s="26" t="n"/>
      <c r="H1583" s="38" t="n"/>
      <c r="I1583" s="28" t="n"/>
      <c r="J1583" s="30">
        <f>IF(B1583="","",IFERROR(INDEX('Share classes'!$A$4:$A$203,MATCH(B1583,'Share classes'!$B$4:$B$203,0)),""))</f>
        <v/>
      </c>
      <c r="K1583" s="30">
        <f>IF(A1583="","",IFERROR(INDEX('Holders'!$B$4:$B$1003,MATCH(A1583,'Holders'!$A$4:$A$1003,0)),""))</f>
        <v/>
      </c>
      <c r="L1583" s="30">
        <f>IF(OR(A1583="",B1583="",D1583=""),"",IF(D1583=_xlfn.MAXIFS($D$4:$D$2503,$A$4:$A$2503,A1583,$B$4:$B$2503,B1583),"Yes","No"))</f>
        <v/>
      </c>
      <c r="M1583" s="30">
        <f>IF(B1583="","",IFERROR(INDEX('Share classes'!$F$4:$F$203,MATCH(B1583,'Share classes'!$B$4:$B$203,0)),""))</f>
        <v/>
      </c>
      <c r="N1583" s="30">
        <f>IF(A1583="","",IF(K1583="","Unknown holder ID",IF(J1583="","Unknown class code",IF(OR(C1583="",D1583=""),"Missing shares or date",IF(OR(C1583&lt;0,C1583&lt;&gt;INT(C1583)),"Shares must be a whole number",IF(COUNTIFS($A$4:$A$2503,A1583,$B$4:$B$2503,B1583,$D$4:$D$2503,D1583)&gt;1,"Duplicate row (same date)","OK"))))))</f>
        <v/>
      </c>
    </row>
    <row r="1584">
      <c r="A1584" s="26" t="n"/>
      <c r="B1584" s="26" t="n"/>
      <c r="C1584" s="34" t="n"/>
      <c r="D1584" s="28" t="n"/>
      <c r="E1584" s="26" t="n"/>
      <c r="F1584" s="26" t="n"/>
      <c r="G1584" s="26" t="n"/>
      <c r="H1584" s="38" t="n"/>
      <c r="I1584" s="28" t="n"/>
      <c r="J1584" s="30">
        <f>IF(B1584="","",IFERROR(INDEX('Share classes'!$A$4:$A$203,MATCH(B1584,'Share classes'!$B$4:$B$203,0)),""))</f>
        <v/>
      </c>
      <c r="K1584" s="30">
        <f>IF(A1584="","",IFERROR(INDEX('Holders'!$B$4:$B$1003,MATCH(A1584,'Holders'!$A$4:$A$1003,0)),""))</f>
        <v/>
      </c>
      <c r="L1584" s="30">
        <f>IF(OR(A1584="",B1584="",D1584=""),"",IF(D1584=_xlfn.MAXIFS($D$4:$D$2503,$A$4:$A$2503,A1584,$B$4:$B$2503,B1584),"Yes","No"))</f>
        <v/>
      </c>
      <c r="M1584" s="30">
        <f>IF(B1584="","",IFERROR(INDEX('Share classes'!$F$4:$F$203,MATCH(B1584,'Share classes'!$B$4:$B$203,0)),""))</f>
        <v/>
      </c>
      <c r="N1584" s="30">
        <f>IF(A1584="","",IF(K1584="","Unknown holder ID",IF(J1584="","Unknown class code",IF(OR(C1584="",D1584=""),"Missing shares or date",IF(OR(C1584&lt;0,C1584&lt;&gt;INT(C1584)),"Shares must be a whole number",IF(COUNTIFS($A$4:$A$2503,A1584,$B$4:$B$2503,B1584,$D$4:$D$2503,D1584)&gt;1,"Duplicate row (same date)","OK"))))))</f>
        <v/>
      </c>
    </row>
    <row r="1585">
      <c r="A1585" s="26" t="n"/>
      <c r="B1585" s="26" t="n"/>
      <c r="C1585" s="34" t="n"/>
      <c r="D1585" s="28" t="n"/>
      <c r="E1585" s="26" t="n"/>
      <c r="F1585" s="26" t="n"/>
      <c r="G1585" s="26" t="n"/>
      <c r="H1585" s="38" t="n"/>
      <c r="I1585" s="28" t="n"/>
      <c r="J1585" s="30">
        <f>IF(B1585="","",IFERROR(INDEX('Share classes'!$A$4:$A$203,MATCH(B1585,'Share classes'!$B$4:$B$203,0)),""))</f>
        <v/>
      </c>
      <c r="K1585" s="30">
        <f>IF(A1585="","",IFERROR(INDEX('Holders'!$B$4:$B$1003,MATCH(A1585,'Holders'!$A$4:$A$1003,0)),""))</f>
        <v/>
      </c>
      <c r="L1585" s="30">
        <f>IF(OR(A1585="",B1585="",D1585=""),"",IF(D1585=_xlfn.MAXIFS($D$4:$D$2503,$A$4:$A$2503,A1585,$B$4:$B$2503,B1585),"Yes","No"))</f>
        <v/>
      </c>
      <c r="M1585" s="30">
        <f>IF(B1585="","",IFERROR(INDEX('Share classes'!$F$4:$F$203,MATCH(B1585,'Share classes'!$B$4:$B$203,0)),""))</f>
        <v/>
      </c>
      <c r="N1585" s="30">
        <f>IF(A1585="","",IF(K1585="","Unknown holder ID",IF(J1585="","Unknown class code",IF(OR(C1585="",D1585=""),"Missing shares or date",IF(OR(C1585&lt;0,C1585&lt;&gt;INT(C1585)),"Shares must be a whole number",IF(COUNTIFS($A$4:$A$2503,A1585,$B$4:$B$2503,B1585,$D$4:$D$2503,D1585)&gt;1,"Duplicate row (same date)","OK"))))))</f>
        <v/>
      </c>
    </row>
    <row r="1586">
      <c r="A1586" s="26" t="n"/>
      <c r="B1586" s="26" t="n"/>
      <c r="C1586" s="34" t="n"/>
      <c r="D1586" s="28" t="n"/>
      <c r="E1586" s="26" t="n"/>
      <c r="F1586" s="26" t="n"/>
      <c r="G1586" s="26" t="n"/>
      <c r="H1586" s="38" t="n"/>
      <c r="I1586" s="28" t="n"/>
      <c r="J1586" s="30">
        <f>IF(B1586="","",IFERROR(INDEX('Share classes'!$A$4:$A$203,MATCH(B1586,'Share classes'!$B$4:$B$203,0)),""))</f>
        <v/>
      </c>
      <c r="K1586" s="30">
        <f>IF(A1586="","",IFERROR(INDEX('Holders'!$B$4:$B$1003,MATCH(A1586,'Holders'!$A$4:$A$1003,0)),""))</f>
        <v/>
      </c>
      <c r="L1586" s="30">
        <f>IF(OR(A1586="",B1586="",D1586=""),"",IF(D1586=_xlfn.MAXIFS($D$4:$D$2503,$A$4:$A$2503,A1586,$B$4:$B$2503,B1586),"Yes","No"))</f>
        <v/>
      </c>
      <c r="M1586" s="30">
        <f>IF(B1586="","",IFERROR(INDEX('Share classes'!$F$4:$F$203,MATCH(B1586,'Share classes'!$B$4:$B$203,0)),""))</f>
        <v/>
      </c>
      <c r="N1586" s="30">
        <f>IF(A1586="","",IF(K1586="","Unknown holder ID",IF(J1586="","Unknown class code",IF(OR(C1586="",D1586=""),"Missing shares or date",IF(OR(C1586&lt;0,C1586&lt;&gt;INT(C1586)),"Shares must be a whole number",IF(COUNTIFS($A$4:$A$2503,A1586,$B$4:$B$2503,B1586,$D$4:$D$2503,D1586)&gt;1,"Duplicate row (same date)","OK"))))))</f>
        <v/>
      </c>
    </row>
    <row r="1587">
      <c r="A1587" s="26" t="n"/>
      <c r="B1587" s="26" t="n"/>
      <c r="C1587" s="34" t="n"/>
      <c r="D1587" s="28" t="n"/>
      <c r="E1587" s="26" t="n"/>
      <c r="F1587" s="26" t="n"/>
      <c r="G1587" s="26" t="n"/>
      <c r="H1587" s="38" t="n"/>
      <c r="I1587" s="28" t="n"/>
      <c r="J1587" s="30">
        <f>IF(B1587="","",IFERROR(INDEX('Share classes'!$A$4:$A$203,MATCH(B1587,'Share classes'!$B$4:$B$203,0)),""))</f>
        <v/>
      </c>
      <c r="K1587" s="30">
        <f>IF(A1587="","",IFERROR(INDEX('Holders'!$B$4:$B$1003,MATCH(A1587,'Holders'!$A$4:$A$1003,0)),""))</f>
        <v/>
      </c>
      <c r="L1587" s="30">
        <f>IF(OR(A1587="",B1587="",D1587=""),"",IF(D1587=_xlfn.MAXIFS($D$4:$D$2503,$A$4:$A$2503,A1587,$B$4:$B$2503,B1587),"Yes","No"))</f>
        <v/>
      </c>
      <c r="M1587" s="30">
        <f>IF(B1587="","",IFERROR(INDEX('Share classes'!$F$4:$F$203,MATCH(B1587,'Share classes'!$B$4:$B$203,0)),""))</f>
        <v/>
      </c>
      <c r="N1587" s="30">
        <f>IF(A1587="","",IF(K1587="","Unknown holder ID",IF(J1587="","Unknown class code",IF(OR(C1587="",D1587=""),"Missing shares or date",IF(OR(C1587&lt;0,C1587&lt;&gt;INT(C1587)),"Shares must be a whole number",IF(COUNTIFS($A$4:$A$2503,A1587,$B$4:$B$2503,B1587,$D$4:$D$2503,D1587)&gt;1,"Duplicate row (same date)","OK"))))))</f>
        <v/>
      </c>
    </row>
    <row r="1588">
      <c r="A1588" s="26" t="n"/>
      <c r="B1588" s="26" t="n"/>
      <c r="C1588" s="34" t="n"/>
      <c r="D1588" s="28" t="n"/>
      <c r="E1588" s="26" t="n"/>
      <c r="F1588" s="26" t="n"/>
      <c r="G1588" s="26" t="n"/>
      <c r="H1588" s="38" t="n"/>
      <c r="I1588" s="28" t="n"/>
      <c r="J1588" s="30">
        <f>IF(B1588="","",IFERROR(INDEX('Share classes'!$A$4:$A$203,MATCH(B1588,'Share classes'!$B$4:$B$203,0)),""))</f>
        <v/>
      </c>
      <c r="K1588" s="30">
        <f>IF(A1588="","",IFERROR(INDEX('Holders'!$B$4:$B$1003,MATCH(A1588,'Holders'!$A$4:$A$1003,0)),""))</f>
        <v/>
      </c>
      <c r="L1588" s="30">
        <f>IF(OR(A1588="",B1588="",D1588=""),"",IF(D1588=_xlfn.MAXIFS($D$4:$D$2503,$A$4:$A$2503,A1588,$B$4:$B$2503,B1588),"Yes","No"))</f>
        <v/>
      </c>
      <c r="M1588" s="30">
        <f>IF(B1588="","",IFERROR(INDEX('Share classes'!$F$4:$F$203,MATCH(B1588,'Share classes'!$B$4:$B$203,0)),""))</f>
        <v/>
      </c>
      <c r="N1588" s="30">
        <f>IF(A1588="","",IF(K1588="","Unknown holder ID",IF(J1588="","Unknown class code",IF(OR(C1588="",D1588=""),"Missing shares or date",IF(OR(C1588&lt;0,C1588&lt;&gt;INT(C1588)),"Shares must be a whole number",IF(COUNTIFS($A$4:$A$2503,A1588,$B$4:$B$2503,B1588,$D$4:$D$2503,D1588)&gt;1,"Duplicate row (same date)","OK"))))))</f>
        <v/>
      </c>
    </row>
    <row r="1589">
      <c r="A1589" s="26" t="n"/>
      <c r="B1589" s="26" t="n"/>
      <c r="C1589" s="34" t="n"/>
      <c r="D1589" s="28" t="n"/>
      <c r="E1589" s="26" t="n"/>
      <c r="F1589" s="26" t="n"/>
      <c r="G1589" s="26" t="n"/>
      <c r="H1589" s="38" t="n"/>
      <c r="I1589" s="28" t="n"/>
      <c r="J1589" s="30">
        <f>IF(B1589="","",IFERROR(INDEX('Share classes'!$A$4:$A$203,MATCH(B1589,'Share classes'!$B$4:$B$203,0)),""))</f>
        <v/>
      </c>
      <c r="K1589" s="30">
        <f>IF(A1589="","",IFERROR(INDEX('Holders'!$B$4:$B$1003,MATCH(A1589,'Holders'!$A$4:$A$1003,0)),""))</f>
        <v/>
      </c>
      <c r="L1589" s="30">
        <f>IF(OR(A1589="",B1589="",D1589=""),"",IF(D1589=_xlfn.MAXIFS($D$4:$D$2503,$A$4:$A$2503,A1589,$B$4:$B$2503,B1589),"Yes","No"))</f>
        <v/>
      </c>
      <c r="M1589" s="30">
        <f>IF(B1589="","",IFERROR(INDEX('Share classes'!$F$4:$F$203,MATCH(B1589,'Share classes'!$B$4:$B$203,0)),""))</f>
        <v/>
      </c>
      <c r="N1589" s="30">
        <f>IF(A1589="","",IF(K1589="","Unknown holder ID",IF(J1589="","Unknown class code",IF(OR(C1589="",D1589=""),"Missing shares or date",IF(OR(C1589&lt;0,C1589&lt;&gt;INT(C1589)),"Shares must be a whole number",IF(COUNTIFS($A$4:$A$2503,A1589,$B$4:$B$2503,B1589,$D$4:$D$2503,D1589)&gt;1,"Duplicate row (same date)","OK"))))))</f>
        <v/>
      </c>
    </row>
    <row r="1590">
      <c r="A1590" s="26" t="n"/>
      <c r="B1590" s="26" t="n"/>
      <c r="C1590" s="34" t="n"/>
      <c r="D1590" s="28" t="n"/>
      <c r="E1590" s="26" t="n"/>
      <c r="F1590" s="26" t="n"/>
      <c r="G1590" s="26" t="n"/>
      <c r="H1590" s="38" t="n"/>
      <c r="I1590" s="28" t="n"/>
      <c r="J1590" s="30">
        <f>IF(B1590="","",IFERROR(INDEX('Share classes'!$A$4:$A$203,MATCH(B1590,'Share classes'!$B$4:$B$203,0)),""))</f>
        <v/>
      </c>
      <c r="K1590" s="30">
        <f>IF(A1590="","",IFERROR(INDEX('Holders'!$B$4:$B$1003,MATCH(A1590,'Holders'!$A$4:$A$1003,0)),""))</f>
        <v/>
      </c>
      <c r="L1590" s="30">
        <f>IF(OR(A1590="",B1590="",D1590=""),"",IF(D1590=_xlfn.MAXIFS($D$4:$D$2503,$A$4:$A$2503,A1590,$B$4:$B$2503,B1590),"Yes","No"))</f>
        <v/>
      </c>
      <c r="M1590" s="30">
        <f>IF(B1590="","",IFERROR(INDEX('Share classes'!$F$4:$F$203,MATCH(B1590,'Share classes'!$B$4:$B$203,0)),""))</f>
        <v/>
      </c>
      <c r="N1590" s="30">
        <f>IF(A1590="","",IF(K1590="","Unknown holder ID",IF(J1590="","Unknown class code",IF(OR(C1590="",D1590=""),"Missing shares or date",IF(OR(C1590&lt;0,C1590&lt;&gt;INT(C1590)),"Shares must be a whole number",IF(COUNTIFS($A$4:$A$2503,A1590,$B$4:$B$2503,B1590,$D$4:$D$2503,D1590)&gt;1,"Duplicate row (same date)","OK"))))))</f>
        <v/>
      </c>
    </row>
    <row r="1591">
      <c r="A1591" s="26" t="n"/>
      <c r="B1591" s="26" t="n"/>
      <c r="C1591" s="34" t="n"/>
      <c r="D1591" s="28" t="n"/>
      <c r="E1591" s="26" t="n"/>
      <c r="F1591" s="26" t="n"/>
      <c r="G1591" s="26" t="n"/>
      <c r="H1591" s="38" t="n"/>
      <c r="I1591" s="28" t="n"/>
      <c r="J1591" s="30">
        <f>IF(B1591="","",IFERROR(INDEX('Share classes'!$A$4:$A$203,MATCH(B1591,'Share classes'!$B$4:$B$203,0)),""))</f>
        <v/>
      </c>
      <c r="K1591" s="30">
        <f>IF(A1591="","",IFERROR(INDEX('Holders'!$B$4:$B$1003,MATCH(A1591,'Holders'!$A$4:$A$1003,0)),""))</f>
        <v/>
      </c>
      <c r="L1591" s="30">
        <f>IF(OR(A1591="",B1591="",D1591=""),"",IF(D1591=_xlfn.MAXIFS($D$4:$D$2503,$A$4:$A$2503,A1591,$B$4:$B$2503,B1591),"Yes","No"))</f>
        <v/>
      </c>
      <c r="M1591" s="30">
        <f>IF(B1591="","",IFERROR(INDEX('Share classes'!$F$4:$F$203,MATCH(B1591,'Share classes'!$B$4:$B$203,0)),""))</f>
        <v/>
      </c>
      <c r="N1591" s="30">
        <f>IF(A1591="","",IF(K1591="","Unknown holder ID",IF(J1591="","Unknown class code",IF(OR(C1591="",D1591=""),"Missing shares or date",IF(OR(C1591&lt;0,C1591&lt;&gt;INT(C1591)),"Shares must be a whole number",IF(COUNTIFS($A$4:$A$2503,A1591,$B$4:$B$2503,B1591,$D$4:$D$2503,D1591)&gt;1,"Duplicate row (same date)","OK"))))))</f>
        <v/>
      </c>
    </row>
    <row r="1592">
      <c r="A1592" s="26" t="n"/>
      <c r="B1592" s="26" t="n"/>
      <c r="C1592" s="34" t="n"/>
      <c r="D1592" s="28" t="n"/>
      <c r="E1592" s="26" t="n"/>
      <c r="F1592" s="26" t="n"/>
      <c r="G1592" s="26" t="n"/>
      <c r="H1592" s="38" t="n"/>
      <c r="I1592" s="28" t="n"/>
      <c r="J1592" s="30">
        <f>IF(B1592="","",IFERROR(INDEX('Share classes'!$A$4:$A$203,MATCH(B1592,'Share classes'!$B$4:$B$203,0)),""))</f>
        <v/>
      </c>
      <c r="K1592" s="30">
        <f>IF(A1592="","",IFERROR(INDEX('Holders'!$B$4:$B$1003,MATCH(A1592,'Holders'!$A$4:$A$1003,0)),""))</f>
        <v/>
      </c>
      <c r="L1592" s="30">
        <f>IF(OR(A1592="",B1592="",D1592=""),"",IF(D1592=_xlfn.MAXIFS($D$4:$D$2503,$A$4:$A$2503,A1592,$B$4:$B$2503,B1592),"Yes","No"))</f>
        <v/>
      </c>
      <c r="M1592" s="30">
        <f>IF(B1592="","",IFERROR(INDEX('Share classes'!$F$4:$F$203,MATCH(B1592,'Share classes'!$B$4:$B$203,0)),""))</f>
        <v/>
      </c>
      <c r="N1592" s="30">
        <f>IF(A1592="","",IF(K1592="","Unknown holder ID",IF(J1592="","Unknown class code",IF(OR(C1592="",D1592=""),"Missing shares or date",IF(OR(C1592&lt;0,C1592&lt;&gt;INT(C1592)),"Shares must be a whole number",IF(COUNTIFS($A$4:$A$2503,A1592,$B$4:$B$2503,B1592,$D$4:$D$2503,D1592)&gt;1,"Duplicate row (same date)","OK"))))))</f>
        <v/>
      </c>
    </row>
    <row r="1593">
      <c r="A1593" s="26" t="n"/>
      <c r="B1593" s="26" t="n"/>
      <c r="C1593" s="34" t="n"/>
      <c r="D1593" s="28" t="n"/>
      <c r="E1593" s="26" t="n"/>
      <c r="F1593" s="26" t="n"/>
      <c r="G1593" s="26" t="n"/>
      <c r="H1593" s="38" t="n"/>
      <c r="I1593" s="28" t="n"/>
      <c r="J1593" s="30">
        <f>IF(B1593="","",IFERROR(INDEX('Share classes'!$A$4:$A$203,MATCH(B1593,'Share classes'!$B$4:$B$203,0)),""))</f>
        <v/>
      </c>
      <c r="K1593" s="30">
        <f>IF(A1593="","",IFERROR(INDEX('Holders'!$B$4:$B$1003,MATCH(A1593,'Holders'!$A$4:$A$1003,0)),""))</f>
        <v/>
      </c>
      <c r="L1593" s="30">
        <f>IF(OR(A1593="",B1593="",D1593=""),"",IF(D1593=_xlfn.MAXIFS($D$4:$D$2503,$A$4:$A$2503,A1593,$B$4:$B$2503,B1593),"Yes","No"))</f>
        <v/>
      </c>
      <c r="M1593" s="30">
        <f>IF(B1593="","",IFERROR(INDEX('Share classes'!$F$4:$F$203,MATCH(B1593,'Share classes'!$B$4:$B$203,0)),""))</f>
        <v/>
      </c>
      <c r="N1593" s="30">
        <f>IF(A1593="","",IF(K1593="","Unknown holder ID",IF(J1593="","Unknown class code",IF(OR(C1593="",D1593=""),"Missing shares or date",IF(OR(C1593&lt;0,C1593&lt;&gt;INT(C1593)),"Shares must be a whole number",IF(COUNTIFS($A$4:$A$2503,A1593,$B$4:$B$2503,B1593,$D$4:$D$2503,D1593)&gt;1,"Duplicate row (same date)","OK"))))))</f>
        <v/>
      </c>
    </row>
    <row r="1594">
      <c r="A1594" s="26" t="n"/>
      <c r="B1594" s="26" t="n"/>
      <c r="C1594" s="34" t="n"/>
      <c r="D1594" s="28" t="n"/>
      <c r="E1594" s="26" t="n"/>
      <c r="F1594" s="26" t="n"/>
      <c r="G1594" s="26" t="n"/>
      <c r="H1594" s="38" t="n"/>
      <c r="I1594" s="28" t="n"/>
      <c r="J1594" s="30">
        <f>IF(B1594="","",IFERROR(INDEX('Share classes'!$A$4:$A$203,MATCH(B1594,'Share classes'!$B$4:$B$203,0)),""))</f>
        <v/>
      </c>
      <c r="K1594" s="30">
        <f>IF(A1594="","",IFERROR(INDEX('Holders'!$B$4:$B$1003,MATCH(A1594,'Holders'!$A$4:$A$1003,0)),""))</f>
        <v/>
      </c>
      <c r="L1594" s="30">
        <f>IF(OR(A1594="",B1594="",D1594=""),"",IF(D1594=_xlfn.MAXIFS($D$4:$D$2503,$A$4:$A$2503,A1594,$B$4:$B$2503,B1594),"Yes","No"))</f>
        <v/>
      </c>
      <c r="M1594" s="30">
        <f>IF(B1594="","",IFERROR(INDEX('Share classes'!$F$4:$F$203,MATCH(B1594,'Share classes'!$B$4:$B$203,0)),""))</f>
        <v/>
      </c>
      <c r="N1594" s="30">
        <f>IF(A1594="","",IF(K1594="","Unknown holder ID",IF(J1594="","Unknown class code",IF(OR(C1594="",D1594=""),"Missing shares or date",IF(OR(C1594&lt;0,C1594&lt;&gt;INT(C1594)),"Shares must be a whole number",IF(COUNTIFS($A$4:$A$2503,A1594,$B$4:$B$2503,B1594,$D$4:$D$2503,D1594)&gt;1,"Duplicate row (same date)","OK"))))))</f>
        <v/>
      </c>
    </row>
    <row r="1595">
      <c r="A1595" s="26" t="n"/>
      <c r="B1595" s="26" t="n"/>
      <c r="C1595" s="34" t="n"/>
      <c r="D1595" s="28" t="n"/>
      <c r="E1595" s="26" t="n"/>
      <c r="F1595" s="26" t="n"/>
      <c r="G1595" s="26" t="n"/>
      <c r="H1595" s="38" t="n"/>
      <c r="I1595" s="28" t="n"/>
      <c r="J1595" s="30">
        <f>IF(B1595="","",IFERROR(INDEX('Share classes'!$A$4:$A$203,MATCH(B1595,'Share classes'!$B$4:$B$203,0)),""))</f>
        <v/>
      </c>
      <c r="K1595" s="30">
        <f>IF(A1595="","",IFERROR(INDEX('Holders'!$B$4:$B$1003,MATCH(A1595,'Holders'!$A$4:$A$1003,0)),""))</f>
        <v/>
      </c>
      <c r="L1595" s="30">
        <f>IF(OR(A1595="",B1595="",D1595=""),"",IF(D1595=_xlfn.MAXIFS($D$4:$D$2503,$A$4:$A$2503,A1595,$B$4:$B$2503,B1595),"Yes","No"))</f>
        <v/>
      </c>
      <c r="M1595" s="30">
        <f>IF(B1595="","",IFERROR(INDEX('Share classes'!$F$4:$F$203,MATCH(B1595,'Share classes'!$B$4:$B$203,0)),""))</f>
        <v/>
      </c>
      <c r="N1595" s="30">
        <f>IF(A1595="","",IF(K1595="","Unknown holder ID",IF(J1595="","Unknown class code",IF(OR(C1595="",D1595=""),"Missing shares or date",IF(OR(C1595&lt;0,C1595&lt;&gt;INT(C1595)),"Shares must be a whole number",IF(COUNTIFS($A$4:$A$2503,A1595,$B$4:$B$2503,B1595,$D$4:$D$2503,D1595)&gt;1,"Duplicate row (same date)","OK"))))))</f>
        <v/>
      </c>
    </row>
    <row r="1596">
      <c r="A1596" s="26" t="n"/>
      <c r="B1596" s="26" t="n"/>
      <c r="C1596" s="34" t="n"/>
      <c r="D1596" s="28" t="n"/>
      <c r="E1596" s="26" t="n"/>
      <c r="F1596" s="26" t="n"/>
      <c r="G1596" s="26" t="n"/>
      <c r="H1596" s="38" t="n"/>
      <c r="I1596" s="28" t="n"/>
      <c r="J1596" s="30">
        <f>IF(B1596="","",IFERROR(INDEX('Share classes'!$A$4:$A$203,MATCH(B1596,'Share classes'!$B$4:$B$203,0)),""))</f>
        <v/>
      </c>
      <c r="K1596" s="30">
        <f>IF(A1596="","",IFERROR(INDEX('Holders'!$B$4:$B$1003,MATCH(A1596,'Holders'!$A$4:$A$1003,0)),""))</f>
        <v/>
      </c>
      <c r="L1596" s="30">
        <f>IF(OR(A1596="",B1596="",D1596=""),"",IF(D1596=_xlfn.MAXIFS($D$4:$D$2503,$A$4:$A$2503,A1596,$B$4:$B$2503,B1596),"Yes","No"))</f>
        <v/>
      </c>
      <c r="M1596" s="30">
        <f>IF(B1596="","",IFERROR(INDEX('Share classes'!$F$4:$F$203,MATCH(B1596,'Share classes'!$B$4:$B$203,0)),""))</f>
        <v/>
      </c>
      <c r="N1596" s="30">
        <f>IF(A1596="","",IF(K1596="","Unknown holder ID",IF(J1596="","Unknown class code",IF(OR(C1596="",D1596=""),"Missing shares or date",IF(OR(C1596&lt;0,C1596&lt;&gt;INT(C1596)),"Shares must be a whole number",IF(COUNTIFS($A$4:$A$2503,A1596,$B$4:$B$2503,B1596,$D$4:$D$2503,D1596)&gt;1,"Duplicate row (same date)","OK"))))))</f>
        <v/>
      </c>
    </row>
    <row r="1597">
      <c r="A1597" s="26" t="n"/>
      <c r="B1597" s="26" t="n"/>
      <c r="C1597" s="34" t="n"/>
      <c r="D1597" s="28" t="n"/>
      <c r="E1597" s="26" t="n"/>
      <c r="F1597" s="26" t="n"/>
      <c r="G1597" s="26" t="n"/>
      <c r="H1597" s="38" t="n"/>
      <c r="I1597" s="28" t="n"/>
      <c r="J1597" s="30">
        <f>IF(B1597="","",IFERROR(INDEX('Share classes'!$A$4:$A$203,MATCH(B1597,'Share classes'!$B$4:$B$203,0)),""))</f>
        <v/>
      </c>
      <c r="K1597" s="30">
        <f>IF(A1597="","",IFERROR(INDEX('Holders'!$B$4:$B$1003,MATCH(A1597,'Holders'!$A$4:$A$1003,0)),""))</f>
        <v/>
      </c>
      <c r="L1597" s="30">
        <f>IF(OR(A1597="",B1597="",D1597=""),"",IF(D1597=_xlfn.MAXIFS($D$4:$D$2503,$A$4:$A$2503,A1597,$B$4:$B$2503,B1597),"Yes","No"))</f>
        <v/>
      </c>
      <c r="M1597" s="30">
        <f>IF(B1597="","",IFERROR(INDEX('Share classes'!$F$4:$F$203,MATCH(B1597,'Share classes'!$B$4:$B$203,0)),""))</f>
        <v/>
      </c>
      <c r="N1597" s="30">
        <f>IF(A1597="","",IF(K1597="","Unknown holder ID",IF(J1597="","Unknown class code",IF(OR(C1597="",D1597=""),"Missing shares or date",IF(OR(C1597&lt;0,C1597&lt;&gt;INT(C1597)),"Shares must be a whole number",IF(COUNTIFS($A$4:$A$2503,A1597,$B$4:$B$2503,B1597,$D$4:$D$2503,D1597)&gt;1,"Duplicate row (same date)","OK"))))))</f>
        <v/>
      </c>
    </row>
    <row r="1598">
      <c r="A1598" s="26" t="n"/>
      <c r="B1598" s="26" t="n"/>
      <c r="C1598" s="34" t="n"/>
      <c r="D1598" s="28" t="n"/>
      <c r="E1598" s="26" t="n"/>
      <c r="F1598" s="26" t="n"/>
      <c r="G1598" s="26" t="n"/>
      <c r="H1598" s="38" t="n"/>
      <c r="I1598" s="28" t="n"/>
      <c r="J1598" s="30">
        <f>IF(B1598="","",IFERROR(INDEX('Share classes'!$A$4:$A$203,MATCH(B1598,'Share classes'!$B$4:$B$203,0)),""))</f>
        <v/>
      </c>
      <c r="K1598" s="30">
        <f>IF(A1598="","",IFERROR(INDEX('Holders'!$B$4:$B$1003,MATCH(A1598,'Holders'!$A$4:$A$1003,0)),""))</f>
        <v/>
      </c>
      <c r="L1598" s="30">
        <f>IF(OR(A1598="",B1598="",D1598=""),"",IF(D1598=_xlfn.MAXIFS($D$4:$D$2503,$A$4:$A$2503,A1598,$B$4:$B$2503,B1598),"Yes","No"))</f>
        <v/>
      </c>
      <c r="M1598" s="30">
        <f>IF(B1598="","",IFERROR(INDEX('Share classes'!$F$4:$F$203,MATCH(B1598,'Share classes'!$B$4:$B$203,0)),""))</f>
        <v/>
      </c>
      <c r="N1598" s="30">
        <f>IF(A1598="","",IF(K1598="","Unknown holder ID",IF(J1598="","Unknown class code",IF(OR(C1598="",D1598=""),"Missing shares or date",IF(OR(C1598&lt;0,C1598&lt;&gt;INT(C1598)),"Shares must be a whole number",IF(COUNTIFS($A$4:$A$2503,A1598,$B$4:$B$2503,B1598,$D$4:$D$2503,D1598)&gt;1,"Duplicate row (same date)","OK"))))))</f>
        <v/>
      </c>
    </row>
    <row r="1599">
      <c r="A1599" s="26" t="n"/>
      <c r="B1599" s="26" t="n"/>
      <c r="C1599" s="34" t="n"/>
      <c r="D1599" s="28" t="n"/>
      <c r="E1599" s="26" t="n"/>
      <c r="F1599" s="26" t="n"/>
      <c r="G1599" s="26" t="n"/>
      <c r="H1599" s="38" t="n"/>
      <c r="I1599" s="28" t="n"/>
      <c r="J1599" s="30">
        <f>IF(B1599="","",IFERROR(INDEX('Share classes'!$A$4:$A$203,MATCH(B1599,'Share classes'!$B$4:$B$203,0)),""))</f>
        <v/>
      </c>
      <c r="K1599" s="30">
        <f>IF(A1599="","",IFERROR(INDEX('Holders'!$B$4:$B$1003,MATCH(A1599,'Holders'!$A$4:$A$1003,0)),""))</f>
        <v/>
      </c>
      <c r="L1599" s="30">
        <f>IF(OR(A1599="",B1599="",D1599=""),"",IF(D1599=_xlfn.MAXIFS($D$4:$D$2503,$A$4:$A$2503,A1599,$B$4:$B$2503,B1599),"Yes","No"))</f>
        <v/>
      </c>
      <c r="M1599" s="30">
        <f>IF(B1599="","",IFERROR(INDEX('Share classes'!$F$4:$F$203,MATCH(B1599,'Share classes'!$B$4:$B$203,0)),""))</f>
        <v/>
      </c>
      <c r="N1599" s="30">
        <f>IF(A1599="","",IF(K1599="","Unknown holder ID",IF(J1599="","Unknown class code",IF(OR(C1599="",D1599=""),"Missing shares or date",IF(OR(C1599&lt;0,C1599&lt;&gt;INT(C1599)),"Shares must be a whole number",IF(COUNTIFS($A$4:$A$2503,A1599,$B$4:$B$2503,B1599,$D$4:$D$2503,D1599)&gt;1,"Duplicate row (same date)","OK"))))))</f>
        <v/>
      </c>
    </row>
    <row r="1600">
      <c r="A1600" s="26" t="n"/>
      <c r="B1600" s="26" t="n"/>
      <c r="C1600" s="34" t="n"/>
      <c r="D1600" s="28" t="n"/>
      <c r="E1600" s="26" t="n"/>
      <c r="F1600" s="26" t="n"/>
      <c r="G1600" s="26" t="n"/>
      <c r="H1600" s="38" t="n"/>
      <c r="I1600" s="28" t="n"/>
      <c r="J1600" s="30">
        <f>IF(B1600="","",IFERROR(INDEX('Share classes'!$A$4:$A$203,MATCH(B1600,'Share classes'!$B$4:$B$203,0)),""))</f>
        <v/>
      </c>
      <c r="K1600" s="30">
        <f>IF(A1600="","",IFERROR(INDEX('Holders'!$B$4:$B$1003,MATCH(A1600,'Holders'!$A$4:$A$1003,0)),""))</f>
        <v/>
      </c>
      <c r="L1600" s="30">
        <f>IF(OR(A1600="",B1600="",D1600=""),"",IF(D1600=_xlfn.MAXIFS($D$4:$D$2503,$A$4:$A$2503,A1600,$B$4:$B$2503,B1600),"Yes","No"))</f>
        <v/>
      </c>
      <c r="M1600" s="30">
        <f>IF(B1600="","",IFERROR(INDEX('Share classes'!$F$4:$F$203,MATCH(B1600,'Share classes'!$B$4:$B$203,0)),""))</f>
        <v/>
      </c>
      <c r="N1600" s="30">
        <f>IF(A1600="","",IF(K1600="","Unknown holder ID",IF(J1600="","Unknown class code",IF(OR(C1600="",D1600=""),"Missing shares or date",IF(OR(C1600&lt;0,C1600&lt;&gt;INT(C1600)),"Shares must be a whole number",IF(COUNTIFS($A$4:$A$2503,A1600,$B$4:$B$2503,B1600,$D$4:$D$2503,D1600)&gt;1,"Duplicate row (same date)","OK"))))))</f>
        <v/>
      </c>
    </row>
    <row r="1601">
      <c r="A1601" s="26" t="n"/>
      <c r="B1601" s="26" t="n"/>
      <c r="C1601" s="34" t="n"/>
      <c r="D1601" s="28" t="n"/>
      <c r="E1601" s="26" t="n"/>
      <c r="F1601" s="26" t="n"/>
      <c r="G1601" s="26" t="n"/>
      <c r="H1601" s="38" t="n"/>
      <c r="I1601" s="28" t="n"/>
      <c r="J1601" s="30">
        <f>IF(B1601="","",IFERROR(INDEX('Share classes'!$A$4:$A$203,MATCH(B1601,'Share classes'!$B$4:$B$203,0)),""))</f>
        <v/>
      </c>
      <c r="K1601" s="30">
        <f>IF(A1601="","",IFERROR(INDEX('Holders'!$B$4:$B$1003,MATCH(A1601,'Holders'!$A$4:$A$1003,0)),""))</f>
        <v/>
      </c>
      <c r="L1601" s="30">
        <f>IF(OR(A1601="",B1601="",D1601=""),"",IF(D1601=_xlfn.MAXIFS($D$4:$D$2503,$A$4:$A$2503,A1601,$B$4:$B$2503,B1601),"Yes","No"))</f>
        <v/>
      </c>
      <c r="M1601" s="30">
        <f>IF(B1601="","",IFERROR(INDEX('Share classes'!$F$4:$F$203,MATCH(B1601,'Share classes'!$B$4:$B$203,0)),""))</f>
        <v/>
      </c>
      <c r="N1601" s="30">
        <f>IF(A1601="","",IF(K1601="","Unknown holder ID",IF(J1601="","Unknown class code",IF(OR(C1601="",D1601=""),"Missing shares or date",IF(OR(C1601&lt;0,C1601&lt;&gt;INT(C1601)),"Shares must be a whole number",IF(COUNTIFS($A$4:$A$2503,A1601,$B$4:$B$2503,B1601,$D$4:$D$2503,D1601)&gt;1,"Duplicate row (same date)","OK"))))))</f>
        <v/>
      </c>
    </row>
    <row r="1602">
      <c r="A1602" s="26" t="n"/>
      <c r="B1602" s="26" t="n"/>
      <c r="C1602" s="34" t="n"/>
      <c r="D1602" s="28" t="n"/>
      <c r="E1602" s="26" t="n"/>
      <c r="F1602" s="26" t="n"/>
      <c r="G1602" s="26" t="n"/>
      <c r="H1602" s="38" t="n"/>
      <c r="I1602" s="28" t="n"/>
      <c r="J1602" s="30">
        <f>IF(B1602="","",IFERROR(INDEX('Share classes'!$A$4:$A$203,MATCH(B1602,'Share classes'!$B$4:$B$203,0)),""))</f>
        <v/>
      </c>
      <c r="K1602" s="30">
        <f>IF(A1602="","",IFERROR(INDEX('Holders'!$B$4:$B$1003,MATCH(A1602,'Holders'!$A$4:$A$1003,0)),""))</f>
        <v/>
      </c>
      <c r="L1602" s="30">
        <f>IF(OR(A1602="",B1602="",D1602=""),"",IF(D1602=_xlfn.MAXIFS($D$4:$D$2503,$A$4:$A$2503,A1602,$B$4:$B$2503,B1602),"Yes","No"))</f>
        <v/>
      </c>
      <c r="M1602" s="30">
        <f>IF(B1602="","",IFERROR(INDEX('Share classes'!$F$4:$F$203,MATCH(B1602,'Share classes'!$B$4:$B$203,0)),""))</f>
        <v/>
      </c>
      <c r="N1602" s="30">
        <f>IF(A1602="","",IF(K1602="","Unknown holder ID",IF(J1602="","Unknown class code",IF(OR(C1602="",D1602=""),"Missing shares or date",IF(OR(C1602&lt;0,C1602&lt;&gt;INT(C1602)),"Shares must be a whole number",IF(COUNTIFS($A$4:$A$2503,A1602,$B$4:$B$2503,B1602,$D$4:$D$2503,D1602)&gt;1,"Duplicate row (same date)","OK"))))))</f>
        <v/>
      </c>
    </row>
    <row r="1603">
      <c r="A1603" s="26" t="n"/>
      <c r="B1603" s="26" t="n"/>
      <c r="C1603" s="34" t="n"/>
      <c r="D1603" s="28" t="n"/>
      <c r="E1603" s="26" t="n"/>
      <c r="F1603" s="26" t="n"/>
      <c r="G1603" s="26" t="n"/>
      <c r="H1603" s="38" t="n"/>
      <c r="I1603" s="28" t="n"/>
      <c r="J1603" s="30">
        <f>IF(B1603="","",IFERROR(INDEX('Share classes'!$A$4:$A$203,MATCH(B1603,'Share classes'!$B$4:$B$203,0)),""))</f>
        <v/>
      </c>
      <c r="K1603" s="30">
        <f>IF(A1603="","",IFERROR(INDEX('Holders'!$B$4:$B$1003,MATCH(A1603,'Holders'!$A$4:$A$1003,0)),""))</f>
        <v/>
      </c>
      <c r="L1603" s="30">
        <f>IF(OR(A1603="",B1603="",D1603=""),"",IF(D1603=_xlfn.MAXIFS($D$4:$D$2503,$A$4:$A$2503,A1603,$B$4:$B$2503,B1603),"Yes","No"))</f>
        <v/>
      </c>
      <c r="M1603" s="30">
        <f>IF(B1603="","",IFERROR(INDEX('Share classes'!$F$4:$F$203,MATCH(B1603,'Share classes'!$B$4:$B$203,0)),""))</f>
        <v/>
      </c>
      <c r="N1603" s="30">
        <f>IF(A1603="","",IF(K1603="","Unknown holder ID",IF(J1603="","Unknown class code",IF(OR(C1603="",D1603=""),"Missing shares or date",IF(OR(C1603&lt;0,C1603&lt;&gt;INT(C1603)),"Shares must be a whole number",IF(COUNTIFS($A$4:$A$2503,A1603,$B$4:$B$2503,B1603,$D$4:$D$2503,D1603)&gt;1,"Duplicate row (same date)","OK"))))))</f>
        <v/>
      </c>
    </row>
    <row r="1604">
      <c r="A1604" s="26" t="n"/>
      <c r="B1604" s="26" t="n"/>
      <c r="C1604" s="34" t="n"/>
      <c r="D1604" s="28" t="n"/>
      <c r="E1604" s="26" t="n"/>
      <c r="F1604" s="26" t="n"/>
      <c r="G1604" s="26" t="n"/>
      <c r="H1604" s="38" t="n"/>
      <c r="I1604" s="28" t="n"/>
      <c r="J1604" s="30">
        <f>IF(B1604="","",IFERROR(INDEX('Share classes'!$A$4:$A$203,MATCH(B1604,'Share classes'!$B$4:$B$203,0)),""))</f>
        <v/>
      </c>
      <c r="K1604" s="30">
        <f>IF(A1604="","",IFERROR(INDEX('Holders'!$B$4:$B$1003,MATCH(A1604,'Holders'!$A$4:$A$1003,0)),""))</f>
        <v/>
      </c>
      <c r="L1604" s="30">
        <f>IF(OR(A1604="",B1604="",D1604=""),"",IF(D1604=_xlfn.MAXIFS($D$4:$D$2503,$A$4:$A$2503,A1604,$B$4:$B$2503,B1604),"Yes","No"))</f>
        <v/>
      </c>
      <c r="M1604" s="30">
        <f>IF(B1604="","",IFERROR(INDEX('Share classes'!$F$4:$F$203,MATCH(B1604,'Share classes'!$B$4:$B$203,0)),""))</f>
        <v/>
      </c>
      <c r="N1604" s="30">
        <f>IF(A1604="","",IF(K1604="","Unknown holder ID",IF(J1604="","Unknown class code",IF(OR(C1604="",D1604=""),"Missing shares or date",IF(OR(C1604&lt;0,C1604&lt;&gt;INT(C1604)),"Shares must be a whole number",IF(COUNTIFS($A$4:$A$2503,A1604,$B$4:$B$2503,B1604,$D$4:$D$2503,D1604)&gt;1,"Duplicate row (same date)","OK"))))))</f>
        <v/>
      </c>
    </row>
    <row r="1605">
      <c r="A1605" s="26" t="n"/>
      <c r="B1605" s="26" t="n"/>
      <c r="C1605" s="34" t="n"/>
      <c r="D1605" s="28" t="n"/>
      <c r="E1605" s="26" t="n"/>
      <c r="F1605" s="26" t="n"/>
      <c r="G1605" s="26" t="n"/>
      <c r="H1605" s="38" t="n"/>
      <c r="I1605" s="28" t="n"/>
      <c r="J1605" s="30">
        <f>IF(B1605="","",IFERROR(INDEX('Share classes'!$A$4:$A$203,MATCH(B1605,'Share classes'!$B$4:$B$203,0)),""))</f>
        <v/>
      </c>
      <c r="K1605" s="30">
        <f>IF(A1605="","",IFERROR(INDEX('Holders'!$B$4:$B$1003,MATCH(A1605,'Holders'!$A$4:$A$1003,0)),""))</f>
        <v/>
      </c>
      <c r="L1605" s="30">
        <f>IF(OR(A1605="",B1605="",D1605=""),"",IF(D1605=_xlfn.MAXIFS($D$4:$D$2503,$A$4:$A$2503,A1605,$B$4:$B$2503,B1605),"Yes","No"))</f>
        <v/>
      </c>
      <c r="M1605" s="30">
        <f>IF(B1605="","",IFERROR(INDEX('Share classes'!$F$4:$F$203,MATCH(B1605,'Share classes'!$B$4:$B$203,0)),""))</f>
        <v/>
      </c>
      <c r="N1605" s="30">
        <f>IF(A1605="","",IF(K1605="","Unknown holder ID",IF(J1605="","Unknown class code",IF(OR(C1605="",D1605=""),"Missing shares or date",IF(OR(C1605&lt;0,C1605&lt;&gt;INT(C1605)),"Shares must be a whole number",IF(COUNTIFS($A$4:$A$2503,A1605,$B$4:$B$2503,B1605,$D$4:$D$2503,D1605)&gt;1,"Duplicate row (same date)","OK"))))))</f>
        <v/>
      </c>
    </row>
    <row r="1606">
      <c r="A1606" s="26" t="n"/>
      <c r="B1606" s="26" t="n"/>
      <c r="C1606" s="34" t="n"/>
      <c r="D1606" s="28" t="n"/>
      <c r="E1606" s="26" t="n"/>
      <c r="F1606" s="26" t="n"/>
      <c r="G1606" s="26" t="n"/>
      <c r="H1606" s="38" t="n"/>
      <c r="I1606" s="28" t="n"/>
      <c r="J1606" s="30">
        <f>IF(B1606="","",IFERROR(INDEX('Share classes'!$A$4:$A$203,MATCH(B1606,'Share classes'!$B$4:$B$203,0)),""))</f>
        <v/>
      </c>
      <c r="K1606" s="30">
        <f>IF(A1606="","",IFERROR(INDEX('Holders'!$B$4:$B$1003,MATCH(A1606,'Holders'!$A$4:$A$1003,0)),""))</f>
        <v/>
      </c>
      <c r="L1606" s="30">
        <f>IF(OR(A1606="",B1606="",D1606=""),"",IF(D1606=_xlfn.MAXIFS($D$4:$D$2503,$A$4:$A$2503,A1606,$B$4:$B$2503,B1606),"Yes","No"))</f>
        <v/>
      </c>
      <c r="M1606" s="30">
        <f>IF(B1606="","",IFERROR(INDEX('Share classes'!$F$4:$F$203,MATCH(B1606,'Share classes'!$B$4:$B$203,0)),""))</f>
        <v/>
      </c>
      <c r="N1606" s="30">
        <f>IF(A1606="","",IF(K1606="","Unknown holder ID",IF(J1606="","Unknown class code",IF(OR(C1606="",D1606=""),"Missing shares or date",IF(OR(C1606&lt;0,C1606&lt;&gt;INT(C1606)),"Shares must be a whole number",IF(COUNTIFS($A$4:$A$2503,A1606,$B$4:$B$2503,B1606,$D$4:$D$2503,D1606)&gt;1,"Duplicate row (same date)","OK"))))))</f>
        <v/>
      </c>
    </row>
    <row r="1607">
      <c r="A1607" s="26" t="n"/>
      <c r="B1607" s="26" t="n"/>
      <c r="C1607" s="34" t="n"/>
      <c r="D1607" s="28" t="n"/>
      <c r="E1607" s="26" t="n"/>
      <c r="F1607" s="26" t="n"/>
      <c r="G1607" s="26" t="n"/>
      <c r="H1607" s="38" t="n"/>
      <c r="I1607" s="28" t="n"/>
      <c r="J1607" s="30">
        <f>IF(B1607="","",IFERROR(INDEX('Share classes'!$A$4:$A$203,MATCH(B1607,'Share classes'!$B$4:$B$203,0)),""))</f>
        <v/>
      </c>
      <c r="K1607" s="30">
        <f>IF(A1607="","",IFERROR(INDEX('Holders'!$B$4:$B$1003,MATCH(A1607,'Holders'!$A$4:$A$1003,0)),""))</f>
        <v/>
      </c>
      <c r="L1607" s="30">
        <f>IF(OR(A1607="",B1607="",D1607=""),"",IF(D1607=_xlfn.MAXIFS($D$4:$D$2503,$A$4:$A$2503,A1607,$B$4:$B$2503,B1607),"Yes","No"))</f>
        <v/>
      </c>
      <c r="M1607" s="30">
        <f>IF(B1607="","",IFERROR(INDEX('Share classes'!$F$4:$F$203,MATCH(B1607,'Share classes'!$B$4:$B$203,0)),""))</f>
        <v/>
      </c>
      <c r="N1607" s="30">
        <f>IF(A1607="","",IF(K1607="","Unknown holder ID",IF(J1607="","Unknown class code",IF(OR(C1607="",D1607=""),"Missing shares or date",IF(OR(C1607&lt;0,C1607&lt;&gt;INT(C1607)),"Shares must be a whole number",IF(COUNTIFS($A$4:$A$2503,A1607,$B$4:$B$2503,B1607,$D$4:$D$2503,D1607)&gt;1,"Duplicate row (same date)","OK"))))))</f>
        <v/>
      </c>
    </row>
    <row r="1608">
      <c r="A1608" s="26" t="n"/>
      <c r="B1608" s="26" t="n"/>
      <c r="C1608" s="34" t="n"/>
      <c r="D1608" s="28" t="n"/>
      <c r="E1608" s="26" t="n"/>
      <c r="F1608" s="26" t="n"/>
      <c r="G1608" s="26" t="n"/>
      <c r="H1608" s="38" t="n"/>
      <c r="I1608" s="28" t="n"/>
      <c r="J1608" s="30">
        <f>IF(B1608="","",IFERROR(INDEX('Share classes'!$A$4:$A$203,MATCH(B1608,'Share classes'!$B$4:$B$203,0)),""))</f>
        <v/>
      </c>
      <c r="K1608" s="30">
        <f>IF(A1608="","",IFERROR(INDEX('Holders'!$B$4:$B$1003,MATCH(A1608,'Holders'!$A$4:$A$1003,0)),""))</f>
        <v/>
      </c>
      <c r="L1608" s="30">
        <f>IF(OR(A1608="",B1608="",D1608=""),"",IF(D1608=_xlfn.MAXIFS($D$4:$D$2503,$A$4:$A$2503,A1608,$B$4:$B$2503,B1608),"Yes","No"))</f>
        <v/>
      </c>
      <c r="M1608" s="30">
        <f>IF(B1608="","",IFERROR(INDEX('Share classes'!$F$4:$F$203,MATCH(B1608,'Share classes'!$B$4:$B$203,0)),""))</f>
        <v/>
      </c>
      <c r="N1608" s="30">
        <f>IF(A1608="","",IF(K1608="","Unknown holder ID",IF(J1608="","Unknown class code",IF(OR(C1608="",D1608=""),"Missing shares or date",IF(OR(C1608&lt;0,C1608&lt;&gt;INT(C1608)),"Shares must be a whole number",IF(COUNTIFS($A$4:$A$2503,A1608,$B$4:$B$2503,B1608,$D$4:$D$2503,D1608)&gt;1,"Duplicate row (same date)","OK"))))))</f>
        <v/>
      </c>
    </row>
    <row r="1609">
      <c r="A1609" s="26" t="n"/>
      <c r="B1609" s="26" t="n"/>
      <c r="C1609" s="34" t="n"/>
      <c r="D1609" s="28" t="n"/>
      <c r="E1609" s="26" t="n"/>
      <c r="F1609" s="26" t="n"/>
      <c r="G1609" s="26" t="n"/>
      <c r="H1609" s="38" t="n"/>
      <c r="I1609" s="28" t="n"/>
      <c r="J1609" s="30">
        <f>IF(B1609="","",IFERROR(INDEX('Share classes'!$A$4:$A$203,MATCH(B1609,'Share classes'!$B$4:$B$203,0)),""))</f>
        <v/>
      </c>
      <c r="K1609" s="30">
        <f>IF(A1609="","",IFERROR(INDEX('Holders'!$B$4:$B$1003,MATCH(A1609,'Holders'!$A$4:$A$1003,0)),""))</f>
        <v/>
      </c>
      <c r="L1609" s="30">
        <f>IF(OR(A1609="",B1609="",D1609=""),"",IF(D1609=_xlfn.MAXIFS($D$4:$D$2503,$A$4:$A$2503,A1609,$B$4:$B$2503,B1609),"Yes","No"))</f>
        <v/>
      </c>
      <c r="M1609" s="30">
        <f>IF(B1609="","",IFERROR(INDEX('Share classes'!$F$4:$F$203,MATCH(B1609,'Share classes'!$B$4:$B$203,0)),""))</f>
        <v/>
      </c>
      <c r="N1609" s="30">
        <f>IF(A1609="","",IF(K1609="","Unknown holder ID",IF(J1609="","Unknown class code",IF(OR(C1609="",D1609=""),"Missing shares or date",IF(OR(C1609&lt;0,C1609&lt;&gt;INT(C1609)),"Shares must be a whole number",IF(COUNTIFS($A$4:$A$2503,A1609,$B$4:$B$2503,B1609,$D$4:$D$2503,D1609)&gt;1,"Duplicate row (same date)","OK"))))))</f>
        <v/>
      </c>
    </row>
    <row r="1610">
      <c r="A1610" s="26" t="n"/>
      <c r="B1610" s="26" t="n"/>
      <c r="C1610" s="34" t="n"/>
      <c r="D1610" s="28" t="n"/>
      <c r="E1610" s="26" t="n"/>
      <c r="F1610" s="26" t="n"/>
      <c r="G1610" s="26" t="n"/>
      <c r="H1610" s="38" t="n"/>
      <c r="I1610" s="28" t="n"/>
      <c r="J1610" s="30">
        <f>IF(B1610="","",IFERROR(INDEX('Share classes'!$A$4:$A$203,MATCH(B1610,'Share classes'!$B$4:$B$203,0)),""))</f>
        <v/>
      </c>
      <c r="K1610" s="30">
        <f>IF(A1610="","",IFERROR(INDEX('Holders'!$B$4:$B$1003,MATCH(A1610,'Holders'!$A$4:$A$1003,0)),""))</f>
        <v/>
      </c>
      <c r="L1610" s="30">
        <f>IF(OR(A1610="",B1610="",D1610=""),"",IF(D1610=_xlfn.MAXIFS($D$4:$D$2503,$A$4:$A$2503,A1610,$B$4:$B$2503,B1610),"Yes","No"))</f>
        <v/>
      </c>
      <c r="M1610" s="30">
        <f>IF(B1610="","",IFERROR(INDEX('Share classes'!$F$4:$F$203,MATCH(B1610,'Share classes'!$B$4:$B$203,0)),""))</f>
        <v/>
      </c>
      <c r="N1610" s="30">
        <f>IF(A1610="","",IF(K1610="","Unknown holder ID",IF(J1610="","Unknown class code",IF(OR(C1610="",D1610=""),"Missing shares or date",IF(OR(C1610&lt;0,C1610&lt;&gt;INT(C1610)),"Shares must be a whole number",IF(COUNTIFS($A$4:$A$2503,A1610,$B$4:$B$2503,B1610,$D$4:$D$2503,D1610)&gt;1,"Duplicate row (same date)","OK"))))))</f>
        <v/>
      </c>
    </row>
    <row r="1611">
      <c r="A1611" s="26" t="n"/>
      <c r="B1611" s="26" t="n"/>
      <c r="C1611" s="34" t="n"/>
      <c r="D1611" s="28" t="n"/>
      <c r="E1611" s="26" t="n"/>
      <c r="F1611" s="26" t="n"/>
      <c r="G1611" s="26" t="n"/>
      <c r="H1611" s="38" t="n"/>
      <c r="I1611" s="28" t="n"/>
      <c r="J1611" s="30">
        <f>IF(B1611="","",IFERROR(INDEX('Share classes'!$A$4:$A$203,MATCH(B1611,'Share classes'!$B$4:$B$203,0)),""))</f>
        <v/>
      </c>
      <c r="K1611" s="30">
        <f>IF(A1611="","",IFERROR(INDEX('Holders'!$B$4:$B$1003,MATCH(A1611,'Holders'!$A$4:$A$1003,0)),""))</f>
        <v/>
      </c>
      <c r="L1611" s="30">
        <f>IF(OR(A1611="",B1611="",D1611=""),"",IF(D1611=_xlfn.MAXIFS($D$4:$D$2503,$A$4:$A$2503,A1611,$B$4:$B$2503,B1611),"Yes","No"))</f>
        <v/>
      </c>
      <c r="M1611" s="30">
        <f>IF(B1611="","",IFERROR(INDEX('Share classes'!$F$4:$F$203,MATCH(B1611,'Share classes'!$B$4:$B$203,0)),""))</f>
        <v/>
      </c>
      <c r="N1611" s="30">
        <f>IF(A1611="","",IF(K1611="","Unknown holder ID",IF(J1611="","Unknown class code",IF(OR(C1611="",D1611=""),"Missing shares or date",IF(OR(C1611&lt;0,C1611&lt;&gt;INT(C1611)),"Shares must be a whole number",IF(COUNTIFS($A$4:$A$2503,A1611,$B$4:$B$2503,B1611,$D$4:$D$2503,D1611)&gt;1,"Duplicate row (same date)","OK"))))))</f>
        <v/>
      </c>
    </row>
    <row r="1612">
      <c r="A1612" s="26" t="n"/>
      <c r="B1612" s="26" t="n"/>
      <c r="C1612" s="34" t="n"/>
      <c r="D1612" s="28" t="n"/>
      <c r="E1612" s="26" t="n"/>
      <c r="F1612" s="26" t="n"/>
      <c r="G1612" s="26" t="n"/>
      <c r="H1612" s="38" t="n"/>
      <c r="I1612" s="28" t="n"/>
      <c r="J1612" s="30">
        <f>IF(B1612="","",IFERROR(INDEX('Share classes'!$A$4:$A$203,MATCH(B1612,'Share classes'!$B$4:$B$203,0)),""))</f>
        <v/>
      </c>
      <c r="K1612" s="30">
        <f>IF(A1612="","",IFERROR(INDEX('Holders'!$B$4:$B$1003,MATCH(A1612,'Holders'!$A$4:$A$1003,0)),""))</f>
        <v/>
      </c>
      <c r="L1612" s="30">
        <f>IF(OR(A1612="",B1612="",D1612=""),"",IF(D1612=_xlfn.MAXIFS($D$4:$D$2503,$A$4:$A$2503,A1612,$B$4:$B$2503,B1612),"Yes","No"))</f>
        <v/>
      </c>
      <c r="M1612" s="30">
        <f>IF(B1612="","",IFERROR(INDEX('Share classes'!$F$4:$F$203,MATCH(B1612,'Share classes'!$B$4:$B$203,0)),""))</f>
        <v/>
      </c>
      <c r="N1612" s="30">
        <f>IF(A1612="","",IF(K1612="","Unknown holder ID",IF(J1612="","Unknown class code",IF(OR(C1612="",D1612=""),"Missing shares or date",IF(OR(C1612&lt;0,C1612&lt;&gt;INT(C1612)),"Shares must be a whole number",IF(COUNTIFS($A$4:$A$2503,A1612,$B$4:$B$2503,B1612,$D$4:$D$2503,D1612)&gt;1,"Duplicate row (same date)","OK"))))))</f>
        <v/>
      </c>
    </row>
    <row r="1613">
      <c r="A1613" s="26" t="n"/>
      <c r="B1613" s="26" t="n"/>
      <c r="C1613" s="34" t="n"/>
      <c r="D1613" s="28" t="n"/>
      <c r="E1613" s="26" t="n"/>
      <c r="F1613" s="26" t="n"/>
      <c r="G1613" s="26" t="n"/>
      <c r="H1613" s="38" t="n"/>
      <c r="I1613" s="28" t="n"/>
      <c r="J1613" s="30">
        <f>IF(B1613="","",IFERROR(INDEX('Share classes'!$A$4:$A$203,MATCH(B1613,'Share classes'!$B$4:$B$203,0)),""))</f>
        <v/>
      </c>
      <c r="K1613" s="30">
        <f>IF(A1613="","",IFERROR(INDEX('Holders'!$B$4:$B$1003,MATCH(A1613,'Holders'!$A$4:$A$1003,0)),""))</f>
        <v/>
      </c>
      <c r="L1613" s="30">
        <f>IF(OR(A1613="",B1613="",D1613=""),"",IF(D1613=_xlfn.MAXIFS($D$4:$D$2503,$A$4:$A$2503,A1613,$B$4:$B$2503,B1613),"Yes","No"))</f>
        <v/>
      </c>
      <c r="M1613" s="30">
        <f>IF(B1613="","",IFERROR(INDEX('Share classes'!$F$4:$F$203,MATCH(B1613,'Share classes'!$B$4:$B$203,0)),""))</f>
        <v/>
      </c>
      <c r="N1613" s="30">
        <f>IF(A1613="","",IF(K1613="","Unknown holder ID",IF(J1613="","Unknown class code",IF(OR(C1613="",D1613=""),"Missing shares or date",IF(OR(C1613&lt;0,C1613&lt;&gt;INT(C1613)),"Shares must be a whole number",IF(COUNTIFS($A$4:$A$2503,A1613,$B$4:$B$2503,B1613,$D$4:$D$2503,D1613)&gt;1,"Duplicate row (same date)","OK"))))))</f>
        <v/>
      </c>
    </row>
    <row r="1614">
      <c r="A1614" s="26" t="n"/>
      <c r="B1614" s="26" t="n"/>
      <c r="C1614" s="34" t="n"/>
      <c r="D1614" s="28" t="n"/>
      <c r="E1614" s="26" t="n"/>
      <c r="F1614" s="26" t="n"/>
      <c r="G1614" s="26" t="n"/>
      <c r="H1614" s="38" t="n"/>
      <c r="I1614" s="28" t="n"/>
      <c r="J1614" s="30">
        <f>IF(B1614="","",IFERROR(INDEX('Share classes'!$A$4:$A$203,MATCH(B1614,'Share classes'!$B$4:$B$203,0)),""))</f>
        <v/>
      </c>
      <c r="K1614" s="30">
        <f>IF(A1614="","",IFERROR(INDEX('Holders'!$B$4:$B$1003,MATCH(A1614,'Holders'!$A$4:$A$1003,0)),""))</f>
        <v/>
      </c>
      <c r="L1614" s="30">
        <f>IF(OR(A1614="",B1614="",D1614=""),"",IF(D1614=_xlfn.MAXIFS($D$4:$D$2503,$A$4:$A$2503,A1614,$B$4:$B$2503,B1614),"Yes","No"))</f>
        <v/>
      </c>
      <c r="M1614" s="30">
        <f>IF(B1614="","",IFERROR(INDEX('Share classes'!$F$4:$F$203,MATCH(B1614,'Share classes'!$B$4:$B$203,0)),""))</f>
        <v/>
      </c>
      <c r="N1614" s="30">
        <f>IF(A1614="","",IF(K1614="","Unknown holder ID",IF(J1614="","Unknown class code",IF(OR(C1614="",D1614=""),"Missing shares or date",IF(OR(C1614&lt;0,C1614&lt;&gt;INT(C1614)),"Shares must be a whole number",IF(COUNTIFS($A$4:$A$2503,A1614,$B$4:$B$2503,B1614,$D$4:$D$2503,D1614)&gt;1,"Duplicate row (same date)","OK"))))))</f>
        <v/>
      </c>
    </row>
    <row r="1615">
      <c r="A1615" s="26" t="n"/>
      <c r="B1615" s="26" t="n"/>
      <c r="C1615" s="34" t="n"/>
      <c r="D1615" s="28" t="n"/>
      <c r="E1615" s="26" t="n"/>
      <c r="F1615" s="26" t="n"/>
      <c r="G1615" s="26" t="n"/>
      <c r="H1615" s="38" t="n"/>
      <c r="I1615" s="28" t="n"/>
      <c r="J1615" s="30">
        <f>IF(B1615="","",IFERROR(INDEX('Share classes'!$A$4:$A$203,MATCH(B1615,'Share classes'!$B$4:$B$203,0)),""))</f>
        <v/>
      </c>
      <c r="K1615" s="30">
        <f>IF(A1615="","",IFERROR(INDEX('Holders'!$B$4:$B$1003,MATCH(A1615,'Holders'!$A$4:$A$1003,0)),""))</f>
        <v/>
      </c>
      <c r="L1615" s="30">
        <f>IF(OR(A1615="",B1615="",D1615=""),"",IF(D1615=_xlfn.MAXIFS($D$4:$D$2503,$A$4:$A$2503,A1615,$B$4:$B$2503,B1615),"Yes","No"))</f>
        <v/>
      </c>
      <c r="M1615" s="30">
        <f>IF(B1615="","",IFERROR(INDEX('Share classes'!$F$4:$F$203,MATCH(B1615,'Share classes'!$B$4:$B$203,0)),""))</f>
        <v/>
      </c>
      <c r="N1615" s="30">
        <f>IF(A1615="","",IF(K1615="","Unknown holder ID",IF(J1615="","Unknown class code",IF(OR(C1615="",D1615=""),"Missing shares or date",IF(OR(C1615&lt;0,C1615&lt;&gt;INT(C1615)),"Shares must be a whole number",IF(COUNTIFS($A$4:$A$2503,A1615,$B$4:$B$2503,B1615,$D$4:$D$2503,D1615)&gt;1,"Duplicate row (same date)","OK"))))))</f>
        <v/>
      </c>
    </row>
    <row r="1616">
      <c r="A1616" s="26" t="n"/>
      <c r="B1616" s="26" t="n"/>
      <c r="C1616" s="34" t="n"/>
      <c r="D1616" s="28" t="n"/>
      <c r="E1616" s="26" t="n"/>
      <c r="F1616" s="26" t="n"/>
      <c r="G1616" s="26" t="n"/>
      <c r="H1616" s="38" t="n"/>
      <c r="I1616" s="28" t="n"/>
      <c r="J1616" s="30">
        <f>IF(B1616="","",IFERROR(INDEX('Share classes'!$A$4:$A$203,MATCH(B1616,'Share classes'!$B$4:$B$203,0)),""))</f>
        <v/>
      </c>
      <c r="K1616" s="30">
        <f>IF(A1616="","",IFERROR(INDEX('Holders'!$B$4:$B$1003,MATCH(A1616,'Holders'!$A$4:$A$1003,0)),""))</f>
        <v/>
      </c>
      <c r="L1616" s="30">
        <f>IF(OR(A1616="",B1616="",D1616=""),"",IF(D1616=_xlfn.MAXIFS($D$4:$D$2503,$A$4:$A$2503,A1616,$B$4:$B$2503,B1616),"Yes","No"))</f>
        <v/>
      </c>
      <c r="M1616" s="30">
        <f>IF(B1616="","",IFERROR(INDEX('Share classes'!$F$4:$F$203,MATCH(B1616,'Share classes'!$B$4:$B$203,0)),""))</f>
        <v/>
      </c>
      <c r="N1616" s="30">
        <f>IF(A1616="","",IF(K1616="","Unknown holder ID",IF(J1616="","Unknown class code",IF(OR(C1616="",D1616=""),"Missing shares or date",IF(OR(C1616&lt;0,C1616&lt;&gt;INT(C1616)),"Shares must be a whole number",IF(COUNTIFS($A$4:$A$2503,A1616,$B$4:$B$2503,B1616,$D$4:$D$2503,D1616)&gt;1,"Duplicate row (same date)","OK"))))))</f>
        <v/>
      </c>
    </row>
    <row r="1617">
      <c r="A1617" s="26" t="n"/>
      <c r="B1617" s="26" t="n"/>
      <c r="C1617" s="34" t="n"/>
      <c r="D1617" s="28" t="n"/>
      <c r="E1617" s="26" t="n"/>
      <c r="F1617" s="26" t="n"/>
      <c r="G1617" s="26" t="n"/>
      <c r="H1617" s="38" t="n"/>
      <c r="I1617" s="28" t="n"/>
      <c r="J1617" s="30">
        <f>IF(B1617="","",IFERROR(INDEX('Share classes'!$A$4:$A$203,MATCH(B1617,'Share classes'!$B$4:$B$203,0)),""))</f>
        <v/>
      </c>
      <c r="K1617" s="30">
        <f>IF(A1617="","",IFERROR(INDEX('Holders'!$B$4:$B$1003,MATCH(A1617,'Holders'!$A$4:$A$1003,0)),""))</f>
        <v/>
      </c>
      <c r="L1617" s="30">
        <f>IF(OR(A1617="",B1617="",D1617=""),"",IF(D1617=_xlfn.MAXIFS($D$4:$D$2503,$A$4:$A$2503,A1617,$B$4:$B$2503,B1617),"Yes","No"))</f>
        <v/>
      </c>
      <c r="M1617" s="30">
        <f>IF(B1617="","",IFERROR(INDEX('Share classes'!$F$4:$F$203,MATCH(B1617,'Share classes'!$B$4:$B$203,0)),""))</f>
        <v/>
      </c>
      <c r="N1617" s="30">
        <f>IF(A1617="","",IF(K1617="","Unknown holder ID",IF(J1617="","Unknown class code",IF(OR(C1617="",D1617=""),"Missing shares or date",IF(OR(C1617&lt;0,C1617&lt;&gt;INT(C1617)),"Shares must be a whole number",IF(COUNTIFS($A$4:$A$2503,A1617,$B$4:$B$2503,B1617,$D$4:$D$2503,D1617)&gt;1,"Duplicate row (same date)","OK"))))))</f>
        <v/>
      </c>
    </row>
    <row r="1618">
      <c r="A1618" s="26" t="n"/>
      <c r="B1618" s="26" t="n"/>
      <c r="C1618" s="34" t="n"/>
      <c r="D1618" s="28" t="n"/>
      <c r="E1618" s="26" t="n"/>
      <c r="F1618" s="26" t="n"/>
      <c r="G1618" s="26" t="n"/>
      <c r="H1618" s="38" t="n"/>
      <c r="I1618" s="28" t="n"/>
      <c r="J1618" s="30">
        <f>IF(B1618="","",IFERROR(INDEX('Share classes'!$A$4:$A$203,MATCH(B1618,'Share classes'!$B$4:$B$203,0)),""))</f>
        <v/>
      </c>
      <c r="K1618" s="30">
        <f>IF(A1618="","",IFERROR(INDEX('Holders'!$B$4:$B$1003,MATCH(A1618,'Holders'!$A$4:$A$1003,0)),""))</f>
        <v/>
      </c>
      <c r="L1618" s="30">
        <f>IF(OR(A1618="",B1618="",D1618=""),"",IF(D1618=_xlfn.MAXIFS($D$4:$D$2503,$A$4:$A$2503,A1618,$B$4:$B$2503,B1618),"Yes","No"))</f>
        <v/>
      </c>
      <c r="M1618" s="30">
        <f>IF(B1618="","",IFERROR(INDEX('Share classes'!$F$4:$F$203,MATCH(B1618,'Share classes'!$B$4:$B$203,0)),""))</f>
        <v/>
      </c>
      <c r="N1618" s="30">
        <f>IF(A1618="","",IF(K1618="","Unknown holder ID",IF(J1618="","Unknown class code",IF(OR(C1618="",D1618=""),"Missing shares or date",IF(OR(C1618&lt;0,C1618&lt;&gt;INT(C1618)),"Shares must be a whole number",IF(COUNTIFS($A$4:$A$2503,A1618,$B$4:$B$2503,B1618,$D$4:$D$2503,D1618)&gt;1,"Duplicate row (same date)","OK"))))))</f>
        <v/>
      </c>
    </row>
    <row r="1619">
      <c r="A1619" s="26" t="n"/>
      <c r="B1619" s="26" t="n"/>
      <c r="C1619" s="34" t="n"/>
      <c r="D1619" s="28" t="n"/>
      <c r="E1619" s="26" t="n"/>
      <c r="F1619" s="26" t="n"/>
      <c r="G1619" s="26" t="n"/>
      <c r="H1619" s="38" t="n"/>
      <c r="I1619" s="28" t="n"/>
      <c r="J1619" s="30">
        <f>IF(B1619="","",IFERROR(INDEX('Share classes'!$A$4:$A$203,MATCH(B1619,'Share classes'!$B$4:$B$203,0)),""))</f>
        <v/>
      </c>
      <c r="K1619" s="30">
        <f>IF(A1619="","",IFERROR(INDEX('Holders'!$B$4:$B$1003,MATCH(A1619,'Holders'!$A$4:$A$1003,0)),""))</f>
        <v/>
      </c>
      <c r="L1619" s="30">
        <f>IF(OR(A1619="",B1619="",D1619=""),"",IF(D1619=_xlfn.MAXIFS($D$4:$D$2503,$A$4:$A$2503,A1619,$B$4:$B$2503,B1619),"Yes","No"))</f>
        <v/>
      </c>
      <c r="M1619" s="30">
        <f>IF(B1619="","",IFERROR(INDEX('Share classes'!$F$4:$F$203,MATCH(B1619,'Share classes'!$B$4:$B$203,0)),""))</f>
        <v/>
      </c>
      <c r="N1619" s="30">
        <f>IF(A1619="","",IF(K1619="","Unknown holder ID",IF(J1619="","Unknown class code",IF(OR(C1619="",D1619=""),"Missing shares or date",IF(OR(C1619&lt;0,C1619&lt;&gt;INT(C1619)),"Shares must be a whole number",IF(COUNTIFS($A$4:$A$2503,A1619,$B$4:$B$2503,B1619,$D$4:$D$2503,D1619)&gt;1,"Duplicate row (same date)","OK"))))))</f>
        <v/>
      </c>
    </row>
    <row r="1620">
      <c r="A1620" s="26" t="n"/>
      <c r="B1620" s="26" t="n"/>
      <c r="C1620" s="34" t="n"/>
      <c r="D1620" s="28" t="n"/>
      <c r="E1620" s="26" t="n"/>
      <c r="F1620" s="26" t="n"/>
      <c r="G1620" s="26" t="n"/>
      <c r="H1620" s="38" t="n"/>
      <c r="I1620" s="28" t="n"/>
      <c r="J1620" s="30">
        <f>IF(B1620="","",IFERROR(INDEX('Share classes'!$A$4:$A$203,MATCH(B1620,'Share classes'!$B$4:$B$203,0)),""))</f>
        <v/>
      </c>
      <c r="K1620" s="30">
        <f>IF(A1620="","",IFERROR(INDEX('Holders'!$B$4:$B$1003,MATCH(A1620,'Holders'!$A$4:$A$1003,0)),""))</f>
        <v/>
      </c>
      <c r="L1620" s="30">
        <f>IF(OR(A1620="",B1620="",D1620=""),"",IF(D1620=_xlfn.MAXIFS($D$4:$D$2503,$A$4:$A$2503,A1620,$B$4:$B$2503,B1620),"Yes","No"))</f>
        <v/>
      </c>
      <c r="M1620" s="30">
        <f>IF(B1620="","",IFERROR(INDEX('Share classes'!$F$4:$F$203,MATCH(B1620,'Share classes'!$B$4:$B$203,0)),""))</f>
        <v/>
      </c>
      <c r="N1620" s="30">
        <f>IF(A1620="","",IF(K1620="","Unknown holder ID",IF(J1620="","Unknown class code",IF(OR(C1620="",D1620=""),"Missing shares or date",IF(OR(C1620&lt;0,C1620&lt;&gt;INT(C1620)),"Shares must be a whole number",IF(COUNTIFS($A$4:$A$2503,A1620,$B$4:$B$2503,B1620,$D$4:$D$2503,D1620)&gt;1,"Duplicate row (same date)","OK"))))))</f>
        <v/>
      </c>
    </row>
    <row r="1621">
      <c r="A1621" s="26" t="n"/>
      <c r="B1621" s="26" t="n"/>
      <c r="C1621" s="34" t="n"/>
      <c r="D1621" s="28" t="n"/>
      <c r="E1621" s="26" t="n"/>
      <c r="F1621" s="26" t="n"/>
      <c r="G1621" s="26" t="n"/>
      <c r="H1621" s="38" t="n"/>
      <c r="I1621" s="28" t="n"/>
      <c r="J1621" s="30">
        <f>IF(B1621="","",IFERROR(INDEX('Share classes'!$A$4:$A$203,MATCH(B1621,'Share classes'!$B$4:$B$203,0)),""))</f>
        <v/>
      </c>
      <c r="K1621" s="30">
        <f>IF(A1621="","",IFERROR(INDEX('Holders'!$B$4:$B$1003,MATCH(A1621,'Holders'!$A$4:$A$1003,0)),""))</f>
        <v/>
      </c>
      <c r="L1621" s="30">
        <f>IF(OR(A1621="",B1621="",D1621=""),"",IF(D1621=_xlfn.MAXIFS($D$4:$D$2503,$A$4:$A$2503,A1621,$B$4:$B$2503,B1621),"Yes","No"))</f>
        <v/>
      </c>
      <c r="M1621" s="30">
        <f>IF(B1621="","",IFERROR(INDEX('Share classes'!$F$4:$F$203,MATCH(B1621,'Share classes'!$B$4:$B$203,0)),""))</f>
        <v/>
      </c>
      <c r="N1621" s="30">
        <f>IF(A1621="","",IF(K1621="","Unknown holder ID",IF(J1621="","Unknown class code",IF(OR(C1621="",D1621=""),"Missing shares or date",IF(OR(C1621&lt;0,C1621&lt;&gt;INT(C1621)),"Shares must be a whole number",IF(COUNTIFS($A$4:$A$2503,A1621,$B$4:$B$2503,B1621,$D$4:$D$2503,D1621)&gt;1,"Duplicate row (same date)","OK"))))))</f>
        <v/>
      </c>
    </row>
    <row r="1622">
      <c r="A1622" s="26" t="n"/>
      <c r="B1622" s="26" t="n"/>
      <c r="C1622" s="34" t="n"/>
      <c r="D1622" s="28" t="n"/>
      <c r="E1622" s="26" t="n"/>
      <c r="F1622" s="26" t="n"/>
      <c r="G1622" s="26" t="n"/>
      <c r="H1622" s="38" t="n"/>
      <c r="I1622" s="28" t="n"/>
      <c r="J1622" s="30">
        <f>IF(B1622="","",IFERROR(INDEX('Share classes'!$A$4:$A$203,MATCH(B1622,'Share classes'!$B$4:$B$203,0)),""))</f>
        <v/>
      </c>
      <c r="K1622" s="30">
        <f>IF(A1622="","",IFERROR(INDEX('Holders'!$B$4:$B$1003,MATCH(A1622,'Holders'!$A$4:$A$1003,0)),""))</f>
        <v/>
      </c>
      <c r="L1622" s="30">
        <f>IF(OR(A1622="",B1622="",D1622=""),"",IF(D1622=_xlfn.MAXIFS($D$4:$D$2503,$A$4:$A$2503,A1622,$B$4:$B$2503,B1622),"Yes","No"))</f>
        <v/>
      </c>
      <c r="M1622" s="30">
        <f>IF(B1622="","",IFERROR(INDEX('Share classes'!$F$4:$F$203,MATCH(B1622,'Share classes'!$B$4:$B$203,0)),""))</f>
        <v/>
      </c>
      <c r="N1622" s="30">
        <f>IF(A1622="","",IF(K1622="","Unknown holder ID",IF(J1622="","Unknown class code",IF(OR(C1622="",D1622=""),"Missing shares or date",IF(OR(C1622&lt;0,C1622&lt;&gt;INT(C1622)),"Shares must be a whole number",IF(COUNTIFS($A$4:$A$2503,A1622,$B$4:$B$2503,B1622,$D$4:$D$2503,D1622)&gt;1,"Duplicate row (same date)","OK"))))))</f>
        <v/>
      </c>
    </row>
    <row r="1623">
      <c r="A1623" s="26" t="n"/>
      <c r="B1623" s="26" t="n"/>
      <c r="C1623" s="34" t="n"/>
      <c r="D1623" s="28" t="n"/>
      <c r="E1623" s="26" t="n"/>
      <c r="F1623" s="26" t="n"/>
      <c r="G1623" s="26" t="n"/>
      <c r="H1623" s="38" t="n"/>
      <c r="I1623" s="28" t="n"/>
      <c r="J1623" s="30">
        <f>IF(B1623="","",IFERROR(INDEX('Share classes'!$A$4:$A$203,MATCH(B1623,'Share classes'!$B$4:$B$203,0)),""))</f>
        <v/>
      </c>
      <c r="K1623" s="30">
        <f>IF(A1623="","",IFERROR(INDEX('Holders'!$B$4:$B$1003,MATCH(A1623,'Holders'!$A$4:$A$1003,0)),""))</f>
        <v/>
      </c>
      <c r="L1623" s="30">
        <f>IF(OR(A1623="",B1623="",D1623=""),"",IF(D1623=_xlfn.MAXIFS($D$4:$D$2503,$A$4:$A$2503,A1623,$B$4:$B$2503,B1623),"Yes","No"))</f>
        <v/>
      </c>
      <c r="M1623" s="30">
        <f>IF(B1623="","",IFERROR(INDEX('Share classes'!$F$4:$F$203,MATCH(B1623,'Share classes'!$B$4:$B$203,0)),""))</f>
        <v/>
      </c>
      <c r="N1623" s="30">
        <f>IF(A1623="","",IF(K1623="","Unknown holder ID",IF(J1623="","Unknown class code",IF(OR(C1623="",D1623=""),"Missing shares or date",IF(OR(C1623&lt;0,C1623&lt;&gt;INT(C1623)),"Shares must be a whole number",IF(COUNTIFS($A$4:$A$2503,A1623,$B$4:$B$2503,B1623,$D$4:$D$2503,D1623)&gt;1,"Duplicate row (same date)","OK"))))))</f>
        <v/>
      </c>
    </row>
    <row r="1624">
      <c r="A1624" s="26" t="n"/>
      <c r="B1624" s="26" t="n"/>
      <c r="C1624" s="34" t="n"/>
      <c r="D1624" s="28" t="n"/>
      <c r="E1624" s="26" t="n"/>
      <c r="F1624" s="26" t="n"/>
      <c r="G1624" s="26" t="n"/>
      <c r="H1624" s="38" t="n"/>
      <c r="I1624" s="28" t="n"/>
      <c r="J1624" s="30">
        <f>IF(B1624="","",IFERROR(INDEX('Share classes'!$A$4:$A$203,MATCH(B1624,'Share classes'!$B$4:$B$203,0)),""))</f>
        <v/>
      </c>
      <c r="K1624" s="30">
        <f>IF(A1624="","",IFERROR(INDEX('Holders'!$B$4:$B$1003,MATCH(A1624,'Holders'!$A$4:$A$1003,0)),""))</f>
        <v/>
      </c>
      <c r="L1624" s="30">
        <f>IF(OR(A1624="",B1624="",D1624=""),"",IF(D1624=_xlfn.MAXIFS($D$4:$D$2503,$A$4:$A$2503,A1624,$B$4:$B$2503,B1624),"Yes","No"))</f>
        <v/>
      </c>
      <c r="M1624" s="30">
        <f>IF(B1624="","",IFERROR(INDEX('Share classes'!$F$4:$F$203,MATCH(B1624,'Share classes'!$B$4:$B$203,0)),""))</f>
        <v/>
      </c>
      <c r="N1624" s="30">
        <f>IF(A1624="","",IF(K1624="","Unknown holder ID",IF(J1624="","Unknown class code",IF(OR(C1624="",D1624=""),"Missing shares or date",IF(OR(C1624&lt;0,C1624&lt;&gt;INT(C1624)),"Shares must be a whole number",IF(COUNTIFS($A$4:$A$2503,A1624,$B$4:$B$2503,B1624,$D$4:$D$2503,D1624)&gt;1,"Duplicate row (same date)","OK"))))))</f>
        <v/>
      </c>
    </row>
    <row r="1625">
      <c r="A1625" s="26" t="n"/>
      <c r="B1625" s="26" t="n"/>
      <c r="C1625" s="34" t="n"/>
      <c r="D1625" s="28" t="n"/>
      <c r="E1625" s="26" t="n"/>
      <c r="F1625" s="26" t="n"/>
      <c r="G1625" s="26" t="n"/>
      <c r="H1625" s="38" t="n"/>
      <c r="I1625" s="28" t="n"/>
      <c r="J1625" s="30">
        <f>IF(B1625="","",IFERROR(INDEX('Share classes'!$A$4:$A$203,MATCH(B1625,'Share classes'!$B$4:$B$203,0)),""))</f>
        <v/>
      </c>
      <c r="K1625" s="30">
        <f>IF(A1625="","",IFERROR(INDEX('Holders'!$B$4:$B$1003,MATCH(A1625,'Holders'!$A$4:$A$1003,0)),""))</f>
        <v/>
      </c>
      <c r="L1625" s="30">
        <f>IF(OR(A1625="",B1625="",D1625=""),"",IF(D1625=_xlfn.MAXIFS($D$4:$D$2503,$A$4:$A$2503,A1625,$B$4:$B$2503,B1625),"Yes","No"))</f>
        <v/>
      </c>
      <c r="M1625" s="30">
        <f>IF(B1625="","",IFERROR(INDEX('Share classes'!$F$4:$F$203,MATCH(B1625,'Share classes'!$B$4:$B$203,0)),""))</f>
        <v/>
      </c>
      <c r="N1625" s="30">
        <f>IF(A1625="","",IF(K1625="","Unknown holder ID",IF(J1625="","Unknown class code",IF(OR(C1625="",D1625=""),"Missing shares or date",IF(OR(C1625&lt;0,C1625&lt;&gt;INT(C1625)),"Shares must be a whole number",IF(COUNTIFS($A$4:$A$2503,A1625,$B$4:$B$2503,B1625,$D$4:$D$2503,D1625)&gt;1,"Duplicate row (same date)","OK"))))))</f>
        <v/>
      </c>
    </row>
    <row r="1626">
      <c r="A1626" s="26" t="n"/>
      <c r="B1626" s="26" t="n"/>
      <c r="C1626" s="34" t="n"/>
      <c r="D1626" s="28" t="n"/>
      <c r="E1626" s="26" t="n"/>
      <c r="F1626" s="26" t="n"/>
      <c r="G1626" s="26" t="n"/>
      <c r="H1626" s="38" t="n"/>
      <c r="I1626" s="28" t="n"/>
      <c r="J1626" s="30">
        <f>IF(B1626="","",IFERROR(INDEX('Share classes'!$A$4:$A$203,MATCH(B1626,'Share classes'!$B$4:$B$203,0)),""))</f>
        <v/>
      </c>
      <c r="K1626" s="30">
        <f>IF(A1626="","",IFERROR(INDEX('Holders'!$B$4:$B$1003,MATCH(A1626,'Holders'!$A$4:$A$1003,0)),""))</f>
        <v/>
      </c>
      <c r="L1626" s="30">
        <f>IF(OR(A1626="",B1626="",D1626=""),"",IF(D1626=_xlfn.MAXIFS($D$4:$D$2503,$A$4:$A$2503,A1626,$B$4:$B$2503,B1626),"Yes","No"))</f>
        <v/>
      </c>
      <c r="M1626" s="30">
        <f>IF(B1626="","",IFERROR(INDEX('Share classes'!$F$4:$F$203,MATCH(B1626,'Share classes'!$B$4:$B$203,0)),""))</f>
        <v/>
      </c>
      <c r="N1626" s="30">
        <f>IF(A1626="","",IF(K1626="","Unknown holder ID",IF(J1626="","Unknown class code",IF(OR(C1626="",D1626=""),"Missing shares or date",IF(OR(C1626&lt;0,C1626&lt;&gt;INT(C1626)),"Shares must be a whole number",IF(COUNTIFS($A$4:$A$2503,A1626,$B$4:$B$2503,B1626,$D$4:$D$2503,D1626)&gt;1,"Duplicate row (same date)","OK"))))))</f>
        <v/>
      </c>
    </row>
    <row r="1627">
      <c r="A1627" s="26" t="n"/>
      <c r="B1627" s="26" t="n"/>
      <c r="C1627" s="34" t="n"/>
      <c r="D1627" s="28" t="n"/>
      <c r="E1627" s="26" t="n"/>
      <c r="F1627" s="26" t="n"/>
      <c r="G1627" s="26" t="n"/>
      <c r="H1627" s="38" t="n"/>
      <c r="I1627" s="28" t="n"/>
      <c r="J1627" s="30">
        <f>IF(B1627="","",IFERROR(INDEX('Share classes'!$A$4:$A$203,MATCH(B1627,'Share classes'!$B$4:$B$203,0)),""))</f>
        <v/>
      </c>
      <c r="K1627" s="30">
        <f>IF(A1627="","",IFERROR(INDEX('Holders'!$B$4:$B$1003,MATCH(A1627,'Holders'!$A$4:$A$1003,0)),""))</f>
        <v/>
      </c>
      <c r="L1627" s="30">
        <f>IF(OR(A1627="",B1627="",D1627=""),"",IF(D1627=_xlfn.MAXIFS($D$4:$D$2503,$A$4:$A$2503,A1627,$B$4:$B$2503,B1627),"Yes","No"))</f>
        <v/>
      </c>
      <c r="M1627" s="30">
        <f>IF(B1627="","",IFERROR(INDEX('Share classes'!$F$4:$F$203,MATCH(B1627,'Share classes'!$B$4:$B$203,0)),""))</f>
        <v/>
      </c>
      <c r="N1627" s="30">
        <f>IF(A1627="","",IF(K1627="","Unknown holder ID",IF(J1627="","Unknown class code",IF(OR(C1627="",D1627=""),"Missing shares or date",IF(OR(C1627&lt;0,C1627&lt;&gt;INT(C1627)),"Shares must be a whole number",IF(COUNTIFS($A$4:$A$2503,A1627,$B$4:$B$2503,B1627,$D$4:$D$2503,D1627)&gt;1,"Duplicate row (same date)","OK"))))))</f>
        <v/>
      </c>
    </row>
    <row r="1628">
      <c r="A1628" s="26" t="n"/>
      <c r="B1628" s="26" t="n"/>
      <c r="C1628" s="34" t="n"/>
      <c r="D1628" s="28" t="n"/>
      <c r="E1628" s="26" t="n"/>
      <c r="F1628" s="26" t="n"/>
      <c r="G1628" s="26" t="n"/>
      <c r="H1628" s="38" t="n"/>
      <c r="I1628" s="28" t="n"/>
      <c r="J1628" s="30">
        <f>IF(B1628="","",IFERROR(INDEX('Share classes'!$A$4:$A$203,MATCH(B1628,'Share classes'!$B$4:$B$203,0)),""))</f>
        <v/>
      </c>
      <c r="K1628" s="30">
        <f>IF(A1628="","",IFERROR(INDEX('Holders'!$B$4:$B$1003,MATCH(A1628,'Holders'!$A$4:$A$1003,0)),""))</f>
        <v/>
      </c>
      <c r="L1628" s="30">
        <f>IF(OR(A1628="",B1628="",D1628=""),"",IF(D1628=_xlfn.MAXIFS($D$4:$D$2503,$A$4:$A$2503,A1628,$B$4:$B$2503,B1628),"Yes","No"))</f>
        <v/>
      </c>
      <c r="M1628" s="30">
        <f>IF(B1628="","",IFERROR(INDEX('Share classes'!$F$4:$F$203,MATCH(B1628,'Share classes'!$B$4:$B$203,0)),""))</f>
        <v/>
      </c>
      <c r="N1628" s="30">
        <f>IF(A1628="","",IF(K1628="","Unknown holder ID",IF(J1628="","Unknown class code",IF(OR(C1628="",D1628=""),"Missing shares or date",IF(OR(C1628&lt;0,C1628&lt;&gt;INT(C1628)),"Shares must be a whole number",IF(COUNTIFS($A$4:$A$2503,A1628,$B$4:$B$2503,B1628,$D$4:$D$2503,D1628)&gt;1,"Duplicate row (same date)","OK"))))))</f>
        <v/>
      </c>
    </row>
    <row r="1629">
      <c r="A1629" s="26" t="n"/>
      <c r="B1629" s="26" t="n"/>
      <c r="C1629" s="34" t="n"/>
      <c r="D1629" s="28" t="n"/>
      <c r="E1629" s="26" t="n"/>
      <c r="F1629" s="26" t="n"/>
      <c r="G1629" s="26" t="n"/>
      <c r="H1629" s="38" t="n"/>
      <c r="I1629" s="28" t="n"/>
      <c r="J1629" s="30">
        <f>IF(B1629="","",IFERROR(INDEX('Share classes'!$A$4:$A$203,MATCH(B1629,'Share classes'!$B$4:$B$203,0)),""))</f>
        <v/>
      </c>
      <c r="K1629" s="30">
        <f>IF(A1629="","",IFERROR(INDEX('Holders'!$B$4:$B$1003,MATCH(A1629,'Holders'!$A$4:$A$1003,0)),""))</f>
        <v/>
      </c>
      <c r="L1629" s="30">
        <f>IF(OR(A1629="",B1629="",D1629=""),"",IF(D1629=_xlfn.MAXIFS($D$4:$D$2503,$A$4:$A$2503,A1629,$B$4:$B$2503,B1629),"Yes","No"))</f>
        <v/>
      </c>
      <c r="M1629" s="30">
        <f>IF(B1629="","",IFERROR(INDEX('Share classes'!$F$4:$F$203,MATCH(B1629,'Share classes'!$B$4:$B$203,0)),""))</f>
        <v/>
      </c>
      <c r="N1629" s="30">
        <f>IF(A1629="","",IF(K1629="","Unknown holder ID",IF(J1629="","Unknown class code",IF(OR(C1629="",D1629=""),"Missing shares or date",IF(OR(C1629&lt;0,C1629&lt;&gt;INT(C1629)),"Shares must be a whole number",IF(COUNTIFS($A$4:$A$2503,A1629,$B$4:$B$2503,B1629,$D$4:$D$2503,D1629)&gt;1,"Duplicate row (same date)","OK"))))))</f>
        <v/>
      </c>
    </row>
    <row r="1630">
      <c r="A1630" s="26" t="n"/>
      <c r="B1630" s="26" t="n"/>
      <c r="C1630" s="34" t="n"/>
      <c r="D1630" s="28" t="n"/>
      <c r="E1630" s="26" t="n"/>
      <c r="F1630" s="26" t="n"/>
      <c r="G1630" s="26" t="n"/>
      <c r="H1630" s="38" t="n"/>
      <c r="I1630" s="28" t="n"/>
      <c r="J1630" s="30">
        <f>IF(B1630="","",IFERROR(INDEX('Share classes'!$A$4:$A$203,MATCH(B1630,'Share classes'!$B$4:$B$203,0)),""))</f>
        <v/>
      </c>
      <c r="K1630" s="30">
        <f>IF(A1630="","",IFERROR(INDEX('Holders'!$B$4:$B$1003,MATCH(A1630,'Holders'!$A$4:$A$1003,0)),""))</f>
        <v/>
      </c>
      <c r="L1630" s="30">
        <f>IF(OR(A1630="",B1630="",D1630=""),"",IF(D1630=_xlfn.MAXIFS($D$4:$D$2503,$A$4:$A$2503,A1630,$B$4:$B$2503,B1630),"Yes","No"))</f>
        <v/>
      </c>
      <c r="M1630" s="30">
        <f>IF(B1630="","",IFERROR(INDEX('Share classes'!$F$4:$F$203,MATCH(B1630,'Share classes'!$B$4:$B$203,0)),""))</f>
        <v/>
      </c>
      <c r="N1630" s="30">
        <f>IF(A1630="","",IF(K1630="","Unknown holder ID",IF(J1630="","Unknown class code",IF(OR(C1630="",D1630=""),"Missing shares or date",IF(OR(C1630&lt;0,C1630&lt;&gt;INT(C1630)),"Shares must be a whole number",IF(COUNTIFS($A$4:$A$2503,A1630,$B$4:$B$2503,B1630,$D$4:$D$2503,D1630)&gt;1,"Duplicate row (same date)","OK"))))))</f>
        <v/>
      </c>
    </row>
    <row r="1631">
      <c r="A1631" s="26" t="n"/>
      <c r="B1631" s="26" t="n"/>
      <c r="C1631" s="34" t="n"/>
      <c r="D1631" s="28" t="n"/>
      <c r="E1631" s="26" t="n"/>
      <c r="F1631" s="26" t="n"/>
      <c r="G1631" s="26" t="n"/>
      <c r="H1631" s="38" t="n"/>
      <c r="I1631" s="28" t="n"/>
      <c r="J1631" s="30">
        <f>IF(B1631="","",IFERROR(INDEX('Share classes'!$A$4:$A$203,MATCH(B1631,'Share classes'!$B$4:$B$203,0)),""))</f>
        <v/>
      </c>
      <c r="K1631" s="30">
        <f>IF(A1631="","",IFERROR(INDEX('Holders'!$B$4:$B$1003,MATCH(A1631,'Holders'!$A$4:$A$1003,0)),""))</f>
        <v/>
      </c>
      <c r="L1631" s="30">
        <f>IF(OR(A1631="",B1631="",D1631=""),"",IF(D1631=_xlfn.MAXIFS($D$4:$D$2503,$A$4:$A$2503,A1631,$B$4:$B$2503,B1631),"Yes","No"))</f>
        <v/>
      </c>
      <c r="M1631" s="30">
        <f>IF(B1631="","",IFERROR(INDEX('Share classes'!$F$4:$F$203,MATCH(B1631,'Share classes'!$B$4:$B$203,0)),""))</f>
        <v/>
      </c>
      <c r="N1631" s="30">
        <f>IF(A1631="","",IF(K1631="","Unknown holder ID",IF(J1631="","Unknown class code",IF(OR(C1631="",D1631=""),"Missing shares or date",IF(OR(C1631&lt;0,C1631&lt;&gt;INT(C1631)),"Shares must be a whole number",IF(COUNTIFS($A$4:$A$2503,A1631,$B$4:$B$2503,B1631,$D$4:$D$2503,D1631)&gt;1,"Duplicate row (same date)","OK"))))))</f>
        <v/>
      </c>
    </row>
    <row r="1632">
      <c r="A1632" s="26" t="n"/>
      <c r="B1632" s="26" t="n"/>
      <c r="C1632" s="34" t="n"/>
      <c r="D1632" s="28" t="n"/>
      <c r="E1632" s="26" t="n"/>
      <c r="F1632" s="26" t="n"/>
      <c r="G1632" s="26" t="n"/>
      <c r="H1632" s="38" t="n"/>
      <c r="I1632" s="28" t="n"/>
      <c r="J1632" s="30">
        <f>IF(B1632="","",IFERROR(INDEX('Share classes'!$A$4:$A$203,MATCH(B1632,'Share classes'!$B$4:$B$203,0)),""))</f>
        <v/>
      </c>
      <c r="K1632" s="30">
        <f>IF(A1632="","",IFERROR(INDEX('Holders'!$B$4:$B$1003,MATCH(A1632,'Holders'!$A$4:$A$1003,0)),""))</f>
        <v/>
      </c>
      <c r="L1632" s="30">
        <f>IF(OR(A1632="",B1632="",D1632=""),"",IF(D1632=_xlfn.MAXIFS($D$4:$D$2503,$A$4:$A$2503,A1632,$B$4:$B$2503,B1632),"Yes","No"))</f>
        <v/>
      </c>
      <c r="M1632" s="30">
        <f>IF(B1632="","",IFERROR(INDEX('Share classes'!$F$4:$F$203,MATCH(B1632,'Share classes'!$B$4:$B$203,0)),""))</f>
        <v/>
      </c>
      <c r="N1632" s="30">
        <f>IF(A1632="","",IF(K1632="","Unknown holder ID",IF(J1632="","Unknown class code",IF(OR(C1632="",D1632=""),"Missing shares or date",IF(OR(C1632&lt;0,C1632&lt;&gt;INT(C1632)),"Shares must be a whole number",IF(COUNTIFS($A$4:$A$2503,A1632,$B$4:$B$2503,B1632,$D$4:$D$2503,D1632)&gt;1,"Duplicate row (same date)","OK"))))))</f>
        <v/>
      </c>
    </row>
    <row r="1633">
      <c r="A1633" s="26" t="n"/>
      <c r="B1633" s="26" t="n"/>
      <c r="C1633" s="34" t="n"/>
      <c r="D1633" s="28" t="n"/>
      <c r="E1633" s="26" t="n"/>
      <c r="F1633" s="26" t="n"/>
      <c r="G1633" s="26" t="n"/>
      <c r="H1633" s="38" t="n"/>
      <c r="I1633" s="28" t="n"/>
      <c r="J1633" s="30">
        <f>IF(B1633="","",IFERROR(INDEX('Share classes'!$A$4:$A$203,MATCH(B1633,'Share classes'!$B$4:$B$203,0)),""))</f>
        <v/>
      </c>
      <c r="K1633" s="30">
        <f>IF(A1633="","",IFERROR(INDEX('Holders'!$B$4:$B$1003,MATCH(A1633,'Holders'!$A$4:$A$1003,0)),""))</f>
        <v/>
      </c>
      <c r="L1633" s="30">
        <f>IF(OR(A1633="",B1633="",D1633=""),"",IF(D1633=_xlfn.MAXIFS($D$4:$D$2503,$A$4:$A$2503,A1633,$B$4:$B$2503,B1633),"Yes","No"))</f>
        <v/>
      </c>
      <c r="M1633" s="30">
        <f>IF(B1633="","",IFERROR(INDEX('Share classes'!$F$4:$F$203,MATCH(B1633,'Share classes'!$B$4:$B$203,0)),""))</f>
        <v/>
      </c>
      <c r="N1633" s="30">
        <f>IF(A1633="","",IF(K1633="","Unknown holder ID",IF(J1633="","Unknown class code",IF(OR(C1633="",D1633=""),"Missing shares or date",IF(OR(C1633&lt;0,C1633&lt;&gt;INT(C1633)),"Shares must be a whole number",IF(COUNTIFS($A$4:$A$2503,A1633,$B$4:$B$2503,B1633,$D$4:$D$2503,D1633)&gt;1,"Duplicate row (same date)","OK"))))))</f>
        <v/>
      </c>
    </row>
    <row r="1634">
      <c r="A1634" s="26" t="n"/>
      <c r="B1634" s="26" t="n"/>
      <c r="C1634" s="34" t="n"/>
      <c r="D1634" s="28" t="n"/>
      <c r="E1634" s="26" t="n"/>
      <c r="F1634" s="26" t="n"/>
      <c r="G1634" s="26" t="n"/>
      <c r="H1634" s="38" t="n"/>
      <c r="I1634" s="28" t="n"/>
      <c r="J1634" s="30">
        <f>IF(B1634="","",IFERROR(INDEX('Share classes'!$A$4:$A$203,MATCH(B1634,'Share classes'!$B$4:$B$203,0)),""))</f>
        <v/>
      </c>
      <c r="K1634" s="30">
        <f>IF(A1634="","",IFERROR(INDEX('Holders'!$B$4:$B$1003,MATCH(A1634,'Holders'!$A$4:$A$1003,0)),""))</f>
        <v/>
      </c>
      <c r="L1634" s="30">
        <f>IF(OR(A1634="",B1634="",D1634=""),"",IF(D1634=_xlfn.MAXIFS($D$4:$D$2503,$A$4:$A$2503,A1634,$B$4:$B$2503,B1634),"Yes","No"))</f>
        <v/>
      </c>
      <c r="M1634" s="30">
        <f>IF(B1634="","",IFERROR(INDEX('Share classes'!$F$4:$F$203,MATCH(B1634,'Share classes'!$B$4:$B$203,0)),""))</f>
        <v/>
      </c>
      <c r="N1634" s="30">
        <f>IF(A1634="","",IF(K1634="","Unknown holder ID",IF(J1634="","Unknown class code",IF(OR(C1634="",D1634=""),"Missing shares or date",IF(OR(C1634&lt;0,C1634&lt;&gt;INT(C1634)),"Shares must be a whole number",IF(COUNTIFS($A$4:$A$2503,A1634,$B$4:$B$2503,B1634,$D$4:$D$2503,D1634)&gt;1,"Duplicate row (same date)","OK"))))))</f>
        <v/>
      </c>
    </row>
    <row r="1635">
      <c r="A1635" s="26" t="n"/>
      <c r="B1635" s="26" t="n"/>
      <c r="C1635" s="34" t="n"/>
      <c r="D1635" s="28" t="n"/>
      <c r="E1635" s="26" t="n"/>
      <c r="F1635" s="26" t="n"/>
      <c r="G1635" s="26" t="n"/>
      <c r="H1635" s="38" t="n"/>
      <c r="I1635" s="28" t="n"/>
      <c r="J1635" s="30">
        <f>IF(B1635="","",IFERROR(INDEX('Share classes'!$A$4:$A$203,MATCH(B1635,'Share classes'!$B$4:$B$203,0)),""))</f>
        <v/>
      </c>
      <c r="K1635" s="30">
        <f>IF(A1635="","",IFERROR(INDEX('Holders'!$B$4:$B$1003,MATCH(A1635,'Holders'!$A$4:$A$1003,0)),""))</f>
        <v/>
      </c>
      <c r="L1635" s="30">
        <f>IF(OR(A1635="",B1635="",D1635=""),"",IF(D1635=_xlfn.MAXIFS($D$4:$D$2503,$A$4:$A$2503,A1635,$B$4:$B$2503,B1635),"Yes","No"))</f>
        <v/>
      </c>
      <c r="M1635" s="30">
        <f>IF(B1635="","",IFERROR(INDEX('Share classes'!$F$4:$F$203,MATCH(B1635,'Share classes'!$B$4:$B$203,0)),""))</f>
        <v/>
      </c>
      <c r="N1635" s="30">
        <f>IF(A1635="","",IF(K1635="","Unknown holder ID",IF(J1635="","Unknown class code",IF(OR(C1635="",D1635=""),"Missing shares or date",IF(OR(C1635&lt;0,C1635&lt;&gt;INT(C1635)),"Shares must be a whole number",IF(COUNTIFS($A$4:$A$2503,A1635,$B$4:$B$2503,B1635,$D$4:$D$2503,D1635)&gt;1,"Duplicate row (same date)","OK"))))))</f>
        <v/>
      </c>
    </row>
    <row r="1636">
      <c r="A1636" s="26" t="n"/>
      <c r="B1636" s="26" t="n"/>
      <c r="C1636" s="34" t="n"/>
      <c r="D1636" s="28" t="n"/>
      <c r="E1636" s="26" t="n"/>
      <c r="F1636" s="26" t="n"/>
      <c r="G1636" s="26" t="n"/>
      <c r="H1636" s="38" t="n"/>
      <c r="I1636" s="28" t="n"/>
      <c r="J1636" s="30">
        <f>IF(B1636="","",IFERROR(INDEX('Share classes'!$A$4:$A$203,MATCH(B1636,'Share classes'!$B$4:$B$203,0)),""))</f>
        <v/>
      </c>
      <c r="K1636" s="30">
        <f>IF(A1636="","",IFERROR(INDEX('Holders'!$B$4:$B$1003,MATCH(A1636,'Holders'!$A$4:$A$1003,0)),""))</f>
        <v/>
      </c>
      <c r="L1636" s="30">
        <f>IF(OR(A1636="",B1636="",D1636=""),"",IF(D1636=_xlfn.MAXIFS($D$4:$D$2503,$A$4:$A$2503,A1636,$B$4:$B$2503,B1636),"Yes","No"))</f>
        <v/>
      </c>
      <c r="M1636" s="30">
        <f>IF(B1636="","",IFERROR(INDEX('Share classes'!$F$4:$F$203,MATCH(B1636,'Share classes'!$B$4:$B$203,0)),""))</f>
        <v/>
      </c>
      <c r="N1636" s="30">
        <f>IF(A1636="","",IF(K1636="","Unknown holder ID",IF(J1636="","Unknown class code",IF(OR(C1636="",D1636=""),"Missing shares or date",IF(OR(C1636&lt;0,C1636&lt;&gt;INT(C1636)),"Shares must be a whole number",IF(COUNTIFS($A$4:$A$2503,A1636,$B$4:$B$2503,B1636,$D$4:$D$2503,D1636)&gt;1,"Duplicate row (same date)","OK"))))))</f>
        <v/>
      </c>
    </row>
    <row r="1637">
      <c r="A1637" s="26" t="n"/>
      <c r="B1637" s="26" t="n"/>
      <c r="C1637" s="34" t="n"/>
      <c r="D1637" s="28" t="n"/>
      <c r="E1637" s="26" t="n"/>
      <c r="F1637" s="26" t="n"/>
      <c r="G1637" s="26" t="n"/>
      <c r="H1637" s="38" t="n"/>
      <c r="I1637" s="28" t="n"/>
      <c r="J1637" s="30">
        <f>IF(B1637="","",IFERROR(INDEX('Share classes'!$A$4:$A$203,MATCH(B1637,'Share classes'!$B$4:$B$203,0)),""))</f>
        <v/>
      </c>
      <c r="K1637" s="30">
        <f>IF(A1637="","",IFERROR(INDEX('Holders'!$B$4:$B$1003,MATCH(A1637,'Holders'!$A$4:$A$1003,0)),""))</f>
        <v/>
      </c>
      <c r="L1637" s="30">
        <f>IF(OR(A1637="",B1637="",D1637=""),"",IF(D1637=_xlfn.MAXIFS($D$4:$D$2503,$A$4:$A$2503,A1637,$B$4:$B$2503,B1637),"Yes","No"))</f>
        <v/>
      </c>
      <c r="M1637" s="30">
        <f>IF(B1637="","",IFERROR(INDEX('Share classes'!$F$4:$F$203,MATCH(B1637,'Share classes'!$B$4:$B$203,0)),""))</f>
        <v/>
      </c>
      <c r="N1637" s="30">
        <f>IF(A1637="","",IF(K1637="","Unknown holder ID",IF(J1637="","Unknown class code",IF(OR(C1637="",D1637=""),"Missing shares or date",IF(OR(C1637&lt;0,C1637&lt;&gt;INT(C1637)),"Shares must be a whole number",IF(COUNTIFS($A$4:$A$2503,A1637,$B$4:$B$2503,B1637,$D$4:$D$2503,D1637)&gt;1,"Duplicate row (same date)","OK"))))))</f>
        <v/>
      </c>
    </row>
    <row r="1638">
      <c r="A1638" s="26" t="n"/>
      <c r="B1638" s="26" t="n"/>
      <c r="C1638" s="34" t="n"/>
      <c r="D1638" s="28" t="n"/>
      <c r="E1638" s="26" t="n"/>
      <c r="F1638" s="26" t="n"/>
      <c r="G1638" s="26" t="n"/>
      <c r="H1638" s="38" t="n"/>
      <c r="I1638" s="28" t="n"/>
      <c r="J1638" s="30">
        <f>IF(B1638="","",IFERROR(INDEX('Share classes'!$A$4:$A$203,MATCH(B1638,'Share classes'!$B$4:$B$203,0)),""))</f>
        <v/>
      </c>
      <c r="K1638" s="30">
        <f>IF(A1638="","",IFERROR(INDEX('Holders'!$B$4:$B$1003,MATCH(A1638,'Holders'!$A$4:$A$1003,0)),""))</f>
        <v/>
      </c>
      <c r="L1638" s="30">
        <f>IF(OR(A1638="",B1638="",D1638=""),"",IF(D1638=_xlfn.MAXIFS($D$4:$D$2503,$A$4:$A$2503,A1638,$B$4:$B$2503,B1638),"Yes","No"))</f>
        <v/>
      </c>
      <c r="M1638" s="30">
        <f>IF(B1638="","",IFERROR(INDEX('Share classes'!$F$4:$F$203,MATCH(B1638,'Share classes'!$B$4:$B$203,0)),""))</f>
        <v/>
      </c>
      <c r="N1638" s="30">
        <f>IF(A1638="","",IF(K1638="","Unknown holder ID",IF(J1638="","Unknown class code",IF(OR(C1638="",D1638=""),"Missing shares or date",IF(OR(C1638&lt;0,C1638&lt;&gt;INT(C1638)),"Shares must be a whole number",IF(COUNTIFS($A$4:$A$2503,A1638,$B$4:$B$2503,B1638,$D$4:$D$2503,D1638)&gt;1,"Duplicate row (same date)","OK"))))))</f>
        <v/>
      </c>
    </row>
    <row r="1639">
      <c r="A1639" s="26" t="n"/>
      <c r="B1639" s="26" t="n"/>
      <c r="C1639" s="34" t="n"/>
      <c r="D1639" s="28" t="n"/>
      <c r="E1639" s="26" t="n"/>
      <c r="F1639" s="26" t="n"/>
      <c r="G1639" s="26" t="n"/>
      <c r="H1639" s="38" t="n"/>
      <c r="I1639" s="28" t="n"/>
      <c r="J1639" s="30">
        <f>IF(B1639="","",IFERROR(INDEX('Share classes'!$A$4:$A$203,MATCH(B1639,'Share classes'!$B$4:$B$203,0)),""))</f>
        <v/>
      </c>
      <c r="K1639" s="30">
        <f>IF(A1639="","",IFERROR(INDEX('Holders'!$B$4:$B$1003,MATCH(A1639,'Holders'!$A$4:$A$1003,0)),""))</f>
        <v/>
      </c>
      <c r="L1639" s="30">
        <f>IF(OR(A1639="",B1639="",D1639=""),"",IF(D1639=_xlfn.MAXIFS($D$4:$D$2503,$A$4:$A$2503,A1639,$B$4:$B$2503,B1639),"Yes","No"))</f>
        <v/>
      </c>
      <c r="M1639" s="30">
        <f>IF(B1639="","",IFERROR(INDEX('Share classes'!$F$4:$F$203,MATCH(B1639,'Share classes'!$B$4:$B$203,0)),""))</f>
        <v/>
      </c>
      <c r="N1639" s="30">
        <f>IF(A1639="","",IF(K1639="","Unknown holder ID",IF(J1639="","Unknown class code",IF(OR(C1639="",D1639=""),"Missing shares or date",IF(OR(C1639&lt;0,C1639&lt;&gt;INT(C1639)),"Shares must be a whole number",IF(COUNTIFS($A$4:$A$2503,A1639,$B$4:$B$2503,B1639,$D$4:$D$2503,D1639)&gt;1,"Duplicate row (same date)","OK"))))))</f>
        <v/>
      </c>
    </row>
    <row r="1640">
      <c r="A1640" s="26" t="n"/>
      <c r="B1640" s="26" t="n"/>
      <c r="C1640" s="34" t="n"/>
      <c r="D1640" s="28" t="n"/>
      <c r="E1640" s="26" t="n"/>
      <c r="F1640" s="26" t="n"/>
      <c r="G1640" s="26" t="n"/>
      <c r="H1640" s="38" t="n"/>
      <c r="I1640" s="28" t="n"/>
      <c r="J1640" s="30">
        <f>IF(B1640="","",IFERROR(INDEX('Share classes'!$A$4:$A$203,MATCH(B1640,'Share classes'!$B$4:$B$203,0)),""))</f>
        <v/>
      </c>
      <c r="K1640" s="30">
        <f>IF(A1640="","",IFERROR(INDEX('Holders'!$B$4:$B$1003,MATCH(A1640,'Holders'!$A$4:$A$1003,0)),""))</f>
        <v/>
      </c>
      <c r="L1640" s="30">
        <f>IF(OR(A1640="",B1640="",D1640=""),"",IF(D1640=_xlfn.MAXIFS($D$4:$D$2503,$A$4:$A$2503,A1640,$B$4:$B$2503,B1640),"Yes","No"))</f>
        <v/>
      </c>
      <c r="M1640" s="30">
        <f>IF(B1640="","",IFERROR(INDEX('Share classes'!$F$4:$F$203,MATCH(B1640,'Share classes'!$B$4:$B$203,0)),""))</f>
        <v/>
      </c>
      <c r="N1640" s="30">
        <f>IF(A1640="","",IF(K1640="","Unknown holder ID",IF(J1640="","Unknown class code",IF(OR(C1640="",D1640=""),"Missing shares or date",IF(OR(C1640&lt;0,C1640&lt;&gt;INT(C1640)),"Shares must be a whole number",IF(COUNTIFS($A$4:$A$2503,A1640,$B$4:$B$2503,B1640,$D$4:$D$2503,D1640)&gt;1,"Duplicate row (same date)","OK"))))))</f>
        <v/>
      </c>
    </row>
    <row r="1641">
      <c r="A1641" s="26" t="n"/>
      <c r="B1641" s="26" t="n"/>
      <c r="C1641" s="34" t="n"/>
      <c r="D1641" s="28" t="n"/>
      <c r="E1641" s="26" t="n"/>
      <c r="F1641" s="26" t="n"/>
      <c r="G1641" s="26" t="n"/>
      <c r="H1641" s="38" t="n"/>
      <c r="I1641" s="28" t="n"/>
      <c r="J1641" s="30">
        <f>IF(B1641="","",IFERROR(INDEX('Share classes'!$A$4:$A$203,MATCH(B1641,'Share classes'!$B$4:$B$203,0)),""))</f>
        <v/>
      </c>
      <c r="K1641" s="30">
        <f>IF(A1641="","",IFERROR(INDEX('Holders'!$B$4:$B$1003,MATCH(A1641,'Holders'!$A$4:$A$1003,0)),""))</f>
        <v/>
      </c>
      <c r="L1641" s="30">
        <f>IF(OR(A1641="",B1641="",D1641=""),"",IF(D1641=_xlfn.MAXIFS($D$4:$D$2503,$A$4:$A$2503,A1641,$B$4:$B$2503,B1641),"Yes","No"))</f>
        <v/>
      </c>
      <c r="M1641" s="30">
        <f>IF(B1641="","",IFERROR(INDEX('Share classes'!$F$4:$F$203,MATCH(B1641,'Share classes'!$B$4:$B$203,0)),""))</f>
        <v/>
      </c>
      <c r="N1641" s="30">
        <f>IF(A1641="","",IF(K1641="","Unknown holder ID",IF(J1641="","Unknown class code",IF(OR(C1641="",D1641=""),"Missing shares or date",IF(OR(C1641&lt;0,C1641&lt;&gt;INT(C1641)),"Shares must be a whole number",IF(COUNTIFS($A$4:$A$2503,A1641,$B$4:$B$2503,B1641,$D$4:$D$2503,D1641)&gt;1,"Duplicate row (same date)","OK"))))))</f>
        <v/>
      </c>
    </row>
    <row r="1642">
      <c r="A1642" s="26" t="n"/>
      <c r="B1642" s="26" t="n"/>
      <c r="C1642" s="34" t="n"/>
      <c r="D1642" s="28" t="n"/>
      <c r="E1642" s="26" t="n"/>
      <c r="F1642" s="26" t="n"/>
      <c r="G1642" s="26" t="n"/>
      <c r="H1642" s="38" t="n"/>
      <c r="I1642" s="28" t="n"/>
      <c r="J1642" s="30">
        <f>IF(B1642="","",IFERROR(INDEX('Share classes'!$A$4:$A$203,MATCH(B1642,'Share classes'!$B$4:$B$203,0)),""))</f>
        <v/>
      </c>
      <c r="K1642" s="30">
        <f>IF(A1642="","",IFERROR(INDEX('Holders'!$B$4:$B$1003,MATCH(A1642,'Holders'!$A$4:$A$1003,0)),""))</f>
        <v/>
      </c>
      <c r="L1642" s="30">
        <f>IF(OR(A1642="",B1642="",D1642=""),"",IF(D1642=_xlfn.MAXIFS($D$4:$D$2503,$A$4:$A$2503,A1642,$B$4:$B$2503,B1642),"Yes","No"))</f>
        <v/>
      </c>
      <c r="M1642" s="30">
        <f>IF(B1642="","",IFERROR(INDEX('Share classes'!$F$4:$F$203,MATCH(B1642,'Share classes'!$B$4:$B$203,0)),""))</f>
        <v/>
      </c>
      <c r="N1642" s="30">
        <f>IF(A1642="","",IF(K1642="","Unknown holder ID",IF(J1642="","Unknown class code",IF(OR(C1642="",D1642=""),"Missing shares or date",IF(OR(C1642&lt;0,C1642&lt;&gt;INT(C1642)),"Shares must be a whole number",IF(COUNTIFS($A$4:$A$2503,A1642,$B$4:$B$2503,B1642,$D$4:$D$2503,D1642)&gt;1,"Duplicate row (same date)","OK"))))))</f>
        <v/>
      </c>
    </row>
    <row r="1643">
      <c r="A1643" s="26" t="n"/>
      <c r="B1643" s="26" t="n"/>
      <c r="C1643" s="34" t="n"/>
      <c r="D1643" s="28" t="n"/>
      <c r="E1643" s="26" t="n"/>
      <c r="F1643" s="26" t="n"/>
      <c r="G1643" s="26" t="n"/>
      <c r="H1643" s="38" t="n"/>
      <c r="I1643" s="28" t="n"/>
      <c r="J1643" s="30">
        <f>IF(B1643="","",IFERROR(INDEX('Share classes'!$A$4:$A$203,MATCH(B1643,'Share classes'!$B$4:$B$203,0)),""))</f>
        <v/>
      </c>
      <c r="K1643" s="30">
        <f>IF(A1643="","",IFERROR(INDEX('Holders'!$B$4:$B$1003,MATCH(A1643,'Holders'!$A$4:$A$1003,0)),""))</f>
        <v/>
      </c>
      <c r="L1643" s="30">
        <f>IF(OR(A1643="",B1643="",D1643=""),"",IF(D1643=_xlfn.MAXIFS($D$4:$D$2503,$A$4:$A$2503,A1643,$B$4:$B$2503,B1643),"Yes","No"))</f>
        <v/>
      </c>
      <c r="M1643" s="30">
        <f>IF(B1643="","",IFERROR(INDEX('Share classes'!$F$4:$F$203,MATCH(B1643,'Share classes'!$B$4:$B$203,0)),""))</f>
        <v/>
      </c>
      <c r="N1643" s="30">
        <f>IF(A1643="","",IF(K1643="","Unknown holder ID",IF(J1643="","Unknown class code",IF(OR(C1643="",D1643=""),"Missing shares or date",IF(OR(C1643&lt;0,C1643&lt;&gt;INT(C1643)),"Shares must be a whole number",IF(COUNTIFS($A$4:$A$2503,A1643,$B$4:$B$2503,B1643,$D$4:$D$2503,D1643)&gt;1,"Duplicate row (same date)","OK"))))))</f>
        <v/>
      </c>
    </row>
    <row r="1644">
      <c r="A1644" s="26" t="n"/>
      <c r="B1644" s="26" t="n"/>
      <c r="C1644" s="34" t="n"/>
      <c r="D1644" s="28" t="n"/>
      <c r="E1644" s="26" t="n"/>
      <c r="F1644" s="26" t="n"/>
      <c r="G1644" s="26" t="n"/>
      <c r="H1644" s="38" t="n"/>
      <c r="I1644" s="28" t="n"/>
      <c r="J1644" s="30">
        <f>IF(B1644="","",IFERROR(INDEX('Share classes'!$A$4:$A$203,MATCH(B1644,'Share classes'!$B$4:$B$203,0)),""))</f>
        <v/>
      </c>
      <c r="K1644" s="30">
        <f>IF(A1644="","",IFERROR(INDEX('Holders'!$B$4:$B$1003,MATCH(A1644,'Holders'!$A$4:$A$1003,0)),""))</f>
        <v/>
      </c>
      <c r="L1644" s="30">
        <f>IF(OR(A1644="",B1644="",D1644=""),"",IF(D1644=_xlfn.MAXIFS($D$4:$D$2503,$A$4:$A$2503,A1644,$B$4:$B$2503,B1644),"Yes","No"))</f>
        <v/>
      </c>
      <c r="M1644" s="30">
        <f>IF(B1644="","",IFERROR(INDEX('Share classes'!$F$4:$F$203,MATCH(B1644,'Share classes'!$B$4:$B$203,0)),""))</f>
        <v/>
      </c>
      <c r="N1644" s="30">
        <f>IF(A1644="","",IF(K1644="","Unknown holder ID",IF(J1644="","Unknown class code",IF(OR(C1644="",D1644=""),"Missing shares or date",IF(OR(C1644&lt;0,C1644&lt;&gt;INT(C1644)),"Shares must be a whole number",IF(COUNTIFS($A$4:$A$2503,A1644,$B$4:$B$2503,B1644,$D$4:$D$2503,D1644)&gt;1,"Duplicate row (same date)","OK"))))))</f>
        <v/>
      </c>
    </row>
    <row r="1645">
      <c r="A1645" s="26" t="n"/>
      <c r="B1645" s="26" t="n"/>
      <c r="C1645" s="34" t="n"/>
      <c r="D1645" s="28" t="n"/>
      <c r="E1645" s="26" t="n"/>
      <c r="F1645" s="26" t="n"/>
      <c r="G1645" s="26" t="n"/>
      <c r="H1645" s="38" t="n"/>
      <c r="I1645" s="28" t="n"/>
      <c r="J1645" s="30">
        <f>IF(B1645="","",IFERROR(INDEX('Share classes'!$A$4:$A$203,MATCH(B1645,'Share classes'!$B$4:$B$203,0)),""))</f>
        <v/>
      </c>
      <c r="K1645" s="30">
        <f>IF(A1645="","",IFERROR(INDEX('Holders'!$B$4:$B$1003,MATCH(A1645,'Holders'!$A$4:$A$1003,0)),""))</f>
        <v/>
      </c>
      <c r="L1645" s="30">
        <f>IF(OR(A1645="",B1645="",D1645=""),"",IF(D1645=_xlfn.MAXIFS($D$4:$D$2503,$A$4:$A$2503,A1645,$B$4:$B$2503,B1645),"Yes","No"))</f>
        <v/>
      </c>
      <c r="M1645" s="30">
        <f>IF(B1645="","",IFERROR(INDEX('Share classes'!$F$4:$F$203,MATCH(B1645,'Share classes'!$B$4:$B$203,0)),""))</f>
        <v/>
      </c>
      <c r="N1645" s="30">
        <f>IF(A1645="","",IF(K1645="","Unknown holder ID",IF(J1645="","Unknown class code",IF(OR(C1645="",D1645=""),"Missing shares or date",IF(OR(C1645&lt;0,C1645&lt;&gt;INT(C1645)),"Shares must be a whole number",IF(COUNTIFS($A$4:$A$2503,A1645,$B$4:$B$2503,B1645,$D$4:$D$2503,D1645)&gt;1,"Duplicate row (same date)","OK"))))))</f>
        <v/>
      </c>
    </row>
    <row r="1646">
      <c r="A1646" s="26" t="n"/>
      <c r="B1646" s="26" t="n"/>
      <c r="C1646" s="34" t="n"/>
      <c r="D1646" s="28" t="n"/>
      <c r="E1646" s="26" t="n"/>
      <c r="F1646" s="26" t="n"/>
      <c r="G1646" s="26" t="n"/>
      <c r="H1646" s="38" t="n"/>
      <c r="I1646" s="28" t="n"/>
      <c r="J1646" s="30">
        <f>IF(B1646="","",IFERROR(INDEX('Share classes'!$A$4:$A$203,MATCH(B1646,'Share classes'!$B$4:$B$203,0)),""))</f>
        <v/>
      </c>
      <c r="K1646" s="30">
        <f>IF(A1646="","",IFERROR(INDEX('Holders'!$B$4:$B$1003,MATCH(A1646,'Holders'!$A$4:$A$1003,0)),""))</f>
        <v/>
      </c>
      <c r="L1646" s="30">
        <f>IF(OR(A1646="",B1646="",D1646=""),"",IF(D1646=_xlfn.MAXIFS($D$4:$D$2503,$A$4:$A$2503,A1646,$B$4:$B$2503,B1646),"Yes","No"))</f>
        <v/>
      </c>
      <c r="M1646" s="30">
        <f>IF(B1646="","",IFERROR(INDEX('Share classes'!$F$4:$F$203,MATCH(B1646,'Share classes'!$B$4:$B$203,0)),""))</f>
        <v/>
      </c>
      <c r="N1646" s="30">
        <f>IF(A1646="","",IF(K1646="","Unknown holder ID",IF(J1646="","Unknown class code",IF(OR(C1646="",D1646=""),"Missing shares or date",IF(OR(C1646&lt;0,C1646&lt;&gt;INT(C1646)),"Shares must be a whole number",IF(COUNTIFS($A$4:$A$2503,A1646,$B$4:$B$2503,B1646,$D$4:$D$2503,D1646)&gt;1,"Duplicate row (same date)","OK"))))))</f>
        <v/>
      </c>
    </row>
    <row r="1647">
      <c r="A1647" s="26" t="n"/>
      <c r="B1647" s="26" t="n"/>
      <c r="C1647" s="34" t="n"/>
      <c r="D1647" s="28" t="n"/>
      <c r="E1647" s="26" t="n"/>
      <c r="F1647" s="26" t="n"/>
      <c r="G1647" s="26" t="n"/>
      <c r="H1647" s="38" t="n"/>
      <c r="I1647" s="28" t="n"/>
      <c r="J1647" s="30">
        <f>IF(B1647="","",IFERROR(INDEX('Share classes'!$A$4:$A$203,MATCH(B1647,'Share classes'!$B$4:$B$203,0)),""))</f>
        <v/>
      </c>
      <c r="K1647" s="30">
        <f>IF(A1647="","",IFERROR(INDEX('Holders'!$B$4:$B$1003,MATCH(A1647,'Holders'!$A$4:$A$1003,0)),""))</f>
        <v/>
      </c>
      <c r="L1647" s="30">
        <f>IF(OR(A1647="",B1647="",D1647=""),"",IF(D1647=_xlfn.MAXIFS($D$4:$D$2503,$A$4:$A$2503,A1647,$B$4:$B$2503,B1647),"Yes","No"))</f>
        <v/>
      </c>
      <c r="M1647" s="30">
        <f>IF(B1647="","",IFERROR(INDEX('Share classes'!$F$4:$F$203,MATCH(B1647,'Share classes'!$B$4:$B$203,0)),""))</f>
        <v/>
      </c>
      <c r="N1647" s="30">
        <f>IF(A1647="","",IF(K1647="","Unknown holder ID",IF(J1647="","Unknown class code",IF(OR(C1647="",D1647=""),"Missing shares or date",IF(OR(C1647&lt;0,C1647&lt;&gt;INT(C1647)),"Shares must be a whole number",IF(COUNTIFS($A$4:$A$2503,A1647,$B$4:$B$2503,B1647,$D$4:$D$2503,D1647)&gt;1,"Duplicate row (same date)","OK"))))))</f>
        <v/>
      </c>
    </row>
    <row r="1648">
      <c r="A1648" s="26" t="n"/>
      <c r="B1648" s="26" t="n"/>
      <c r="C1648" s="34" t="n"/>
      <c r="D1648" s="28" t="n"/>
      <c r="E1648" s="26" t="n"/>
      <c r="F1648" s="26" t="n"/>
      <c r="G1648" s="26" t="n"/>
      <c r="H1648" s="38" t="n"/>
      <c r="I1648" s="28" t="n"/>
      <c r="J1648" s="30">
        <f>IF(B1648="","",IFERROR(INDEX('Share classes'!$A$4:$A$203,MATCH(B1648,'Share classes'!$B$4:$B$203,0)),""))</f>
        <v/>
      </c>
      <c r="K1648" s="30">
        <f>IF(A1648="","",IFERROR(INDEX('Holders'!$B$4:$B$1003,MATCH(A1648,'Holders'!$A$4:$A$1003,0)),""))</f>
        <v/>
      </c>
      <c r="L1648" s="30">
        <f>IF(OR(A1648="",B1648="",D1648=""),"",IF(D1648=_xlfn.MAXIFS($D$4:$D$2503,$A$4:$A$2503,A1648,$B$4:$B$2503,B1648),"Yes","No"))</f>
        <v/>
      </c>
      <c r="M1648" s="30">
        <f>IF(B1648="","",IFERROR(INDEX('Share classes'!$F$4:$F$203,MATCH(B1648,'Share classes'!$B$4:$B$203,0)),""))</f>
        <v/>
      </c>
      <c r="N1648" s="30">
        <f>IF(A1648="","",IF(K1648="","Unknown holder ID",IF(J1648="","Unknown class code",IF(OR(C1648="",D1648=""),"Missing shares or date",IF(OR(C1648&lt;0,C1648&lt;&gt;INT(C1648)),"Shares must be a whole number",IF(COUNTIFS($A$4:$A$2503,A1648,$B$4:$B$2503,B1648,$D$4:$D$2503,D1648)&gt;1,"Duplicate row (same date)","OK"))))))</f>
        <v/>
      </c>
    </row>
    <row r="1649">
      <c r="A1649" s="26" t="n"/>
      <c r="B1649" s="26" t="n"/>
      <c r="C1649" s="34" t="n"/>
      <c r="D1649" s="28" t="n"/>
      <c r="E1649" s="26" t="n"/>
      <c r="F1649" s="26" t="n"/>
      <c r="G1649" s="26" t="n"/>
      <c r="H1649" s="38" t="n"/>
      <c r="I1649" s="28" t="n"/>
      <c r="J1649" s="30">
        <f>IF(B1649="","",IFERROR(INDEX('Share classes'!$A$4:$A$203,MATCH(B1649,'Share classes'!$B$4:$B$203,0)),""))</f>
        <v/>
      </c>
      <c r="K1649" s="30">
        <f>IF(A1649="","",IFERROR(INDEX('Holders'!$B$4:$B$1003,MATCH(A1649,'Holders'!$A$4:$A$1003,0)),""))</f>
        <v/>
      </c>
      <c r="L1649" s="30">
        <f>IF(OR(A1649="",B1649="",D1649=""),"",IF(D1649=_xlfn.MAXIFS($D$4:$D$2503,$A$4:$A$2503,A1649,$B$4:$B$2503,B1649),"Yes","No"))</f>
        <v/>
      </c>
      <c r="M1649" s="30">
        <f>IF(B1649="","",IFERROR(INDEX('Share classes'!$F$4:$F$203,MATCH(B1649,'Share classes'!$B$4:$B$203,0)),""))</f>
        <v/>
      </c>
      <c r="N1649" s="30">
        <f>IF(A1649="","",IF(K1649="","Unknown holder ID",IF(J1649="","Unknown class code",IF(OR(C1649="",D1649=""),"Missing shares or date",IF(OR(C1649&lt;0,C1649&lt;&gt;INT(C1649)),"Shares must be a whole number",IF(COUNTIFS($A$4:$A$2503,A1649,$B$4:$B$2503,B1649,$D$4:$D$2503,D1649)&gt;1,"Duplicate row (same date)","OK"))))))</f>
        <v/>
      </c>
    </row>
    <row r="1650">
      <c r="A1650" s="26" t="n"/>
      <c r="B1650" s="26" t="n"/>
      <c r="C1650" s="34" t="n"/>
      <c r="D1650" s="28" t="n"/>
      <c r="E1650" s="26" t="n"/>
      <c r="F1650" s="26" t="n"/>
      <c r="G1650" s="26" t="n"/>
      <c r="H1650" s="38" t="n"/>
      <c r="I1650" s="28" t="n"/>
      <c r="J1650" s="30">
        <f>IF(B1650="","",IFERROR(INDEX('Share classes'!$A$4:$A$203,MATCH(B1650,'Share classes'!$B$4:$B$203,0)),""))</f>
        <v/>
      </c>
      <c r="K1650" s="30">
        <f>IF(A1650="","",IFERROR(INDEX('Holders'!$B$4:$B$1003,MATCH(A1650,'Holders'!$A$4:$A$1003,0)),""))</f>
        <v/>
      </c>
      <c r="L1650" s="30">
        <f>IF(OR(A1650="",B1650="",D1650=""),"",IF(D1650=_xlfn.MAXIFS($D$4:$D$2503,$A$4:$A$2503,A1650,$B$4:$B$2503,B1650),"Yes","No"))</f>
        <v/>
      </c>
      <c r="M1650" s="30">
        <f>IF(B1650="","",IFERROR(INDEX('Share classes'!$F$4:$F$203,MATCH(B1650,'Share classes'!$B$4:$B$203,0)),""))</f>
        <v/>
      </c>
      <c r="N1650" s="30">
        <f>IF(A1650="","",IF(K1650="","Unknown holder ID",IF(J1650="","Unknown class code",IF(OR(C1650="",D1650=""),"Missing shares or date",IF(OR(C1650&lt;0,C1650&lt;&gt;INT(C1650)),"Shares must be a whole number",IF(COUNTIFS($A$4:$A$2503,A1650,$B$4:$B$2503,B1650,$D$4:$D$2503,D1650)&gt;1,"Duplicate row (same date)","OK"))))))</f>
        <v/>
      </c>
    </row>
    <row r="1651">
      <c r="A1651" s="26" t="n"/>
      <c r="B1651" s="26" t="n"/>
      <c r="C1651" s="34" t="n"/>
      <c r="D1651" s="28" t="n"/>
      <c r="E1651" s="26" t="n"/>
      <c r="F1651" s="26" t="n"/>
      <c r="G1651" s="26" t="n"/>
      <c r="H1651" s="38" t="n"/>
      <c r="I1651" s="28" t="n"/>
      <c r="J1651" s="30">
        <f>IF(B1651="","",IFERROR(INDEX('Share classes'!$A$4:$A$203,MATCH(B1651,'Share classes'!$B$4:$B$203,0)),""))</f>
        <v/>
      </c>
      <c r="K1651" s="30">
        <f>IF(A1651="","",IFERROR(INDEX('Holders'!$B$4:$B$1003,MATCH(A1651,'Holders'!$A$4:$A$1003,0)),""))</f>
        <v/>
      </c>
      <c r="L1651" s="30">
        <f>IF(OR(A1651="",B1651="",D1651=""),"",IF(D1651=_xlfn.MAXIFS($D$4:$D$2503,$A$4:$A$2503,A1651,$B$4:$B$2503,B1651),"Yes","No"))</f>
        <v/>
      </c>
      <c r="M1651" s="30">
        <f>IF(B1651="","",IFERROR(INDEX('Share classes'!$F$4:$F$203,MATCH(B1651,'Share classes'!$B$4:$B$203,0)),""))</f>
        <v/>
      </c>
      <c r="N1651" s="30">
        <f>IF(A1651="","",IF(K1651="","Unknown holder ID",IF(J1651="","Unknown class code",IF(OR(C1651="",D1651=""),"Missing shares or date",IF(OR(C1651&lt;0,C1651&lt;&gt;INT(C1651)),"Shares must be a whole number",IF(COUNTIFS($A$4:$A$2503,A1651,$B$4:$B$2503,B1651,$D$4:$D$2503,D1651)&gt;1,"Duplicate row (same date)","OK"))))))</f>
        <v/>
      </c>
    </row>
    <row r="1652">
      <c r="A1652" s="26" t="n"/>
      <c r="B1652" s="26" t="n"/>
      <c r="C1652" s="34" t="n"/>
      <c r="D1652" s="28" t="n"/>
      <c r="E1652" s="26" t="n"/>
      <c r="F1652" s="26" t="n"/>
      <c r="G1652" s="26" t="n"/>
      <c r="H1652" s="38" t="n"/>
      <c r="I1652" s="28" t="n"/>
      <c r="J1652" s="30">
        <f>IF(B1652="","",IFERROR(INDEX('Share classes'!$A$4:$A$203,MATCH(B1652,'Share classes'!$B$4:$B$203,0)),""))</f>
        <v/>
      </c>
      <c r="K1652" s="30">
        <f>IF(A1652="","",IFERROR(INDEX('Holders'!$B$4:$B$1003,MATCH(A1652,'Holders'!$A$4:$A$1003,0)),""))</f>
        <v/>
      </c>
      <c r="L1652" s="30">
        <f>IF(OR(A1652="",B1652="",D1652=""),"",IF(D1652=_xlfn.MAXIFS($D$4:$D$2503,$A$4:$A$2503,A1652,$B$4:$B$2503,B1652),"Yes","No"))</f>
        <v/>
      </c>
      <c r="M1652" s="30">
        <f>IF(B1652="","",IFERROR(INDEX('Share classes'!$F$4:$F$203,MATCH(B1652,'Share classes'!$B$4:$B$203,0)),""))</f>
        <v/>
      </c>
      <c r="N1652" s="30">
        <f>IF(A1652="","",IF(K1652="","Unknown holder ID",IF(J1652="","Unknown class code",IF(OR(C1652="",D1652=""),"Missing shares or date",IF(OR(C1652&lt;0,C1652&lt;&gt;INT(C1652)),"Shares must be a whole number",IF(COUNTIFS($A$4:$A$2503,A1652,$B$4:$B$2503,B1652,$D$4:$D$2503,D1652)&gt;1,"Duplicate row (same date)","OK"))))))</f>
        <v/>
      </c>
    </row>
    <row r="1653">
      <c r="A1653" s="26" t="n"/>
      <c r="B1653" s="26" t="n"/>
      <c r="C1653" s="34" t="n"/>
      <c r="D1653" s="28" t="n"/>
      <c r="E1653" s="26" t="n"/>
      <c r="F1653" s="26" t="n"/>
      <c r="G1653" s="26" t="n"/>
      <c r="H1653" s="38" t="n"/>
      <c r="I1653" s="28" t="n"/>
      <c r="J1653" s="30">
        <f>IF(B1653="","",IFERROR(INDEX('Share classes'!$A$4:$A$203,MATCH(B1653,'Share classes'!$B$4:$B$203,0)),""))</f>
        <v/>
      </c>
      <c r="K1653" s="30">
        <f>IF(A1653="","",IFERROR(INDEX('Holders'!$B$4:$B$1003,MATCH(A1653,'Holders'!$A$4:$A$1003,0)),""))</f>
        <v/>
      </c>
      <c r="L1653" s="30">
        <f>IF(OR(A1653="",B1653="",D1653=""),"",IF(D1653=_xlfn.MAXIFS($D$4:$D$2503,$A$4:$A$2503,A1653,$B$4:$B$2503,B1653),"Yes","No"))</f>
        <v/>
      </c>
      <c r="M1653" s="30">
        <f>IF(B1653="","",IFERROR(INDEX('Share classes'!$F$4:$F$203,MATCH(B1653,'Share classes'!$B$4:$B$203,0)),""))</f>
        <v/>
      </c>
      <c r="N1653" s="30">
        <f>IF(A1653="","",IF(K1653="","Unknown holder ID",IF(J1653="","Unknown class code",IF(OR(C1653="",D1653=""),"Missing shares or date",IF(OR(C1653&lt;0,C1653&lt;&gt;INT(C1653)),"Shares must be a whole number",IF(COUNTIFS($A$4:$A$2503,A1653,$B$4:$B$2503,B1653,$D$4:$D$2503,D1653)&gt;1,"Duplicate row (same date)","OK"))))))</f>
        <v/>
      </c>
    </row>
    <row r="1654">
      <c r="A1654" s="26" t="n"/>
      <c r="B1654" s="26" t="n"/>
      <c r="C1654" s="34" t="n"/>
      <c r="D1654" s="28" t="n"/>
      <c r="E1654" s="26" t="n"/>
      <c r="F1654" s="26" t="n"/>
      <c r="G1654" s="26" t="n"/>
      <c r="H1654" s="38" t="n"/>
      <c r="I1654" s="28" t="n"/>
      <c r="J1654" s="30">
        <f>IF(B1654="","",IFERROR(INDEX('Share classes'!$A$4:$A$203,MATCH(B1654,'Share classes'!$B$4:$B$203,0)),""))</f>
        <v/>
      </c>
      <c r="K1654" s="30">
        <f>IF(A1654="","",IFERROR(INDEX('Holders'!$B$4:$B$1003,MATCH(A1654,'Holders'!$A$4:$A$1003,0)),""))</f>
        <v/>
      </c>
      <c r="L1654" s="30">
        <f>IF(OR(A1654="",B1654="",D1654=""),"",IF(D1654=_xlfn.MAXIFS($D$4:$D$2503,$A$4:$A$2503,A1654,$B$4:$B$2503,B1654),"Yes","No"))</f>
        <v/>
      </c>
      <c r="M1654" s="30">
        <f>IF(B1654="","",IFERROR(INDEX('Share classes'!$F$4:$F$203,MATCH(B1654,'Share classes'!$B$4:$B$203,0)),""))</f>
        <v/>
      </c>
      <c r="N1654" s="30">
        <f>IF(A1654="","",IF(K1654="","Unknown holder ID",IF(J1654="","Unknown class code",IF(OR(C1654="",D1654=""),"Missing shares or date",IF(OR(C1654&lt;0,C1654&lt;&gt;INT(C1654)),"Shares must be a whole number",IF(COUNTIFS($A$4:$A$2503,A1654,$B$4:$B$2503,B1654,$D$4:$D$2503,D1654)&gt;1,"Duplicate row (same date)","OK"))))))</f>
        <v/>
      </c>
    </row>
    <row r="1655">
      <c r="A1655" s="26" t="n"/>
      <c r="B1655" s="26" t="n"/>
      <c r="C1655" s="34" t="n"/>
      <c r="D1655" s="28" t="n"/>
      <c r="E1655" s="26" t="n"/>
      <c r="F1655" s="26" t="n"/>
      <c r="G1655" s="26" t="n"/>
      <c r="H1655" s="38" t="n"/>
      <c r="I1655" s="28" t="n"/>
      <c r="J1655" s="30">
        <f>IF(B1655="","",IFERROR(INDEX('Share classes'!$A$4:$A$203,MATCH(B1655,'Share classes'!$B$4:$B$203,0)),""))</f>
        <v/>
      </c>
      <c r="K1655" s="30">
        <f>IF(A1655="","",IFERROR(INDEX('Holders'!$B$4:$B$1003,MATCH(A1655,'Holders'!$A$4:$A$1003,0)),""))</f>
        <v/>
      </c>
      <c r="L1655" s="30">
        <f>IF(OR(A1655="",B1655="",D1655=""),"",IF(D1655=_xlfn.MAXIFS($D$4:$D$2503,$A$4:$A$2503,A1655,$B$4:$B$2503,B1655),"Yes","No"))</f>
        <v/>
      </c>
      <c r="M1655" s="30">
        <f>IF(B1655="","",IFERROR(INDEX('Share classes'!$F$4:$F$203,MATCH(B1655,'Share classes'!$B$4:$B$203,0)),""))</f>
        <v/>
      </c>
      <c r="N1655" s="30">
        <f>IF(A1655="","",IF(K1655="","Unknown holder ID",IF(J1655="","Unknown class code",IF(OR(C1655="",D1655=""),"Missing shares or date",IF(OR(C1655&lt;0,C1655&lt;&gt;INT(C1655)),"Shares must be a whole number",IF(COUNTIFS($A$4:$A$2503,A1655,$B$4:$B$2503,B1655,$D$4:$D$2503,D1655)&gt;1,"Duplicate row (same date)","OK"))))))</f>
        <v/>
      </c>
    </row>
    <row r="1656">
      <c r="A1656" s="26" t="n"/>
      <c r="B1656" s="26" t="n"/>
      <c r="C1656" s="34" t="n"/>
      <c r="D1656" s="28" t="n"/>
      <c r="E1656" s="26" t="n"/>
      <c r="F1656" s="26" t="n"/>
      <c r="G1656" s="26" t="n"/>
      <c r="H1656" s="38" t="n"/>
      <c r="I1656" s="28" t="n"/>
      <c r="J1656" s="30">
        <f>IF(B1656="","",IFERROR(INDEX('Share classes'!$A$4:$A$203,MATCH(B1656,'Share classes'!$B$4:$B$203,0)),""))</f>
        <v/>
      </c>
      <c r="K1656" s="30">
        <f>IF(A1656="","",IFERROR(INDEX('Holders'!$B$4:$B$1003,MATCH(A1656,'Holders'!$A$4:$A$1003,0)),""))</f>
        <v/>
      </c>
      <c r="L1656" s="30">
        <f>IF(OR(A1656="",B1656="",D1656=""),"",IF(D1656=_xlfn.MAXIFS($D$4:$D$2503,$A$4:$A$2503,A1656,$B$4:$B$2503,B1656),"Yes","No"))</f>
        <v/>
      </c>
      <c r="M1656" s="30">
        <f>IF(B1656="","",IFERROR(INDEX('Share classes'!$F$4:$F$203,MATCH(B1656,'Share classes'!$B$4:$B$203,0)),""))</f>
        <v/>
      </c>
      <c r="N1656" s="30">
        <f>IF(A1656="","",IF(K1656="","Unknown holder ID",IF(J1656="","Unknown class code",IF(OR(C1656="",D1656=""),"Missing shares or date",IF(OR(C1656&lt;0,C1656&lt;&gt;INT(C1656)),"Shares must be a whole number",IF(COUNTIFS($A$4:$A$2503,A1656,$B$4:$B$2503,B1656,$D$4:$D$2503,D1656)&gt;1,"Duplicate row (same date)","OK"))))))</f>
        <v/>
      </c>
    </row>
    <row r="1657">
      <c r="A1657" s="26" t="n"/>
      <c r="B1657" s="26" t="n"/>
      <c r="C1657" s="34" t="n"/>
      <c r="D1657" s="28" t="n"/>
      <c r="E1657" s="26" t="n"/>
      <c r="F1657" s="26" t="n"/>
      <c r="G1657" s="26" t="n"/>
      <c r="H1657" s="38" t="n"/>
      <c r="I1657" s="28" t="n"/>
      <c r="J1657" s="30">
        <f>IF(B1657="","",IFERROR(INDEX('Share classes'!$A$4:$A$203,MATCH(B1657,'Share classes'!$B$4:$B$203,0)),""))</f>
        <v/>
      </c>
      <c r="K1657" s="30">
        <f>IF(A1657="","",IFERROR(INDEX('Holders'!$B$4:$B$1003,MATCH(A1657,'Holders'!$A$4:$A$1003,0)),""))</f>
        <v/>
      </c>
      <c r="L1657" s="30">
        <f>IF(OR(A1657="",B1657="",D1657=""),"",IF(D1657=_xlfn.MAXIFS($D$4:$D$2503,$A$4:$A$2503,A1657,$B$4:$B$2503,B1657),"Yes","No"))</f>
        <v/>
      </c>
      <c r="M1657" s="30">
        <f>IF(B1657="","",IFERROR(INDEX('Share classes'!$F$4:$F$203,MATCH(B1657,'Share classes'!$B$4:$B$203,0)),""))</f>
        <v/>
      </c>
      <c r="N1657" s="30">
        <f>IF(A1657="","",IF(K1657="","Unknown holder ID",IF(J1657="","Unknown class code",IF(OR(C1657="",D1657=""),"Missing shares or date",IF(OR(C1657&lt;0,C1657&lt;&gt;INT(C1657)),"Shares must be a whole number",IF(COUNTIFS($A$4:$A$2503,A1657,$B$4:$B$2503,B1657,$D$4:$D$2503,D1657)&gt;1,"Duplicate row (same date)","OK"))))))</f>
        <v/>
      </c>
    </row>
    <row r="1658">
      <c r="A1658" s="26" t="n"/>
      <c r="B1658" s="26" t="n"/>
      <c r="C1658" s="34" t="n"/>
      <c r="D1658" s="28" t="n"/>
      <c r="E1658" s="26" t="n"/>
      <c r="F1658" s="26" t="n"/>
      <c r="G1658" s="26" t="n"/>
      <c r="H1658" s="38" t="n"/>
      <c r="I1658" s="28" t="n"/>
      <c r="J1658" s="30">
        <f>IF(B1658="","",IFERROR(INDEX('Share classes'!$A$4:$A$203,MATCH(B1658,'Share classes'!$B$4:$B$203,0)),""))</f>
        <v/>
      </c>
      <c r="K1658" s="30">
        <f>IF(A1658="","",IFERROR(INDEX('Holders'!$B$4:$B$1003,MATCH(A1658,'Holders'!$A$4:$A$1003,0)),""))</f>
        <v/>
      </c>
      <c r="L1658" s="30">
        <f>IF(OR(A1658="",B1658="",D1658=""),"",IF(D1658=_xlfn.MAXIFS($D$4:$D$2503,$A$4:$A$2503,A1658,$B$4:$B$2503,B1658),"Yes","No"))</f>
        <v/>
      </c>
      <c r="M1658" s="30">
        <f>IF(B1658="","",IFERROR(INDEX('Share classes'!$F$4:$F$203,MATCH(B1658,'Share classes'!$B$4:$B$203,0)),""))</f>
        <v/>
      </c>
      <c r="N1658" s="30">
        <f>IF(A1658="","",IF(K1658="","Unknown holder ID",IF(J1658="","Unknown class code",IF(OR(C1658="",D1658=""),"Missing shares or date",IF(OR(C1658&lt;0,C1658&lt;&gt;INT(C1658)),"Shares must be a whole number",IF(COUNTIFS($A$4:$A$2503,A1658,$B$4:$B$2503,B1658,$D$4:$D$2503,D1658)&gt;1,"Duplicate row (same date)","OK"))))))</f>
        <v/>
      </c>
    </row>
    <row r="1659">
      <c r="A1659" s="26" t="n"/>
      <c r="B1659" s="26" t="n"/>
      <c r="C1659" s="34" t="n"/>
      <c r="D1659" s="28" t="n"/>
      <c r="E1659" s="26" t="n"/>
      <c r="F1659" s="26" t="n"/>
      <c r="G1659" s="26" t="n"/>
      <c r="H1659" s="38" t="n"/>
      <c r="I1659" s="28" t="n"/>
      <c r="J1659" s="30">
        <f>IF(B1659="","",IFERROR(INDEX('Share classes'!$A$4:$A$203,MATCH(B1659,'Share classes'!$B$4:$B$203,0)),""))</f>
        <v/>
      </c>
      <c r="K1659" s="30">
        <f>IF(A1659="","",IFERROR(INDEX('Holders'!$B$4:$B$1003,MATCH(A1659,'Holders'!$A$4:$A$1003,0)),""))</f>
        <v/>
      </c>
      <c r="L1659" s="30">
        <f>IF(OR(A1659="",B1659="",D1659=""),"",IF(D1659=_xlfn.MAXIFS($D$4:$D$2503,$A$4:$A$2503,A1659,$B$4:$B$2503,B1659),"Yes","No"))</f>
        <v/>
      </c>
      <c r="M1659" s="30">
        <f>IF(B1659="","",IFERROR(INDEX('Share classes'!$F$4:$F$203,MATCH(B1659,'Share classes'!$B$4:$B$203,0)),""))</f>
        <v/>
      </c>
      <c r="N1659" s="30">
        <f>IF(A1659="","",IF(K1659="","Unknown holder ID",IF(J1659="","Unknown class code",IF(OR(C1659="",D1659=""),"Missing shares or date",IF(OR(C1659&lt;0,C1659&lt;&gt;INT(C1659)),"Shares must be a whole number",IF(COUNTIFS($A$4:$A$2503,A1659,$B$4:$B$2503,B1659,$D$4:$D$2503,D1659)&gt;1,"Duplicate row (same date)","OK"))))))</f>
        <v/>
      </c>
    </row>
    <row r="1660">
      <c r="A1660" s="26" t="n"/>
      <c r="B1660" s="26" t="n"/>
      <c r="C1660" s="34" t="n"/>
      <c r="D1660" s="28" t="n"/>
      <c r="E1660" s="26" t="n"/>
      <c r="F1660" s="26" t="n"/>
      <c r="G1660" s="26" t="n"/>
      <c r="H1660" s="38" t="n"/>
      <c r="I1660" s="28" t="n"/>
      <c r="J1660" s="30">
        <f>IF(B1660="","",IFERROR(INDEX('Share classes'!$A$4:$A$203,MATCH(B1660,'Share classes'!$B$4:$B$203,0)),""))</f>
        <v/>
      </c>
      <c r="K1660" s="30">
        <f>IF(A1660="","",IFERROR(INDEX('Holders'!$B$4:$B$1003,MATCH(A1660,'Holders'!$A$4:$A$1003,0)),""))</f>
        <v/>
      </c>
      <c r="L1660" s="30">
        <f>IF(OR(A1660="",B1660="",D1660=""),"",IF(D1660=_xlfn.MAXIFS($D$4:$D$2503,$A$4:$A$2503,A1660,$B$4:$B$2503,B1660),"Yes","No"))</f>
        <v/>
      </c>
      <c r="M1660" s="30">
        <f>IF(B1660="","",IFERROR(INDEX('Share classes'!$F$4:$F$203,MATCH(B1660,'Share classes'!$B$4:$B$203,0)),""))</f>
        <v/>
      </c>
      <c r="N1660" s="30">
        <f>IF(A1660="","",IF(K1660="","Unknown holder ID",IF(J1660="","Unknown class code",IF(OR(C1660="",D1660=""),"Missing shares or date",IF(OR(C1660&lt;0,C1660&lt;&gt;INT(C1660)),"Shares must be a whole number",IF(COUNTIFS($A$4:$A$2503,A1660,$B$4:$B$2503,B1660,$D$4:$D$2503,D1660)&gt;1,"Duplicate row (same date)","OK"))))))</f>
        <v/>
      </c>
    </row>
    <row r="1661">
      <c r="A1661" s="26" t="n"/>
      <c r="B1661" s="26" t="n"/>
      <c r="C1661" s="34" t="n"/>
      <c r="D1661" s="28" t="n"/>
      <c r="E1661" s="26" t="n"/>
      <c r="F1661" s="26" t="n"/>
      <c r="G1661" s="26" t="n"/>
      <c r="H1661" s="38" t="n"/>
      <c r="I1661" s="28" t="n"/>
      <c r="J1661" s="30">
        <f>IF(B1661="","",IFERROR(INDEX('Share classes'!$A$4:$A$203,MATCH(B1661,'Share classes'!$B$4:$B$203,0)),""))</f>
        <v/>
      </c>
      <c r="K1661" s="30">
        <f>IF(A1661="","",IFERROR(INDEX('Holders'!$B$4:$B$1003,MATCH(A1661,'Holders'!$A$4:$A$1003,0)),""))</f>
        <v/>
      </c>
      <c r="L1661" s="30">
        <f>IF(OR(A1661="",B1661="",D1661=""),"",IF(D1661=_xlfn.MAXIFS($D$4:$D$2503,$A$4:$A$2503,A1661,$B$4:$B$2503,B1661),"Yes","No"))</f>
        <v/>
      </c>
      <c r="M1661" s="30">
        <f>IF(B1661="","",IFERROR(INDEX('Share classes'!$F$4:$F$203,MATCH(B1661,'Share classes'!$B$4:$B$203,0)),""))</f>
        <v/>
      </c>
      <c r="N1661" s="30">
        <f>IF(A1661="","",IF(K1661="","Unknown holder ID",IF(J1661="","Unknown class code",IF(OR(C1661="",D1661=""),"Missing shares or date",IF(OR(C1661&lt;0,C1661&lt;&gt;INT(C1661)),"Shares must be a whole number",IF(COUNTIFS($A$4:$A$2503,A1661,$B$4:$B$2503,B1661,$D$4:$D$2503,D1661)&gt;1,"Duplicate row (same date)","OK"))))))</f>
        <v/>
      </c>
    </row>
    <row r="1662">
      <c r="A1662" s="26" t="n"/>
      <c r="B1662" s="26" t="n"/>
      <c r="C1662" s="34" t="n"/>
      <c r="D1662" s="28" t="n"/>
      <c r="E1662" s="26" t="n"/>
      <c r="F1662" s="26" t="n"/>
      <c r="G1662" s="26" t="n"/>
      <c r="H1662" s="38" t="n"/>
      <c r="I1662" s="28" t="n"/>
      <c r="J1662" s="30">
        <f>IF(B1662="","",IFERROR(INDEX('Share classes'!$A$4:$A$203,MATCH(B1662,'Share classes'!$B$4:$B$203,0)),""))</f>
        <v/>
      </c>
      <c r="K1662" s="30">
        <f>IF(A1662="","",IFERROR(INDEX('Holders'!$B$4:$B$1003,MATCH(A1662,'Holders'!$A$4:$A$1003,0)),""))</f>
        <v/>
      </c>
      <c r="L1662" s="30">
        <f>IF(OR(A1662="",B1662="",D1662=""),"",IF(D1662=_xlfn.MAXIFS($D$4:$D$2503,$A$4:$A$2503,A1662,$B$4:$B$2503,B1662),"Yes","No"))</f>
        <v/>
      </c>
      <c r="M1662" s="30">
        <f>IF(B1662="","",IFERROR(INDEX('Share classes'!$F$4:$F$203,MATCH(B1662,'Share classes'!$B$4:$B$203,0)),""))</f>
        <v/>
      </c>
      <c r="N1662" s="30">
        <f>IF(A1662="","",IF(K1662="","Unknown holder ID",IF(J1662="","Unknown class code",IF(OR(C1662="",D1662=""),"Missing shares or date",IF(OR(C1662&lt;0,C1662&lt;&gt;INT(C1662)),"Shares must be a whole number",IF(COUNTIFS($A$4:$A$2503,A1662,$B$4:$B$2503,B1662,$D$4:$D$2503,D1662)&gt;1,"Duplicate row (same date)","OK"))))))</f>
        <v/>
      </c>
    </row>
    <row r="1663">
      <c r="A1663" s="26" t="n"/>
      <c r="B1663" s="26" t="n"/>
      <c r="C1663" s="34" t="n"/>
      <c r="D1663" s="28" t="n"/>
      <c r="E1663" s="26" t="n"/>
      <c r="F1663" s="26" t="n"/>
      <c r="G1663" s="26" t="n"/>
      <c r="H1663" s="38" t="n"/>
      <c r="I1663" s="28" t="n"/>
      <c r="J1663" s="30">
        <f>IF(B1663="","",IFERROR(INDEX('Share classes'!$A$4:$A$203,MATCH(B1663,'Share classes'!$B$4:$B$203,0)),""))</f>
        <v/>
      </c>
      <c r="K1663" s="30">
        <f>IF(A1663="","",IFERROR(INDEX('Holders'!$B$4:$B$1003,MATCH(A1663,'Holders'!$A$4:$A$1003,0)),""))</f>
        <v/>
      </c>
      <c r="L1663" s="30">
        <f>IF(OR(A1663="",B1663="",D1663=""),"",IF(D1663=_xlfn.MAXIFS($D$4:$D$2503,$A$4:$A$2503,A1663,$B$4:$B$2503,B1663),"Yes","No"))</f>
        <v/>
      </c>
      <c r="M1663" s="30">
        <f>IF(B1663="","",IFERROR(INDEX('Share classes'!$F$4:$F$203,MATCH(B1663,'Share classes'!$B$4:$B$203,0)),""))</f>
        <v/>
      </c>
      <c r="N1663" s="30">
        <f>IF(A1663="","",IF(K1663="","Unknown holder ID",IF(J1663="","Unknown class code",IF(OR(C1663="",D1663=""),"Missing shares or date",IF(OR(C1663&lt;0,C1663&lt;&gt;INT(C1663)),"Shares must be a whole number",IF(COUNTIFS($A$4:$A$2503,A1663,$B$4:$B$2503,B1663,$D$4:$D$2503,D1663)&gt;1,"Duplicate row (same date)","OK"))))))</f>
        <v/>
      </c>
    </row>
    <row r="1664">
      <c r="A1664" s="26" t="n"/>
      <c r="B1664" s="26" t="n"/>
      <c r="C1664" s="34" t="n"/>
      <c r="D1664" s="28" t="n"/>
      <c r="E1664" s="26" t="n"/>
      <c r="F1664" s="26" t="n"/>
      <c r="G1664" s="26" t="n"/>
      <c r="H1664" s="38" t="n"/>
      <c r="I1664" s="28" t="n"/>
      <c r="J1664" s="30">
        <f>IF(B1664="","",IFERROR(INDEX('Share classes'!$A$4:$A$203,MATCH(B1664,'Share classes'!$B$4:$B$203,0)),""))</f>
        <v/>
      </c>
      <c r="K1664" s="30">
        <f>IF(A1664="","",IFERROR(INDEX('Holders'!$B$4:$B$1003,MATCH(A1664,'Holders'!$A$4:$A$1003,0)),""))</f>
        <v/>
      </c>
      <c r="L1664" s="30">
        <f>IF(OR(A1664="",B1664="",D1664=""),"",IF(D1664=_xlfn.MAXIFS($D$4:$D$2503,$A$4:$A$2503,A1664,$B$4:$B$2503,B1664),"Yes","No"))</f>
        <v/>
      </c>
      <c r="M1664" s="30">
        <f>IF(B1664="","",IFERROR(INDEX('Share classes'!$F$4:$F$203,MATCH(B1664,'Share classes'!$B$4:$B$203,0)),""))</f>
        <v/>
      </c>
      <c r="N1664" s="30">
        <f>IF(A1664="","",IF(K1664="","Unknown holder ID",IF(J1664="","Unknown class code",IF(OR(C1664="",D1664=""),"Missing shares or date",IF(OR(C1664&lt;0,C1664&lt;&gt;INT(C1664)),"Shares must be a whole number",IF(COUNTIFS($A$4:$A$2503,A1664,$B$4:$B$2503,B1664,$D$4:$D$2503,D1664)&gt;1,"Duplicate row (same date)","OK"))))))</f>
        <v/>
      </c>
    </row>
    <row r="1665">
      <c r="A1665" s="26" t="n"/>
      <c r="B1665" s="26" t="n"/>
      <c r="C1665" s="34" t="n"/>
      <c r="D1665" s="28" t="n"/>
      <c r="E1665" s="26" t="n"/>
      <c r="F1665" s="26" t="n"/>
      <c r="G1665" s="26" t="n"/>
      <c r="H1665" s="38" t="n"/>
      <c r="I1665" s="28" t="n"/>
      <c r="J1665" s="30">
        <f>IF(B1665="","",IFERROR(INDEX('Share classes'!$A$4:$A$203,MATCH(B1665,'Share classes'!$B$4:$B$203,0)),""))</f>
        <v/>
      </c>
      <c r="K1665" s="30">
        <f>IF(A1665="","",IFERROR(INDEX('Holders'!$B$4:$B$1003,MATCH(A1665,'Holders'!$A$4:$A$1003,0)),""))</f>
        <v/>
      </c>
      <c r="L1665" s="30">
        <f>IF(OR(A1665="",B1665="",D1665=""),"",IF(D1665=_xlfn.MAXIFS($D$4:$D$2503,$A$4:$A$2503,A1665,$B$4:$B$2503,B1665),"Yes","No"))</f>
        <v/>
      </c>
      <c r="M1665" s="30">
        <f>IF(B1665="","",IFERROR(INDEX('Share classes'!$F$4:$F$203,MATCH(B1665,'Share classes'!$B$4:$B$203,0)),""))</f>
        <v/>
      </c>
      <c r="N1665" s="30">
        <f>IF(A1665="","",IF(K1665="","Unknown holder ID",IF(J1665="","Unknown class code",IF(OR(C1665="",D1665=""),"Missing shares or date",IF(OR(C1665&lt;0,C1665&lt;&gt;INT(C1665)),"Shares must be a whole number",IF(COUNTIFS($A$4:$A$2503,A1665,$B$4:$B$2503,B1665,$D$4:$D$2503,D1665)&gt;1,"Duplicate row (same date)","OK"))))))</f>
        <v/>
      </c>
    </row>
    <row r="1666">
      <c r="A1666" s="26" t="n"/>
      <c r="B1666" s="26" t="n"/>
      <c r="C1666" s="34" t="n"/>
      <c r="D1666" s="28" t="n"/>
      <c r="E1666" s="26" t="n"/>
      <c r="F1666" s="26" t="n"/>
      <c r="G1666" s="26" t="n"/>
      <c r="H1666" s="38" t="n"/>
      <c r="I1666" s="28" t="n"/>
      <c r="J1666" s="30">
        <f>IF(B1666="","",IFERROR(INDEX('Share classes'!$A$4:$A$203,MATCH(B1666,'Share classes'!$B$4:$B$203,0)),""))</f>
        <v/>
      </c>
      <c r="K1666" s="30">
        <f>IF(A1666="","",IFERROR(INDEX('Holders'!$B$4:$B$1003,MATCH(A1666,'Holders'!$A$4:$A$1003,0)),""))</f>
        <v/>
      </c>
      <c r="L1666" s="30">
        <f>IF(OR(A1666="",B1666="",D1666=""),"",IF(D1666=_xlfn.MAXIFS($D$4:$D$2503,$A$4:$A$2503,A1666,$B$4:$B$2503,B1666),"Yes","No"))</f>
        <v/>
      </c>
      <c r="M1666" s="30">
        <f>IF(B1666="","",IFERROR(INDEX('Share classes'!$F$4:$F$203,MATCH(B1666,'Share classes'!$B$4:$B$203,0)),""))</f>
        <v/>
      </c>
      <c r="N1666" s="30">
        <f>IF(A1666="","",IF(K1666="","Unknown holder ID",IF(J1666="","Unknown class code",IF(OR(C1666="",D1666=""),"Missing shares or date",IF(OR(C1666&lt;0,C1666&lt;&gt;INT(C1666)),"Shares must be a whole number",IF(COUNTIFS($A$4:$A$2503,A1666,$B$4:$B$2503,B1666,$D$4:$D$2503,D1666)&gt;1,"Duplicate row (same date)","OK"))))))</f>
        <v/>
      </c>
    </row>
    <row r="1667">
      <c r="A1667" s="26" t="n"/>
      <c r="B1667" s="26" t="n"/>
      <c r="C1667" s="34" t="n"/>
      <c r="D1667" s="28" t="n"/>
      <c r="E1667" s="26" t="n"/>
      <c r="F1667" s="26" t="n"/>
      <c r="G1667" s="26" t="n"/>
      <c r="H1667" s="38" t="n"/>
      <c r="I1667" s="28" t="n"/>
      <c r="J1667" s="30">
        <f>IF(B1667="","",IFERROR(INDEX('Share classes'!$A$4:$A$203,MATCH(B1667,'Share classes'!$B$4:$B$203,0)),""))</f>
        <v/>
      </c>
      <c r="K1667" s="30">
        <f>IF(A1667="","",IFERROR(INDEX('Holders'!$B$4:$B$1003,MATCH(A1667,'Holders'!$A$4:$A$1003,0)),""))</f>
        <v/>
      </c>
      <c r="L1667" s="30">
        <f>IF(OR(A1667="",B1667="",D1667=""),"",IF(D1667=_xlfn.MAXIFS($D$4:$D$2503,$A$4:$A$2503,A1667,$B$4:$B$2503,B1667),"Yes","No"))</f>
        <v/>
      </c>
      <c r="M1667" s="30">
        <f>IF(B1667="","",IFERROR(INDEX('Share classes'!$F$4:$F$203,MATCH(B1667,'Share classes'!$B$4:$B$203,0)),""))</f>
        <v/>
      </c>
      <c r="N1667" s="30">
        <f>IF(A1667="","",IF(K1667="","Unknown holder ID",IF(J1667="","Unknown class code",IF(OR(C1667="",D1667=""),"Missing shares or date",IF(OR(C1667&lt;0,C1667&lt;&gt;INT(C1667)),"Shares must be a whole number",IF(COUNTIFS($A$4:$A$2503,A1667,$B$4:$B$2503,B1667,$D$4:$D$2503,D1667)&gt;1,"Duplicate row (same date)","OK"))))))</f>
        <v/>
      </c>
    </row>
    <row r="1668">
      <c r="A1668" s="26" t="n"/>
      <c r="B1668" s="26" t="n"/>
      <c r="C1668" s="34" t="n"/>
      <c r="D1668" s="28" t="n"/>
      <c r="E1668" s="26" t="n"/>
      <c r="F1668" s="26" t="n"/>
      <c r="G1668" s="26" t="n"/>
      <c r="H1668" s="38" t="n"/>
      <c r="I1668" s="28" t="n"/>
      <c r="J1668" s="30">
        <f>IF(B1668="","",IFERROR(INDEX('Share classes'!$A$4:$A$203,MATCH(B1668,'Share classes'!$B$4:$B$203,0)),""))</f>
        <v/>
      </c>
      <c r="K1668" s="30">
        <f>IF(A1668="","",IFERROR(INDEX('Holders'!$B$4:$B$1003,MATCH(A1668,'Holders'!$A$4:$A$1003,0)),""))</f>
        <v/>
      </c>
      <c r="L1668" s="30">
        <f>IF(OR(A1668="",B1668="",D1668=""),"",IF(D1668=_xlfn.MAXIFS($D$4:$D$2503,$A$4:$A$2503,A1668,$B$4:$B$2503,B1668),"Yes","No"))</f>
        <v/>
      </c>
      <c r="M1668" s="30">
        <f>IF(B1668="","",IFERROR(INDEX('Share classes'!$F$4:$F$203,MATCH(B1668,'Share classes'!$B$4:$B$203,0)),""))</f>
        <v/>
      </c>
      <c r="N1668" s="30">
        <f>IF(A1668="","",IF(K1668="","Unknown holder ID",IF(J1668="","Unknown class code",IF(OR(C1668="",D1668=""),"Missing shares or date",IF(OR(C1668&lt;0,C1668&lt;&gt;INT(C1668)),"Shares must be a whole number",IF(COUNTIFS($A$4:$A$2503,A1668,$B$4:$B$2503,B1668,$D$4:$D$2503,D1668)&gt;1,"Duplicate row (same date)","OK"))))))</f>
        <v/>
      </c>
    </row>
    <row r="1669">
      <c r="A1669" s="26" t="n"/>
      <c r="B1669" s="26" t="n"/>
      <c r="C1669" s="34" t="n"/>
      <c r="D1669" s="28" t="n"/>
      <c r="E1669" s="26" t="n"/>
      <c r="F1669" s="26" t="n"/>
      <c r="G1669" s="26" t="n"/>
      <c r="H1669" s="38" t="n"/>
      <c r="I1669" s="28" t="n"/>
      <c r="J1669" s="30">
        <f>IF(B1669="","",IFERROR(INDEX('Share classes'!$A$4:$A$203,MATCH(B1669,'Share classes'!$B$4:$B$203,0)),""))</f>
        <v/>
      </c>
      <c r="K1669" s="30">
        <f>IF(A1669="","",IFERROR(INDEX('Holders'!$B$4:$B$1003,MATCH(A1669,'Holders'!$A$4:$A$1003,0)),""))</f>
        <v/>
      </c>
      <c r="L1669" s="30">
        <f>IF(OR(A1669="",B1669="",D1669=""),"",IF(D1669=_xlfn.MAXIFS($D$4:$D$2503,$A$4:$A$2503,A1669,$B$4:$B$2503,B1669),"Yes","No"))</f>
        <v/>
      </c>
      <c r="M1669" s="30">
        <f>IF(B1669="","",IFERROR(INDEX('Share classes'!$F$4:$F$203,MATCH(B1669,'Share classes'!$B$4:$B$203,0)),""))</f>
        <v/>
      </c>
      <c r="N1669" s="30">
        <f>IF(A1669="","",IF(K1669="","Unknown holder ID",IF(J1669="","Unknown class code",IF(OR(C1669="",D1669=""),"Missing shares or date",IF(OR(C1669&lt;0,C1669&lt;&gt;INT(C1669)),"Shares must be a whole number",IF(COUNTIFS($A$4:$A$2503,A1669,$B$4:$B$2503,B1669,$D$4:$D$2503,D1669)&gt;1,"Duplicate row (same date)","OK"))))))</f>
        <v/>
      </c>
    </row>
    <row r="1670">
      <c r="A1670" s="26" t="n"/>
      <c r="B1670" s="26" t="n"/>
      <c r="C1670" s="34" t="n"/>
      <c r="D1670" s="28" t="n"/>
      <c r="E1670" s="26" t="n"/>
      <c r="F1670" s="26" t="n"/>
      <c r="G1670" s="26" t="n"/>
      <c r="H1670" s="38" t="n"/>
      <c r="I1670" s="28" t="n"/>
      <c r="J1670" s="30">
        <f>IF(B1670="","",IFERROR(INDEX('Share classes'!$A$4:$A$203,MATCH(B1670,'Share classes'!$B$4:$B$203,0)),""))</f>
        <v/>
      </c>
      <c r="K1670" s="30">
        <f>IF(A1670="","",IFERROR(INDEX('Holders'!$B$4:$B$1003,MATCH(A1670,'Holders'!$A$4:$A$1003,0)),""))</f>
        <v/>
      </c>
      <c r="L1670" s="30">
        <f>IF(OR(A1670="",B1670="",D1670=""),"",IF(D1670=_xlfn.MAXIFS($D$4:$D$2503,$A$4:$A$2503,A1670,$B$4:$B$2503,B1670),"Yes","No"))</f>
        <v/>
      </c>
      <c r="M1670" s="30">
        <f>IF(B1670="","",IFERROR(INDEX('Share classes'!$F$4:$F$203,MATCH(B1670,'Share classes'!$B$4:$B$203,0)),""))</f>
        <v/>
      </c>
      <c r="N1670" s="30">
        <f>IF(A1670="","",IF(K1670="","Unknown holder ID",IF(J1670="","Unknown class code",IF(OR(C1670="",D1670=""),"Missing shares or date",IF(OR(C1670&lt;0,C1670&lt;&gt;INT(C1670)),"Shares must be a whole number",IF(COUNTIFS($A$4:$A$2503,A1670,$B$4:$B$2503,B1670,$D$4:$D$2503,D1670)&gt;1,"Duplicate row (same date)","OK"))))))</f>
        <v/>
      </c>
    </row>
    <row r="1671">
      <c r="A1671" s="26" t="n"/>
      <c r="B1671" s="26" t="n"/>
      <c r="C1671" s="34" t="n"/>
      <c r="D1671" s="28" t="n"/>
      <c r="E1671" s="26" t="n"/>
      <c r="F1671" s="26" t="n"/>
      <c r="G1671" s="26" t="n"/>
      <c r="H1671" s="38" t="n"/>
      <c r="I1671" s="28" t="n"/>
      <c r="J1671" s="30">
        <f>IF(B1671="","",IFERROR(INDEX('Share classes'!$A$4:$A$203,MATCH(B1671,'Share classes'!$B$4:$B$203,0)),""))</f>
        <v/>
      </c>
      <c r="K1671" s="30">
        <f>IF(A1671="","",IFERROR(INDEX('Holders'!$B$4:$B$1003,MATCH(A1671,'Holders'!$A$4:$A$1003,0)),""))</f>
        <v/>
      </c>
      <c r="L1671" s="30">
        <f>IF(OR(A1671="",B1671="",D1671=""),"",IF(D1671=_xlfn.MAXIFS($D$4:$D$2503,$A$4:$A$2503,A1671,$B$4:$B$2503,B1671),"Yes","No"))</f>
        <v/>
      </c>
      <c r="M1671" s="30">
        <f>IF(B1671="","",IFERROR(INDEX('Share classes'!$F$4:$F$203,MATCH(B1671,'Share classes'!$B$4:$B$203,0)),""))</f>
        <v/>
      </c>
      <c r="N1671" s="30">
        <f>IF(A1671="","",IF(K1671="","Unknown holder ID",IF(J1671="","Unknown class code",IF(OR(C1671="",D1671=""),"Missing shares or date",IF(OR(C1671&lt;0,C1671&lt;&gt;INT(C1671)),"Shares must be a whole number",IF(COUNTIFS($A$4:$A$2503,A1671,$B$4:$B$2503,B1671,$D$4:$D$2503,D1671)&gt;1,"Duplicate row (same date)","OK"))))))</f>
        <v/>
      </c>
    </row>
    <row r="1672">
      <c r="A1672" s="26" t="n"/>
      <c r="B1672" s="26" t="n"/>
      <c r="C1672" s="34" t="n"/>
      <c r="D1672" s="28" t="n"/>
      <c r="E1672" s="26" t="n"/>
      <c r="F1672" s="26" t="n"/>
      <c r="G1672" s="26" t="n"/>
      <c r="H1672" s="38" t="n"/>
      <c r="I1672" s="28" t="n"/>
      <c r="J1672" s="30">
        <f>IF(B1672="","",IFERROR(INDEX('Share classes'!$A$4:$A$203,MATCH(B1672,'Share classes'!$B$4:$B$203,0)),""))</f>
        <v/>
      </c>
      <c r="K1672" s="30">
        <f>IF(A1672="","",IFERROR(INDEX('Holders'!$B$4:$B$1003,MATCH(A1672,'Holders'!$A$4:$A$1003,0)),""))</f>
        <v/>
      </c>
      <c r="L1672" s="30">
        <f>IF(OR(A1672="",B1672="",D1672=""),"",IF(D1672=_xlfn.MAXIFS($D$4:$D$2503,$A$4:$A$2503,A1672,$B$4:$B$2503,B1672),"Yes","No"))</f>
        <v/>
      </c>
      <c r="M1672" s="30">
        <f>IF(B1672="","",IFERROR(INDEX('Share classes'!$F$4:$F$203,MATCH(B1672,'Share classes'!$B$4:$B$203,0)),""))</f>
        <v/>
      </c>
      <c r="N1672" s="30">
        <f>IF(A1672="","",IF(K1672="","Unknown holder ID",IF(J1672="","Unknown class code",IF(OR(C1672="",D1672=""),"Missing shares or date",IF(OR(C1672&lt;0,C1672&lt;&gt;INT(C1672)),"Shares must be a whole number",IF(COUNTIFS($A$4:$A$2503,A1672,$B$4:$B$2503,B1672,$D$4:$D$2503,D1672)&gt;1,"Duplicate row (same date)","OK"))))))</f>
        <v/>
      </c>
    </row>
    <row r="1673">
      <c r="A1673" s="26" t="n"/>
      <c r="B1673" s="26" t="n"/>
      <c r="C1673" s="34" t="n"/>
      <c r="D1673" s="28" t="n"/>
      <c r="E1673" s="26" t="n"/>
      <c r="F1673" s="26" t="n"/>
      <c r="G1673" s="26" t="n"/>
      <c r="H1673" s="38" t="n"/>
      <c r="I1673" s="28" t="n"/>
      <c r="J1673" s="30">
        <f>IF(B1673="","",IFERROR(INDEX('Share classes'!$A$4:$A$203,MATCH(B1673,'Share classes'!$B$4:$B$203,0)),""))</f>
        <v/>
      </c>
      <c r="K1673" s="30">
        <f>IF(A1673="","",IFERROR(INDEX('Holders'!$B$4:$B$1003,MATCH(A1673,'Holders'!$A$4:$A$1003,0)),""))</f>
        <v/>
      </c>
      <c r="L1673" s="30">
        <f>IF(OR(A1673="",B1673="",D1673=""),"",IF(D1673=_xlfn.MAXIFS($D$4:$D$2503,$A$4:$A$2503,A1673,$B$4:$B$2503,B1673),"Yes","No"))</f>
        <v/>
      </c>
      <c r="M1673" s="30">
        <f>IF(B1673="","",IFERROR(INDEX('Share classes'!$F$4:$F$203,MATCH(B1673,'Share classes'!$B$4:$B$203,0)),""))</f>
        <v/>
      </c>
      <c r="N1673" s="30">
        <f>IF(A1673="","",IF(K1673="","Unknown holder ID",IF(J1673="","Unknown class code",IF(OR(C1673="",D1673=""),"Missing shares or date",IF(OR(C1673&lt;0,C1673&lt;&gt;INT(C1673)),"Shares must be a whole number",IF(COUNTIFS($A$4:$A$2503,A1673,$B$4:$B$2503,B1673,$D$4:$D$2503,D1673)&gt;1,"Duplicate row (same date)","OK"))))))</f>
        <v/>
      </c>
    </row>
    <row r="1674">
      <c r="A1674" s="26" t="n"/>
      <c r="B1674" s="26" t="n"/>
      <c r="C1674" s="34" t="n"/>
      <c r="D1674" s="28" t="n"/>
      <c r="E1674" s="26" t="n"/>
      <c r="F1674" s="26" t="n"/>
      <c r="G1674" s="26" t="n"/>
      <c r="H1674" s="38" t="n"/>
      <c r="I1674" s="28" t="n"/>
      <c r="J1674" s="30">
        <f>IF(B1674="","",IFERROR(INDEX('Share classes'!$A$4:$A$203,MATCH(B1674,'Share classes'!$B$4:$B$203,0)),""))</f>
        <v/>
      </c>
      <c r="K1674" s="30">
        <f>IF(A1674="","",IFERROR(INDEX('Holders'!$B$4:$B$1003,MATCH(A1674,'Holders'!$A$4:$A$1003,0)),""))</f>
        <v/>
      </c>
      <c r="L1674" s="30">
        <f>IF(OR(A1674="",B1674="",D1674=""),"",IF(D1674=_xlfn.MAXIFS($D$4:$D$2503,$A$4:$A$2503,A1674,$B$4:$B$2503,B1674),"Yes","No"))</f>
        <v/>
      </c>
      <c r="M1674" s="30">
        <f>IF(B1674="","",IFERROR(INDEX('Share classes'!$F$4:$F$203,MATCH(B1674,'Share classes'!$B$4:$B$203,0)),""))</f>
        <v/>
      </c>
      <c r="N1674" s="30">
        <f>IF(A1674="","",IF(K1674="","Unknown holder ID",IF(J1674="","Unknown class code",IF(OR(C1674="",D1674=""),"Missing shares or date",IF(OR(C1674&lt;0,C1674&lt;&gt;INT(C1674)),"Shares must be a whole number",IF(COUNTIFS($A$4:$A$2503,A1674,$B$4:$B$2503,B1674,$D$4:$D$2503,D1674)&gt;1,"Duplicate row (same date)","OK"))))))</f>
        <v/>
      </c>
    </row>
    <row r="1675">
      <c r="A1675" s="26" t="n"/>
      <c r="B1675" s="26" t="n"/>
      <c r="C1675" s="34" t="n"/>
      <c r="D1675" s="28" t="n"/>
      <c r="E1675" s="26" t="n"/>
      <c r="F1675" s="26" t="n"/>
      <c r="G1675" s="26" t="n"/>
      <c r="H1675" s="38" t="n"/>
      <c r="I1675" s="28" t="n"/>
      <c r="J1675" s="30">
        <f>IF(B1675="","",IFERROR(INDEX('Share classes'!$A$4:$A$203,MATCH(B1675,'Share classes'!$B$4:$B$203,0)),""))</f>
        <v/>
      </c>
      <c r="K1675" s="30">
        <f>IF(A1675="","",IFERROR(INDEX('Holders'!$B$4:$B$1003,MATCH(A1675,'Holders'!$A$4:$A$1003,0)),""))</f>
        <v/>
      </c>
      <c r="L1675" s="30">
        <f>IF(OR(A1675="",B1675="",D1675=""),"",IF(D1675=_xlfn.MAXIFS($D$4:$D$2503,$A$4:$A$2503,A1675,$B$4:$B$2503,B1675),"Yes","No"))</f>
        <v/>
      </c>
      <c r="M1675" s="30">
        <f>IF(B1675="","",IFERROR(INDEX('Share classes'!$F$4:$F$203,MATCH(B1675,'Share classes'!$B$4:$B$203,0)),""))</f>
        <v/>
      </c>
      <c r="N1675" s="30">
        <f>IF(A1675="","",IF(K1675="","Unknown holder ID",IF(J1675="","Unknown class code",IF(OR(C1675="",D1675=""),"Missing shares or date",IF(OR(C1675&lt;0,C1675&lt;&gt;INT(C1675)),"Shares must be a whole number",IF(COUNTIFS($A$4:$A$2503,A1675,$B$4:$B$2503,B1675,$D$4:$D$2503,D1675)&gt;1,"Duplicate row (same date)","OK"))))))</f>
        <v/>
      </c>
    </row>
    <row r="1676">
      <c r="A1676" s="26" t="n"/>
      <c r="B1676" s="26" t="n"/>
      <c r="C1676" s="34" t="n"/>
      <c r="D1676" s="28" t="n"/>
      <c r="E1676" s="26" t="n"/>
      <c r="F1676" s="26" t="n"/>
      <c r="G1676" s="26" t="n"/>
      <c r="H1676" s="38" t="n"/>
      <c r="I1676" s="28" t="n"/>
      <c r="J1676" s="30">
        <f>IF(B1676="","",IFERROR(INDEX('Share classes'!$A$4:$A$203,MATCH(B1676,'Share classes'!$B$4:$B$203,0)),""))</f>
        <v/>
      </c>
      <c r="K1676" s="30">
        <f>IF(A1676="","",IFERROR(INDEX('Holders'!$B$4:$B$1003,MATCH(A1676,'Holders'!$A$4:$A$1003,0)),""))</f>
        <v/>
      </c>
      <c r="L1676" s="30">
        <f>IF(OR(A1676="",B1676="",D1676=""),"",IF(D1676=_xlfn.MAXIFS($D$4:$D$2503,$A$4:$A$2503,A1676,$B$4:$B$2503,B1676),"Yes","No"))</f>
        <v/>
      </c>
      <c r="M1676" s="30">
        <f>IF(B1676="","",IFERROR(INDEX('Share classes'!$F$4:$F$203,MATCH(B1676,'Share classes'!$B$4:$B$203,0)),""))</f>
        <v/>
      </c>
      <c r="N1676" s="30">
        <f>IF(A1676="","",IF(K1676="","Unknown holder ID",IF(J1676="","Unknown class code",IF(OR(C1676="",D1676=""),"Missing shares or date",IF(OR(C1676&lt;0,C1676&lt;&gt;INT(C1676)),"Shares must be a whole number",IF(COUNTIFS($A$4:$A$2503,A1676,$B$4:$B$2503,B1676,$D$4:$D$2503,D1676)&gt;1,"Duplicate row (same date)","OK"))))))</f>
        <v/>
      </c>
    </row>
    <row r="1677">
      <c r="A1677" s="26" t="n"/>
      <c r="B1677" s="26" t="n"/>
      <c r="C1677" s="34" t="n"/>
      <c r="D1677" s="28" t="n"/>
      <c r="E1677" s="26" t="n"/>
      <c r="F1677" s="26" t="n"/>
      <c r="G1677" s="26" t="n"/>
      <c r="H1677" s="38" t="n"/>
      <c r="I1677" s="28" t="n"/>
      <c r="J1677" s="30">
        <f>IF(B1677="","",IFERROR(INDEX('Share classes'!$A$4:$A$203,MATCH(B1677,'Share classes'!$B$4:$B$203,0)),""))</f>
        <v/>
      </c>
      <c r="K1677" s="30">
        <f>IF(A1677="","",IFERROR(INDEX('Holders'!$B$4:$B$1003,MATCH(A1677,'Holders'!$A$4:$A$1003,0)),""))</f>
        <v/>
      </c>
      <c r="L1677" s="30">
        <f>IF(OR(A1677="",B1677="",D1677=""),"",IF(D1677=_xlfn.MAXIFS($D$4:$D$2503,$A$4:$A$2503,A1677,$B$4:$B$2503,B1677),"Yes","No"))</f>
        <v/>
      </c>
      <c r="M1677" s="30">
        <f>IF(B1677="","",IFERROR(INDEX('Share classes'!$F$4:$F$203,MATCH(B1677,'Share classes'!$B$4:$B$203,0)),""))</f>
        <v/>
      </c>
      <c r="N1677" s="30">
        <f>IF(A1677="","",IF(K1677="","Unknown holder ID",IF(J1677="","Unknown class code",IF(OR(C1677="",D1677=""),"Missing shares or date",IF(OR(C1677&lt;0,C1677&lt;&gt;INT(C1677)),"Shares must be a whole number",IF(COUNTIFS($A$4:$A$2503,A1677,$B$4:$B$2503,B1677,$D$4:$D$2503,D1677)&gt;1,"Duplicate row (same date)","OK"))))))</f>
        <v/>
      </c>
    </row>
    <row r="1678">
      <c r="A1678" s="26" t="n"/>
      <c r="B1678" s="26" t="n"/>
      <c r="C1678" s="34" t="n"/>
      <c r="D1678" s="28" t="n"/>
      <c r="E1678" s="26" t="n"/>
      <c r="F1678" s="26" t="n"/>
      <c r="G1678" s="26" t="n"/>
      <c r="H1678" s="38" t="n"/>
      <c r="I1678" s="28" t="n"/>
      <c r="J1678" s="30">
        <f>IF(B1678="","",IFERROR(INDEX('Share classes'!$A$4:$A$203,MATCH(B1678,'Share classes'!$B$4:$B$203,0)),""))</f>
        <v/>
      </c>
      <c r="K1678" s="30">
        <f>IF(A1678="","",IFERROR(INDEX('Holders'!$B$4:$B$1003,MATCH(A1678,'Holders'!$A$4:$A$1003,0)),""))</f>
        <v/>
      </c>
      <c r="L1678" s="30">
        <f>IF(OR(A1678="",B1678="",D1678=""),"",IF(D1678=_xlfn.MAXIFS($D$4:$D$2503,$A$4:$A$2503,A1678,$B$4:$B$2503,B1678),"Yes","No"))</f>
        <v/>
      </c>
      <c r="M1678" s="30">
        <f>IF(B1678="","",IFERROR(INDEX('Share classes'!$F$4:$F$203,MATCH(B1678,'Share classes'!$B$4:$B$203,0)),""))</f>
        <v/>
      </c>
      <c r="N1678" s="30">
        <f>IF(A1678="","",IF(K1678="","Unknown holder ID",IF(J1678="","Unknown class code",IF(OR(C1678="",D1678=""),"Missing shares or date",IF(OR(C1678&lt;0,C1678&lt;&gt;INT(C1678)),"Shares must be a whole number",IF(COUNTIFS($A$4:$A$2503,A1678,$B$4:$B$2503,B1678,$D$4:$D$2503,D1678)&gt;1,"Duplicate row (same date)","OK"))))))</f>
        <v/>
      </c>
    </row>
    <row r="1679">
      <c r="A1679" s="26" t="n"/>
      <c r="B1679" s="26" t="n"/>
      <c r="C1679" s="34" t="n"/>
      <c r="D1679" s="28" t="n"/>
      <c r="E1679" s="26" t="n"/>
      <c r="F1679" s="26" t="n"/>
      <c r="G1679" s="26" t="n"/>
      <c r="H1679" s="38" t="n"/>
      <c r="I1679" s="28" t="n"/>
      <c r="J1679" s="30">
        <f>IF(B1679="","",IFERROR(INDEX('Share classes'!$A$4:$A$203,MATCH(B1679,'Share classes'!$B$4:$B$203,0)),""))</f>
        <v/>
      </c>
      <c r="K1679" s="30">
        <f>IF(A1679="","",IFERROR(INDEX('Holders'!$B$4:$B$1003,MATCH(A1679,'Holders'!$A$4:$A$1003,0)),""))</f>
        <v/>
      </c>
      <c r="L1679" s="30">
        <f>IF(OR(A1679="",B1679="",D1679=""),"",IF(D1679=_xlfn.MAXIFS($D$4:$D$2503,$A$4:$A$2503,A1679,$B$4:$B$2503,B1679),"Yes","No"))</f>
        <v/>
      </c>
      <c r="M1679" s="30">
        <f>IF(B1679="","",IFERROR(INDEX('Share classes'!$F$4:$F$203,MATCH(B1679,'Share classes'!$B$4:$B$203,0)),""))</f>
        <v/>
      </c>
      <c r="N1679" s="30">
        <f>IF(A1679="","",IF(K1679="","Unknown holder ID",IF(J1679="","Unknown class code",IF(OR(C1679="",D1679=""),"Missing shares or date",IF(OR(C1679&lt;0,C1679&lt;&gt;INT(C1679)),"Shares must be a whole number",IF(COUNTIFS($A$4:$A$2503,A1679,$B$4:$B$2503,B1679,$D$4:$D$2503,D1679)&gt;1,"Duplicate row (same date)","OK"))))))</f>
        <v/>
      </c>
    </row>
    <row r="1680">
      <c r="A1680" s="26" t="n"/>
      <c r="B1680" s="26" t="n"/>
      <c r="C1680" s="34" t="n"/>
      <c r="D1680" s="28" t="n"/>
      <c r="E1680" s="26" t="n"/>
      <c r="F1680" s="26" t="n"/>
      <c r="G1680" s="26" t="n"/>
      <c r="H1680" s="38" t="n"/>
      <c r="I1680" s="28" t="n"/>
      <c r="J1680" s="30">
        <f>IF(B1680="","",IFERROR(INDEX('Share classes'!$A$4:$A$203,MATCH(B1680,'Share classes'!$B$4:$B$203,0)),""))</f>
        <v/>
      </c>
      <c r="K1680" s="30">
        <f>IF(A1680="","",IFERROR(INDEX('Holders'!$B$4:$B$1003,MATCH(A1680,'Holders'!$A$4:$A$1003,0)),""))</f>
        <v/>
      </c>
      <c r="L1680" s="30">
        <f>IF(OR(A1680="",B1680="",D1680=""),"",IF(D1680=_xlfn.MAXIFS($D$4:$D$2503,$A$4:$A$2503,A1680,$B$4:$B$2503,B1680),"Yes","No"))</f>
        <v/>
      </c>
      <c r="M1680" s="30">
        <f>IF(B1680="","",IFERROR(INDEX('Share classes'!$F$4:$F$203,MATCH(B1680,'Share classes'!$B$4:$B$203,0)),""))</f>
        <v/>
      </c>
      <c r="N1680" s="30">
        <f>IF(A1680="","",IF(K1680="","Unknown holder ID",IF(J1680="","Unknown class code",IF(OR(C1680="",D1680=""),"Missing shares or date",IF(OR(C1680&lt;0,C1680&lt;&gt;INT(C1680)),"Shares must be a whole number",IF(COUNTIFS($A$4:$A$2503,A1680,$B$4:$B$2503,B1680,$D$4:$D$2503,D1680)&gt;1,"Duplicate row (same date)","OK"))))))</f>
        <v/>
      </c>
    </row>
    <row r="1681">
      <c r="A1681" s="26" t="n"/>
      <c r="B1681" s="26" t="n"/>
      <c r="C1681" s="34" t="n"/>
      <c r="D1681" s="28" t="n"/>
      <c r="E1681" s="26" t="n"/>
      <c r="F1681" s="26" t="n"/>
      <c r="G1681" s="26" t="n"/>
      <c r="H1681" s="38" t="n"/>
      <c r="I1681" s="28" t="n"/>
      <c r="J1681" s="30">
        <f>IF(B1681="","",IFERROR(INDEX('Share classes'!$A$4:$A$203,MATCH(B1681,'Share classes'!$B$4:$B$203,0)),""))</f>
        <v/>
      </c>
      <c r="K1681" s="30">
        <f>IF(A1681="","",IFERROR(INDEX('Holders'!$B$4:$B$1003,MATCH(A1681,'Holders'!$A$4:$A$1003,0)),""))</f>
        <v/>
      </c>
      <c r="L1681" s="30">
        <f>IF(OR(A1681="",B1681="",D1681=""),"",IF(D1681=_xlfn.MAXIFS($D$4:$D$2503,$A$4:$A$2503,A1681,$B$4:$B$2503,B1681),"Yes","No"))</f>
        <v/>
      </c>
      <c r="M1681" s="30">
        <f>IF(B1681="","",IFERROR(INDEX('Share classes'!$F$4:$F$203,MATCH(B1681,'Share classes'!$B$4:$B$203,0)),""))</f>
        <v/>
      </c>
      <c r="N1681" s="30">
        <f>IF(A1681="","",IF(K1681="","Unknown holder ID",IF(J1681="","Unknown class code",IF(OR(C1681="",D1681=""),"Missing shares or date",IF(OR(C1681&lt;0,C1681&lt;&gt;INT(C1681)),"Shares must be a whole number",IF(COUNTIFS($A$4:$A$2503,A1681,$B$4:$B$2503,B1681,$D$4:$D$2503,D1681)&gt;1,"Duplicate row (same date)","OK"))))))</f>
        <v/>
      </c>
    </row>
    <row r="1682">
      <c r="A1682" s="26" t="n"/>
      <c r="B1682" s="26" t="n"/>
      <c r="C1682" s="34" t="n"/>
      <c r="D1682" s="28" t="n"/>
      <c r="E1682" s="26" t="n"/>
      <c r="F1682" s="26" t="n"/>
      <c r="G1682" s="26" t="n"/>
      <c r="H1682" s="38" t="n"/>
      <c r="I1682" s="28" t="n"/>
      <c r="J1682" s="30">
        <f>IF(B1682="","",IFERROR(INDEX('Share classes'!$A$4:$A$203,MATCH(B1682,'Share classes'!$B$4:$B$203,0)),""))</f>
        <v/>
      </c>
      <c r="K1682" s="30">
        <f>IF(A1682="","",IFERROR(INDEX('Holders'!$B$4:$B$1003,MATCH(A1682,'Holders'!$A$4:$A$1003,0)),""))</f>
        <v/>
      </c>
      <c r="L1682" s="30">
        <f>IF(OR(A1682="",B1682="",D1682=""),"",IF(D1682=_xlfn.MAXIFS($D$4:$D$2503,$A$4:$A$2503,A1682,$B$4:$B$2503,B1682),"Yes","No"))</f>
        <v/>
      </c>
      <c r="M1682" s="30">
        <f>IF(B1682="","",IFERROR(INDEX('Share classes'!$F$4:$F$203,MATCH(B1682,'Share classes'!$B$4:$B$203,0)),""))</f>
        <v/>
      </c>
      <c r="N1682" s="30">
        <f>IF(A1682="","",IF(K1682="","Unknown holder ID",IF(J1682="","Unknown class code",IF(OR(C1682="",D1682=""),"Missing shares or date",IF(OR(C1682&lt;0,C1682&lt;&gt;INT(C1682)),"Shares must be a whole number",IF(COUNTIFS($A$4:$A$2503,A1682,$B$4:$B$2503,B1682,$D$4:$D$2503,D1682)&gt;1,"Duplicate row (same date)","OK"))))))</f>
        <v/>
      </c>
    </row>
    <row r="1683">
      <c r="A1683" s="26" t="n"/>
      <c r="B1683" s="26" t="n"/>
      <c r="C1683" s="34" t="n"/>
      <c r="D1683" s="28" t="n"/>
      <c r="E1683" s="26" t="n"/>
      <c r="F1683" s="26" t="n"/>
      <c r="G1683" s="26" t="n"/>
      <c r="H1683" s="38" t="n"/>
      <c r="I1683" s="28" t="n"/>
      <c r="J1683" s="30">
        <f>IF(B1683="","",IFERROR(INDEX('Share classes'!$A$4:$A$203,MATCH(B1683,'Share classes'!$B$4:$B$203,0)),""))</f>
        <v/>
      </c>
      <c r="K1683" s="30">
        <f>IF(A1683="","",IFERROR(INDEX('Holders'!$B$4:$B$1003,MATCH(A1683,'Holders'!$A$4:$A$1003,0)),""))</f>
        <v/>
      </c>
      <c r="L1683" s="30">
        <f>IF(OR(A1683="",B1683="",D1683=""),"",IF(D1683=_xlfn.MAXIFS($D$4:$D$2503,$A$4:$A$2503,A1683,$B$4:$B$2503,B1683),"Yes","No"))</f>
        <v/>
      </c>
      <c r="M1683" s="30">
        <f>IF(B1683="","",IFERROR(INDEX('Share classes'!$F$4:$F$203,MATCH(B1683,'Share classes'!$B$4:$B$203,0)),""))</f>
        <v/>
      </c>
      <c r="N1683" s="30">
        <f>IF(A1683="","",IF(K1683="","Unknown holder ID",IF(J1683="","Unknown class code",IF(OR(C1683="",D1683=""),"Missing shares or date",IF(OR(C1683&lt;0,C1683&lt;&gt;INT(C1683)),"Shares must be a whole number",IF(COUNTIFS($A$4:$A$2503,A1683,$B$4:$B$2503,B1683,$D$4:$D$2503,D1683)&gt;1,"Duplicate row (same date)","OK"))))))</f>
        <v/>
      </c>
    </row>
    <row r="1684">
      <c r="A1684" s="26" t="n"/>
      <c r="B1684" s="26" t="n"/>
      <c r="C1684" s="34" t="n"/>
      <c r="D1684" s="28" t="n"/>
      <c r="E1684" s="26" t="n"/>
      <c r="F1684" s="26" t="n"/>
      <c r="G1684" s="26" t="n"/>
      <c r="H1684" s="38" t="n"/>
      <c r="I1684" s="28" t="n"/>
      <c r="J1684" s="30">
        <f>IF(B1684="","",IFERROR(INDEX('Share classes'!$A$4:$A$203,MATCH(B1684,'Share classes'!$B$4:$B$203,0)),""))</f>
        <v/>
      </c>
      <c r="K1684" s="30">
        <f>IF(A1684="","",IFERROR(INDEX('Holders'!$B$4:$B$1003,MATCH(A1684,'Holders'!$A$4:$A$1003,0)),""))</f>
        <v/>
      </c>
      <c r="L1684" s="30">
        <f>IF(OR(A1684="",B1684="",D1684=""),"",IF(D1684=_xlfn.MAXIFS($D$4:$D$2503,$A$4:$A$2503,A1684,$B$4:$B$2503,B1684),"Yes","No"))</f>
        <v/>
      </c>
      <c r="M1684" s="30">
        <f>IF(B1684="","",IFERROR(INDEX('Share classes'!$F$4:$F$203,MATCH(B1684,'Share classes'!$B$4:$B$203,0)),""))</f>
        <v/>
      </c>
      <c r="N1684" s="30">
        <f>IF(A1684="","",IF(K1684="","Unknown holder ID",IF(J1684="","Unknown class code",IF(OR(C1684="",D1684=""),"Missing shares or date",IF(OR(C1684&lt;0,C1684&lt;&gt;INT(C1684)),"Shares must be a whole number",IF(COUNTIFS($A$4:$A$2503,A1684,$B$4:$B$2503,B1684,$D$4:$D$2503,D1684)&gt;1,"Duplicate row (same date)","OK"))))))</f>
        <v/>
      </c>
    </row>
    <row r="1685">
      <c r="A1685" s="26" t="n"/>
      <c r="B1685" s="26" t="n"/>
      <c r="C1685" s="34" t="n"/>
      <c r="D1685" s="28" t="n"/>
      <c r="E1685" s="26" t="n"/>
      <c r="F1685" s="26" t="n"/>
      <c r="G1685" s="26" t="n"/>
      <c r="H1685" s="38" t="n"/>
      <c r="I1685" s="28" t="n"/>
      <c r="J1685" s="30">
        <f>IF(B1685="","",IFERROR(INDEX('Share classes'!$A$4:$A$203,MATCH(B1685,'Share classes'!$B$4:$B$203,0)),""))</f>
        <v/>
      </c>
      <c r="K1685" s="30">
        <f>IF(A1685="","",IFERROR(INDEX('Holders'!$B$4:$B$1003,MATCH(A1685,'Holders'!$A$4:$A$1003,0)),""))</f>
        <v/>
      </c>
      <c r="L1685" s="30">
        <f>IF(OR(A1685="",B1685="",D1685=""),"",IF(D1685=_xlfn.MAXIFS($D$4:$D$2503,$A$4:$A$2503,A1685,$B$4:$B$2503,B1685),"Yes","No"))</f>
        <v/>
      </c>
      <c r="M1685" s="30">
        <f>IF(B1685="","",IFERROR(INDEX('Share classes'!$F$4:$F$203,MATCH(B1685,'Share classes'!$B$4:$B$203,0)),""))</f>
        <v/>
      </c>
      <c r="N1685" s="30">
        <f>IF(A1685="","",IF(K1685="","Unknown holder ID",IF(J1685="","Unknown class code",IF(OR(C1685="",D1685=""),"Missing shares or date",IF(OR(C1685&lt;0,C1685&lt;&gt;INT(C1685)),"Shares must be a whole number",IF(COUNTIFS($A$4:$A$2503,A1685,$B$4:$B$2503,B1685,$D$4:$D$2503,D1685)&gt;1,"Duplicate row (same date)","OK"))))))</f>
        <v/>
      </c>
    </row>
    <row r="1686">
      <c r="A1686" s="26" t="n"/>
      <c r="B1686" s="26" t="n"/>
      <c r="C1686" s="34" t="n"/>
      <c r="D1686" s="28" t="n"/>
      <c r="E1686" s="26" t="n"/>
      <c r="F1686" s="26" t="n"/>
      <c r="G1686" s="26" t="n"/>
      <c r="H1686" s="38" t="n"/>
      <c r="I1686" s="28" t="n"/>
      <c r="J1686" s="30">
        <f>IF(B1686="","",IFERROR(INDEX('Share classes'!$A$4:$A$203,MATCH(B1686,'Share classes'!$B$4:$B$203,0)),""))</f>
        <v/>
      </c>
      <c r="K1686" s="30">
        <f>IF(A1686="","",IFERROR(INDEX('Holders'!$B$4:$B$1003,MATCH(A1686,'Holders'!$A$4:$A$1003,0)),""))</f>
        <v/>
      </c>
      <c r="L1686" s="30">
        <f>IF(OR(A1686="",B1686="",D1686=""),"",IF(D1686=_xlfn.MAXIFS($D$4:$D$2503,$A$4:$A$2503,A1686,$B$4:$B$2503,B1686),"Yes","No"))</f>
        <v/>
      </c>
      <c r="M1686" s="30">
        <f>IF(B1686="","",IFERROR(INDEX('Share classes'!$F$4:$F$203,MATCH(B1686,'Share classes'!$B$4:$B$203,0)),""))</f>
        <v/>
      </c>
      <c r="N1686" s="30">
        <f>IF(A1686="","",IF(K1686="","Unknown holder ID",IF(J1686="","Unknown class code",IF(OR(C1686="",D1686=""),"Missing shares or date",IF(OR(C1686&lt;0,C1686&lt;&gt;INT(C1686)),"Shares must be a whole number",IF(COUNTIFS($A$4:$A$2503,A1686,$B$4:$B$2503,B1686,$D$4:$D$2503,D1686)&gt;1,"Duplicate row (same date)","OK"))))))</f>
        <v/>
      </c>
    </row>
    <row r="1687">
      <c r="A1687" s="26" t="n"/>
      <c r="B1687" s="26" t="n"/>
      <c r="C1687" s="34" t="n"/>
      <c r="D1687" s="28" t="n"/>
      <c r="E1687" s="26" t="n"/>
      <c r="F1687" s="26" t="n"/>
      <c r="G1687" s="26" t="n"/>
      <c r="H1687" s="38" t="n"/>
      <c r="I1687" s="28" t="n"/>
      <c r="J1687" s="30">
        <f>IF(B1687="","",IFERROR(INDEX('Share classes'!$A$4:$A$203,MATCH(B1687,'Share classes'!$B$4:$B$203,0)),""))</f>
        <v/>
      </c>
      <c r="K1687" s="30">
        <f>IF(A1687="","",IFERROR(INDEX('Holders'!$B$4:$B$1003,MATCH(A1687,'Holders'!$A$4:$A$1003,0)),""))</f>
        <v/>
      </c>
      <c r="L1687" s="30">
        <f>IF(OR(A1687="",B1687="",D1687=""),"",IF(D1687=_xlfn.MAXIFS($D$4:$D$2503,$A$4:$A$2503,A1687,$B$4:$B$2503,B1687),"Yes","No"))</f>
        <v/>
      </c>
      <c r="M1687" s="30">
        <f>IF(B1687="","",IFERROR(INDEX('Share classes'!$F$4:$F$203,MATCH(B1687,'Share classes'!$B$4:$B$203,0)),""))</f>
        <v/>
      </c>
      <c r="N1687" s="30">
        <f>IF(A1687="","",IF(K1687="","Unknown holder ID",IF(J1687="","Unknown class code",IF(OR(C1687="",D1687=""),"Missing shares or date",IF(OR(C1687&lt;0,C1687&lt;&gt;INT(C1687)),"Shares must be a whole number",IF(COUNTIFS($A$4:$A$2503,A1687,$B$4:$B$2503,B1687,$D$4:$D$2503,D1687)&gt;1,"Duplicate row (same date)","OK"))))))</f>
        <v/>
      </c>
    </row>
    <row r="1688">
      <c r="A1688" s="26" t="n"/>
      <c r="B1688" s="26" t="n"/>
      <c r="C1688" s="34" t="n"/>
      <c r="D1688" s="28" t="n"/>
      <c r="E1688" s="26" t="n"/>
      <c r="F1688" s="26" t="n"/>
      <c r="G1688" s="26" t="n"/>
      <c r="H1688" s="38" t="n"/>
      <c r="I1688" s="28" t="n"/>
      <c r="J1688" s="30">
        <f>IF(B1688="","",IFERROR(INDEX('Share classes'!$A$4:$A$203,MATCH(B1688,'Share classes'!$B$4:$B$203,0)),""))</f>
        <v/>
      </c>
      <c r="K1688" s="30">
        <f>IF(A1688="","",IFERROR(INDEX('Holders'!$B$4:$B$1003,MATCH(A1688,'Holders'!$A$4:$A$1003,0)),""))</f>
        <v/>
      </c>
      <c r="L1688" s="30">
        <f>IF(OR(A1688="",B1688="",D1688=""),"",IF(D1688=_xlfn.MAXIFS($D$4:$D$2503,$A$4:$A$2503,A1688,$B$4:$B$2503,B1688),"Yes","No"))</f>
        <v/>
      </c>
      <c r="M1688" s="30">
        <f>IF(B1688="","",IFERROR(INDEX('Share classes'!$F$4:$F$203,MATCH(B1688,'Share classes'!$B$4:$B$203,0)),""))</f>
        <v/>
      </c>
      <c r="N1688" s="30">
        <f>IF(A1688="","",IF(K1688="","Unknown holder ID",IF(J1688="","Unknown class code",IF(OR(C1688="",D1688=""),"Missing shares or date",IF(OR(C1688&lt;0,C1688&lt;&gt;INT(C1688)),"Shares must be a whole number",IF(COUNTIFS($A$4:$A$2503,A1688,$B$4:$B$2503,B1688,$D$4:$D$2503,D1688)&gt;1,"Duplicate row (same date)","OK"))))))</f>
        <v/>
      </c>
    </row>
    <row r="1689">
      <c r="A1689" s="26" t="n"/>
      <c r="B1689" s="26" t="n"/>
      <c r="C1689" s="34" t="n"/>
      <c r="D1689" s="28" t="n"/>
      <c r="E1689" s="26" t="n"/>
      <c r="F1689" s="26" t="n"/>
      <c r="G1689" s="26" t="n"/>
      <c r="H1689" s="38" t="n"/>
      <c r="I1689" s="28" t="n"/>
      <c r="J1689" s="30">
        <f>IF(B1689="","",IFERROR(INDEX('Share classes'!$A$4:$A$203,MATCH(B1689,'Share classes'!$B$4:$B$203,0)),""))</f>
        <v/>
      </c>
      <c r="K1689" s="30">
        <f>IF(A1689="","",IFERROR(INDEX('Holders'!$B$4:$B$1003,MATCH(A1689,'Holders'!$A$4:$A$1003,0)),""))</f>
        <v/>
      </c>
      <c r="L1689" s="30">
        <f>IF(OR(A1689="",B1689="",D1689=""),"",IF(D1689=_xlfn.MAXIFS($D$4:$D$2503,$A$4:$A$2503,A1689,$B$4:$B$2503,B1689),"Yes","No"))</f>
        <v/>
      </c>
      <c r="M1689" s="30">
        <f>IF(B1689="","",IFERROR(INDEX('Share classes'!$F$4:$F$203,MATCH(B1689,'Share classes'!$B$4:$B$203,0)),""))</f>
        <v/>
      </c>
      <c r="N1689" s="30">
        <f>IF(A1689="","",IF(K1689="","Unknown holder ID",IF(J1689="","Unknown class code",IF(OR(C1689="",D1689=""),"Missing shares or date",IF(OR(C1689&lt;0,C1689&lt;&gt;INT(C1689)),"Shares must be a whole number",IF(COUNTIFS($A$4:$A$2503,A1689,$B$4:$B$2503,B1689,$D$4:$D$2503,D1689)&gt;1,"Duplicate row (same date)","OK"))))))</f>
        <v/>
      </c>
    </row>
    <row r="1690">
      <c r="A1690" s="26" t="n"/>
      <c r="B1690" s="26" t="n"/>
      <c r="C1690" s="34" t="n"/>
      <c r="D1690" s="28" t="n"/>
      <c r="E1690" s="26" t="n"/>
      <c r="F1690" s="26" t="n"/>
      <c r="G1690" s="26" t="n"/>
      <c r="H1690" s="38" t="n"/>
      <c r="I1690" s="28" t="n"/>
      <c r="J1690" s="30">
        <f>IF(B1690="","",IFERROR(INDEX('Share classes'!$A$4:$A$203,MATCH(B1690,'Share classes'!$B$4:$B$203,0)),""))</f>
        <v/>
      </c>
      <c r="K1690" s="30">
        <f>IF(A1690="","",IFERROR(INDEX('Holders'!$B$4:$B$1003,MATCH(A1690,'Holders'!$A$4:$A$1003,0)),""))</f>
        <v/>
      </c>
      <c r="L1690" s="30">
        <f>IF(OR(A1690="",B1690="",D1690=""),"",IF(D1690=_xlfn.MAXIFS($D$4:$D$2503,$A$4:$A$2503,A1690,$B$4:$B$2503,B1690),"Yes","No"))</f>
        <v/>
      </c>
      <c r="M1690" s="30">
        <f>IF(B1690="","",IFERROR(INDEX('Share classes'!$F$4:$F$203,MATCH(B1690,'Share classes'!$B$4:$B$203,0)),""))</f>
        <v/>
      </c>
      <c r="N1690" s="30">
        <f>IF(A1690="","",IF(K1690="","Unknown holder ID",IF(J1690="","Unknown class code",IF(OR(C1690="",D1690=""),"Missing shares or date",IF(OR(C1690&lt;0,C1690&lt;&gt;INT(C1690)),"Shares must be a whole number",IF(COUNTIFS($A$4:$A$2503,A1690,$B$4:$B$2503,B1690,$D$4:$D$2503,D1690)&gt;1,"Duplicate row (same date)","OK"))))))</f>
        <v/>
      </c>
    </row>
    <row r="1691">
      <c r="A1691" s="26" t="n"/>
      <c r="B1691" s="26" t="n"/>
      <c r="C1691" s="34" t="n"/>
      <c r="D1691" s="28" t="n"/>
      <c r="E1691" s="26" t="n"/>
      <c r="F1691" s="26" t="n"/>
      <c r="G1691" s="26" t="n"/>
      <c r="H1691" s="38" t="n"/>
      <c r="I1691" s="28" t="n"/>
      <c r="J1691" s="30">
        <f>IF(B1691="","",IFERROR(INDEX('Share classes'!$A$4:$A$203,MATCH(B1691,'Share classes'!$B$4:$B$203,0)),""))</f>
        <v/>
      </c>
      <c r="K1691" s="30">
        <f>IF(A1691="","",IFERROR(INDEX('Holders'!$B$4:$B$1003,MATCH(A1691,'Holders'!$A$4:$A$1003,0)),""))</f>
        <v/>
      </c>
      <c r="L1691" s="30">
        <f>IF(OR(A1691="",B1691="",D1691=""),"",IF(D1691=_xlfn.MAXIFS($D$4:$D$2503,$A$4:$A$2503,A1691,$B$4:$B$2503,B1691),"Yes","No"))</f>
        <v/>
      </c>
      <c r="M1691" s="30">
        <f>IF(B1691="","",IFERROR(INDEX('Share classes'!$F$4:$F$203,MATCH(B1691,'Share classes'!$B$4:$B$203,0)),""))</f>
        <v/>
      </c>
      <c r="N1691" s="30">
        <f>IF(A1691="","",IF(K1691="","Unknown holder ID",IF(J1691="","Unknown class code",IF(OR(C1691="",D1691=""),"Missing shares or date",IF(OR(C1691&lt;0,C1691&lt;&gt;INT(C1691)),"Shares must be a whole number",IF(COUNTIFS($A$4:$A$2503,A1691,$B$4:$B$2503,B1691,$D$4:$D$2503,D1691)&gt;1,"Duplicate row (same date)","OK"))))))</f>
        <v/>
      </c>
    </row>
    <row r="1692">
      <c r="A1692" s="26" t="n"/>
      <c r="B1692" s="26" t="n"/>
      <c r="C1692" s="34" t="n"/>
      <c r="D1692" s="28" t="n"/>
      <c r="E1692" s="26" t="n"/>
      <c r="F1692" s="26" t="n"/>
      <c r="G1692" s="26" t="n"/>
      <c r="H1692" s="38" t="n"/>
      <c r="I1692" s="28" t="n"/>
      <c r="J1692" s="30">
        <f>IF(B1692="","",IFERROR(INDEX('Share classes'!$A$4:$A$203,MATCH(B1692,'Share classes'!$B$4:$B$203,0)),""))</f>
        <v/>
      </c>
      <c r="K1692" s="30">
        <f>IF(A1692="","",IFERROR(INDEX('Holders'!$B$4:$B$1003,MATCH(A1692,'Holders'!$A$4:$A$1003,0)),""))</f>
        <v/>
      </c>
      <c r="L1692" s="30">
        <f>IF(OR(A1692="",B1692="",D1692=""),"",IF(D1692=_xlfn.MAXIFS($D$4:$D$2503,$A$4:$A$2503,A1692,$B$4:$B$2503,B1692),"Yes","No"))</f>
        <v/>
      </c>
      <c r="M1692" s="30">
        <f>IF(B1692="","",IFERROR(INDEX('Share classes'!$F$4:$F$203,MATCH(B1692,'Share classes'!$B$4:$B$203,0)),""))</f>
        <v/>
      </c>
      <c r="N1692" s="30">
        <f>IF(A1692="","",IF(K1692="","Unknown holder ID",IF(J1692="","Unknown class code",IF(OR(C1692="",D1692=""),"Missing shares or date",IF(OR(C1692&lt;0,C1692&lt;&gt;INT(C1692)),"Shares must be a whole number",IF(COUNTIFS($A$4:$A$2503,A1692,$B$4:$B$2503,B1692,$D$4:$D$2503,D1692)&gt;1,"Duplicate row (same date)","OK"))))))</f>
        <v/>
      </c>
    </row>
    <row r="1693">
      <c r="A1693" s="26" t="n"/>
      <c r="B1693" s="26" t="n"/>
      <c r="C1693" s="34" t="n"/>
      <c r="D1693" s="28" t="n"/>
      <c r="E1693" s="26" t="n"/>
      <c r="F1693" s="26" t="n"/>
      <c r="G1693" s="26" t="n"/>
      <c r="H1693" s="38" t="n"/>
      <c r="I1693" s="28" t="n"/>
      <c r="J1693" s="30">
        <f>IF(B1693="","",IFERROR(INDEX('Share classes'!$A$4:$A$203,MATCH(B1693,'Share classes'!$B$4:$B$203,0)),""))</f>
        <v/>
      </c>
      <c r="K1693" s="30">
        <f>IF(A1693="","",IFERROR(INDEX('Holders'!$B$4:$B$1003,MATCH(A1693,'Holders'!$A$4:$A$1003,0)),""))</f>
        <v/>
      </c>
      <c r="L1693" s="30">
        <f>IF(OR(A1693="",B1693="",D1693=""),"",IF(D1693=_xlfn.MAXIFS($D$4:$D$2503,$A$4:$A$2503,A1693,$B$4:$B$2503,B1693),"Yes","No"))</f>
        <v/>
      </c>
      <c r="M1693" s="30">
        <f>IF(B1693="","",IFERROR(INDEX('Share classes'!$F$4:$F$203,MATCH(B1693,'Share classes'!$B$4:$B$203,0)),""))</f>
        <v/>
      </c>
      <c r="N1693" s="30">
        <f>IF(A1693="","",IF(K1693="","Unknown holder ID",IF(J1693="","Unknown class code",IF(OR(C1693="",D1693=""),"Missing shares or date",IF(OR(C1693&lt;0,C1693&lt;&gt;INT(C1693)),"Shares must be a whole number",IF(COUNTIFS($A$4:$A$2503,A1693,$B$4:$B$2503,B1693,$D$4:$D$2503,D1693)&gt;1,"Duplicate row (same date)","OK"))))))</f>
        <v/>
      </c>
    </row>
    <row r="1694">
      <c r="A1694" s="26" t="n"/>
      <c r="B1694" s="26" t="n"/>
      <c r="C1694" s="34" t="n"/>
      <c r="D1694" s="28" t="n"/>
      <c r="E1694" s="26" t="n"/>
      <c r="F1694" s="26" t="n"/>
      <c r="G1694" s="26" t="n"/>
      <c r="H1694" s="38" t="n"/>
      <c r="I1694" s="28" t="n"/>
      <c r="J1694" s="30">
        <f>IF(B1694="","",IFERROR(INDEX('Share classes'!$A$4:$A$203,MATCH(B1694,'Share classes'!$B$4:$B$203,0)),""))</f>
        <v/>
      </c>
      <c r="K1694" s="30">
        <f>IF(A1694="","",IFERROR(INDEX('Holders'!$B$4:$B$1003,MATCH(A1694,'Holders'!$A$4:$A$1003,0)),""))</f>
        <v/>
      </c>
      <c r="L1694" s="30">
        <f>IF(OR(A1694="",B1694="",D1694=""),"",IF(D1694=_xlfn.MAXIFS($D$4:$D$2503,$A$4:$A$2503,A1694,$B$4:$B$2503,B1694),"Yes","No"))</f>
        <v/>
      </c>
      <c r="M1694" s="30">
        <f>IF(B1694="","",IFERROR(INDEX('Share classes'!$F$4:$F$203,MATCH(B1694,'Share classes'!$B$4:$B$203,0)),""))</f>
        <v/>
      </c>
      <c r="N1694" s="30">
        <f>IF(A1694="","",IF(K1694="","Unknown holder ID",IF(J1694="","Unknown class code",IF(OR(C1694="",D1694=""),"Missing shares or date",IF(OR(C1694&lt;0,C1694&lt;&gt;INT(C1694)),"Shares must be a whole number",IF(COUNTIFS($A$4:$A$2503,A1694,$B$4:$B$2503,B1694,$D$4:$D$2503,D1694)&gt;1,"Duplicate row (same date)","OK"))))))</f>
        <v/>
      </c>
    </row>
    <row r="1695">
      <c r="A1695" s="26" t="n"/>
      <c r="B1695" s="26" t="n"/>
      <c r="C1695" s="34" t="n"/>
      <c r="D1695" s="28" t="n"/>
      <c r="E1695" s="26" t="n"/>
      <c r="F1695" s="26" t="n"/>
      <c r="G1695" s="26" t="n"/>
      <c r="H1695" s="38" t="n"/>
      <c r="I1695" s="28" t="n"/>
      <c r="J1695" s="30">
        <f>IF(B1695="","",IFERROR(INDEX('Share classes'!$A$4:$A$203,MATCH(B1695,'Share classes'!$B$4:$B$203,0)),""))</f>
        <v/>
      </c>
      <c r="K1695" s="30">
        <f>IF(A1695="","",IFERROR(INDEX('Holders'!$B$4:$B$1003,MATCH(A1695,'Holders'!$A$4:$A$1003,0)),""))</f>
        <v/>
      </c>
      <c r="L1695" s="30">
        <f>IF(OR(A1695="",B1695="",D1695=""),"",IF(D1695=_xlfn.MAXIFS($D$4:$D$2503,$A$4:$A$2503,A1695,$B$4:$B$2503,B1695),"Yes","No"))</f>
        <v/>
      </c>
      <c r="M1695" s="30">
        <f>IF(B1695="","",IFERROR(INDEX('Share classes'!$F$4:$F$203,MATCH(B1695,'Share classes'!$B$4:$B$203,0)),""))</f>
        <v/>
      </c>
      <c r="N1695" s="30">
        <f>IF(A1695="","",IF(K1695="","Unknown holder ID",IF(J1695="","Unknown class code",IF(OR(C1695="",D1695=""),"Missing shares or date",IF(OR(C1695&lt;0,C1695&lt;&gt;INT(C1695)),"Shares must be a whole number",IF(COUNTIFS($A$4:$A$2503,A1695,$B$4:$B$2503,B1695,$D$4:$D$2503,D1695)&gt;1,"Duplicate row (same date)","OK"))))))</f>
        <v/>
      </c>
    </row>
    <row r="1696">
      <c r="A1696" s="26" t="n"/>
      <c r="B1696" s="26" t="n"/>
      <c r="C1696" s="34" t="n"/>
      <c r="D1696" s="28" t="n"/>
      <c r="E1696" s="26" t="n"/>
      <c r="F1696" s="26" t="n"/>
      <c r="G1696" s="26" t="n"/>
      <c r="H1696" s="38" t="n"/>
      <c r="I1696" s="28" t="n"/>
      <c r="J1696" s="30">
        <f>IF(B1696="","",IFERROR(INDEX('Share classes'!$A$4:$A$203,MATCH(B1696,'Share classes'!$B$4:$B$203,0)),""))</f>
        <v/>
      </c>
      <c r="K1696" s="30">
        <f>IF(A1696="","",IFERROR(INDEX('Holders'!$B$4:$B$1003,MATCH(A1696,'Holders'!$A$4:$A$1003,0)),""))</f>
        <v/>
      </c>
      <c r="L1696" s="30">
        <f>IF(OR(A1696="",B1696="",D1696=""),"",IF(D1696=_xlfn.MAXIFS($D$4:$D$2503,$A$4:$A$2503,A1696,$B$4:$B$2503,B1696),"Yes","No"))</f>
        <v/>
      </c>
      <c r="M1696" s="30">
        <f>IF(B1696="","",IFERROR(INDEX('Share classes'!$F$4:$F$203,MATCH(B1696,'Share classes'!$B$4:$B$203,0)),""))</f>
        <v/>
      </c>
      <c r="N1696" s="30">
        <f>IF(A1696="","",IF(K1696="","Unknown holder ID",IF(J1696="","Unknown class code",IF(OR(C1696="",D1696=""),"Missing shares or date",IF(OR(C1696&lt;0,C1696&lt;&gt;INT(C1696)),"Shares must be a whole number",IF(COUNTIFS($A$4:$A$2503,A1696,$B$4:$B$2503,B1696,$D$4:$D$2503,D1696)&gt;1,"Duplicate row (same date)","OK"))))))</f>
        <v/>
      </c>
    </row>
    <row r="1697">
      <c r="A1697" s="26" t="n"/>
      <c r="B1697" s="26" t="n"/>
      <c r="C1697" s="34" t="n"/>
      <c r="D1697" s="28" t="n"/>
      <c r="E1697" s="26" t="n"/>
      <c r="F1697" s="26" t="n"/>
      <c r="G1697" s="26" t="n"/>
      <c r="H1697" s="38" t="n"/>
      <c r="I1697" s="28" t="n"/>
      <c r="J1697" s="30">
        <f>IF(B1697="","",IFERROR(INDEX('Share classes'!$A$4:$A$203,MATCH(B1697,'Share classes'!$B$4:$B$203,0)),""))</f>
        <v/>
      </c>
      <c r="K1697" s="30">
        <f>IF(A1697="","",IFERROR(INDEX('Holders'!$B$4:$B$1003,MATCH(A1697,'Holders'!$A$4:$A$1003,0)),""))</f>
        <v/>
      </c>
      <c r="L1697" s="30">
        <f>IF(OR(A1697="",B1697="",D1697=""),"",IF(D1697=_xlfn.MAXIFS($D$4:$D$2503,$A$4:$A$2503,A1697,$B$4:$B$2503,B1697),"Yes","No"))</f>
        <v/>
      </c>
      <c r="M1697" s="30">
        <f>IF(B1697="","",IFERROR(INDEX('Share classes'!$F$4:$F$203,MATCH(B1697,'Share classes'!$B$4:$B$203,0)),""))</f>
        <v/>
      </c>
      <c r="N1697" s="30">
        <f>IF(A1697="","",IF(K1697="","Unknown holder ID",IF(J1697="","Unknown class code",IF(OR(C1697="",D1697=""),"Missing shares or date",IF(OR(C1697&lt;0,C1697&lt;&gt;INT(C1697)),"Shares must be a whole number",IF(COUNTIFS($A$4:$A$2503,A1697,$B$4:$B$2503,B1697,$D$4:$D$2503,D1697)&gt;1,"Duplicate row (same date)","OK"))))))</f>
        <v/>
      </c>
    </row>
    <row r="1698">
      <c r="A1698" s="26" t="n"/>
      <c r="B1698" s="26" t="n"/>
      <c r="C1698" s="34" t="n"/>
      <c r="D1698" s="28" t="n"/>
      <c r="E1698" s="26" t="n"/>
      <c r="F1698" s="26" t="n"/>
      <c r="G1698" s="26" t="n"/>
      <c r="H1698" s="38" t="n"/>
      <c r="I1698" s="28" t="n"/>
      <c r="J1698" s="30">
        <f>IF(B1698="","",IFERROR(INDEX('Share classes'!$A$4:$A$203,MATCH(B1698,'Share classes'!$B$4:$B$203,0)),""))</f>
        <v/>
      </c>
      <c r="K1698" s="30">
        <f>IF(A1698="","",IFERROR(INDEX('Holders'!$B$4:$B$1003,MATCH(A1698,'Holders'!$A$4:$A$1003,0)),""))</f>
        <v/>
      </c>
      <c r="L1698" s="30">
        <f>IF(OR(A1698="",B1698="",D1698=""),"",IF(D1698=_xlfn.MAXIFS($D$4:$D$2503,$A$4:$A$2503,A1698,$B$4:$B$2503,B1698),"Yes","No"))</f>
        <v/>
      </c>
      <c r="M1698" s="30">
        <f>IF(B1698="","",IFERROR(INDEX('Share classes'!$F$4:$F$203,MATCH(B1698,'Share classes'!$B$4:$B$203,0)),""))</f>
        <v/>
      </c>
      <c r="N1698" s="30">
        <f>IF(A1698="","",IF(K1698="","Unknown holder ID",IF(J1698="","Unknown class code",IF(OR(C1698="",D1698=""),"Missing shares or date",IF(OR(C1698&lt;0,C1698&lt;&gt;INT(C1698)),"Shares must be a whole number",IF(COUNTIFS($A$4:$A$2503,A1698,$B$4:$B$2503,B1698,$D$4:$D$2503,D1698)&gt;1,"Duplicate row (same date)","OK"))))))</f>
        <v/>
      </c>
    </row>
    <row r="1699">
      <c r="A1699" s="26" t="n"/>
      <c r="B1699" s="26" t="n"/>
      <c r="C1699" s="34" t="n"/>
      <c r="D1699" s="28" t="n"/>
      <c r="E1699" s="26" t="n"/>
      <c r="F1699" s="26" t="n"/>
      <c r="G1699" s="26" t="n"/>
      <c r="H1699" s="38" t="n"/>
      <c r="I1699" s="28" t="n"/>
      <c r="J1699" s="30">
        <f>IF(B1699="","",IFERROR(INDEX('Share classes'!$A$4:$A$203,MATCH(B1699,'Share classes'!$B$4:$B$203,0)),""))</f>
        <v/>
      </c>
      <c r="K1699" s="30">
        <f>IF(A1699="","",IFERROR(INDEX('Holders'!$B$4:$B$1003,MATCH(A1699,'Holders'!$A$4:$A$1003,0)),""))</f>
        <v/>
      </c>
      <c r="L1699" s="30">
        <f>IF(OR(A1699="",B1699="",D1699=""),"",IF(D1699=_xlfn.MAXIFS($D$4:$D$2503,$A$4:$A$2503,A1699,$B$4:$B$2503,B1699),"Yes","No"))</f>
        <v/>
      </c>
      <c r="M1699" s="30">
        <f>IF(B1699="","",IFERROR(INDEX('Share classes'!$F$4:$F$203,MATCH(B1699,'Share classes'!$B$4:$B$203,0)),""))</f>
        <v/>
      </c>
      <c r="N1699" s="30">
        <f>IF(A1699="","",IF(K1699="","Unknown holder ID",IF(J1699="","Unknown class code",IF(OR(C1699="",D1699=""),"Missing shares or date",IF(OR(C1699&lt;0,C1699&lt;&gt;INT(C1699)),"Shares must be a whole number",IF(COUNTIFS($A$4:$A$2503,A1699,$B$4:$B$2503,B1699,$D$4:$D$2503,D1699)&gt;1,"Duplicate row (same date)","OK"))))))</f>
        <v/>
      </c>
    </row>
    <row r="1700">
      <c r="A1700" s="26" t="n"/>
      <c r="B1700" s="26" t="n"/>
      <c r="C1700" s="34" t="n"/>
      <c r="D1700" s="28" t="n"/>
      <c r="E1700" s="26" t="n"/>
      <c r="F1700" s="26" t="n"/>
      <c r="G1700" s="26" t="n"/>
      <c r="H1700" s="38" t="n"/>
      <c r="I1700" s="28" t="n"/>
      <c r="J1700" s="30">
        <f>IF(B1700="","",IFERROR(INDEX('Share classes'!$A$4:$A$203,MATCH(B1700,'Share classes'!$B$4:$B$203,0)),""))</f>
        <v/>
      </c>
      <c r="K1700" s="30">
        <f>IF(A1700="","",IFERROR(INDEX('Holders'!$B$4:$B$1003,MATCH(A1700,'Holders'!$A$4:$A$1003,0)),""))</f>
        <v/>
      </c>
      <c r="L1700" s="30">
        <f>IF(OR(A1700="",B1700="",D1700=""),"",IF(D1700=_xlfn.MAXIFS($D$4:$D$2503,$A$4:$A$2503,A1700,$B$4:$B$2503,B1700),"Yes","No"))</f>
        <v/>
      </c>
      <c r="M1700" s="30">
        <f>IF(B1700="","",IFERROR(INDEX('Share classes'!$F$4:$F$203,MATCH(B1700,'Share classes'!$B$4:$B$203,0)),""))</f>
        <v/>
      </c>
      <c r="N1700" s="30">
        <f>IF(A1700="","",IF(K1700="","Unknown holder ID",IF(J1700="","Unknown class code",IF(OR(C1700="",D1700=""),"Missing shares or date",IF(OR(C1700&lt;0,C1700&lt;&gt;INT(C1700)),"Shares must be a whole number",IF(COUNTIFS($A$4:$A$2503,A1700,$B$4:$B$2503,B1700,$D$4:$D$2503,D1700)&gt;1,"Duplicate row (same date)","OK"))))))</f>
        <v/>
      </c>
    </row>
    <row r="1701">
      <c r="A1701" s="26" t="n"/>
      <c r="B1701" s="26" t="n"/>
      <c r="C1701" s="34" t="n"/>
      <c r="D1701" s="28" t="n"/>
      <c r="E1701" s="26" t="n"/>
      <c r="F1701" s="26" t="n"/>
      <c r="G1701" s="26" t="n"/>
      <c r="H1701" s="38" t="n"/>
      <c r="I1701" s="28" t="n"/>
      <c r="J1701" s="30">
        <f>IF(B1701="","",IFERROR(INDEX('Share classes'!$A$4:$A$203,MATCH(B1701,'Share classes'!$B$4:$B$203,0)),""))</f>
        <v/>
      </c>
      <c r="K1701" s="30">
        <f>IF(A1701="","",IFERROR(INDEX('Holders'!$B$4:$B$1003,MATCH(A1701,'Holders'!$A$4:$A$1003,0)),""))</f>
        <v/>
      </c>
      <c r="L1701" s="30">
        <f>IF(OR(A1701="",B1701="",D1701=""),"",IF(D1701=_xlfn.MAXIFS($D$4:$D$2503,$A$4:$A$2503,A1701,$B$4:$B$2503,B1701),"Yes","No"))</f>
        <v/>
      </c>
      <c r="M1701" s="30">
        <f>IF(B1701="","",IFERROR(INDEX('Share classes'!$F$4:$F$203,MATCH(B1701,'Share classes'!$B$4:$B$203,0)),""))</f>
        <v/>
      </c>
      <c r="N1701" s="30">
        <f>IF(A1701="","",IF(K1701="","Unknown holder ID",IF(J1701="","Unknown class code",IF(OR(C1701="",D1701=""),"Missing shares or date",IF(OR(C1701&lt;0,C1701&lt;&gt;INT(C1701)),"Shares must be a whole number",IF(COUNTIFS($A$4:$A$2503,A1701,$B$4:$B$2503,B1701,$D$4:$D$2503,D1701)&gt;1,"Duplicate row (same date)","OK"))))))</f>
        <v/>
      </c>
    </row>
    <row r="1702">
      <c r="A1702" s="26" t="n"/>
      <c r="B1702" s="26" t="n"/>
      <c r="C1702" s="34" t="n"/>
      <c r="D1702" s="28" t="n"/>
      <c r="E1702" s="26" t="n"/>
      <c r="F1702" s="26" t="n"/>
      <c r="G1702" s="26" t="n"/>
      <c r="H1702" s="38" t="n"/>
      <c r="I1702" s="28" t="n"/>
      <c r="J1702" s="30">
        <f>IF(B1702="","",IFERROR(INDEX('Share classes'!$A$4:$A$203,MATCH(B1702,'Share classes'!$B$4:$B$203,0)),""))</f>
        <v/>
      </c>
      <c r="K1702" s="30">
        <f>IF(A1702="","",IFERROR(INDEX('Holders'!$B$4:$B$1003,MATCH(A1702,'Holders'!$A$4:$A$1003,0)),""))</f>
        <v/>
      </c>
      <c r="L1702" s="30">
        <f>IF(OR(A1702="",B1702="",D1702=""),"",IF(D1702=_xlfn.MAXIFS($D$4:$D$2503,$A$4:$A$2503,A1702,$B$4:$B$2503,B1702),"Yes","No"))</f>
        <v/>
      </c>
      <c r="M1702" s="30">
        <f>IF(B1702="","",IFERROR(INDEX('Share classes'!$F$4:$F$203,MATCH(B1702,'Share classes'!$B$4:$B$203,0)),""))</f>
        <v/>
      </c>
      <c r="N1702" s="30">
        <f>IF(A1702="","",IF(K1702="","Unknown holder ID",IF(J1702="","Unknown class code",IF(OR(C1702="",D1702=""),"Missing shares or date",IF(OR(C1702&lt;0,C1702&lt;&gt;INT(C1702)),"Shares must be a whole number",IF(COUNTIFS($A$4:$A$2503,A1702,$B$4:$B$2503,B1702,$D$4:$D$2503,D1702)&gt;1,"Duplicate row (same date)","OK"))))))</f>
        <v/>
      </c>
    </row>
    <row r="1703">
      <c r="A1703" s="26" t="n"/>
      <c r="B1703" s="26" t="n"/>
      <c r="C1703" s="34" t="n"/>
      <c r="D1703" s="28" t="n"/>
      <c r="E1703" s="26" t="n"/>
      <c r="F1703" s="26" t="n"/>
      <c r="G1703" s="26" t="n"/>
      <c r="H1703" s="38" t="n"/>
      <c r="I1703" s="28" t="n"/>
      <c r="J1703" s="30">
        <f>IF(B1703="","",IFERROR(INDEX('Share classes'!$A$4:$A$203,MATCH(B1703,'Share classes'!$B$4:$B$203,0)),""))</f>
        <v/>
      </c>
      <c r="K1703" s="30">
        <f>IF(A1703="","",IFERROR(INDEX('Holders'!$B$4:$B$1003,MATCH(A1703,'Holders'!$A$4:$A$1003,0)),""))</f>
        <v/>
      </c>
      <c r="L1703" s="30">
        <f>IF(OR(A1703="",B1703="",D1703=""),"",IF(D1703=_xlfn.MAXIFS($D$4:$D$2503,$A$4:$A$2503,A1703,$B$4:$B$2503,B1703),"Yes","No"))</f>
        <v/>
      </c>
      <c r="M1703" s="30">
        <f>IF(B1703="","",IFERROR(INDEX('Share classes'!$F$4:$F$203,MATCH(B1703,'Share classes'!$B$4:$B$203,0)),""))</f>
        <v/>
      </c>
      <c r="N1703" s="30">
        <f>IF(A1703="","",IF(K1703="","Unknown holder ID",IF(J1703="","Unknown class code",IF(OR(C1703="",D1703=""),"Missing shares or date",IF(OR(C1703&lt;0,C1703&lt;&gt;INT(C1703)),"Shares must be a whole number",IF(COUNTIFS($A$4:$A$2503,A1703,$B$4:$B$2503,B1703,$D$4:$D$2503,D1703)&gt;1,"Duplicate row (same date)","OK"))))))</f>
        <v/>
      </c>
    </row>
    <row r="1704">
      <c r="A1704" s="26" t="n"/>
      <c r="B1704" s="26" t="n"/>
      <c r="C1704" s="34" t="n"/>
      <c r="D1704" s="28" t="n"/>
      <c r="E1704" s="26" t="n"/>
      <c r="F1704" s="26" t="n"/>
      <c r="G1704" s="26" t="n"/>
      <c r="H1704" s="38" t="n"/>
      <c r="I1704" s="28" t="n"/>
      <c r="J1704" s="30">
        <f>IF(B1704="","",IFERROR(INDEX('Share classes'!$A$4:$A$203,MATCH(B1704,'Share classes'!$B$4:$B$203,0)),""))</f>
        <v/>
      </c>
      <c r="K1704" s="30">
        <f>IF(A1704="","",IFERROR(INDEX('Holders'!$B$4:$B$1003,MATCH(A1704,'Holders'!$A$4:$A$1003,0)),""))</f>
        <v/>
      </c>
      <c r="L1704" s="30">
        <f>IF(OR(A1704="",B1704="",D1704=""),"",IF(D1704=_xlfn.MAXIFS($D$4:$D$2503,$A$4:$A$2503,A1704,$B$4:$B$2503,B1704),"Yes","No"))</f>
        <v/>
      </c>
      <c r="M1704" s="30">
        <f>IF(B1704="","",IFERROR(INDEX('Share classes'!$F$4:$F$203,MATCH(B1704,'Share classes'!$B$4:$B$203,0)),""))</f>
        <v/>
      </c>
      <c r="N1704" s="30">
        <f>IF(A1704="","",IF(K1704="","Unknown holder ID",IF(J1704="","Unknown class code",IF(OR(C1704="",D1704=""),"Missing shares or date",IF(OR(C1704&lt;0,C1704&lt;&gt;INT(C1704)),"Shares must be a whole number",IF(COUNTIFS($A$4:$A$2503,A1704,$B$4:$B$2503,B1704,$D$4:$D$2503,D1704)&gt;1,"Duplicate row (same date)","OK"))))))</f>
        <v/>
      </c>
    </row>
    <row r="1705">
      <c r="A1705" s="26" t="n"/>
      <c r="B1705" s="26" t="n"/>
      <c r="C1705" s="34" t="n"/>
      <c r="D1705" s="28" t="n"/>
      <c r="E1705" s="26" t="n"/>
      <c r="F1705" s="26" t="n"/>
      <c r="G1705" s="26" t="n"/>
      <c r="H1705" s="38" t="n"/>
      <c r="I1705" s="28" t="n"/>
      <c r="J1705" s="30">
        <f>IF(B1705="","",IFERROR(INDEX('Share classes'!$A$4:$A$203,MATCH(B1705,'Share classes'!$B$4:$B$203,0)),""))</f>
        <v/>
      </c>
      <c r="K1705" s="30">
        <f>IF(A1705="","",IFERROR(INDEX('Holders'!$B$4:$B$1003,MATCH(A1705,'Holders'!$A$4:$A$1003,0)),""))</f>
        <v/>
      </c>
      <c r="L1705" s="30">
        <f>IF(OR(A1705="",B1705="",D1705=""),"",IF(D1705=_xlfn.MAXIFS($D$4:$D$2503,$A$4:$A$2503,A1705,$B$4:$B$2503,B1705),"Yes","No"))</f>
        <v/>
      </c>
      <c r="M1705" s="30">
        <f>IF(B1705="","",IFERROR(INDEX('Share classes'!$F$4:$F$203,MATCH(B1705,'Share classes'!$B$4:$B$203,0)),""))</f>
        <v/>
      </c>
      <c r="N1705" s="30">
        <f>IF(A1705="","",IF(K1705="","Unknown holder ID",IF(J1705="","Unknown class code",IF(OR(C1705="",D1705=""),"Missing shares or date",IF(OR(C1705&lt;0,C1705&lt;&gt;INT(C1705)),"Shares must be a whole number",IF(COUNTIFS($A$4:$A$2503,A1705,$B$4:$B$2503,B1705,$D$4:$D$2503,D1705)&gt;1,"Duplicate row (same date)","OK"))))))</f>
        <v/>
      </c>
    </row>
    <row r="1706">
      <c r="A1706" s="26" t="n"/>
      <c r="B1706" s="26" t="n"/>
      <c r="C1706" s="34" t="n"/>
      <c r="D1706" s="28" t="n"/>
      <c r="E1706" s="26" t="n"/>
      <c r="F1706" s="26" t="n"/>
      <c r="G1706" s="26" t="n"/>
      <c r="H1706" s="38" t="n"/>
      <c r="I1706" s="28" t="n"/>
      <c r="J1706" s="30">
        <f>IF(B1706="","",IFERROR(INDEX('Share classes'!$A$4:$A$203,MATCH(B1706,'Share classes'!$B$4:$B$203,0)),""))</f>
        <v/>
      </c>
      <c r="K1706" s="30">
        <f>IF(A1706="","",IFERROR(INDEX('Holders'!$B$4:$B$1003,MATCH(A1706,'Holders'!$A$4:$A$1003,0)),""))</f>
        <v/>
      </c>
      <c r="L1706" s="30">
        <f>IF(OR(A1706="",B1706="",D1706=""),"",IF(D1706=_xlfn.MAXIFS($D$4:$D$2503,$A$4:$A$2503,A1706,$B$4:$B$2503,B1706),"Yes","No"))</f>
        <v/>
      </c>
      <c r="M1706" s="30">
        <f>IF(B1706="","",IFERROR(INDEX('Share classes'!$F$4:$F$203,MATCH(B1706,'Share classes'!$B$4:$B$203,0)),""))</f>
        <v/>
      </c>
      <c r="N1706" s="30">
        <f>IF(A1706="","",IF(K1706="","Unknown holder ID",IF(J1706="","Unknown class code",IF(OR(C1706="",D1706=""),"Missing shares or date",IF(OR(C1706&lt;0,C1706&lt;&gt;INT(C1706)),"Shares must be a whole number",IF(COUNTIFS($A$4:$A$2503,A1706,$B$4:$B$2503,B1706,$D$4:$D$2503,D1706)&gt;1,"Duplicate row (same date)","OK"))))))</f>
        <v/>
      </c>
    </row>
    <row r="1707">
      <c r="A1707" s="26" t="n"/>
      <c r="B1707" s="26" t="n"/>
      <c r="C1707" s="34" t="n"/>
      <c r="D1707" s="28" t="n"/>
      <c r="E1707" s="26" t="n"/>
      <c r="F1707" s="26" t="n"/>
      <c r="G1707" s="26" t="n"/>
      <c r="H1707" s="38" t="n"/>
      <c r="I1707" s="28" t="n"/>
      <c r="J1707" s="30">
        <f>IF(B1707="","",IFERROR(INDEX('Share classes'!$A$4:$A$203,MATCH(B1707,'Share classes'!$B$4:$B$203,0)),""))</f>
        <v/>
      </c>
      <c r="K1707" s="30">
        <f>IF(A1707="","",IFERROR(INDEX('Holders'!$B$4:$B$1003,MATCH(A1707,'Holders'!$A$4:$A$1003,0)),""))</f>
        <v/>
      </c>
      <c r="L1707" s="30">
        <f>IF(OR(A1707="",B1707="",D1707=""),"",IF(D1707=_xlfn.MAXIFS($D$4:$D$2503,$A$4:$A$2503,A1707,$B$4:$B$2503,B1707),"Yes","No"))</f>
        <v/>
      </c>
      <c r="M1707" s="30">
        <f>IF(B1707="","",IFERROR(INDEX('Share classes'!$F$4:$F$203,MATCH(B1707,'Share classes'!$B$4:$B$203,0)),""))</f>
        <v/>
      </c>
      <c r="N1707" s="30">
        <f>IF(A1707="","",IF(K1707="","Unknown holder ID",IF(J1707="","Unknown class code",IF(OR(C1707="",D1707=""),"Missing shares or date",IF(OR(C1707&lt;0,C1707&lt;&gt;INT(C1707)),"Shares must be a whole number",IF(COUNTIFS($A$4:$A$2503,A1707,$B$4:$B$2503,B1707,$D$4:$D$2503,D1707)&gt;1,"Duplicate row (same date)","OK"))))))</f>
        <v/>
      </c>
    </row>
    <row r="1708">
      <c r="A1708" s="26" t="n"/>
      <c r="B1708" s="26" t="n"/>
      <c r="C1708" s="34" t="n"/>
      <c r="D1708" s="28" t="n"/>
      <c r="E1708" s="26" t="n"/>
      <c r="F1708" s="26" t="n"/>
      <c r="G1708" s="26" t="n"/>
      <c r="H1708" s="38" t="n"/>
      <c r="I1708" s="28" t="n"/>
      <c r="J1708" s="30">
        <f>IF(B1708="","",IFERROR(INDEX('Share classes'!$A$4:$A$203,MATCH(B1708,'Share classes'!$B$4:$B$203,0)),""))</f>
        <v/>
      </c>
      <c r="K1708" s="30">
        <f>IF(A1708="","",IFERROR(INDEX('Holders'!$B$4:$B$1003,MATCH(A1708,'Holders'!$A$4:$A$1003,0)),""))</f>
        <v/>
      </c>
      <c r="L1708" s="30">
        <f>IF(OR(A1708="",B1708="",D1708=""),"",IF(D1708=_xlfn.MAXIFS($D$4:$D$2503,$A$4:$A$2503,A1708,$B$4:$B$2503,B1708),"Yes","No"))</f>
        <v/>
      </c>
      <c r="M1708" s="30">
        <f>IF(B1708="","",IFERROR(INDEX('Share classes'!$F$4:$F$203,MATCH(B1708,'Share classes'!$B$4:$B$203,0)),""))</f>
        <v/>
      </c>
      <c r="N1708" s="30">
        <f>IF(A1708="","",IF(K1708="","Unknown holder ID",IF(J1708="","Unknown class code",IF(OR(C1708="",D1708=""),"Missing shares or date",IF(OR(C1708&lt;0,C1708&lt;&gt;INT(C1708)),"Shares must be a whole number",IF(COUNTIFS($A$4:$A$2503,A1708,$B$4:$B$2503,B1708,$D$4:$D$2503,D1708)&gt;1,"Duplicate row (same date)","OK"))))))</f>
        <v/>
      </c>
    </row>
    <row r="1709">
      <c r="A1709" s="26" t="n"/>
      <c r="B1709" s="26" t="n"/>
      <c r="C1709" s="34" t="n"/>
      <c r="D1709" s="28" t="n"/>
      <c r="E1709" s="26" t="n"/>
      <c r="F1709" s="26" t="n"/>
      <c r="G1709" s="26" t="n"/>
      <c r="H1709" s="38" t="n"/>
      <c r="I1709" s="28" t="n"/>
      <c r="J1709" s="30">
        <f>IF(B1709="","",IFERROR(INDEX('Share classes'!$A$4:$A$203,MATCH(B1709,'Share classes'!$B$4:$B$203,0)),""))</f>
        <v/>
      </c>
      <c r="K1709" s="30">
        <f>IF(A1709="","",IFERROR(INDEX('Holders'!$B$4:$B$1003,MATCH(A1709,'Holders'!$A$4:$A$1003,0)),""))</f>
        <v/>
      </c>
      <c r="L1709" s="30">
        <f>IF(OR(A1709="",B1709="",D1709=""),"",IF(D1709=_xlfn.MAXIFS($D$4:$D$2503,$A$4:$A$2503,A1709,$B$4:$B$2503,B1709),"Yes","No"))</f>
        <v/>
      </c>
      <c r="M1709" s="30">
        <f>IF(B1709="","",IFERROR(INDEX('Share classes'!$F$4:$F$203,MATCH(B1709,'Share classes'!$B$4:$B$203,0)),""))</f>
        <v/>
      </c>
      <c r="N1709" s="30">
        <f>IF(A1709="","",IF(K1709="","Unknown holder ID",IF(J1709="","Unknown class code",IF(OR(C1709="",D1709=""),"Missing shares or date",IF(OR(C1709&lt;0,C1709&lt;&gt;INT(C1709)),"Shares must be a whole number",IF(COUNTIFS($A$4:$A$2503,A1709,$B$4:$B$2503,B1709,$D$4:$D$2503,D1709)&gt;1,"Duplicate row (same date)","OK"))))))</f>
        <v/>
      </c>
    </row>
    <row r="1710">
      <c r="A1710" s="26" t="n"/>
      <c r="B1710" s="26" t="n"/>
      <c r="C1710" s="34" t="n"/>
      <c r="D1710" s="28" t="n"/>
      <c r="E1710" s="26" t="n"/>
      <c r="F1710" s="26" t="n"/>
      <c r="G1710" s="26" t="n"/>
      <c r="H1710" s="38" t="n"/>
      <c r="I1710" s="28" t="n"/>
      <c r="J1710" s="30">
        <f>IF(B1710="","",IFERROR(INDEX('Share classes'!$A$4:$A$203,MATCH(B1710,'Share classes'!$B$4:$B$203,0)),""))</f>
        <v/>
      </c>
      <c r="K1710" s="30">
        <f>IF(A1710="","",IFERROR(INDEX('Holders'!$B$4:$B$1003,MATCH(A1710,'Holders'!$A$4:$A$1003,0)),""))</f>
        <v/>
      </c>
      <c r="L1710" s="30">
        <f>IF(OR(A1710="",B1710="",D1710=""),"",IF(D1710=_xlfn.MAXIFS($D$4:$D$2503,$A$4:$A$2503,A1710,$B$4:$B$2503,B1710),"Yes","No"))</f>
        <v/>
      </c>
      <c r="M1710" s="30">
        <f>IF(B1710="","",IFERROR(INDEX('Share classes'!$F$4:$F$203,MATCH(B1710,'Share classes'!$B$4:$B$203,0)),""))</f>
        <v/>
      </c>
      <c r="N1710" s="30">
        <f>IF(A1710="","",IF(K1710="","Unknown holder ID",IF(J1710="","Unknown class code",IF(OR(C1710="",D1710=""),"Missing shares or date",IF(OR(C1710&lt;0,C1710&lt;&gt;INT(C1710)),"Shares must be a whole number",IF(COUNTIFS($A$4:$A$2503,A1710,$B$4:$B$2503,B1710,$D$4:$D$2503,D1710)&gt;1,"Duplicate row (same date)","OK"))))))</f>
        <v/>
      </c>
    </row>
    <row r="1711">
      <c r="A1711" s="26" t="n"/>
      <c r="B1711" s="26" t="n"/>
      <c r="C1711" s="34" t="n"/>
      <c r="D1711" s="28" t="n"/>
      <c r="E1711" s="26" t="n"/>
      <c r="F1711" s="26" t="n"/>
      <c r="G1711" s="26" t="n"/>
      <c r="H1711" s="38" t="n"/>
      <c r="I1711" s="28" t="n"/>
      <c r="J1711" s="30">
        <f>IF(B1711="","",IFERROR(INDEX('Share classes'!$A$4:$A$203,MATCH(B1711,'Share classes'!$B$4:$B$203,0)),""))</f>
        <v/>
      </c>
      <c r="K1711" s="30">
        <f>IF(A1711="","",IFERROR(INDEX('Holders'!$B$4:$B$1003,MATCH(A1711,'Holders'!$A$4:$A$1003,0)),""))</f>
        <v/>
      </c>
      <c r="L1711" s="30">
        <f>IF(OR(A1711="",B1711="",D1711=""),"",IF(D1711=_xlfn.MAXIFS($D$4:$D$2503,$A$4:$A$2503,A1711,$B$4:$B$2503,B1711),"Yes","No"))</f>
        <v/>
      </c>
      <c r="M1711" s="30">
        <f>IF(B1711="","",IFERROR(INDEX('Share classes'!$F$4:$F$203,MATCH(B1711,'Share classes'!$B$4:$B$203,0)),""))</f>
        <v/>
      </c>
      <c r="N1711" s="30">
        <f>IF(A1711="","",IF(K1711="","Unknown holder ID",IF(J1711="","Unknown class code",IF(OR(C1711="",D1711=""),"Missing shares or date",IF(OR(C1711&lt;0,C1711&lt;&gt;INT(C1711)),"Shares must be a whole number",IF(COUNTIFS($A$4:$A$2503,A1711,$B$4:$B$2503,B1711,$D$4:$D$2503,D1711)&gt;1,"Duplicate row (same date)","OK"))))))</f>
        <v/>
      </c>
    </row>
    <row r="1712">
      <c r="A1712" s="26" t="n"/>
      <c r="B1712" s="26" t="n"/>
      <c r="C1712" s="34" t="n"/>
      <c r="D1712" s="28" t="n"/>
      <c r="E1712" s="26" t="n"/>
      <c r="F1712" s="26" t="n"/>
      <c r="G1712" s="26" t="n"/>
      <c r="H1712" s="38" t="n"/>
      <c r="I1712" s="28" t="n"/>
      <c r="J1712" s="30">
        <f>IF(B1712="","",IFERROR(INDEX('Share classes'!$A$4:$A$203,MATCH(B1712,'Share classes'!$B$4:$B$203,0)),""))</f>
        <v/>
      </c>
      <c r="K1712" s="30">
        <f>IF(A1712="","",IFERROR(INDEX('Holders'!$B$4:$B$1003,MATCH(A1712,'Holders'!$A$4:$A$1003,0)),""))</f>
        <v/>
      </c>
      <c r="L1712" s="30">
        <f>IF(OR(A1712="",B1712="",D1712=""),"",IF(D1712=_xlfn.MAXIFS($D$4:$D$2503,$A$4:$A$2503,A1712,$B$4:$B$2503,B1712),"Yes","No"))</f>
        <v/>
      </c>
      <c r="M1712" s="30">
        <f>IF(B1712="","",IFERROR(INDEX('Share classes'!$F$4:$F$203,MATCH(B1712,'Share classes'!$B$4:$B$203,0)),""))</f>
        <v/>
      </c>
      <c r="N1712" s="30">
        <f>IF(A1712="","",IF(K1712="","Unknown holder ID",IF(J1712="","Unknown class code",IF(OR(C1712="",D1712=""),"Missing shares or date",IF(OR(C1712&lt;0,C1712&lt;&gt;INT(C1712)),"Shares must be a whole number",IF(COUNTIFS($A$4:$A$2503,A1712,$B$4:$B$2503,B1712,$D$4:$D$2503,D1712)&gt;1,"Duplicate row (same date)","OK"))))))</f>
        <v/>
      </c>
    </row>
    <row r="1713">
      <c r="A1713" s="26" t="n"/>
      <c r="B1713" s="26" t="n"/>
      <c r="C1713" s="34" t="n"/>
      <c r="D1713" s="28" t="n"/>
      <c r="E1713" s="26" t="n"/>
      <c r="F1713" s="26" t="n"/>
      <c r="G1713" s="26" t="n"/>
      <c r="H1713" s="38" t="n"/>
      <c r="I1713" s="28" t="n"/>
      <c r="J1713" s="30">
        <f>IF(B1713="","",IFERROR(INDEX('Share classes'!$A$4:$A$203,MATCH(B1713,'Share classes'!$B$4:$B$203,0)),""))</f>
        <v/>
      </c>
      <c r="K1713" s="30">
        <f>IF(A1713="","",IFERROR(INDEX('Holders'!$B$4:$B$1003,MATCH(A1713,'Holders'!$A$4:$A$1003,0)),""))</f>
        <v/>
      </c>
      <c r="L1713" s="30">
        <f>IF(OR(A1713="",B1713="",D1713=""),"",IF(D1713=_xlfn.MAXIFS($D$4:$D$2503,$A$4:$A$2503,A1713,$B$4:$B$2503,B1713),"Yes","No"))</f>
        <v/>
      </c>
      <c r="M1713" s="30">
        <f>IF(B1713="","",IFERROR(INDEX('Share classes'!$F$4:$F$203,MATCH(B1713,'Share classes'!$B$4:$B$203,0)),""))</f>
        <v/>
      </c>
      <c r="N1713" s="30">
        <f>IF(A1713="","",IF(K1713="","Unknown holder ID",IF(J1713="","Unknown class code",IF(OR(C1713="",D1713=""),"Missing shares or date",IF(OR(C1713&lt;0,C1713&lt;&gt;INT(C1713)),"Shares must be a whole number",IF(COUNTIFS($A$4:$A$2503,A1713,$B$4:$B$2503,B1713,$D$4:$D$2503,D1713)&gt;1,"Duplicate row (same date)","OK"))))))</f>
        <v/>
      </c>
    </row>
    <row r="1714">
      <c r="A1714" s="26" t="n"/>
      <c r="B1714" s="26" t="n"/>
      <c r="C1714" s="34" t="n"/>
      <c r="D1714" s="28" t="n"/>
      <c r="E1714" s="26" t="n"/>
      <c r="F1714" s="26" t="n"/>
      <c r="G1714" s="26" t="n"/>
      <c r="H1714" s="38" t="n"/>
      <c r="I1714" s="28" t="n"/>
      <c r="J1714" s="30">
        <f>IF(B1714="","",IFERROR(INDEX('Share classes'!$A$4:$A$203,MATCH(B1714,'Share classes'!$B$4:$B$203,0)),""))</f>
        <v/>
      </c>
      <c r="K1714" s="30">
        <f>IF(A1714="","",IFERROR(INDEX('Holders'!$B$4:$B$1003,MATCH(A1714,'Holders'!$A$4:$A$1003,0)),""))</f>
        <v/>
      </c>
      <c r="L1714" s="30">
        <f>IF(OR(A1714="",B1714="",D1714=""),"",IF(D1714=_xlfn.MAXIFS($D$4:$D$2503,$A$4:$A$2503,A1714,$B$4:$B$2503,B1714),"Yes","No"))</f>
        <v/>
      </c>
      <c r="M1714" s="30">
        <f>IF(B1714="","",IFERROR(INDEX('Share classes'!$F$4:$F$203,MATCH(B1714,'Share classes'!$B$4:$B$203,0)),""))</f>
        <v/>
      </c>
      <c r="N1714" s="30">
        <f>IF(A1714="","",IF(K1714="","Unknown holder ID",IF(J1714="","Unknown class code",IF(OR(C1714="",D1714=""),"Missing shares or date",IF(OR(C1714&lt;0,C1714&lt;&gt;INT(C1714)),"Shares must be a whole number",IF(COUNTIFS($A$4:$A$2503,A1714,$B$4:$B$2503,B1714,$D$4:$D$2503,D1714)&gt;1,"Duplicate row (same date)","OK"))))))</f>
        <v/>
      </c>
    </row>
    <row r="1715">
      <c r="A1715" s="26" t="n"/>
      <c r="B1715" s="26" t="n"/>
      <c r="C1715" s="34" t="n"/>
      <c r="D1715" s="28" t="n"/>
      <c r="E1715" s="26" t="n"/>
      <c r="F1715" s="26" t="n"/>
      <c r="G1715" s="26" t="n"/>
      <c r="H1715" s="38" t="n"/>
      <c r="I1715" s="28" t="n"/>
      <c r="J1715" s="30">
        <f>IF(B1715="","",IFERROR(INDEX('Share classes'!$A$4:$A$203,MATCH(B1715,'Share classes'!$B$4:$B$203,0)),""))</f>
        <v/>
      </c>
      <c r="K1715" s="30">
        <f>IF(A1715="","",IFERROR(INDEX('Holders'!$B$4:$B$1003,MATCH(A1715,'Holders'!$A$4:$A$1003,0)),""))</f>
        <v/>
      </c>
      <c r="L1715" s="30">
        <f>IF(OR(A1715="",B1715="",D1715=""),"",IF(D1715=_xlfn.MAXIFS($D$4:$D$2503,$A$4:$A$2503,A1715,$B$4:$B$2503,B1715),"Yes","No"))</f>
        <v/>
      </c>
      <c r="M1715" s="30">
        <f>IF(B1715="","",IFERROR(INDEX('Share classes'!$F$4:$F$203,MATCH(B1715,'Share classes'!$B$4:$B$203,0)),""))</f>
        <v/>
      </c>
      <c r="N1715" s="30">
        <f>IF(A1715="","",IF(K1715="","Unknown holder ID",IF(J1715="","Unknown class code",IF(OR(C1715="",D1715=""),"Missing shares or date",IF(OR(C1715&lt;0,C1715&lt;&gt;INT(C1715)),"Shares must be a whole number",IF(COUNTIFS($A$4:$A$2503,A1715,$B$4:$B$2503,B1715,$D$4:$D$2503,D1715)&gt;1,"Duplicate row (same date)","OK"))))))</f>
        <v/>
      </c>
    </row>
    <row r="1716">
      <c r="A1716" s="26" t="n"/>
      <c r="B1716" s="26" t="n"/>
      <c r="C1716" s="34" t="n"/>
      <c r="D1716" s="28" t="n"/>
      <c r="E1716" s="26" t="n"/>
      <c r="F1716" s="26" t="n"/>
      <c r="G1716" s="26" t="n"/>
      <c r="H1716" s="38" t="n"/>
      <c r="I1716" s="28" t="n"/>
      <c r="J1716" s="30">
        <f>IF(B1716="","",IFERROR(INDEX('Share classes'!$A$4:$A$203,MATCH(B1716,'Share classes'!$B$4:$B$203,0)),""))</f>
        <v/>
      </c>
      <c r="K1716" s="30">
        <f>IF(A1716="","",IFERROR(INDEX('Holders'!$B$4:$B$1003,MATCH(A1716,'Holders'!$A$4:$A$1003,0)),""))</f>
        <v/>
      </c>
      <c r="L1716" s="30">
        <f>IF(OR(A1716="",B1716="",D1716=""),"",IF(D1716=_xlfn.MAXIFS($D$4:$D$2503,$A$4:$A$2503,A1716,$B$4:$B$2503,B1716),"Yes","No"))</f>
        <v/>
      </c>
      <c r="M1716" s="30">
        <f>IF(B1716="","",IFERROR(INDEX('Share classes'!$F$4:$F$203,MATCH(B1716,'Share classes'!$B$4:$B$203,0)),""))</f>
        <v/>
      </c>
      <c r="N1716" s="30">
        <f>IF(A1716="","",IF(K1716="","Unknown holder ID",IF(J1716="","Unknown class code",IF(OR(C1716="",D1716=""),"Missing shares or date",IF(OR(C1716&lt;0,C1716&lt;&gt;INT(C1716)),"Shares must be a whole number",IF(COUNTIFS($A$4:$A$2503,A1716,$B$4:$B$2503,B1716,$D$4:$D$2503,D1716)&gt;1,"Duplicate row (same date)","OK"))))))</f>
        <v/>
      </c>
    </row>
    <row r="1717">
      <c r="A1717" s="26" t="n"/>
      <c r="B1717" s="26" t="n"/>
      <c r="C1717" s="34" t="n"/>
      <c r="D1717" s="28" t="n"/>
      <c r="E1717" s="26" t="n"/>
      <c r="F1717" s="26" t="n"/>
      <c r="G1717" s="26" t="n"/>
      <c r="H1717" s="38" t="n"/>
      <c r="I1717" s="28" t="n"/>
      <c r="J1717" s="30">
        <f>IF(B1717="","",IFERROR(INDEX('Share classes'!$A$4:$A$203,MATCH(B1717,'Share classes'!$B$4:$B$203,0)),""))</f>
        <v/>
      </c>
      <c r="K1717" s="30">
        <f>IF(A1717="","",IFERROR(INDEX('Holders'!$B$4:$B$1003,MATCH(A1717,'Holders'!$A$4:$A$1003,0)),""))</f>
        <v/>
      </c>
      <c r="L1717" s="30">
        <f>IF(OR(A1717="",B1717="",D1717=""),"",IF(D1717=_xlfn.MAXIFS($D$4:$D$2503,$A$4:$A$2503,A1717,$B$4:$B$2503,B1717),"Yes","No"))</f>
        <v/>
      </c>
      <c r="M1717" s="30">
        <f>IF(B1717="","",IFERROR(INDEX('Share classes'!$F$4:$F$203,MATCH(B1717,'Share classes'!$B$4:$B$203,0)),""))</f>
        <v/>
      </c>
      <c r="N1717" s="30">
        <f>IF(A1717="","",IF(K1717="","Unknown holder ID",IF(J1717="","Unknown class code",IF(OR(C1717="",D1717=""),"Missing shares or date",IF(OR(C1717&lt;0,C1717&lt;&gt;INT(C1717)),"Shares must be a whole number",IF(COUNTIFS($A$4:$A$2503,A1717,$B$4:$B$2503,B1717,$D$4:$D$2503,D1717)&gt;1,"Duplicate row (same date)","OK"))))))</f>
        <v/>
      </c>
    </row>
    <row r="1718">
      <c r="A1718" s="26" t="n"/>
      <c r="B1718" s="26" t="n"/>
      <c r="C1718" s="34" t="n"/>
      <c r="D1718" s="28" t="n"/>
      <c r="E1718" s="26" t="n"/>
      <c r="F1718" s="26" t="n"/>
      <c r="G1718" s="26" t="n"/>
      <c r="H1718" s="38" t="n"/>
      <c r="I1718" s="28" t="n"/>
      <c r="J1718" s="30">
        <f>IF(B1718="","",IFERROR(INDEX('Share classes'!$A$4:$A$203,MATCH(B1718,'Share classes'!$B$4:$B$203,0)),""))</f>
        <v/>
      </c>
      <c r="K1718" s="30">
        <f>IF(A1718="","",IFERROR(INDEX('Holders'!$B$4:$B$1003,MATCH(A1718,'Holders'!$A$4:$A$1003,0)),""))</f>
        <v/>
      </c>
      <c r="L1718" s="30">
        <f>IF(OR(A1718="",B1718="",D1718=""),"",IF(D1718=_xlfn.MAXIFS($D$4:$D$2503,$A$4:$A$2503,A1718,$B$4:$B$2503,B1718),"Yes","No"))</f>
        <v/>
      </c>
      <c r="M1718" s="30">
        <f>IF(B1718="","",IFERROR(INDEX('Share classes'!$F$4:$F$203,MATCH(B1718,'Share classes'!$B$4:$B$203,0)),""))</f>
        <v/>
      </c>
      <c r="N1718" s="30">
        <f>IF(A1718="","",IF(K1718="","Unknown holder ID",IF(J1718="","Unknown class code",IF(OR(C1718="",D1718=""),"Missing shares or date",IF(OR(C1718&lt;0,C1718&lt;&gt;INT(C1718)),"Shares must be a whole number",IF(COUNTIFS($A$4:$A$2503,A1718,$B$4:$B$2503,B1718,$D$4:$D$2503,D1718)&gt;1,"Duplicate row (same date)","OK"))))))</f>
        <v/>
      </c>
    </row>
    <row r="1719">
      <c r="A1719" s="26" t="n"/>
      <c r="B1719" s="26" t="n"/>
      <c r="C1719" s="34" t="n"/>
      <c r="D1719" s="28" t="n"/>
      <c r="E1719" s="26" t="n"/>
      <c r="F1719" s="26" t="n"/>
      <c r="G1719" s="26" t="n"/>
      <c r="H1719" s="38" t="n"/>
      <c r="I1719" s="28" t="n"/>
      <c r="J1719" s="30">
        <f>IF(B1719="","",IFERROR(INDEX('Share classes'!$A$4:$A$203,MATCH(B1719,'Share classes'!$B$4:$B$203,0)),""))</f>
        <v/>
      </c>
      <c r="K1719" s="30">
        <f>IF(A1719="","",IFERROR(INDEX('Holders'!$B$4:$B$1003,MATCH(A1719,'Holders'!$A$4:$A$1003,0)),""))</f>
        <v/>
      </c>
      <c r="L1719" s="30">
        <f>IF(OR(A1719="",B1719="",D1719=""),"",IF(D1719=_xlfn.MAXIFS($D$4:$D$2503,$A$4:$A$2503,A1719,$B$4:$B$2503,B1719),"Yes","No"))</f>
        <v/>
      </c>
      <c r="M1719" s="30">
        <f>IF(B1719="","",IFERROR(INDEX('Share classes'!$F$4:$F$203,MATCH(B1719,'Share classes'!$B$4:$B$203,0)),""))</f>
        <v/>
      </c>
      <c r="N1719" s="30">
        <f>IF(A1719="","",IF(K1719="","Unknown holder ID",IF(J1719="","Unknown class code",IF(OR(C1719="",D1719=""),"Missing shares or date",IF(OR(C1719&lt;0,C1719&lt;&gt;INT(C1719)),"Shares must be a whole number",IF(COUNTIFS($A$4:$A$2503,A1719,$B$4:$B$2503,B1719,$D$4:$D$2503,D1719)&gt;1,"Duplicate row (same date)","OK"))))))</f>
        <v/>
      </c>
    </row>
    <row r="1720">
      <c r="A1720" s="26" t="n"/>
      <c r="B1720" s="26" t="n"/>
      <c r="C1720" s="34" t="n"/>
      <c r="D1720" s="28" t="n"/>
      <c r="E1720" s="26" t="n"/>
      <c r="F1720" s="26" t="n"/>
      <c r="G1720" s="26" t="n"/>
      <c r="H1720" s="38" t="n"/>
      <c r="I1720" s="28" t="n"/>
      <c r="J1720" s="30">
        <f>IF(B1720="","",IFERROR(INDEX('Share classes'!$A$4:$A$203,MATCH(B1720,'Share classes'!$B$4:$B$203,0)),""))</f>
        <v/>
      </c>
      <c r="K1720" s="30">
        <f>IF(A1720="","",IFERROR(INDEX('Holders'!$B$4:$B$1003,MATCH(A1720,'Holders'!$A$4:$A$1003,0)),""))</f>
        <v/>
      </c>
      <c r="L1720" s="30">
        <f>IF(OR(A1720="",B1720="",D1720=""),"",IF(D1720=_xlfn.MAXIFS($D$4:$D$2503,$A$4:$A$2503,A1720,$B$4:$B$2503,B1720),"Yes","No"))</f>
        <v/>
      </c>
      <c r="M1720" s="30">
        <f>IF(B1720="","",IFERROR(INDEX('Share classes'!$F$4:$F$203,MATCH(B1720,'Share classes'!$B$4:$B$203,0)),""))</f>
        <v/>
      </c>
      <c r="N1720" s="30">
        <f>IF(A1720="","",IF(K1720="","Unknown holder ID",IF(J1720="","Unknown class code",IF(OR(C1720="",D1720=""),"Missing shares or date",IF(OR(C1720&lt;0,C1720&lt;&gt;INT(C1720)),"Shares must be a whole number",IF(COUNTIFS($A$4:$A$2503,A1720,$B$4:$B$2503,B1720,$D$4:$D$2503,D1720)&gt;1,"Duplicate row (same date)","OK"))))))</f>
        <v/>
      </c>
    </row>
    <row r="1721">
      <c r="A1721" s="26" t="n"/>
      <c r="B1721" s="26" t="n"/>
      <c r="C1721" s="34" t="n"/>
      <c r="D1721" s="28" t="n"/>
      <c r="E1721" s="26" t="n"/>
      <c r="F1721" s="26" t="n"/>
      <c r="G1721" s="26" t="n"/>
      <c r="H1721" s="38" t="n"/>
      <c r="I1721" s="28" t="n"/>
      <c r="J1721" s="30">
        <f>IF(B1721="","",IFERROR(INDEX('Share classes'!$A$4:$A$203,MATCH(B1721,'Share classes'!$B$4:$B$203,0)),""))</f>
        <v/>
      </c>
      <c r="K1721" s="30">
        <f>IF(A1721="","",IFERROR(INDEX('Holders'!$B$4:$B$1003,MATCH(A1721,'Holders'!$A$4:$A$1003,0)),""))</f>
        <v/>
      </c>
      <c r="L1721" s="30">
        <f>IF(OR(A1721="",B1721="",D1721=""),"",IF(D1721=_xlfn.MAXIFS($D$4:$D$2503,$A$4:$A$2503,A1721,$B$4:$B$2503,B1721),"Yes","No"))</f>
        <v/>
      </c>
      <c r="M1721" s="30">
        <f>IF(B1721="","",IFERROR(INDEX('Share classes'!$F$4:$F$203,MATCH(B1721,'Share classes'!$B$4:$B$203,0)),""))</f>
        <v/>
      </c>
      <c r="N1721" s="30">
        <f>IF(A1721="","",IF(K1721="","Unknown holder ID",IF(J1721="","Unknown class code",IF(OR(C1721="",D1721=""),"Missing shares or date",IF(OR(C1721&lt;0,C1721&lt;&gt;INT(C1721)),"Shares must be a whole number",IF(COUNTIFS($A$4:$A$2503,A1721,$B$4:$B$2503,B1721,$D$4:$D$2503,D1721)&gt;1,"Duplicate row (same date)","OK"))))))</f>
        <v/>
      </c>
    </row>
    <row r="1722">
      <c r="A1722" s="26" t="n"/>
      <c r="B1722" s="26" t="n"/>
      <c r="C1722" s="34" t="n"/>
      <c r="D1722" s="28" t="n"/>
      <c r="E1722" s="26" t="n"/>
      <c r="F1722" s="26" t="n"/>
      <c r="G1722" s="26" t="n"/>
      <c r="H1722" s="38" t="n"/>
      <c r="I1722" s="28" t="n"/>
      <c r="J1722" s="30">
        <f>IF(B1722="","",IFERROR(INDEX('Share classes'!$A$4:$A$203,MATCH(B1722,'Share classes'!$B$4:$B$203,0)),""))</f>
        <v/>
      </c>
      <c r="K1722" s="30">
        <f>IF(A1722="","",IFERROR(INDEX('Holders'!$B$4:$B$1003,MATCH(A1722,'Holders'!$A$4:$A$1003,0)),""))</f>
        <v/>
      </c>
      <c r="L1722" s="30">
        <f>IF(OR(A1722="",B1722="",D1722=""),"",IF(D1722=_xlfn.MAXIFS($D$4:$D$2503,$A$4:$A$2503,A1722,$B$4:$B$2503,B1722),"Yes","No"))</f>
        <v/>
      </c>
      <c r="M1722" s="30">
        <f>IF(B1722="","",IFERROR(INDEX('Share classes'!$F$4:$F$203,MATCH(B1722,'Share classes'!$B$4:$B$203,0)),""))</f>
        <v/>
      </c>
      <c r="N1722" s="30">
        <f>IF(A1722="","",IF(K1722="","Unknown holder ID",IF(J1722="","Unknown class code",IF(OR(C1722="",D1722=""),"Missing shares or date",IF(OR(C1722&lt;0,C1722&lt;&gt;INT(C1722)),"Shares must be a whole number",IF(COUNTIFS($A$4:$A$2503,A1722,$B$4:$B$2503,B1722,$D$4:$D$2503,D1722)&gt;1,"Duplicate row (same date)","OK"))))))</f>
        <v/>
      </c>
    </row>
    <row r="1723">
      <c r="A1723" s="26" t="n"/>
      <c r="B1723" s="26" t="n"/>
      <c r="C1723" s="34" t="n"/>
      <c r="D1723" s="28" t="n"/>
      <c r="E1723" s="26" t="n"/>
      <c r="F1723" s="26" t="n"/>
      <c r="G1723" s="26" t="n"/>
      <c r="H1723" s="38" t="n"/>
      <c r="I1723" s="28" t="n"/>
      <c r="J1723" s="30">
        <f>IF(B1723="","",IFERROR(INDEX('Share classes'!$A$4:$A$203,MATCH(B1723,'Share classes'!$B$4:$B$203,0)),""))</f>
        <v/>
      </c>
      <c r="K1723" s="30">
        <f>IF(A1723="","",IFERROR(INDEX('Holders'!$B$4:$B$1003,MATCH(A1723,'Holders'!$A$4:$A$1003,0)),""))</f>
        <v/>
      </c>
      <c r="L1723" s="30">
        <f>IF(OR(A1723="",B1723="",D1723=""),"",IF(D1723=_xlfn.MAXIFS($D$4:$D$2503,$A$4:$A$2503,A1723,$B$4:$B$2503,B1723),"Yes","No"))</f>
        <v/>
      </c>
      <c r="M1723" s="30">
        <f>IF(B1723="","",IFERROR(INDEX('Share classes'!$F$4:$F$203,MATCH(B1723,'Share classes'!$B$4:$B$203,0)),""))</f>
        <v/>
      </c>
      <c r="N1723" s="30">
        <f>IF(A1723="","",IF(K1723="","Unknown holder ID",IF(J1723="","Unknown class code",IF(OR(C1723="",D1723=""),"Missing shares or date",IF(OR(C1723&lt;0,C1723&lt;&gt;INT(C1723)),"Shares must be a whole number",IF(COUNTIFS($A$4:$A$2503,A1723,$B$4:$B$2503,B1723,$D$4:$D$2503,D1723)&gt;1,"Duplicate row (same date)","OK"))))))</f>
        <v/>
      </c>
    </row>
    <row r="1724">
      <c r="A1724" s="26" t="n"/>
      <c r="B1724" s="26" t="n"/>
      <c r="C1724" s="34" t="n"/>
      <c r="D1724" s="28" t="n"/>
      <c r="E1724" s="26" t="n"/>
      <c r="F1724" s="26" t="n"/>
      <c r="G1724" s="26" t="n"/>
      <c r="H1724" s="38" t="n"/>
      <c r="I1724" s="28" t="n"/>
      <c r="J1724" s="30">
        <f>IF(B1724="","",IFERROR(INDEX('Share classes'!$A$4:$A$203,MATCH(B1724,'Share classes'!$B$4:$B$203,0)),""))</f>
        <v/>
      </c>
      <c r="K1724" s="30">
        <f>IF(A1724="","",IFERROR(INDEX('Holders'!$B$4:$B$1003,MATCH(A1724,'Holders'!$A$4:$A$1003,0)),""))</f>
        <v/>
      </c>
      <c r="L1724" s="30">
        <f>IF(OR(A1724="",B1724="",D1724=""),"",IF(D1724=_xlfn.MAXIFS($D$4:$D$2503,$A$4:$A$2503,A1724,$B$4:$B$2503,B1724),"Yes","No"))</f>
        <v/>
      </c>
      <c r="M1724" s="30">
        <f>IF(B1724="","",IFERROR(INDEX('Share classes'!$F$4:$F$203,MATCH(B1724,'Share classes'!$B$4:$B$203,0)),""))</f>
        <v/>
      </c>
      <c r="N1724" s="30">
        <f>IF(A1724="","",IF(K1724="","Unknown holder ID",IF(J1724="","Unknown class code",IF(OR(C1724="",D1724=""),"Missing shares or date",IF(OR(C1724&lt;0,C1724&lt;&gt;INT(C1724)),"Shares must be a whole number",IF(COUNTIFS($A$4:$A$2503,A1724,$B$4:$B$2503,B1724,$D$4:$D$2503,D1724)&gt;1,"Duplicate row (same date)","OK"))))))</f>
        <v/>
      </c>
    </row>
    <row r="1725">
      <c r="A1725" s="26" t="n"/>
      <c r="B1725" s="26" t="n"/>
      <c r="C1725" s="34" t="n"/>
      <c r="D1725" s="28" t="n"/>
      <c r="E1725" s="26" t="n"/>
      <c r="F1725" s="26" t="n"/>
      <c r="G1725" s="26" t="n"/>
      <c r="H1725" s="38" t="n"/>
      <c r="I1725" s="28" t="n"/>
      <c r="J1725" s="30">
        <f>IF(B1725="","",IFERROR(INDEX('Share classes'!$A$4:$A$203,MATCH(B1725,'Share classes'!$B$4:$B$203,0)),""))</f>
        <v/>
      </c>
      <c r="K1725" s="30">
        <f>IF(A1725="","",IFERROR(INDEX('Holders'!$B$4:$B$1003,MATCH(A1725,'Holders'!$A$4:$A$1003,0)),""))</f>
        <v/>
      </c>
      <c r="L1725" s="30">
        <f>IF(OR(A1725="",B1725="",D1725=""),"",IF(D1725=_xlfn.MAXIFS($D$4:$D$2503,$A$4:$A$2503,A1725,$B$4:$B$2503,B1725),"Yes","No"))</f>
        <v/>
      </c>
      <c r="M1725" s="30">
        <f>IF(B1725="","",IFERROR(INDEX('Share classes'!$F$4:$F$203,MATCH(B1725,'Share classes'!$B$4:$B$203,0)),""))</f>
        <v/>
      </c>
      <c r="N1725" s="30">
        <f>IF(A1725="","",IF(K1725="","Unknown holder ID",IF(J1725="","Unknown class code",IF(OR(C1725="",D1725=""),"Missing shares or date",IF(OR(C1725&lt;0,C1725&lt;&gt;INT(C1725)),"Shares must be a whole number",IF(COUNTIFS($A$4:$A$2503,A1725,$B$4:$B$2503,B1725,$D$4:$D$2503,D1725)&gt;1,"Duplicate row (same date)","OK"))))))</f>
        <v/>
      </c>
    </row>
    <row r="1726">
      <c r="A1726" s="26" t="n"/>
      <c r="B1726" s="26" t="n"/>
      <c r="C1726" s="34" t="n"/>
      <c r="D1726" s="28" t="n"/>
      <c r="E1726" s="26" t="n"/>
      <c r="F1726" s="26" t="n"/>
      <c r="G1726" s="26" t="n"/>
      <c r="H1726" s="38" t="n"/>
      <c r="I1726" s="28" t="n"/>
      <c r="J1726" s="30">
        <f>IF(B1726="","",IFERROR(INDEX('Share classes'!$A$4:$A$203,MATCH(B1726,'Share classes'!$B$4:$B$203,0)),""))</f>
        <v/>
      </c>
      <c r="K1726" s="30">
        <f>IF(A1726="","",IFERROR(INDEX('Holders'!$B$4:$B$1003,MATCH(A1726,'Holders'!$A$4:$A$1003,0)),""))</f>
        <v/>
      </c>
      <c r="L1726" s="30">
        <f>IF(OR(A1726="",B1726="",D1726=""),"",IF(D1726=_xlfn.MAXIFS($D$4:$D$2503,$A$4:$A$2503,A1726,$B$4:$B$2503,B1726),"Yes","No"))</f>
        <v/>
      </c>
      <c r="M1726" s="30">
        <f>IF(B1726="","",IFERROR(INDEX('Share classes'!$F$4:$F$203,MATCH(B1726,'Share classes'!$B$4:$B$203,0)),""))</f>
        <v/>
      </c>
      <c r="N1726" s="30">
        <f>IF(A1726="","",IF(K1726="","Unknown holder ID",IF(J1726="","Unknown class code",IF(OR(C1726="",D1726=""),"Missing shares or date",IF(OR(C1726&lt;0,C1726&lt;&gt;INT(C1726)),"Shares must be a whole number",IF(COUNTIFS($A$4:$A$2503,A1726,$B$4:$B$2503,B1726,$D$4:$D$2503,D1726)&gt;1,"Duplicate row (same date)","OK"))))))</f>
        <v/>
      </c>
    </row>
    <row r="1727">
      <c r="A1727" s="26" t="n"/>
      <c r="B1727" s="26" t="n"/>
      <c r="C1727" s="34" t="n"/>
      <c r="D1727" s="28" t="n"/>
      <c r="E1727" s="26" t="n"/>
      <c r="F1727" s="26" t="n"/>
      <c r="G1727" s="26" t="n"/>
      <c r="H1727" s="38" t="n"/>
      <c r="I1727" s="28" t="n"/>
      <c r="J1727" s="30">
        <f>IF(B1727="","",IFERROR(INDEX('Share classes'!$A$4:$A$203,MATCH(B1727,'Share classes'!$B$4:$B$203,0)),""))</f>
        <v/>
      </c>
      <c r="K1727" s="30">
        <f>IF(A1727="","",IFERROR(INDEX('Holders'!$B$4:$B$1003,MATCH(A1727,'Holders'!$A$4:$A$1003,0)),""))</f>
        <v/>
      </c>
      <c r="L1727" s="30">
        <f>IF(OR(A1727="",B1727="",D1727=""),"",IF(D1727=_xlfn.MAXIFS($D$4:$D$2503,$A$4:$A$2503,A1727,$B$4:$B$2503,B1727),"Yes","No"))</f>
        <v/>
      </c>
      <c r="M1727" s="30">
        <f>IF(B1727="","",IFERROR(INDEX('Share classes'!$F$4:$F$203,MATCH(B1727,'Share classes'!$B$4:$B$203,0)),""))</f>
        <v/>
      </c>
      <c r="N1727" s="30">
        <f>IF(A1727="","",IF(K1727="","Unknown holder ID",IF(J1727="","Unknown class code",IF(OR(C1727="",D1727=""),"Missing shares or date",IF(OR(C1727&lt;0,C1727&lt;&gt;INT(C1727)),"Shares must be a whole number",IF(COUNTIFS($A$4:$A$2503,A1727,$B$4:$B$2503,B1727,$D$4:$D$2503,D1727)&gt;1,"Duplicate row (same date)","OK"))))))</f>
        <v/>
      </c>
    </row>
    <row r="1728">
      <c r="A1728" s="26" t="n"/>
      <c r="B1728" s="26" t="n"/>
      <c r="C1728" s="34" t="n"/>
      <c r="D1728" s="28" t="n"/>
      <c r="E1728" s="26" t="n"/>
      <c r="F1728" s="26" t="n"/>
      <c r="G1728" s="26" t="n"/>
      <c r="H1728" s="38" t="n"/>
      <c r="I1728" s="28" t="n"/>
      <c r="J1728" s="30">
        <f>IF(B1728="","",IFERROR(INDEX('Share classes'!$A$4:$A$203,MATCH(B1728,'Share classes'!$B$4:$B$203,0)),""))</f>
        <v/>
      </c>
      <c r="K1728" s="30">
        <f>IF(A1728="","",IFERROR(INDEX('Holders'!$B$4:$B$1003,MATCH(A1728,'Holders'!$A$4:$A$1003,0)),""))</f>
        <v/>
      </c>
      <c r="L1728" s="30">
        <f>IF(OR(A1728="",B1728="",D1728=""),"",IF(D1728=_xlfn.MAXIFS($D$4:$D$2503,$A$4:$A$2503,A1728,$B$4:$B$2503,B1728),"Yes","No"))</f>
        <v/>
      </c>
      <c r="M1728" s="30">
        <f>IF(B1728="","",IFERROR(INDEX('Share classes'!$F$4:$F$203,MATCH(B1728,'Share classes'!$B$4:$B$203,0)),""))</f>
        <v/>
      </c>
      <c r="N1728" s="30">
        <f>IF(A1728="","",IF(K1728="","Unknown holder ID",IF(J1728="","Unknown class code",IF(OR(C1728="",D1728=""),"Missing shares or date",IF(OR(C1728&lt;0,C1728&lt;&gt;INT(C1728)),"Shares must be a whole number",IF(COUNTIFS($A$4:$A$2503,A1728,$B$4:$B$2503,B1728,$D$4:$D$2503,D1728)&gt;1,"Duplicate row (same date)","OK"))))))</f>
        <v/>
      </c>
    </row>
    <row r="1729">
      <c r="A1729" s="26" t="n"/>
      <c r="B1729" s="26" t="n"/>
      <c r="C1729" s="34" t="n"/>
      <c r="D1729" s="28" t="n"/>
      <c r="E1729" s="26" t="n"/>
      <c r="F1729" s="26" t="n"/>
      <c r="G1729" s="26" t="n"/>
      <c r="H1729" s="38" t="n"/>
      <c r="I1729" s="28" t="n"/>
      <c r="J1729" s="30">
        <f>IF(B1729="","",IFERROR(INDEX('Share classes'!$A$4:$A$203,MATCH(B1729,'Share classes'!$B$4:$B$203,0)),""))</f>
        <v/>
      </c>
      <c r="K1729" s="30">
        <f>IF(A1729="","",IFERROR(INDEX('Holders'!$B$4:$B$1003,MATCH(A1729,'Holders'!$A$4:$A$1003,0)),""))</f>
        <v/>
      </c>
      <c r="L1729" s="30">
        <f>IF(OR(A1729="",B1729="",D1729=""),"",IF(D1729=_xlfn.MAXIFS($D$4:$D$2503,$A$4:$A$2503,A1729,$B$4:$B$2503,B1729),"Yes","No"))</f>
        <v/>
      </c>
      <c r="M1729" s="30">
        <f>IF(B1729="","",IFERROR(INDEX('Share classes'!$F$4:$F$203,MATCH(B1729,'Share classes'!$B$4:$B$203,0)),""))</f>
        <v/>
      </c>
      <c r="N1729" s="30">
        <f>IF(A1729="","",IF(K1729="","Unknown holder ID",IF(J1729="","Unknown class code",IF(OR(C1729="",D1729=""),"Missing shares or date",IF(OR(C1729&lt;0,C1729&lt;&gt;INT(C1729)),"Shares must be a whole number",IF(COUNTIFS($A$4:$A$2503,A1729,$B$4:$B$2503,B1729,$D$4:$D$2503,D1729)&gt;1,"Duplicate row (same date)","OK"))))))</f>
        <v/>
      </c>
    </row>
    <row r="1730">
      <c r="A1730" s="26" t="n"/>
      <c r="B1730" s="26" t="n"/>
      <c r="C1730" s="34" t="n"/>
      <c r="D1730" s="28" t="n"/>
      <c r="E1730" s="26" t="n"/>
      <c r="F1730" s="26" t="n"/>
      <c r="G1730" s="26" t="n"/>
      <c r="H1730" s="38" t="n"/>
      <c r="I1730" s="28" t="n"/>
      <c r="J1730" s="30">
        <f>IF(B1730="","",IFERROR(INDEX('Share classes'!$A$4:$A$203,MATCH(B1730,'Share classes'!$B$4:$B$203,0)),""))</f>
        <v/>
      </c>
      <c r="K1730" s="30">
        <f>IF(A1730="","",IFERROR(INDEX('Holders'!$B$4:$B$1003,MATCH(A1730,'Holders'!$A$4:$A$1003,0)),""))</f>
        <v/>
      </c>
      <c r="L1730" s="30">
        <f>IF(OR(A1730="",B1730="",D1730=""),"",IF(D1730=_xlfn.MAXIFS($D$4:$D$2503,$A$4:$A$2503,A1730,$B$4:$B$2503,B1730),"Yes","No"))</f>
        <v/>
      </c>
      <c r="M1730" s="30">
        <f>IF(B1730="","",IFERROR(INDEX('Share classes'!$F$4:$F$203,MATCH(B1730,'Share classes'!$B$4:$B$203,0)),""))</f>
        <v/>
      </c>
      <c r="N1730" s="30">
        <f>IF(A1730="","",IF(K1730="","Unknown holder ID",IF(J1730="","Unknown class code",IF(OR(C1730="",D1730=""),"Missing shares or date",IF(OR(C1730&lt;0,C1730&lt;&gt;INT(C1730)),"Shares must be a whole number",IF(COUNTIFS($A$4:$A$2503,A1730,$B$4:$B$2503,B1730,$D$4:$D$2503,D1730)&gt;1,"Duplicate row (same date)","OK"))))))</f>
        <v/>
      </c>
    </row>
    <row r="1731">
      <c r="A1731" s="26" t="n"/>
      <c r="B1731" s="26" t="n"/>
      <c r="C1731" s="34" t="n"/>
      <c r="D1731" s="28" t="n"/>
      <c r="E1731" s="26" t="n"/>
      <c r="F1731" s="26" t="n"/>
      <c r="G1731" s="26" t="n"/>
      <c r="H1731" s="38" t="n"/>
      <c r="I1731" s="28" t="n"/>
      <c r="J1731" s="30">
        <f>IF(B1731="","",IFERROR(INDEX('Share classes'!$A$4:$A$203,MATCH(B1731,'Share classes'!$B$4:$B$203,0)),""))</f>
        <v/>
      </c>
      <c r="K1731" s="30">
        <f>IF(A1731="","",IFERROR(INDEX('Holders'!$B$4:$B$1003,MATCH(A1731,'Holders'!$A$4:$A$1003,0)),""))</f>
        <v/>
      </c>
      <c r="L1731" s="30">
        <f>IF(OR(A1731="",B1731="",D1731=""),"",IF(D1731=_xlfn.MAXIFS($D$4:$D$2503,$A$4:$A$2503,A1731,$B$4:$B$2503,B1731),"Yes","No"))</f>
        <v/>
      </c>
      <c r="M1731" s="30">
        <f>IF(B1731="","",IFERROR(INDEX('Share classes'!$F$4:$F$203,MATCH(B1731,'Share classes'!$B$4:$B$203,0)),""))</f>
        <v/>
      </c>
      <c r="N1731" s="30">
        <f>IF(A1731="","",IF(K1731="","Unknown holder ID",IF(J1731="","Unknown class code",IF(OR(C1731="",D1731=""),"Missing shares or date",IF(OR(C1731&lt;0,C1731&lt;&gt;INT(C1731)),"Shares must be a whole number",IF(COUNTIFS($A$4:$A$2503,A1731,$B$4:$B$2503,B1731,$D$4:$D$2503,D1731)&gt;1,"Duplicate row (same date)","OK"))))))</f>
        <v/>
      </c>
    </row>
    <row r="1732">
      <c r="A1732" s="26" t="n"/>
      <c r="B1732" s="26" t="n"/>
      <c r="C1732" s="34" t="n"/>
      <c r="D1732" s="28" t="n"/>
      <c r="E1732" s="26" t="n"/>
      <c r="F1732" s="26" t="n"/>
      <c r="G1732" s="26" t="n"/>
      <c r="H1732" s="38" t="n"/>
      <c r="I1732" s="28" t="n"/>
      <c r="J1732" s="30">
        <f>IF(B1732="","",IFERROR(INDEX('Share classes'!$A$4:$A$203,MATCH(B1732,'Share classes'!$B$4:$B$203,0)),""))</f>
        <v/>
      </c>
      <c r="K1732" s="30">
        <f>IF(A1732="","",IFERROR(INDEX('Holders'!$B$4:$B$1003,MATCH(A1732,'Holders'!$A$4:$A$1003,0)),""))</f>
        <v/>
      </c>
      <c r="L1732" s="30">
        <f>IF(OR(A1732="",B1732="",D1732=""),"",IF(D1732=_xlfn.MAXIFS($D$4:$D$2503,$A$4:$A$2503,A1732,$B$4:$B$2503,B1732),"Yes","No"))</f>
        <v/>
      </c>
      <c r="M1732" s="30">
        <f>IF(B1732="","",IFERROR(INDEX('Share classes'!$F$4:$F$203,MATCH(B1732,'Share classes'!$B$4:$B$203,0)),""))</f>
        <v/>
      </c>
      <c r="N1732" s="30">
        <f>IF(A1732="","",IF(K1732="","Unknown holder ID",IF(J1732="","Unknown class code",IF(OR(C1732="",D1732=""),"Missing shares or date",IF(OR(C1732&lt;0,C1732&lt;&gt;INT(C1732)),"Shares must be a whole number",IF(COUNTIFS($A$4:$A$2503,A1732,$B$4:$B$2503,B1732,$D$4:$D$2503,D1732)&gt;1,"Duplicate row (same date)","OK"))))))</f>
        <v/>
      </c>
    </row>
    <row r="1733">
      <c r="A1733" s="26" t="n"/>
      <c r="B1733" s="26" t="n"/>
      <c r="C1733" s="34" t="n"/>
      <c r="D1733" s="28" t="n"/>
      <c r="E1733" s="26" t="n"/>
      <c r="F1733" s="26" t="n"/>
      <c r="G1733" s="26" t="n"/>
      <c r="H1733" s="38" t="n"/>
      <c r="I1733" s="28" t="n"/>
      <c r="J1733" s="30">
        <f>IF(B1733="","",IFERROR(INDEX('Share classes'!$A$4:$A$203,MATCH(B1733,'Share classes'!$B$4:$B$203,0)),""))</f>
        <v/>
      </c>
      <c r="K1733" s="30">
        <f>IF(A1733="","",IFERROR(INDEX('Holders'!$B$4:$B$1003,MATCH(A1733,'Holders'!$A$4:$A$1003,0)),""))</f>
        <v/>
      </c>
      <c r="L1733" s="30">
        <f>IF(OR(A1733="",B1733="",D1733=""),"",IF(D1733=_xlfn.MAXIFS($D$4:$D$2503,$A$4:$A$2503,A1733,$B$4:$B$2503,B1733),"Yes","No"))</f>
        <v/>
      </c>
      <c r="M1733" s="30">
        <f>IF(B1733="","",IFERROR(INDEX('Share classes'!$F$4:$F$203,MATCH(B1733,'Share classes'!$B$4:$B$203,0)),""))</f>
        <v/>
      </c>
      <c r="N1733" s="30">
        <f>IF(A1733="","",IF(K1733="","Unknown holder ID",IF(J1733="","Unknown class code",IF(OR(C1733="",D1733=""),"Missing shares or date",IF(OR(C1733&lt;0,C1733&lt;&gt;INT(C1733)),"Shares must be a whole number",IF(COUNTIFS($A$4:$A$2503,A1733,$B$4:$B$2503,B1733,$D$4:$D$2503,D1733)&gt;1,"Duplicate row (same date)","OK"))))))</f>
        <v/>
      </c>
    </row>
    <row r="1734">
      <c r="A1734" s="26" t="n"/>
      <c r="B1734" s="26" t="n"/>
      <c r="C1734" s="34" t="n"/>
      <c r="D1734" s="28" t="n"/>
      <c r="E1734" s="26" t="n"/>
      <c r="F1734" s="26" t="n"/>
      <c r="G1734" s="26" t="n"/>
      <c r="H1734" s="38" t="n"/>
      <c r="I1734" s="28" t="n"/>
      <c r="J1734" s="30">
        <f>IF(B1734="","",IFERROR(INDEX('Share classes'!$A$4:$A$203,MATCH(B1734,'Share classes'!$B$4:$B$203,0)),""))</f>
        <v/>
      </c>
      <c r="K1734" s="30">
        <f>IF(A1734="","",IFERROR(INDEX('Holders'!$B$4:$B$1003,MATCH(A1734,'Holders'!$A$4:$A$1003,0)),""))</f>
        <v/>
      </c>
      <c r="L1734" s="30">
        <f>IF(OR(A1734="",B1734="",D1734=""),"",IF(D1734=_xlfn.MAXIFS($D$4:$D$2503,$A$4:$A$2503,A1734,$B$4:$B$2503,B1734),"Yes","No"))</f>
        <v/>
      </c>
      <c r="M1734" s="30">
        <f>IF(B1734="","",IFERROR(INDEX('Share classes'!$F$4:$F$203,MATCH(B1734,'Share classes'!$B$4:$B$203,0)),""))</f>
        <v/>
      </c>
      <c r="N1734" s="30">
        <f>IF(A1734="","",IF(K1734="","Unknown holder ID",IF(J1734="","Unknown class code",IF(OR(C1734="",D1734=""),"Missing shares or date",IF(OR(C1734&lt;0,C1734&lt;&gt;INT(C1734)),"Shares must be a whole number",IF(COUNTIFS($A$4:$A$2503,A1734,$B$4:$B$2503,B1734,$D$4:$D$2503,D1734)&gt;1,"Duplicate row (same date)","OK"))))))</f>
        <v/>
      </c>
    </row>
    <row r="1735">
      <c r="A1735" s="26" t="n"/>
      <c r="B1735" s="26" t="n"/>
      <c r="C1735" s="34" t="n"/>
      <c r="D1735" s="28" t="n"/>
      <c r="E1735" s="26" t="n"/>
      <c r="F1735" s="26" t="n"/>
      <c r="G1735" s="26" t="n"/>
      <c r="H1735" s="38" t="n"/>
      <c r="I1735" s="28" t="n"/>
      <c r="J1735" s="30">
        <f>IF(B1735="","",IFERROR(INDEX('Share classes'!$A$4:$A$203,MATCH(B1735,'Share classes'!$B$4:$B$203,0)),""))</f>
        <v/>
      </c>
      <c r="K1735" s="30">
        <f>IF(A1735="","",IFERROR(INDEX('Holders'!$B$4:$B$1003,MATCH(A1735,'Holders'!$A$4:$A$1003,0)),""))</f>
        <v/>
      </c>
      <c r="L1735" s="30">
        <f>IF(OR(A1735="",B1735="",D1735=""),"",IF(D1735=_xlfn.MAXIFS($D$4:$D$2503,$A$4:$A$2503,A1735,$B$4:$B$2503,B1735),"Yes","No"))</f>
        <v/>
      </c>
      <c r="M1735" s="30">
        <f>IF(B1735="","",IFERROR(INDEX('Share classes'!$F$4:$F$203,MATCH(B1735,'Share classes'!$B$4:$B$203,0)),""))</f>
        <v/>
      </c>
      <c r="N1735" s="30">
        <f>IF(A1735="","",IF(K1735="","Unknown holder ID",IF(J1735="","Unknown class code",IF(OR(C1735="",D1735=""),"Missing shares or date",IF(OR(C1735&lt;0,C1735&lt;&gt;INT(C1735)),"Shares must be a whole number",IF(COUNTIFS($A$4:$A$2503,A1735,$B$4:$B$2503,B1735,$D$4:$D$2503,D1735)&gt;1,"Duplicate row (same date)","OK"))))))</f>
        <v/>
      </c>
    </row>
    <row r="1736">
      <c r="A1736" s="26" t="n"/>
      <c r="B1736" s="26" t="n"/>
      <c r="C1736" s="34" t="n"/>
      <c r="D1736" s="28" t="n"/>
      <c r="E1736" s="26" t="n"/>
      <c r="F1736" s="26" t="n"/>
      <c r="G1736" s="26" t="n"/>
      <c r="H1736" s="38" t="n"/>
      <c r="I1736" s="28" t="n"/>
      <c r="J1736" s="30">
        <f>IF(B1736="","",IFERROR(INDEX('Share classes'!$A$4:$A$203,MATCH(B1736,'Share classes'!$B$4:$B$203,0)),""))</f>
        <v/>
      </c>
      <c r="K1736" s="30">
        <f>IF(A1736="","",IFERROR(INDEX('Holders'!$B$4:$B$1003,MATCH(A1736,'Holders'!$A$4:$A$1003,0)),""))</f>
        <v/>
      </c>
      <c r="L1736" s="30">
        <f>IF(OR(A1736="",B1736="",D1736=""),"",IF(D1736=_xlfn.MAXIFS($D$4:$D$2503,$A$4:$A$2503,A1736,$B$4:$B$2503,B1736),"Yes","No"))</f>
        <v/>
      </c>
      <c r="M1736" s="30">
        <f>IF(B1736="","",IFERROR(INDEX('Share classes'!$F$4:$F$203,MATCH(B1736,'Share classes'!$B$4:$B$203,0)),""))</f>
        <v/>
      </c>
      <c r="N1736" s="30">
        <f>IF(A1736="","",IF(K1736="","Unknown holder ID",IF(J1736="","Unknown class code",IF(OR(C1736="",D1736=""),"Missing shares or date",IF(OR(C1736&lt;0,C1736&lt;&gt;INT(C1736)),"Shares must be a whole number",IF(COUNTIFS($A$4:$A$2503,A1736,$B$4:$B$2503,B1736,$D$4:$D$2503,D1736)&gt;1,"Duplicate row (same date)","OK"))))))</f>
        <v/>
      </c>
    </row>
    <row r="1737">
      <c r="A1737" s="26" t="n"/>
      <c r="B1737" s="26" t="n"/>
      <c r="C1737" s="34" t="n"/>
      <c r="D1737" s="28" t="n"/>
      <c r="E1737" s="26" t="n"/>
      <c r="F1737" s="26" t="n"/>
      <c r="G1737" s="26" t="n"/>
      <c r="H1737" s="38" t="n"/>
      <c r="I1737" s="28" t="n"/>
      <c r="J1737" s="30">
        <f>IF(B1737="","",IFERROR(INDEX('Share classes'!$A$4:$A$203,MATCH(B1737,'Share classes'!$B$4:$B$203,0)),""))</f>
        <v/>
      </c>
      <c r="K1737" s="30">
        <f>IF(A1737="","",IFERROR(INDEX('Holders'!$B$4:$B$1003,MATCH(A1737,'Holders'!$A$4:$A$1003,0)),""))</f>
        <v/>
      </c>
      <c r="L1737" s="30">
        <f>IF(OR(A1737="",B1737="",D1737=""),"",IF(D1737=_xlfn.MAXIFS($D$4:$D$2503,$A$4:$A$2503,A1737,$B$4:$B$2503,B1737),"Yes","No"))</f>
        <v/>
      </c>
      <c r="M1737" s="30">
        <f>IF(B1737="","",IFERROR(INDEX('Share classes'!$F$4:$F$203,MATCH(B1737,'Share classes'!$B$4:$B$203,0)),""))</f>
        <v/>
      </c>
      <c r="N1737" s="30">
        <f>IF(A1737="","",IF(K1737="","Unknown holder ID",IF(J1737="","Unknown class code",IF(OR(C1737="",D1737=""),"Missing shares or date",IF(OR(C1737&lt;0,C1737&lt;&gt;INT(C1737)),"Shares must be a whole number",IF(COUNTIFS($A$4:$A$2503,A1737,$B$4:$B$2503,B1737,$D$4:$D$2503,D1737)&gt;1,"Duplicate row (same date)","OK"))))))</f>
        <v/>
      </c>
    </row>
    <row r="1738">
      <c r="A1738" s="26" t="n"/>
      <c r="B1738" s="26" t="n"/>
      <c r="C1738" s="34" t="n"/>
      <c r="D1738" s="28" t="n"/>
      <c r="E1738" s="26" t="n"/>
      <c r="F1738" s="26" t="n"/>
      <c r="G1738" s="26" t="n"/>
      <c r="H1738" s="38" t="n"/>
      <c r="I1738" s="28" t="n"/>
      <c r="J1738" s="30">
        <f>IF(B1738="","",IFERROR(INDEX('Share classes'!$A$4:$A$203,MATCH(B1738,'Share classes'!$B$4:$B$203,0)),""))</f>
        <v/>
      </c>
      <c r="K1738" s="30">
        <f>IF(A1738="","",IFERROR(INDEX('Holders'!$B$4:$B$1003,MATCH(A1738,'Holders'!$A$4:$A$1003,0)),""))</f>
        <v/>
      </c>
      <c r="L1738" s="30">
        <f>IF(OR(A1738="",B1738="",D1738=""),"",IF(D1738=_xlfn.MAXIFS($D$4:$D$2503,$A$4:$A$2503,A1738,$B$4:$B$2503,B1738),"Yes","No"))</f>
        <v/>
      </c>
      <c r="M1738" s="30">
        <f>IF(B1738="","",IFERROR(INDEX('Share classes'!$F$4:$F$203,MATCH(B1738,'Share classes'!$B$4:$B$203,0)),""))</f>
        <v/>
      </c>
      <c r="N1738" s="30">
        <f>IF(A1738="","",IF(K1738="","Unknown holder ID",IF(J1738="","Unknown class code",IF(OR(C1738="",D1738=""),"Missing shares or date",IF(OR(C1738&lt;0,C1738&lt;&gt;INT(C1738)),"Shares must be a whole number",IF(COUNTIFS($A$4:$A$2503,A1738,$B$4:$B$2503,B1738,$D$4:$D$2503,D1738)&gt;1,"Duplicate row (same date)","OK"))))))</f>
        <v/>
      </c>
    </row>
    <row r="1739">
      <c r="A1739" s="26" t="n"/>
      <c r="B1739" s="26" t="n"/>
      <c r="C1739" s="34" t="n"/>
      <c r="D1739" s="28" t="n"/>
      <c r="E1739" s="26" t="n"/>
      <c r="F1739" s="26" t="n"/>
      <c r="G1739" s="26" t="n"/>
      <c r="H1739" s="38" t="n"/>
      <c r="I1739" s="28" t="n"/>
      <c r="J1739" s="30">
        <f>IF(B1739="","",IFERROR(INDEX('Share classes'!$A$4:$A$203,MATCH(B1739,'Share classes'!$B$4:$B$203,0)),""))</f>
        <v/>
      </c>
      <c r="K1739" s="30">
        <f>IF(A1739="","",IFERROR(INDEX('Holders'!$B$4:$B$1003,MATCH(A1739,'Holders'!$A$4:$A$1003,0)),""))</f>
        <v/>
      </c>
      <c r="L1739" s="30">
        <f>IF(OR(A1739="",B1739="",D1739=""),"",IF(D1739=_xlfn.MAXIFS($D$4:$D$2503,$A$4:$A$2503,A1739,$B$4:$B$2503,B1739),"Yes","No"))</f>
        <v/>
      </c>
      <c r="M1739" s="30">
        <f>IF(B1739="","",IFERROR(INDEX('Share classes'!$F$4:$F$203,MATCH(B1739,'Share classes'!$B$4:$B$203,0)),""))</f>
        <v/>
      </c>
      <c r="N1739" s="30">
        <f>IF(A1739="","",IF(K1739="","Unknown holder ID",IF(J1739="","Unknown class code",IF(OR(C1739="",D1739=""),"Missing shares or date",IF(OR(C1739&lt;0,C1739&lt;&gt;INT(C1739)),"Shares must be a whole number",IF(COUNTIFS($A$4:$A$2503,A1739,$B$4:$B$2503,B1739,$D$4:$D$2503,D1739)&gt;1,"Duplicate row (same date)","OK"))))))</f>
        <v/>
      </c>
    </row>
    <row r="1740">
      <c r="A1740" s="26" t="n"/>
      <c r="B1740" s="26" t="n"/>
      <c r="C1740" s="34" t="n"/>
      <c r="D1740" s="28" t="n"/>
      <c r="E1740" s="26" t="n"/>
      <c r="F1740" s="26" t="n"/>
      <c r="G1740" s="26" t="n"/>
      <c r="H1740" s="38" t="n"/>
      <c r="I1740" s="28" t="n"/>
      <c r="J1740" s="30">
        <f>IF(B1740="","",IFERROR(INDEX('Share classes'!$A$4:$A$203,MATCH(B1740,'Share classes'!$B$4:$B$203,0)),""))</f>
        <v/>
      </c>
      <c r="K1740" s="30">
        <f>IF(A1740="","",IFERROR(INDEX('Holders'!$B$4:$B$1003,MATCH(A1740,'Holders'!$A$4:$A$1003,0)),""))</f>
        <v/>
      </c>
      <c r="L1740" s="30">
        <f>IF(OR(A1740="",B1740="",D1740=""),"",IF(D1740=_xlfn.MAXIFS($D$4:$D$2503,$A$4:$A$2503,A1740,$B$4:$B$2503,B1740),"Yes","No"))</f>
        <v/>
      </c>
      <c r="M1740" s="30">
        <f>IF(B1740="","",IFERROR(INDEX('Share classes'!$F$4:$F$203,MATCH(B1740,'Share classes'!$B$4:$B$203,0)),""))</f>
        <v/>
      </c>
      <c r="N1740" s="30">
        <f>IF(A1740="","",IF(K1740="","Unknown holder ID",IF(J1740="","Unknown class code",IF(OR(C1740="",D1740=""),"Missing shares or date",IF(OR(C1740&lt;0,C1740&lt;&gt;INT(C1740)),"Shares must be a whole number",IF(COUNTIFS($A$4:$A$2503,A1740,$B$4:$B$2503,B1740,$D$4:$D$2503,D1740)&gt;1,"Duplicate row (same date)","OK"))))))</f>
        <v/>
      </c>
    </row>
    <row r="1741">
      <c r="A1741" s="26" t="n"/>
      <c r="B1741" s="26" t="n"/>
      <c r="C1741" s="34" t="n"/>
      <c r="D1741" s="28" t="n"/>
      <c r="E1741" s="26" t="n"/>
      <c r="F1741" s="26" t="n"/>
      <c r="G1741" s="26" t="n"/>
      <c r="H1741" s="38" t="n"/>
      <c r="I1741" s="28" t="n"/>
      <c r="J1741" s="30">
        <f>IF(B1741="","",IFERROR(INDEX('Share classes'!$A$4:$A$203,MATCH(B1741,'Share classes'!$B$4:$B$203,0)),""))</f>
        <v/>
      </c>
      <c r="K1741" s="30">
        <f>IF(A1741="","",IFERROR(INDEX('Holders'!$B$4:$B$1003,MATCH(A1741,'Holders'!$A$4:$A$1003,0)),""))</f>
        <v/>
      </c>
      <c r="L1741" s="30">
        <f>IF(OR(A1741="",B1741="",D1741=""),"",IF(D1741=_xlfn.MAXIFS($D$4:$D$2503,$A$4:$A$2503,A1741,$B$4:$B$2503,B1741),"Yes","No"))</f>
        <v/>
      </c>
      <c r="M1741" s="30">
        <f>IF(B1741="","",IFERROR(INDEX('Share classes'!$F$4:$F$203,MATCH(B1741,'Share classes'!$B$4:$B$203,0)),""))</f>
        <v/>
      </c>
      <c r="N1741" s="30">
        <f>IF(A1741="","",IF(K1741="","Unknown holder ID",IF(J1741="","Unknown class code",IF(OR(C1741="",D1741=""),"Missing shares or date",IF(OR(C1741&lt;0,C1741&lt;&gt;INT(C1741)),"Shares must be a whole number",IF(COUNTIFS($A$4:$A$2503,A1741,$B$4:$B$2503,B1741,$D$4:$D$2503,D1741)&gt;1,"Duplicate row (same date)","OK"))))))</f>
        <v/>
      </c>
    </row>
    <row r="1742">
      <c r="A1742" s="26" t="n"/>
      <c r="B1742" s="26" t="n"/>
      <c r="C1742" s="34" t="n"/>
      <c r="D1742" s="28" t="n"/>
      <c r="E1742" s="26" t="n"/>
      <c r="F1742" s="26" t="n"/>
      <c r="G1742" s="26" t="n"/>
      <c r="H1742" s="38" t="n"/>
      <c r="I1742" s="28" t="n"/>
      <c r="J1742" s="30">
        <f>IF(B1742="","",IFERROR(INDEX('Share classes'!$A$4:$A$203,MATCH(B1742,'Share classes'!$B$4:$B$203,0)),""))</f>
        <v/>
      </c>
      <c r="K1742" s="30">
        <f>IF(A1742="","",IFERROR(INDEX('Holders'!$B$4:$B$1003,MATCH(A1742,'Holders'!$A$4:$A$1003,0)),""))</f>
        <v/>
      </c>
      <c r="L1742" s="30">
        <f>IF(OR(A1742="",B1742="",D1742=""),"",IF(D1742=_xlfn.MAXIFS($D$4:$D$2503,$A$4:$A$2503,A1742,$B$4:$B$2503,B1742),"Yes","No"))</f>
        <v/>
      </c>
      <c r="M1742" s="30">
        <f>IF(B1742="","",IFERROR(INDEX('Share classes'!$F$4:$F$203,MATCH(B1742,'Share classes'!$B$4:$B$203,0)),""))</f>
        <v/>
      </c>
      <c r="N1742" s="30">
        <f>IF(A1742="","",IF(K1742="","Unknown holder ID",IF(J1742="","Unknown class code",IF(OR(C1742="",D1742=""),"Missing shares or date",IF(OR(C1742&lt;0,C1742&lt;&gt;INT(C1742)),"Shares must be a whole number",IF(COUNTIFS($A$4:$A$2503,A1742,$B$4:$B$2503,B1742,$D$4:$D$2503,D1742)&gt;1,"Duplicate row (same date)","OK"))))))</f>
        <v/>
      </c>
    </row>
    <row r="1743">
      <c r="A1743" s="26" t="n"/>
      <c r="B1743" s="26" t="n"/>
      <c r="C1743" s="34" t="n"/>
      <c r="D1743" s="28" t="n"/>
      <c r="E1743" s="26" t="n"/>
      <c r="F1743" s="26" t="n"/>
      <c r="G1743" s="26" t="n"/>
      <c r="H1743" s="38" t="n"/>
      <c r="I1743" s="28" t="n"/>
      <c r="J1743" s="30">
        <f>IF(B1743="","",IFERROR(INDEX('Share classes'!$A$4:$A$203,MATCH(B1743,'Share classes'!$B$4:$B$203,0)),""))</f>
        <v/>
      </c>
      <c r="K1743" s="30">
        <f>IF(A1743="","",IFERROR(INDEX('Holders'!$B$4:$B$1003,MATCH(A1743,'Holders'!$A$4:$A$1003,0)),""))</f>
        <v/>
      </c>
      <c r="L1743" s="30">
        <f>IF(OR(A1743="",B1743="",D1743=""),"",IF(D1743=_xlfn.MAXIFS($D$4:$D$2503,$A$4:$A$2503,A1743,$B$4:$B$2503,B1743),"Yes","No"))</f>
        <v/>
      </c>
      <c r="M1743" s="30">
        <f>IF(B1743="","",IFERROR(INDEX('Share classes'!$F$4:$F$203,MATCH(B1743,'Share classes'!$B$4:$B$203,0)),""))</f>
        <v/>
      </c>
      <c r="N1743" s="30">
        <f>IF(A1743="","",IF(K1743="","Unknown holder ID",IF(J1743="","Unknown class code",IF(OR(C1743="",D1743=""),"Missing shares or date",IF(OR(C1743&lt;0,C1743&lt;&gt;INT(C1743)),"Shares must be a whole number",IF(COUNTIFS($A$4:$A$2503,A1743,$B$4:$B$2503,B1743,$D$4:$D$2503,D1743)&gt;1,"Duplicate row (same date)","OK"))))))</f>
        <v/>
      </c>
    </row>
    <row r="1744">
      <c r="A1744" s="26" t="n"/>
      <c r="B1744" s="26" t="n"/>
      <c r="C1744" s="34" t="n"/>
      <c r="D1744" s="28" t="n"/>
      <c r="E1744" s="26" t="n"/>
      <c r="F1744" s="26" t="n"/>
      <c r="G1744" s="26" t="n"/>
      <c r="H1744" s="38" t="n"/>
      <c r="I1744" s="28" t="n"/>
      <c r="J1744" s="30">
        <f>IF(B1744="","",IFERROR(INDEX('Share classes'!$A$4:$A$203,MATCH(B1744,'Share classes'!$B$4:$B$203,0)),""))</f>
        <v/>
      </c>
      <c r="K1744" s="30">
        <f>IF(A1744="","",IFERROR(INDEX('Holders'!$B$4:$B$1003,MATCH(A1744,'Holders'!$A$4:$A$1003,0)),""))</f>
        <v/>
      </c>
      <c r="L1744" s="30">
        <f>IF(OR(A1744="",B1744="",D1744=""),"",IF(D1744=_xlfn.MAXIFS($D$4:$D$2503,$A$4:$A$2503,A1744,$B$4:$B$2503,B1744),"Yes","No"))</f>
        <v/>
      </c>
      <c r="M1744" s="30">
        <f>IF(B1744="","",IFERROR(INDEX('Share classes'!$F$4:$F$203,MATCH(B1744,'Share classes'!$B$4:$B$203,0)),""))</f>
        <v/>
      </c>
      <c r="N1744" s="30">
        <f>IF(A1744="","",IF(K1744="","Unknown holder ID",IF(J1744="","Unknown class code",IF(OR(C1744="",D1744=""),"Missing shares or date",IF(OR(C1744&lt;0,C1744&lt;&gt;INT(C1744)),"Shares must be a whole number",IF(COUNTIFS($A$4:$A$2503,A1744,$B$4:$B$2503,B1744,$D$4:$D$2503,D1744)&gt;1,"Duplicate row (same date)","OK"))))))</f>
        <v/>
      </c>
    </row>
    <row r="1745">
      <c r="A1745" s="26" t="n"/>
      <c r="B1745" s="26" t="n"/>
      <c r="C1745" s="34" t="n"/>
      <c r="D1745" s="28" t="n"/>
      <c r="E1745" s="26" t="n"/>
      <c r="F1745" s="26" t="n"/>
      <c r="G1745" s="26" t="n"/>
      <c r="H1745" s="38" t="n"/>
      <c r="I1745" s="28" t="n"/>
      <c r="J1745" s="30">
        <f>IF(B1745="","",IFERROR(INDEX('Share classes'!$A$4:$A$203,MATCH(B1745,'Share classes'!$B$4:$B$203,0)),""))</f>
        <v/>
      </c>
      <c r="K1745" s="30">
        <f>IF(A1745="","",IFERROR(INDEX('Holders'!$B$4:$B$1003,MATCH(A1745,'Holders'!$A$4:$A$1003,0)),""))</f>
        <v/>
      </c>
      <c r="L1745" s="30">
        <f>IF(OR(A1745="",B1745="",D1745=""),"",IF(D1745=_xlfn.MAXIFS($D$4:$D$2503,$A$4:$A$2503,A1745,$B$4:$B$2503,B1745),"Yes","No"))</f>
        <v/>
      </c>
      <c r="M1745" s="30">
        <f>IF(B1745="","",IFERROR(INDEX('Share classes'!$F$4:$F$203,MATCH(B1745,'Share classes'!$B$4:$B$203,0)),""))</f>
        <v/>
      </c>
      <c r="N1745" s="30">
        <f>IF(A1745="","",IF(K1745="","Unknown holder ID",IF(J1745="","Unknown class code",IF(OR(C1745="",D1745=""),"Missing shares or date",IF(OR(C1745&lt;0,C1745&lt;&gt;INT(C1745)),"Shares must be a whole number",IF(COUNTIFS($A$4:$A$2503,A1745,$B$4:$B$2503,B1745,$D$4:$D$2503,D1745)&gt;1,"Duplicate row (same date)","OK"))))))</f>
        <v/>
      </c>
    </row>
    <row r="1746">
      <c r="A1746" s="26" t="n"/>
      <c r="B1746" s="26" t="n"/>
      <c r="C1746" s="34" t="n"/>
      <c r="D1746" s="28" t="n"/>
      <c r="E1746" s="26" t="n"/>
      <c r="F1746" s="26" t="n"/>
      <c r="G1746" s="26" t="n"/>
      <c r="H1746" s="38" t="n"/>
      <c r="I1746" s="28" t="n"/>
      <c r="J1746" s="30">
        <f>IF(B1746="","",IFERROR(INDEX('Share classes'!$A$4:$A$203,MATCH(B1746,'Share classes'!$B$4:$B$203,0)),""))</f>
        <v/>
      </c>
      <c r="K1746" s="30">
        <f>IF(A1746="","",IFERROR(INDEX('Holders'!$B$4:$B$1003,MATCH(A1746,'Holders'!$A$4:$A$1003,0)),""))</f>
        <v/>
      </c>
      <c r="L1746" s="30">
        <f>IF(OR(A1746="",B1746="",D1746=""),"",IF(D1746=_xlfn.MAXIFS($D$4:$D$2503,$A$4:$A$2503,A1746,$B$4:$B$2503,B1746),"Yes","No"))</f>
        <v/>
      </c>
      <c r="M1746" s="30">
        <f>IF(B1746="","",IFERROR(INDEX('Share classes'!$F$4:$F$203,MATCH(B1746,'Share classes'!$B$4:$B$203,0)),""))</f>
        <v/>
      </c>
      <c r="N1746" s="30">
        <f>IF(A1746="","",IF(K1746="","Unknown holder ID",IF(J1746="","Unknown class code",IF(OR(C1746="",D1746=""),"Missing shares or date",IF(OR(C1746&lt;0,C1746&lt;&gt;INT(C1746)),"Shares must be a whole number",IF(COUNTIFS($A$4:$A$2503,A1746,$B$4:$B$2503,B1746,$D$4:$D$2503,D1746)&gt;1,"Duplicate row (same date)","OK"))))))</f>
        <v/>
      </c>
    </row>
    <row r="1747">
      <c r="A1747" s="26" t="n"/>
      <c r="B1747" s="26" t="n"/>
      <c r="C1747" s="34" t="n"/>
      <c r="D1747" s="28" t="n"/>
      <c r="E1747" s="26" t="n"/>
      <c r="F1747" s="26" t="n"/>
      <c r="G1747" s="26" t="n"/>
      <c r="H1747" s="38" t="n"/>
      <c r="I1747" s="28" t="n"/>
      <c r="J1747" s="30">
        <f>IF(B1747="","",IFERROR(INDEX('Share classes'!$A$4:$A$203,MATCH(B1747,'Share classes'!$B$4:$B$203,0)),""))</f>
        <v/>
      </c>
      <c r="K1747" s="30">
        <f>IF(A1747="","",IFERROR(INDEX('Holders'!$B$4:$B$1003,MATCH(A1747,'Holders'!$A$4:$A$1003,0)),""))</f>
        <v/>
      </c>
      <c r="L1747" s="30">
        <f>IF(OR(A1747="",B1747="",D1747=""),"",IF(D1747=_xlfn.MAXIFS($D$4:$D$2503,$A$4:$A$2503,A1747,$B$4:$B$2503,B1747),"Yes","No"))</f>
        <v/>
      </c>
      <c r="M1747" s="30">
        <f>IF(B1747="","",IFERROR(INDEX('Share classes'!$F$4:$F$203,MATCH(B1747,'Share classes'!$B$4:$B$203,0)),""))</f>
        <v/>
      </c>
      <c r="N1747" s="30">
        <f>IF(A1747="","",IF(K1747="","Unknown holder ID",IF(J1747="","Unknown class code",IF(OR(C1747="",D1747=""),"Missing shares or date",IF(OR(C1747&lt;0,C1747&lt;&gt;INT(C1747)),"Shares must be a whole number",IF(COUNTIFS($A$4:$A$2503,A1747,$B$4:$B$2503,B1747,$D$4:$D$2503,D1747)&gt;1,"Duplicate row (same date)","OK"))))))</f>
        <v/>
      </c>
    </row>
    <row r="1748">
      <c r="A1748" s="26" t="n"/>
      <c r="B1748" s="26" t="n"/>
      <c r="C1748" s="34" t="n"/>
      <c r="D1748" s="28" t="n"/>
      <c r="E1748" s="26" t="n"/>
      <c r="F1748" s="26" t="n"/>
      <c r="G1748" s="26" t="n"/>
      <c r="H1748" s="38" t="n"/>
      <c r="I1748" s="28" t="n"/>
      <c r="J1748" s="30">
        <f>IF(B1748="","",IFERROR(INDEX('Share classes'!$A$4:$A$203,MATCH(B1748,'Share classes'!$B$4:$B$203,0)),""))</f>
        <v/>
      </c>
      <c r="K1748" s="30">
        <f>IF(A1748="","",IFERROR(INDEX('Holders'!$B$4:$B$1003,MATCH(A1748,'Holders'!$A$4:$A$1003,0)),""))</f>
        <v/>
      </c>
      <c r="L1748" s="30">
        <f>IF(OR(A1748="",B1748="",D1748=""),"",IF(D1748=_xlfn.MAXIFS($D$4:$D$2503,$A$4:$A$2503,A1748,$B$4:$B$2503,B1748),"Yes","No"))</f>
        <v/>
      </c>
      <c r="M1748" s="30">
        <f>IF(B1748="","",IFERROR(INDEX('Share classes'!$F$4:$F$203,MATCH(B1748,'Share classes'!$B$4:$B$203,0)),""))</f>
        <v/>
      </c>
      <c r="N1748" s="30">
        <f>IF(A1748="","",IF(K1748="","Unknown holder ID",IF(J1748="","Unknown class code",IF(OR(C1748="",D1748=""),"Missing shares or date",IF(OR(C1748&lt;0,C1748&lt;&gt;INT(C1748)),"Shares must be a whole number",IF(COUNTIFS($A$4:$A$2503,A1748,$B$4:$B$2503,B1748,$D$4:$D$2503,D1748)&gt;1,"Duplicate row (same date)","OK"))))))</f>
        <v/>
      </c>
    </row>
    <row r="1749">
      <c r="A1749" s="26" t="n"/>
      <c r="B1749" s="26" t="n"/>
      <c r="C1749" s="34" t="n"/>
      <c r="D1749" s="28" t="n"/>
      <c r="E1749" s="26" t="n"/>
      <c r="F1749" s="26" t="n"/>
      <c r="G1749" s="26" t="n"/>
      <c r="H1749" s="38" t="n"/>
      <c r="I1749" s="28" t="n"/>
      <c r="J1749" s="30">
        <f>IF(B1749="","",IFERROR(INDEX('Share classes'!$A$4:$A$203,MATCH(B1749,'Share classes'!$B$4:$B$203,0)),""))</f>
        <v/>
      </c>
      <c r="K1749" s="30">
        <f>IF(A1749="","",IFERROR(INDEX('Holders'!$B$4:$B$1003,MATCH(A1749,'Holders'!$A$4:$A$1003,0)),""))</f>
        <v/>
      </c>
      <c r="L1749" s="30">
        <f>IF(OR(A1749="",B1749="",D1749=""),"",IF(D1749=_xlfn.MAXIFS($D$4:$D$2503,$A$4:$A$2503,A1749,$B$4:$B$2503,B1749),"Yes","No"))</f>
        <v/>
      </c>
      <c r="M1749" s="30">
        <f>IF(B1749="","",IFERROR(INDEX('Share classes'!$F$4:$F$203,MATCH(B1749,'Share classes'!$B$4:$B$203,0)),""))</f>
        <v/>
      </c>
      <c r="N1749" s="30">
        <f>IF(A1749="","",IF(K1749="","Unknown holder ID",IF(J1749="","Unknown class code",IF(OR(C1749="",D1749=""),"Missing shares or date",IF(OR(C1749&lt;0,C1749&lt;&gt;INT(C1749)),"Shares must be a whole number",IF(COUNTIFS($A$4:$A$2503,A1749,$B$4:$B$2503,B1749,$D$4:$D$2503,D1749)&gt;1,"Duplicate row (same date)","OK"))))))</f>
        <v/>
      </c>
    </row>
    <row r="1750">
      <c r="A1750" s="26" t="n"/>
      <c r="B1750" s="26" t="n"/>
      <c r="C1750" s="34" t="n"/>
      <c r="D1750" s="28" t="n"/>
      <c r="E1750" s="26" t="n"/>
      <c r="F1750" s="26" t="n"/>
      <c r="G1750" s="26" t="n"/>
      <c r="H1750" s="38" t="n"/>
      <c r="I1750" s="28" t="n"/>
      <c r="J1750" s="30">
        <f>IF(B1750="","",IFERROR(INDEX('Share classes'!$A$4:$A$203,MATCH(B1750,'Share classes'!$B$4:$B$203,0)),""))</f>
        <v/>
      </c>
      <c r="K1750" s="30">
        <f>IF(A1750="","",IFERROR(INDEX('Holders'!$B$4:$B$1003,MATCH(A1750,'Holders'!$A$4:$A$1003,0)),""))</f>
        <v/>
      </c>
      <c r="L1750" s="30">
        <f>IF(OR(A1750="",B1750="",D1750=""),"",IF(D1750=_xlfn.MAXIFS($D$4:$D$2503,$A$4:$A$2503,A1750,$B$4:$B$2503,B1750),"Yes","No"))</f>
        <v/>
      </c>
      <c r="M1750" s="30">
        <f>IF(B1750="","",IFERROR(INDEX('Share classes'!$F$4:$F$203,MATCH(B1750,'Share classes'!$B$4:$B$203,0)),""))</f>
        <v/>
      </c>
      <c r="N1750" s="30">
        <f>IF(A1750="","",IF(K1750="","Unknown holder ID",IF(J1750="","Unknown class code",IF(OR(C1750="",D1750=""),"Missing shares or date",IF(OR(C1750&lt;0,C1750&lt;&gt;INT(C1750)),"Shares must be a whole number",IF(COUNTIFS($A$4:$A$2503,A1750,$B$4:$B$2503,B1750,$D$4:$D$2503,D1750)&gt;1,"Duplicate row (same date)","OK"))))))</f>
        <v/>
      </c>
    </row>
    <row r="1751">
      <c r="A1751" s="26" t="n"/>
      <c r="B1751" s="26" t="n"/>
      <c r="C1751" s="34" t="n"/>
      <c r="D1751" s="28" t="n"/>
      <c r="E1751" s="26" t="n"/>
      <c r="F1751" s="26" t="n"/>
      <c r="G1751" s="26" t="n"/>
      <c r="H1751" s="38" t="n"/>
      <c r="I1751" s="28" t="n"/>
      <c r="J1751" s="30">
        <f>IF(B1751="","",IFERROR(INDEX('Share classes'!$A$4:$A$203,MATCH(B1751,'Share classes'!$B$4:$B$203,0)),""))</f>
        <v/>
      </c>
      <c r="K1751" s="30">
        <f>IF(A1751="","",IFERROR(INDEX('Holders'!$B$4:$B$1003,MATCH(A1751,'Holders'!$A$4:$A$1003,0)),""))</f>
        <v/>
      </c>
      <c r="L1751" s="30">
        <f>IF(OR(A1751="",B1751="",D1751=""),"",IF(D1751=_xlfn.MAXIFS($D$4:$D$2503,$A$4:$A$2503,A1751,$B$4:$B$2503,B1751),"Yes","No"))</f>
        <v/>
      </c>
      <c r="M1751" s="30">
        <f>IF(B1751="","",IFERROR(INDEX('Share classes'!$F$4:$F$203,MATCH(B1751,'Share classes'!$B$4:$B$203,0)),""))</f>
        <v/>
      </c>
      <c r="N1751" s="30">
        <f>IF(A1751="","",IF(K1751="","Unknown holder ID",IF(J1751="","Unknown class code",IF(OR(C1751="",D1751=""),"Missing shares or date",IF(OR(C1751&lt;0,C1751&lt;&gt;INT(C1751)),"Shares must be a whole number",IF(COUNTIFS($A$4:$A$2503,A1751,$B$4:$B$2503,B1751,$D$4:$D$2503,D1751)&gt;1,"Duplicate row (same date)","OK"))))))</f>
        <v/>
      </c>
    </row>
    <row r="1752">
      <c r="A1752" s="26" t="n"/>
      <c r="B1752" s="26" t="n"/>
      <c r="C1752" s="34" t="n"/>
      <c r="D1752" s="28" t="n"/>
      <c r="E1752" s="26" t="n"/>
      <c r="F1752" s="26" t="n"/>
      <c r="G1752" s="26" t="n"/>
      <c r="H1752" s="38" t="n"/>
      <c r="I1752" s="28" t="n"/>
      <c r="J1752" s="30">
        <f>IF(B1752="","",IFERROR(INDEX('Share classes'!$A$4:$A$203,MATCH(B1752,'Share classes'!$B$4:$B$203,0)),""))</f>
        <v/>
      </c>
      <c r="K1752" s="30">
        <f>IF(A1752="","",IFERROR(INDEX('Holders'!$B$4:$B$1003,MATCH(A1752,'Holders'!$A$4:$A$1003,0)),""))</f>
        <v/>
      </c>
      <c r="L1752" s="30">
        <f>IF(OR(A1752="",B1752="",D1752=""),"",IF(D1752=_xlfn.MAXIFS($D$4:$D$2503,$A$4:$A$2503,A1752,$B$4:$B$2503,B1752),"Yes","No"))</f>
        <v/>
      </c>
      <c r="M1752" s="30">
        <f>IF(B1752="","",IFERROR(INDEX('Share classes'!$F$4:$F$203,MATCH(B1752,'Share classes'!$B$4:$B$203,0)),""))</f>
        <v/>
      </c>
      <c r="N1752" s="30">
        <f>IF(A1752="","",IF(K1752="","Unknown holder ID",IF(J1752="","Unknown class code",IF(OR(C1752="",D1752=""),"Missing shares or date",IF(OR(C1752&lt;0,C1752&lt;&gt;INT(C1752)),"Shares must be a whole number",IF(COUNTIFS($A$4:$A$2503,A1752,$B$4:$B$2503,B1752,$D$4:$D$2503,D1752)&gt;1,"Duplicate row (same date)","OK"))))))</f>
        <v/>
      </c>
    </row>
    <row r="1753">
      <c r="A1753" s="26" t="n"/>
      <c r="B1753" s="26" t="n"/>
      <c r="C1753" s="34" t="n"/>
      <c r="D1753" s="28" t="n"/>
      <c r="E1753" s="26" t="n"/>
      <c r="F1753" s="26" t="n"/>
      <c r="G1753" s="26" t="n"/>
      <c r="H1753" s="38" t="n"/>
      <c r="I1753" s="28" t="n"/>
      <c r="J1753" s="30">
        <f>IF(B1753="","",IFERROR(INDEX('Share classes'!$A$4:$A$203,MATCH(B1753,'Share classes'!$B$4:$B$203,0)),""))</f>
        <v/>
      </c>
      <c r="K1753" s="30">
        <f>IF(A1753="","",IFERROR(INDEX('Holders'!$B$4:$B$1003,MATCH(A1753,'Holders'!$A$4:$A$1003,0)),""))</f>
        <v/>
      </c>
      <c r="L1753" s="30">
        <f>IF(OR(A1753="",B1753="",D1753=""),"",IF(D1753=_xlfn.MAXIFS($D$4:$D$2503,$A$4:$A$2503,A1753,$B$4:$B$2503,B1753),"Yes","No"))</f>
        <v/>
      </c>
      <c r="M1753" s="30">
        <f>IF(B1753="","",IFERROR(INDEX('Share classes'!$F$4:$F$203,MATCH(B1753,'Share classes'!$B$4:$B$203,0)),""))</f>
        <v/>
      </c>
      <c r="N1753" s="30">
        <f>IF(A1753="","",IF(K1753="","Unknown holder ID",IF(J1753="","Unknown class code",IF(OR(C1753="",D1753=""),"Missing shares or date",IF(OR(C1753&lt;0,C1753&lt;&gt;INT(C1753)),"Shares must be a whole number",IF(COUNTIFS($A$4:$A$2503,A1753,$B$4:$B$2503,B1753,$D$4:$D$2503,D1753)&gt;1,"Duplicate row (same date)","OK"))))))</f>
        <v/>
      </c>
    </row>
    <row r="1754">
      <c r="A1754" s="26" t="n"/>
      <c r="B1754" s="26" t="n"/>
      <c r="C1754" s="34" t="n"/>
      <c r="D1754" s="28" t="n"/>
      <c r="E1754" s="26" t="n"/>
      <c r="F1754" s="26" t="n"/>
      <c r="G1754" s="26" t="n"/>
      <c r="H1754" s="38" t="n"/>
      <c r="I1754" s="28" t="n"/>
      <c r="J1754" s="30">
        <f>IF(B1754="","",IFERROR(INDEX('Share classes'!$A$4:$A$203,MATCH(B1754,'Share classes'!$B$4:$B$203,0)),""))</f>
        <v/>
      </c>
      <c r="K1754" s="30">
        <f>IF(A1754="","",IFERROR(INDEX('Holders'!$B$4:$B$1003,MATCH(A1754,'Holders'!$A$4:$A$1003,0)),""))</f>
        <v/>
      </c>
      <c r="L1754" s="30">
        <f>IF(OR(A1754="",B1754="",D1754=""),"",IF(D1754=_xlfn.MAXIFS($D$4:$D$2503,$A$4:$A$2503,A1754,$B$4:$B$2503,B1754),"Yes","No"))</f>
        <v/>
      </c>
      <c r="M1754" s="30">
        <f>IF(B1754="","",IFERROR(INDEX('Share classes'!$F$4:$F$203,MATCH(B1754,'Share classes'!$B$4:$B$203,0)),""))</f>
        <v/>
      </c>
      <c r="N1754" s="30">
        <f>IF(A1754="","",IF(K1754="","Unknown holder ID",IF(J1754="","Unknown class code",IF(OR(C1754="",D1754=""),"Missing shares or date",IF(OR(C1754&lt;0,C1754&lt;&gt;INT(C1754)),"Shares must be a whole number",IF(COUNTIFS($A$4:$A$2503,A1754,$B$4:$B$2503,B1754,$D$4:$D$2503,D1754)&gt;1,"Duplicate row (same date)","OK"))))))</f>
        <v/>
      </c>
    </row>
    <row r="1755">
      <c r="A1755" s="26" t="n"/>
      <c r="B1755" s="26" t="n"/>
      <c r="C1755" s="34" t="n"/>
      <c r="D1755" s="28" t="n"/>
      <c r="E1755" s="26" t="n"/>
      <c r="F1755" s="26" t="n"/>
      <c r="G1755" s="26" t="n"/>
      <c r="H1755" s="38" t="n"/>
      <c r="I1755" s="28" t="n"/>
      <c r="J1755" s="30">
        <f>IF(B1755="","",IFERROR(INDEX('Share classes'!$A$4:$A$203,MATCH(B1755,'Share classes'!$B$4:$B$203,0)),""))</f>
        <v/>
      </c>
      <c r="K1755" s="30">
        <f>IF(A1755="","",IFERROR(INDEX('Holders'!$B$4:$B$1003,MATCH(A1755,'Holders'!$A$4:$A$1003,0)),""))</f>
        <v/>
      </c>
      <c r="L1755" s="30">
        <f>IF(OR(A1755="",B1755="",D1755=""),"",IF(D1755=_xlfn.MAXIFS($D$4:$D$2503,$A$4:$A$2503,A1755,$B$4:$B$2503,B1755),"Yes","No"))</f>
        <v/>
      </c>
      <c r="M1755" s="30">
        <f>IF(B1755="","",IFERROR(INDEX('Share classes'!$F$4:$F$203,MATCH(B1755,'Share classes'!$B$4:$B$203,0)),""))</f>
        <v/>
      </c>
      <c r="N1755" s="30">
        <f>IF(A1755="","",IF(K1755="","Unknown holder ID",IF(J1755="","Unknown class code",IF(OR(C1755="",D1755=""),"Missing shares or date",IF(OR(C1755&lt;0,C1755&lt;&gt;INT(C1755)),"Shares must be a whole number",IF(COUNTIFS($A$4:$A$2503,A1755,$B$4:$B$2503,B1755,$D$4:$D$2503,D1755)&gt;1,"Duplicate row (same date)","OK"))))))</f>
        <v/>
      </c>
    </row>
    <row r="1756">
      <c r="A1756" s="26" t="n"/>
      <c r="B1756" s="26" t="n"/>
      <c r="C1756" s="34" t="n"/>
      <c r="D1756" s="28" t="n"/>
      <c r="E1756" s="26" t="n"/>
      <c r="F1756" s="26" t="n"/>
      <c r="G1756" s="26" t="n"/>
      <c r="H1756" s="38" t="n"/>
      <c r="I1756" s="28" t="n"/>
      <c r="J1756" s="30">
        <f>IF(B1756="","",IFERROR(INDEX('Share classes'!$A$4:$A$203,MATCH(B1756,'Share classes'!$B$4:$B$203,0)),""))</f>
        <v/>
      </c>
      <c r="K1756" s="30">
        <f>IF(A1756="","",IFERROR(INDEX('Holders'!$B$4:$B$1003,MATCH(A1756,'Holders'!$A$4:$A$1003,0)),""))</f>
        <v/>
      </c>
      <c r="L1756" s="30">
        <f>IF(OR(A1756="",B1756="",D1756=""),"",IF(D1756=_xlfn.MAXIFS($D$4:$D$2503,$A$4:$A$2503,A1756,$B$4:$B$2503,B1756),"Yes","No"))</f>
        <v/>
      </c>
      <c r="M1756" s="30">
        <f>IF(B1756="","",IFERROR(INDEX('Share classes'!$F$4:$F$203,MATCH(B1756,'Share classes'!$B$4:$B$203,0)),""))</f>
        <v/>
      </c>
      <c r="N1756" s="30">
        <f>IF(A1756="","",IF(K1756="","Unknown holder ID",IF(J1756="","Unknown class code",IF(OR(C1756="",D1756=""),"Missing shares or date",IF(OR(C1756&lt;0,C1756&lt;&gt;INT(C1756)),"Shares must be a whole number",IF(COUNTIFS($A$4:$A$2503,A1756,$B$4:$B$2503,B1756,$D$4:$D$2503,D1756)&gt;1,"Duplicate row (same date)","OK"))))))</f>
        <v/>
      </c>
    </row>
    <row r="1757">
      <c r="A1757" s="26" t="n"/>
      <c r="B1757" s="26" t="n"/>
      <c r="C1757" s="34" t="n"/>
      <c r="D1757" s="28" t="n"/>
      <c r="E1757" s="26" t="n"/>
      <c r="F1757" s="26" t="n"/>
      <c r="G1757" s="26" t="n"/>
      <c r="H1757" s="38" t="n"/>
      <c r="I1757" s="28" t="n"/>
      <c r="J1757" s="30">
        <f>IF(B1757="","",IFERROR(INDEX('Share classes'!$A$4:$A$203,MATCH(B1757,'Share classes'!$B$4:$B$203,0)),""))</f>
        <v/>
      </c>
      <c r="K1757" s="30">
        <f>IF(A1757="","",IFERROR(INDEX('Holders'!$B$4:$B$1003,MATCH(A1757,'Holders'!$A$4:$A$1003,0)),""))</f>
        <v/>
      </c>
      <c r="L1757" s="30">
        <f>IF(OR(A1757="",B1757="",D1757=""),"",IF(D1757=_xlfn.MAXIFS($D$4:$D$2503,$A$4:$A$2503,A1757,$B$4:$B$2503,B1757),"Yes","No"))</f>
        <v/>
      </c>
      <c r="M1757" s="30">
        <f>IF(B1757="","",IFERROR(INDEX('Share classes'!$F$4:$F$203,MATCH(B1757,'Share classes'!$B$4:$B$203,0)),""))</f>
        <v/>
      </c>
      <c r="N1757" s="30">
        <f>IF(A1757="","",IF(K1757="","Unknown holder ID",IF(J1757="","Unknown class code",IF(OR(C1757="",D1757=""),"Missing shares or date",IF(OR(C1757&lt;0,C1757&lt;&gt;INT(C1757)),"Shares must be a whole number",IF(COUNTIFS($A$4:$A$2503,A1757,$B$4:$B$2503,B1757,$D$4:$D$2503,D1757)&gt;1,"Duplicate row (same date)","OK"))))))</f>
        <v/>
      </c>
    </row>
    <row r="1758">
      <c r="A1758" s="26" t="n"/>
      <c r="B1758" s="26" t="n"/>
      <c r="C1758" s="34" t="n"/>
      <c r="D1758" s="28" t="n"/>
      <c r="E1758" s="26" t="n"/>
      <c r="F1758" s="26" t="n"/>
      <c r="G1758" s="26" t="n"/>
      <c r="H1758" s="38" t="n"/>
      <c r="I1758" s="28" t="n"/>
      <c r="J1758" s="30">
        <f>IF(B1758="","",IFERROR(INDEX('Share classes'!$A$4:$A$203,MATCH(B1758,'Share classes'!$B$4:$B$203,0)),""))</f>
        <v/>
      </c>
      <c r="K1758" s="30">
        <f>IF(A1758="","",IFERROR(INDEX('Holders'!$B$4:$B$1003,MATCH(A1758,'Holders'!$A$4:$A$1003,0)),""))</f>
        <v/>
      </c>
      <c r="L1758" s="30">
        <f>IF(OR(A1758="",B1758="",D1758=""),"",IF(D1758=_xlfn.MAXIFS($D$4:$D$2503,$A$4:$A$2503,A1758,$B$4:$B$2503,B1758),"Yes","No"))</f>
        <v/>
      </c>
      <c r="M1758" s="30">
        <f>IF(B1758="","",IFERROR(INDEX('Share classes'!$F$4:$F$203,MATCH(B1758,'Share classes'!$B$4:$B$203,0)),""))</f>
        <v/>
      </c>
      <c r="N1758" s="30">
        <f>IF(A1758="","",IF(K1758="","Unknown holder ID",IF(J1758="","Unknown class code",IF(OR(C1758="",D1758=""),"Missing shares or date",IF(OR(C1758&lt;0,C1758&lt;&gt;INT(C1758)),"Shares must be a whole number",IF(COUNTIFS($A$4:$A$2503,A1758,$B$4:$B$2503,B1758,$D$4:$D$2503,D1758)&gt;1,"Duplicate row (same date)","OK"))))))</f>
        <v/>
      </c>
    </row>
    <row r="1759">
      <c r="A1759" s="26" t="n"/>
      <c r="B1759" s="26" t="n"/>
      <c r="C1759" s="34" t="n"/>
      <c r="D1759" s="28" t="n"/>
      <c r="E1759" s="26" t="n"/>
      <c r="F1759" s="26" t="n"/>
      <c r="G1759" s="26" t="n"/>
      <c r="H1759" s="38" t="n"/>
      <c r="I1759" s="28" t="n"/>
      <c r="J1759" s="30">
        <f>IF(B1759="","",IFERROR(INDEX('Share classes'!$A$4:$A$203,MATCH(B1759,'Share classes'!$B$4:$B$203,0)),""))</f>
        <v/>
      </c>
      <c r="K1759" s="30">
        <f>IF(A1759="","",IFERROR(INDEX('Holders'!$B$4:$B$1003,MATCH(A1759,'Holders'!$A$4:$A$1003,0)),""))</f>
        <v/>
      </c>
      <c r="L1759" s="30">
        <f>IF(OR(A1759="",B1759="",D1759=""),"",IF(D1759=_xlfn.MAXIFS($D$4:$D$2503,$A$4:$A$2503,A1759,$B$4:$B$2503,B1759),"Yes","No"))</f>
        <v/>
      </c>
      <c r="M1759" s="30">
        <f>IF(B1759="","",IFERROR(INDEX('Share classes'!$F$4:$F$203,MATCH(B1759,'Share classes'!$B$4:$B$203,0)),""))</f>
        <v/>
      </c>
      <c r="N1759" s="30">
        <f>IF(A1759="","",IF(K1759="","Unknown holder ID",IF(J1759="","Unknown class code",IF(OR(C1759="",D1759=""),"Missing shares or date",IF(OR(C1759&lt;0,C1759&lt;&gt;INT(C1759)),"Shares must be a whole number",IF(COUNTIFS($A$4:$A$2503,A1759,$B$4:$B$2503,B1759,$D$4:$D$2503,D1759)&gt;1,"Duplicate row (same date)","OK"))))))</f>
        <v/>
      </c>
    </row>
    <row r="1760">
      <c r="A1760" s="26" t="n"/>
      <c r="B1760" s="26" t="n"/>
      <c r="C1760" s="34" t="n"/>
      <c r="D1760" s="28" t="n"/>
      <c r="E1760" s="26" t="n"/>
      <c r="F1760" s="26" t="n"/>
      <c r="G1760" s="26" t="n"/>
      <c r="H1760" s="38" t="n"/>
      <c r="I1760" s="28" t="n"/>
      <c r="J1760" s="30">
        <f>IF(B1760="","",IFERROR(INDEX('Share classes'!$A$4:$A$203,MATCH(B1760,'Share classes'!$B$4:$B$203,0)),""))</f>
        <v/>
      </c>
      <c r="K1760" s="30">
        <f>IF(A1760="","",IFERROR(INDEX('Holders'!$B$4:$B$1003,MATCH(A1760,'Holders'!$A$4:$A$1003,0)),""))</f>
        <v/>
      </c>
      <c r="L1760" s="30">
        <f>IF(OR(A1760="",B1760="",D1760=""),"",IF(D1760=_xlfn.MAXIFS($D$4:$D$2503,$A$4:$A$2503,A1760,$B$4:$B$2503,B1760),"Yes","No"))</f>
        <v/>
      </c>
      <c r="M1760" s="30">
        <f>IF(B1760="","",IFERROR(INDEX('Share classes'!$F$4:$F$203,MATCH(B1760,'Share classes'!$B$4:$B$203,0)),""))</f>
        <v/>
      </c>
      <c r="N1760" s="30">
        <f>IF(A1760="","",IF(K1760="","Unknown holder ID",IF(J1760="","Unknown class code",IF(OR(C1760="",D1760=""),"Missing shares or date",IF(OR(C1760&lt;0,C1760&lt;&gt;INT(C1760)),"Shares must be a whole number",IF(COUNTIFS($A$4:$A$2503,A1760,$B$4:$B$2503,B1760,$D$4:$D$2503,D1760)&gt;1,"Duplicate row (same date)","OK"))))))</f>
        <v/>
      </c>
    </row>
    <row r="1761">
      <c r="A1761" s="26" t="n"/>
      <c r="B1761" s="26" t="n"/>
      <c r="C1761" s="34" t="n"/>
      <c r="D1761" s="28" t="n"/>
      <c r="E1761" s="26" t="n"/>
      <c r="F1761" s="26" t="n"/>
      <c r="G1761" s="26" t="n"/>
      <c r="H1761" s="38" t="n"/>
      <c r="I1761" s="28" t="n"/>
      <c r="J1761" s="30">
        <f>IF(B1761="","",IFERROR(INDEX('Share classes'!$A$4:$A$203,MATCH(B1761,'Share classes'!$B$4:$B$203,0)),""))</f>
        <v/>
      </c>
      <c r="K1761" s="30">
        <f>IF(A1761="","",IFERROR(INDEX('Holders'!$B$4:$B$1003,MATCH(A1761,'Holders'!$A$4:$A$1003,0)),""))</f>
        <v/>
      </c>
      <c r="L1761" s="30">
        <f>IF(OR(A1761="",B1761="",D1761=""),"",IF(D1761=_xlfn.MAXIFS($D$4:$D$2503,$A$4:$A$2503,A1761,$B$4:$B$2503,B1761),"Yes","No"))</f>
        <v/>
      </c>
      <c r="M1761" s="30">
        <f>IF(B1761="","",IFERROR(INDEX('Share classes'!$F$4:$F$203,MATCH(B1761,'Share classes'!$B$4:$B$203,0)),""))</f>
        <v/>
      </c>
      <c r="N1761" s="30">
        <f>IF(A1761="","",IF(K1761="","Unknown holder ID",IF(J1761="","Unknown class code",IF(OR(C1761="",D1761=""),"Missing shares or date",IF(OR(C1761&lt;0,C1761&lt;&gt;INT(C1761)),"Shares must be a whole number",IF(COUNTIFS($A$4:$A$2503,A1761,$B$4:$B$2503,B1761,$D$4:$D$2503,D1761)&gt;1,"Duplicate row (same date)","OK"))))))</f>
        <v/>
      </c>
    </row>
    <row r="1762">
      <c r="A1762" s="26" t="n"/>
      <c r="B1762" s="26" t="n"/>
      <c r="C1762" s="34" t="n"/>
      <c r="D1762" s="28" t="n"/>
      <c r="E1762" s="26" t="n"/>
      <c r="F1762" s="26" t="n"/>
      <c r="G1762" s="26" t="n"/>
      <c r="H1762" s="38" t="n"/>
      <c r="I1762" s="28" t="n"/>
      <c r="J1762" s="30">
        <f>IF(B1762="","",IFERROR(INDEX('Share classes'!$A$4:$A$203,MATCH(B1762,'Share classes'!$B$4:$B$203,0)),""))</f>
        <v/>
      </c>
      <c r="K1762" s="30">
        <f>IF(A1762="","",IFERROR(INDEX('Holders'!$B$4:$B$1003,MATCH(A1762,'Holders'!$A$4:$A$1003,0)),""))</f>
        <v/>
      </c>
      <c r="L1762" s="30">
        <f>IF(OR(A1762="",B1762="",D1762=""),"",IF(D1762=_xlfn.MAXIFS($D$4:$D$2503,$A$4:$A$2503,A1762,$B$4:$B$2503,B1762),"Yes","No"))</f>
        <v/>
      </c>
      <c r="M1762" s="30">
        <f>IF(B1762="","",IFERROR(INDEX('Share classes'!$F$4:$F$203,MATCH(B1762,'Share classes'!$B$4:$B$203,0)),""))</f>
        <v/>
      </c>
      <c r="N1762" s="30">
        <f>IF(A1762="","",IF(K1762="","Unknown holder ID",IF(J1762="","Unknown class code",IF(OR(C1762="",D1762=""),"Missing shares or date",IF(OR(C1762&lt;0,C1762&lt;&gt;INT(C1762)),"Shares must be a whole number",IF(COUNTIFS($A$4:$A$2503,A1762,$B$4:$B$2503,B1762,$D$4:$D$2503,D1762)&gt;1,"Duplicate row (same date)","OK"))))))</f>
        <v/>
      </c>
    </row>
    <row r="1763">
      <c r="A1763" s="26" t="n"/>
      <c r="B1763" s="26" t="n"/>
      <c r="C1763" s="34" t="n"/>
      <c r="D1763" s="28" t="n"/>
      <c r="E1763" s="26" t="n"/>
      <c r="F1763" s="26" t="n"/>
      <c r="G1763" s="26" t="n"/>
      <c r="H1763" s="38" t="n"/>
      <c r="I1763" s="28" t="n"/>
      <c r="J1763" s="30">
        <f>IF(B1763="","",IFERROR(INDEX('Share classes'!$A$4:$A$203,MATCH(B1763,'Share classes'!$B$4:$B$203,0)),""))</f>
        <v/>
      </c>
      <c r="K1763" s="30">
        <f>IF(A1763="","",IFERROR(INDEX('Holders'!$B$4:$B$1003,MATCH(A1763,'Holders'!$A$4:$A$1003,0)),""))</f>
        <v/>
      </c>
      <c r="L1763" s="30">
        <f>IF(OR(A1763="",B1763="",D1763=""),"",IF(D1763=_xlfn.MAXIFS($D$4:$D$2503,$A$4:$A$2503,A1763,$B$4:$B$2503,B1763),"Yes","No"))</f>
        <v/>
      </c>
      <c r="M1763" s="30">
        <f>IF(B1763="","",IFERROR(INDEX('Share classes'!$F$4:$F$203,MATCH(B1763,'Share classes'!$B$4:$B$203,0)),""))</f>
        <v/>
      </c>
      <c r="N1763" s="30">
        <f>IF(A1763="","",IF(K1763="","Unknown holder ID",IF(J1763="","Unknown class code",IF(OR(C1763="",D1763=""),"Missing shares or date",IF(OR(C1763&lt;0,C1763&lt;&gt;INT(C1763)),"Shares must be a whole number",IF(COUNTIFS($A$4:$A$2503,A1763,$B$4:$B$2503,B1763,$D$4:$D$2503,D1763)&gt;1,"Duplicate row (same date)","OK"))))))</f>
        <v/>
      </c>
    </row>
    <row r="1764">
      <c r="A1764" s="26" t="n"/>
      <c r="B1764" s="26" t="n"/>
      <c r="C1764" s="34" t="n"/>
      <c r="D1764" s="28" t="n"/>
      <c r="E1764" s="26" t="n"/>
      <c r="F1764" s="26" t="n"/>
      <c r="G1764" s="26" t="n"/>
      <c r="H1764" s="38" t="n"/>
      <c r="I1764" s="28" t="n"/>
      <c r="J1764" s="30">
        <f>IF(B1764="","",IFERROR(INDEX('Share classes'!$A$4:$A$203,MATCH(B1764,'Share classes'!$B$4:$B$203,0)),""))</f>
        <v/>
      </c>
      <c r="K1764" s="30">
        <f>IF(A1764="","",IFERROR(INDEX('Holders'!$B$4:$B$1003,MATCH(A1764,'Holders'!$A$4:$A$1003,0)),""))</f>
        <v/>
      </c>
      <c r="L1764" s="30">
        <f>IF(OR(A1764="",B1764="",D1764=""),"",IF(D1764=_xlfn.MAXIFS($D$4:$D$2503,$A$4:$A$2503,A1764,$B$4:$B$2503,B1764),"Yes","No"))</f>
        <v/>
      </c>
      <c r="M1764" s="30">
        <f>IF(B1764="","",IFERROR(INDEX('Share classes'!$F$4:$F$203,MATCH(B1764,'Share classes'!$B$4:$B$203,0)),""))</f>
        <v/>
      </c>
      <c r="N1764" s="30">
        <f>IF(A1764="","",IF(K1764="","Unknown holder ID",IF(J1764="","Unknown class code",IF(OR(C1764="",D1764=""),"Missing shares or date",IF(OR(C1764&lt;0,C1764&lt;&gt;INT(C1764)),"Shares must be a whole number",IF(COUNTIFS($A$4:$A$2503,A1764,$B$4:$B$2503,B1764,$D$4:$D$2503,D1764)&gt;1,"Duplicate row (same date)","OK"))))))</f>
        <v/>
      </c>
    </row>
    <row r="1765">
      <c r="A1765" s="26" t="n"/>
      <c r="B1765" s="26" t="n"/>
      <c r="C1765" s="34" t="n"/>
      <c r="D1765" s="28" t="n"/>
      <c r="E1765" s="26" t="n"/>
      <c r="F1765" s="26" t="n"/>
      <c r="G1765" s="26" t="n"/>
      <c r="H1765" s="38" t="n"/>
      <c r="I1765" s="28" t="n"/>
      <c r="J1765" s="30">
        <f>IF(B1765="","",IFERROR(INDEX('Share classes'!$A$4:$A$203,MATCH(B1765,'Share classes'!$B$4:$B$203,0)),""))</f>
        <v/>
      </c>
      <c r="K1765" s="30">
        <f>IF(A1765="","",IFERROR(INDEX('Holders'!$B$4:$B$1003,MATCH(A1765,'Holders'!$A$4:$A$1003,0)),""))</f>
        <v/>
      </c>
      <c r="L1765" s="30">
        <f>IF(OR(A1765="",B1765="",D1765=""),"",IF(D1765=_xlfn.MAXIFS($D$4:$D$2503,$A$4:$A$2503,A1765,$B$4:$B$2503,B1765),"Yes","No"))</f>
        <v/>
      </c>
      <c r="M1765" s="30">
        <f>IF(B1765="","",IFERROR(INDEX('Share classes'!$F$4:$F$203,MATCH(B1765,'Share classes'!$B$4:$B$203,0)),""))</f>
        <v/>
      </c>
      <c r="N1765" s="30">
        <f>IF(A1765="","",IF(K1765="","Unknown holder ID",IF(J1765="","Unknown class code",IF(OR(C1765="",D1765=""),"Missing shares or date",IF(OR(C1765&lt;0,C1765&lt;&gt;INT(C1765)),"Shares must be a whole number",IF(COUNTIFS($A$4:$A$2503,A1765,$B$4:$B$2503,B1765,$D$4:$D$2503,D1765)&gt;1,"Duplicate row (same date)","OK"))))))</f>
        <v/>
      </c>
    </row>
    <row r="1766">
      <c r="A1766" s="26" t="n"/>
      <c r="B1766" s="26" t="n"/>
      <c r="C1766" s="34" t="n"/>
      <c r="D1766" s="28" t="n"/>
      <c r="E1766" s="26" t="n"/>
      <c r="F1766" s="26" t="n"/>
      <c r="G1766" s="26" t="n"/>
      <c r="H1766" s="38" t="n"/>
      <c r="I1766" s="28" t="n"/>
      <c r="J1766" s="30">
        <f>IF(B1766="","",IFERROR(INDEX('Share classes'!$A$4:$A$203,MATCH(B1766,'Share classes'!$B$4:$B$203,0)),""))</f>
        <v/>
      </c>
      <c r="K1766" s="30">
        <f>IF(A1766="","",IFERROR(INDEX('Holders'!$B$4:$B$1003,MATCH(A1766,'Holders'!$A$4:$A$1003,0)),""))</f>
        <v/>
      </c>
      <c r="L1766" s="30">
        <f>IF(OR(A1766="",B1766="",D1766=""),"",IF(D1766=_xlfn.MAXIFS($D$4:$D$2503,$A$4:$A$2503,A1766,$B$4:$B$2503,B1766),"Yes","No"))</f>
        <v/>
      </c>
      <c r="M1766" s="30">
        <f>IF(B1766="","",IFERROR(INDEX('Share classes'!$F$4:$F$203,MATCH(B1766,'Share classes'!$B$4:$B$203,0)),""))</f>
        <v/>
      </c>
      <c r="N1766" s="30">
        <f>IF(A1766="","",IF(K1766="","Unknown holder ID",IF(J1766="","Unknown class code",IF(OR(C1766="",D1766=""),"Missing shares or date",IF(OR(C1766&lt;0,C1766&lt;&gt;INT(C1766)),"Shares must be a whole number",IF(COUNTIFS($A$4:$A$2503,A1766,$B$4:$B$2503,B1766,$D$4:$D$2503,D1766)&gt;1,"Duplicate row (same date)","OK"))))))</f>
        <v/>
      </c>
    </row>
    <row r="1767">
      <c r="A1767" s="26" t="n"/>
      <c r="B1767" s="26" t="n"/>
      <c r="C1767" s="34" t="n"/>
      <c r="D1767" s="28" t="n"/>
      <c r="E1767" s="26" t="n"/>
      <c r="F1767" s="26" t="n"/>
      <c r="G1767" s="26" t="n"/>
      <c r="H1767" s="38" t="n"/>
      <c r="I1767" s="28" t="n"/>
      <c r="J1767" s="30">
        <f>IF(B1767="","",IFERROR(INDEX('Share classes'!$A$4:$A$203,MATCH(B1767,'Share classes'!$B$4:$B$203,0)),""))</f>
        <v/>
      </c>
      <c r="K1767" s="30">
        <f>IF(A1767="","",IFERROR(INDEX('Holders'!$B$4:$B$1003,MATCH(A1767,'Holders'!$A$4:$A$1003,0)),""))</f>
        <v/>
      </c>
      <c r="L1767" s="30">
        <f>IF(OR(A1767="",B1767="",D1767=""),"",IF(D1767=_xlfn.MAXIFS($D$4:$D$2503,$A$4:$A$2503,A1767,$B$4:$B$2503,B1767),"Yes","No"))</f>
        <v/>
      </c>
      <c r="M1767" s="30">
        <f>IF(B1767="","",IFERROR(INDEX('Share classes'!$F$4:$F$203,MATCH(B1767,'Share classes'!$B$4:$B$203,0)),""))</f>
        <v/>
      </c>
      <c r="N1767" s="30">
        <f>IF(A1767="","",IF(K1767="","Unknown holder ID",IF(J1767="","Unknown class code",IF(OR(C1767="",D1767=""),"Missing shares or date",IF(OR(C1767&lt;0,C1767&lt;&gt;INT(C1767)),"Shares must be a whole number",IF(COUNTIFS($A$4:$A$2503,A1767,$B$4:$B$2503,B1767,$D$4:$D$2503,D1767)&gt;1,"Duplicate row (same date)","OK"))))))</f>
        <v/>
      </c>
    </row>
    <row r="1768">
      <c r="A1768" s="26" t="n"/>
      <c r="B1768" s="26" t="n"/>
      <c r="C1768" s="34" t="n"/>
      <c r="D1768" s="28" t="n"/>
      <c r="E1768" s="26" t="n"/>
      <c r="F1768" s="26" t="n"/>
      <c r="G1768" s="26" t="n"/>
      <c r="H1768" s="38" t="n"/>
      <c r="I1768" s="28" t="n"/>
      <c r="J1768" s="30">
        <f>IF(B1768="","",IFERROR(INDEX('Share classes'!$A$4:$A$203,MATCH(B1768,'Share classes'!$B$4:$B$203,0)),""))</f>
        <v/>
      </c>
      <c r="K1768" s="30">
        <f>IF(A1768="","",IFERROR(INDEX('Holders'!$B$4:$B$1003,MATCH(A1768,'Holders'!$A$4:$A$1003,0)),""))</f>
        <v/>
      </c>
      <c r="L1768" s="30">
        <f>IF(OR(A1768="",B1768="",D1768=""),"",IF(D1768=_xlfn.MAXIFS($D$4:$D$2503,$A$4:$A$2503,A1768,$B$4:$B$2503,B1768),"Yes","No"))</f>
        <v/>
      </c>
      <c r="M1768" s="30">
        <f>IF(B1768="","",IFERROR(INDEX('Share classes'!$F$4:$F$203,MATCH(B1768,'Share classes'!$B$4:$B$203,0)),""))</f>
        <v/>
      </c>
      <c r="N1768" s="30">
        <f>IF(A1768="","",IF(K1768="","Unknown holder ID",IF(J1768="","Unknown class code",IF(OR(C1768="",D1768=""),"Missing shares or date",IF(OR(C1768&lt;0,C1768&lt;&gt;INT(C1768)),"Shares must be a whole number",IF(COUNTIFS($A$4:$A$2503,A1768,$B$4:$B$2503,B1768,$D$4:$D$2503,D1768)&gt;1,"Duplicate row (same date)","OK"))))))</f>
        <v/>
      </c>
    </row>
    <row r="1769">
      <c r="A1769" s="26" t="n"/>
      <c r="B1769" s="26" t="n"/>
      <c r="C1769" s="34" t="n"/>
      <c r="D1769" s="28" t="n"/>
      <c r="E1769" s="26" t="n"/>
      <c r="F1769" s="26" t="n"/>
      <c r="G1769" s="26" t="n"/>
      <c r="H1769" s="38" t="n"/>
      <c r="I1769" s="28" t="n"/>
      <c r="J1769" s="30">
        <f>IF(B1769="","",IFERROR(INDEX('Share classes'!$A$4:$A$203,MATCH(B1769,'Share classes'!$B$4:$B$203,0)),""))</f>
        <v/>
      </c>
      <c r="K1769" s="30">
        <f>IF(A1769="","",IFERROR(INDEX('Holders'!$B$4:$B$1003,MATCH(A1769,'Holders'!$A$4:$A$1003,0)),""))</f>
        <v/>
      </c>
      <c r="L1769" s="30">
        <f>IF(OR(A1769="",B1769="",D1769=""),"",IF(D1769=_xlfn.MAXIFS($D$4:$D$2503,$A$4:$A$2503,A1769,$B$4:$B$2503,B1769),"Yes","No"))</f>
        <v/>
      </c>
      <c r="M1769" s="30">
        <f>IF(B1769="","",IFERROR(INDEX('Share classes'!$F$4:$F$203,MATCH(B1769,'Share classes'!$B$4:$B$203,0)),""))</f>
        <v/>
      </c>
      <c r="N1769" s="30">
        <f>IF(A1769="","",IF(K1769="","Unknown holder ID",IF(J1769="","Unknown class code",IF(OR(C1769="",D1769=""),"Missing shares or date",IF(OR(C1769&lt;0,C1769&lt;&gt;INT(C1769)),"Shares must be a whole number",IF(COUNTIFS($A$4:$A$2503,A1769,$B$4:$B$2503,B1769,$D$4:$D$2503,D1769)&gt;1,"Duplicate row (same date)","OK"))))))</f>
        <v/>
      </c>
    </row>
    <row r="1770">
      <c r="A1770" s="26" t="n"/>
      <c r="B1770" s="26" t="n"/>
      <c r="C1770" s="34" t="n"/>
      <c r="D1770" s="28" t="n"/>
      <c r="E1770" s="26" t="n"/>
      <c r="F1770" s="26" t="n"/>
      <c r="G1770" s="26" t="n"/>
      <c r="H1770" s="38" t="n"/>
      <c r="I1770" s="28" t="n"/>
      <c r="J1770" s="30">
        <f>IF(B1770="","",IFERROR(INDEX('Share classes'!$A$4:$A$203,MATCH(B1770,'Share classes'!$B$4:$B$203,0)),""))</f>
        <v/>
      </c>
      <c r="K1770" s="30">
        <f>IF(A1770="","",IFERROR(INDEX('Holders'!$B$4:$B$1003,MATCH(A1770,'Holders'!$A$4:$A$1003,0)),""))</f>
        <v/>
      </c>
      <c r="L1770" s="30">
        <f>IF(OR(A1770="",B1770="",D1770=""),"",IF(D1770=_xlfn.MAXIFS($D$4:$D$2503,$A$4:$A$2503,A1770,$B$4:$B$2503,B1770),"Yes","No"))</f>
        <v/>
      </c>
      <c r="M1770" s="30">
        <f>IF(B1770="","",IFERROR(INDEX('Share classes'!$F$4:$F$203,MATCH(B1770,'Share classes'!$B$4:$B$203,0)),""))</f>
        <v/>
      </c>
      <c r="N1770" s="30">
        <f>IF(A1770="","",IF(K1770="","Unknown holder ID",IF(J1770="","Unknown class code",IF(OR(C1770="",D1770=""),"Missing shares or date",IF(OR(C1770&lt;0,C1770&lt;&gt;INT(C1770)),"Shares must be a whole number",IF(COUNTIFS($A$4:$A$2503,A1770,$B$4:$B$2503,B1770,$D$4:$D$2503,D1770)&gt;1,"Duplicate row (same date)","OK"))))))</f>
        <v/>
      </c>
    </row>
    <row r="1771">
      <c r="A1771" s="26" t="n"/>
      <c r="B1771" s="26" t="n"/>
      <c r="C1771" s="34" t="n"/>
      <c r="D1771" s="28" t="n"/>
      <c r="E1771" s="26" t="n"/>
      <c r="F1771" s="26" t="n"/>
      <c r="G1771" s="26" t="n"/>
      <c r="H1771" s="38" t="n"/>
      <c r="I1771" s="28" t="n"/>
      <c r="J1771" s="30">
        <f>IF(B1771="","",IFERROR(INDEX('Share classes'!$A$4:$A$203,MATCH(B1771,'Share classes'!$B$4:$B$203,0)),""))</f>
        <v/>
      </c>
      <c r="K1771" s="30">
        <f>IF(A1771="","",IFERROR(INDEX('Holders'!$B$4:$B$1003,MATCH(A1771,'Holders'!$A$4:$A$1003,0)),""))</f>
        <v/>
      </c>
      <c r="L1771" s="30">
        <f>IF(OR(A1771="",B1771="",D1771=""),"",IF(D1771=_xlfn.MAXIFS($D$4:$D$2503,$A$4:$A$2503,A1771,$B$4:$B$2503,B1771),"Yes","No"))</f>
        <v/>
      </c>
      <c r="M1771" s="30">
        <f>IF(B1771="","",IFERROR(INDEX('Share classes'!$F$4:$F$203,MATCH(B1771,'Share classes'!$B$4:$B$203,0)),""))</f>
        <v/>
      </c>
      <c r="N1771" s="30">
        <f>IF(A1771="","",IF(K1771="","Unknown holder ID",IF(J1771="","Unknown class code",IF(OR(C1771="",D1771=""),"Missing shares or date",IF(OR(C1771&lt;0,C1771&lt;&gt;INT(C1771)),"Shares must be a whole number",IF(COUNTIFS($A$4:$A$2503,A1771,$B$4:$B$2503,B1771,$D$4:$D$2503,D1771)&gt;1,"Duplicate row (same date)","OK"))))))</f>
        <v/>
      </c>
    </row>
    <row r="1772">
      <c r="A1772" s="26" t="n"/>
      <c r="B1772" s="26" t="n"/>
      <c r="C1772" s="34" t="n"/>
      <c r="D1772" s="28" t="n"/>
      <c r="E1772" s="26" t="n"/>
      <c r="F1772" s="26" t="n"/>
      <c r="G1772" s="26" t="n"/>
      <c r="H1772" s="38" t="n"/>
      <c r="I1772" s="28" t="n"/>
      <c r="J1772" s="30">
        <f>IF(B1772="","",IFERROR(INDEX('Share classes'!$A$4:$A$203,MATCH(B1772,'Share classes'!$B$4:$B$203,0)),""))</f>
        <v/>
      </c>
      <c r="K1772" s="30">
        <f>IF(A1772="","",IFERROR(INDEX('Holders'!$B$4:$B$1003,MATCH(A1772,'Holders'!$A$4:$A$1003,0)),""))</f>
        <v/>
      </c>
      <c r="L1772" s="30">
        <f>IF(OR(A1772="",B1772="",D1772=""),"",IF(D1772=_xlfn.MAXIFS($D$4:$D$2503,$A$4:$A$2503,A1772,$B$4:$B$2503,B1772),"Yes","No"))</f>
        <v/>
      </c>
      <c r="M1772" s="30">
        <f>IF(B1772="","",IFERROR(INDEX('Share classes'!$F$4:$F$203,MATCH(B1772,'Share classes'!$B$4:$B$203,0)),""))</f>
        <v/>
      </c>
      <c r="N1772" s="30">
        <f>IF(A1772="","",IF(K1772="","Unknown holder ID",IF(J1772="","Unknown class code",IF(OR(C1772="",D1772=""),"Missing shares or date",IF(OR(C1772&lt;0,C1772&lt;&gt;INT(C1772)),"Shares must be a whole number",IF(COUNTIFS($A$4:$A$2503,A1772,$B$4:$B$2503,B1772,$D$4:$D$2503,D1772)&gt;1,"Duplicate row (same date)","OK"))))))</f>
        <v/>
      </c>
    </row>
    <row r="1773">
      <c r="A1773" s="26" t="n"/>
      <c r="B1773" s="26" t="n"/>
      <c r="C1773" s="34" t="n"/>
      <c r="D1773" s="28" t="n"/>
      <c r="E1773" s="26" t="n"/>
      <c r="F1773" s="26" t="n"/>
      <c r="G1773" s="26" t="n"/>
      <c r="H1773" s="38" t="n"/>
      <c r="I1773" s="28" t="n"/>
      <c r="J1773" s="30">
        <f>IF(B1773="","",IFERROR(INDEX('Share classes'!$A$4:$A$203,MATCH(B1773,'Share classes'!$B$4:$B$203,0)),""))</f>
        <v/>
      </c>
      <c r="K1773" s="30">
        <f>IF(A1773="","",IFERROR(INDEX('Holders'!$B$4:$B$1003,MATCH(A1773,'Holders'!$A$4:$A$1003,0)),""))</f>
        <v/>
      </c>
      <c r="L1773" s="30">
        <f>IF(OR(A1773="",B1773="",D1773=""),"",IF(D1773=_xlfn.MAXIFS($D$4:$D$2503,$A$4:$A$2503,A1773,$B$4:$B$2503,B1773),"Yes","No"))</f>
        <v/>
      </c>
      <c r="M1773" s="30">
        <f>IF(B1773="","",IFERROR(INDEX('Share classes'!$F$4:$F$203,MATCH(B1773,'Share classes'!$B$4:$B$203,0)),""))</f>
        <v/>
      </c>
      <c r="N1773" s="30">
        <f>IF(A1773="","",IF(K1773="","Unknown holder ID",IF(J1773="","Unknown class code",IF(OR(C1773="",D1773=""),"Missing shares or date",IF(OR(C1773&lt;0,C1773&lt;&gt;INT(C1773)),"Shares must be a whole number",IF(COUNTIFS($A$4:$A$2503,A1773,$B$4:$B$2503,B1773,$D$4:$D$2503,D1773)&gt;1,"Duplicate row (same date)","OK"))))))</f>
        <v/>
      </c>
    </row>
    <row r="1774">
      <c r="A1774" s="26" t="n"/>
      <c r="B1774" s="26" t="n"/>
      <c r="C1774" s="34" t="n"/>
      <c r="D1774" s="28" t="n"/>
      <c r="E1774" s="26" t="n"/>
      <c r="F1774" s="26" t="n"/>
      <c r="G1774" s="26" t="n"/>
      <c r="H1774" s="38" t="n"/>
      <c r="I1774" s="28" t="n"/>
      <c r="J1774" s="30">
        <f>IF(B1774="","",IFERROR(INDEX('Share classes'!$A$4:$A$203,MATCH(B1774,'Share classes'!$B$4:$B$203,0)),""))</f>
        <v/>
      </c>
      <c r="K1774" s="30">
        <f>IF(A1774="","",IFERROR(INDEX('Holders'!$B$4:$B$1003,MATCH(A1774,'Holders'!$A$4:$A$1003,0)),""))</f>
        <v/>
      </c>
      <c r="L1774" s="30">
        <f>IF(OR(A1774="",B1774="",D1774=""),"",IF(D1774=_xlfn.MAXIFS($D$4:$D$2503,$A$4:$A$2503,A1774,$B$4:$B$2503,B1774),"Yes","No"))</f>
        <v/>
      </c>
      <c r="M1774" s="30">
        <f>IF(B1774="","",IFERROR(INDEX('Share classes'!$F$4:$F$203,MATCH(B1774,'Share classes'!$B$4:$B$203,0)),""))</f>
        <v/>
      </c>
      <c r="N1774" s="30">
        <f>IF(A1774="","",IF(K1774="","Unknown holder ID",IF(J1774="","Unknown class code",IF(OR(C1774="",D1774=""),"Missing shares or date",IF(OR(C1774&lt;0,C1774&lt;&gt;INT(C1774)),"Shares must be a whole number",IF(COUNTIFS($A$4:$A$2503,A1774,$B$4:$B$2503,B1774,$D$4:$D$2503,D1774)&gt;1,"Duplicate row (same date)","OK"))))))</f>
        <v/>
      </c>
    </row>
    <row r="1775">
      <c r="A1775" s="26" t="n"/>
      <c r="B1775" s="26" t="n"/>
      <c r="C1775" s="34" t="n"/>
      <c r="D1775" s="28" t="n"/>
      <c r="E1775" s="26" t="n"/>
      <c r="F1775" s="26" t="n"/>
      <c r="G1775" s="26" t="n"/>
      <c r="H1775" s="38" t="n"/>
      <c r="I1775" s="28" t="n"/>
      <c r="J1775" s="30">
        <f>IF(B1775="","",IFERROR(INDEX('Share classes'!$A$4:$A$203,MATCH(B1775,'Share classes'!$B$4:$B$203,0)),""))</f>
        <v/>
      </c>
      <c r="K1775" s="30">
        <f>IF(A1775="","",IFERROR(INDEX('Holders'!$B$4:$B$1003,MATCH(A1775,'Holders'!$A$4:$A$1003,0)),""))</f>
        <v/>
      </c>
      <c r="L1775" s="30">
        <f>IF(OR(A1775="",B1775="",D1775=""),"",IF(D1775=_xlfn.MAXIFS($D$4:$D$2503,$A$4:$A$2503,A1775,$B$4:$B$2503,B1775),"Yes","No"))</f>
        <v/>
      </c>
      <c r="M1775" s="30">
        <f>IF(B1775="","",IFERROR(INDEX('Share classes'!$F$4:$F$203,MATCH(B1775,'Share classes'!$B$4:$B$203,0)),""))</f>
        <v/>
      </c>
      <c r="N1775" s="30">
        <f>IF(A1775="","",IF(K1775="","Unknown holder ID",IF(J1775="","Unknown class code",IF(OR(C1775="",D1775=""),"Missing shares or date",IF(OR(C1775&lt;0,C1775&lt;&gt;INT(C1775)),"Shares must be a whole number",IF(COUNTIFS($A$4:$A$2503,A1775,$B$4:$B$2503,B1775,$D$4:$D$2503,D1775)&gt;1,"Duplicate row (same date)","OK"))))))</f>
        <v/>
      </c>
    </row>
    <row r="1776">
      <c r="A1776" s="26" t="n"/>
      <c r="B1776" s="26" t="n"/>
      <c r="C1776" s="34" t="n"/>
      <c r="D1776" s="28" t="n"/>
      <c r="E1776" s="26" t="n"/>
      <c r="F1776" s="26" t="n"/>
      <c r="G1776" s="26" t="n"/>
      <c r="H1776" s="38" t="n"/>
      <c r="I1776" s="28" t="n"/>
      <c r="J1776" s="30">
        <f>IF(B1776="","",IFERROR(INDEX('Share classes'!$A$4:$A$203,MATCH(B1776,'Share classes'!$B$4:$B$203,0)),""))</f>
        <v/>
      </c>
      <c r="K1776" s="30">
        <f>IF(A1776="","",IFERROR(INDEX('Holders'!$B$4:$B$1003,MATCH(A1776,'Holders'!$A$4:$A$1003,0)),""))</f>
        <v/>
      </c>
      <c r="L1776" s="30">
        <f>IF(OR(A1776="",B1776="",D1776=""),"",IF(D1776=_xlfn.MAXIFS($D$4:$D$2503,$A$4:$A$2503,A1776,$B$4:$B$2503,B1776),"Yes","No"))</f>
        <v/>
      </c>
      <c r="M1776" s="30">
        <f>IF(B1776="","",IFERROR(INDEX('Share classes'!$F$4:$F$203,MATCH(B1776,'Share classes'!$B$4:$B$203,0)),""))</f>
        <v/>
      </c>
      <c r="N1776" s="30">
        <f>IF(A1776="","",IF(K1776="","Unknown holder ID",IF(J1776="","Unknown class code",IF(OR(C1776="",D1776=""),"Missing shares or date",IF(OR(C1776&lt;0,C1776&lt;&gt;INT(C1776)),"Shares must be a whole number",IF(COUNTIFS($A$4:$A$2503,A1776,$B$4:$B$2503,B1776,$D$4:$D$2503,D1776)&gt;1,"Duplicate row (same date)","OK"))))))</f>
        <v/>
      </c>
    </row>
    <row r="1777">
      <c r="A1777" s="26" t="n"/>
      <c r="B1777" s="26" t="n"/>
      <c r="C1777" s="34" t="n"/>
      <c r="D1777" s="28" t="n"/>
      <c r="E1777" s="26" t="n"/>
      <c r="F1777" s="26" t="n"/>
      <c r="G1777" s="26" t="n"/>
      <c r="H1777" s="38" t="n"/>
      <c r="I1777" s="28" t="n"/>
      <c r="J1777" s="30">
        <f>IF(B1777="","",IFERROR(INDEX('Share classes'!$A$4:$A$203,MATCH(B1777,'Share classes'!$B$4:$B$203,0)),""))</f>
        <v/>
      </c>
      <c r="K1777" s="30">
        <f>IF(A1777="","",IFERROR(INDEX('Holders'!$B$4:$B$1003,MATCH(A1777,'Holders'!$A$4:$A$1003,0)),""))</f>
        <v/>
      </c>
      <c r="L1777" s="30">
        <f>IF(OR(A1777="",B1777="",D1777=""),"",IF(D1777=_xlfn.MAXIFS($D$4:$D$2503,$A$4:$A$2503,A1777,$B$4:$B$2503,B1777),"Yes","No"))</f>
        <v/>
      </c>
      <c r="M1777" s="30">
        <f>IF(B1777="","",IFERROR(INDEX('Share classes'!$F$4:$F$203,MATCH(B1777,'Share classes'!$B$4:$B$203,0)),""))</f>
        <v/>
      </c>
      <c r="N1777" s="30">
        <f>IF(A1777="","",IF(K1777="","Unknown holder ID",IF(J1777="","Unknown class code",IF(OR(C1777="",D1777=""),"Missing shares or date",IF(OR(C1777&lt;0,C1777&lt;&gt;INT(C1777)),"Shares must be a whole number",IF(COUNTIFS($A$4:$A$2503,A1777,$B$4:$B$2503,B1777,$D$4:$D$2503,D1777)&gt;1,"Duplicate row (same date)","OK"))))))</f>
        <v/>
      </c>
    </row>
    <row r="1778">
      <c r="A1778" s="26" t="n"/>
      <c r="B1778" s="26" t="n"/>
      <c r="C1778" s="34" t="n"/>
      <c r="D1778" s="28" t="n"/>
      <c r="E1778" s="26" t="n"/>
      <c r="F1778" s="26" t="n"/>
      <c r="G1778" s="26" t="n"/>
      <c r="H1778" s="38" t="n"/>
      <c r="I1778" s="28" t="n"/>
      <c r="J1778" s="30">
        <f>IF(B1778="","",IFERROR(INDEX('Share classes'!$A$4:$A$203,MATCH(B1778,'Share classes'!$B$4:$B$203,0)),""))</f>
        <v/>
      </c>
      <c r="K1778" s="30">
        <f>IF(A1778="","",IFERROR(INDEX('Holders'!$B$4:$B$1003,MATCH(A1778,'Holders'!$A$4:$A$1003,0)),""))</f>
        <v/>
      </c>
      <c r="L1778" s="30">
        <f>IF(OR(A1778="",B1778="",D1778=""),"",IF(D1778=_xlfn.MAXIFS($D$4:$D$2503,$A$4:$A$2503,A1778,$B$4:$B$2503,B1778),"Yes","No"))</f>
        <v/>
      </c>
      <c r="M1778" s="30">
        <f>IF(B1778="","",IFERROR(INDEX('Share classes'!$F$4:$F$203,MATCH(B1778,'Share classes'!$B$4:$B$203,0)),""))</f>
        <v/>
      </c>
      <c r="N1778" s="30">
        <f>IF(A1778="","",IF(K1778="","Unknown holder ID",IF(J1778="","Unknown class code",IF(OR(C1778="",D1778=""),"Missing shares or date",IF(OR(C1778&lt;0,C1778&lt;&gt;INT(C1778)),"Shares must be a whole number",IF(COUNTIFS($A$4:$A$2503,A1778,$B$4:$B$2503,B1778,$D$4:$D$2503,D1778)&gt;1,"Duplicate row (same date)","OK"))))))</f>
        <v/>
      </c>
    </row>
    <row r="1779">
      <c r="A1779" s="26" t="n"/>
      <c r="B1779" s="26" t="n"/>
      <c r="C1779" s="34" t="n"/>
      <c r="D1779" s="28" t="n"/>
      <c r="E1779" s="26" t="n"/>
      <c r="F1779" s="26" t="n"/>
      <c r="G1779" s="26" t="n"/>
      <c r="H1779" s="38" t="n"/>
      <c r="I1779" s="28" t="n"/>
      <c r="J1779" s="30">
        <f>IF(B1779="","",IFERROR(INDEX('Share classes'!$A$4:$A$203,MATCH(B1779,'Share classes'!$B$4:$B$203,0)),""))</f>
        <v/>
      </c>
      <c r="K1779" s="30">
        <f>IF(A1779="","",IFERROR(INDEX('Holders'!$B$4:$B$1003,MATCH(A1779,'Holders'!$A$4:$A$1003,0)),""))</f>
        <v/>
      </c>
      <c r="L1779" s="30">
        <f>IF(OR(A1779="",B1779="",D1779=""),"",IF(D1779=_xlfn.MAXIFS($D$4:$D$2503,$A$4:$A$2503,A1779,$B$4:$B$2503,B1779),"Yes","No"))</f>
        <v/>
      </c>
      <c r="M1779" s="30">
        <f>IF(B1779="","",IFERROR(INDEX('Share classes'!$F$4:$F$203,MATCH(B1779,'Share classes'!$B$4:$B$203,0)),""))</f>
        <v/>
      </c>
      <c r="N1779" s="30">
        <f>IF(A1779="","",IF(K1779="","Unknown holder ID",IF(J1779="","Unknown class code",IF(OR(C1779="",D1779=""),"Missing shares or date",IF(OR(C1779&lt;0,C1779&lt;&gt;INT(C1779)),"Shares must be a whole number",IF(COUNTIFS($A$4:$A$2503,A1779,$B$4:$B$2503,B1779,$D$4:$D$2503,D1779)&gt;1,"Duplicate row (same date)","OK"))))))</f>
        <v/>
      </c>
    </row>
    <row r="1780">
      <c r="A1780" s="26" t="n"/>
      <c r="B1780" s="26" t="n"/>
      <c r="C1780" s="34" t="n"/>
      <c r="D1780" s="28" t="n"/>
      <c r="E1780" s="26" t="n"/>
      <c r="F1780" s="26" t="n"/>
      <c r="G1780" s="26" t="n"/>
      <c r="H1780" s="38" t="n"/>
      <c r="I1780" s="28" t="n"/>
      <c r="J1780" s="30">
        <f>IF(B1780="","",IFERROR(INDEX('Share classes'!$A$4:$A$203,MATCH(B1780,'Share classes'!$B$4:$B$203,0)),""))</f>
        <v/>
      </c>
      <c r="K1780" s="30">
        <f>IF(A1780="","",IFERROR(INDEX('Holders'!$B$4:$B$1003,MATCH(A1780,'Holders'!$A$4:$A$1003,0)),""))</f>
        <v/>
      </c>
      <c r="L1780" s="30">
        <f>IF(OR(A1780="",B1780="",D1780=""),"",IF(D1780=_xlfn.MAXIFS($D$4:$D$2503,$A$4:$A$2503,A1780,$B$4:$B$2503,B1780),"Yes","No"))</f>
        <v/>
      </c>
      <c r="M1780" s="30">
        <f>IF(B1780="","",IFERROR(INDEX('Share classes'!$F$4:$F$203,MATCH(B1780,'Share classes'!$B$4:$B$203,0)),""))</f>
        <v/>
      </c>
      <c r="N1780" s="30">
        <f>IF(A1780="","",IF(K1780="","Unknown holder ID",IF(J1780="","Unknown class code",IF(OR(C1780="",D1780=""),"Missing shares or date",IF(OR(C1780&lt;0,C1780&lt;&gt;INT(C1780)),"Shares must be a whole number",IF(COUNTIFS($A$4:$A$2503,A1780,$B$4:$B$2503,B1780,$D$4:$D$2503,D1780)&gt;1,"Duplicate row (same date)","OK"))))))</f>
        <v/>
      </c>
    </row>
    <row r="1781">
      <c r="A1781" s="26" t="n"/>
      <c r="B1781" s="26" t="n"/>
      <c r="C1781" s="34" t="n"/>
      <c r="D1781" s="28" t="n"/>
      <c r="E1781" s="26" t="n"/>
      <c r="F1781" s="26" t="n"/>
      <c r="G1781" s="26" t="n"/>
      <c r="H1781" s="38" t="n"/>
      <c r="I1781" s="28" t="n"/>
      <c r="J1781" s="30">
        <f>IF(B1781="","",IFERROR(INDEX('Share classes'!$A$4:$A$203,MATCH(B1781,'Share classes'!$B$4:$B$203,0)),""))</f>
        <v/>
      </c>
      <c r="K1781" s="30">
        <f>IF(A1781="","",IFERROR(INDEX('Holders'!$B$4:$B$1003,MATCH(A1781,'Holders'!$A$4:$A$1003,0)),""))</f>
        <v/>
      </c>
      <c r="L1781" s="30">
        <f>IF(OR(A1781="",B1781="",D1781=""),"",IF(D1781=_xlfn.MAXIFS($D$4:$D$2503,$A$4:$A$2503,A1781,$B$4:$B$2503,B1781),"Yes","No"))</f>
        <v/>
      </c>
      <c r="M1781" s="30">
        <f>IF(B1781="","",IFERROR(INDEX('Share classes'!$F$4:$F$203,MATCH(B1781,'Share classes'!$B$4:$B$203,0)),""))</f>
        <v/>
      </c>
      <c r="N1781" s="30">
        <f>IF(A1781="","",IF(K1781="","Unknown holder ID",IF(J1781="","Unknown class code",IF(OR(C1781="",D1781=""),"Missing shares or date",IF(OR(C1781&lt;0,C1781&lt;&gt;INT(C1781)),"Shares must be a whole number",IF(COUNTIFS($A$4:$A$2503,A1781,$B$4:$B$2503,B1781,$D$4:$D$2503,D1781)&gt;1,"Duplicate row (same date)","OK"))))))</f>
        <v/>
      </c>
    </row>
    <row r="1782">
      <c r="A1782" s="26" t="n"/>
      <c r="B1782" s="26" t="n"/>
      <c r="C1782" s="34" t="n"/>
      <c r="D1782" s="28" t="n"/>
      <c r="E1782" s="26" t="n"/>
      <c r="F1782" s="26" t="n"/>
      <c r="G1782" s="26" t="n"/>
      <c r="H1782" s="38" t="n"/>
      <c r="I1782" s="28" t="n"/>
      <c r="J1782" s="30">
        <f>IF(B1782="","",IFERROR(INDEX('Share classes'!$A$4:$A$203,MATCH(B1782,'Share classes'!$B$4:$B$203,0)),""))</f>
        <v/>
      </c>
      <c r="K1782" s="30">
        <f>IF(A1782="","",IFERROR(INDEX('Holders'!$B$4:$B$1003,MATCH(A1782,'Holders'!$A$4:$A$1003,0)),""))</f>
        <v/>
      </c>
      <c r="L1782" s="30">
        <f>IF(OR(A1782="",B1782="",D1782=""),"",IF(D1782=_xlfn.MAXIFS($D$4:$D$2503,$A$4:$A$2503,A1782,$B$4:$B$2503,B1782),"Yes","No"))</f>
        <v/>
      </c>
      <c r="M1782" s="30">
        <f>IF(B1782="","",IFERROR(INDEX('Share classes'!$F$4:$F$203,MATCH(B1782,'Share classes'!$B$4:$B$203,0)),""))</f>
        <v/>
      </c>
      <c r="N1782" s="30">
        <f>IF(A1782="","",IF(K1782="","Unknown holder ID",IF(J1782="","Unknown class code",IF(OR(C1782="",D1782=""),"Missing shares or date",IF(OR(C1782&lt;0,C1782&lt;&gt;INT(C1782)),"Shares must be a whole number",IF(COUNTIFS($A$4:$A$2503,A1782,$B$4:$B$2503,B1782,$D$4:$D$2503,D1782)&gt;1,"Duplicate row (same date)","OK"))))))</f>
        <v/>
      </c>
    </row>
    <row r="1783">
      <c r="A1783" s="26" t="n"/>
      <c r="B1783" s="26" t="n"/>
      <c r="C1783" s="34" t="n"/>
      <c r="D1783" s="28" t="n"/>
      <c r="E1783" s="26" t="n"/>
      <c r="F1783" s="26" t="n"/>
      <c r="G1783" s="26" t="n"/>
      <c r="H1783" s="38" t="n"/>
      <c r="I1783" s="28" t="n"/>
      <c r="J1783" s="30">
        <f>IF(B1783="","",IFERROR(INDEX('Share classes'!$A$4:$A$203,MATCH(B1783,'Share classes'!$B$4:$B$203,0)),""))</f>
        <v/>
      </c>
      <c r="K1783" s="30">
        <f>IF(A1783="","",IFERROR(INDEX('Holders'!$B$4:$B$1003,MATCH(A1783,'Holders'!$A$4:$A$1003,0)),""))</f>
        <v/>
      </c>
      <c r="L1783" s="30">
        <f>IF(OR(A1783="",B1783="",D1783=""),"",IF(D1783=_xlfn.MAXIFS($D$4:$D$2503,$A$4:$A$2503,A1783,$B$4:$B$2503,B1783),"Yes","No"))</f>
        <v/>
      </c>
      <c r="M1783" s="30">
        <f>IF(B1783="","",IFERROR(INDEX('Share classes'!$F$4:$F$203,MATCH(B1783,'Share classes'!$B$4:$B$203,0)),""))</f>
        <v/>
      </c>
      <c r="N1783" s="30">
        <f>IF(A1783="","",IF(K1783="","Unknown holder ID",IF(J1783="","Unknown class code",IF(OR(C1783="",D1783=""),"Missing shares or date",IF(OR(C1783&lt;0,C1783&lt;&gt;INT(C1783)),"Shares must be a whole number",IF(COUNTIFS($A$4:$A$2503,A1783,$B$4:$B$2503,B1783,$D$4:$D$2503,D1783)&gt;1,"Duplicate row (same date)","OK"))))))</f>
        <v/>
      </c>
    </row>
    <row r="1784">
      <c r="A1784" s="26" t="n"/>
      <c r="B1784" s="26" t="n"/>
      <c r="C1784" s="34" t="n"/>
      <c r="D1784" s="28" t="n"/>
      <c r="E1784" s="26" t="n"/>
      <c r="F1784" s="26" t="n"/>
      <c r="G1784" s="26" t="n"/>
      <c r="H1784" s="38" t="n"/>
      <c r="I1784" s="28" t="n"/>
      <c r="J1784" s="30">
        <f>IF(B1784="","",IFERROR(INDEX('Share classes'!$A$4:$A$203,MATCH(B1784,'Share classes'!$B$4:$B$203,0)),""))</f>
        <v/>
      </c>
      <c r="K1784" s="30">
        <f>IF(A1784="","",IFERROR(INDEX('Holders'!$B$4:$B$1003,MATCH(A1784,'Holders'!$A$4:$A$1003,0)),""))</f>
        <v/>
      </c>
      <c r="L1784" s="30">
        <f>IF(OR(A1784="",B1784="",D1784=""),"",IF(D1784=_xlfn.MAXIFS($D$4:$D$2503,$A$4:$A$2503,A1784,$B$4:$B$2503,B1784),"Yes","No"))</f>
        <v/>
      </c>
      <c r="M1784" s="30">
        <f>IF(B1784="","",IFERROR(INDEX('Share classes'!$F$4:$F$203,MATCH(B1784,'Share classes'!$B$4:$B$203,0)),""))</f>
        <v/>
      </c>
      <c r="N1784" s="30">
        <f>IF(A1784="","",IF(K1784="","Unknown holder ID",IF(J1784="","Unknown class code",IF(OR(C1784="",D1784=""),"Missing shares or date",IF(OR(C1784&lt;0,C1784&lt;&gt;INT(C1784)),"Shares must be a whole number",IF(COUNTIFS($A$4:$A$2503,A1784,$B$4:$B$2503,B1784,$D$4:$D$2503,D1784)&gt;1,"Duplicate row (same date)","OK"))))))</f>
        <v/>
      </c>
    </row>
    <row r="1785">
      <c r="A1785" s="26" t="n"/>
      <c r="B1785" s="26" t="n"/>
      <c r="C1785" s="34" t="n"/>
      <c r="D1785" s="28" t="n"/>
      <c r="E1785" s="26" t="n"/>
      <c r="F1785" s="26" t="n"/>
      <c r="G1785" s="26" t="n"/>
      <c r="H1785" s="38" t="n"/>
      <c r="I1785" s="28" t="n"/>
      <c r="J1785" s="30">
        <f>IF(B1785="","",IFERROR(INDEX('Share classes'!$A$4:$A$203,MATCH(B1785,'Share classes'!$B$4:$B$203,0)),""))</f>
        <v/>
      </c>
      <c r="K1785" s="30">
        <f>IF(A1785="","",IFERROR(INDEX('Holders'!$B$4:$B$1003,MATCH(A1785,'Holders'!$A$4:$A$1003,0)),""))</f>
        <v/>
      </c>
      <c r="L1785" s="30">
        <f>IF(OR(A1785="",B1785="",D1785=""),"",IF(D1785=_xlfn.MAXIFS($D$4:$D$2503,$A$4:$A$2503,A1785,$B$4:$B$2503,B1785),"Yes","No"))</f>
        <v/>
      </c>
      <c r="M1785" s="30">
        <f>IF(B1785="","",IFERROR(INDEX('Share classes'!$F$4:$F$203,MATCH(B1785,'Share classes'!$B$4:$B$203,0)),""))</f>
        <v/>
      </c>
      <c r="N1785" s="30">
        <f>IF(A1785="","",IF(K1785="","Unknown holder ID",IF(J1785="","Unknown class code",IF(OR(C1785="",D1785=""),"Missing shares or date",IF(OR(C1785&lt;0,C1785&lt;&gt;INT(C1785)),"Shares must be a whole number",IF(COUNTIFS($A$4:$A$2503,A1785,$B$4:$B$2503,B1785,$D$4:$D$2503,D1785)&gt;1,"Duplicate row (same date)","OK"))))))</f>
        <v/>
      </c>
    </row>
    <row r="1786">
      <c r="A1786" s="26" t="n"/>
      <c r="B1786" s="26" t="n"/>
      <c r="C1786" s="34" t="n"/>
      <c r="D1786" s="28" t="n"/>
      <c r="E1786" s="26" t="n"/>
      <c r="F1786" s="26" t="n"/>
      <c r="G1786" s="26" t="n"/>
      <c r="H1786" s="38" t="n"/>
      <c r="I1786" s="28" t="n"/>
      <c r="J1786" s="30">
        <f>IF(B1786="","",IFERROR(INDEX('Share classes'!$A$4:$A$203,MATCH(B1786,'Share classes'!$B$4:$B$203,0)),""))</f>
        <v/>
      </c>
      <c r="K1786" s="30">
        <f>IF(A1786="","",IFERROR(INDEX('Holders'!$B$4:$B$1003,MATCH(A1786,'Holders'!$A$4:$A$1003,0)),""))</f>
        <v/>
      </c>
      <c r="L1786" s="30">
        <f>IF(OR(A1786="",B1786="",D1786=""),"",IF(D1786=_xlfn.MAXIFS($D$4:$D$2503,$A$4:$A$2503,A1786,$B$4:$B$2503,B1786),"Yes","No"))</f>
        <v/>
      </c>
      <c r="M1786" s="30">
        <f>IF(B1786="","",IFERROR(INDEX('Share classes'!$F$4:$F$203,MATCH(B1786,'Share classes'!$B$4:$B$203,0)),""))</f>
        <v/>
      </c>
      <c r="N1786" s="30">
        <f>IF(A1786="","",IF(K1786="","Unknown holder ID",IF(J1786="","Unknown class code",IF(OR(C1786="",D1786=""),"Missing shares or date",IF(OR(C1786&lt;0,C1786&lt;&gt;INT(C1786)),"Shares must be a whole number",IF(COUNTIFS($A$4:$A$2503,A1786,$B$4:$B$2503,B1786,$D$4:$D$2503,D1786)&gt;1,"Duplicate row (same date)","OK"))))))</f>
        <v/>
      </c>
    </row>
    <row r="1787">
      <c r="A1787" s="26" t="n"/>
      <c r="B1787" s="26" t="n"/>
      <c r="C1787" s="34" t="n"/>
      <c r="D1787" s="28" t="n"/>
      <c r="E1787" s="26" t="n"/>
      <c r="F1787" s="26" t="n"/>
      <c r="G1787" s="26" t="n"/>
      <c r="H1787" s="38" t="n"/>
      <c r="I1787" s="28" t="n"/>
      <c r="J1787" s="30">
        <f>IF(B1787="","",IFERROR(INDEX('Share classes'!$A$4:$A$203,MATCH(B1787,'Share classes'!$B$4:$B$203,0)),""))</f>
        <v/>
      </c>
      <c r="K1787" s="30">
        <f>IF(A1787="","",IFERROR(INDEX('Holders'!$B$4:$B$1003,MATCH(A1787,'Holders'!$A$4:$A$1003,0)),""))</f>
        <v/>
      </c>
      <c r="L1787" s="30">
        <f>IF(OR(A1787="",B1787="",D1787=""),"",IF(D1787=_xlfn.MAXIFS($D$4:$D$2503,$A$4:$A$2503,A1787,$B$4:$B$2503,B1787),"Yes","No"))</f>
        <v/>
      </c>
      <c r="M1787" s="30">
        <f>IF(B1787="","",IFERROR(INDEX('Share classes'!$F$4:$F$203,MATCH(B1787,'Share classes'!$B$4:$B$203,0)),""))</f>
        <v/>
      </c>
      <c r="N1787" s="30">
        <f>IF(A1787="","",IF(K1787="","Unknown holder ID",IF(J1787="","Unknown class code",IF(OR(C1787="",D1787=""),"Missing shares or date",IF(OR(C1787&lt;0,C1787&lt;&gt;INT(C1787)),"Shares must be a whole number",IF(COUNTIFS($A$4:$A$2503,A1787,$B$4:$B$2503,B1787,$D$4:$D$2503,D1787)&gt;1,"Duplicate row (same date)","OK"))))))</f>
        <v/>
      </c>
    </row>
    <row r="1788">
      <c r="A1788" s="26" t="n"/>
      <c r="B1788" s="26" t="n"/>
      <c r="C1788" s="34" t="n"/>
      <c r="D1788" s="28" t="n"/>
      <c r="E1788" s="26" t="n"/>
      <c r="F1788" s="26" t="n"/>
      <c r="G1788" s="26" t="n"/>
      <c r="H1788" s="38" t="n"/>
      <c r="I1788" s="28" t="n"/>
      <c r="J1788" s="30">
        <f>IF(B1788="","",IFERROR(INDEX('Share classes'!$A$4:$A$203,MATCH(B1788,'Share classes'!$B$4:$B$203,0)),""))</f>
        <v/>
      </c>
      <c r="K1788" s="30">
        <f>IF(A1788="","",IFERROR(INDEX('Holders'!$B$4:$B$1003,MATCH(A1788,'Holders'!$A$4:$A$1003,0)),""))</f>
        <v/>
      </c>
      <c r="L1788" s="30">
        <f>IF(OR(A1788="",B1788="",D1788=""),"",IF(D1788=_xlfn.MAXIFS($D$4:$D$2503,$A$4:$A$2503,A1788,$B$4:$B$2503,B1788),"Yes","No"))</f>
        <v/>
      </c>
      <c r="M1788" s="30">
        <f>IF(B1788="","",IFERROR(INDEX('Share classes'!$F$4:$F$203,MATCH(B1788,'Share classes'!$B$4:$B$203,0)),""))</f>
        <v/>
      </c>
      <c r="N1788" s="30">
        <f>IF(A1788="","",IF(K1788="","Unknown holder ID",IF(J1788="","Unknown class code",IF(OR(C1788="",D1788=""),"Missing shares or date",IF(OR(C1788&lt;0,C1788&lt;&gt;INT(C1788)),"Shares must be a whole number",IF(COUNTIFS($A$4:$A$2503,A1788,$B$4:$B$2503,B1788,$D$4:$D$2503,D1788)&gt;1,"Duplicate row (same date)","OK"))))))</f>
        <v/>
      </c>
    </row>
    <row r="1789">
      <c r="A1789" s="26" t="n"/>
      <c r="B1789" s="26" t="n"/>
      <c r="C1789" s="34" t="n"/>
      <c r="D1789" s="28" t="n"/>
      <c r="E1789" s="26" t="n"/>
      <c r="F1789" s="26" t="n"/>
      <c r="G1789" s="26" t="n"/>
      <c r="H1789" s="38" t="n"/>
      <c r="I1789" s="28" t="n"/>
      <c r="J1789" s="30">
        <f>IF(B1789="","",IFERROR(INDEX('Share classes'!$A$4:$A$203,MATCH(B1789,'Share classes'!$B$4:$B$203,0)),""))</f>
        <v/>
      </c>
      <c r="K1789" s="30">
        <f>IF(A1789="","",IFERROR(INDEX('Holders'!$B$4:$B$1003,MATCH(A1789,'Holders'!$A$4:$A$1003,0)),""))</f>
        <v/>
      </c>
      <c r="L1789" s="30">
        <f>IF(OR(A1789="",B1789="",D1789=""),"",IF(D1789=_xlfn.MAXIFS($D$4:$D$2503,$A$4:$A$2503,A1789,$B$4:$B$2503,B1789),"Yes","No"))</f>
        <v/>
      </c>
      <c r="M1789" s="30">
        <f>IF(B1789="","",IFERROR(INDEX('Share classes'!$F$4:$F$203,MATCH(B1789,'Share classes'!$B$4:$B$203,0)),""))</f>
        <v/>
      </c>
      <c r="N1789" s="30">
        <f>IF(A1789="","",IF(K1789="","Unknown holder ID",IF(J1789="","Unknown class code",IF(OR(C1789="",D1789=""),"Missing shares or date",IF(OR(C1789&lt;0,C1789&lt;&gt;INT(C1789)),"Shares must be a whole number",IF(COUNTIFS($A$4:$A$2503,A1789,$B$4:$B$2503,B1789,$D$4:$D$2503,D1789)&gt;1,"Duplicate row (same date)","OK"))))))</f>
        <v/>
      </c>
    </row>
    <row r="1790">
      <c r="A1790" s="26" t="n"/>
      <c r="B1790" s="26" t="n"/>
      <c r="C1790" s="34" t="n"/>
      <c r="D1790" s="28" t="n"/>
      <c r="E1790" s="26" t="n"/>
      <c r="F1790" s="26" t="n"/>
      <c r="G1790" s="26" t="n"/>
      <c r="H1790" s="38" t="n"/>
      <c r="I1790" s="28" t="n"/>
      <c r="J1790" s="30">
        <f>IF(B1790="","",IFERROR(INDEX('Share classes'!$A$4:$A$203,MATCH(B1790,'Share classes'!$B$4:$B$203,0)),""))</f>
        <v/>
      </c>
      <c r="K1790" s="30">
        <f>IF(A1790="","",IFERROR(INDEX('Holders'!$B$4:$B$1003,MATCH(A1790,'Holders'!$A$4:$A$1003,0)),""))</f>
        <v/>
      </c>
      <c r="L1790" s="30">
        <f>IF(OR(A1790="",B1790="",D1790=""),"",IF(D1790=_xlfn.MAXIFS($D$4:$D$2503,$A$4:$A$2503,A1790,$B$4:$B$2503,B1790),"Yes","No"))</f>
        <v/>
      </c>
      <c r="M1790" s="30">
        <f>IF(B1790="","",IFERROR(INDEX('Share classes'!$F$4:$F$203,MATCH(B1790,'Share classes'!$B$4:$B$203,0)),""))</f>
        <v/>
      </c>
      <c r="N1790" s="30">
        <f>IF(A1790="","",IF(K1790="","Unknown holder ID",IF(J1790="","Unknown class code",IF(OR(C1790="",D1790=""),"Missing shares or date",IF(OR(C1790&lt;0,C1790&lt;&gt;INT(C1790)),"Shares must be a whole number",IF(COUNTIFS($A$4:$A$2503,A1790,$B$4:$B$2503,B1790,$D$4:$D$2503,D1790)&gt;1,"Duplicate row (same date)","OK"))))))</f>
        <v/>
      </c>
    </row>
    <row r="1791">
      <c r="A1791" s="26" t="n"/>
      <c r="B1791" s="26" t="n"/>
      <c r="C1791" s="34" t="n"/>
      <c r="D1791" s="28" t="n"/>
      <c r="E1791" s="26" t="n"/>
      <c r="F1791" s="26" t="n"/>
      <c r="G1791" s="26" t="n"/>
      <c r="H1791" s="38" t="n"/>
      <c r="I1791" s="28" t="n"/>
      <c r="J1791" s="30">
        <f>IF(B1791="","",IFERROR(INDEX('Share classes'!$A$4:$A$203,MATCH(B1791,'Share classes'!$B$4:$B$203,0)),""))</f>
        <v/>
      </c>
      <c r="K1791" s="30">
        <f>IF(A1791="","",IFERROR(INDEX('Holders'!$B$4:$B$1003,MATCH(A1791,'Holders'!$A$4:$A$1003,0)),""))</f>
        <v/>
      </c>
      <c r="L1791" s="30">
        <f>IF(OR(A1791="",B1791="",D1791=""),"",IF(D1791=_xlfn.MAXIFS($D$4:$D$2503,$A$4:$A$2503,A1791,$B$4:$B$2503,B1791),"Yes","No"))</f>
        <v/>
      </c>
      <c r="M1791" s="30">
        <f>IF(B1791="","",IFERROR(INDEX('Share classes'!$F$4:$F$203,MATCH(B1791,'Share classes'!$B$4:$B$203,0)),""))</f>
        <v/>
      </c>
      <c r="N1791" s="30">
        <f>IF(A1791="","",IF(K1791="","Unknown holder ID",IF(J1791="","Unknown class code",IF(OR(C1791="",D1791=""),"Missing shares or date",IF(OR(C1791&lt;0,C1791&lt;&gt;INT(C1791)),"Shares must be a whole number",IF(COUNTIFS($A$4:$A$2503,A1791,$B$4:$B$2503,B1791,$D$4:$D$2503,D1791)&gt;1,"Duplicate row (same date)","OK"))))))</f>
        <v/>
      </c>
    </row>
    <row r="1792">
      <c r="A1792" s="26" t="n"/>
      <c r="B1792" s="26" t="n"/>
      <c r="C1792" s="34" t="n"/>
      <c r="D1792" s="28" t="n"/>
      <c r="E1792" s="26" t="n"/>
      <c r="F1792" s="26" t="n"/>
      <c r="G1792" s="26" t="n"/>
      <c r="H1792" s="38" t="n"/>
      <c r="I1792" s="28" t="n"/>
      <c r="J1792" s="30">
        <f>IF(B1792="","",IFERROR(INDEX('Share classes'!$A$4:$A$203,MATCH(B1792,'Share classes'!$B$4:$B$203,0)),""))</f>
        <v/>
      </c>
      <c r="K1792" s="30">
        <f>IF(A1792="","",IFERROR(INDEX('Holders'!$B$4:$B$1003,MATCH(A1792,'Holders'!$A$4:$A$1003,0)),""))</f>
        <v/>
      </c>
      <c r="L1792" s="30">
        <f>IF(OR(A1792="",B1792="",D1792=""),"",IF(D1792=_xlfn.MAXIFS($D$4:$D$2503,$A$4:$A$2503,A1792,$B$4:$B$2503,B1792),"Yes","No"))</f>
        <v/>
      </c>
      <c r="M1792" s="30">
        <f>IF(B1792="","",IFERROR(INDEX('Share classes'!$F$4:$F$203,MATCH(B1792,'Share classes'!$B$4:$B$203,0)),""))</f>
        <v/>
      </c>
      <c r="N1792" s="30">
        <f>IF(A1792="","",IF(K1792="","Unknown holder ID",IF(J1792="","Unknown class code",IF(OR(C1792="",D1792=""),"Missing shares or date",IF(OR(C1792&lt;0,C1792&lt;&gt;INT(C1792)),"Shares must be a whole number",IF(COUNTIFS($A$4:$A$2503,A1792,$B$4:$B$2503,B1792,$D$4:$D$2503,D1792)&gt;1,"Duplicate row (same date)","OK"))))))</f>
        <v/>
      </c>
    </row>
    <row r="1793">
      <c r="A1793" s="26" t="n"/>
      <c r="B1793" s="26" t="n"/>
      <c r="C1793" s="34" t="n"/>
      <c r="D1793" s="28" t="n"/>
      <c r="E1793" s="26" t="n"/>
      <c r="F1793" s="26" t="n"/>
      <c r="G1793" s="26" t="n"/>
      <c r="H1793" s="38" t="n"/>
      <c r="I1793" s="28" t="n"/>
      <c r="J1793" s="30">
        <f>IF(B1793="","",IFERROR(INDEX('Share classes'!$A$4:$A$203,MATCH(B1793,'Share classes'!$B$4:$B$203,0)),""))</f>
        <v/>
      </c>
      <c r="K1793" s="30">
        <f>IF(A1793="","",IFERROR(INDEX('Holders'!$B$4:$B$1003,MATCH(A1793,'Holders'!$A$4:$A$1003,0)),""))</f>
        <v/>
      </c>
      <c r="L1793" s="30">
        <f>IF(OR(A1793="",B1793="",D1793=""),"",IF(D1793=_xlfn.MAXIFS($D$4:$D$2503,$A$4:$A$2503,A1793,$B$4:$B$2503,B1793),"Yes","No"))</f>
        <v/>
      </c>
      <c r="M1793" s="30">
        <f>IF(B1793="","",IFERROR(INDEX('Share classes'!$F$4:$F$203,MATCH(B1793,'Share classes'!$B$4:$B$203,0)),""))</f>
        <v/>
      </c>
      <c r="N1793" s="30">
        <f>IF(A1793="","",IF(K1793="","Unknown holder ID",IF(J1793="","Unknown class code",IF(OR(C1793="",D1793=""),"Missing shares or date",IF(OR(C1793&lt;0,C1793&lt;&gt;INT(C1793)),"Shares must be a whole number",IF(COUNTIFS($A$4:$A$2503,A1793,$B$4:$B$2503,B1793,$D$4:$D$2503,D1793)&gt;1,"Duplicate row (same date)","OK"))))))</f>
        <v/>
      </c>
    </row>
    <row r="1794">
      <c r="A1794" s="26" t="n"/>
      <c r="B1794" s="26" t="n"/>
      <c r="C1794" s="34" t="n"/>
      <c r="D1794" s="28" t="n"/>
      <c r="E1794" s="26" t="n"/>
      <c r="F1794" s="26" t="n"/>
      <c r="G1794" s="26" t="n"/>
      <c r="H1794" s="38" t="n"/>
      <c r="I1794" s="28" t="n"/>
      <c r="J1794" s="30">
        <f>IF(B1794="","",IFERROR(INDEX('Share classes'!$A$4:$A$203,MATCH(B1794,'Share classes'!$B$4:$B$203,0)),""))</f>
        <v/>
      </c>
      <c r="K1794" s="30">
        <f>IF(A1794="","",IFERROR(INDEX('Holders'!$B$4:$B$1003,MATCH(A1794,'Holders'!$A$4:$A$1003,0)),""))</f>
        <v/>
      </c>
      <c r="L1794" s="30">
        <f>IF(OR(A1794="",B1794="",D1794=""),"",IF(D1794=_xlfn.MAXIFS($D$4:$D$2503,$A$4:$A$2503,A1794,$B$4:$B$2503,B1794),"Yes","No"))</f>
        <v/>
      </c>
      <c r="M1794" s="30">
        <f>IF(B1794="","",IFERROR(INDEX('Share classes'!$F$4:$F$203,MATCH(B1794,'Share classes'!$B$4:$B$203,0)),""))</f>
        <v/>
      </c>
      <c r="N1794" s="30">
        <f>IF(A1794="","",IF(K1794="","Unknown holder ID",IF(J1794="","Unknown class code",IF(OR(C1794="",D1794=""),"Missing shares or date",IF(OR(C1794&lt;0,C1794&lt;&gt;INT(C1794)),"Shares must be a whole number",IF(COUNTIFS($A$4:$A$2503,A1794,$B$4:$B$2503,B1794,$D$4:$D$2503,D1794)&gt;1,"Duplicate row (same date)","OK"))))))</f>
        <v/>
      </c>
    </row>
    <row r="1795">
      <c r="A1795" s="26" t="n"/>
      <c r="B1795" s="26" t="n"/>
      <c r="C1795" s="34" t="n"/>
      <c r="D1795" s="28" t="n"/>
      <c r="E1795" s="26" t="n"/>
      <c r="F1795" s="26" t="n"/>
      <c r="G1795" s="26" t="n"/>
      <c r="H1795" s="38" t="n"/>
      <c r="I1795" s="28" t="n"/>
      <c r="J1795" s="30">
        <f>IF(B1795="","",IFERROR(INDEX('Share classes'!$A$4:$A$203,MATCH(B1795,'Share classes'!$B$4:$B$203,0)),""))</f>
        <v/>
      </c>
      <c r="K1795" s="30">
        <f>IF(A1795="","",IFERROR(INDEX('Holders'!$B$4:$B$1003,MATCH(A1795,'Holders'!$A$4:$A$1003,0)),""))</f>
        <v/>
      </c>
      <c r="L1795" s="30">
        <f>IF(OR(A1795="",B1795="",D1795=""),"",IF(D1795=_xlfn.MAXIFS($D$4:$D$2503,$A$4:$A$2503,A1795,$B$4:$B$2503,B1795),"Yes","No"))</f>
        <v/>
      </c>
      <c r="M1795" s="30">
        <f>IF(B1795="","",IFERROR(INDEX('Share classes'!$F$4:$F$203,MATCH(B1795,'Share classes'!$B$4:$B$203,0)),""))</f>
        <v/>
      </c>
      <c r="N1795" s="30">
        <f>IF(A1795="","",IF(K1795="","Unknown holder ID",IF(J1795="","Unknown class code",IF(OR(C1795="",D1795=""),"Missing shares or date",IF(OR(C1795&lt;0,C1795&lt;&gt;INT(C1795)),"Shares must be a whole number",IF(COUNTIFS($A$4:$A$2503,A1795,$B$4:$B$2503,B1795,$D$4:$D$2503,D1795)&gt;1,"Duplicate row (same date)","OK"))))))</f>
        <v/>
      </c>
    </row>
    <row r="1796">
      <c r="A1796" s="26" t="n"/>
      <c r="B1796" s="26" t="n"/>
      <c r="C1796" s="34" t="n"/>
      <c r="D1796" s="28" t="n"/>
      <c r="E1796" s="26" t="n"/>
      <c r="F1796" s="26" t="n"/>
      <c r="G1796" s="26" t="n"/>
      <c r="H1796" s="38" t="n"/>
      <c r="I1796" s="28" t="n"/>
      <c r="J1796" s="30">
        <f>IF(B1796="","",IFERROR(INDEX('Share classes'!$A$4:$A$203,MATCH(B1796,'Share classes'!$B$4:$B$203,0)),""))</f>
        <v/>
      </c>
      <c r="K1796" s="30">
        <f>IF(A1796="","",IFERROR(INDEX('Holders'!$B$4:$B$1003,MATCH(A1796,'Holders'!$A$4:$A$1003,0)),""))</f>
        <v/>
      </c>
      <c r="L1796" s="30">
        <f>IF(OR(A1796="",B1796="",D1796=""),"",IF(D1796=_xlfn.MAXIFS($D$4:$D$2503,$A$4:$A$2503,A1796,$B$4:$B$2503,B1796),"Yes","No"))</f>
        <v/>
      </c>
      <c r="M1796" s="30">
        <f>IF(B1796="","",IFERROR(INDEX('Share classes'!$F$4:$F$203,MATCH(B1796,'Share classes'!$B$4:$B$203,0)),""))</f>
        <v/>
      </c>
      <c r="N1796" s="30">
        <f>IF(A1796="","",IF(K1796="","Unknown holder ID",IF(J1796="","Unknown class code",IF(OR(C1796="",D1796=""),"Missing shares or date",IF(OR(C1796&lt;0,C1796&lt;&gt;INT(C1796)),"Shares must be a whole number",IF(COUNTIFS($A$4:$A$2503,A1796,$B$4:$B$2503,B1796,$D$4:$D$2503,D1796)&gt;1,"Duplicate row (same date)","OK"))))))</f>
        <v/>
      </c>
    </row>
    <row r="1797">
      <c r="A1797" s="26" t="n"/>
      <c r="B1797" s="26" t="n"/>
      <c r="C1797" s="34" t="n"/>
      <c r="D1797" s="28" t="n"/>
      <c r="E1797" s="26" t="n"/>
      <c r="F1797" s="26" t="n"/>
      <c r="G1797" s="26" t="n"/>
      <c r="H1797" s="38" t="n"/>
      <c r="I1797" s="28" t="n"/>
      <c r="J1797" s="30">
        <f>IF(B1797="","",IFERROR(INDEX('Share classes'!$A$4:$A$203,MATCH(B1797,'Share classes'!$B$4:$B$203,0)),""))</f>
        <v/>
      </c>
      <c r="K1797" s="30">
        <f>IF(A1797="","",IFERROR(INDEX('Holders'!$B$4:$B$1003,MATCH(A1797,'Holders'!$A$4:$A$1003,0)),""))</f>
        <v/>
      </c>
      <c r="L1797" s="30">
        <f>IF(OR(A1797="",B1797="",D1797=""),"",IF(D1797=_xlfn.MAXIFS($D$4:$D$2503,$A$4:$A$2503,A1797,$B$4:$B$2503,B1797),"Yes","No"))</f>
        <v/>
      </c>
      <c r="M1797" s="30">
        <f>IF(B1797="","",IFERROR(INDEX('Share classes'!$F$4:$F$203,MATCH(B1797,'Share classes'!$B$4:$B$203,0)),""))</f>
        <v/>
      </c>
      <c r="N1797" s="30">
        <f>IF(A1797="","",IF(K1797="","Unknown holder ID",IF(J1797="","Unknown class code",IF(OR(C1797="",D1797=""),"Missing shares or date",IF(OR(C1797&lt;0,C1797&lt;&gt;INT(C1797)),"Shares must be a whole number",IF(COUNTIFS($A$4:$A$2503,A1797,$B$4:$B$2503,B1797,$D$4:$D$2503,D1797)&gt;1,"Duplicate row (same date)","OK"))))))</f>
        <v/>
      </c>
    </row>
    <row r="1798">
      <c r="A1798" s="26" t="n"/>
      <c r="B1798" s="26" t="n"/>
      <c r="C1798" s="34" t="n"/>
      <c r="D1798" s="28" t="n"/>
      <c r="E1798" s="26" t="n"/>
      <c r="F1798" s="26" t="n"/>
      <c r="G1798" s="26" t="n"/>
      <c r="H1798" s="38" t="n"/>
      <c r="I1798" s="28" t="n"/>
      <c r="J1798" s="30">
        <f>IF(B1798="","",IFERROR(INDEX('Share classes'!$A$4:$A$203,MATCH(B1798,'Share classes'!$B$4:$B$203,0)),""))</f>
        <v/>
      </c>
      <c r="K1798" s="30">
        <f>IF(A1798="","",IFERROR(INDEX('Holders'!$B$4:$B$1003,MATCH(A1798,'Holders'!$A$4:$A$1003,0)),""))</f>
        <v/>
      </c>
      <c r="L1798" s="30">
        <f>IF(OR(A1798="",B1798="",D1798=""),"",IF(D1798=_xlfn.MAXIFS($D$4:$D$2503,$A$4:$A$2503,A1798,$B$4:$B$2503,B1798),"Yes","No"))</f>
        <v/>
      </c>
      <c r="M1798" s="30">
        <f>IF(B1798="","",IFERROR(INDEX('Share classes'!$F$4:$F$203,MATCH(B1798,'Share classes'!$B$4:$B$203,0)),""))</f>
        <v/>
      </c>
      <c r="N1798" s="30">
        <f>IF(A1798="","",IF(K1798="","Unknown holder ID",IF(J1798="","Unknown class code",IF(OR(C1798="",D1798=""),"Missing shares or date",IF(OR(C1798&lt;0,C1798&lt;&gt;INT(C1798)),"Shares must be a whole number",IF(COUNTIFS($A$4:$A$2503,A1798,$B$4:$B$2503,B1798,$D$4:$D$2503,D1798)&gt;1,"Duplicate row (same date)","OK"))))))</f>
        <v/>
      </c>
    </row>
    <row r="1799">
      <c r="A1799" s="26" t="n"/>
      <c r="B1799" s="26" t="n"/>
      <c r="C1799" s="34" t="n"/>
      <c r="D1799" s="28" t="n"/>
      <c r="E1799" s="26" t="n"/>
      <c r="F1799" s="26" t="n"/>
      <c r="G1799" s="26" t="n"/>
      <c r="H1799" s="38" t="n"/>
      <c r="I1799" s="28" t="n"/>
      <c r="J1799" s="30">
        <f>IF(B1799="","",IFERROR(INDEX('Share classes'!$A$4:$A$203,MATCH(B1799,'Share classes'!$B$4:$B$203,0)),""))</f>
        <v/>
      </c>
      <c r="K1799" s="30">
        <f>IF(A1799="","",IFERROR(INDEX('Holders'!$B$4:$B$1003,MATCH(A1799,'Holders'!$A$4:$A$1003,0)),""))</f>
        <v/>
      </c>
      <c r="L1799" s="30">
        <f>IF(OR(A1799="",B1799="",D1799=""),"",IF(D1799=_xlfn.MAXIFS($D$4:$D$2503,$A$4:$A$2503,A1799,$B$4:$B$2503,B1799),"Yes","No"))</f>
        <v/>
      </c>
      <c r="M1799" s="30">
        <f>IF(B1799="","",IFERROR(INDEX('Share classes'!$F$4:$F$203,MATCH(B1799,'Share classes'!$B$4:$B$203,0)),""))</f>
        <v/>
      </c>
      <c r="N1799" s="30">
        <f>IF(A1799="","",IF(K1799="","Unknown holder ID",IF(J1799="","Unknown class code",IF(OR(C1799="",D1799=""),"Missing shares or date",IF(OR(C1799&lt;0,C1799&lt;&gt;INT(C1799)),"Shares must be a whole number",IF(COUNTIFS($A$4:$A$2503,A1799,$B$4:$B$2503,B1799,$D$4:$D$2503,D1799)&gt;1,"Duplicate row (same date)","OK"))))))</f>
        <v/>
      </c>
    </row>
    <row r="1800">
      <c r="A1800" s="26" t="n"/>
      <c r="B1800" s="26" t="n"/>
      <c r="C1800" s="34" t="n"/>
      <c r="D1800" s="28" t="n"/>
      <c r="E1800" s="26" t="n"/>
      <c r="F1800" s="26" t="n"/>
      <c r="G1800" s="26" t="n"/>
      <c r="H1800" s="38" t="n"/>
      <c r="I1800" s="28" t="n"/>
      <c r="J1800" s="30">
        <f>IF(B1800="","",IFERROR(INDEX('Share classes'!$A$4:$A$203,MATCH(B1800,'Share classes'!$B$4:$B$203,0)),""))</f>
        <v/>
      </c>
      <c r="K1800" s="30">
        <f>IF(A1800="","",IFERROR(INDEX('Holders'!$B$4:$B$1003,MATCH(A1800,'Holders'!$A$4:$A$1003,0)),""))</f>
        <v/>
      </c>
      <c r="L1800" s="30">
        <f>IF(OR(A1800="",B1800="",D1800=""),"",IF(D1800=_xlfn.MAXIFS($D$4:$D$2503,$A$4:$A$2503,A1800,$B$4:$B$2503,B1800),"Yes","No"))</f>
        <v/>
      </c>
      <c r="M1800" s="30">
        <f>IF(B1800="","",IFERROR(INDEX('Share classes'!$F$4:$F$203,MATCH(B1800,'Share classes'!$B$4:$B$203,0)),""))</f>
        <v/>
      </c>
      <c r="N1800" s="30">
        <f>IF(A1800="","",IF(K1800="","Unknown holder ID",IF(J1800="","Unknown class code",IF(OR(C1800="",D1800=""),"Missing shares or date",IF(OR(C1800&lt;0,C1800&lt;&gt;INT(C1800)),"Shares must be a whole number",IF(COUNTIFS($A$4:$A$2503,A1800,$B$4:$B$2503,B1800,$D$4:$D$2503,D1800)&gt;1,"Duplicate row (same date)","OK"))))))</f>
        <v/>
      </c>
    </row>
    <row r="1801">
      <c r="A1801" s="26" t="n"/>
      <c r="B1801" s="26" t="n"/>
      <c r="C1801" s="34" t="n"/>
      <c r="D1801" s="28" t="n"/>
      <c r="E1801" s="26" t="n"/>
      <c r="F1801" s="26" t="n"/>
      <c r="G1801" s="26" t="n"/>
      <c r="H1801" s="38" t="n"/>
      <c r="I1801" s="28" t="n"/>
      <c r="J1801" s="30">
        <f>IF(B1801="","",IFERROR(INDEX('Share classes'!$A$4:$A$203,MATCH(B1801,'Share classes'!$B$4:$B$203,0)),""))</f>
        <v/>
      </c>
      <c r="K1801" s="30">
        <f>IF(A1801="","",IFERROR(INDEX('Holders'!$B$4:$B$1003,MATCH(A1801,'Holders'!$A$4:$A$1003,0)),""))</f>
        <v/>
      </c>
      <c r="L1801" s="30">
        <f>IF(OR(A1801="",B1801="",D1801=""),"",IF(D1801=_xlfn.MAXIFS($D$4:$D$2503,$A$4:$A$2503,A1801,$B$4:$B$2503,B1801),"Yes","No"))</f>
        <v/>
      </c>
      <c r="M1801" s="30">
        <f>IF(B1801="","",IFERROR(INDEX('Share classes'!$F$4:$F$203,MATCH(B1801,'Share classes'!$B$4:$B$203,0)),""))</f>
        <v/>
      </c>
      <c r="N1801" s="30">
        <f>IF(A1801="","",IF(K1801="","Unknown holder ID",IF(J1801="","Unknown class code",IF(OR(C1801="",D1801=""),"Missing shares or date",IF(OR(C1801&lt;0,C1801&lt;&gt;INT(C1801)),"Shares must be a whole number",IF(COUNTIFS($A$4:$A$2503,A1801,$B$4:$B$2503,B1801,$D$4:$D$2503,D1801)&gt;1,"Duplicate row (same date)","OK"))))))</f>
        <v/>
      </c>
    </row>
    <row r="1802">
      <c r="A1802" s="26" t="n"/>
      <c r="B1802" s="26" t="n"/>
      <c r="C1802" s="34" t="n"/>
      <c r="D1802" s="28" t="n"/>
      <c r="E1802" s="26" t="n"/>
      <c r="F1802" s="26" t="n"/>
      <c r="G1802" s="26" t="n"/>
      <c r="H1802" s="38" t="n"/>
      <c r="I1802" s="28" t="n"/>
      <c r="J1802" s="30">
        <f>IF(B1802="","",IFERROR(INDEX('Share classes'!$A$4:$A$203,MATCH(B1802,'Share classes'!$B$4:$B$203,0)),""))</f>
        <v/>
      </c>
      <c r="K1802" s="30">
        <f>IF(A1802="","",IFERROR(INDEX('Holders'!$B$4:$B$1003,MATCH(A1802,'Holders'!$A$4:$A$1003,0)),""))</f>
        <v/>
      </c>
      <c r="L1802" s="30">
        <f>IF(OR(A1802="",B1802="",D1802=""),"",IF(D1802=_xlfn.MAXIFS($D$4:$D$2503,$A$4:$A$2503,A1802,$B$4:$B$2503,B1802),"Yes","No"))</f>
        <v/>
      </c>
      <c r="M1802" s="30">
        <f>IF(B1802="","",IFERROR(INDEX('Share classes'!$F$4:$F$203,MATCH(B1802,'Share classes'!$B$4:$B$203,0)),""))</f>
        <v/>
      </c>
      <c r="N1802" s="30">
        <f>IF(A1802="","",IF(K1802="","Unknown holder ID",IF(J1802="","Unknown class code",IF(OR(C1802="",D1802=""),"Missing shares or date",IF(OR(C1802&lt;0,C1802&lt;&gt;INT(C1802)),"Shares must be a whole number",IF(COUNTIFS($A$4:$A$2503,A1802,$B$4:$B$2503,B1802,$D$4:$D$2503,D1802)&gt;1,"Duplicate row (same date)","OK"))))))</f>
        <v/>
      </c>
    </row>
    <row r="1803">
      <c r="A1803" s="26" t="n"/>
      <c r="B1803" s="26" t="n"/>
      <c r="C1803" s="34" t="n"/>
      <c r="D1803" s="28" t="n"/>
      <c r="E1803" s="26" t="n"/>
      <c r="F1803" s="26" t="n"/>
      <c r="G1803" s="26" t="n"/>
      <c r="H1803" s="38" t="n"/>
      <c r="I1803" s="28" t="n"/>
      <c r="J1803" s="30">
        <f>IF(B1803="","",IFERROR(INDEX('Share classes'!$A$4:$A$203,MATCH(B1803,'Share classes'!$B$4:$B$203,0)),""))</f>
        <v/>
      </c>
      <c r="K1803" s="30">
        <f>IF(A1803="","",IFERROR(INDEX('Holders'!$B$4:$B$1003,MATCH(A1803,'Holders'!$A$4:$A$1003,0)),""))</f>
        <v/>
      </c>
      <c r="L1803" s="30">
        <f>IF(OR(A1803="",B1803="",D1803=""),"",IF(D1803=_xlfn.MAXIFS($D$4:$D$2503,$A$4:$A$2503,A1803,$B$4:$B$2503,B1803),"Yes","No"))</f>
        <v/>
      </c>
      <c r="M1803" s="30">
        <f>IF(B1803="","",IFERROR(INDEX('Share classes'!$F$4:$F$203,MATCH(B1803,'Share classes'!$B$4:$B$203,0)),""))</f>
        <v/>
      </c>
      <c r="N1803" s="30">
        <f>IF(A1803="","",IF(K1803="","Unknown holder ID",IF(J1803="","Unknown class code",IF(OR(C1803="",D1803=""),"Missing shares or date",IF(OR(C1803&lt;0,C1803&lt;&gt;INT(C1803)),"Shares must be a whole number",IF(COUNTIFS($A$4:$A$2503,A1803,$B$4:$B$2503,B1803,$D$4:$D$2503,D1803)&gt;1,"Duplicate row (same date)","OK"))))))</f>
        <v/>
      </c>
    </row>
    <row r="1804">
      <c r="A1804" s="26" t="n"/>
      <c r="B1804" s="26" t="n"/>
      <c r="C1804" s="34" t="n"/>
      <c r="D1804" s="28" t="n"/>
      <c r="E1804" s="26" t="n"/>
      <c r="F1804" s="26" t="n"/>
      <c r="G1804" s="26" t="n"/>
      <c r="H1804" s="38" t="n"/>
      <c r="I1804" s="28" t="n"/>
      <c r="J1804" s="30">
        <f>IF(B1804="","",IFERROR(INDEX('Share classes'!$A$4:$A$203,MATCH(B1804,'Share classes'!$B$4:$B$203,0)),""))</f>
        <v/>
      </c>
      <c r="K1804" s="30">
        <f>IF(A1804="","",IFERROR(INDEX('Holders'!$B$4:$B$1003,MATCH(A1804,'Holders'!$A$4:$A$1003,0)),""))</f>
        <v/>
      </c>
      <c r="L1804" s="30">
        <f>IF(OR(A1804="",B1804="",D1804=""),"",IF(D1804=_xlfn.MAXIFS($D$4:$D$2503,$A$4:$A$2503,A1804,$B$4:$B$2503,B1804),"Yes","No"))</f>
        <v/>
      </c>
      <c r="M1804" s="30">
        <f>IF(B1804="","",IFERROR(INDEX('Share classes'!$F$4:$F$203,MATCH(B1804,'Share classes'!$B$4:$B$203,0)),""))</f>
        <v/>
      </c>
      <c r="N1804" s="30">
        <f>IF(A1804="","",IF(K1804="","Unknown holder ID",IF(J1804="","Unknown class code",IF(OR(C1804="",D1804=""),"Missing shares or date",IF(OR(C1804&lt;0,C1804&lt;&gt;INT(C1804)),"Shares must be a whole number",IF(COUNTIFS($A$4:$A$2503,A1804,$B$4:$B$2503,B1804,$D$4:$D$2503,D1804)&gt;1,"Duplicate row (same date)","OK"))))))</f>
        <v/>
      </c>
    </row>
    <row r="1805">
      <c r="A1805" s="26" t="n"/>
      <c r="B1805" s="26" t="n"/>
      <c r="C1805" s="34" t="n"/>
      <c r="D1805" s="28" t="n"/>
      <c r="E1805" s="26" t="n"/>
      <c r="F1805" s="26" t="n"/>
      <c r="G1805" s="26" t="n"/>
      <c r="H1805" s="38" t="n"/>
      <c r="I1805" s="28" t="n"/>
      <c r="J1805" s="30">
        <f>IF(B1805="","",IFERROR(INDEX('Share classes'!$A$4:$A$203,MATCH(B1805,'Share classes'!$B$4:$B$203,0)),""))</f>
        <v/>
      </c>
      <c r="K1805" s="30">
        <f>IF(A1805="","",IFERROR(INDEX('Holders'!$B$4:$B$1003,MATCH(A1805,'Holders'!$A$4:$A$1003,0)),""))</f>
        <v/>
      </c>
      <c r="L1805" s="30">
        <f>IF(OR(A1805="",B1805="",D1805=""),"",IF(D1805=_xlfn.MAXIFS($D$4:$D$2503,$A$4:$A$2503,A1805,$B$4:$B$2503,B1805),"Yes","No"))</f>
        <v/>
      </c>
      <c r="M1805" s="30">
        <f>IF(B1805="","",IFERROR(INDEX('Share classes'!$F$4:$F$203,MATCH(B1805,'Share classes'!$B$4:$B$203,0)),""))</f>
        <v/>
      </c>
      <c r="N1805" s="30">
        <f>IF(A1805="","",IF(K1805="","Unknown holder ID",IF(J1805="","Unknown class code",IF(OR(C1805="",D1805=""),"Missing shares or date",IF(OR(C1805&lt;0,C1805&lt;&gt;INT(C1805)),"Shares must be a whole number",IF(COUNTIFS($A$4:$A$2503,A1805,$B$4:$B$2503,B1805,$D$4:$D$2503,D1805)&gt;1,"Duplicate row (same date)","OK"))))))</f>
        <v/>
      </c>
    </row>
    <row r="1806">
      <c r="A1806" s="26" t="n"/>
      <c r="B1806" s="26" t="n"/>
      <c r="C1806" s="34" t="n"/>
      <c r="D1806" s="28" t="n"/>
      <c r="E1806" s="26" t="n"/>
      <c r="F1806" s="26" t="n"/>
      <c r="G1806" s="26" t="n"/>
      <c r="H1806" s="38" t="n"/>
      <c r="I1806" s="28" t="n"/>
      <c r="J1806" s="30">
        <f>IF(B1806="","",IFERROR(INDEX('Share classes'!$A$4:$A$203,MATCH(B1806,'Share classes'!$B$4:$B$203,0)),""))</f>
        <v/>
      </c>
      <c r="K1806" s="30">
        <f>IF(A1806="","",IFERROR(INDEX('Holders'!$B$4:$B$1003,MATCH(A1806,'Holders'!$A$4:$A$1003,0)),""))</f>
        <v/>
      </c>
      <c r="L1806" s="30">
        <f>IF(OR(A1806="",B1806="",D1806=""),"",IF(D1806=_xlfn.MAXIFS($D$4:$D$2503,$A$4:$A$2503,A1806,$B$4:$B$2503,B1806),"Yes","No"))</f>
        <v/>
      </c>
      <c r="M1806" s="30">
        <f>IF(B1806="","",IFERROR(INDEX('Share classes'!$F$4:$F$203,MATCH(B1806,'Share classes'!$B$4:$B$203,0)),""))</f>
        <v/>
      </c>
      <c r="N1806" s="30">
        <f>IF(A1806="","",IF(K1806="","Unknown holder ID",IF(J1806="","Unknown class code",IF(OR(C1806="",D1806=""),"Missing shares or date",IF(OR(C1806&lt;0,C1806&lt;&gt;INT(C1806)),"Shares must be a whole number",IF(COUNTIFS($A$4:$A$2503,A1806,$B$4:$B$2503,B1806,$D$4:$D$2503,D1806)&gt;1,"Duplicate row (same date)","OK"))))))</f>
        <v/>
      </c>
    </row>
    <row r="1807">
      <c r="A1807" s="26" t="n"/>
      <c r="B1807" s="26" t="n"/>
      <c r="C1807" s="34" t="n"/>
      <c r="D1807" s="28" t="n"/>
      <c r="E1807" s="26" t="n"/>
      <c r="F1807" s="26" t="n"/>
      <c r="G1807" s="26" t="n"/>
      <c r="H1807" s="38" t="n"/>
      <c r="I1807" s="28" t="n"/>
      <c r="J1807" s="30">
        <f>IF(B1807="","",IFERROR(INDEX('Share classes'!$A$4:$A$203,MATCH(B1807,'Share classes'!$B$4:$B$203,0)),""))</f>
        <v/>
      </c>
      <c r="K1807" s="30">
        <f>IF(A1807="","",IFERROR(INDEX('Holders'!$B$4:$B$1003,MATCH(A1807,'Holders'!$A$4:$A$1003,0)),""))</f>
        <v/>
      </c>
      <c r="L1807" s="30">
        <f>IF(OR(A1807="",B1807="",D1807=""),"",IF(D1807=_xlfn.MAXIFS($D$4:$D$2503,$A$4:$A$2503,A1807,$B$4:$B$2503,B1807),"Yes","No"))</f>
        <v/>
      </c>
      <c r="M1807" s="30">
        <f>IF(B1807="","",IFERROR(INDEX('Share classes'!$F$4:$F$203,MATCH(B1807,'Share classes'!$B$4:$B$203,0)),""))</f>
        <v/>
      </c>
      <c r="N1807" s="30">
        <f>IF(A1807="","",IF(K1807="","Unknown holder ID",IF(J1807="","Unknown class code",IF(OR(C1807="",D1807=""),"Missing shares or date",IF(OR(C1807&lt;0,C1807&lt;&gt;INT(C1807)),"Shares must be a whole number",IF(COUNTIFS($A$4:$A$2503,A1807,$B$4:$B$2503,B1807,$D$4:$D$2503,D1807)&gt;1,"Duplicate row (same date)","OK"))))))</f>
        <v/>
      </c>
    </row>
    <row r="1808">
      <c r="A1808" s="26" t="n"/>
      <c r="B1808" s="26" t="n"/>
      <c r="C1808" s="34" t="n"/>
      <c r="D1808" s="28" t="n"/>
      <c r="E1808" s="26" t="n"/>
      <c r="F1808" s="26" t="n"/>
      <c r="G1808" s="26" t="n"/>
      <c r="H1808" s="38" t="n"/>
      <c r="I1808" s="28" t="n"/>
      <c r="J1808" s="30">
        <f>IF(B1808="","",IFERROR(INDEX('Share classes'!$A$4:$A$203,MATCH(B1808,'Share classes'!$B$4:$B$203,0)),""))</f>
        <v/>
      </c>
      <c r="K1808" s="30">
        <f>IF(A1808="","",IFERROR(INDEX('Holders'!$B$4:$B$1003,MATCH(A1808,'Holders'!$A$4:$A$1003,0)),""))</f>
        <v/>
      </c>
      <c r="L1808" s="30">
        <f>IF(OR(A1808="",B1808="",D1808=""),"",IF(D1808=_xlfn.MAXIFS($D$4:$D$2503,$A$4:$A$2503,A1808,$B$4:$B$2503,B1808),"Yes","No"))</f>
        <v/>
      </c>
      <c r="M1808" s="30">
        <f>IF(B1808="","",IFERROR(INDEX('Share classes'!$F$4:$F$203,MATCH(B1808,'Share classes'!$B$4:$B$203,0)),""))</f>
        <v/>
      </c>
      <c r="N1808" s="30">
        <f>IF(A1808="","",IF(K1808="","Unknown holder ID",IF(J1808="","Unknown class code",IF(OR(C1808="",D1808=""),"Missing shares or date",IF(OR(C1808&lt;0,C1808&lt;&gt;INT(C1808)),"Shares must be a whole number",IF(COUNTIFS($A$4:$A$2503,A1808,$B$4:$B$2503,B1808,$D$4:$D$2503,D1808)&gt;1,"Duplicate row (same date)","OK"))))))</f>
        <v/>
      </c>
    </row>
    <row r="1809">
      <c r="A1809" s="26" t="n"/>
      <c r="B1809" s="26" t="n"/>
      <c r="C1809" s="34" t="n"/>
      <c r="D1809" s="28" t="n"/>
      <c r="E1809" s="26" t="n"/>
      <c r="F1809" s="26" t="n"/>
      <c r="G1809" s="26" t="n"/>
      <c r="H1809" s="38" t="n"/>
      <c r="I1809" s="28" t="n"/>
      <c r="J1809" s="30">
        <f>IF(B1809="","",IFERROR(INDEX('Share classes'!$A$4:$A$203,MATCH(B1809,'Share classes'!$B$4:$B$203,0)),""))</f>
        <v/>
      </c>
      <c r="K1809" s="30">
        <f>IF(A1809="","",IFERROR(INDEX('Holders'!$B$4:$B$1003,MATCH(A1809,'Holders'!$A$4:$A$1003,0)),""))</f>
        <v/>
      </c>
      <c r="L1809" s="30">
        <f>IF(OR(A1809="",B1809="",D1809=""),"",IF(D1809=_xlfn.MAXIFS($D$4:$D$2503,$A$4:$A$2503,A1809,$B$4:$B$2503,B1809),"Yes","No"))</f>
        <v/>
      </c>
      <c r="M1809" s="30">
        <f>IF(B1809="","",IFERROR(INDEX('Share classes'!$F$4:$F$203,MATCH(B1809,'Share classes'!$B$4:$B$203,0)),""))</f>
        <v/>
      </c>
      <c r="N1809" s="30">
        <f>IF(A1809="","",IF(K1809="","Unknown holder ID",IF(J1809="","Unknown class code",IF(OR(C1809="",D1809=""),"Missing shares or date",IF(OR(C1809&lt;0,C1809&lt;&gt;INT(C1809)),"Shares must be a whole number",IF(COUNTIFS($A$4:$A$2503,A1809,$B$4:$B$2503,B1809,$D$4:$D$2503,D1809)&gt;1,"Duplicate row (same date)","OK"))))))</f>
        <v/>
      </c>
    </row>
    <row r="1810">
      <c r="A1810" s="26" t="n"/>
      <c r="B1810" s="26" t="n"/>
      <c r="C1810" s="34" t="n"/>
      <c r="D1810" s="28" t="n"/>
      <c r="E1810" s="26" t="n"/>
      <c r="F1810" s="26" t="n"/>
      <c r="G1810" s="26" t="n"/>
      <c r="H1810" s="38" t="n"/>
      <c r="I1810" s="28" t="n"/>
      <c r="J1810" s="30">
        <f>IF(B1810="","",IFERROR(INDEX('Share classes'!$A$4:$A$203,MATCH(B1810,'Share classes'!$B$4:$B$203,0)),""))</f>
        <v/>
      </c>
      <c r="K1810" s="30">
        <f>IF(A1810="","",IFERROR(INDEX('Holders'!$B$4:$B$1003,MATCH(A1810,'Holders'!$A$4:$A$1003,0)),""))</f>
        <v/>
      </c>
      <c r="L1810" s="30">
        <f>IF(OR(A1810="",B1810="",D1810=""),"",IF(D1810=_xlfn.MAXIFS($D$4:$D$2503,$A$4:$A$2503,A1810,$B$4:$B$2503,B1810),"Yes","No"))</f>
        <v/>
      </c>
      <c r="M1810" s="30">
        <f>IF(B1810="","",IFERROR(INDEX('Share classes'!$F$4:$F$203,MATCH(B1810,'Share classes'!$B$4:$B$203,0)),""))</f>
        <v/>
      </c>
      <c r="N1810" s="30">
        <f>IF(A1810="","",IF(K1810="","Unknown holder ID",IF(J1810="","Unknown class code",IF(OR(C1810="",D1810=""),"Missing shares or date",IF(OR(C1810&lt;0,C1810&lt;&gt;INT(C1810)),"Shares must be a whole number",IF(COUNTIFS($A$4:$A$2503,A1810,$B$4:$B$2503,B1810,$D$4:$D$2503,D1810)&gt;1,"Duplicate row (same date)","OK"))))))</f>
        <v/>
      </c>
    </row>
    <row r="1811">
      <c r="A1811" s="26" t="n"/>
      <c r="B1811" s="26" t="n"/>
      <c r="C1811" s="34" t="n"/>
      <c r="D1811" s="28" t="n"/>
      <c r="E1811" s="26" t="n"/>
      <c r="F1811" s="26" t="n"/>
      <c r="G1811" s="26" t="n"/>
      <c r="H1811" s="38" t="n"/>
      <c r="I1811" s="28" t="n"/>
      <c r="J1811" s="30">
        <f>IF(B1811="","",IFERROR(INDEX('Share classes'!$A$4:$A$203,MATCH(B1811,'Share classes'!$B$4:$B$203,0)),""))</f>
        <v/>
      </c>
      <c r="K1811" s="30">
        <f>IF(A1811="","",IFERROR(INDEX('Holders'!$B$4:$B$1003,MATCH(A1811,'Holders'!$A$4:$A$1003,0)),""))</f>
        <v/>
      </c>
      <c r="L1811" s="30">
        <f>IF(OR(A1811="",B1811="",D1811=""),"",IF(D1811=_xlfn.MAXIFS($D$4:$D$2503,$A$4:$A$2503,A1811,$B$4:$B$2503,B1811),"Yes","No"))</f>
        <v/>
      </c>
      <c r="M1811" s="30">
        <f>IF(B1811="","",IFERROR(INDEX('Share classes'!$F$4:$F$203,MATCH(B1811,'Share classes'!$B$4:$B$203,0)),""))</f>
        <v/>
      </c>
      <c r="N1811" s="30">
        <f>IF(A1811="","",IF(K1811="","Unknown holder ID",IF(J1811="","Unknown class code",IF(OR(C1811="",D1811=""),"Missing shares or date",IF(OR(C1811&lt;0,C1811&lt;&gt;INT(C1811)),"Shares must be a whole number",IF(COUNTIFS($A$4:$A$2503,A1811,$B$4:$B$2503,B1811,$D$4:$D$2503,D1811)&gt;1,"Duplicate row (same date)","OK"))))))</f>
        <v/>
      </c>
    </row>
    <row r="1812">
      <c r="A1812" s="26" t="n"/>
      <c r="B1812" s="26" t="n"/>
      <c r="C1812" s="34" t="n"/>
      <c r="D1812" s="28" t="n"/>
      <c r="E1812" s="26" t="n"/>
      <c r="F1812" s="26" t="n"/>
      <c r="G1812" s="26" t="n"/>
      <c r="H1812" s="38" t="n"/>
      <c r="I1812" s="28" t="n"/>
      <c r="J1812" s="30">
        <f>IF(B1812="","",IFERROR(INDEX('Share classes'!$A$4:$A$203,MATCH(B1812,'Share classes'!$B$4:$B$203,0)),""))</f>
        <v/>
      </c>
      <c r="K1812" s="30">
        <f>IF(A1812="","",IFERROR(INDEX('Holders'!$B$4:$B$1003,MATCH(A1812,'Holders'!$A$4:$A$1003,0)),""))</f>
        <v/>
      </c>
      <c r="L1812" s="30">
        <f>IF(OR(A1812="",B1812="",D1812=""),"",IF(D1812=_xlfn.MAXIFS($D$4:$D$2503,$A$4:$A$2503,A1812,$B$4:$B$2503,B1812),"Yes","No"))</f>
        <v/>
      </c>
      <c r="M1812" s="30">
        <f>IF(B1812="","",IFERROR(INDEX('Share classes'!$F$4:$F$203,MATCH(B1812,'Share classes'!$B$4:$B$203,0)),""))</f>
        <v/>
      </c>
      <c r="N1812" s="30">
        <f>IF(A1812="","",IF(K1812="","Unknown holder ID",IF(J1812="","Unknown class code",IF(OR(C1812="",D1812=""),"Missing shares or date",IF(OR(C1812&lt;0,C1812&lt;&gt;INT(C1812)),"Shares must be a whole number",IF(COUNTIFS($A$4:$A$2503,A1812,$B$4:$B$2503,B1812,$D$4:$D$2503,D1812)&gt;1,"Duplicate row (same date)","OK"))))))</f>
        <v/>
      </c>
    </row>
    <row r="1813">
      <c r="A1813" s="26" t="n"/>
      <c r="B1813" s="26" t="n"/>
      <c r="C1813" s="34" t="n"/>
      <c r="D1813" s="28" t="n"/>
      <c r="E1813" s="26" t="n"/>
      <c r="F1813" s="26" t="n"/>
      <c r="G1813" s="26" t="n"/>
      <c r="H1813" s="38" t="n"/>
      <c r="I1813" s="28" t="n"/>
      <c r="J1813" s="30">
        <f>IF(B1813="","",IFERROR(INDEX('Share classes'!$A$4:$A$203,MATCH(B1813,'Share classes'!$B$4:$B$203,0)),""))</f>
        <v/>
      </c>
      <c r="K1813" s="30">
        <f>IF(A1813="","",IFERROR(INDEX('Holders'!$B$4:$B$1003,MATCH(A1813,'Holders'!$A$4:$A$1003,0)),""))</f>
        <v/>
      </c>
      <c r="L1813" s="30">
        <f>IF(OR(A1813="",B1813="",D1813=""),"",IF(D1813=_xlfn.MAXIFS($D$4:$D$2503,$A$4:$A$2503,A1813,$B$4:$B$2503,B1813),"Yes","No"))</f>
        <v/>
      </c>
      <c r="M1813" s="30">
        <f>IF(B1813="","",IFERROR(INDEX('Share classes'!$F$4:$F$203,MATCH(B1813,'Share classes'!$B$4:$B$203,0)),""))</f>
        <v/>
      </c>
      <c r="N1813" s="30">
        <f>IF(A1813="","",IF(K1813="","Unknown holder ID",IF(J1813="","Unknown class code",IF(OR(C1813="",D1813=""),"Missing shares or date",IF(OR(C1813&lt;0,C1813&lt;&gt;INT(C1813)),"Shares must be a whole number",IF(COUNTIFS($A$4:$A$2503,A1813,$B$4:$B$2503,B1813,$D$4:$D$2503,D1813)&gt;1,"Duplicate row (same date)","OK"))))))</f>
        <v/>
      </c>
    </row>
    <row r="1814">
      <c r="A1814" s="26" t="n"/>
      <c r="B1814" s="26" t="n"/>
      <c r="C1814" s="34" t="n"/>
      <c r="D1814" s="28" t="n"/>
      <c r="E1814" s="26" t="n"/>
      <c r="F1814" s="26" t="n"/>
      <c r="G1814" s="26" t="n"/>
      <c r="H1814" s="38" t="n"/>
      <c r="I1814" s="28" t="n"/>
      <c r="J1814" s="30">
        <f>IF(B1814="","",IFERROR(INDEX('Share classes'!$A$4:$A$203,MATCH(B1814,'Share classes'!$B$4:$B$203,0)),""))</f>
        <v/>
      </c>
      <c r="K1814" s="30">
        <f>IF(A1814="","",IFERROR(INDEX('Holders'!$B$4:$B$1003,MATCH(A1814,'Holders'!$A$4:$A$1003,0)),""))</f>
        <v/>
      </c>
      <c r="L1814" s="30">
        <f>IF(OR(A1814="",B1814="",D1814=""),"",IF(D1814=_xlfn.MAXIFS($D$4:$D$2503,$A$4:$A$2503,A1814,$B$4:$B$2503,B1814),"Yes","No"))</f>
        <v/>
      </c>
      <c r="M1814" s="30">
        <f>IF(B1814="","",IFERROR(INDEX('Share classes'!$F$4:$F$203,MATCH(B1814,'Share classes'!$B$4:$B$203,0)),""))</f>
        <v/>
      </c>
      <c r="N1814" s="30">
        <f>IF(A1814="","",IF(K1814="","Unknown holder ID",IF(J1814="","Unknown class code",IF(OR(C1814="",D1814=""),"Missing shares or date",IF(OR(C1814&lt;0,C1814&lt;&gt;INT(C1814)),"Shares must be a whole number",IF(COUNTIFS($A$4:$A$2503,A1814,$B$4:$B$2503,B1814,$D$4:$D$2503,D1814)&gt;1,"Duplicate row (same date)","OK"))))))</f>
        <v/>
      </c>
    </row>
    <row r="1815">
      <c r="A1815" s="26" t="n"/>
      <c r="B1815" s="26" t="n"/>
      <c r="C1815" s="34" t="n"/>
      <c r="D1815" s="28" t="n"/>
      <c r="E1815" s="26" t="n"/>
      <c r="F1815" s="26" t="n"/>
      <c r="G1815" s="26" t="n"/>
      <c r="H1815" s="38" t="n"/>
      <c r="I1815" s="28" t="n"/>
      <c r="J1815" s="30">
        <f>IF(B1815="","",IFERROR(INDEX('Share classes'!$A$4:$A$203,MATCH(B1815,'Share classes'!$B$4:$B$203,0)),""))</f>
        <v/>
      </c>
      <c r="K1815" s="30">
        <f>IF(A1815="","",IFERROR(INDEX('Holders'!$B$4:$B$1003,MATCH(A1815,'Holders'!$A$4:$A$1003,0)),""))</f>
        <v/>
      </c>
      <c r="L1815" s="30">
        <f>IF(OR(A1815="",B1815="",D1815=""),"",IF(D1815=_xlfn.MAXIFS($D$4:$D$2503,$A$4:$A$2503,A1815,$B$4:$B$2503,B1815),"Yes","No"))</f>
        <v/>
      </c>
      <c r="M1815" s="30">
        <f>IF(B1815="","",IFERROR(INDEX('Share classes'!$F$4:$F$203,MATCH(B1815,'Share classes'!$B$4:$B$203,0)),""))</f>
        <v/>
      </c>
      <c r="N1815" s="30">
        <f>IF(A1815="","",IF(K1815="","Unknown holder ID",IF(J1815="","Unknown class code",IF(OR(C1815="",D1815=""),"Missing shares or date",IF(OR(C1815&lt;0,C1815&lt;&gt;INT(C1815)),"Shares must be a whole number",IF(COUNTIFS($A$4:$A$2503,A1815,$B$4:$B$2503,B1815,$D$4:$D$2503,D1815)&gt;1,"Duplicate row (same date)","OK"))))))</f>
        <v/>
      </c>
    </row>
    <row r="1816">
      <c r="A1816" s="26" t="n"/>
      <c r="B1816" s="26" t="n"/>
      <c r="C1816" s="34" t="n"/>
      <c r="D1816" s="28" t="n"/>
      <c r="E1816" s="26" t="n"/>
      <c r="F1816" s="26" t="n"/>
      <c r="G1816" s="26" t="n"/>
      <c r="H1816" s="38" t="n"/>
      <c r="I1816" s="28" t="n"/>
      <c r="J1816" s="30">
        <f>IF(B1816="","",IFERROR(INDEX('Share classes'!$A$4:$A$203,MATCH(B1816,'Share classes'!$B$4:$B$203,0)),""))</f>
        <v/>
      </c>
      <c r="K1816" s="30">
        <f>IF(A1816="","",IFERROR(INDEX('Holders'!$B$4:$B$1003,MATCH(A1816,'Holders'!$A$4:$A$1003,0)),""))</f>
        <v/>
      </c>
      <c r="L1816" s="30">
        <f>IF(OR(A1816="",B1816="",D1816=""),"",IF(D1816=_xlfn.MAXIFS($D$4:$D$2503,$A$4:$A$2503,A1816,$B$4:$B$2503,B1816),"Yes","No"))</f>
        <v/>
      </c>
      <c r="M1816" s="30">
        <f>IF(B1816="","",IFERROR(INDEX('Share classes'!$F$4:$F$203,MATCH(B1816,'Share classes'!$B$4:$B$203,0)),""))</f>
        <v/>
      </c>
      <c r="N1816" s="30">
        <f>IF(A1816="","",IF(K1816="","Unknown holder ID",IF(J1816="","Unknown class code",IF(OR(C1816="",D1816=""),"Missing shares or date",IF(OR(C1816&lt;0,C1816&lt;&gt;INT(C1816)),"Shares must be a whole number",IF(COUNTIFS($A$4:$A$2503,A1816,$B$4:$B$2503,B1816,$D$4:$D$2503,D1816)&gt;1,"Duplicate row (same date)","OK"))))))</f>
        <v/>
      </c>
    </row>
    <row r="1817">
      <c r="A1817" s="26" t="n"/>
      <c r="B1817" s="26" t="n"/>
      <c r="C1817" s="34" t="n"/>
      <c r="D1817" s="28" t="n"/>
      <c r="E1817" s="26" t="n"/>
      <c r="F1817" s="26" t="n"/>
      <c r="G1817" s="26" t="n"/>
      <c r="H1817" s="38" t="n"/>
      <c r="I1817" s="28" t="n"/>
      <c r="J1817" s="30">
        <f>IF(B1817="","",IFERROR(INDEX('Share classes'!$A$4:$A$203,MATCH(B1817,'Share classes'!$B$4:$B$203,0)),""))</f>
        <v/>
      </c>
      <c r="K1817" s="30">
        <f>IF(A1817="","",IFERROR(INDEX('Holders'!$B$4:$B$1003,MATCH(A1817,'Holders'!$A$4:$A$1003,0)),""))</f>
        <v/>
      </c>
      <c r="L1817" s="30">
        <f>IF(OR(A1817="",B1817="",D1817=""),"",IF(D1817=_xlfn.MAXIFS($D$4:$D$2503,$A$4:$A$2503,A1817,$B$4:$B$2503,B1817),"Yes","No"))</f>
        <v/>
      </c>
      <c r="M1817" s="30">
        <f>IF(B1817="","",IFERROR(INDEX('Share classes'!$F$4:$F$203,MATCH(B1817,'Share classes'!$B$4:$B$203,0)),""))</f>
        <v/>
      </c>
      <c r="N1817" s="30">
        <f>IF(A1817="","",IF(K1817="","Unknown holder ID",IF(J1817="","Unknown class code",IF(OR(C1817="",D1817=""),"Missing shares or date",IF(OR(C1817&lt;0,C1817&lt;&gt;INT(C1817)),"Shares must be a whole number",IF(COUNTIFS($A$4:$A$2503,A1817,$B$4:$B$2503,B1817,$D$4:$D$2503,D1817)&gt;1,"Duplicate row (same date)","OK"))))))</f>
        <v/>
      </c>
    </row>
    <row r="1818">
      <c r="A1818" s="26" t="n"/>
      <c r="B1818" s="26" t="n"/>
      <c r="C1818" s="34" t="n"/>
      <c r="D1818" s="28" t="n"/>
      <c r="E1818" s="26" t="n"/>
      <c r="F1818" s="26" t="n"/>
      <c r="G1818" s="26" t="n"/>
      <c r="H1818" s="38" t="n"/>
      <c r="I1818" s="28" t="n"/>
      <c r="J1818" s="30">
        <f>IF(B1818="","",IFERROR(INDEX('Share classes'!$A$4:$A$203,MATCH(B1818,'Share classes'!$B$4:$B$203,0)),""))</f>
        <v/>
      </c>
      <c r="K1818" s="30">
        <f>IF(A1818="","",IFERROR(INDEX('Holders'!$B$4:$B$1003,MATCH(A1818,'Holders'!$A$4:$A$1003,0)),""))</f>
        <v/>
      </c>
      <c r="L1818" s="30">
        <f>IF(OR(A1818="",B1818="",D1818=""),"",IF(D1818=_xlfn.MAXIFS($D$4:$D$2503,$A$4:$A$2503,A1818,$B$4:$B$2503,B1818),"Yes","No"))</f>
        <v/>
      </c>
      <c r="M1818" s="30">
        <f>IF(B1818="","",IFERROR(INDEX('Share classes'!$F$4:$F$203,MATCH(B1818,'Share classes'!$B$4:$B$203,0)),""))</f>
        <v/>
      </c>
      <c r="N1818" s="30">
        <f>IF(A1818="","",IF(K1818="","Unknown holder ID",IF(J1818="","Unknown class code",IF(OR(C1818="",D1818=""),"Missing shares or date",IF(OR(C1818&lt;0,C1818&lt;&gt;INT(C1818)),"Shares must be a whole number",IF(COUNTIFS($A$4:$A$2503,A1818,$B$4:$B$2503,B1818,$D$4:$D$2503,D1818)&gt;1,"Duplicate row (same date)","OK"))))))</f>
        <v/>
      </c>
    </row>
    <row r="1819">
      <c r="A1819" s="26" t="n"/>
      <c r="B1819" s="26" t="n"/>
      <c r="C1819" s="34" t="n"/>
      <c r="D1819" s="28" t="n"/>
      <c r="E1819" s="26" t="n"/>
      <c r="F1819" s="26" t="n"/>
      <c r="G1819" s="26" t="n"/>
      <c r="H1819" s="38" t="n"/>
      <c r="I1819" s="28" t="n"/>
      <c r="J1819" s="30">
        <f>IF(B1819="","",IFERROR(INDEX('Share classes'!$A$4:$A$203,MATCH(B1819,'Share classes'!$B$4:$B$203,0)),""))</f>
        <v/>
      </c>
      <c r="K1819" s="30">
        <f>IF(A1819="","",IFERROR(INDEX('Holders'!$B$4:$B$1003,MATCH(A1819,'Holders'!$A$4:$A$1003,0)),""))</f>
        <v/>
      </c>
      <c r="L1819" s="30">
        <f>IF(OR(A1819="",B1819="",D1819=""),"",IF(D1819=_xlfn.MAXIFS($D$4:$D$2503,$A$4:$A$2503,A1819,$B$4:$B$2503,B1819),"Yes","No"))</f>
        <v/>
      </c>
      <c r="M1819" s="30">
        <f>IF(B1819="","",IFERROR(INDEX('Share classes'!$F$4:$F$203,MATCH(B1819,'Share classes'!$B$4:$B$203,0)),""))</f>
        <v/>
      </c>
      <c r="N1819" s="30">
        <f>IF(A1819="","",IF(K1819="","Unknown holder ID",IF(J1819="","Unknown class code",IF(OR(C1819="",D1819=""),"Missing shares or date",IF(OR(C1819&lt;0,C1819&lt;&gt;INT(C1819)),"Shares must be a whole number",IF(COUNTIFS($A$4:$A$2503,A1819,$B$4:$B$2503,B1819,$D$4:$D$2503,D1819)&gt;1,"Duplicate row (same date)","OK"))))))</f>
        <v/>
      </c>
    </row>
    <row r="1820">
      <c r="A1820" s="26" t="n"/>
      <c r="B1820" s="26" t="n"/>
      <c r="C1820" s="34" t="n"/>
      <c r="D1820" s="28" t="n"/>
      <c r="E1820" s="26" t="n"/>
      <c r="F1820" s="26" t="n"/>
      <c r="G1820" s="26" t="n"/>
      <c r="H1820" s="38" t="n"/>
      <c r="I1820" s="28" t="n"/>
      <c r="J1820" s="30">
        <f>IF(B1820="","",IFERROR(INDEX('Share classes'!$A$4:$A$203,MATCH(B1820,'Share classes'!$B$4:$B$203,0)),""))</f>
        <v/>
      </c>
      <c r="K1820" s="30">
        <f>IF(A1820="","",IFERROR(INDEX('Holders'!$B$4:$B$1003,MATCH(A1820,'Holders'!$A$4:$A$1003,0)),""))</f>
        <v/>
      </c>
      <c r="L1820" s="30">
        <f>IF(OR(A1820="",B1820="",D1820=""),"",IF(D1820=_xlfn.MAXIFS($D$4:$D$2503,$A$4:$A$2503,A1820,$B$4:$B$2503,B1820),"Yes","No"))</f>
        <v/>
      </c>
      <c r="M1820" s="30">
        <f>IF(B1820="","",IFERROR(INDEX('Share classes'!$F$4:$F$203,MATCH(B1820,'Share classes'!$B$4:$B$203,0)),""))</f>
        <v/>
      </c>
      <c r="N1820" s="30">
        <f>IF(A1820="","",IF(K1820="","Unknown holder ID",IF(J1820="","Unknown class code",IF(OR(C1820="",D1820=""),"Missing shares or date",IF(OR(C1820&lt;0,C1820&lt;&gt;INT(C1820)),"Shares must be a whole number",IF(COUNTIFS($A$4:$A$2503,A1820,$B$4:$B$2503,B1820,$D$4:$D$2503,D1820)&gt;1,"Duplicate row (same date)","OK"))))))</f>
        <v/>
      </c>
    </row>
    <row r="1821">
      <c r="A1821" s="26" t="n"/>
      <c r="B1821" s="26" t="n"/>
      <c r="C1821" s="34" t="n"/>
      <c r="D1821" s="28" t="n"/>
      <c r="E1821" s="26" t="n"/>
      <c r="F1821" s="26" t="n"/>
      <c r="G1821" s="26" t="n"/>
      <c r="H1821" s="38" t="n"/>
      <c r="I1821" s="28" t="n"/>
      <c r="J1821" s="30">
        <f>IF(B1821="","",IFERROR(INDEX('Share classes'!$A$4:$A$203,MATCH(B1821,'Share classes'!$B$4:$B$203,0)),""))</f>
        <v/>
      </c>
      <c r="K1821" s="30">
        <f>IF(A1821="","",IFERROR(INDEX('Holders'!$B$4:$B$1003,MATCH(A1821,'Holders'!$A$4:$A$1003,0)),""))</f>
        <v/>
      </c>
      <c r="L1821" s="30">
        <f>IF(OR(A1821="",B1821="",D1821=""),"",IF(D1821=_xlfn.MAXIFS($D$4:$D$2503,$A$4:$A$2503,A1821,$B$4:$B$2503,B1821),"Yes","No"))</f>
        <v/>
      </c>
      <c r="M1821" s="30">
        <f>IF(B1821="","",IFERROR(INDEX('Share classes'!$F$4:$F$203,MATCH(B1821,'Share classes'!$B$4:$B$203,0)),""))</f>
        <v/>
      </c>
      <c r="N1821" s="30">
        <f>IF(A1821="","",IF(K1821="","Unknown holder ID",IF(J1821="","Unknown class code",IF(OR(C1821="",D1821=""),"Missing shares or date",IF(OR(C1821&lt;0,C1821&lt;&gt;INT(C1821)),"Shares must be a whole number",IF(COUNTIFS($A$4:$A$2503,A1821,$B$4:$B$2503,B1821,$D$4:$D$2503,D1821)&gt;1,"Duplicate row (same date)","OK"))))))</f>
        <v/>
      </c>
    </row>
    <row r="1822">
      <c r="A1822" s="26" t="n"/>
      <c r="B1822" s="26" t="n"/>
      <c r="C1822" s="34" t="n"/>
      <c r="D1822" s="28" t="n"/>
      <c r="E1822" s="26" t="n"/>
      <c r="F1822" s="26" t="n"/>
      <c r="G1822" s="26" t="n"/>
      <c r="H1822" s="38" t="n"/>
      <c r="I1822" s="28" t="n"/>
      <c r="J1822" s="30">
        <f>IF(B1822="","",IFERROR(INDEX('Share classes'!$A$4:$A$203,MATCH(B1822,'Share classes'!$B$4:$B$203,0)),""))</f>
        <v/>
      </c>
      <c r="K1822" s="30">
        <f>IF(A1822="","",IFERROR(INDEX('Holders'!$B$4:$B$1003,MATCH(A1822,'Holders'!$A$4:$A$1003,0)),""))</f>
        <v/>
      </c>
      <c r="L1822" s="30">
        <f>IF(OR(A1822="",B1822="",D1822=""),"",IF(D1822=_xlfn.MAXIFS($D$4:$D$2503,$A$4:$A$2503,A1822,$B$4:$B$2503,B1822),"Yes","No"))</f>
        <v/>
      </c>
      <c r="M1822" s="30">
        <f>IF(B1822="","",IFERROR(INDEX('Share classes'!$F$4:$F$203,MATCH(B1822,'Share classes'!$B$4:$B$203,0)),""))</f>
        <v/>
      </c>
      <c r="N1822" s="30">
        <f>IF(A1822="","",IF(K1822="","Unknown holder ID",IF(J1822="","Unknown class code",IF(OR(C1822="",D1822=""),"Missing shares or date",IF(OR(C1822&lt;0,C1822&lt;&gt;INT(C1822)),"Shares must be a whole number",IF(COUNTIFS($A$4:$A$2503,A1822,$B$4:$B$2503,B1822,$D$4:$D$2503,D1822)&gt;1,"Duplicate row (same date)","OK"))))))</f>
        <v/>
      </c>
    </row>
    <row r="1823">
      <c r="A1823" s="26" t="n"/>
      <c r="B1823" s="26" t="n"/>
      <c r="C1823" s="34" t="n"/>
      <c r="D1823" s="28" t="n"/>
      <c r="E1823" s="26" t="n"/>
      <c r="F1823" s="26" t="n"/>
      <c r="G1823" s="26" t="n"/>
      <c r="H1823" s="38" t="n"/>
      <c r="I1823" s="28" t="n"/>
      <c r="J1823" s="30">
        <f>IF(B1823="","",IFERROR(INDEX('Share classes'!$A$4:$A$203,MATCH(B1823,'Share classes'!$B$4:$B$203,0)),""))</f>
        <v/>
      </c>
      <c r="K1823" s="30">
        <f>IF(A1823="","",IFERROR(INDEX('Holders'!$B$4:$B$1003,MATCH(A1823,'Holders'!$A$4:$A$1003,0)),""))</f>
        <v/>
      </c>
      <c r="L1823" s="30">
        <f>IF(OR(A1823="",B1823="",D1823=""),"",IF(D1823=_xlfn.MAXIFS($D$4:$D$2503,$A$4:$A$2503,A1823,$B$4:$B$2503,B1823),"Yes","No"))</f>
        <v/>
      </c>
      <c r="M1823" s="30">
        <f>IF(B1823="","",IFERROR(INDEX('Share classes'!$F$4:$F$203,MATCH(B1823,'Share classes'!$B$4:$B$203,0)),""))</f>
        <v/>
      </c>
      <c r="N1823" s="30">
        <f>IF(A1823="","",IF(K1823="","Unknown holder ID",IF(J1823="","Unknown class code",IF(OR(C1823="",D1823=""),"Missing shares or date",IF(OR(C1823&lt;0,C1823&lt;&gt;INT(C1823)),"Shares must be a whole number",IF(COUNTIFS($A$4:$A$2503,A1823,$B$4:$B$2503,B1823,$D$4:$D$2503,D1823)&gt;1,"Duplicate row (same date)","OK"))))))</f>
        <v/>
      </c>
    </row>
    <row r="1824">
      <c r="A1824" s="26" t="n"/>
      <c r="B1824" s="26" t="n"/>
      <c r="C1824" s="34" t="n"/>
      <c r="D1824" s="28" t="n"/>
      <c r="E1824" s="26" t="n"/>
      <c r="F1824" s="26" t="n"/>
      <c r="G1824" s="26" t="n"/>
      <c r="H1824" s="38" t="n"/>
      <c r="I1824" s="28" t="n"/>
      <c r="J1824" s="30">
        <f>IF(B1824="","",IFERROR(INDEX('Share classes'!$A$4:$A$203,MATCH(B1824,'Share classes'!$B$4:$B$203,0)),""))</f>
        <v/>
      </c>
      <c r="K1824" s="30">
        <f>IF(A1824="","",IFERROR(INDEX('Holders'!$B$4:$B$1003,MATCH(A1824,'Holders'!$A$4:$A$1003,0)),""))</f>
        <v/>
      </c>
      <c r="L1824" s="30">
        <f>IF(OR(A1824="",B1824="",D1824=""),"",IF(D1824=_xlfn.MAXIFS($D$4:$D$2503,$A$4:$A$2503,A1824,$B$4:$B$2503,B1824),"Yes","No"))</f>
        <v/>
      </c>
      <c r="M1824" s="30">
        <f>IF(B1824="","",IFERROR(INDEX('Share classes'!$F$4:$F$203,MATCH(B1824,'Share classes'!$B$4:$B$203,0)),""))</f>
        <v/>
      </c>
      <c r="N1824" s="30">
        <f>IF(A1824="","",IF(K1824="","Unknown holder ID",IF(J1824="","Unknown class code",IF(OR(C1824="",D1824=""),"Missing shares or date",IF(OR(C1824&lt;0,C1824&lt;&gt;INT(C1824)),"Shares must be a whole number",IF(COUNTIFS($A$4:$A$2503,A1824,$B$4:$B$2503,B1824,$D$4:$D$2503,D1824)&gt;1,"Duplicate row (same date)","OK"))))))</f>
        <v/>
      </c>
    </row>
    <row r="1825">
      <c r="A1825" s="26" t="n"/>
      <c r="B1825" s="26" t="n"/>
      <c r="C1825" s="34" t="n"/>
      <c r="D1825" s="28" t="n"/>
      <c r="E1825" s="26" t="n"/>
      <c r="F1825" s="26" t="n"/>
      <c r="G1825" s="26" t="n"/>
      <c r="H1825" s="38" t="n"/>
      <c r="I1825" s="28" t="n"/>
      <c r="J1825" s="30">
        <f>IF(B1825="","",IFERROR(INDEX('Share classes'!$A$4:$A$203,MATCH(B1825,'Share classes'!$B$4:$B$203,0)),""))</f>
        <v/>
      </c>
      <c r="K1825" s="30">
        <f>IF(A1825="","",IFERROR(INDEX('Holders'!$B$4:$B$1003,MATCH(A1825,'Holders'!$A$4:$A$1003,0)),""))</f>
        <v/>
      </c>
      <c r="L1825" s="30">
        <f>IF(OR(A1825="",B1825="",D1825=""),"",IF(D1825=_xlfn.MAXIFS($D$4:$D$2503,$A$4:$A$2503,A1825,$B$4:$B$2503,B1825),"Yes","No"))</f>
        <v/>
      </c>
      <c r="M1825" s="30">
        <f>IF(B1825="","",IFERROR(INDEX('Share classes'!$F$4:$F$203,MATCH(B1825,'Share classes'!$B$4:$B$203,0)),""))</f>
        <v/>
      </c>
      <c r="N1825" s="30">
        <f>IF(A1825="","",IF(K1825="","Unknown holder ID",IF(J1825="","Unknown class code",IF(OR(C1825="",D1825=""),"Missing shares or date",IF(OR(C1825&lt;0,C1825&lt;&gt;INT(C1825)),"Shares must be a whole number",IF(COUNTIFS($A$4:$A$2503,A1825,$B$4:$B$2503,B1825,$D$4:$D$2503,D1825)&gt;1,"Duplicate row (same date)","OK"))))))</f>
        <v/>
      </c>
    </row>
    <row r="1826">
      <c r="A1826" s="26" t="n"/>
      <c r="B1826" s="26" t="n"/>
      <c r="C1826" s="34" t="n"/>
      <c r="D1826" s="28" t="n"/>
      <c r="E1826" s="26" t="n"/>
      <c r="F1826" s="26" t="n"/>
      <c r="G1826" s="26" t="n"/>
      <c r="H1826" s="38" t="n"/>
      <c r="I1826" s="28" t="n"/>
      <c r="J1826" s="30">
        <f>IF(B1826="","",IFERROR(INDEX('Share classes'!$A$4:$A$203,MATCH(B1826,'Share classes'!$B$4:$B$203,0)),""))</f>
        <v/>
      </c>
      <c r="K1826" s="30">
        <f>IF(A1826="","",IFERROR(INDEX('Holders'!$B$4:$B$1003,MATCH(A1826,'Holders'!$A$4:$A$1003,0)),""))</f>
        <v/>
      </c>
      <c r="L1826" s="30">
        <f>IF(OR(A1826="",B1826="",D1826=""),"",IF(D1826=_xlfn.MAXIFS($D$4:$D$2503,$A$4:$A$2503,A1826,$B$4:$B$2503,B1826),"Yes","No"))</f>
        <v/>
      </c>
      <c r="M1826" s="30">
        <f>IF(B1826="","",IFERROR(INDEX('Share classes'!$F$4:$F$203,MATCH(B1826,'Share classes'!$B$4:$B$203,0)),""))</f>
        <v/>
      </c>
      <c r="N1826" s="30">
        <f>IF(A1826="","",IF(K1826="","Unknown holder ID",IF(J1826="","Unknown class code",IF(OR(C1826="",D1826=""),"Missing shares or date",IF(OR(C1826&lt;0,C1826&lt;&gt;INT(C1826)),"Shares must be a whole number",IF(COUNTIFS($A$4:$A$2503,A1826,$B$4:$B$2503,B1826,$D$4:$D$2503,D1826)&gt;1,"Duplicate row (same date)","OK"))))))</f>
        <v/>
      </c>
    </row>
    <row r="1827">
      <c r="A1827" s="26" t="n"/>
      <c r="B1827" s="26" t="n"/>
      <c r="C1827" s="34" t="n"/>
      <c r="D1827" s="28" t="n"/>
      <c r="E1827" s="26" t="n"/>
      <c r="F1827" s="26" t="n"/>
      <c r="G1827" s="26" t="n"/>
      <c r="H1827" s="38" t="n"/>
      <c r="I1827" s="28" t="n"/>
      <c r="J1827" s="30">
        <f>IF(B1827="","",IFERROR(INDEX('Share classes'!$A$4:$A$203,MATCH(B1827,'Share classes'!$B$4:$B$203,0)),""))</f>
        <v/>
      </c>
      <c r="K1827" s="30">
        <f>IF(A1827="","",IFERROR(INDEX('Holders'!$B$4:$B$1003,MATCH(A1827,'Holders'!$A$4:$A$1003,0)),""))</f>
        <v/>
      </c>
      <c r="L1827" s="30">
        <f>IF(OR(A1827="",B1827="",D1827=""),"",IF(D1827=_xlfn.MAXIFS($D$4:$D$2503,$A$4:$A$2503,A1827,$B$4:$B$2503,B1827),"Yes","No"))</f>
        <v/>
      </c>
      <c r="M1827" s="30">
        <f>IF(B1827="","",IFERROR(INDEX('Share classes'!$F$4:$F$203,MATCH(B1827,'Share classes'!$B$4:$B$203,0)),""))</f>
        <v/>
      </c>
      <c r="N1827" s="30">
        <f>IF(A1827="","",IF(K1827="","Unknown holder ID",IF(J1827="","Unknown class code",IF(OR(C1827="",D1827=""),"Missing shares or date",IF(OR(C1827&lt;0,C1827&lt;&gt;INT(C1827)),"Shares must be a whole number",IF(COUNTIFS($A$4:$A$2503,A1827,$B$4:$B$2503,B1827,$D$4:$D$2503,D1827)&gt;1,"Duplicate row (same date)","OK"))))))</f>
        <v/>
      </c>
    </row>
    <row r="1828">
      <c r="A1828" s="26" t="n"/>
      <c r="B1828" s="26" t="n"/>
      <c r="C1828" s="34" t="n"/>
      <c r="D1828" s="28" t="n"/>
      <c r="E1828" s="26" t="n"/>
      <c r="F1828" s="26" t="n"/>
      <c r="G1828" s="26" t="n"/>
      <c r="H1828" s="38" t="n"/>
      <c r="I1828" s="28" t="n"/>
      <c r="J1828" s="30">
        <f>IF(B1828="","",IFERROR(INDEX('Share classes'!$A$4:$A$203,MATCH(B1828,'Share classes'!$B$4:$B$203,0)),""))</f>
        <v/>
      </c>
      <c r="K1828" s="30">
        <f>IF(A1828="","",IFERROR(INDEX('Holders'!$B$4:$B$1003,MATCH(A1828,'Holders'!$A$4:$A$1003,0)),""))</f>
        <v/>
      </c>
      <c r="L1828" s="30">
        <f>IF(OR(A1828="",B1828="",D1828=""),"",IF(D1828=_xlfn.MAXIFS($D$4:$D$2503,$A$4:$A$2503,A1828,$B$4:$B$2503,B1828),"Yes","No"))</f>
        <v/>
      </c>
      <c r="M1828" s="30">
        <f>IF(B1828="","",IFERROR(INDEX('Share classes'!$F$4:$F$203,MATCH(B1828,'Share classes'!$B$4:$B$203,0)),""))</f>
        <v/>
      </c>
      <c r="N1828" s="30">
        <f>IF(A1828="","",IF(K1828="","Unknown holder ID",IF(J1828="","Unknown class code",IF(OR(C1828="",D1828=""),"Missing shares or date",IF(OR(C1828&lt;0,C1828&lt;&gt;INT(C1828)),"Shares must be a whole number",IF(COUNTIFS($A$4:$A$2503,A1828,$B$4:$B$2503,B1828,$D$4:$D$2503,D1828)&gt;1,"Duplicate row (same date)","OK"))))))</f>
        <v/>
      </c>
    </row>
    <row r="1829">
      <c r="A1829" s="26" t="n"/>
      <c r="B1829" s="26" t="n"/>
      <c r="C1829" s="34" t="n"/>
      <c r="D1829" s="28" t="n"/>
      <c r="E1829" s="26" t="n"/>
      <c r="F1829" s="26" t="n"/>
      <c r="G1829" s="26" t="n"/>
      <c r="H1829" s="38" t="n"/>
      <c r="I1829" s="28" t="n"/>
      <c r="J1829" s="30">
        <f>IF(B1829="","",IFERROR(INDEX('Share classes'!$A$4:$A$203,MATCH(B1829,'Share classes'!$B$4:$B$203,0)),""))</f>
        <v/>
      </c>
      <c r="K1829" s="30">
        <f>IF(A1829="","",IFERROR(INDEX('Holders'!$B$4:$B$1003,MATCH(A1829,'Holders'!$A$4:$A$1003,0)),""))</f>
        <v/>
      </c>
      <c r="L1829" s="30">
        <f>IF(OR(A1829="",B1829="",D1829=""),"",IF(D1829=_xlfn.MAXIFS($D$4:$D$2503,$A$4:$A$2503,A1829,$B$4:$B$2503,B1829),"Yes","No"))</f>
        <v/>
      </c>
      <c r="M1829" s="30">
        <f>IF(B1829="","",IFERROR(INDEX('Share classes'!$F$4:$F$203,MATCH(B1829,'Share classes'!$B$4:$B$203,0)),""))</f>
        <v/>
      </c>
      <c r="N1829" s="30">
        <f>IF(A1829="","",IF(K1829="","Unknown holder ID",IF(J1829="","Unknown class code",IF(OR(C1829="",D1829=""),"Missing shares or date",IF(OR(C1829&lt;0,C1829&lt;&gt;INT(C1829)),"Shares must be a whole number",IF(COUNTIFS($A$4:$A$2503,A1829,$B$4:$B$2503,B1829,$D$4:$D$2503,D1829)&gt;1,"Duplicate row (same date)","OK"))))))</f>
        <v/>
      </c>
    </row>
    <row r="1830">
      <c r="A1830" s="26" t="n"/>
      <c r="B1830" s="26" t="n"/>
      <c r="C1830" s="34" t="n"/>
      <c r="D1830" s="28" t="n"/>
      <c r="E1830" s="26" t="n"/>
      <c r="F1830" s="26" t="n"/>
      <c r="G1830" s="26" t="n"/>
      <c r="H1830" s="38" t="n"/>
      <c r="I1830" s="28" t="n"/>
      <c r="J1830" s="30">
        <f>IF(B1830="","",IFERROR(INDEX('Share classes'!$A$4:$A$203,MATCH(B1830,'Share classes'!$B$4:$B$203,0)),""))</f>
        <v/>
      </c>
      <c r="K1830" s="30">
        <f>IF(A1830="","",IFERROR(INDEX('Holders'!$B$4:$B$1003,MATCH(A1830,'Holders'!$A$4:$A$1003,0)),""))</f>
        <v/>
      </c>
      <c r="L1830" s="30">
        <f>IF(OR(A1830="",B1830="",D1830=""),"",IF(D1830=_xlfn.MAXIFS($D$4:$D$2503,$A$4:$A$2503,A1830,$B$4:$B$2503,B1830),"Yes","No"))</f>
        <v/>
      </c>
      <c r="M1830" s="30">
        <f>IF(B1830="","",IFERROR(INDEX('Share classes'!$F$4:$F$203,MATCH(B1830,'Share classes'!$B$4:$B$203,0)),""))</f>
        <v/>
      </c>
      <c r="N1830" s="30">
        <f>IF(A1830="","",IF(K1830="","Unknown holder ID",IF(J1830="","Unknown class code",IF(OR(C1830="",D1830=""),"Missing shares or date",IF(OR(C1830&lt;0,C1830&lt;&gt;INT(C1830)),"Shares must be a whole number",IF(COUNTIFS($A$4:$A$2503,A1830,$B$4:$B$2503,B1830,$D$4:$D$2503,D1830)&gt;1,"Duplicate row (same date)","OK"))))))</f>
        <v/>
      </c>
    </row>
    <row r="1831">
      <c r="A1831" s="26" t="n"/>
      <c r="B1831" s="26" t="n"/>
      <c r="C1831" s="34" t="n"/>
      <c r="D1831" s="28" t="n"/>
      <c r="E1831" s="26" t="n"/>
      <c r="F1831" s="26" t="n"/>
      <c r="G1831" s="26" t="n"/>
      <c r="H1831" s="38" t="n"/>
      <c r="I1831" s="28" t="n"/>
      <c r="J1831" s="30">
        <f>IF(B1831="","",IFERROR(INDEX('Share classes'!$A$4:$A$203,MATCH(B1831,'Share classes'!$B$4:$B$203,0)),""))</f>
        <v/>
      </c>
      <c r="K1831" s="30">
        <f>IF(A1831="","",IFERROR(INDEX('Holders'!$B$4:$B$1003,MATCH(A1831,'Holders'!$A$4:$A$1003,0)),""))</f>
        <v/>
      </c>
      <c r="L1831" s="30">
        <f>IF(OR(A1831="",B1831="",D1831=""),"",IF(D1831=_xlfn.MAXIFS($D$4:$D$2503,$A$4:$A$2503,A1831,$B$4:$B$2503,B1831),"Yes","No"))</f>
        <v/>
      </c>
      <c r="M1831" s="30">
        <f>IF(B1831="","",IFERROR(INDEX('Share classes'!$F$4:$F$203,MATCH(B1831,'Share classes'!$B$4:$B$203,0)),""))</f>
        <v/>
      </c>
      <c r="N1831" s="30">
        <f>IF(A1831="","",IF(K1831="","Unknown holder ID",IF(J1831="","Unknown class code",IF(OR(C1831="",D1831=""),"Missing shares or date",IF(OR(C1831&lt;0,C1831&lt;&gt;INT(C1831)),"Shares must be a whole number",IF(COUNTIFS($A$4:$A$2503,A1831,$B$4:$B$2503,B1831,$D$4:$D$2503,D1831)&gt;1,"Duplicate row (same date)","OK"))))))</f>
        <v/>
      </c>
    </row>
    <row r="1832">
      <c r="A1832" s="26" t="n"/>
      <c r="B1832" s="26" t="n"/>
      <c r="C1832" s="34" t="n"/>
      <c r="D1832" s="28" t="n"/>
      <c r="E1832" s="26" t="n"/>
      <c r="F1832" s="26" t="n"/>
      <c r="G1832" s="26" t="n"/>
      <c r="H1832" s="38" t="n"/>
      <c r="I1832" s="28" t="n"/>
      <c r="J1832" s="30">
        <f>IF(B1832="","",IFERROR(INDEX('Share classes'!$A$4:$A$203,MATCH(B1832,'Share classes'!$B$4:$B$203,0)),""))</f>
        <v/>
      </c>
      <c r="K1832" s="30">
        <f>IF(A1832="","",IFERROR(INDEX('Holders'!$B$4:$B$1003,MATCH(A1832,'Holders'!$A$4:$A$1003,0)),""))</f>
        <v/>
      </c>
      <c r="L1832" s="30">
        <f>IF(OR(A1832="",B1832="",D1832=""),"",IF(D1832=_xlfn.MAXIFS($D$4:$D$2503,$A$4:$A$2503,A1832,$B$4:$B$2503,B1832),"Yes","No"))</f>
        <v/>
      </c>
      <c r="M1832" s="30">
        <f>IF(B1832="","",IFERROR(INDEX('Share classes'!$F$4:$F$203,MATCH(B1832,'Share classes'!$B$4:$B$203,0)),""))</f>
        <v/>
      </c>
      <c r="N1832" s="30">
        <f>IF(A1832="","",IF(K1832="","Unknown holder ID",IF(J1832="","Unknown class code",IF(OR(C1832="",D1832=""),"Missing shares or date",IF(OR(C1832&lt;0,C1832&lt;&gt;INT(C1832)),"Shares must be a whole number",IF(COUNTIFS($A$4:$A$2503,A1832,$B$4:$B$2503,B1832,$D$4:$D$2503,D1832)&gt;1,"Duplicate row (same date)","OK"))))))</f>
        <v/>
      </c>
    </row>
    <row r="1833">
      <c r="A1833" s="26" t="n"/>
      <c r="B1833" s="26" t="n"/>
      <c r="C1833" s="34" t="n"/>
      <c r="D1833" s="28" t="n"/>
      <c r="E1833" s="26" t="n"/>
      <c r="F1833" s="26" t="n"/>
      <c r="G1833" s="26" t="n"/>
      <c r="H1833" s="38" t="n"/>
      <c r="I1833" s="28" t="n"/>
      <c r="J1833" s="30">
        <f>IF(B1833="","",IFERROR(INDEX('Share classes'!$A$4:$A$203,MATCH(B1833,'Share classes'!$B$4:$B$203,0)),""))</f>
        <v/>
      </c>
      <c r="K1833" s="30">
        <f>IF(A1833="","",IFERROR(INDEX('Holders'!$B$4:$B$1003,MATCH(A1833,'Holders'!$A$4:$A$1003,0)),""))</f>
        <v/>
      </c>
      <c r="L1833" s="30">
        <f>IF(OR(A1833="",B1833="",D1833=""),"",IF(D1833=_xlfn.MAXIFS($D$4:$D$2503,$A$4:$A$2503,A1833,$B$4:$B$2503,B1833),"Yes","No"))</f>
        <v/>
      </c>
      <c r="M1833" s="30">
        <f>IF(B1833="","",IFERROR(INDEX('Share classes'!$F$4:$F$203,MATCH(B1833,'Share classes'!$B$4:$B$203,0)),""))</f>
        <v/>
      </c>
      <c r="N1833" s="30">
        <f>IF(A1833="","",IF(K1833="","Unknown holder ID",IF(J1833="","Unknown class code",IF(OR(C1833="",D1833=""),"Missing shares or date",IF(OR(C1833&lt;0,C1833&lt;&gt;INT(C1833)),"Shares must be a whole number",IF(COUNTIFS($A$4:$A$2503,A1833,$B$4:$B$2503,B1833,$D$4:$D$2503,D1833)&gt;1,"Duplicate row (same date)","OK"))))))</f>
        <v/>
      </c>
    </row>
    <row r="1834">
      <c r="A1834" s="26" t="n"/>
      <c r="B1834" s="26" t="n"/>
      <c r="C1834" s="34" t="n"/>
      <c r="D1834" s="28" t="n"/>
      <c r="E1834" s="26" t="n"/>
      <c r="F1834" s="26" t="n"/>
      <c r="G1834" s="26" t="n"/>
      <c r="H1834" s="38" t="n"/>
      <c r="I1834" s="28" t="n"/>
      <c r="J1834" s="30">
        <f>IF(B1834="","",IFERROR(INDEX('Share classes'!$A$4:$A$203,MATCH(B1834,'Share classes'!$B$4:$B$203,0)),""))</f>
        <v/>
      </c>
      <c r="K1834" s="30">
        <f>IF(A1834="","",IFERROR(INDEX('Holders'!$B$4:$B$1003,MATCH(A1834,'Holders'!$A$4:$A$1003,0)),""))</f>
        <v/>
      </c>
      <c r="L1834" s="30">
        <f>IF(OR(A1834="",B1834="",D1834=""),"",IF(D1834=_xlfn.MAXIFS($D$4:$D$2503,$A$4:$A$2503,A1834,$B$4:$B$2503,B1834),"Yes","No"))</f>
        <v/>
      </c>
      <c r="M1834" s="30">
        <f>IF(B1834="","",IFERROR(INDEX('Share classes'!$F$4:$F$203,MATCH(B1834,'Share classes'!$B$4:$B$203,0)),""))</f>
        <v/>
      </c>
      <c r="N1834" s="30">
        <f>IF(A1834="","",IF(K1834="","Unknown holder ID",IF(J1834="","Unknown class code",IF(OR(C1834="",D1834=""),"Missing shares or date",IF(OR(C1834&lt;0,C1834&lt;&gt;INT(C1834)),"Shares must be a whole number",IF(COUNTIFS($A$4:$A$2503,A1834,$B$4:$B$2503,B1834,$D$4:$D$2503,D1834)&gt;1,"Duplicate row (same date)","OK"))))))</f>
        <v/>
      </c>
    </row>
    <row r="1835">
      <c r="A1835" s="26" t="n"/>
      <c r="B1835" s="26" t="n"/>
      <c r="C1835" s="34" t="n"/>
      <c r="D1835" s="28" t="n"/>
      <c r="E1835" s="26" t="n"/>
      <c r="F1835" s="26" t="n"/>
      <c r="G1835" s="26" t="n"/>
      <c r="H1835" s="38" t="n"/>
      <c r="I1835" s="28" t="n"/>
      <c r="J1835" s="30">
        <f>IF(B1835="","",IFERROR(INDEX('Share classes'!$A$4:$A$203,MATCH(B1835,'Share classes'!$B$4:$B$203,0)),""))</f>
        <v/>
      </c>
      <c r="K1835" s="30">
        <f>IF(A1835="","",IFERROR(INDEX('Holders'!$B$4:$B$1003,MATCH(A1835,'Holders'!$A$4:$A$1003,0)),""))</f>
        <v/>
      </c>
      <c r="L1835" s="30">
        <f>IF(OR(A1835="",B1835="",D1835=""),"",IF(D1835=_xlfn.MAXIFS($D$4:$D$2503,$A$4:$A$2503,A1835,$B$4:$B$2503,B1835),"Yes","No"))</f>
        <v/>
      </c>
      <c r="M1835" s="30">
        <f>IF(B1835="","",IFERROR(INDEX('Share classes'!$F$4:$F$203,MATCH(B1835,'Share classes'!$B$4:$B$203,0)),""))</f>
        <v/>
      </c>
      <c r="N1835" s="30">
        <f>IF(A1835="","",IF(K1835="","Unknown holder ID",IF(J1835="","Unknown class code",IF(OR(C1835="",D1835=""),"Missing shares or date",IF(OR(C1835&lt;0,C1835&lt;&gt;INT(C1835)),"Shares must be a whole number",IF(COUNTIFS($A$4:$A$2503,A1835,$B$4:$B$2503,B1835,$D$4:$D$2503,D1835)&gt;1,"Duplicate row (same date)","OK"))))))</f>
        <v/>
      </c>
    </row>
    <row r="1836">
      <c r="A1836" s="26" t="n"/>
      <c r="B1836" s="26" t="n"/>
      <c r="C1836" s="34" t="n"/>
      <c r="D1836" s="28" t="n"/>
      <c r="E1836" s="26" t="n"/>
      <c r="F1836" s="26" t="n"/>
      <c r="G1836" s="26" t="n"/>
      <c r="H1836" s="38" t="n"/>
      <c r="I1836" s="28" t="n"/>
      <c r="J1836" s="30">
        <f>IF(B1836="","",IFERROR(INDEX('Share classes'!$A$4:$A$203,MATCH(B1836,'Share classes'!$B$4:$B$203,0)),""))</f>
        <v/>
      </c>
      <c r="K1836" s="30">
        <f>IF(A1836="","",IFERROR(INDEX('Holders'!$B$4:$B$1003,MATCH(A1836,'Holders'!$A$4:$A$1003,0)),""))</f>
        <v/>
      </c>
      <c r="L1836" s="30">
        <f>IF(OR(A1836="",B1836="",D1836=""),"",IF(D1836=_xlfn.MAXIFS($D$4:$D$2503,$A$4:$A$2503,A1836,$B$4:$B$2503,B1836),"Yes","No"))</f>
        <v/>
      </c>
      <c r="M1836" s="30">
        <f>IF(B1836="","",IFERROR(INDEX('Share classes'!$F$4:$F$203,MATCH(B1836,'Share classes'!$B$4:$B$203,0)),""))</f>
        <v/>
      </c>
      <c r="N1836" s="30">
        <f>IF(A1836="","",IF(K1836="","Unknown holder ID",IF(J1836="","Unknown class code",IF(OR(C1836="",D1836=""),"Missing shares or date",IF(OR(C1836&lt;0,C1836&lt;&gt;INT(C1836)),"Shares must be a whole number",IF(COUNTIFS($A$4:$A$2503,A1836,$B$4:$B$2503,B1836,$D$4:$D$2503,D1836)&gt;1,"Duplicate row (same date)","OK"))))))</f>
        <v/>
      </c>
    </row>
    <row r="1837">
      <c r="A1837" s="26" t="n"/>
      <c r="B1837" s="26" t="n"/>
      <c r="C1837" s="34" t="n"/>
      <c r="D1837" s="28" t="n"/>
      <c r="E1837" s="26" t="n"/>
      <c r="F1837" s="26" t="n"/>
      <c r="G1837" s="26" t="n"/>
      <c r="H1837" s="38" t="n"/>
      <c r="I1837" s="28" t="n"/>
      <c r="J1837" s="30">
        <f>IF(B1837="","",IFERROR(INDEX('Share classes'!$A$4:$A$203,MATCH(B1837,'Share classes'!$B$4:$B$203,0)),""))</f>
        <v/>
      </c>
      <c r="K1837" s="30">
        <f>IF(A1837="","",IFERROR(INDEX('Holders'!$B$4:$B$1003,MATCH(A1837,'Holders'!$A$4:$A$1003,0)),""))</f>
        <v/>
      </c>
      <c r="L1837" s="30">
        <f>IF(OR(A1837="",B1837="",D1837=""),"",IF(D1837=_xlfn.MAXIFS($D$4:$D$2503,$A$4:$A$2503,A1837,$B$4:$B$2503,B1837),"Yes","No"))</f>
        <v/>
      </c>
      <c r="M1837" s="30">
        <f>IF(B1837="","",IFERROR(INDEX('Share classes'!$F$4:$F$203,MATCH(B1837,'Share classes'!$B$4:$B$203,0)),""))</f>
        <v/>
      </c>
      <c r="N1837" s="30">
        <f>IF(A1837="","",IF(K1837="","Unknown holder ID",IF(J1837="","Unknown class code",IF(OR(C1837="",D1837=""),"Missing shares or date",IF(OR(C1837&lt;0,C1837&lt;&gt;INT(C1837)),"Shares must be a whole number",IF(COUNTIFS($A$4:$A$2503,A1837,$B$4:$B$2503,B1837,$D$4:$D$2503,D1837)&gt;1,"Duplicate row (same date)","OK"))))))</f>
        <v/>
      </c>
    </row>
    <row r="1838">
      <c r="A1838" s="26" t="n"/>
      <c r="B1838" s="26" t="n"/>
      <c r="C1838" s="34" t="n"/>
      <c r="D1838" s="28" t="n"/>
      <c r="E1838" s="26" t="n"/>
      <c r="F1838" s="26" t="n"/>
      <c r="G1838" s="26" t="n"/>
      <c r="H1838" s="38" t="n"/>
      <c r="I1838" s="28" t="n"/>
      <c r="J1838" s="30">
        <f>IF(B1838="","",IFERROR(INDEX('Share classes'!$A$4:$A$203,MATCH(B1838,'Share classes'!$B$4:$B$203,0)),""))</f>
        <v/>
      </c>
      <c r="K1838" s="30">
        <f>IF(A1838="","",IFERROR(INDEX('Holders'!$B$4:$B$1003,MATCH(A1838,'Holders'!$A$4:$A$1003,0)),""))</f>
        <v/>
      </c>
      <c r="L1838" s="30">
        <f>IF(OR(A1838="",B1838="",D1838=""),"",IF(D1838=_xlfn.MAXIFS($D$4:$D$2503,$A$4:$A$2503,A1838,$B$4:$B$2503,B1838),"Yes","No"))</f>
        <v/>
      </c>
      <c r="M1838" s="30">
        <f>IF(B1838="","",IFERROR(INDEX('Share classes'!$F$4:$F$203,MATCH(B1838,'Share classes'!$B$4:$B$203,0)),""))</f>
        <v/>
      </c>
      <c r="N1838" s="30">
        <f>IF(A1838="","",IF(K1838="","Unknown holder ID",IF(J1838="","Unknown class code",IF(OR(C1838="",D1838=""),"Missing shares or date",IF(OR(C1838&lt;0,C1838&lt;&gt;INT(C1838)),"Shares must be a whole number",IF(COUNTIFS($A$4:$A$2503,A1838,$B$4:$B$2503,B1838,$D$4:$D$2503,D1838)&gt;1,"Duplicate row (same date)","OK"))))))</f>
        <v/>
      </c>
    </row>
    <row r="1839">
      <c r="A1839" s="26" t="n"/>
      <c r="B1839" s="26" t="n"/>
      <c r="C1839" s="34" t="n"/>
      <c r="D1839" s="28" t="n"/>
      <c r="E1839" s="26" t="n"/>
      <c r="F1839" s="26" t="n"/>
      <c r="G1839" s="26" t="n"/>
      <c r="H1839" s="38" t="n"/>
      <c r="I1839" s="28" t="n"/>
      <c r="J1839" s="30">
        <f>IF(B1839="","",IFERROR(INDEX('Share classes'!$A$4:$A$203,MATCH(B1839,'Share classes'!$B$4:$B$203,0)),""))</f>
        <v/>
      </c>
      <c r="K1839" s="30">
        <f>IF(A1839="","",IFERROR(INDEX('Holders'!$B$4:$B$1003,MATCH(A1839,'Holders'!$A$4:$A$1003,0)),""))</f>
        <v/>
      </c>
      <c r="L1839" s="30">
        <f>IF(OR(A1839="",B1839="",D1839=""),"",IF(D1839=_xlfn.MAXIFS($D$4:$D$2503,$A$4:$A$2503,A1839,$B$4:$B$2503,B1839),"Yes","No"))</f>
        <v/>
      </c>
      <c r="M1839" s="30">
        <f>IF(B1839="","",IFERROR(INDEX('Share classes'!$F$4:$F$203,MATCH(B1839,'Share classes'!$B$4:$B$203,0)),""))</f>
        <v/>
      </c>
      <c r="N1839" s="30">
        <f>IF(A1839="","",IF(K1839="","Unknown holder ID",IF(J1839="","Unknown class code",IF(OR(C1839="",D1839=""),"Missing shares or date",IF(OR(C1839&lt;0,C1839&lt;&gt;INT(C1839)),"Shares must be a whole number",IF(COUNTIFS($A$4:$A$2503,A1839,$B$4:$B$2503,B1839,$D$4:$D$2503,D1839)&gt;1,"Duplicate row (same date)","OK"))))))</f>
        <v/>
      </c>
    </row>
    <row r="1840">
      <c r="A1840" s="26" t="n"/>
      <c r="B1840" s="26" t="n"/>
      <c r="C1840" s="34" t="n"/>
      <c r="D1840" s="28" t="n"/>
      <c r="E1840" s="26" t="n"/>
      <c r="F1840" s="26" t="n"/>
      <c r="G1840" s="26" t="n"/>
      <c r="H1840" s="38" t="n"/>
      <c r="I1840" s="28" t="n"/>
      <c r="J1840" s="30">
        <f>IF(B1840="","",IFERROR(INDEX('Share classes'!$A$4:$A$203,MATCH(B1840,'Share classes'!$B$4:$B$203,0)),""))</f>
        <v/>
      </c>
      <c r="K1840" s="30">
        <f>IF(A1840="","",IFERROR(INDEX('Holders'!$B$4:$B$1003,MATCH(A1840,'Holders'!$A$4:$A$1003,0)),""))</f>
        <v/>
      </c>
      <c r="L1840" s="30">
        <f>IF(OR(A1840="",B1840="",D1840=""),"",IF(D1840=_xlfn.MAXIFS($D$4:$D$2503,$A$4:$A$2503,A1840,$B$4:$B$2503,B1840),"Yes","No"))</f>
        <v/>
      </c>
      <c r="M1840" s="30">
        <f>IF(B1840="","",IFERROR(INDEX('Share classes'!$F$4:$F$203,MATCH(B1840,'Share classes'!$B$4:$B$203,0)),""))</f>
        <v/>
      </c>
      <c r="N1840" s="30">
        <f>IF(A1840="","",IF(K1840="","Unknown holder ID",IF(J1840="","Unknown class code",IF(OR(C1840="",D1840=""),"Missing shares or date",IF(OR(C1840&lt;0,C1840&lt;&gt;INT(C1840)),"Shares must be a whole number",IF(COUNTIFS($A$4:$A$2503,A1840,$B$4:$B$2503,B1840,$D$4:$D$2503,D1840)&gt;1,"Duplicate row (same date)","OK"))))))</f>
        <v/>
      </c>
    </row>
    <row r="1841">
      <c r="A1841" s="26" t="n"/>
      <c r="B1841" s="26" t="n"/>
      <c r="C1841" s="34" t="n"/>
      <c r="D1841" s="28" t="n"/>
      <c r="E1841" s="26" t="n"/>
      <c r="F1841" s="26" t="n"/>
      <c r="G1841" s="26" t="n"/>
      <c r="H1841" s="38" t="n"/>
      <c r="I1841" s="28" t="n"/>
      <c r="J1841" s="30">
        <f>IF(B1841="","",IFERROR(INDEX('Share classes'!$A$4:$A$203,MATCH(B1841,'Share classes'!$B$4:$B$203,0)),""))</f>
        <v/>
      </c>
      <c r="K1841" s="30">
        <f>IF(A1841="","",IFERROR(INDEX('Holders'!$B$4:$B$1003,MATCH(A1841,'Holders'!$A$4:$A$1003,0)),""))</f>
        <v/>
      </c>
      <c r="L1841" s="30">
        <f>IF(OR(A1841="",B1841="",D1841=""),"",IF(D1841=_xlfn.MAXIFS($D$4:$D$2503,$A$4:$A$2503,A1841,$B$4:$B$2503,B1841),"Yes","No"))</f>
        <v/>
      </c>
      <c r="M1841" s="30">
        <f>IF(B1841="","",IFERROR(INDEX('Share classes'!$F$4:$F$203,MATCH(B1841,'Share classes'!$B$4:$B$203,0)),""))</f>
        <v/>
      </c>
      <c r="N1841" s="30">
        <f>IF(A1841="","",IF(K1841="","Unknown holder ID",IF(J1841="","Unknown class code",IF(OR(C1841="",D1841=""),"Missing shares or date",IF(OR(C1841&lt;0,C1841&lt;&gt;INT(C1841)),"Shares must be a whole number",IF(COUNTIFS($A$4:$A$2503,A1841,$B$4:$B$2503,B1841,$D$4:$D$2503,D1841)&gt;1,"Duplicate row (same date)","OK"))))))</f>
        <v/>
      </c>
    </row>
    <row r="1842">
      <c r="A1842" s="26" t="n"/>
      <c r="B1842" s="26" t="n"/>
      <c r="C1842" s="34" t="n"/>
      <c r="D1842" s="28" t="n"/>
      <c r="E1842" s="26" t="n"/>
      <c r="F1842" s="26" t="n"/>
      <c r="G1842" s="26" t="n"/>
      <c r="H1842" s="38" t="n"/>
      <c r="I1842" s="28" t="n"/>
      <c r="J1842" s="30">
        <f>IF(B1842="","",IFERROR(INDEX('Share classes'!$A$4:$A$203,MATCH(B1842,'Share classes'!$B$4:$B$203,0)),""))</f>
        <v/>
      </c>
      <c r="K1842" s="30">
        <f>IF(A1842="","",IFERROR(INDEX('Holders'!$B$4:$B$1003,MATCH(A1842,'Holders'!$A$4:$A$1003,0)),""))</f>
        <v/>
      </c>
      <c r="L1842" s="30">
        <f>IF(OR(A1842="",B1842="",D1842=""),"",IF(D1842=_xlfn.MAXIFS($D$4:$D$2503,$A$4:$A$2503,A1842,$B$4:$B$2503,B1842),"Yes","No"))</f>
        <v/>
      </c>
      <c r="M1842" s="30">
        <f>IF(B1842="","",IFERROR(INDEX('Share classes'!$F$4:$F$203,MATCH(B1842,'Share classes'!$B$4:$B$203,0)),""))</f>
        <v/>
      </c>
      <c r="N1842" s="30">
        <f>IF(A1842="","",IF(K1842="","Unknown holder ID",IF(J1842="","Unknown class code",IF(OR(C1842="",D1842=""),"Missing shares or date",IF(OR(C1842&lt;0,C1842&lt;&gt;INT(C1842)),"Shares must be a whole number",IF(COUNTIFS($A$4:$A$2503,A1842,$B$4:$B$2503,B1842,$D$4:$D$2503,D1842)&gt;1,"Duplicate row (same date)","OK"))))))</f>
        <v/>
      </c>
    </row>
    <row r="1843">
      <c r="A1843" s="26" t="n"/>
      <c r="B1843" s="26" t="n"/>
      <c r="C1843" s="34" t="n"/>
      <c r="D1843" s="28" t="n"/>
      <c r="E1843" s="26" t="n"/>
      <c r="F1843" s="26" t="n"/>
      <c r="G1843" s="26" t="n"/>
      <c r="H1843" s="38" t="n"/>
      <c r="I1843" s="28" t="n"/>
      <c r="J1843" s="30">
        <f>IF(B1843="","",IFERROR(INDEX('Share classes'!$A$4:$A$203,MATCH(B1843,'Share classes'!$B$4:$B$203,0)),""))</f>
        <v/>
      </c>
      <c r="K1843" s="30">
        <f>IF(A1843="","",IFERROR(INDEX('Holders'!$B$4:$B$1003,MATCH(A1843,'Holders'!$A$4:$A$1003,0)),""))</f>
        <v/>
      </c>
      <c r="L1843" s="30">
        <f>IF(OR(A1843="",B1843="",D1843=""),"",IF(D1843=_xlfn.MAXIFS($D$4:$D$2503,$A$4:$A$2503,A1843,$B$4:$B$2503,B1843),"Yes","No"))</f>
        <v/>
      </c>
      <c r="M1843" s="30">
        <f>IF(B1843="","",IFERROR(INDEX('Share classes'!$F$4:$F$203,MATCH(B1843,'Share classes'!$B$4:$B$203,0)),""))</f>
        <v/>
      </c>
      <c r="N1843" s="30">
        <f>IF(A1843="","",IF(K1843="","Unknown holder ID",IF(J1843="","Unknown class code",IF(OR(C1843="",D1843=""),"Missing shares or date",IF(OR(C1843&lt;0,C1843&lt;&gt;INT(C1843)),"Shares must be a whole number",IF(COUNTIFS($A$4:$A$2503,A1843,$B$4:$B$2503,B1843,$D$4:$D$2503,D1843)&gt;1,"Duplicate row (same date)","OK"))))))</f>
        <v/>
      </c>
    </row>
    <row r="1844">
      <c r="A1844" s="26" t="n"/>
      <c r="B1844" s="26" t="n"/>
      <c r="C1844" s="34" t="n"/>
      <c r="D1844" s="28" t="n"/>
      <c r="E1844" s="26" t="n"/>
      <c r="F1844" s="26" t="n"/>
      <c r="G1844" s="26" t="n"/>
      <c r="H1844" s="38" t="n"/>
      <c r="I1844" s="28" t="n"/>
      <c r="J1844" s="30">
        <f>IF(B1844="","",IFERROR(INDEX('Share classes'!$A$4:$A$203,MATCH(B1844,'Share classes'!$B$4:$B$203,0)),""))</f>
        <v/>
      </c>
      <c r="K1844" s="30">
        <f>IF(A1844="","",IFERROR(INDEX('Holders'!$B$4:$B$1003,MATCH(A1844,'Holders'!$A$4:$A$1003,0)),""))</f>
        <v/>
      </c>
      <c r="L1844" s="30">
        <f>IF(OR(A1844="",B1844="",D1844=""),"",IF(D1844=_xlfn.MAXIFS($D$4:$D$2503,$A$4:$A$2503,A1844,$B$4:$B$2503,B1844),"Yes","No"))</f>
        <v/>
      </c>
      <c r="M1844" s="30">
        <f>IF(B1844="","",IFERROR(INDEX('Share classes'!$F$4:$F$203,MATCH(B1844,'Share classes'!$B$4:$B$203,0)),""))</f>
        <v/>
      </c>
      <c r="N1844" s="30">
        <f>IF(A1844="","",IF(K1844="","Unknown holder ID",IF(J1844="","Unknown class code",IF(OR(C1844="",D1844=""),"Missing shares or date",IF(OR(C1844&lt;0,C1844&lt;&gt;INT(C1844)),"Shares must be a whole number",IF(COUNTIFS($A$4:$A$2503,A1844,$B$4:$B$2503,B1844,$D$4:$D$2503,D1844)&gt;1,"Duplicate row (same date)","OK"))))))</f>
        <v/>
      </c>
    </row>
    <row r="1845">
      <c r="A1845" s="26" t="n"/>
      <c r="B1845" s="26" t="n"/>
      <c r="C1845" s="34" t="n"/>
      <c r="D1845" s="28" t="n"/>
      <c r="E1845" s="26" t="n"/>
      <c r="F1845" s="26" t="n"/>
      <c r="G1845" s="26" t="n"/>
      <c r="H1845" s="38" t="n"/>
      <c r="I1845" s="28" t="n"/>
      <c r="J1845" s="30">
        <f>IF(B1845="","",IFERROR(INDEX('Share classes'!$A$4:$A$203,MATCH(B1845,'Share classes'!$B$4:$B$203,0)),""))</f>
        <v/>
      </c>
      <c r="K1845" s="30">
        <f>IF(A1845="","",IFERROR(INDEX('Holders'!$B$4:$B$1003,MATCH(A1845,'Holders'!$A$4:$A$1003,0)),""))</f>
        <v/>
      </c>
      <c r="L1845" s="30">
        <f>IF(OR(A1845="",B1845="",D1845=""),"",IF(D1845=_xlfn.MAXIFS($D$4:$D$2503,$A$4:$A$2503,A1845,$B$4:$B$2503,B1845),"Yes","No"))</f>
        <v/>
      </c>
      <c r="M1845" s="30">
        <f>IF(B1845="","",IFERROR(INDEX('Share classes'!$F$4:$F$203,MATCH(B1845,'Share classes'!$B$4:$B$203,0)),""))</f>
        <v/>
      </c>
      <c r="N1845" s="30">
        <f>IF(A1845="","",IF(K1845="","Unknown holder ID",IF(J1845="","Unknown class code",IF(OR(C1845="",D1845=""),"Missing shares or date",IF(OR(C1845&lt;0,C1845&lt;&gt;INT(C1845)),"Shares must be a whole number",IF(COUNTIFS($A$4:$A$2503,A1845,$B$4:$B$2503,B1845,$D$4:$D$2503,D1845)&gt;1,"Duplicate row (same date)","OK"))))))</f>
        <v/>
      </c>
    </row>
    <row r="1846">
      <c r="A1846" s="26" t="n"/>
      <c r="B1846" s="26" t="n"/>
      <c r="C1846" s="34" t="n"/>
      <c r="D1846" s="28" t="n"/>
      <c r="E1846" s="26" t="n"/>
      <c r="F1846" s="26" t="n"/>
      <c r="G1846" s="26" t="n"/>
      <c r="H1846" s="38" t="n"/>
      <c r="I1846" s="28" t="n"/>
      <c r="J1846" s="30">
        <f>IF(B1846="","",IFERROR(INDEX('Share classes'!$A$4:$A$203,MATCH(B1846,'Share classes'!$B$4:$B$203,0)),""))</f>
        <v/>
      </c>
      <c r="K1846" s="30">
        <f>IF(A1846="","",IFERROR(INDEX('Holders'!$B$4:$B$1003,MATCH(A1846,'Holders'!$A$4:$A$1003,0)),""))</f>
        <v/>
      </c>
      <c r="L1846" s="30">
        <f>IF(OR(A1846="",B1846="",D1846=""),"",IF(D1846=_xlfn.MAXIFS($D$4:$D$2503,$A$4:$A$2503,A1846,$B$4:$B$2503,B1846),"Yes","No"))</f>
        <v/>
      </c>
      <c r="M1846" s="30">
        <f>IF(B1846="","",IFERROR(INDEX('Share classes'!$F$4:$F$203,MATCH(B1846,'Share classes'!$B$4:$B$203,0)),""))</f>
        <v/>
      </c>
      <c r="N1846" s="30">
        <f>IF(A1846="","",IF(K1846="","Unknown holder ID",IF(J1846="","Unknown class code",IF(OR(C1846="",D1846=""),"Missing shares or date",IF(OR(C1846&lt;0,C1846&lt;&gt;INT(C1846)),"Shares must be a whole number",IF(COUNTIFS($A$4:$A$2503,A1846,$B$4:$B$2503,B1846,$D$4:$D$2503,D1846)&gt;1,"Duplicate row (same date)","OK"))))))</f>
        <v/>
      </c>
    </row>
    <row r="1847">
      <c r="A1847" s="26" t="n"/>
      <c r="B1847" s="26" t="n"/>
      <c r="C1847" s="34" t="n"/>
      <c r="D1847" s="28" t="n"/>
      <c r="E1847" s="26" t="n"/>
      <c r="F1847" s="26" t="n"/>
      <c r="G1847" s="26" t="n"/>
      <c r="H1847" s="38" t="n"/>
      <c r="I1847" s="28" t="n"/>
      <c r="J1847" s="30">
        <f>IF(B1847="","",IFERROR(INDEX('Share classes'!$A$4:$A$203,MATCH(B1847,'Share classes'!$B$4:$B$203,0)),""))</f>
        <v/>
      </c>
      <c r="K1847" s="30">
        <f>IF(A1847="","",IFERROR(INDEX('Holders'!$B$4:$B$1003,MATCH(A1847,'Holders'!$A$4:$A$1003,0)),""))</f>
        <v/>
      </c>
      <c r="L1847" s="30">
        <f>IF(OR(A1847="",B1847="",D1847=""),"",IF(D1847=_xlfn.MAXIFS($D$4:$D$2503,$A$4:$A$2503,A1847,$B$4:$B$2503,B1847),"Yes","No"))</f>
        <v/>
      </c>
      <c r="M1847" s="30">
        <f>IF(B1847="","",IFERROR(INDEX('Share classes'!$F$4:$F$203,MATCH(B1847,'Share classes'!$B$4:$B$203,0)),""))</f>
        <v/>
      </c>
      <c r="N1847" s="30">
        <f>IF(A1847="","",IF(K1847="","Unknown holder ID",IF(J1847="","Unknown class code",IF(OR(C1847="",D1847=""),"Missing shares or date",IF(OR(C1847&lt;0,C1847&lt;&gt;INT(C1847)),"Shares must be a whole number",IF(COUNTIFS($A$4:$A$2503,A1847,$B$4:$B$2503,B1847,$D$4:$D$2503,D1847)&gt;1,"Duplicate row (same date)","OK"))))))</f>
        <v/>
      </c>
    </row>
    <row r="1848">
      <c r="A1848" s="26" t="n"/>
      <c r="B1848" s="26" t="n"/>
      <c r="C1848" s="34" t="n"/>
      <c r="D1848" s="28" t="n"/>
      <c r="E1848" s="26" t="n"/>
      <c r="F1848" s="26" t="n"/>
      <c r="G1848" s="26" t="n"/>
      <c r="H1848" s="38" t="n"/>
      <c r="I1848" s="28" t="n"/>
      <c r="J1848" s="30">
        <f>IF(B1848="","",IFERROR(INDEX('Share classes'!$A$4:$A$203,MATCH(B1848,'Share classes'!$B$4:$B$203,0)),""))</f>
        <v/>
      </c>
      <c r="K1848" s="30">
        <f>IF(A1848="","",IFERROR(INDEX('Holders'!$B$4:$B$1003,MATCH(A1848,'Holders'!$A$4:$A$1003,0)),""))</f>
        <v/>
      </c>
      <c r="L1848" s="30">
        <f>IF(OR(A1848="",B1848="",D1848=""),"",IF(D1848=_xlfn.MAXIFS($D$4:$D$2503,$A$4:$A$2503,A1848,$B$4:$B$2503,B1848),"Yes","No"))</f>
        <v/>
      </c>
      <c r="M1848" s="30">
        <f>IF(B1848="","",IFERROR(INDEX('Share classes'!$F$4:$F$203,MATCH(B1848,'Share classes'!$B$4:$B$203,0)),""))</f>
        <v/>
      </c>
      <c r="N1848" s="30">
        <f>IF(A1848="","",IF(K1848="","Unknown holder ID",IF(J1848="","Unknown class code",IF(OR(C1848="",D1848=""),"Missing shares or date",IF(OR(C1848&lt;0,C1848&lt;&gt;INT(C1848)),"Shares must be a whole number",IF(COUNTIFS($A$4:$A$2503,A1848,$B$4:$B$2503,B1848,$D$4:$D$2503,D1848)&gt;1,"Duplicate row (same date)","OK"))))))</f>
        <v/>
      </c>
    </row>
    <row r="1849">
      <c r="A1849" s="26" t="n"/>
      <c r="B1849" s="26" t="n"/>
      <c r="C1849" s="34" t="n"/>
      <c r="D1849" s="28" t="n"/>
      <c r="E1849" s="26" t="n"/>
      <c r="F1849" s="26" t="n"/>
      <c r="G1849" s="26" t="n"/>
      <c r="H1849" s="38" t="n"/>
      <c r="I1849" s="28" t="n"/>
      <c r="J1849" s="30">
        <f>IF(B1849="","",IFERROR(INDEX('Share classes'!$A$4:$A$203,MATCH(B1849,'Share classes'!$B$4:$B$203,0)),""))</f>
        <v/>
      </c>
      <c r="K1849" s="30">
        <f>IF(A1849="","",IFERROR(INDEX('Holders'!$B$4:$B$1003,MATCH(A1849,'Holders'!$A$4:$A$1003,0)),""))</f>
        <v/>
      </c>
      <c r="L1849" s="30">
        <f>IF(OR(A1849="",B1849="",D1849=""),"",IF(D1849=_xlfn.MAXIFS($D$4:$D$2503,$A$4:$A$2503,A1849,$B$4:$B$2503,B1849),"Yes","No"))</f>
        <v/>
      </c>
      <c r="M1849" s="30">
        <f>IF(B1849="","",IFERROR(INDEX('Share classes'!$F$4:$F$203,MATCH(B1849,'Share classes'!$B$4:$B$203,0)),""))</f>
        <v/>
      </c>
      <c r="N1849" s="30">
        <f>IF(A1849="","",IF(K1849="","Unknown holder ID",IF(J1849="","Unknown class code",IF(OR(C1849="",D1849=""),"Missing shares or date",IF(OR(C1849&lt;0,C1849&lt;&gt;INT(C1849)),"Shares must be a whole number",IF(COUNTIFS($A$4:$A$2503,A1849,$B$4:$B$2503,B1849,$D$4:$D$2503,D1849)&gt;1,"Duplicate row (same date)","OK"))))))</f>
        <v/>
      </c>
    </row>
    <row r="1850">
      <c r="A1850" s="26" t="n"/>
      <c r="B1850" s="26" t="n"/>
      <c r="C1850" s="34" t="n"/>
      <c r="D1850" s="28" t="n"/>
      <c r="E1850" s="26" t="n"/>
      <c r="F1850" s="26" t="n"/>
      <c r="G1850" s="26" t="n"/>
      <c r="H1850" s="38" t="n"/>
      <c r="I1850" s="28" t="n"/>
      <c r="J1850" s="30">
        <f>IF(B1850="","",IFERROR(INDEX('Share classes'!$A$4:$A$203,MATCH(B1850,'Share classes'!$B$4:$B$203,0)),""))</f>
        <v/>
      </c>
      <c r="K1850" s="30">
        <f>IF(A1850="","",IFERROR(INDEX('Holders'!$B$4:$B$1003,MATCH(A1850,'Holders'!$A$4:$A$1003,0)),""))</f>
        <v/>
      </c>
      <c r="L1850" s="30">
        <f>IF(OR(A1850="",B1850="",D1850=""),"",IF(D1850=_xlfn.MAXIFS($D$4:$D$2503,$A$4:$A$2503,A1850,$B$4:$B$2503,B1850),"Yes","No"))</f>
        <v/>
      </c>
      <c r="M1850" s="30">
        <f>IF(B1850="","",IFERROR(INDEX('Share classes'!$F$4:$F$203,MATCH(B1850,'Share classes'!$B$4:$B$203,0)),""))</f>
        <v/>
      </c>
      <c r="N1850" s="30">
        <f>IF(A1850="","",IF(K1850="","Unknown holder ID",IF(J1850="","Unknown class code",IF(OR(C1850="",D1850=""),"Missing shares or date",IF(OR(C1850&lt;0,C1850&lt;&gt;INT(C1850)),"Shares must be a whole number",IF(COUNTIFS($A$4:$A$2503,A1850,$B$4:$B$2503,B1850,$D$4:$D$2503,D1850)&gt;1,"Duplicate row (same date)","OK"))))))</f>
        <v/>
      </c>
    </row>
    <row r="1851">
      <c r="A1851" s="26" t="n"/>
      <c r="B1851" s="26" t="n"/>
      <c r="C1851" s="34" t="n"/>
      <c r="D1851" s="28" t="n"/>
      <c r="E1851" s="26" t="n"/>
      <c r="F1851" s="26" t="n"/>
      <c r="G1851" s="26" t="n"/>
      <c r="H1851" s="38" t="n"/>
      <c r="I1851" s="28" t="n"/>
      <c r="J1851" s="30">
        <f>IF(B1851="","",IFERROR(INDEX('Share classes'!$A$4:$A$203,MATCH(B1851,'Share classes'!$B$4:$B$203,0)),""))</f>
        <v/>
      </c>
      <c r="K1851" s="30">
        <f>IF(A1851="","",IFERROR(INDEX('Holders'!$B$4:$B$1003,MATCH(A1851,'Holders'!$A$4:$A$1003,0)),""))</f>
        <v/>
      </c>
      <c r="L1851" s="30">
        <f>IF(OR(A1851="",B1851="",D1851=""),"",IF(D1851=_xlfn.MAXIFS($D$4:$D$2503,$A$4:$A$2503,A1851,$B$4:$B$2503,B1851),"Yes","No"))</f>
        <v/>
      </c>
      <c r="M1851" s="30">
        <f>IF(B1851="","",IFERROR(INDEX('Share classes'!$F$4:$F$203,MATCH(B1851,'Share classes'!$B$4:$B$203,0)),""))</f>
        <v/>
      </c>
      <c r="N1851" s="30">
        <f>IF(A1851="","",IF(K1851="","Unknown holder ID",IF(J1851="","Unknown class code",IF(OR(C1851="",D1851=""),"Missing shares or date",IF(OR(C1851&lt;0,C1851&lt;&gt;INT(C1851)),"Shares must be a whole number",IF(COUNTIFS($A$4:$A$2503,A1851,$B$4:$B$2503,B1851,$D$4:$D$2503,D1851)&gt;1,"Duplicate row (same date)","OK"))))))</f>
        <v/>
      </c>
    </row>
    <row r="1852">
      <c r="A1852" s="26" t="n"/>
      <c r="B1852" s="26" t="n"/>
      <c r="C1852" s="34" t="n"/>
      <c r="D1852" s="28" t="n"/>
      <c r="E1852" s="26" t="n"/>
      <c r="F1852" s="26" t="n"/>
      <c r="G1852" s="26" t="n"/>
      <c r="H1852" s="38" t="n"/>
      <c r="I1852" s="28" t="n"/>
      <c r="J1852" s="30">
        <f>IF(B1852="","",IFERROR(INDEX('Share classes'!$A$4:$A$203,MATCH(B1852,'Share classes'!$B$4:$B$203,0)),""))</f>
        <v/>
      </c>
      <c r="K1852" s="30">
        <f>IF(A1852="","",IFERROR(INDEX('Holders'!$B$4:$B$1003,MATCH(A1852,'Holders'!$A$4:$A$1003,0)),""))</f>
        <v/>
      </c>
      <c r="L1852" s="30">
        <f>IF(OR(A1852="",B1852="",D1852=""),"",IF(D1852=_xlfn.MAXIFS($D$4:$D$2503,$A$4:$A$2503,A1852,$B$4:$B$2503,B1852),"Yes","No"))</f>
        <v/>
      </c>
      <c r="M1852" s="30">
        <f>IF(B1852="","",IFERROR(INDEX('Share classes'!$F$4:$F$203,MATCH(B1852,'Share classes'!$B$4:$B$203,0)),""))</f>
        <v/>
      </c>
      <c r="N1852" s="30">
        <f>IF(A1852="","",IF(K1852="","Unknown holder ID",IF(J1852="","Unknown class code",IF(OR(C1852="",D1852=""),"Missing shares or date",IF(OR(C1852&lt;0,C1852&lt;&gt;INT(C1852)),"Shares must be a whole number",IF(COUNTIFS($A$4:$A$2503,A1852,$B$4:$B$2503,B1852,$D$4:$D$2503,D1852)&gt;1,"Duplicate row (same date)","OK"))))))</f>
        <v/>
      </c>
    </row>
    <row r="1853">
      <c r="A1853" s="26" t="n"/>
      <c r="B1853" s="26" t="n"/>
      <c r="C1853" s="34" t="n"/>
      <c r="D1853" s="28" t="n"/>
      <c r="E1853" s="26" t="n"/>
      <c r="F1853" s="26" t="n"/>
      <c r="G1853" s="26" t="n"/>
      <c r="H1853" s="38" t="n"/>
      <c r="I1853" s="28" t="n"/>
      <c r="J1853" s="30">
        <f>IF(B1853="","",IFERROR(INDEX('Share classes'!$A$4:$A$203,MATCH(B1853,'Share classes'!$B$4:$B$203,0)),""))</f>
        <v/>
      </c>
      <c r="K1853" s="30">
        <f>IF(A1853="","",IFERROR(INDEX('Holders'!$B$4:$B$1003,MATCH(A1853,'Holders'!$A$4:$A$1003,0)),""))</f>
        <v/>
      </c>
      <c r="L1853" s="30">
        <f>IF(OR(A1853="",B1853="",D1853=""),"",IF(D1853=_xlfn.MAXIFS($D$4:$D$2503,$A$4:$A$2503,A1853,$B$4:$B$2503,B1853),"Yes","No"))</f>
        <v/>
      </c>
      <c r="M1853" s="30">
        <f>IF(B1853="","",IFERROR(INDEX('Share classes'!$F$4:$F$203,MATCH(B1853,'Share classes'!$B$4:$B$203,0)),""))</f>
        <v/>
      </c>
      <c r="N1853" s="30">
        <f>IF(A1853="","",IF(K1853="","Unknown holder ID",IF(J1853="","Unknown class code",IF(OR(C1853="",D1853=""),"Missing shares or date",IF(OR(C1853&lt;0,C1853&lt;&gt;INT(C1853)),"Shares must be a whole number",IF(COUNTIFS($A$4:$A$2503,A1853,$B$4:$B$2503,B1853,$D$4:$D$2503,D1853)&gt;1,"Duplicate row (same date)","OK"))))))</f>
        <v/>
      </c>
    </row>
    <row r="1854">
      <c r="A1854" s="26" t="n"/>
      <c r="B1854" s="26" t="n"/>
      <c r="C1854" s="34" t="n"/>
      <c r="D1854" s="28" t="n"/>
      <c r="E1854" s="26" t="n"/>
      <c r="F1854" s="26" t="n"/>
      <c r="G1854" s="26" t="n"/>
      <c r="H1854" s="38" t="n"/>
      <c r="I1854" s="28" t="n"/>
      <c r="J1854" s="30">
        <f>IF(B1854="","",IFERROR(INDEX('Share classes'!$A$4:$A$203,MATCH(B1854,'Share classes'!$B$4:$B$203,0)),""))</f>
        <v/>
      </c>
      <c r="K1854" s="30">
        <f>IF(A1854="","",IFERROR(INDEX('Holders'!$B$4:$B$1003,MATCH(A1854,'Holders'!$A$4:$A$1003,0)),""))</f>
        <v/>
      </c>
      <c r="L1854" s="30">
        <f>IF(OR(A1854="",B1854="",D1854=""),"",IF(D1854=_xlfn.MAXIFS($D$4:$D$2503,$A$4:$A$2503,A1854,$B$4:$B$2503,B1854),"Yes","No"))</f>
        <v/>
      </c>
      <c r="M1854" s="30">
        <f>IF(B1854="","",IFERROR(INDEX('Share classes'!$F$4:$F$203,MATCH(B1854,'Share classes'!$B$4:$B$203,0)),""))</f>
        <v/>
      </c>
      <c r="N1854" s="30">
        <f>IF(A1854="","",IF(K1854="","Unknown holder ID",IF(J1854="","Unknown class code",IF(OR(C1854="",D1854=""),"Missing shares or date",IF(OR(C1854&lt;0,C1854&lt;&gt;INT(C1854)),"Shares must be a whole number",IF(COUNTIFS($A$4:$A$2503,A1854,$B$4:$B$2503,B1854,$D$4:$D$2503,D1854)&gt;1,"Duplicate row (same date)","OK"))))))</f>
        <v/>
      </c>
    </row>
    <row r="1855">
      <c r="A1855" s="26" t="n"/>
      <c r="B1855" s="26" t="n"/>
      <c r="C1855" s="34" t="n"/>
      <c r="D1855" s="28" t="n"/>
      <c r="E1855" s="26" t="n"/>
      <c r="F1855" s="26" t="n"/>
      <c r="G1855" s="26" t="n"/>
      <c r="H1855" s="38" t="n"/>
      <c r="I1855" s="28" t="n"/>
      <c r="J1855" s="30">
        <f>IF(B1855="","",IFERROR(INDEX('Share classes'!$A$4:$A$203,MATCH(B1855,'Share classes'!$B$4:$B$203,0)),""))</f>
        <v/>
      </c>
      <c r="K1855" s="30">
        <f>IF(A1855="","",IFERROR(INDEX('Holders'!$B$4:$B$1003,MATCH(A1855,'Holders'!$A$4:$A$1003,0)),""))</f>
        <v/>
      </c>
      <c r="L1855" s="30">
        <f>IF(OR(A1855="",B1855="",D1855=""),"",IF(D1855=_xlfn.MAXIFS($D$4:$D$2503,$A$4:$A$2503,A1855,$B$4:$B$2503,B1855),"Yes","No"))</f>
        <v/>
      </c>
      <c r="M1855" s="30">
        <f>IF(B1855="","",IFERROR(INDEX('Share classes'!$F$4:$F$203,MATCH(B1855,'Share classes'!$B$4:$B$203,0)),""))</f>
        <v/>
      </c>
      <c r="N1855" s="30">
        <f>IF(A1855="","",IF(K1855="","Unknown holder ID",IF(J1855="","Unknown class code",IF(OR(C1855="",D1855=""),"Missing shares or date",IF(OR(C1855&lt;0,C1855&lt;&gt;INT(C1855)),"Shares must be a whole number",IF(COUNTIFS($A$4:$A$2503,A1855,$B$4:$B$2503,B1855,$D$4:$D$2503,D1855)&gt;1,"Duplicate row (same date)","OK"))))))</f>
        <v/>
      </c>
    </row>
    <row r="1856">
      <c r="A1856" s="26" t="n"/>
      <c r="B1856" s="26" t="n"/>
      <c r="C1856" s="34" t="n"/>
      <c r="D1856" s="28" t="n"/>
      <c r="E1856" s="26" t="n"/>
      <c r="F1856" s="26" t="n"/>
      <c r="G1856" s="26" t="n"/>
      <c r="H1856" s="38" t="n"/>
      <c r="I1856" s="28" t="n"/>
      <c r="J1856" s="30">
        <f>IF(B1856="","",IFERROR(INDEX('Share classes'!$A$4:$A$203,MATCH(B1856,'Share classes'!$B$4:$B$203,0)),""))</f>
        <v/>
      </c>
      <c r="K1856" s="30">
        <f>IF(A1856="","",IFERROR(INDEX('Holders'!$B$4:$B$1003,MATCH(A1856,'Holders'!$A$4:$A$1003,0)),""))</f>
        <v/>
      </c>
      <c r="L1856" s="30">
        <f>IF(OR(A1856="",B1856="",D1856=""),"",IF(D1856=_xlfn.MAXIFS($D$4:$D$2503,$A$4:$A$2503,A1856,$B$4:$B$2503,B1856),"Yes","No"))</f>
        <v/>
      </c>
      <c r="M1856" s="30">
        <f>IF(B1856="","",IFERROR(INDEX('Share classes'!$F$4:$F$203,MATCH(B1856,'Share classes'!$B$4:$B$203,0)),""))</f>
        <v/>
      </c>
      <c r="N1856" s="30">
        <f>IF(A1856="","",IF(K1856="","Unknown holder ID",IF(J1856="","Unknown class code",IF(OR(C1856="",D1856=""),"Missing shares or date",IF(OR(C1856&lt;0,C1856&lt;&gt;INT(C1856)),"Shares must be a whole number",IF(COUNTIFS($A$4:$A$2503,A1856,$B$4:$B$2503,B1856,$D$4:$D$2503,D1856)&gt;1,"Duplicate row (same date)","OK"))))))</f>
        <v/>
      </c>
    </row>
    <row r="1857">
      <c r="A1857" s="26" t="n"/>
      <c r="B1857" s="26" t="n"/>
      <c r="C1857" s="34" t="n"/>
      <c r="D1857" s="28" t="n"/>
      <c r="E1857" s="26" t="n"/>
      <c r="F1857" s="26" t="n"/>
      <c r="G1857" s="26" t="n"/>
      <c r="H1857" s="38" t="n"/>
      <c r="I1857" s="28" t="n"/>
      <c r="J1857" s="30">
        <f>IF(B1857="","",IFERROR(INDEX('Share classes'!$A$4:$A$203,MATCH(B1857,'Share classes'!$B$4:$B$203,0)),""))</f>
        <v/>
      </c>
      <c r="K1857" s="30">
        <f>IF(A1857="","",IFERROR(INDEX('Holders'!$B$4:$B$1003,MATCH(A1857,'Holders'!$A$4:$A$1003,0)),""))</f>
        <v/>
      </c>
      <c r="L1857" s="30">
        <f>IF(OR(A1857="",B1857="",D1857=""),"",IF(D1857=_xlfn.MAXIFS($D$4:$D$2503,$A$4:$A$2503,A1857,$B$4:$B$2503,B1857),"Yes","No"))</f>
        <v/>
      </c>
      <c r="M1857" s="30">
        <f>IF(B1857="","",IFERROR(INDEX('Share classes'!$F$4:$F$203,MATCH(B1857,'Share classes'!$B$4:$B$203,0)),""))</f>
        <v/>
      </c>
      <c r="N1857" s="30">
        <f>IF(A1857="","",IF(K1857="","Unknown holder ID",IF(J1857="","Unknown class code",IF(OR(C1857="",D1857=""),"Missing shares or date",IF(OR(C1857&lt;0,C1857&lt;&gt;INT(C1857)),"Shares must be a whole number",IF(COUNTIFS($A$4:$A$2503,A1857,$B$4:$B$2503,B1857,$D$4:$D$2503,D1857)&gt;1,"Duplicate row (same date)","OK"))))))</f>
        <v/>
      </c>
    </row>
    <row r="1858">
      <c r="A1858" s="26" t="n"/>
      <c r="B1858" s="26" t="n"/>
      <c r="C1858" s="34" t="n"/>
      <c r="D1858" s="28" t="n"/>
      <c r="E1858" s="26" t="n"/>
      <c r="F1858" s="26" t="n"/>
      <c r="G1858" s="26" t="n"/>
      <c r="H1858" s="38" t="n"/>
      <c r="I1858" s="28" t="n"/>
      <c r="J1858" s="30">
        <f>IF(B1858="","",IFERROR(INDEX('Share classes'!$A$4:$A$203,MATCH(B1858,'Share classes'!$B$4:$B$203,0)),""))</f>
        <v/>
      </c>
      <c r="K1858" s="30">
        <f>IF(A1858="","",IFERROR(INDEX('Holders'!$B$4:$B$1003,MATCH(A1858,'Holders'!$A$4:$A$1003,0)),""))</f>
        <v/>
      </c>
      <c r="L1858" s="30">
        <f>IF(OR(A1858="",B1858="",D1858=""),"",IF(D1858=_xlfn.MAXIFS($D$4:$D$2503,$A$4:$A$2503,A1858,$B$4:$B$2503,B1858),"Yes","No"))</f>
        <v/>
      </c>
      <c r="M1858" s="30">
        <f>IF(B1858="","",IFERROR(INDEX('Share classes'!$F$4:$F$203,MATCH(B1858,'Share classes'!$B$4:$B$203,0)),""))</f>
        <v/>
      </c>
      <c r="N1858" s="30">
        <f>IF(A1858="","",IF(K1858="","Unknown holder ID",IF(J1858="","Unknown class code",IF(OR(C1858="",D1858=""),"Missing shares or date",IF(OR(C1858&lt;0,C1858&lt;&gt;INT(C1858)),"Shares must be a whole number",IF(COUNTIFS($A$4:$A$2503,A1858,$B$4:$B$2503,B1858,$D$4:$D$2503,D1858)&gt;1,"Duplicate row (same date)","OK"))))))</f>
        <v/>
      </c>
    </row>
    <row r="1859">
      <c r="A1859" s="26" t="n"/>
      <c r="B1859" s="26" t="n"/>
      <c r="C1859" s="34" t="n"/>
      <c r="D1859" s="28" t="n"/>
      <c r="E1859" s="26" t="n"/>
      <c r="F1859" s="26" t="n"/>
      <c r="G1859" s="26" t="n"/>
      <c r="H1859" s="38" t="n"/>
      <c r="I1859" s="28" t="n"/>
      <c r="J1859" s="30">
        <f>IF(B1859="","",IFERROR(INDEX('Share classes'!$A$4:$A$203,MATCH(B1859,'Share classes'!$B$4:$B$203,0)),""))</f>
        <v/>
      </c>
      <c r="K1859" s="30">
        <f>IF(A1859="","",IFERROR(INDEX('Holders'!$B$4:$B$1003,MATCH(A1859,'Holders'!$A$4:$A$1003,0)),""))</f>
        <v/>
      </c>
      <c r="L1859" s="30">
        <f>IF(OR(A1859="",B1859="",D1859=""),"",IF(D1859=_xlfn.MAXIFS($D$4:$D$2503,$A$4:$A$2503,A1859,$B$4:$B$2503,B1859),"Yes","No"))</f>
        <v/>
      </c>
      <c r="M1859" s="30">
        <f>IF(B1859="","",IFERROR(INDEX('Share classes'!$F$4:$F$203,MATCH(B1859,'Share classes'!$B$4:$B$203,0)),""))</f>
        <v/>
      </c>
      <c r="N1859" s="30">
        <f>IF(A1859="","",IF(K1859="","Unknown holder ID",IF(J1859="","Unknown class code",IF(OR(C1859="",D1859=""),"Missing shares or date",IF(OR(C1859&lt;0,C1859&lt;&gt;INT(C1859)),"Shares must be a whole number",IF(COUNTIFS($A$4:$A$2503,A1859,$B$4:$B$2503,B1859,$D$4:$D$2503,D1859)&gt;1,"Duplicate row (same date)","OK"))))))</f>
        <v/>
      </c>
    </row>
    <row r="1860">
      <c r="A1860" s="26" t="n"/>
      <c r="B1860" s="26" t="n"/>
      <c r="C1860" s="34" t="n"/>
      <c r="D1860" s="28" t="n"/>
      <c r="E1860" s="26" t="n"/>
      <c r="F1860" s="26" t="n"/>
      <c r="G1860" s="26" t="n"/>
      <c r="H1860" s="38" t="n"/>
      <c r="I1860" s="28" t="n"/>
      <c r="J1860" s="30">
        <f>IF(B1860="","",IFERROR(INDEX('Share classes'!$A$4:$A$203,MATCH(B1860,'Share classes'!$B$4:$B$203,0)),""))</f>
        <v/>
      </c>
      <c r="K1860" s="30">
        <f>IF(A1860="","",IFERROR(INDEX('Holders'!$B$4:$B$1003,MATCH(A1860,'Holders'!$A$4:$A$1003,0)),""))</f>
        <v/>
      </c>
      <c r="L1860" s="30">
        <f>IF(OR(A1860="",B1860="",D1860=""),"",IF(D1860=_xlfn.MAXIFS($D$4:$D$2503,$A$4:$A$2503,A1860,$B$4:$B$2503,B1860),"Yes","No"))</f>
        <v/>
      </c>
      <c r="M1860" s="30">
        <f>IF(B1860="","",IFERROR(INDEX('Share classes'!$F$4:$F$203,MATCH(B1860,'Share classes'!$B$4:$B$203,0)),""))</f>
        <v/>
      </c>
      <c r="N1860" s="30">
        <f>IF(A1860="","",IF(K1860="","Unknown holder ID",IF(J1860="","Unknown class code",IF(OR(C1860="",D1860=""),"Missing shares or date",IF(OR(C1860&lt;0,C1860&lt;&gt;INT(C1860)),"Shares must be a whole number",IF(COUNTIFS($A$4:$A$2503,A1860,$B$4:$B$2503,B1860,$D$4:$D$2503,D1860)&gt;1,"Duplicate row (same date)","OK"))))))</f>
        <v/>
      </c>
    </row>
    <row r="1861">
      <c r="A1861" s="26" t="n"/>
      <c r="B1861" s="26" t="n"/>
      <c r="C1861" s="34" t="n"/>
      <c r="D1861" s="28" t="n"/>
      <c r="E1861" s="26" t="n"/>
      <c r="F1861" s="26" t="n"/>
      <c r="G1861" s="26" t="n"/>
      <c r="H1861" s="38" t="n"/>
      <c r="I1861" s="28" t="n"/>
      <c r="J1861" s="30">
        <f>IF(B1861="","",IFERROR(INDEX('Share classes'!$A$4:$A$203,MATCH(B1861,'Share classes'!$B$4:$B$203,0)),""))</f>
        <v/>
      </c>
      <c r="K1861" s="30">
        <f>IF(A1861="","",IFERROR(INDEX('Holders'!$B$4:$B$1003,MATCH(A1861,'Holders'!$A$4:$A$1003,0)),""))</f>
        <v/>
      </c>
      <c r="L1861" s="30">
        <f>IF(OR(A1861="",B1861="",D1861=""),"",IF(D1861=_xlfn.MAXIFS($D$4:$D$2503,$A$4:$A$2503,A1861,$B$4:$B$2503,B1861),"Yes","No"))</f>
        <v/>
      </c>
      <c r="M1861" s="30">
        <f>IF(B1861="","",IFERROR(INDEX('Share classes'!$F$4:$F$203,MATCH(B1861,'Share classes'!$B$4:$B$203,0)),""))</f>
        <v/>
      </c>
      <c r="N1861" s="30">
        <f>IF(A1861="","",IF(K1861="","Unknown holder ID",IF(J1861="","Unknown class code",IF(OR(C1861="",D1861=""),"Missing shares or date",IF(OR(C1861&lt;0,C1861&lt;&gt;INT(C1861)),"Shares must be a whole number",IF(COUNTIFS($A$4:$A$2503,A1861,$B$4:$B$2503,B1861,$D$4:$D$2503,D1861)&gt;1,"Duplicate row (same date)","OK"))))))</f>
        <v/>
      </c>
    </row>
    <row r="1862">
      <c r="A1862" s="26" t="n"/>
      <c r="B1862" s="26" t="n"/>
      <c r="C1862" s="34" t="n"/>
      <c r="D1862" s="28" t="n"/>
      <c r="E1862" s="26" t="n"/>
      <c r="F1862" s="26" t="n"/>
      <c r="G1862" s="26" t="n"/>
      <c r="H1862" s="38" t="n"/>
      <c r="I1862" s="28" t="n"/>
      <c r="J1862" s="30">
        <f>IF(B1862="","",IFERROR(INDEX('Share classes'!$A$4:$A$203,MATCH(B1862,'Share classes'!$B$4:$B$203,0)),""))</f>
        <v/>
      </c>
      <c r="K1862" s="30">
        <f>IF(A1862="","",IFERROR(INDEX('Holders'!$B$4:$B$1003,MATCH(A1862,'Holders'!$A$4:$A$1003,0)),""))</f>
        <v/>
      </c>
      <c r="L1862" s="30">
        <f>IF(OR(A1862="",B1862="",D1862=""),"",IF(D1862=_xlfn.MAXIFS($D$4:$D$2503,$A$4:$A$2503,A1862,$B$4:$B$2503,B1862),"Yes","No"))</f>
        <v/>
      </c>
      <c r="M1862" s="30">
        <f>IF(B1862="","",IFERROR(INDEX('Share classes'!$F$4:$F$203,MATCH(B1862,'Share classes'!$B$4:$B$203,0)),""))</f>
        <v/>
      </c>
      <c r="N1862" s="30">
        <f>IF(A1862="","",IF(K1862="","Unknown holder ID",IF(J1862="","Unknown class code",IF(OR(C1862="",D1862=""),"Missing shares or date",IF(OR(C1862&lt;0,C1862&lt;&gt;INT(C1862)),"Shares must be a whole number",IF(COUNTIFS($A$4:$A$2503,A1862,$B$4:$B$2503,B1862,$D$4:$D$2503,D1862)&gt;1,"Duplicate row (same date)","OK"))))))</f>
        <v/>
      </c>
    </row>
    <row r="1863">
      <c r="A1863" s="26" t="n"/>
      <c r="B1863" s="26" t="n"/>
      <c r="C1863" s="34" t="n"/>
      <c r="D1863" s="28" t="n"/>
      <c r="E1863" s="26" t="n"/>
      <c r="F1863" s="26" t="n"/>
      <c r="G1863" s="26" t="n"/>
      <c r="H1863" s="38" t="n"/>
      <c r="I1863" s="28" t="n"/>
      <c r="J1863" s="30">
        <f>IF(B1863="","",IFERROR(INDEX('Share classes'!$A$4:$A$203,MATCH(B1863,'Share classes'!$B$4:$B$203,0)),""))</f>
        <v/>
      </c>
      <c r="K1863" s="30">
        <f>IF(A1863="","",IFERROR(INDEX('Holders'!$B$4:$B$1003,MATCH(A1863,'Holders'!$A$4:$A$1003,0)),""))</f>
        <v/>
      </c>
      <c r="L1863" s="30">
        <f>IF(OR(A1863="",B1863="",D1863=""),"",IF(D1863=_xlfn.MAXIFS($D$4:$D$2503,$A$4:$A$2503,A1863,$B$4:$B$2503,B1863),"Yes","No"))</f>
        <v/>
      </c>
      <c r="M1863" s="30">
        <f>IF(B1863="","",IFERROR(INDEX('Share classes'!$F$4:$F$203,MATCH(B1863,'Share classes'!$B$4:$B$203,0)),""))</f>
        <v/>
      </c>
      <c r="N1863" s="30">
        <f>IF(A1863="","",IF(K1863="","Unknown holder ID",IF(J1863="","Unknown class code",IF(OR(C1863="",D1863=""),"Missing shares or date",IF(OR(C1863&lt;0,C1863&lt;&gt;INT(C1863)),"Shares must be a whole number",IF(COUNTIFS($A$4:$A$2503,A1863,$B$4:$B$2503,B1863,$D$4:$D$2503,D1863)&gt;1,"Duplicate row (same date)","OK"))))))</f>
        <v/>
      </c>
    </row>
    <row r="1864">
      <c r="A1864" s="26" t="n"/>
      <c r="B1864" s="26" t="n"/>
      <c r="C1864" s="34" t="n"/>
      <c r="D1864" s="28" t="n"/>
      <c r="E1864" s="26" t="n"/>
      <c r="F1864" s="26" t="n"/>
      <c r="G1864" s="26" t="n"/>
      <c r="H1864" s="38" t="n"/>
      <c r="I1864" s="28" t="n"/>
      <c r="J1864" s="30">
        <f>IF(B1864="","",IFERROR(INDEX('Share classes'!$A$4:$A$203,MATCH(B1864,'Share classes'!$B$4:$B$203,0)),""))</f>
        <v/>
      </c>
      <c r="K1864" s="30">
        <f>IF(A1864="","",IFERROR(INDEX('Holders'!$B$4:$B$1003,MATCH(A1864,'Holders'!$A$4:$A$1003,0)),""))</f>
        <v/>
      </c>
      <c r="L1864" s="30">
        <f>IF(OR(A1864="",B1864="",D1864=""),"",IF(D1864=_xlfn.MAXIFS($D$4:$D$2503,$A$4:$A$2503,A1864,$B$4:$B$2503,B1864),"Yes","No"))</f>
        <v/>
      </c>
      <c r="M1864" s="30">
        <f>IF(B1864="","",IFERROR(INDEX('Share classes'!$F$4:$F$203,MATCH(B1864,'Share classes'!$B$4:$B$203,0)),""))</f>
        <v/>
      </c>
      <c r="N1864" s="30">
        <f>IF(A1864="","",IF(K1864="","Unknown holder ID",IF(J1864="","Unknown class code",IF(OR(C1864="",D1864=""),"Missing shares or date",IF(OR(C1864&lt;0,C1864&lt;&gt;INT(C1864)),"Shares must be a whole number",IF(COUNTIFS($A$4:$A$2503,A1864,$B$4:$B$2503,B1864,$D$4:$D$2503,D1864)&gt;1,"Duplicate row (same date)","OK"))))))</f>
        <v/>
      </c>
    </row>
    <row r="1865">
      <c r="A1865" s="26" t="n"/>
      <c r="B1865" s="26" t="n"/>
      <c r="C1865" s="34" t="n"/>
      <c r="D1865" s="28" t="n"/>
      <c r="E1865" s="26" t="n"/>
      <c r="F1865" s="26" t="n"/>
      <c r="G1865" s="26" t="n"/>
      <c r="H1865" s="38" t="n"/>
      <c r="I1865" s="28" t="n"/>
      <c r="J1865" s="30">
        <f>IF(B1865="","",IFERROR(INDEX('Share classes'!$A$4:$A$203,MATCH(B1865,'Share classes'!$B$4:$B$203,0)),""))</f>
        <v/>
      </c>
      <c r="K1865" s="30">
        <f>IF(A1865="","",IFERROR(INDEX('Holders'!$B$4:$B$1003,MATCH(A1865,'Holders'!$A$4:$A$1003,0)),""))</f>
        <v/>
      </c>
      <c r="L1865" s="30">
        <f>IF(OR(A1865="",B1865="",D1865=""),"",IF(D1865=_xlfn.MAXIFS($D$4:$D$2503,$A$4:$A$2503,A1865,$B$4:$B$2503,B1865),"Yes","No"))</f>
        <v/>
      </c>
      <c r="M1865" s="30">
        <f>IF(B1865="","",IFERROR(INDEX('Share classes'!$F$4:$F$203,MATCH(B1865,'Share classes'!$B$4:$B$203,0)),""))</f>
        <v/>
      </c>
      <c r="N1865" s="30">
        <f>IF(A1865="","",IF(K1865="","Unknown holder ID",IF(J1865="","Unknown class code",IF(OR(C1865="",D1865=""),"Missing shares or date",IF(OR(C1865&lt;0,C1865&lt;&gt;INT(C1865)),"Shares must be a whole number",IF(COUNTIFS($A$4:$A$2503,A1865,$B$4:$B$2503,B1865,$D$4:$D$2503,D1865)&gt;1,"Duplicate row (same date)","OK"))))))</f>
        <v/>
      </c>
    </row>
    <row r="1866">
      <c r="A1866" s="26" t="n"/>
      <c r="B1866" s="26" t="n"/>
      <c r="C1866" s="34" t="n"/>
      <c r="D1866" s="28" t="n"/>
      <c r="E1866" s="26" t="n"/>
      <c r="F1866" s="26" t="n"/>
      <c r="G1866" s="26" t="n"/>
      <c r="H1866" s="38" t="n"/>
      <c r="I1866" s="28" t="n"/>
      <c r="J1866" s="30">
        <f>IF(B1866="","",IFERROR(INDEX('Share classes'!$A$4:$A$203,MATCH(B1866,'Share classes'!$B$4:$B$203,0)),""))</f>
        <v/>
      </c>
      <c r="K1866" s="30">
        <f>IF(A1866="","",IFERROR(INDEX('Holders'!$B$4:$B$1003,MATCH(A1866,'Holders'!$A$4:$A$1003,0)),""))</f>
        <v/>
      </c>
      <c r="L1866" s="30">
        <f>IF(OR(A1866="",B1866="",D1866=""),"",IF(D1866=_xlfn.MAXIFS($D$4:$D$2503,$A$4:$A$2503,A1866,$B$4:$B$2503,B1866),"Yes","No"))</f>
        <v/>
      </c>
      <c r="M1866" s="30">
        <f>IF(B1866="","",IFERROR(INDEX('Share classes'!$F$4:$F$203,MATCH(B1866,'Share classes'!$B$4:$B$203,0)),""))</f>
        <v/>
      </c>
      <c r="N1866" s="30">
        <f>IF(A1866="","",IF(K1866="","Unknown holder ID",IF(J1866="","Unknown class code",IF(OR(C1866="",D1866=""),"Missing shares or date",IF(OR(C1866&lt;0,C1866&lt;&gt;INT(C1866)),"Shares must be a whole number",IF(COUNTIFS($A$4:$A$2503,A1866,$B$4:$B$2503,B1866,$D$4:$D$2503,D1866)&gt;1,"Duplicate row (same date)","OK"))))))</f>
        <v/>
      </c>
    </row>
    <row r="1867">
      <c r="A1867" s="26" t="n"/>
      <c r="B1867" s="26" t="n"/>
      <c r="C1867" s="34" t="n"/>
      <c r="D1867" s="28" t="n"/>
      <c r="E1867" s="26" t="n"/>
      <c r="F1867" s="26" t="n"/>
      <c r="G1867" s="26" t="n"/>
      <c r="H1867" s="38" t="n"/>
      <c r="I1867" s="28" t="n"/>
      <c r="J1867" s="30">
        <f>IF(B1867="","",IFERROR(INDEX('Share classes'!$A$4:$A$203,MATCH(B1867,'Share classes'!$B$4:$B$203,0)),""))</f>
        <v/>
      </c>
      <c r="K1867" s="30">
        <f>IF(A1867="","",IFERROR(INDEX('Holders'!$B$4:$B$1003,MATCH(A1867,'Holders'!$A$4:$A$1003,0)),""))</f>
        <v/>
      </c>
      <c r="L1867" s="30">
        <f>IF(OR(A1867="",B1867="",D1867=""),"",IF(D1867=_xlfn.MAXIFS($D$4:$D$2503,$A$4:$A$2503,A1867,$B$4:$B$2503,B1867),"Yes","No"))</f>
        <v/>
      </c>
      <c r="M1867" s="30">
        <f>IF(B1867="","",IFERROR(INDEX('Share classes'!$F$4:$F$203,MATCH(B1867,'Share classes'!$B$4:$B$203,0)),""))</f>
        <v/>
      </c>
      <c r="N1867" s="30">
        <f>IF(A1867="","",IF(K1867="","Unknown holder ID",IF(J1867="","Unknown class code",IF(OR(C1867="",D1867=""),"Missing shares or date",IF(OR(C1867&lt;0,C1867&lt;&gt;INT(C1867)),"Shares must be a whole number",IF(COUNTIFS($A$4:$A$2503,A1867,$B$4:$B$2503,B1867,$D$4:$D$2503,D1867)&gt;1,"Duplicate row (same date)","OK"))))))</f>
        <v/>
      </c>
    </row>
    <row r="1868">
      <c r="A1868" s="26" t="n"/>
      <c r="B1868" s="26" t="n"/>
      <c r="C1868" s="34" t="n"/>
      <c r="D1868" s="28" t="n"/>
      <c r="E1868" s="26" t="n"/>
      <c r="F1868" s="26" t="n"/>
      <c r="G1868" s="26" t="n"/>
      <c r="H1868" s="38" t="n"/>
      <c r="I1868" s="28" t="n"/>
      <c r="J1868" s="30">
        <f>IF(B1868="","",IFERROR(INDEX('Share classes'!$A$4:$A$203,MATCH(B1868,'Share classes'!$B$4:$B$203,0)),""))</f>
        <v/>
      </c>
      <c r="K1868" s="30">
        <f>IF(A1868="","",IFERROR(INDEX('Holders'!$B$4:$B$1003,MATCH(A1868,'Holders'!$A$4:$A$1003,0)),""))</f>
        <v/>
      </c>
      <c r="L1868" s="30">
        <f>IF(OR(A1868="",B1868="",D1868=""),"",IF(D1868=_xlfn.MAXIFS($D$4:$D$2503,$A$4:$A$2503,A1868,$B$4:$B$2503,B1868),"Yes","No"))</f>
        <v/>
      </c>
      <c r="M1868" s="30">
        <f>IF(B1868="","",IFERROR(INDEX('Share classes'!$F$4:$F$203,MATCH(B1868,'Share classes'!$B$4:$B$203,0)),""))</f>
        <v/>
      </c>
      <c r="N1868" s="30">
        <f>IF(A1868="","",IF(K1868="","Unknown holder ID",IF(J1868="","Unknown class code",IF(OR(C1868="",D1868=""),"Missing shares or date",IF(OR(C1868&lt;0,C1868&lt;&gt;INT(C1868)),"Shares must be a whole number",IF(COUNTIFS($A$4:$A$2503,A1868,$B$4:$B$2503,B1868,$D$4:$D$2503,D1868)&gt;1,"Duplicate row (same date)","OK"))))))</f>
        <v/>
      </c>
    </row>
    <row r="1869">
      <c r="A1869" s="26" t="n"/>
      <c r="B1869" s="26" t="n"/>
      <c r="C1869" s="34" t="n"/>
      <c r="D1869" s="28" t="n"/>
      <c r="E1869" s="26" t="n"/>
      <c r="F1869" s="26" t="n"/>
      <c r="G1869" s="26" t="n"/>
      <c r="H1869" s="38" t="n"/>
      <c r="I1869" s="28" t="n"/>
      <c r="J1869" s="30">
        <f>IF(B1869="","",IFERROR(INDEX('Share classes'!$A$4:$A$203,MATCH(B1869,'Share classes'!$B$4:$B$203,0)),""))</f>
        <v/>
      </c>
      <c r="K1869" s="30">
        <f>IF(A1869="","",IFERROR(INDEX('Holders'!$B$4:$B$1003,MATCH(A1869,'Holders'!$A$4:$A$1003,0)),""))</f>
        <v/>
      </c>
      <c r="L1869" s="30">
        <f>IF(OR(A1869="",B1869="",D1869=""),"",IF(D1869=_xlfn.MAXIFS($D$4:$D$2503,$A$4:$A$2503,A1869,$B$4:$B$2503,B1869),"Yes","No"))</f>
        <v/>
      </c>
      <c r="M1869" s="30">
        <f>IF(B1869="","",IFERROR(INDEX('Share classes'!$F$4:$F$203,MATCH(B1869,'Share classes'!$B$4:$B$203,0)),""))</f>
        <v/>
      </c>
      <c r="N1869" s="30">
        <f>IF(A1869="","",IF(K1869="","Unknown holder ID",IF(J1869="","Unknown class code",IF(OR(C1869="",D1869=""),"Missing shares or date",IF(OR(C1869&lt;0,C1869&lt;&gt;INT(C1869)),"Shares must be a whole number",IF(COUNTIFS($A$4:$A$2503,A1869,$B$4:$B$2503,B1869,$D$4:$D$2503,D1869)&gt;1,"Duplicate row (same date)","OK"))))))</f>
        <v/>
      </c>
    </row>
    <row r="1870">
      <c r="A1870" s="26" t="n"/>
      <c r="B1870" s="26" t="n"/>
      <c r="C1870" s="34" t="n"/>
      <c r="D1870" s="28" t="n"/>
      <c r="E1870" s="26" t="n"/>
      <c r="F1870" s="26" t="n"/>
      <c r="G1870" s="26" t="n"/>
      <c r="H1870" s="38" t="n"/>
      <c r="I1870" s="28" t="n"/>
      <c r="J1870" s="30">
        <f>IF(B1870="","",IFERROR(INDEX('Share classes'!$A$4:$A$203,MATCH(B1870,'Share classes'!$B$4:$B$203,0)),""))</f>
        <v/>
      </c>
      <c r="K1870" s="30">
        <f>IF(A1870="","",IFERROR(INDEX('Holders'!$B$4:$B$1003,MATCH(A1870,'Holders'!$A$4:$A$1003,0)),""))</f>
        <v/>
      </c>
      <c r="L1870" s="30">
        <f>IF(OR(A1870="",B1870="",D1870=""),"",IF(D1870=_xlfn.MAXIFS($D$4:$D$2503,$A$4:$A$2503,A1870,$B$4:$B$2503,B1870),"Yes","No"))</f>
        <v/>
      </c>
      <c r="M1870" s="30">
        <f>IF(B1870="","",IFERROR(INDEX('Share classes'!$F$4:$F$203,MATCH(B1870,'Share classes'!$B$4:$B$203,0)),""))</f>
        <v/>
      </c>
      <c r="N1870" s="30">
        <f>IF(A1870="","",IF(K1870="","Unknown holder ID",IF(J1870="","Unknown class code",IF(OR(C1870="",D1870=""),"Missing shares or date",IF(OR(C1870&lt;0,C1870&lt;&gt;INT(C1870)),"Shares must be a whole number",IF(COUNTIFS($A$4:$A$2503,A1870,$B$4:$B$2503,B1870,$D$4:$D$2503,D1870)&gt;1,"Duplicate row (same date)","OK"))))))</f>
        <v/>
      </c>
    </row>
    <row r="1871">
      <c r="A1871" s="26" t="n"/>
      <c r="B1871" s="26" t="n"/>
      <c r="C1871" s="34" t="n"/>
      <c r="D1871" s="28" t="n"/>
      <c r="E1871" s="26" t="n"/>
      <c r="F1871" s="26" t="n"/>
      <c r="G1871" s="26" t="n"/>
      <c r="H1871" s="38" t="n"/>
      <c r="I1871" s="28" t="n"/>
      <c r="J1871" s="30">
        <f>IF(B1871="","",IFERROR(INDEX('Share classes'!$A$4:$A$203,MATCH(B1871,'Share classes'!$B$4:$B$203,0)),""))</f>
        <v/>
      </c>
      <c r="K1871" s="30">
        <f>IF(A1871="","",IFERROR(INDEX('Holders'!$B$4:$B$1003,MATCH(A1871,'Holders'!$A$4:$A$1003,0)),""))</f>
        <v/>
      </c>
      <c r="L1871" s="30">
        <f>IF(OR(A1871="",B1871="",D1871=""),"",IF(D1871=_xlfn.MAXIFS($D$4:$D$2503,$A$4:$A$2503,A1871,$B$4:$B$2503,B1871),"Yes","No"))</f>
        <v/>
      </c>
      <c r="M1871" s="30">
        <f>IF(B1871="","",IFERROR(INDEX('Share classes'!$F$4:$F$203,MATCH(B1871,'Share classes'!$B$4:$B$203,0)),""))</f>
        <v/>
      </c>
      <c r="N1871" s="30">
        <f>IF(A1871="","",IF(K1871="","Unknown holder ID",IF(J1871="","Unknown class code",IF(OR(C1871="",D1871=""),"Missing shares or date",IF(OR(C1871&lt;0,C1871&lt;&gt;INT(C1871)),"Shares must be a whole number",IF(COUNTIFS($A$4:$A$2503,A1871,$B$4:$B$2503,B1871,$D$4:$D$2503,D1871)&gt;1,"Duplicate row (same date)","OK"))))))</f>
        <v/>
      </c>
    </row>
    <row r="1872">
      <c r="A1872" s="26" t="n"/>
      <c r="B1872" s="26" t="n"/>
      <c r="C1872" s="34" t="n"/>
      <c r="D1872" s="28" t="n"/>
      <c r="E1872" s="26" t="n"/>
      <c r="F1872" s="26" t="n"/>
      <c r="G1872" s="26" t="n"/>
      <c r="H1872" s="38" t="n"/>
      <c r="I1872" s="28" t="n"/>
      <c r="J1872" s="30">
        <f>IF(B1872="","",IFERROR(INDEX('Share classes'!$A$4:$A$203,MATCH(B1872,'Share classes'!$B$4:$B$203,0)),""))</f>
        <v/>
      </c>
      <c r="K1872" s="30">
        <f>IF(A1872="","",IFERROR(INDEX('Holders'!$B$4:$B$1003,MATCH(A1872,'Holders'!$A$4:$A$1003,0)),""))</f>
        <v/>
      </c>
      <c r="L1872" s="30">
        <f>IF(OR(A1872="",B1872="",D1872=""),"",IF(D1872=_xlfn.MAXIFS($D$4:$D$2503,$A$4:$A$2503,A1872,$B$4:$B$2503,B1872),"Yes","No"))</f>
        <v/>
      </c>
      <c r="M1872" s="30">
        <f>IF(B1872="","",IFERROR(INDEX('Share classes'!$F$4:$F$203,MATCH(B1872,'Share classes'!$B$4:$B$203,0)),""))</f>
        <v/>
      </c>
      <c r="N1872" s="30">
        <f>IF(A1872="","",IF(K1872="","Unknown holder ID",IF(J1872="","Unknown class code",IF(OR(C1872="",D1872=""),"Missing shares or date",IF(OR(C1872&lt;0,C1872&lt;&gt;INT(C1872)),"Shares must be a whole number",IF(COUNTIFS($A$4:$A$2503,A1872,$B$4:$B$2503,B1872,$D$4:$D$2503,D1872)&gt;1,"Duplicate row (same date)","OK"))))))</f>
        <v/>
      </c>
    </row>
    <row r="1873">
      <c r="A1873" s="26" t="n"/>
      <c r="B1873" s="26" t="n"/>
      <c r="C1873" s="34" t="n"/>
      <c r="D1873" s="28" t="n"/>
      <c r="E1873" s="26" t="n"/>
      <c r="F1873" s="26" t="n"/>
      <c r="G1873" s="26" t="n"/>
      <c r="H1873" s="38" t="n"/>
      <c r="I1873" s="28" t="n"/>
      <c r="J1873" s="30">
        <f>IF(B1873="","",IFERROR(INDEX('Share classes'!$A$4:$A$203,MATCH(B1873,'Share classes'!$B$4:$B$203,0)),""))</f>
        <v/>
      </c>
      <c r="K1873" s="30">
        <f>IF(A1873="","",IFERROR(INDEX('Holders'!$B$4:$B$1003,MATCH(A1873,'Holders'!$A$4:$A$1003,0)),""))</f>
        <v/>
      </c>
      <c r="L1873" s="30">
        <f>IF(OR(A1873="",B1873="",D1873=""),"",IF(D1873=_xlfn.MAXIFS($D$4:$D$2503,$A$4:$A$2503,A1873,$B$4:$B$2503,B1873),"Yes","No"))</f>
        <v/>
      </c>
      <c r="M1873" s="30">
        <f>IF(B1873="","",IFERROR(INDEX('Share classes'!$F$4:$F$203,MATCH(B1873,'Share classes'!$B$4:$B$203,0)),""))</f>
        <v/>
      </c>
      <c r="N1873" s="30">
        <f>IF(A1873="","",IF(K1873="","Unknown holder ID",IF(J1873="","Unknown class code",IF(OR(C1873="",D1873=""),"Missing shares or date",IF(OR(C1873&lt;0,C1873&lt;&gt;INT(C1873)),"Shares must be a whole number",IF(COUNTIFS($A$4:$A$2503,A1873,$B$4:$B$2503,B1873,$D$4:$D$2503,D1873)&gt;1,"Duplicate row (same date)","OK"))))))</f>
        <v/>
      </c>
    </row>
    <row r="1874">
      <c r="A1874" s="26" t="n"/>
      <c r="B1874" s="26" t="n"/>
      <c r="C1874" s="34" t="n"/>
      <c r="D1874" s="28" t="n"/>
      <c r="E1874" s="26" t="n"/>
      <c r="F1874" s="26" t="n"/>
      <c r="G1874" s="26" t="n"/>
      <c r="H1874" s="38" t="n"/>
      <c r="I1874" s="28" t="n"/>
      <c r="J1874" s="30">
        <f>IF(B1874="","",IFERROR(INDEX('Share classes'!$A$4:$A$203,MATCH(B1874,'Share classes'!$B$4:$B$203,0)),""))</f>
        <v/>
      </c>
      <c r="K1874" s="30">
        <f>IF(A1874="","",IFERROR(INDEX('Holders'!$B$4:$B$1003,MATCH(A1874,'Holders'!$A$4:$A$1003,0)),""))</f>
        <v/>
      </c>
      <c r="L1874" s="30">
        <f>IF(OR(A1874="",B1874="",D1874=""),"",IF(D1874=_xlfn.MAXIFS($D$4:$D$2503,$A$4:$A$2503,A1874,$B$4:$B$2503,B1874),"Yes","No"))</f>
        <v/>
      </c>
      <c r="M1874" s="30">
        <f>IF(B1874="","",IFERROR(INDEX('Share classes'!$F$4:$F$203,MATCH(B1874,'Share classes'!$B$4:$B$203,0)),""))</f>
        <v/>
      </c>
      <c r="N1874" s="30">
        <f>IF(A1874="","",IF(K1874="","Unknown holder ID",IF(J1874="","Unknown class code",IF(OR(C1874="",D1874=""),"Missing shares or date",IF(OR(C1874&lt;0,C1874&lt;&gt;INT(C1874)),"Shares must be a whole number",IF(COUNTIFS($A$4:$A$2503,A1874,$B$4:$B$2503,B1874,$D$4:$D$2503,D1874)&gt;1,"Duplicate row (same date)","OK"))))))</f>
        <v/>
      </c>
    </row>
    <row r="1875">
      <c r="A1875" s="26" t="n"/>
      <c r="B1875" s="26" t="n"/>
      <c r="C1875" s="34" t="n"/>
      <c r="D1875" s="28" t="n"/>
      <c r="E1875" s="26" t="n"/>
      <c r="F1875" s="26" t="n"/>
      <c r="G1875" s="26" t="n"/>
      <c r="H1875" s="38" t="n"/>
      <c r="I1875" s="28" t="n"/>
      <c r="J1875" s="30">
        <f>IF(B1875="","",IFERROR(INDEX('Share classes'!$A$4:$A$203,MATCH(B1875,'Share classes'!$B$4:$B$203,0)),""))</f>
        <v/>
      </c>
      <c r="K1875" s="30">
        <f>IF(A1875="","",IFERROR(INDEX('Holders'!$B$4:$B$1003,MATCH(A1875,'Holders'!$A$4:$A$1003,0)),""))</f>
        <v/>
      </c>
      <c r="L1875" s="30">
        <f>IF(OR(A1875="",B1875="",D1875=""),"",IF(D1875=_xlfn.MAXIFS($D$4:$D$2503,$A$4:$A$2503,A1875,$B$4:$B$2503,B1875),"Yes","No"))</f>
        <v/>
      </c>
      <c r="M1875" s="30">
        <f>IF(B1875="","",IFERROR(INDEX('Share classes'!$F$4:$F$203,MATCH(B1875,'Share classes'!$B$4:$B$203,0)),""))</f>
        <v/>
      </c>
      <c r="N1875" s="30">
        <f>IF(A1875="","",IF(K1875="","Unknown holder ID",IF(J1875="","Unknown class code",IF(OR(C1875="",D1875=""),"Missing shares or date",IF(OR(C1875&lt;0,C1875&lt;&gt;INT(C1875)),"Shares must be a whole number",IF(COUNTIFS($A$4:$A$2503,A1875,$B$4:$B$2503,B1875,$D$4:$D$2503,D1875)&gt;1,"Duplicate row (same date)","OK"))))))</f>
        <v/>
      </c>
    </row>
    <row r="1876">
      <c r="A1876" s="26" t="n"/>
      <c r="B1876" s="26" t="n"/>
      <c r="C1876" s="34" t="n"/>
      <c r="D1876" s="28" t="n"/>
      <c r="E1876" s="26" t="n"/>
      <c r="F1876" s="26" t="n"/>
      <c r="G1876" s="26" t="n"/>
      <c r="H1876" s="38" t="n"/>
      <c r="I1876" s="28" t="n"/>
      <c r="J1876" s="30">
        <f>IF(B1876="","",IFERROR(INDEX('Share classes'!$A$4:$A$203,MATCH(B1876,'Share classes'!$B$4:$B$203,0)),""))</f>
        <v/>
      </c>
      <c r="K1876" s="30">
        <f>IF(A1876="","",IFERROR(INDEX('Holders'!$B$4:$B$1003,MATCH(A1876,'Holders'!$A$4:$A$1003,0)),""))</f>
        <v/>
      </c>
      <c r="L1876" s="30">
        <f>IF(OR(A1876="",B1876="",D1876=""),"",IF(D1876=_xlfn.MAXIFS($D$4:$D$2503,$A$4:$A$2503,A1876,$B$4:$B$2503,B1876),"Yes","No"))</f>
        <v/>
      </c>
      <c r="M1876" s="30">
        <f>IF(B1876="","",IFERROR(INDEX('Share classes'!$F$4:$F$203,MATCH(B1876,'Share classes'!$B$4:$B$203,0)),""))</f>
        <v/>
      </c>
      <c r="N1876" s="30">
        <f>IF(A1876="","",IF(K1876="","Unknown holder ID",IF(J1876="","Unknown class code",IF(OR(C1876="",D1876=""),"Missing shares or date",IF(OR(C1876&lt;0,C1876&lt;&gt;INT(C1876)),"Shares must be a whole number",IF(COUNTIFS($A$4:$A$2503,A1876,$B$4:$B$2503,B1876,$D$4:$D$2503,D1876)&gt;1,"Duplicate row (same date)","OK"))))))</f>
        <v/>
      </c>
    </row>
    <row r="1877">
      <c r="A1877" s="26" t="n"/>
      <c r="B1877" s="26" t="n"/>
      <c r="C1877" s="34" t="n"/>
      <c r="D1877" s="28" t="n"/>
      <c r="E1877" s="26" t="n"/>
      <c r="F1877" s="26" t="n"/>
      <c r="G1877" s="26" t="n"/>
      <c r="H1877" s="38" t="n"/>
      <c r="I1877" s="28" t="n"/>
      <c r="J1877" s="30">
        <f>IF(B1877="","",IFERROR(INDEX('Share classes'!$A$4:$A$203,MATCH(B1877,'Share classes'!$B$4:$B$203,0)),""))</f>
        <v/>
      </c>
      <c r="K1877" s="30">
        <f>IF(A1877="","",IFERROR(INDEX('Holders'!$B$4:$B$1003,MATCH(A1877,'Holders'!$A$4:$A$1003,0)),""))</f>
        <v/>
      </c>
      <c r="L1877" s="30">
        <f>IF(OR(A1877="",B1877="",D1877=""),"",IF(D1877=_xlfn.MAXIFS($D$4:$D$2503,$A$4:$A$2503,A1877,$B$4:$B$2503,B1877),"Yes","No"))</f>
        <v/>
      </c>
      <c r="M1877" s="30">
        <f>IF(B1877="","",IFERROR(INDEX('Share classes'!$F$4:$F$203,MATCH(B1877,'Share classes'!$B$4:$B$203,0)),""))</f>
        <v/>
      </c>
      <c r="N1877" s="30">
        <f>IF(A1877="","",IF(K1877="","Unknown holder ID",IF(J1877="","Unknown class code",IF(OR(C1877="",D1877=""),"Missing shares or date",IF(OR(C1877&lt;0,C1877&lt;&gt;INT(C1877)),"Shares must be a whole number",IF(COUNTIFS($A$4:$A$2503,A1877,$B$4:$B$2503,B1877,$D$4:$D$2503,D1877)&gt;1,"Duplicate row (same date)","OK"))))))</f>
        <v/>
      </c>
    </row>
    <row r="1878">
      <c r="A1878" s="26" t="n"/>
      <c r="B1878" s="26" t="n"/>
      <c r="C1878" s="34" t="n"/>
      <c r="D1878" s="28" t="n"/>
      <c r="E1878" s="26" t="n"/>
      <c r="F1878" s="26" t="n"/>
      <c r="G1878" s="26" t="n"/>
      <c r="H1878" s="38" t="n"/>
      <c r="I1878" s="28" t="n"/>
      <c r="J1878" s="30">
        <f>IF(B1878="","",IFERROR(INDEX('Share classes'!$A$4:$A$203,MATCH(B1878,'Share classes'!$B$4:$B$203,0)),""))</f>
        <v/>
      </c>
      <c r="K1878" s="30">
        <f>IF(A1878="","",IFERROR(INDEX('Holders'!$B$4:$B$1003,MATCH(A1878,'Holders'!$A$4:$A$1003,0)),""))</f>
        <v/>
      </c>
      <c r="L1878" s="30">
        <f>IF(OR(A1878="",B1878="",D1878=""),"",IF(D1878=_xlfn.MAXIFS($D$4:$D$2503,$A$4:$A$2503,A1878,$B$4:$B$2503,B1878),"Yes","No"))</f>
        <v/>
      </c>
      <c r="M1878" s="30">
        <f>IF(B1878="","",IFERROR(INDEX('Share classes'!$F$4:$F$203,MATCH(B1878,'Share classes'!$B$4:$B$203,0)),""))</f>
        <v/>
      </c>
      <c r="N1878" s="30">
        <f>IF(A1878="","",IF(K1878="","Unknown holder ID",IF(J1878="","Unknown class code",IF(OR(C1878="",D1878=""),"Missing shares or date",IF(OR(C1878&lt;0,C1878&lt;&gt;INT(C1878)),"Shares must be a whole number",IF(COUNTIFS($A$4:$A$2503,A1878,$B$4:$B$2503,B1878,$D$4:$D$2503,D1878)&gt;1,"Duplicate row (same date)","OK"))))))</f>
        <v/>
      </c>
    </row>
    <row r="1879">
      <c r="A1879" s="26" t="n"/>
      <c r="B1879" s="26" t="n"/>
      <c r="C1879" s="34" t="n"/>
      <c r="D1879" s="28" t="n"/>
      <c r="E1879" s="26" t="n"/>
      <c r="F1879" s="26" t="n"/>
      <c r="G1879" s="26" t="n"/>
      <c r="H1879" s="38" t="n"/>
      <c r="I1879" s="28" t="n"/>
      <c r="J1879" s="30">
        <f>IF(B1879="","",IFERROR(INDEX('Share classes'!$A$4:$A$203,MATCH(B1879,'Share classes'!$B$4:$B$203,0)),""))</f>
        <v/>
      </c>
      <c r="K1879" s="30">
        <f>IF(A1879="","",IFERROR(INDEX('Holders'!$B$4:$B$1003,MATCH(A1879,'Holders'!$A$4:$A$1003,0)),""))</f>
        <v/>
      </c>
      <c r="L1879" s="30">
        <f>IF(OR(A1879="",B1879="",D1879=""),"",IF(D1879=_xlfn.MAXIFS($D$4:$D$2503,$A$4:$A$2503,A1879,$B$4:$B$2503,B1879),"Yes","No"))</f>
        <v/>
      </c>
      <c r="M1879" s="30">
        <f>IF(B1879="","",IFERROR(INDEX('Share classes'!$F$4:$F$203,MATCH(B1879,'Share classes'!$B$4:$B$203,0)),""))</f>
        <v/>
      </c>
      <c r="N1879" s="30">
        <f>IF(A1879="","",IF(K1879="","Unknown holder ID",IF(J1879="","Unknown class code",IF(OR(C1879="",D1879=""),"Missing shares or date",IF(OR(C1879&lt;0,C1879&lt;&gt;INT(C1879)),"Shares must be a whole number",IF(COUNTIFS($A$4:$A$2503,A1879,$B$4:$B$2503,B1879,$D$4:$D$2503,D1879)&gt;1,"Duplicate row (same date)","OK"))))))</f>
        <v/>
      </c>
    </row>
    <row r="1880">
      <c r="A1880" s="26" t="n"/>
      <c r="B1880" s="26" t="n"/>
      <c r="C1880" s="34" t="n"/>
      <c r="D1880" s="28" t="n"/>
      <c r="E1880" s="26" t="n"/>
      <c r="F1880" s="26" t="n"/>
      <c r="G1880" s="26" t="n"/>
      <c r="H1880" s="38" t="n"/>
      <c r="I1880" s="28" t="n"/>
      <c r="J1880" s="30">
        <f>IF(B1880="","",IFERROR(INDEX('Share classes'!$A$4:$A$203,MATCH(B1880,'Share classes'!$B$4:$B$203,0)),""))</f>
        <v/>
      </c>
      <c r="K1880" s="30">
        <f>IF(A1880="","",IFERROR(INDEX('Holders'!$B$4:$B$1003,MATCH(A1880,'Holders'!$A$4:$A$1003,0)),""))</f>
        <v/>
      </c>
      <c r="L1880" s="30">
        <f>IF(OR(A1880="",B1880="",D1880=""),"",IF(D1880=_xlfn.MAXIFS($D$4:$D$2503,$A$4:$A$2503,A1880,$B$4:$B$2503,B1880),"Yes","No"))</f>
        <v/>
      </c>
      <c r="M1880" s="30">
        <f>IF(B1880="","",IFERROR(INDEX('Share classes'!$F$4:$F$203,MATCH(B1880,'Share classes'!$B$4:$B$203,0)),""))</f>
        <v/>
      </c>
      <c r="N1880" s="30">
        <f>IF(A1880="","",IF(K1880="","Unknown holder ID",IF(J1880="","Unknown class code",IF(OR(C1880="",D1880=""),"Missing shares or date",IF(OR(C1880&lt;0,C1880&lt;&gt;INT(C1880)),"Shares must be a whole number",IF(COUNTIFS($A$4:$A$2503,A1880,$B$4:$B$2503,B1880,$D$4:$D$2503,D1880)&gt;1,"Duplicate row (same date)","OK"))))))</f>
        <v/>
      </c>
    </row>
    <row r="1881">
      <c r="A1881" s="26" t="n"/>
      <c r="B1881" s="26" t="n"/>
      <c r="C1881" s="34" t="n"/>
      <c r="D1881" s="28" t="n"/>
      <c r="E1881" s="26" t="n"/>
      <c r="F1881" s="26" t="n"/>
      <c r="G1881" s="26" t="n"/>
      <c r="H1881" s="38" t="n"/>
      <c r="I1881" s="28" t="n"/>
      <c r="J1881" s="30">
        <f>IF(B1881="","",IFERROR(INDEX('Share classes'!$A$4:$A$203,MATCH(B1881,'Share classes'!$B$4:$B$203,0)),""))</f>
        <v/>
      </c>
      <c r="K1881" s="30">
        <f>IF(A1881="","",IFERROR(INDEX('Holders'!$B$4:$B$1003,MATCH(A1881,'Holders'!$A$4:$A$1003,0)),""))</f>
        <v/>
      </c>
      <c r="L1881" s="30">
        <f>IF(OR(A1881="",B1881="",D1881=""),"",IF(D1881=_xlfn.MAXIFS($D$4:$D$2503,$A$4:$A$2503,A1881,$B$4:$B$2503,B1881),"Yes","No"))</f>
        <v/>
      </c>
      <c r="M1881" s="30">
        <f>IF(B1881="","",IFERROR(INDEX('Share classes'!$F$4:$F$203,MATCH(B1881,'Share classes'!$B$4:$B$203,0)),""))</f>
        <v/>
      </c>
      <c r="N1881" s="30">
        <f>IF(A1881="","",IF(K1881="","Unknown holder ID",IF(J1881="","Unknown class code",IF(OR(C1881="",D1881=""),"Missing shares or date",IF(OR(C1881&lt;0,C1881&lt;&gt;INT(C1881)),"Shares must be a whole number",IF(COUNTIFS($A$4:$A$2503,A1881,$B$4:$B$2503,B1881,$D$4:$D$2503,D1881)&gt;1,"Duplicate row (same date)","OK"))))))</f>
        <v/>
      </c>
    </row>
    <row r="1882">
      <c r="A1882" s="26" t="n"/>
      <c r="B1882" s="26" t="n"/>
      <c r="C1882" s="34" t="n"/>
      <c r="D1882" s="28" t="n"/>
      <c r="E1882" s="26" t="n"/>
      <c r="F1882" s="26" t="n"/>
      <c r="G1882" s="26" t="n"/>
      <c r="H1882" s="38" t="n"/>
      <c r="I1882" s="28" t="n"/>
      <c r="J1882" s="30">
        <f>IF(B1882="","",IFERROR(INDEX('Share classes'!$A$4:$A$203,MATCH(B1882,'Share classes'!$B$4:$B$203,0)),""))</f>
        <v/>
      </c>
      <c r="K1882" s="30">
        <f>IF(A1882="","",IFERROR(INDEX('Holders'!$B$4:$B$1003,MATCH(A1882,'Holders'!$A$4:$A$1003,0)),""))</f>
        <v/>
      </c>
      <c r="L1882" s="30">
        <f>IF(OR(A1882="",B1882="",D1882=""),"",IF(D1882=_xlfn.MAXIFS($D$4:$D$2503,$A$4:$A$2503,A1882,$B$4:$B$2503,B1882),"Yes","No"))</f>
        <v/>
      </c>
      <c r="M1882" s="30">
        <f>IF(B1882="","",IFERROR(INDEX('Share classes'!$F$4:$F$203,MATCH(B1882,'Share classes'!$B$4:$B$203,0)),""))</f>
        <v/>
      </c>
      <c r="N1882" s="30">
        <f>IF(A1882="","",IF(K1882="","Unknown holder ID",IF(J1882="","Unknown class code",IF(OR(C1882="",D1882=""),"Missing shares or date",IF(OR(C1882&lt;0,C1882&lt;&gt;INT(C1882)),"Shares must be a whole number",IF(COUNTIFS($A$4:$A$2503,A1882,$B$4:$B$2503,B1882,$D$4:$D$2503,D1882)&gt;1,"Duplicate row (same date)","OK"))))))</f>
        <v/>
      </c>
    </row>
    <row r="1883">
      <c r="A1883" s="26" t="n"/>
      <c r="B1883" s="26" t="n"/>
      <c r="C1883" s="34" t="n"/>
      <c r="D1883" s="28" t="n"/>
      <c r="E1883" s="26" t="n"/>
      <c r="F1883" s="26" t="n"/>
      <c r="G1883" s="26" t="n"/>
      <c r="H1883" s="38" t="n"/>
      <c r="I1883" s="28" t="n"/>
      <c r="J1883" s="30">
        <f>IF(B1883="","",IFERROR(INDEX('Share classes'!$A$4:$A$203,MATCH(B1883,'Share classes'!$B$4:$B$203,0)),""))</f>
        <v/>
      </c>
      <c r="K1883" s="30">
        <f>IF(A1883="","",IFERROR(INDEX('Holders'!$B$4:$B$1003,MATCH(A1883,'Holders'!$A$4:$A$1003,0)),""))</f>
        <v/>
      </c>
      <c r="L1883" s="30">
        <f>IF(OR(A1883="",B1883="",D1883=""),"",IF(D1883=_xlfn.MAXIFS($D$4:$D$2503,$A$4:$A$2503,A1883,$B$4:$B$2503,B1883),"Yes","No"))</f>
        <v/>
      </c>
      <c r="M1883" s="30">
        <f>IF(B1883="","",IFERROR(INDEX('Share classes'!$F$4:$F$203,MATCH(B1883,'Share classes'!$B$4:$B$203,0)),""))</f>
        <v/>
      </c>
      <c r="N1883" s="30">
        <f>IF(A1883="","",IF(K1883="","Unknown holder ID",IF(J1883="","Unknown class code",IF(OR(C1883="",D1883=""),"Missing shares or date",IF(OR(C1883&lt;0,C1883&lt;&gt;INT(C1883)),"Shares must be a whole number",IF(COUNTIFS($A$4:$A$2503,A1883,$B$4:$B$2503,B1883,$D$4:$D$2503,D1883)&gt;1,"Duplicate row (same date)","OK"))))))</f>
        <v/>
      </c>
    </row>
    <row r="1884">
      <c r="A1884" s="26" t="n"/>
      <c r="B1884" s="26" t="n"/>
      <c r="C1884" s="34" t="n"/>
      <c r="D1884" s="28" t="n"/>
      <c r="E1884" s="26" t="n"/>
      <c r="F1884" s="26" t="n"/>
      <c r="G1884" s="26" t="n"/>
      <c r="H1884" s="38" t="n"/>
      <c r="I1884" s="28" t="n"/>
      <c r="J1884" s="30">
        <f>IF(B1884="","",IFERROR(INDEX('Share classes'!$A$4:$A$203,MATCH(B1884,'Share classes'!$B$4:$B$203,0)),""))</f>
        <v/>
      </c>
      <c r="K1884" s="30">
        <f>IF(A1884="","",IFERROR(INDEX('Holders'!$B$4:$B$1003,MATCH(A1884,'Holders'!$A$4:$A$1003,0)),""))</f>
        <v/>
      </c>
      <c r="L1884" s="30">
        <f>IF(OR(A1884="",B1884="",D1884=""),"",IF(D1884=_xlfn.MAXIFS($D$4:$D$2503,$A$4:$A$2503,A1884,$B$4:$B$2503,B1884),"Yes","No"))</f>
        <v/>
      </c>
      <c r="M1884" s="30">
        <f>IF(B1884="","",IFERROR(INDEX('Share classes'!$F$4:$F$203,MATCH(B1884,'Share classes'!$B$4:$B$203,0)),""))</f>
        <v/>
      </c>
      <c r="N1884" s="30">
        <f>IF(A1884="","",IF(K1884="","Unknown holder ID",IF(J1884="","Unknown class code",IF(OR(C1884="",D1884=""),"Missing shares or date",IF(OR(C1884&lt;0,C1884&lt;&gt;INT(C1884)),"Shares must be a whole number",IF(COUNTIFS($A$4:$A$2503,A1884,$B$4:$B$2503,B1884,$D$4:$D$2503,D1884)&gt;1,"Duplicate row (same date)","OK"))))))</f>
        <v/>
      </c>
    </row>
    <row r="1885">
      <c r="A1885" s="26" t="n"/>
      <c r="B1885" s="26" t="n"/>
      <c r="C1885" s="34" t="n"/>
      <c r="D1885" s="28" t="n"/>
      <c r="E1885" s="26" t="n"/>
      <c r="F1885" s="26" t="n"/>
      <c r="G1885" s="26" t="n"/>
      <c r="H1885" s="38" t="n"/>
      <c r="I1885" s="28" t="n"/>
      <c r="J1885" s="30">
        <f>IF(B1885="","",IFERROR(INDEX('Share classes'!$A$4:$A$203,MATCH(B1885,'Share classes'!$B$4:$B$203,0)),""))</f>
        <v/>
      </c>
      <c r="K1885" s="30">
        <f>IF(A1885="","",IFERROR(INDEX('Holders'!$B$4:$B$1003,MATCH(A1885,'Holders'!$A$4:$A$1003,0)),""))</f>
        <v/>
      </c>
      <c r="L1885" s="30">
        <f>IF(OR(A1885="",B1885="",D1885=""),"",IF(D1885=_xlfn.MAXIFS($D$4:$D$2503,$A$4:$A$2503,A1885,$B$4:$B$2503,B1885),"Yes","No"))</f>
        <v/>
      </c>
      <c r="M1885" s="30">
        <f>IF(B1885="","",IFERROR(INDEX('Share classes'!$F$4:$F$203,MATCH(B1885,'Share classes'!$B$4:$B$203,0)),""))</f>
        <v/>
      </c>
      <c r="N1885" s="30">
        <f>IF(A1885="","",IF(K1885="","Unknown holder ID",IF(J1885="","Unknown class code",IF(OR(C1885="",D1885=""),"Missing shares or date",IF(OR(C1885&lt;0,C1885&lt;&gt;INT(C1885)),"Shares must be a whole number",IF(COUNTIFS($A$4:$A$2503,A1885,$B$4:$B$2503,B1885,$D$4:$D$2503,D1885)&gt;1,"Duplicate row (same date)","OK"))))))</f>
        <v/>
      </c>
    </row>
    <row r="1886">
      <c r="A1886" s="26" t="n"/>
      <c r="B1886" s="26" t="n"/>
      <c r="C1886" s="34" t="n"/>
      <c r="D1886" s="28" t="n"/>
      <c r="E1886" s="26" t="n"/>
      <c r="F1886" s="26" t="n"/>
      <c r="G1886" s="26" t="n"/>
      <c r="H1886" s="38" t="n"/>
      <c r="I1886" s="28" t="n"/>
      <c r="J1886" s="30">
        <f>IF(B1886="","",IFERROR(INDEX('Share classes'!$A$4:$A$203,MATCH(B1886,'Share classes'!$B$4:$B$203,0)),""))</f>
        <v/>
      </c>
      <c r="K1886" s="30">
        <f>IF(A1886="","",IFERROR(INDEX('Holders'!$B$4:$B$1003,MATCH(A1886,'Holders'!$A$4:$A$1003,0)),""))</f>
        <v/>
      </c>
      <c r="L1886" s="30">
        <f>IF(OR(A1886="",B1886="",D1886=""),"",IF(D1886=_xlfn.MAXIFS($D$4:$D$2503,$A$4:$A$2503,A1886,$B$4:$B$2503,B1886),"Yes","No"))</f>
        <v/>
      </c>
      <c r="M1886" s="30">
        <f>IF(B1886="","",IFERROR(INDEX('Share classes'!$F$4:$F$203,MATCH(B1886,'Share classes'!$B$4:$B$203,0)),""))</f>
        <v/>
      </c>
      <c r="N1886" s="30">
        <f>IF(A1886="","",IF(K1886="","Unknown holder ID",IF(J1886="","Unknown class code",IF(OR(C1886="",D1886=""),"Missing shares or date",IF(OR(C1886&lt;0,C1886&lt;&gt;INT(C1886)),"Shares must be a whole number",IF(COUNTIFS($A$4:$A$2503,A1886,$B$4:$B$2503,B1886,$D$4:$D$2503,D1886)&gt;1,"Duplicate row (same date)","OK"))))))</f>
        <v/>
      </c>
    </row>
    <row r="1887">
      <c r="A1887" s="26" t="n"/>
      <c r="B1887" s="26" t="n"/>
      <c r="C1887" s="34" t="n"/>
      <c r="D1887" s="28" t="n"/>
      <c r="E1887" s="26" t="n"/>
      <c r="F1887" s="26" t="n"/>
      <c r="G1887" s="26" t="n"/>
      <c r="H1887" s="38" t="n"/>
      <c r="I1887" s="28" t="n"/>
      <c r="J1887" s="30">
        <f>IF(B1887="","",IFERROR(INDEX('Share classes'!$A$4:$A$203,MATCH(B1887,'Share classes'!$B$4:$B$203,0)),""))</f>
        <v/>
      </c>
      <c r="K1887" s="30">
        <f>IF(A1887="","",IFERROR(INDEX('Holders'!$B$4:$B$1003,MATCH(A1887,'Holders'!$A$4:$A$1003,0)),""))</f>
        <v/>
      </c>
      <c r="L1887" s="30">
        <f>IF(OR(A1887="",B1887="",D1887=""),"",IF(D1887=_xlfn.MAXIFS($D$4:$D$2503,$A$4:$A$2503,A1887,$B$4:$B$2503,B1887),"Yes","No"))</f>
        <v/>
      </c>
      <c r="M1887" s="30">
        <f>IF(B1887="","",IFERROR(INDEX('Share classes'!$F$4:$F$203,MATCH(B1887,'Share classes'!$B$4:$B$203,0)),""))</f>
        <v/>
      </c>
      <c r="N1887" s="30">
        <f>IF(A1887="","",IF(K1887="","Unknown holder ID",IF(J1887="","Unknown class code",IF(OR(C1887="",D1887=""),"Missing shares or date",IF(OR(C1887&lt;0,C1887&lt;&gt;INT(C1887)),"Shares must be a whole number",IF(COUNTIFS($A$4:$A$2503,A1887,$B$4:$B$2503,B1887,$D$4:$D$2503,D1887)&gt;1,"Duplicate row (same date)","OK"))))))</f>
        <v/>
      </c>
    </row>
    <row r="1888">
      <c r="A1888" s="26" t="n"/>
      <c r="B1888" s="26" t="n"/>
      <c r="C1888" s="34" t="n"/>
      <c r="D1888" s="28" t="n"/>
      <c r="E1888" s="26" t="n"/>
      <c r="F1888" s="26" t="n"/>
      <c r="G1888" s="26" t="n"/>
      <c r="H1888" s="38" t="n"/>
      <c r="I1888" s="28" t="n"/>
      <c r="J1888" s="30">
        <f>IF(B1888="","",IFERROR(INDEX('Share classes'!$A$4:$A$203,MATCH(B1888,'Share classes'!$B$4:$B$203,0)),""))</f>
        <v/>
      </c>
      <c r="K1888" s="30">
        <f>IF(A1888="","",IFERROR(INDEX('Holders'!$B$4:$B$1003,MATCH(A1888,'Holders'!$A$4:$A$1003,0)),""))</f>
        <v/>
      </c>
      <c r="L1888" s="30">
        <f>IF(OR(A1888="",B1888="",D1888=""),"",IF(D1888=_xlfn.MAXIFS($D$4:$D$2503,$A$4:$A$2503,A1888,$B$4:$B$2503,B1888),"Yes","No"))</f>
        <v/>
      </c>
      <c r="M1888" s="30">
        <f>IF(B1888="","",IFERROR(INDEX('Share classes'!$F$4:$F$203,MATCH(B1888,'Share classes'!$B$4:$B$203,0)),""))</f>
        <v/>
      </c>
      <c r="N1888" s="30">
        <f>IF(A1888="","",IF(K1888="","Unknown holder ID",IF(J1888="","Unknown class code",IF(OR(C1888="",D1888=""),"Missing shares or date",IF(OR(C1888&lt;0,C1888&lt;&gt;INT(C1888)),"Shares must be a whole number",IF(COUNTIFS($A$4:$A$2503,A1888,$B$4:$B$2503,B1888,$D$4:$D$2503,D1888)&gt;1,"Duplicate row (same date)","OK"))))))</f>
        <v/>
      </c>
    </row>
    <row r="1889">
      <c r="A1889" s="26" t="n"/>
      <c r="B1889" s="26" t="n"/>
      <c r="C1889" s="34" t="n"/>
      <c r="D1889" s="28" t="n"/>
      <c r="E1889" s="26" t="n"/>
      <c r="F1889" s="26" t="n"/>
      <c r="G1889" s="26" t="n"/>
      <c r="H1889" s="38" t="n"/>
      <c r="I1889" s="28" t="n"/>
      <c r="J1889" s="30">
        <f>IF(B1889="","",IFERROR(INDEX('Share classes'!$A$4:$A$203,MATCH(B1889,'Share classes'!$B$4:$B$203,0)),""))</f>
        <v/>
      </c>
      <c r="K1889" s="30">
        <f>IF(A1889="","",IFERROR(INDEX('Holders'!$B$4:$B$1003,MATCH(A1889,'Holders'!$A$4:$A$1003,0)),""))</f>
        <v/>
      </c>
      <c r="L1889" s="30">
        <f>IF(OR(A1889="",B1889="",D1889=""),"",IF(D1889=_xlfn.MAXIFS($D$4:$D$2503,$A$4:$A$2503,A1889,$B$4:$B$2503,B1889),"Yes","No"))</f>
        <v/>
      </c>
      <c r="M1889" s="30">
        <f>IF(B1889="","",IFERROR(INDEX('Share classes'!$F$4:$F$203,MATCH(B1889,'Share classes'!$B$4:$B$203,0)),""))</f>
        <v/>
      </c>
      <c r="N1889" s="30">
        <f>IF(A1889="","",IF(K1889="","Unknown holder ID",IF(J1889="","Unknown class code",IF(OR(C1889="",D1889=""),"Missing shares or date",IF(OR(C1889&lt;0,C1889&lt;&gt;INT(C1889)),"Shares must be a whole number",IF(COUNTIFS($A$4:$A$2503,A1889,$B$4:$B$2503,B1889,$D$4:$D$2503,D1889)&gt;1,"Duplicate row (same date)","OK"))))))</f>
        <v/>
      </c>
    </row>
    <row r="1890">
      <c r="A1890" s="26" t="n"/>
      <c r="B1890" s="26" t="n"/>
      <c r="C1890" s="34" t="n"/>
      <c r="D1890" s="28" t="n"/>
      <c r="E1890" s="26" t="n"/>
      <c r="F1890" s="26" t="n"/>
      <c r="G1890" s="26" t="n"/>
      <c r="H1890" s="38" t="n"/>
      <c r="I1890" s="28" t="n"/>
      <c r="J1890" s="30">
        <f>IF(B1890="","",IFERROR(INDEX('Share classes'!$A$4:$A$203,MATCH(B1890,'Share classes'!$B$4:$B$203,0)),""))</f>
        <v/>
      </c>
      <c r="K1890" s="30">
        <f>IF(A1890="","",IFERROR(INDEX('Holders'!$B$4:$B$1003,MATCH(A1890,'Holders'!$A$4:$A$1003,0)),""))</f>
        <v/>
      </c>
      <c r="L1890" s="30">
        <f>IF(OR(A1890="",B1890="",D1890=""),"",IF(D1890=_xlfn.MAXIFS($D$4:$D$2503,$A$4:$A$2503,A1890,$B$4:$B$2503,B1890),"Yes","No"))</f>
        <v/>
      </c>
      <c r="M1890" s="30">
        <f>IF(B1890="","",IFERROR(INDEX('Share classes'!$F$4:$F$203,MATCH(B1890,'Share classes'!$B$4:$B$203,0)),""))</f>
        <v/>
      </c>
      <c r="N1890" s="30">
        <f>IF(A1890="","",IF(K1890="","Unknown holder ID",IF(J1890="","Unknown class code",IF(OR(C1890="",D1890=""),"Missing shares or date",IF(OR(C1890&lt;0,C1890&lt;&gt;INT(C1890)),"Shares must be a whole number",IF(COUNTIFS($A$4:$A$2503,A1890,$B$4:$B$2503,B1890,$D$4:$D$2503,D1890)&gt;1,"Duplicate row (same date)","OK"))))))</f>
        <v/>
      </c>
    </row>
    <row r="1891">
      <c r="A1891" s="26" t="n"/>
      <c r="B1891" s="26" t="n"/>
      <c r="C1891" s="34" t="n"/>
      <c r="D1891" s="28" t="n"/>
      <c r="E1891" s="26" t="n"/>
      <c r="F1891" s="26" t="n"/>
      <c r="G1891" s="26" t="n"/>
      <c r="H1891" s="38" t="n"/>
      <c r="I1891" s="28" t="n"/>
      <c r="J1891" s="30">
        <f>IF(B1891="","",IFERROR(INDEX('Share classes'!$A$4:$A$203,MATCH(B1891,'Share classes'!$B$4:$B$203,0)),""))</f>
        <v/>
      </c>
      <c r="K1891" s="30">
        <f>IF(A1891="","",IFERROR(INDEX('Holders'!$B$4:$B$1003,MATCH(A1891,'Holders'!$A$4:$A$1003,0)),""))</f>
        <v/>
      </c>
      <c r="L1891" s="30">
        <f>IF(OR(A1891="",B1891="",D1891=""),"",IF(D1891=_xlfn.MAXIFS($D$4:$D$2503,$A$4:$A$2503,A1891,$B$4:$B$2503,B1891),"Yes","No"))</f>
        <v/>
      </c>
      <c r="M1891" s="30">
        <f>IF(B1891="","",IFERROR(INDEX('Share classes'!$F$4:$F$203,MATCH(B1891,'Share classes'!$B$4:$B$203,0)),""))</f>
        <v/>
      </c>
      <c r="N1891" s="30">
        <f>IF(A1891="","",IF(K1891="","Unknown holder ID",IF(J1891="","Unknown class code",IF(OR(C1891="",D1891=""),"Missing shares or date",IF(OR(C1891&lt;0,C1891&lt;&gt;INT(C1891)),"Shares must be a whole number",IF(COUNTIFS($A$4:$A$2503,A1891,$B$4:$B$2503,B1891,$D$4:$D$2503,D1891)&gt;1,"Duplicate row (same date)","OK"))))))</f>
        <v/>
      </c>
    </row>
    <row r="1892">
      <c r="A1892" s="26" t="n"/>
      <c r="B1892" s="26" t="n"/>
      <c r="C1892" s="34" t="n"/>
      <c r="D1892" s="28" t="n"/>
      <c r="E1892" s="26" t="n"/>
      <c r="F1892" s="26" t="n"/>
      <c r="G1892" s="26" t="n"/>
      <c r="H1892" s="38" t="n"/>
      <c r="I1892" s="28" t="n"/>
      <c r="J1892" s="30">
        <f>IF(B1892="","",IFERROR(INDEX('Share classes'!$A$4:$A$203,MATCH(B1892,'Share classes'!$B$4:$B$203,0)),""))</f>
        <v/>
      </c>
      <c r="K1892" s="30">
        <f>IF(A1892="","",IFERROR(INDEX('Holders'!$B$4:$B$1003,MATCH(A1892,'Holders'!$A$4:$A$1003,0)),""))</f>
        <v/>
      </c>
      <c r="L1892" s="30">
        <f>IF(OR(A1892="",B1892="",D1892=""),"",IF(D1892=_xlfn.MAXIFS($D$4:$D$2503,$A$4:$A$2503,A1892,$B$4:$B$2503,B1892),"Yes","No"))</f>
        <v/>
      </c>
      <c r="M1892" s="30">
        <f>IF(B1892="","",IFERROR(INDEX('Share classes'!$F$4:$F$203,MATCH(B1892,'Share classes'!$B$4:$B$203,0)),""))</f>
        <v/>
      </c>
      <c r="N1892" s="30">
        <f>IF(A1892="","",IF(K1892="","Unknown holder ID",IF(J1892="","Unknown class code",IF(OR(C1892="",D1892=""),"Missing shares or date",IF(OR(C1892&lt;0,C1892&lt;&gt;INT(C1892)),"Shares must be a whole number",IF(COUNTIFS($A$4:$A$2503,A1892,$B$4:$B$2503,B1892,$D$4:$D$2503,D1892)&gt;1,"Duplicate row (same date)","OK"))))))</f>
        <v/>
      </c>
    </row>
    <row r="1893">
      <c r="A1893" s="26" t="n"/>
      <c r="B1893" s="26" t="n"/>
      <c r="C1893" s="34" t="n"/>
      <c r="D1893" s="28" t="n"/>
      <c r="E1893" s="26" t="n"/>
      <c r="F1893" s="26" t="n"/>
      <c r="G1893" s="26" t="n"/>
      <c r="H1893" s="38" t="n"/>
      <c r="I1893" s="28" t="n"/>
      <c r="J1893" s="30">
        <f>IF(B1893="","",IFERROR(INDEX('Share classes'!$A$4:$A$203,MATCH(B1893,'Share classes'!$B$4:$B$203,0)),""))</f>
        <v/>
      </c>
      <c r="K1893" s="30">
        <f>IF(A1893="","",IFERROR(INDEX('Holders'!$B$4:$B$1003,MATCH(A1893,'Holders'!$A$4:$A$1003,0)),""))</f>
        <v/>
      </c>
      <c r="L1893" s="30">
        <f>IF(OR(A1893="",B1893="",D1893=""),"",IF(D1893=_xlfn.MAXIFS($D$4:$D$2503,$A$4:$A$2503,A1893,$B$4:$B$2503,B1893),"Yes","No"))</f>
        <v/>
      </c>
      <c r="M1893" s="30">
        <f>IF(B1893="","",IFERROR(INDEX('Share classes'!$F$4:$F$203,MATCH(B1893,'Share classes'!$B$4:$B$203,0)),""))</f>
        <v/>
      </c>
      <c r="N1893" s="30">
        <f>IF(A1893="","",IF(K1893="","Unknown holder ID",IF(J1893="","Unknown class code",IF(OR(C1893="",D1893=""),"Missing shares or date",IF(OR(C1893&lt;0,C1893&lt;&gt;INT(C1893)),"Shares must be a whole number",IF(COUNTIFS($A$4:$A$2503,A1893,$B$4:$B$2503,B1893,$D$4:$D$2503,D1893)&gt;1,"Duplicate row (same date)","OK"))))))</f>
        <v/>
      </c>
    </row>
    <row r="1894">
      <c r="A1894" s="26" t="n"/>
      <c r="B1894" s="26" t="n"/>
      <c r="C1894" s="34" t="n"/>
      <c r="D1894" s="28" t="n"/>
      <c r="E1894" s="26" t="n"/>
      <c r="F1894" s="26" t="n"/>
      <c r="G1894" s="26" t="n"/>
      <c r="H1894" s="38" t="n"/>
      <c r="I1894" s="28" t="n"/>
      <c r="J1894" s="30">
        <f>IF(B1894="","",IFERROR(INDEX('Share classes'!$A$4:$A$203,MATCH(B1894,'Share classes'!$B$4:$B$203,0)),""))</f>
        <v/>
      </c>
      <c r="K1894" s="30">
        <f>IF(A1894="","",IFERROR(INDEX('Holders'!$B$4:$B$1003,MATCH(A1894,'Holders'!$A$4:$A$1003,0)),""))</f>
        <v/>
      </c>
      <c r="L1894" s="30">
        <f>IF(OR(A1894="",B1894="",D1894=""),"",IF(D1894=_xlfn.MAXIFS($D$4:$D$2503,$A$4:$A$2503,A1894,$B$4:$B$2503,B1894),"Yes","No"))</f>
        <v/>
      </c>
      <c r="M1894" s="30">
        <f>IF(B1894="","",IFERROR(INDEX('Share classes'!$F$4:$F$203,MATCH(B1894,'Share classes'!$B$4:$B$203,0)),""))</f>
        <v/>
      </c>
      <c r="N1894" s="30">
        <f>IF(A1894="","",IF(K1894="","Unknown holder ID",IF(J1894="","Unknown class code",IF(OR(C1894="",D1894=""),"Missing shares or date",IF(OR(C1894&lt;0,C1894&lt;&gt;INT(C1894)),"Shares must be a whole number",IF(COUNTIFS($A$4:$A$2503,A1894,$B$4:$B$2503,B1894,$D$4:$D$2503,D1894)&gt;1,"Duplicate row (same date)","OK"))))))</f>
        <v/>
      </c>
    </row>
    <row r="1895">
      <c r="A1895" s="26" t="n"/>
      <c r="B1895" s="26" t="n"/>
      <c r="C1895" s="34" t="n"/>
      <c r="D1895" s="28" t="n"/>
      <c r="E1895" s="26" t="n"/>
      <c r="F1895" s="26" t="n"/>
      <c r="G1895" s="26" t="n"/>
      <c r="H1895" s="38" t="n"/>
      <c r="I1895" s="28" t="n"/>
      <c r="J1895" s="30">
        <f>IF(B1895="","",IFERROR(INDEX('Share classes'!$A$4:$A$203,MATCH(B1895,'Share classes'!$B$4:$B$203,0)),""))</f>
        <v/>
      </c>
      <c r="K1895" s="30">
        <f>IF(A1895="","",IFERROR(INDEX('Holders'!$B$4:$B$1003,MATCH(A1895,'Holders'!$A$4:$A$1003,0)),""))</f>
        <v/>
      </c>
      <c r="L1895" s="30">
        <f>IF(OR(A1895="",B1895="",D1895=""),"",IF(D1895=_xlfn.MAXIFS($D$4:$D$2503,$A$4:$A$2503,A1895,$B$4:$B$2503,B1895),"Yes","No"))</f>
        <v/>
      </c>
      <c r="M1895" s="30">
        <f>IF(B1895="","",IFERROR(INDEX('Share classes'!$F$4:$F$203,MATCH(B1895,'Share classes'!$B$4:$B$203,0)),""))</f>
        <v/>
      </c>
      <c r="N1895" s="30">
        <f>IF(A1895="","",IF(K1895="","Unknown holder ID",IF(J1895="","Unknown class code",IF(OR(C1895="",D1895=""),"Missing shares or date",IF(OR(C1895&lt;0,C1895&lt;&gt;INT(C1895)),"Shares must be a whole number",IF(COUNTIFS($A$4:$A$2503,A1895,$B$4:$B$2503,B1895,$D$4:$D$2503,D1895)&gt;1,"Duplicate row (same date)","OK"))))))</f>
        <v/>
      </c>
    </row>
    <row r="1896">
      <c r="A1896" s="26" t="n"/>
      <c r="B1896" s="26" t="n"/>
      <c r="C1896" s="34" t="n"/>
      <c r="D1896" s="28" t="n"/>
      <c r="E1896" s="26" t="n"/>
      <c r="F1896" s="26" t="n"/>
      <c r="G1896" s="26" t="n"/>
      <c r="H1896" s="38" t="n"/>
      <c r="I1896" s="28" t="n"/>
      <c r="J1896" s="30">
        <f>IF(B1896="","",IFERROR(INDEX('Share classes'!$A$4:$A$203,MATCH(B1896,'Share classes'!$B$4:$B$203,0)),""))</f>
        <v/>
      </c>
      <c r="K1896" s="30">
        <f>IF(A1896="","",IFERROR(INDEX('Holders'!$B$4:$B$1003,MATCH(A1896,'Holders'!$A$4:$A$1003,0)),""))</f>
        <v/>
      </c>
      <c r="L1896" s="30">
        <f>IF(OR(A1896="",B1896="",D1896=""),"",IF(D1896=_xlfn.MAXIFS($D$4:$D$2503,$A$4:$A$2503,A1896,$B$4:$B$2503,B1896),"Yes","No"))</f>
        <v/>
      </c>
      <c r="M1896" s="30">
        <f>IF(B1896="","",IFERROR(INDEX('Share classes'!$F$4:$F$203,MATCH(B1896,'Share classes'!$B$4:$B$203,0)),""))</f>
        <v/>
      </c>
      <c r="N1896" s="30">
        <f>IF(A1896="","",IF(K1896="","Unknown holder ID",IF(J1896="","Unknown class code",IF(OR(C1896="",D1896=""),"Missing shares or date",IF(OR(C1896&lt;0,C1896&lt;&gt;INT(C1896)),"Shares must be a whole number",IF(COUNTIFS($A$4:$A$2503,A1896,$B$4:$B$2503,B1896,$D$4:$D$2503,D1896)&gt;1,"Duplicate row (same date)","OK"))))))</f>
        <v/>
      </c>
    </row>
    <row r="1897">
      <c r="A1897" s="26" t="n"/>
      <c r="B1897" s="26" t="n"/>
      <c r="C1897" s="34" t="n"/>
      <c r="D1897" s="28" t="n"/>
      <c r="E1897" s="26" t="n"/>
      <c r="F1897" s="26" t="n"/>
      <c r="G1897" s="26" t="n"/>
      <c r="H1897" s="38" t="n"/>
      <c r="I1897" s="28" t="n"/>
      <c r="J1897" s="30">
        <f>IF(B1897="","",IFERROR(INDEX('Share classes'!$A$4:$A$203,MATCH(B1897,'Share classes'!$B$4:$B$203,0)),""))</f>
        <v/>
      </c>
      <c r="K1897" s="30">
        <f>IF(A1897="","",IFERROR(INDEX('Holders'!$B$4:$B$1003,MATCH(A1897,'Holders'!$A$4:$A$1003,0)),""))</f>
        <v/>
      </c>
      <c r="L1897" s="30">
        <f>IF(OR(A1897="",B1897="",D1897=""),"",IF(D1897=_xlfn.MAXIFS($D$4:$D$2503,$A$4:$A$2503,A1897,$B$4:$B$2503,B1897),"Yes","No"))</f>
        <v/>
      </c>
      <c r="M1897" s="30">
        <f>IF(B1897="","",IFERROR(INDEX('Share classes'!$F$4:$F$203,MATCH(B1897,'Share classes'!$B$4:$B$203,0)),""))</f>
        <v/>
      </c>
      <c r="N1897" s="30">
        <f>IF(A1897="","",IF(K1897="","Unknown holder ID",IF(J1897="","Unknown class code",IF(OR(C1897="",D1897=""),"Missing shares or date",IF(OR(C1897&lt;0,C1897&lt;&gt;INT(C1897)),"Shares must be a whole number",IF(COUNTIFS($A$4:$A$2503,A1897,$B$4:$B$2503,B1897,$D$4:$D$2503,D1897)&gt;1,"Duplicate row (same date)","OK"))))))</f>
        <v/>
      </c>
    </row>
    <row r="1898">
      <c r="A1898" s="26" t="n"/>
      <c r="B1898" s="26" t="n"/>
      <c r="C1898" s="34" t="n"/>
      <c r="D1898" s="28" t="n"/>
      <c r="E1898" s="26" t="n"/>
      <c r="F1898" s="26" t="n"/>
      <c r="G1898" s="26" t="n"/>
      <c r="H1898" s="38" t="n"/>
      <c r="I1898" s="28" t="n"/>
      <c r="J1898" s="30">
        <f>IF(B1898="","",IFERROR(INDEX('Share classes'!$A$4:$A$203,MATCH(B1898,'Share classes'!$B$4:$B$203,0)),""))</f>
        <v/>
      </c>
      <c r="K1898" s="30">
        <f>IF(A1898="","",IFERROR(INDEX('Holders'!$B$4:$B$1003,MATCH(A1898,'Holders'!$A$4:$A$1003,0)),""))</f>
        <v/>
      </c>
      <c r="L1898" s="30">
        <f>IF(OR(A1898="",B1898="",D1898=""),"",IF(D1898=_xlfn.MAXIFS($D$4:$D$2503,$A$4:$A$2503,A1898,$B$4:$B$2503,B1898),"Yes","No"))</f>
        <v/>
      </c>
      <c r="M1898" s="30">
        <f>IF(B1898="","",IFERROR(INDEX('Share classes'!$F$4:$F$203,MATCH(B1898,'Share classes'!$B$4:$B$203,0)),""))</f>
        <v/>
      </c>
      <c r="N1898" s="30">
        <f>IF(A1898="","",IF(K1898="","Unknown holder ID",IF(J1898="","Unknown class code",IF(OR(C1898="",D1898=""),"Missing shares or date",IF(OR(C1898&lt;0,C1898&lt;&gt;INT(C1898)),"Shares must be a whole number",IF(COUNTIFS($A$4:$A$2503,A1898,$B$4:$B$2503,B1898,$D$4:$D$2503,D1898)&gt;1,"Duplicate row (same date)","OK"))))))</f>
        <v/>
      </c>
    </row>
    <row r="1899">
      <c r="A1899" s="26" t="n"/>
      <c r="B1899" s="26" t="n"/>
      <c r="C1899" s="34" t="n"/>
      <c r="D1899" s="28" t="n"/>
      <c r="E1899" s="26" t="n"/>
      <c r="F1899" s="26" t="n"/>
      <c r="G1899" s="26" t="n"/>
      <c r="H1899" s="38" t="n"/>
      <c r="I1899" s="28" t="n"/>
      <c r="J1899" s="30">
        <f>IF(B1899="","",IFERROR(INDEX('Share classes'!$A$4:$A$203,MATCH(B1899,'Share classes'!$B$4:$B$203,0)),""))</f>
        <v/>
      </c>
      <c r="K1899" s="30">
        <f>IF(A1899="","",IFERROR(INDEX('Holders'!$B$4:$B$1003,MATCH(A1899,'Holders'!$A$4:$A$1003,0)),""))</f>
        <v/>
      </c>
      <c r="L1899" s="30">
        <f>IF(OR(A1899="",B1899="",D1899=""),"",IF(D1899=_xlfn.MAXIFS($D$4:$D$2503,$A$4:$A$2503,A1899,$B$4:$B$2503,B1899),"Yes","No"))</f>
        <v/>
      </c>
      <c r="M1899" s="30">
        <f>IF(B1899="","",IFERROR(INDEX('Share classes'!$F$4:$F$203,MATCH(B1899,'Share classes'!$B$4:$B$203,0)),""))</f>
        <v/>
      </c>
      <c r="N1899" s="30">
        <f>IF(A1899="","",IF(K1899="","Unknown holder ID",IF(J1899="","Unknown class code",IF(OR(C1899="",D1899=""),"Missing shares or date",IF(OR(C1899&lt;0,C1899&lt;&gt;INT(C1899)),"Shares must be a whole number",IF(COUNTIFS($A$4:$A$2503,A1899,$B$4:$B$2503,B1899,$D$4:$D$2503,D1899)&gt;1,"Duplicate row (same date)","OK"))))))</f>
        <v/>
      </c>
    </row>
    <row r="1900">
      <c r="A1900" s="26" t="n"/>
      <c r="B1900" s="26" t="n"/>
      <c r="C1900" s="34" t="n"/>
      <c r="D1900" s="28" t="n"/>
      <c r="E1900" s="26" t="n"/>
      <c r="F1900" s="26" t="n"/>
      <c r="G1900" s="26" t="n"/>
      <c r="H1900" s="38" t="n"/>
      <c r="I1900" s="28" t="n"/>
      <c r="J1900" s="30">
        <f>IF(B1900="","",IFERROR(INDEX('Share classes'!$A$4:$A$203,MATCH(B1900,'Share classes'!$B$4:$B$203,0)),""))</f>
        <v/>
      </c>
      <c r="K1900" s="30">
        <f>IF(A1900="","",IFERROR(INDEX('Holders'!$B$4:$B$1003,MATCH(A1900,'Holders'!$A$4:$A$1003,0)),""))</f>
        <v/>
      </c>
      <c r="L1900" s="30">
        <f>IF(OR(A1900="",B1900="",D1900=""),"",IF(D1900=_xlfn.MAXIFS($D$4:$D$2503,$A$4:$A$2503,A1900,$B$4:$B$2503,B1900),"Yes","No"))</f>
        <v/>
      </c>
      <c r="M1900" s="30">
        <f>IF(B1900="","",IFERROR(INDEX('Share classes'!$F$4:$F$203,MATCH(B1900,'Share classes'!$B$4:$B$203,0)),""))</f>
        <v/>
      </c>
      <c r="N1900" s="30">
        <f>IF(A1900="","",IF(K1900="","Unknown holder ID",IF(J1900="","Unknown class code",IF(OR(C1900="",D1900=""),"Missing shares or date",IF(OR(C1900&lt;0,C1900&lt;&gt;INT(C1900)),"Shares must be a whole number",IF(COUNTIFS($A$4:$A$2503,A1900,$B$4:$B$2503,B1900,$D$4:$D$2503,D1900)&gt;1,"Duplicate row (same date)","OK"))))))</f>
        <v/>
      </c>
    </row>
    <row r="1901">
      <c r="A1901" s="26" t="n"/>
      <c r="B1901" s="26" t="n"/>
      <c r="C1901" s="34" t="n"/>
      <c r="D1901" s="28" t="n"/>
      <c r="E1901" s="26" t="n"/>
      <c r="F1901" s="26" t="n"/>
      <c r="G1901" s="26" t="n"/>
      <c r="H1901" s="38" t="n"/>
      <c r="I1901" s="28" t="n"/>
      <c r="J1901" s="30">
        <f>IF(B1901="","",IFERROR(INDEX('Share classes'!$A$4:$A$203,MATCH(B1901,'Share classes'!$B$4:$B$203,0)),""))</f>
        <v/>
      </c>
      <c r="K1901" s="30">
        <f>IF(A1901="","",IFERROR(INDEX('Holders'!$B$4:$B$1003,MATCH(A1901,'Holders'!$A$4:$A$1003,0)),""))</f>
        <v/>
      </c>
      <c r="L1901" s="30">
        <f>IF(OR(A1901="",B1901="",D1901=""),"",IF(D1901=_xlfn.MAXIFS($D$4:$D$2503,$A$4:$A$2503,A1901,$B$4:$B$2503,B1901),"Yes","No"))</f>
        <v/>
      </c>
      <c r="M1901" s="30">
        <f>IF(B1901="","",IFERROR(INDEX('Share classes'!$F$4:$F$203,MATCH(B1901,'Share classes'!$B$4:$B$203,0)),""))</f>
        <v/>
      </c>
      <c r="N1901" s="30">
        <f>IF(A1901="","",IF(K1901="","Unknown holder ID",IF(J1901="","Unknown class code",IF(OR(C1901="",D1901=""),"Missing shares or date",IF(OR(C1901&lt;0,C1901&lt;&gt;INT(C1901)),"Shares must be a whole number",IF(COUNTIFS($A$4:$A$2503,A1901,$B$4:$B$2503,B1901,$D$4:$D$2503,D1901)&gt;1,"Duplicate row (same date)","OK"))))))</f>
        <v/>
      </c>
    </row>
    <row r="1902">
      <c r="A1902" s="26" t="n"/>
      <c r="B1902" s="26" t="n"/>
      <c r="C1902" s="34" t="n"/>
      <c r="D1902" s="28" t="n"/>
      <c r="E1902" s="26" t="n"/>
      <c r="F1902" s="26" t="n"/>
      <c r="G1902" s="26" t="n"/>
      <c r="H1902" s="38" t="n"/>
      <c r="I1902" s="28" t="n"/>
      <c r="J1902" s="30">
        <f>IF(B1902="","",IFERROR(INDEX('Share classes'!$A$4:$A$203,MATCH(B1902,'Share classes'!$B$4:$B$203,0)),""))</f>
        <v/>
      </c>
      <c r="K1902" s="30">
        <f>IF(A1902="","",IFERROR(INDEX('Holders'!$B$4:$B$1003,MATCH(A1902,'Holders'!$A$4:$A$1003,0)),""))</f>
        <v/>
      </c>
      <c r="L1902" s="30">
        <f>IF(OR(A1902="",B1902="",D1902=""),"",IF(D1902=_xlfn.MAXIFS($D$4:$D$2503,$A$4:$A$2503,A1902,$B$4:$B$2503,B1902),"Yes","No"))</f>
        <v/>
      </c>
      <c r="M1902" s="30">
        <f>IF(B1902="","",IFERROR(INDEX('Share classes'!$F$4:$F$203,MATCH(B1902,'Share classes'!$B$4:$B$203,0)),""))</f>
        <v/>
      </c>
      <c r="N1902" s="30">
        <f>IF(A1902="","",IF(K1902="","Unknown holder ID",IF(J1902="","Unknown class code",IF(OR(C1902="",D1902=""),"Missing shares or date",IF(OR(C1902&lt;0,C1902&lt;&gt;INT(C1902)),"Shares must be a whole number",IF(COUNTIFS($A$4:$A$2503,A1902,$B$4:$B$2503,B1902,$D$4:$D$2503,D1902)&gt;1,"Duplicate row (same date)","OK"))))))</f>
        <v/>
      </c>
    </row>
    <row r="1903">
      <c r="A1903" s="26" t="n"/>
      <c r="B1903" s="26" t="n"/>
      <c r="C1903" s="34" t="n"/>
      <c r="D1903" s="28" t="n"/>
      <c r="E1903" s="26" t="n"/>
      <c r="F1903" s="26" t="n"/>
      <c r="G1903" s="26" t="n"/>
      <c r="H1903" s="38" t="n"/>
      <c r="I1903" s="28" t="n"/>
      <c r="J1903" s="30">
        <f>IF(B1903="","",IFERROR(INDEX('Share classes'!$A$4:$A$203,MATCH(B1903,'Share classes'!$B$4:$B$203,0)),""))</f>
        <v/>
      </c>
      <c r="K1903" s="30">
        <f>IF(A1903="","",IFERROR(INDEX('Holders'!$B$4:$B$1003,MATCH(A1903,'Holders'!$A$4:$A$1003,0)),""))</f>
        <v/>
      </c>
      <c r="L1903" s="30">
        <f>IF(OR(A1903="",B1903="",D1903=""),"",IF(D1903=_xlfn.MAXIFS($D$4:$D$2503,$A$4:$A$2503,A1903,$B$4:$B$2503,B1903),"Yes","No"))</f>
        <v/>
      </c>
      <c r="M1903" s="30">
        <f>IF(B1903="","",IFERROR(INDEX('Share classes'!$F$4:$F$203,MATCH(B1903,'Share classes'!$B$4:$B$203,0)),""))</f>
        <v/>
      </c>
      <c r="N1903" s="30">
        <f>IF(A1903="","",IF(K1903="","Unknown holder ID",IF(J1903="","Unknown class code",IF(OR(C1903="",D1903=""),"Missing shares or date",IF(OR(C1903&lt;0,C1903&lt;&gt;INT(C1903)),"Shares must be a whole number",IF(COUNTIFS($A$4:$A$2503,A1903,$B$4:$B$2503,B1903,$D$4:$D$2503,D1903)&gt;1,"Duplicate row (same date)","OK"))))))</f>
        <v/>
      </c>
    </row>
    <row r="1904">
      <c r="A1904" s="26" t="n"/>
      <c r="B1904" s="26" t="n"/>
      <c r="C1904" s="34" t="n"/>
      <c r="D1904" s="28" t="n"/>
      <c r="E1904" s="26" t="n"/>
      <c r="F1904" s="26" t="n"/>
      <c r="G1904" s="26" t="n"/>
      <c r="H1904" s="38" t="n"/>
      <c r="I1904" s="28" t="n"/>
      <c r="J1904" s="30">
        <f>IF(B1904="","",IFERROR(INDEX('Share classes'!$A$4:$A$203,MATCH(B1904,'Share classes'!$B$4:$B$203,0)),""))</f>
        <v/>
      </c>
      <c r="K1904" s="30">
        <f>IF(A1904="","",IFERROR(INDEX('Holders'!$B$4:$B$1003,MATCH(A1904,'Holders'!$A$4:$A$1003,0)),""))</f>
        <v/>
      </c>
      <c r="L1904" s="30">
        <f>IF(OR(A1904="",B1904="",D1904=""),"",IF(D1904=_xlfn.MAXIFS($D$4:$D$2503,$A$4:$A$2503,A1904,$B$4:$B$2503,B1904),"Yes","No"))</f>
        <v/>
      </c>
      <c r="M1904" s="30">
        <f>IF(B1904="","",IFERROR(INDEX('Share classes'!$F$4:$F$203,MATCH(B1904,'Share classes'!$B$4:$B$203,0)),""))</f>
        <v/>
      </c>
      <c r="N1904" s="30">
        <f>IF(A1904="","",IF(K1904="","Unknown holder ID",IF(J1904="","Unknown class code",IF(OR(C1904="",D1904=""),"Missing shares or date",IF(OR(C1904&lt;0,C1904&lt;&gt;INT(C1904)),"Shares must be a whole number",IF(COUNTIFS($A$4:$A$2503,A1904,$B$4:$B$2503,B1904,$D$4:$D$2503,D1904)&gt;1,"Duplicate row (same date)","OK"))))))</f>
        <v/>
      </c>
    </row>
    <row r="1905">
      <c r="A1905" s="26" t="n"/>
      <c r="B1905" s="26" t="n"/>
      <c r="C1905" s="34" t="n"/>
      <c r="D1905" s="28" t="n"/>
      <c r="E1905" s="26" t="n"/>
      <c r="F1905" s="26" t="n"/>
      <c r="G1905" s="26" t="n"/>
      <c r="H1905" s="38" t="n"/>
      <c r="I1905" s="28" t="n"/>
      <c r="J1905" s="30">
        <f>IF(B1905="","",IFERROR(INDEX('Share classes'!$A$4:$A$203,MATCH(B1905,'Share classes'!$B$4:$B$203,0)),""))</f>
        <v/>
      </c>
      <c r="K1905" s="30">
        <f>IF(A1905="","",IFERROR(INDEX('Holders'!$B$4:$B$1003,MATCH(A1905,'Holders'!$A$4:$A$1003,0)),""))</f>
        <v/>
      </c>
      <c r="L1905" s="30">
        <f>IF(OR(A1905="",B1905="",D1905=""),"",IF(D1905=_xlfn.MAXIFS($D$4:$D$2503,$A$4:$A$2503,A1905,$B$4:$B$2503,B1905),"Yes","No"))</f>
        <v/>
      </c>
      <c r="M1905" s="30">
        <f>IF(B1905="","",IFERROR(INDEX('Share classes'!$F$4:$F$203,MATCH(B1905,'Share classes'!$B$4:$B$203,0)),""))</f>
        <v/>
      </c>
      <c r="N1905" s="30">
        <f>IF(A1905="","",IF(K1905="","Unknown holder ID",IF(J1905="","Unknown class code",IF(OR(C1905="",D1905=""),"Missing shares or date",IF(OR(C1905&lt;0,C1905&lt;&gt;INT(C1905)),"Shares must be a whole number",IF(COUNTIFS($A$4:$A$2503,A1905,$B$4:$B$2503,B1905,$D$4:$D$2503,D1905)&gt;1,"Duplicate row (same date)","OK"))))))</f>
        <v/>
      </c>
    </row>
    <row r="1906">
      <c r="A1906" s="26" t="n"/>
      <c r="B1906" s="26" t="n"/>
      <c r="C1906" s="34" t="n"/>
      <c r="D1906" s="28" t="n"/>
      <c r="E1906" s="26" t="n"/>
      <c r="F1906" s="26" t="n"/>
      <c r="G1906" s="26" t="n"/>
      <c r="H1906" s="38" t="n"/>
      <c r="I1906" s="28" t="n"/>
      <c r="J1906" s="30">
        <f>IF(B1906="","",IFERROR(INDEX('Share classes'!$A$4:$A$203,MATCH(B1906,'Share classes'!$B$4:$B$203,0)),""))</f>
        <v/>
      </c>
      <c r="K1906" s="30">
        <f>IF(A1906="","",IFERROR(INDEX('Holders'!$B$4:$B$1003,MATCH(A1906,'Holders'!$A$4:$A$1003,0)),""))</f>
        <v/>
      </c>
      <c r="L1906" s="30">
        <f>IF(OR(A1906="",B1906="",D1906=""),"",IF(D1906=_xlfn.MAXIFS($D$4:$D$2503,$A$4:$A$2503,A1906,$B$4:$B$2503,B1906),"Yes","No"))</f>
        <v/>
      </c>
      <c r="M1906" s="30">
        <f>IF(B1906="","",IFERROR(INDEX('Share classes'!$F$4:$F$203,MATCH(B1906,'Share classes'!$B$4:$B$203,0)),""))</f>
        <v/>
      </c>
      <c r="N1906" s="30">
        <f>IF(A1906="","",IF(K1906="","Unknown holder ID",IF(J1906="","Unknown class code",IF(OR(C1906="",D1906=""),"Missing shares or date",IF(OR(C1906&lt;0,C1906&lt;&gt;INT(C1906)),"Shares must be a whole number",IF(COUNTIFS($A$4:$A$2503,A1906,$B$4:$B$2503,B1906,$D$4:$D$2503,D1906)&gt;1,"Duplicate row (same date)","OK"))))))</f>
        <v/>
      </c>
    </row>
    <row r="1907">
      <c r="A1907" s="26" t="n"/>
      <c r="B1907" s="26" t="n"/>
      <c r="C1907" s="34" t="n"/>
      <c r="D1907" s="28" t="n"/>
      <c r="E1907" s="26" t="n"/>
      <c r="F1907" s="26" t="n"/>
      <c r="G1907" s="26" t="n"/>
      <c r="H1907" s="38" t="n"/>
      <c r="I1907" s="28" t="n"/>
      <c r="J1907" s="30">
        <f>IF(B1907="","",IFERROR(INDEX('Share classes'!$A$4:$A$203,MATCH(B1907,'Share classes'!$B$4:$B$203,0)),""))</f>
        <v/>
      </c>
      <c r="K1907" s="30">
        <f>IF(A1907="","",IFERROR(INDEX('Holders'!$B$4:$B$1003,MATCH(A1907,'Holders'!$A$4:$A$1003,0)),""))</f>
        <v/>
      </c>
      <c r="L1907" s="30">
        <f>IF(OR(A1907="",B1907="",D1907=""),"",IF(D1907=_xlfn.MAXIFS($D$4:$D$2503,$A$4:$A$2503,A1907,$B$4:$B$2503,B1907),"Yes","No"))</f>
        <v/>
      </c>
      <c r="M1907" s="30">
        <f>IF(B1907="","",IFERROR(INDEX('Share classes'!$F$4:$F$203,MATCH(B1907,'Share classes'!$B$4:$B$203,0)),""))</f>
        <v/>
      </c>
      <c r="N1907" s="30">
        <f>IF(A1907="","",IF(K1907="","Unknown holder ID",IF(J1907="","Unknown class code",IF(OR(C1907="",D1907=""),"Missing shares or date",IF(OR(C1907&lt;0,C1907&lt;&gt;INT(C1907)),"Shares must be a whole number",IF(COUNTIFS($A$4:$A$2503,A1907,$B$4:$B$2503,B1907,$D$4:$D$2503,D1907)&gt;1,"Duplicate row (same date)","OK"))))))</f>
        <v/>
      </c>
    </row>
    <row r="1908">
      <c r="A1908" s="26" t="n"/>
      <c r="B1908" s="26" t="n"/>
      <c r="C1908" s="34" t="n"/>
      <c r="D1908" s="28" t="n"/>
      <c r="E1908" s="26" t="n"/>
      <c r="F1908" s="26" t="n"/>
      <c r="G1908" s="26" t="n"/>
      <c r="H1908" s="38" t="n"/>
      <c r="I1908" s="28" t="n"/>
      <c r="J1908" s="30">
        <f>IF(B1908="","",IFERROR(INDEX('Share classes'!$A$4:$A$203,MATCH(B1908,'Share classes'!$B$4:$B$203,0)),""))</f>
        <v/>
      </c>
      <c r="K1908" s="30">
        <f>IF(A1908="","",IFERROR(INDEX('Holders'!$B$4:$B$1003,MATCH(A1908,'Holders'!$A$4:$A$1003,0)),""))</f>
        <v/>
      </c>
      <c r="L1908" s="30">
        <f>IF(OR(A1908="",B1908="",D1908=""),"",IF(D1908=_xlfn.MAXIFS($D$4:$D$2503,$A$4:$A$2503,A1908,$B$4:$B$2503,B1908),"Yes","No"))</f>
        <v/>
      </c>
      <c r="M1908" s="30">
        <f>IF(B1908="","",IFERROR(INDEX('Share classes'!$F$4:$F$203,MATCH(B1908,'Share classes'!$B$4:$B$203,0)),""))</f>
        <v/>
      </c>
      <c r="N1908" s="30">
        <f>IF(A1908="","",IF(K1908="","Unknown holder ID",IF(J1908="","Unknown class code",IF(OR(C1908="",D1908=""),"Missing shares or date",IF(OR(C1908&lt;0,C1908&lt;&gt;INT(C1908)),"Shares must be a whole number",IF(COUNTIFS($A$4:$A$2503,A1908,$B$4:$B$2503,B1908,$D$4:$D$2503,D1908)&gt;1,"Duplicate row (same date)","OK"))))))</f>
        <v/>
      </c>
    </row>
    <row r="1909">
      <c r="A1909" s="26" t="n"/>
      <c r="B1909" s="26" t="n"/>
      <c r="C1909" s="34" t="n"/>
      <c r="D1909" s="28" t="n"/>
      <c r="E1909" s="26" t="n"/>
      <c r="F1909" s="26" t="n"/>
      <c r="G1909" s="26" t="n"/>
      <c r="H1909" s="38" t="n"/>
      <c r="I1909" s="28" t="n"/>
      <c r="J1909" s="30">
        <f>IF(B1909="","",IFERROR(INDEX('Share classes'!$A$4:$A$203,MATCH(B1909,'Share classes'!$B$4:$B$203,0)),""))</f>
        <v/>
      </c>
      <c r="K1909" s="30">
        <f>IF(A1909="","",IFERROR(INDEX('Holders'!$B$4:$B$1003,MATCH(A1909,'Holders'!$A$4:$A$1003,0)),""))</f>
        <v/>
      </c>
      <c r="L1909" s="30">
        <f>IF(OR(A1909="",B1909="",D1909=""),"",IF(D1909=_xlfn.MAXIFS($D$4:$D$2503,$A$4:$A$2503,A1909,$B$4:$B$2503,B1909),"Yes","No"))</f>
        <v/>
      </c>
      <c r="M1909" s="30">
        <f>IF(B1909="","",IFERROR(INDEX('Share classes'!$F$4:$F$203,MATCH(B1909,'Share classes'!$B$4:$B$203,0)),""))</f>
        <v/>
      </c>
      <c r="N1909" s="30">
        <f>IF(A1909="","",IF(K1909="","Unknown holder ID",IF(J1909="","Unknown class code",IF(OR(C1909="",D1909=""),"Missing shares or date",IF(OR(C1909&lt;0,C1909&lt;&gt;INT(C1909)),"Shares must be a whole number",IF(COUNTIFS($A$4:$A$2503,A1909,$B$4:$B$2503,B1909,$D$4:$D$2503,D1909)&gt;1,"Duplicate row (same date)","OK"))))))</f>
        <v/>
      </c>
    </row>
    <row r="1910">
      <c r="A1910" s="26" t="n"/>
      <c r="B1910" s="26" t="n"/>
      <c r="C1910" s="34" t="n"/>
      <c r="D1910" s="28" t="n"/>
      <c r="E1910" s="26" t="n"/>
      <c r="F1910" s="26" t="n"/>
      <c r="G1910" s="26" t="n"/>
      <c r="H1910" s="38" t="n"/>
      <c r="I1910" s="28" t="n"/>
      <c r="J1910" s="30">
        <f>IF(B1910="","",IFERROR(INDEX('Share classes'!$A$4:$A$203,MATCH(B1910,'Share classes'!$B$4:$B$203,0)),""))</f>
        <v/>
      </c>
      <c r="K1910" s="30">
        <f>IF(A1910="","",IFERROR(INDEX('Holders'!$B$4:$B$1003,MATCH(A1910,'Holders'!$A$4:$A$1003,0)),""))</f>
        <v/>
      </c>
      <c r="L1910" s="30">
        <f>IF(OR(A1910="",B1910="",D1910=""),"",IF(D1910=_xlfn.MAXIFS($D$4:$D$2503,$A$4:$A$2503,A1910,$B$4:$B$2503,B1910),"Yes","No"))</f>
        <v/>
      </c>
      <c r="M1910" s="30">
        <f>IF(B1910="","",IFERROR(INDEX('Share classes'!$F$4:$F$203,MATCH(B1910,'Share classes'!$B$4:$B$203,0)),""))</f>
        <v/>
      </c>
      <c r="N1910" s="30">
        <f>IF(A1910="","",IF(K1910="","Unknown holder ID",IF(J1910="","Unknown class code",IF(OR(C1910="",D1910=""),"Missing shares or date",IF(OR(C1910&lt;0,C1910&lt;&gt;INT(C1910)),"Shares must be a whole number",IF(COUNTIFS($A$4:$A$2503,A1910,$B$4:$B$2503,B1910,$D$4:$D$2503,D1910)&gt;1,"Duplicate row (same date)","OK"))))))</f>
        <v/>
      </c>
    </row>
    <row r="1911">
      <c r="A1911" s="26" t="n"/>
      <c r="B1911" s="26" t="n"/>
      <c r="C1911" s="34" t="n"/>
      <c r="D1911" s="28" t="n"/>
      <c r="E1911" s="26" t="n"/>
      <c r="F1911" s="26" t="n"/>
      <c r="G1911" s="26" t="n"/>
      <c r="H1911" s="38" t="n"/>
      <c r="I1911" s="28" t="n"/>
      <c r="J1911" s="30">
        <f>IF(B1911="","",IFERROR(INDEX('Share classes'!$A$4:$A$203,MATCH(B1911,'Share classes'!$B$4:$B$203,0)),""))</f>
        <v/>
      </c>
      <c r="K1911" s="30">
        <f>IF(A1911="","",IFERROR(INDEX('Holders'!$B$4:$B$1003,MATCH(A1911,'Holders'!$A$4:$A$1003,0)),""))</f>
        <v/>
      </c>
      <c r="L1911" s="30">
        <f>IF(OR(A1911="",B1911="",D1911=""),"",IF(D1911=_xlfn.MAXIFS($D$4:$D$2503,$A$4:$A$2503,A1911,$B$4:$B$2503,B1911),"Yes","No"))</f>
        <v/>
      </c>
      <c r="M1911" s="30">
        <f>IF(B1911="","",IFERROR(INDEX('Share classes'!$F$4:$F$203,MATCH(B1911,'Share classes'!$B$4:$B$203,0)),""))</f>
        <v/>
      </c>
      <c r="N1911" s="30">
        <f>IF(A1911="","",IF(K1911="","Unknown holder ID",IF(J1911="","Unknown class code",IF(OR(C1911="",D1911=""),"Missing shares or date",IF(OR(C1911&lt;0,C1911&lt;&gt;INT(C1911)),"Shares must be a whole number",IF(COUNTIFS($A$4:$A$2503,A1911,$B$4:$B$2503,B1911,$D$4:$D$2503,D1911)&gt;1,"Duplicate row (same date)","OK"))))))</f>
        <v/>
      </c>
    </row>
    <row r="1912">
      <c r="A1912" s="26" t="n"/>
      <c r="B1912" s="26" t="n"/>
      <c r="C1912" s="34" t="n"/>
      <c r="D1912" s="28" t="n"/>
      <c r="E1912" s="26" t="n"/>
      <c r="F1912" s="26" t="n"/>
      <c r="G1912" s="26" t="n"/>
      <c r="H1912" s="38" t="n"/>
      <c r="I1912" s="28" t="n"/>
      <c r="J1912" s="30">
        <f>IF(B1912="","",IFERROR(INDEX('Share classes'!$A$4:$A$203,MATCH(B1912,'Share classes'!$B$4:$B$203,0)),""))</f>
        <v/>
      </c>
      <c r="K1912" s="30">
        <f>IF(A1912="","",IFERROR(INDEX('Holders'!$B$4:$B$1003,MATCH(A1912,'Holders'!$A$4:$A$1003,0)),""))</f>
        <v/>
      </c>
      <c r="L1912" s="30">
        <f>IF(OR(A1912="",B1912="",D1912=""),"",IF(D1912=_xlfn.MAXIFS($D$4:$D$2503,$A$4:$A$2503,A1912,$B$4:$B$2503,B1912),"Yes","No"))</f>
        <v/>
      </c>
      <c r="M1912" s="30">
        <f>IF(B1912="","",IFERROR(INDEX('Share classes'!$F$4:$F$203,MATCH(B1912,'Share classes'!$B$4:$B$203,0)),""))</f>
        <v/>
      </c>
      <c r="N1912" s="30">
        <f>IF(A1912="","",IF(K1912="","Unknown holder ID",IF(J1912="","Unknown class code",IF(OR(C1912="",D1912=""),"Missing shares or date",IF(OR(C1912&lt;0,C1912&lt;&gt;INT(C1912)),"Shares must be a whole number",IF(COUNTIFS($A$4:$A$2503,A1912,$B$4:$B$2503,B1912,$D$4:$D$2503,D1912)&gt;1,"Duplicate row (same date)","OK"))))))</f>
        <v/>
      </c>
    </row>
    <row r="1913">
      <c r="A1913" s="26" t="n"/>
      <c r="B1913" s="26" t="n"/>
      <c r="C1913" s="34" t="n"/>
      <c r="D1913" s="28" t="n"/>
      <c r="E1913" s="26" t="n"/>
      <c r="F1913" s="26" t="n"/>
      <c r="G1913" s="26" t="n"/>
      <c r="H1913" s="38" t="n"/>
      <c r="I1913" s="28" t="n"/>
      <c r="J1913" s="30">
        <f>IF(B1913="","",IFERROR(INDEX('Share classes'!$A$4:$A$203,MATCH(B1913,'Share classes'!$B$4:$B$203,0)),""))</f>
        <v/>
      </c>
      <c r="K1913" s="30">
        <f>IF(A1913="","",IFERROR(INDEX('Holders'!$B$4:$B$1003,MATCH(A1913,'Holders'!$A$4:$A$1003,0)),""))</f>
        <v/>
      </c>
      <c r="L1913" s="30">
        <f>IF(OR(A1913="",B1913="",D1913=""),"",IF(D1913=_xlfn.MAXIFS($D$4:$D$2503,$A$4:$A$2503,A1913,$B$4:$B$2503,B1913),"Yes","No"))</f>
        <v/>
      </c>
      <c r="M1913" s="30">
        <f>IF(B1913="","",IFERROR(INDEX('Share classes'!$F$4:$F$203,MATCH(B1913,'Share classes'!$B$4:$B$203,0)),""))</f>
        <v/>
      </c>
      <c r="N1913" s="30">
        <f>IF(A1913="","",IF(K1913="","Unknown holder ID",IF(J1913="","Unknown class code",IF(OR(C1913="",D1913=""),"Missing shares or date",IF(OR(C1913&lt;0,C1913&lt;&gt;INT(C1913)),"Shares must be a whole number",IF(COUNTIFS($A$4:$A$2503,A1913,$B$4:$B$2503,B1913,$D$4:$D$2503,D1913)&gt;1,"Duplicate row (same date)","OK"))))))</f>
        <v/>
      </c>
    </row>
    <row r="1914">
      <c r="A1914" s="26" t="n"/>
      <c r="B1914" s="26" t="n"/>
      <c r="C1914" s="34" t="n"/>
      <c r="D1914" s="28" t="n"/>
      <c r="E1914" s="26" t="n"/>
      <c r="F1914" s="26" t="n"/>
      <c r="G1914" s="26" t="n"/>
      <c r="H1914" s="38" t="n"/>
      <c r="I1914" s="28" t="n"/>
      <c r="J1914" s="30">
        <f>IF(B1914="","",IFERROR(INDEX('Share classes'!$A$4:$A$203,MATCH(B1914,'Share classes'!$B$4:$B$203,0)),""))</f>
        <v/>
      </c>
      <c r="K1914" s="30">
        <f>IF(A1914="","",IFERROR(INDEX('Holders'!$B$4:$B$1003,MATCH(A1914,'Holders'!$A$4:$A$1003,0)),""))</f>
        <v/>
      </c>
      <c r="L1914" s="30">
        <f>IF(OR(A1914="",B1914="",D1914=""),"",IF(D1914=_xlfn.MAXIFS($D$4:$D$2503,$A$4:$A$2503,A1914,$B$4:$B$2503,B1914),"Yes","No"))</f>
        <v/>
      </c>
      <c r="M1914" s="30">
        <f>IF(B1914="","",IFERROR(INDEX('Share classes'!$F$4:$F$203,MATCH(B1914,'Share classes'!$B$4:$B$203,0)),""))</f>
        <v/>
      </c>
      <c r="N1914" s="30">
        <f>IF(A1914="","",IF(K1914="","Unknown holder ID",IF(J1914="","Unknown class code",IF(OR(C1914="",D1914=""),"Missing shares or date",IF(OR(C1914&lt;0,C1914&lt;&gt;INT(C1914)),"Shares must be a whole number",IF(COUNTIFS($A$4:$A$2503,A1914,$B$4:$B$2503,B1914,$D$4:$D$2503,D1914)&gt;1,"Duplicate row (same date)","OK"))))))</f>
        <v/>
      </c>
    </row>
    <row r="1915">
      <c r="A1915" s="26" t="n"/>
      <c r="B1915" s="26" t="n"/>
      <c r="C1915" s="34" t="n"/>
      <c r="D1915" s="28" t="n"/>
      <c r="E1915" s="26" t="n"/>
      <c r="F1915" s="26" t="n"/>
      <c r="G1915" s="26" t="n"/>
      <c r="H1915" s="38" t="n"/>
      <c r="I1915" s="28" t="n"/>
      <c r="J1915" s="30">
        <f>IF(B1915="","",IFERROR(INDEX('Share classes'!$A$4:$A$203,MATCH(B1915,'Share classes'!$B$4:$B$203,0)),""))</f>
        <v/>
      </c>
      <c r="K1915" s="30">
        <f>IF(A1915="","",IFERROR(INDEX('Holders'!$B$4:$B$1003,MATCH(A1915,'Holders'!$A$4:$A$1003,0)),""))</f>
        <v/>
      </c>
      <c r="L1915" s="30">
        <f>IF(OR(A1915="",B1915="",D1915=""),"",IF(D1915=_xlfn.MAXIFS($D$4:$D$2503,$A$4:$A$2503,A1915,$B$4:$B$2503,B1915),"Yes","No"))</f>
        <v/>
      </c>
      <c r="M1915" s="30">
        <f>IF(B1915="","",IFERROR(INDEX('Share classes'!$F$4:$F$203,MATCH(B1915,'Share classes'!$B$4:$B$203,0)),""))</f>
        <v/>
      </c>
      <c r="N1915" s="30">
        <f>IF(A1915="","",IF(K1915="","Unknown holder ID",IF(J1915="","Unknown class code",IF(OR(C1915="",D1915=""),"Missing shares or date",IF(OR(C1915&lt;0,C1915&lt;&gt;INT(C1915)),"Shares must be a whole number",IF(COUNTIFS($A$4:$A$2503,A1915,$B$4:$B$2503,B1915,$D$4:$D$2503,D1915)&gt;1,"Duplicate row (same date)","OK"))))))</f>
        <v/>
      </c>
    </row>
    <row r="1916">
      <c r="A1916" s="26" t="n"/>
      <c r="B1916" s="26" t="n"/>
      <c r="C1916" s="34" t="n"/>
      <c r="D1916" s="28" t="n"/>
      <c r="E1916" s="26" t="n"/>
      <c r="F1916" s="26" t="n"/>
      <c r="G1916" s="26" t="n"/>
      <c r="H1916" s="38" t="n"/>
      <c r="I1916" s="28" t="n"/>
      <c r="J1916" s="30">
        <f>IF(B1916="","",IFERROR(INDEX('Share classes'!$A$4:$A$203,MATCH(B1916,'Share classes'!$B$4:$B$203,0)),""))</f>
        <v/>
      </c>
      <c r="K1916" s="30">
        <f>IF(A1916="","",IFERROR(INDEX('Holders'!$B$4:$B$1003,MATCH(A1916,'Holders'!$A$4:$A$1003,0)),""))</f>
        <v/>
      </c>
      <c r="L1916" s="30">
        <f>IF(OR(A1916="",B1916="",D1916=""),"",IF(D1916=_xlfn.MAXIFS($D$4:$D$2503,$A$4:$A$2503,A1916,$B$4:$B$2503,B1916),"Yes","No"))</f>
        <v/>
      </c>
      <c r="M1916" s="30">
        <f>IF(B1916="","",IFERROR(INDEX('Share classes'!$F$4:$F$203,MATCH(B1916,'Share classes'!$B$4:$B$203,0)),""))</f>
        <v/>
      </c>
      <c r="N1916" s="30">
        <f>IF(A1916="","",IF(K1916="","Unknown holder ID",IF(J1916="","Unknown class code",IF(OR(C1916="",D1916=""),"Missing shares or date",IF(OR(C1916&lt;0,C1916&lt;&gt;INT(C1916)),"Shares must be a whole number",IF(COUNTIFS($A$4:$A$2503,A1916,$B$4:$B$2503,B1916,$D$4:$D$2503,D1916)&gt;1,"Duplicate row (same date)","OK"))))))</f>
        <v/>
      </c>
    </row>
    <row r="1917">
      <c r="A1917" s="26" t="n"/>
      <c r="B1917" s="26" t="n"/>
      <c r="C1917" s="34" t="n"/>
      <c r="D1917" s="28" t="n"/>
      <c r="E1917" s="26" t="n"/>
      <c r="F1917" s="26" t="n"/>
      <c r="G1917" s="26" t="n"/>
      <c r="H1917" s="38" t="n"/>
      <c r="I1917" s="28" t="n"/>
      <c r="J1917" s="30">
        <f>IF(B1917="","",IFERROR(INDEX('Share classes'!$A$4:$A$203,MATCH(B1917,'Share classes'!$B$4:$B$203,0)),""))</f>
        <v/>
      </c>
      <c r="K1917" s="30">
        <f>IF(A1917="","",IFERROR(INDEX('Holders'!$B$4:$B$1003,MATCH(A1917,'Holders'!$A$4:$A$1003,0)),""))</f>
        <v/>
      </c>
      <c r="L1917" s="30">
        <f>IF(OR(A1917="",B1917="",D1917=""),"",IF(D1917=_xlfn.MAXIFS($D$4:$D$2503,$A$4:$A$2503,A1917,$B$4:$B$2503,B1917),"Yes","No"))</f>
        <v/>
      </c>
      <c r="M1917" s="30">
        <f>IF(B1917="","",IFERROR(INDEX('Share classes'!$F$4:$F$203,MATCH(B1917,'Share classes'!$B$4:$B$203,0)),""))</f>
        <v/>
      </c>
      <c r="N1917" s="30">
        <f>IF(A1917="","",IF(K1917="","Unknown holder ID",IF(J1917="","Unknown class code",IF(OR(C1917="",D1917=""),"Missing shares or date",IF(OR(C1917&lt;0,C1917&lt;&gt;INT(C1917)),"Shares must be a whole number",IF(COUNTIFS($A$4:$A$2503,A1917,$B$4:$B$2503,B1917,$D$4:$D$2503,D1917)&gt;1,"Duplicate row (same date)","OK"))))))</f>
        <v/>
      </c>
    </row>
    <row r="1918">
      <c r="A1918" s="26" t="n"/>
      <c r="B1918" s="26" t="n"/>
      <c r="C1918" s="34" t="n"/>
      <c r="D1918" s="28" t="n"/>
      <c r="E1918" s="26" t="n"/>
      <c r="F1918" s="26" t="n"/>
      <c r="G1918" s="26" t="n"/>
      <c r="H1918" s="38" t="n"/>
      <c r="I1918" s="28" t="n"/>
      <c r="J1918" s="30">
        <f>IF(B1918="","",IFERROR(INDEX('Share classes'!$A$4:$A$203,MATCH(B1918,'Share classes'!$B$4:$B$203,0)),""))</f>
        <v/>
      </c>
      <c r="K1918" s="30">
        <f>IF(A1918="","",IFERROR(INDEX('Holders'!$B$4:$B$1003,MATCH(A1918,'Holders'!$A$4:$A$1003,0)),""))</f>
        <v/>
      </c>
      <c r="L1918" s="30">
        <f>IF(OR(A1918="",B1918="",D1918=""),"",IF(D1918=_xlfn.MAXIFS($D$4:$D$2503,$A$4:$A$2503,A1918,$B$4:$B$2503,B1918),"Yes","No"))</f>
        <v/>
      </c>
      <c r="M1918" s="30">
        <f>IF(B1918="","",IFERROR(INDEX('Share classes'!$F$4:$F$203,MATCH(B1918,'Share classes'!$B$4:$B$203,0)),""))</f>
        <v/>
      </c>
      <c r="N1918" s="30">
        <f>IF(A1918="","",IF(K1918="","Unknown holder ID",IF(J1918="","Unknown class code",IF(OR(C1918="",D1918=""),"Missing shares or date",IF(OR(C1918&lt;0,C1918&lt;&gt;INT(C1918)),"Shares must be a whole number",IF(COUNTIFS($A$4:$A$2503,A1918,$B$4:$B$2503,B1918,$D$4:$D$2503,D1918)&gt;1,"Duplicate row (same date)","OK"))))))</f>
        <v/>
      </c>
    </row>
    <row r="1919">
      <c r="A1919" s="26" t="n"/>
      <c r="B1919" s="26" t="n"/>
      <c r="C1919" s="34" t="n"/>
      <c r="D1919" s="28" t="n"/>
      <c r="E1919" s="26" t="n"/>
      <c r="F1919" s="26" t="n"/>
      <c r="G1919" s="26" t="n"/>
      <c r="H1919" s="38" t="n"/>
      <c r="I1919" s="28" t="n"/>
      <c r="J1919" s="30">
        <f>IF(B1919="","",IFERROR(INDEX('Share classes'!$A$4:$A$203,MATCH(B1919,'Share classes'!$B$4:$B$203,0)),""))</f>
        <v/>
      </c>
      <c r="K1919" s="30">
        <f>IF(A1919="","",IFERROR(INDEX('Holders'!$B$4:$B$1003,MATCH(A1919,'Holders'!$A$4:$A$1003,0)),""))</f>
        <v/>
      </c>
      <c r="L1919" s="30">
        <f>IF(OR(A1919="",B1919="",D1919=""),"",IF(D1919=_xlfn.MAXIFS($D$4:$D$2503,$A$4:$A$2503,A1919,$B$4:$B$2503,B1919),"Yes","No"))</f>
        <v/>
      </c>
      <c r="M1919" s="30">
        <f>IF(B1919="","",IFERROR(INDEX('Share classes'!$F$4:$F$203,MATCH(B1919,'Share classes'!$B$4:$B$203,0)),""))</f>
        <v/>
      </c>
      <c r="N1919" s="30">
        <f>IF(A1919="","",IF(K1919="","Unknown holder ID",IF(J1919="","Unknown class code",IF(OR(C1919="",D1919=""),"Missing shares or date",IF(OR(C1919&lt;0,C1919&lt;&gt;INT(C1919)),"Shares must be a whole number",IF(COUNTIFS($A$4:$A$2503,A1919,$B$4:$B$2503,B1919,$D$4:$D$2503,D1919)&gt;1,"Duplicate row (same date)","OK"))))))</f>
        <v/>
      </c>
    </row>
    <row r="1920">
      <c r="A1920" s="26" t="n"/>
      <c r="B1920" s="26" t="n"/>
      <c r="C1920" s="34" t="n"/>
      <c r="D1920" s="28" t="n"/>
      <c r="E1920" s="26" t="n"/>
      <c r="F1920" s="26" t="n"/>
      <c r="G1920" s="26" t="n"/>
      <c r="H1920" s="38" t="n"/>
      <c r="I1920" s="28" t="n"/>
      <c r="J1920" s="30">
        <f>IF(B1920="","",IFERROR(INDEX('Share classes'!$A$4:$A$203,MATCH(B1920,'Share classes'!$B$4:$B$203,0)),""))</f>
        <v/>
      </c>
      <c r="K1920" s="30">
        <f>IF(A1920="","",IFERROR(INDEX('Holders'!$B$4:$B$1003,MATCH(A1920,'Holders'!$A$4:$A$1003,0)),""))</f>
        <v/>
      </c>
      <c r="L1920" s="30">
        <f>IF(OR(A1920="",B1920="",D1920=""),"",IF(D1920=_xlfn.MAXIFS($D$4:$D$2503,$A$4:$A$2503,A1920,$B$4:$B$2503,B1920),"Yes","No"))</f>
        <v/>
      </c>
      <c r="M1920" s="30">
        <f>IF(B1920="","",IFERROR(INDEX('Share classes'!$F$4:$F$203,MATCH(B1920,'Share classes'!$B$4:$B$203,0)),""))</f>
        <v/>
      </c>
      <c r="N1920" s="30">
        <f>IF(A1920="","",IF(K1920="","Unknown holder ID",IF(J1920="","Unknown class code",IF(OR(C1920="",D1920=""),"Missing shares or date",IF(OR(C1920&lt;0,C1920&lt;&gt;INT(C1920)),"Shares must be a whole number",IF(COUNTIFS($A$4:$A$2503,A1920,$B$4:$B$2503,B1920,$D$4:$D$2503,D1920)&gt;1,"Duplicate row (same date)","OK"))))))</f>
        <v/>
      </c>
    </row>
    <row r="1921">
      <c r="A1921" s="26" t="n"/>
      <c r="B1921" s="26" t="n"/>
      <c r="C1921" s="34" t="n"/>
      <c r="D1921" s="28" t="n"/>
      <c r="E1921" s="26" t="n"/>
      <c r="F1921" s="26" t="n"/>
      <c r="G1921" s="26" t="n"/>
      <c r="H1921" s="38" t="n"/>
      <c r="I1921" s="28" t="n"/>
      <c r="J1921" s="30">
        <f>IF(B1921="","",IFERROR(INDEX('Share classes'!$A$4:$A$203,MATCH(B1921,'Share classes'!$B$4:$B$203,0)),""))</f>
        <v/>
      </c>
      <c r="K1921" s="30">
        <f>IF(A1921="","",IFERROR(INDEX('Holders'!$B$4:$B$1003,MATCH(A1921,'Holders'!$A$4:$A$1003,0)),""))</f>
        <v/>
      </c>
      <c r="L1921" s="30">
        <f>IF(OR(A1921="",B1921="",D1921=""),"",IF(D1921=_xlfn.MAXIFS($D$4:$D$2503,$A$4:$A$2503,A1921,$B$4:$B$2503,B1921),"Yes","No"))</f>
        <v/>
      </c>
      <c r="M1921" s="30">
        <f>IF(B1921="","",IFERROR(INDEX('Share classes'!$F$4:$F$203,MATCH(B1921,'Share classes'!$B$4:$B$203,0)),""))</f>
        <v/>
      </c>
      <c r="N1921" s="30">
        <f>IF(A1921="","",IF(K1921="","Unknown holder ID",IF(J1921="","Unknown class code",IF(OR(C1921="",D1921=""),"Missing shares or date",IF(OR(C1921&lt;0,C1921&lt;&gt;INT(C1921)),"Shares must be a whole number",IF(COUNTIFS($A$4:$A$2503,A1921,$B$4:$B$2503,B1921,$D$4:$D$2503,D1921)&gt;1,"Duplicate row (same date)","OK"))))))</f>
        <v/>
      </c>
    </row>
    <row r="1922">
      <c r="A1922" s="26" t="n"/>
      <c r="B1922" s="26" t="n"/>
      <c r="C1922" s="34" t="n"/>
      <c r="D1922" s="28" t="n"/>
      <c r="E1922" s="26" t="n"/>
      <c r="F1922" s="26" t="n"/>
      <c r="G1922" s="26" t="n"/>
      <c r="H1922" s="38" t="n"/>
      <c r="I1922" s="28" t="n"/>
      <c r="J1922" s="30">
        <f>IF(B1922="","",IFERROR(INDEX('Share classes'!$A$4:$A$203,MATCH(B1922,'Share classes'!$B$4:$B$203,0)),""))</f>
        <v/>
      </c>
      <c r="K1922" s="30">
        <f>IF(A1922="","",IFERROR(INDEX('Holders'!$B$4:$B$1003,MATCH(A1922,'Holders'!$A$4:$A$1003,0)),""))</f>
        <v/>
      </c>
      <c r="L1922" s="30">
        <f>IF(OR(A1922="",B1922="",D1922=""),"",IF(D1922=_xlfn.MAXIFS($D$4:$D$2503,$A$4:$A$2503,A1922,$B$4:$B$2503,B1922),"Yes","No"))</f>
        <v/>
      </c>
      <c r="M1922" s="30">
        <f>IF(B1922="","",IFERROR(INDEX('Share classes'!$F$4:$F$203,MATCH(B1922,'Share classes'!$B$4:$B$203,0)),""))</f>
        <v/>
      </c>
      <c r="N1922" s="30">
        <f>IF(A1922="","",IF(K1922="","Unknown holder ID",IF(J1922="","Unknown class code",IF(OR(C1922="",D1922=""),"Missing shares or date",IF(OR(C1922&lt;0,C1922&lt;&gt;INT(C1922)),"Shares must be a whole number",IF(COUNTIFS($A$4:$A$2503,A1922,$B$4:$B$2503,B1922,$D$4:$D$2503,D1922)&gt;1,"Duplicate row (same date)","OK"))))))</f>
        <v/>
      </c>
    </row>
    <row r="1923">
      <c r="A1923" s="26" t="n"/>
      <c r="B1923" s="26" t="n"/>
      <c r="C1923" s="34" t="n"/>
      <c r="D1923" s="28" t="n"/>
      <c r="E1923" s="26" t="n"/>
      <c r="F1923" s="26" t="n"/>
      <c r="G1923" s="26" t="n"/>
      <c r="H1923" s="38" t="n"/>
      <c r="I1923" s="28" t="n"/>
      <c r="J1923" s="30">
        <f>IF(B1923="","",IFERROR(INDEX('Share classes'!$A$4:$A$203,MATCH(B1923,'Share classes'!$B$4:$B$203,0)),""))</f>
        <v/>
      </c>
      <c r="K1923" s="30">
        <f>IF(A1923="","",IFERROR(INDEX('Holders'!$B$4:$B$1003,MATCH(A1923,'Holders'!$A$4:$A$1003,0)),""))</f>
        <v/>
      </c>
      <c r="L1923" s="30">
        <f>IF(OR(A1923="",B1923="",D1923=""),"",IF(D1923=_xlfn.MAXIFS($D$4:$D$2503,$A$4:$A$2503,A1923,$B$4:$B$2503,B1923),"Yes","No"))</f>
        <v/>
      </c>
      <c r="M1923" s="30">
        <f>IF(B1923="","",IFERROR(INDEX('Share classes'!$F$4:$F$203,MATCH(B1923,'Share classes'!$B$4:$B$203,0)),""))</f>
        <v/>
      </c>
      <c r="N1923" s="30">
        <f>IF(A1923="","",IF(K1923="","Unknown holder ID",IF(J1923="","Unknown class code",IF(OR(C1923="",D1923=""),"Missing shares or date",IF(OR(C1923&lt;0,C1923&lt;&gt;INT(C1923)),"Shares must be a whole number",IF(COUNTIFS($A$4:$A$2503,A1923,$B$4:$B$2503,B1923,$D$4:$D$2503,D1923)&gt;1,"Duplicate row (same date)","OK"))))))</f>
        <v/>
      </c>
    </row>
    <row r="1924">
      <c r="A1924" s="26" t="n"/>
      <c r="B1924" s="26" t="n"/>
      <c r="C1924" s="34" t="n"/>
      <c r="D1924" s="28" t="n"/>
      <c r="E1924" s="26" t="n"/>
      <c r="F1924" s="26" t="n"/>
      <c r="G1924" s="26" t="n"/>
      <c r="H1924" s="38" t="n"/>
      <c r="I1924" s="28" t="n"/>
      <c r="J1924" s="30">
        <f>IF(B1924="","",IFERROR(INDEX('Share classes'!$A$4:$A$203,MATCH(B1924,'Share classes'!$B$4:$B$203,0)),""))</f>
        <v/>
      </c>
      <c r="K1924" s="30">
        <f>IF(A1924="","",IFERROR(INDEX('Holders'!$B$4:$B$1003,MATCH(A1924,'Holders'!$A$4:$A$1003,0)),""))</f>
        <v/>
      </c>
      <c r="L1924" s="30">
        <f>IF(OR(A1924="",B1924="",D1924=""),"",IF(D1924=_xlfn.MAXIFS($D$4:$D$2503,$A$4:$A$2503,A1924,$B$4:$B$2503,B1924),"Yes","No"))</f>
        <v/>
      </c>
      <c r="M1924" s="30">
        <f>IF(B1924="","",IFERROR(INDEX('Share classes'!$F$4:$F$203,MATCH(B1924,'Share classes'!$B$4:$B$203,0)),""))</f>
        <v/>
      </c>
      <c r="N1924" s="30">
        <f>IF(A1924="","",IF(K1924="","Unknown holder ID",IF(J1924="","Unknown class code",IF(OR(C1924="",D1924=""),"Missing shares or date",IF(OR(C1924&lt;0,C1924&lt;&gt;INT(C1924)),"Shares must be a whole number",IF(COUNTIFS($A$4:$A$2503,A1924,$B$4:$B$2503,B1924,$D$4:$D$2503,D1924)&gt;1,"Duplicate row (same date)","OK"))))))</f>
        <v/>
      </c>
    </row>
    <row r="1925">
      <c r="A1925" s="26" t="n"/>
      <c r="B1925" s="26" t="n"/>
      <c r="C1925" s="34" t="n"/>
      <c r="D1925" s="28" t="n"/>
      <c r="E1925" s="26" t="n"/>
      <c r="F1925" s="26" t="n"/>
      <c r="G1925" s="26" t="n"/>
      <c r="H1925" s="38" t="n"/>
      <c r="I1925" s="28" t="n"/>
      <c r="J1925" s="30">
        <f>IF(B1925="","",IFERROR(INDEX('Share classes'!$A$4:$A$203,MATCH(B1925,'Share classes'!$B$4:$B$203,0)),""))</f>
        <v/>
      </c>
      <c r="K1925" s="30">
        <f>IF(A1925="","",IFERROR(INDEX('Holders'!$B$4:$B$1003,MATCH(A1925,'Holders'!$A$4:$A$1003,0)),""))</f>
        <v/>
      </c>
      <c r="L1925" s="30">
        <f>IF(OR(A1925="",B1925="",D1925=""),"",IF(D1925=_xlfn.MAXIFS($D$4:$D$2503,$A$4:$A$2503,A1925,$B$4:$B$2503,B1925),"Yes","No"))</f>
        <v/>
      </c>
      <c r="M1925" s="30">
        <f>IF(B1925="","",IFERROR(INDEX('Share classes'!$F$4:$F$203,MATCH(B1925,'Share classes'!$B$4:$B$203,0)),""))</f>
        <v/>
      </c>
      <c r="N1925" s="30">
        <f>IF(A1925="","",IF(K1925="","Unknown holder ID",IF(J1925="","Unknown class code",IF(OR(C1925="",D1925=""),"Missing shares or date",IF(OR(C1925&lt;0,C1925&lt;&gt;INT(C1925)),"Shares must be a whole number",IF(COUNTIFS($A$4:$A$2503,A1925,$B$4:$B$2503,B1925,$D$4:$D$2503,D1925)&gt;1,"Duplicate row (same date)","OK"))))))</f>
        <v/>
      </c>
    </row>
    <row r="1926">
      <c r="A1926" s="26" t="n"/>
      <c r="B1926" s="26" t="n"/>
      <c r="C1926" s="34" t="n"/>
      <c r="D1926" s="28" t="n"/>
      <c r="E1926" s="26" t="n"/>
      <c r="F1926" s="26" t="n"/>
      <c r="G1926" s="26" t="n"/>
      <c r="H1926" s="38" t="n"/>
      <c r="I1926" s="28" t="n"/>
      <c r="J1926" s="30">
        <f>IF(B1926="","",IFERROR(INDEX('Share classes'!$A$4:$A$203,MATCH(B1926,'Share classes'!$B$4:$B$203,0)),""))</f>
        <v/>
      </c>
      <c r="K1926" s="30">
        <f>IF(A1926="","",IFERROR(INDEX('Holders'!$B$4:$B$1003,MATCH(A1926,'Holders'!$A$4:$A$1003,0)),""))</f>
        <v/>
      </c>
      <c r="L1926" s="30">
        <f>IF(OR(A1926="",B1926="",D1926=""),"",IF(D1926=_xlfn.MAXIFS($D$4:$D$2503,$A$4:$A$2503,A1926,$B$4:$B$2503,B1926),"Yes","No"))</f>
        <v/>
      </c>
      <c r="M1926" s="30">
        <f>IF(B1926="","",IFERROR(INDEX('Share classes'!$F$4:$F$203,MATCH(B1926,'Share classes'!$B$4:$B$203,0)),""))</f>
        <v/>
      </c>
      <c r="N1926" s="30">
        <f>IF(A1926="","",IF(K1926="","Unknown holder ID",IF(J1926="","Unknown class code",IF(OR(C1926="",D1926=""),"Missing shares or date",IF(OR(C1926&lt;0,C1926&lt;&gt;INT(C1926)),"Shares must be a whole number",IF(COUNTIFS($A$4:$A$2503,A1926,$B$4:$B$2503,B1926,$D$4:$D$2503,D1926)&gt;1,"Duplicate row (same date)","OK"))))))</f>
        <v/>
      </c>
    </row>
    <row r="1927">
      <c r="A1927" s="26" t="n"/>
      <c r="B1927" s="26" t="n"/>
      <c r="C1927" s="34" t="n"/>
      <c r="D1927" s="28" t="n"/>
      <c r="E1927" s="26" t="n"/>
      <c r="F1927" s="26" t="n"/>
      <c r="G1927" s="26" t="n"/>
      <c r="H1927" s="38" t="n"/>
      <c r="I1927" s="28" t="n"/>
      <c r="J1927" s="30">
        <f>IF(B1927="","",IFERROR(INDEX('Share classes'!$A$4:$A$203,MATCH(B1927,'Share classes'!$B$4:$B$203,0)),""))</f>
        <v/>
      </c>
      <c r="K1927" s="30">
        <f>IF(A1927="","",IFERROR(INDEX('Holders'!$B$4:$B$1003,MATCH(A1927,'Holders'!$A$4:$A$1003,0)),""))</f>
        <v/>
      </c>
      <c r="L1927" s="30">
        <f>IF(OR(A1927="",B1927="",D1927=""),"",IF(D1927=_xlfn.MAXIFS($D$4:$D$2503,$A$4:$A$2503,A1927,$B$4:$B$2503,B1927),"Yes","No"))</f>
        <v/>
      </c>
      <c r="M1927" s="30">
        <f>IF(B1927="","",IFERROR(INDEX('Share classes'!$F$4:$F$203,MATCH(B1927,'Share classes'!$B$4:$B$203,0)),""))</f>
        <v/>
      </c>
      <c r="N1927" s="30">
        <f>IF(A1927="","",IF(K1927="","Unknown holder ID",IF(J1927="","Unknown class code",IF(OR(C1927="",D1927=""),"Missing shares or date",IF(OR(C1927&lt;0,C1927&lt;&gt;INT(C1927)),"Shares must be a whole number",IF(COUNTIFS($A$4:$A$2503,A1927,$B$4:$B$2503,B1927,$D$4:$D$2503,D1927)&gt;1,"Duplicate row (same date)","OK"))))))</f>
        <v/>
      </c>
    </row>
    <row r="1928">
      <c r="A1928" s="26" t="n"/>
      <c r="B1928" s="26" t="n"/>
      <c r="C1928" s="34" t="n"/>
      <c r="D1928" s="28" t="n"/>
      <c r="E1928" s="26" t="n"/>
      <c r="F1928" s="26" t="n"/>
      <c r="G1928" s="26" t="n"/>
      <c r="H1928" s="38" t="n"/>
      <c r="I1928" s="28" t="n"/>
      <c r="J1928" s="30">
        <f>IF(B1928="","",IFERROR(INDEX('Share classes'!$A$4:$A$203,MATCH(B1928,'Share classes'!$B$4:$B$203,0)),""))</f>
        <v/>
      </c>
      <c r="K1928" s="30">
        <f>IF(A1928="","",IFERROR(INDEX('Holders'!$B$4:$B$1003,MATCH(A1928,'Holders'!$A$4:$A$1003,0)),""))</f>
        <v/>
      </c>
      <c r="L1928" s="30">
        <f>IF(OR(A1928="",B1928="",D1928=""),"",IF(D1928=_xlfn.MAXIFS($D$4:$D$2503,$A$4:$A$2503,A1928,$B$4:$B$2503,B1928),"Yes","No"))</f>
        <v/>
      </c>
      <c r="M1928" s="30">
        <f>IF(B1928="","",IFERROR(INDEX('Share classes'!$F$4:$F$203,MATCH(B1928,'Share classes'!$B$4:$B$203,0)),""))</f>
        <v/>
      </c>
      <c r="N1928" s="30">
        <f>IF(A1928="","",IF(K1928="","Unknown holder ID",IF(J1928="","Unknown class code",IF(OR(C1928="",D1928=""),"Missing shares or date",IF(OR(C1928&lt;0,C1928&lt;&gt;INT(C1928)),"Shares must be a whole number",IF(COUNTIFS($A$4:$A$2503,A1928,$B$4:$B$2503,B1928,$D$4:$D$2503,D1928)&gt;1,"Duplicate row (same date)","OK"))))))</f>
        <v/>
      </c>
    </row>
    <row r="1929">
      <c r="A1929" s="26" t="n"/>
      <c r="B1929" s="26" t="n"/>
      <c r="C1929" s="34" t="n"/>
      <c r="D1929" s="28" t="n"/>
      <c r="E1929" s="26" t="n"/>
      <c r="F1929" s="26" t="n"/>
      <c r="G1929" s="26" t="n"/>
      <c r="H1929" s="38" t="n"/>
      <c r="I1929" s="28" t="n"/>
      <c r="J1929" s="30">
        <f>IF(B1929="","",IFERROR(INDEX('Share classes'!$A$4:$A$203,MATCH(B1929,'Share classes'!$B$4:$B$203,0)),""))</f>
        <v/>
      </c>
      <c r="K1929" s="30">
        <f>IF(A1929="","",IFERROR(INDEX('Holders'!$B$4:$B$1003,MATCH(A1929,'Holders'!$A$4:$A$1003,0)),""))</f>
        <v/>
      </c>
      <c r="L1929" s="30">
        <f>IF(OR(A1929="",B1929="",D1929=""),"",IF(D1929=_xlfn.MAXIFS($D$4:$D$2503,$A$4:$A$2503,A1929,$B$4:$B$2503,B1929),"Yes","No"))</f>
        <v/>
      </c>
      <c r="M1929" s="30">
        <f>IF(B1929="","",IFERROR(INDEX('Share classes'!$F$4:$F$203,MATCH(B1929,'Share classes'!$B$4:$B$203,0)),""))</f>
        <v/>
      </c>
      <c r="N1929" s="30">
        <f>IF(A1929="","",IF(K1929="","Unknown holder ID",IF(J1929="","Unknown class code",IF(OR(C1929="",D1929=""),"Missing shares or date",IF(OR(C1929&lt;0,C1929&lt;&gt;INT(C1929)),"Shares must be a whole number",IF(COUNTIFS($A$4:$A$2503,A1929,$B$4:$B$2503,B1929,$D$4:$D$2503,D1929)&gt;1,"Duplicate row (same date)","OK"))))))</f>
        <v/>
      </c>
    </row>
    <row r="1930">
      <c r="A1930" s="26" t="n"/>
      <c r="B1930" s="26" t="n"/>
      <c r="C1930" s="34" t="n"/>
      <c r="D1930" s="28" t="n"/>
      <c r="E1930" s="26" t="n"/>
      <c r="F1930" s="26" t="n"/>
      <c r="G1930" s="26" t="n"/>
      <c r="H1930" s="38" t="n"/>
      <c r="I1930" s="28" t="n"/>
      <c r="J1930" s="30">
        <f>IF(B1930="","",IFERROR(INDEX('Share classes'!$A$4:$A$203,MATCH(B1930,'Share classes'!$B$4:$B$203,0)),""))</f>
        <v/>
      </c>
      <c r="K1930" s="30">
        <f>IF(A1930="","",IFERROR(INDEX('Holders'!$B$4:$B$1003,MATCH(A1930,'Holders'!$A$4:$A$1003,0)),""))</f>
        <v/>
      </c>
      <c r="L1930" s="30">
        <f>IF(OR(A1930="",B1930="",D1930=""),"",IF(D1930=_xlfn.MAXIFS($D$4:$D$2503,$A$4:$A$2503,A1930,$B$4:$B$2503,B1930),"Yes","No"))</f>
        <v/>
      </c>
      <c r="M1930" s="30">
        <f>IF(B1930="","",IFERROR(INDEX('Share classes'!$F$4:$F$203,MATCH(B1930,'Share classes'!$B$4:$B$203,0)),""))</f>
        <v/>
      </c>
      <c r="N1930" s="30">
        <f>IF(A1930="","",IF(K1930="","Unknown holder ID",IF(J1930="","Unknown class code",IF(OR(C1930="",D1930=""),"Missing shares or date",IF(OR(C1930&lt;0,C1930&lt;&gt;INT(C1930)),"Shares must be a whole number",IF(COUNTIFS($A$4:$A$2503,A1930,$B$4:$B$2503,B1930,$D$4:$D$2503,D1930)&gt;1,"Duplicate row (same date)","OK"))))))</f>
        <v/>
      </c>
    </row>
    <row r="1931">
      <c r="A1931" s="26" t="n"/>
      <c r="B1931" s="26" t="n"/>
      <c r="C1931" s="34" t="n"/>
      <c r="D1931" s="28" t="n"/>
      <c r="E1931" s="26" t="n"/>
      <c r="F1931" s="26" t="n"/>
      <c r="G1931" s="26" t="n"/>
      <c r="H1931" s="38" t="n"/>
      <c r="I1931" s="28" t="n"/>
      <c r="J1931" s="30">
        <f>IF(B1931="","",IFERROR(INDEX('Share classes'!$A$4:$A$203,MATCH(B1931,'Share classes'!$B$4:$B$203,0)),""))</f>
        <v/>
      </c>
      <c r="K1931" s="30">
        <f>IF(A1931="","",IFERROR(INDEX('Holders'!$B$4:$B$1003,MATCH(A1931,'Holders'!$A$4:$A$1003,0)),""))</f>
        <v/>
      </c>
      <c r="L1931" s="30">
        <f>IF(OR(A1931="",B1931="",D1931=""),"",IF(D1931=_xlfn.MAXIFS($D$4:$D$2503,$A$4:$A$2503,A1931,$B$4:$B$2503,B1931),"Yes","No"))</f>
        <v/>
      </c>
      <c r="M1931" s="30">
        <f>IF(B1931="","",IFERROR(INDEX('Share classes'!$F$4:$F$203,MATCH(B1931,'Share classes'!$B$4:$B$203,0)),""))</f>
        <v/>
      </c>
      <c r="N1931" s="30">
        <f>IF(A1931="","",IF(K1931="","Unknown holder ID",IF(J1931="","Unknown class code",IF(OR(C1931="",D1931=""),"Missing shares or date",IF(OR(C1931&lt;0,C1931&lt;&gt;INT(C1931)),"Shares must be a whole number",IF(COUNTIFS($A$4:$A$2503,A1931,$B$4:$B$2503,B1931,$D$4:$D$2503,D1931)&gt;1,"Duplicate row (same date)","OK"))))))</f>
        <v/>
      </c>
    </row>
    <row r="1932">
      <c r="A1932" s="26" t="n"/>
      <c r="B1932" s="26" t="n"/>
      <c r="C1932" s="34" t="n"/>
      <c r="D1932" s="28" t="n"/>
      <c r="E1932" s="26" t="n"/>
      <c r="F1932" s="26" t="n"/>
      <c r="G1932" s="26" t="n"/>
      <c r="H1932" s="38" t="n"/>
      <c r="I1932" s="28" t="n"/>
      <c r="J1932" s="30">
        <f>IF(B1932="","",IFERROR(INDEX('Share classes'!$A$4:$A$203,MATCH(B1932,'Share classes'!$B$4:$B$203,0)),""))</f>
        <v/>
      </c>
      <c r="K1932" s="30">
        <f>IF(A1932="","",IFERROR(INDEX('Holders'!$B$4:$B$1003,MATCH(A1932,'Holders'!$A$4:$A$1003,0)),""))</f>
        <v/>
      </c>
      <c r="L1932" s="30">
        <f>IF(OR(A1932="",B1932="",D1932=""),"",IF(D1932=_xlfn.MAXIFS($D$4:$D$2503,$A$4:$A$2503,A1932,$B$4:$B$2503,B1932),"Yes","No"))</f>
        <v/>
      </c>
      <c r="M1932" s="30">
        <f>IF(B1932="","",IFERROR(INDEX('Share classes'!$F$4:$F$203,MATCH(B1932,'Share classes'!$B$4:$B$203,0)),""))</f>
        <v/>
      </c>
      <c r="N1932" s="30">
        <f>IF(A1932="","",IF(K1932="","Unknown holder ID",IF(J1932="","Unknown class code",IF(OR(C1932="",D1932=""),"Missing shares or date",IF(OR(C1932&lt;0,C1932&lt;&gt;INT(C1932)),"Shares must be a whole number",IF(COUNTIFS($A$4:$A$2503,A1932,$B$4:$B$2503,B1932,$D$4:$D$2503,D1932)&gt;1,"Duplicate row (same date)","OK"))))))</f>
        <v/>
      </c>
    </row>
    <row r="1933">
      <c r="A1933" s="26" t="n"/>
      <c r="B1933" s="26" t="n"/>
      <c r="C1933" s="34" t="n"/>
      <c r="D1933" s="28" t="n"/>
      <c r="E1933" s="26" t="n"/>
      <c r="F1933" s="26" t="n"/>
      <c r="G1933" s="26" t="n"/>
      <c r="H1933" s="38" t="n"/>
      <c r="I1933" s="28" t="n"/>
      <c r="J1933" s="30">
        <f>IF(B1933="","",IFERROR(INDEX('Share classes'!$A$4:$A$203,MATCH(B1933,'Share classes'!$B$4:$B$203,0)),""))</f>
        <v/>
      </c>
      <c r="K1933" s="30">
        <f>IF(A1933="","",IFERROR(INDEX('Holders'!$B$4:$B$1003,MATCH(A1933,'Holders'!$A$4:$A$1003,0)),""))</f>
        <v/>
      </c>
      <c r="L1933" s="30">
        <f>IF(OR(A1933="",B1933="",D1933=""),"",IF(D1933=_xlfn.MAXIFS($D$4:$D$2503,$A$4:$A$2503,A1933,$B$4:$B$2503,B1933),"Yes","No"))</f>
        <v/>
      </c>
      <c r="M1933" s="30">
        <f>IF(B1933="","",IFERROR(INDEX('Share classes'!$F$4:$F$203,MATCH(B1933,'Share classes'!$B$4:$B$203,0)),""))</f>
        <v/>
      </c>
      <c r="N1933" s="30">
        <f>IF(A1933="","",IF(K1933="","Unknown holder ID",IF(J1933="","Unknown class code",IF(OR(C1933="",D1933=""),"Missing shares or date",IF(OR(C1933&lt;0,C1933&lt;&gt;INT(C1933)),"Shares must be a whole number",IF(COUNTIFS($A$4:$A$2503,A1933,$B$4:$B$2503,B1933,$D$4:$D$2503,D1933)&gt;1,"Duplicate row (same date)","OK"))))))</f>
        <v/>
      </c>
    </row>
    <row r="1934">
      <c r="A1934" s="26" t="n"/>
      <c r="B1934" s="26" t="n"/>
      <c r="C1934" s="34" t="n"/>
      <c r="D1934" s="28" t="n"/>
      <c r="E1934" s="26" t="n"/>
      <c r="F1934" s="26" t="n"/>
      <c r="G1934" s="26" t="n"/>
      <c r="H1934" s="38" t="n"/>
      <c r="I1934" s="28" t="n"/>
      <c r="J1934" s="30">
        <f>IF(B1934="","",IFERROR(INDEX('Share classes'!$A$4:$A$203,MATCH(B1934,'Share classes'!$B$4:$B$203,0)),""))</f>
        <v/>
      </c>
      <c r="K1934" s="30">
        <f>IF(A1934="","",IFERROR(INDEX('Holders'!$B$4:$B$1003,MATCH(A1934,'Holders'!$A$4:$A$1003,0)),""))</f>
        <v/>
      </c>
      <c r="L1934" s="30">
        <f>IF(OR(A1934="",B1934="",D1934=""),"",IF(D1934=_xlfn.MAXIFS($D$4:$D$2503,$A$4:$A$2503,A1934,$B$4:$B$2503,B1934),"Yes","No"))</f>
        <v/>
      </c>
      <c r="M1934" s="30">
        <f>IF(B1934="","",IFERROR(INDEX('Share classes'!$F$4:$F$203,MATCH(B1934,'Share classes'!$B$4:$B$203,0)),""))</f>
        <v/>
      </c>
      <c r="N1934" s="30">
        <f>IF(A1934="","",IF(K1934="","Unknown holder ID",IF(J1934="","Unknown class code",IF(OR(C1934="",D1934=""),"Missing shares or date",IF(OR(C1934&lt;0,C1934&lt;&gt;INT(C1934)),"Shares must be a whole number",IF(COUNTIFS($A$4:$A$2503,A1934,$B$4:$B$2503,B1934,$D$4:$D$2503,D1934)&gt;1,"Duplicate row (same date)","OK"))))))</f>
        <v/>
      </c>
    </row>
    <row r="1935">
      <c r="A1935" s="26" t="n"/>
      <c r="B1935" s="26" t="n"/>
      <c r="C1935" s="34" t="n"/>
      <c r="D1935" s="28" t="n"/>
      <c r="E1935" s="26" t="n"/>
      <c r="F1935" s="26" t="n"/>
      <c r="G1935" s="26" t="n"/>
      <c r="H1935" s="38" t="n"/>
      <c r="I1935" s="28" t="n"/>
      <c r="J1935" s="30">
        <f>IF(B1935="","",IFERROR(INDEX('Share classes'!$A$4:$A$203,MATCH(B1935,'Share classes'!$B$4:$B$203,0)),""))</f>
        <v/>
      </c>
      <c r="K1935" s="30">
        <f>IF(A1935="","",IFERROR(INDEX('Holders'!$B$4:$B$1003,MATCH(A1935,'Holders'!$A$4:$A$1003,0)),""))</f>
        <v/>
      </c>
      <c r="L1935" s="30">
        <f>IF(OR(A1935="",B1935="",D1935=""),"",IF(D1935=_xlfn.MAXIFS($D$4:$D$2503,$A$4:$A$2503,A1935,$B$4:$B$2503,B1935),"Yes","No"))</f>
        <v/>
      </c>
      <c r="M1935" s="30">
        <f>IF(B1935="","",IFERROR(INDEX('Share classes'!$F$4:$F$203,MATCH(B1935,'Share classes'!$B$4:$B$203,0)),""))</f>
        <v/>
      </c>
      <c r="N1935" s="30">
        <f>IF(A1935="","",IF(K1935="","Unknown holder ID",IF(J1935="","Unknown class code",IF(OR(C1935="",D1935=""),"Missing shares or date",IF(OR(C1935&lt;0,C1935&lt;&gt;INT(C1935)),"Shares must be a whole number",IF(COUNTIFS($A$4:$A$2503,A1935,$B$4:$B$2503,B1935,$D$4:$D$2503,D1935)&gt;1,"Duplicate row (same date)","OK"))))))</f>
        <v/>
      </c>
    </row>
    <row r="1936">
      <c r="A1936" s="26" t="n"/>
      <c r="B1936" s="26" t="n"/>
      <c r="C1936" s="34" t="n"/>
      <c r="D1936" s="28" t="n"/>
      <c r="E1936" s="26" t="n"/>
      <c r="F1936" s="26" t="n"/>
      <c r="G1936" s="26" t="n"/>
      <c r="H1936" s="38" t="n"/>
      <c r="I1936" s="28" t="n"/>
      <c r="J1936" s="30">
        <f>IF(B1936="","",IFERROR(INDEX('Share classes'!$A$4:$A$203,MATCH(B1936,'Share classes'!$B$4:$B$203,0)),""))</f>
        <v/>
      </c>
      <c r="K1936" s="30">
        <f>IF(A1936="","",IFERROR(INDEX('Holders'!$B$4:$B$1003,MATCH(A1936,'Holders'!$A$4:$A$1003,0)),""))</f>
        <v/>
      </c>
      <c r="L1936" s="30">
        <f>IF(OR(A1936="",B1936="",D1936=""),"",IF(D1936=_xlfn.MAXIFS($D$4:$D$2503,$A$4:$A$2503,A1936,$B$4:$B$2503,B1936),"Yes","No"))</f>
        <v/>
      </c>
      <c r="M1936" s="30">
        <f>IF(B1936="","",IFERROR(INDEX('Share classes'!$F$4:$F$203,MATCH(B1936,'Share classes'!$B$4:$B$203,0)),""))</f>
        <v/>
      </c>
      <c r="N1936" s="30">
        <f>IF(A1936="","",IF(K1936="","Unknown holder ID",IF(J1936="","Unknown class code",IF(OR(C1936="",D1936=""),"Missing shares or date",IF(OR(C1936&lt;0,C1936&lt;&gt;INT(C1936)),"Shares must be a whole number",IF(COUNTIFS($A$4:$A$2503,A1936,$B$4:$B$2503,B1936,$D$4:$D$2503,D1936)&gt;1,"Duplicate row (same date)","OK"))))))</f>
        <v/>
      </c>
    </row>
    <row r="1937">
      <c r="A1937" s="26" t="n"/>
      <c r="B1937" s="26" t="n"/>
      <c r="C1937" s="34" t="n"/>
      <c r="D1937" s="28" t="n"/>
      <c r="E1937" s="26" t="n"/>
      <c r="F1937" s="26" t="n"/>
      <c r="G1937" s="26" t="n"/>
      <c r="H1937" s="38" t="n"/>
      <c r="I1937" s="28" t="n"/>
      <c r="J1937" s="30">
        <f>IF(B1937="","",IFERROR(INDEX('Share classes'!$A$4:$A$203,MATCH(B1937,'Share classes'!$B$4:$B$203,0)),""))</f>
        <v/>
      </c>
      <c r="K1937" s="30">
        <f>IF(A1937="","",IFERROR(INDEX('Holders'!$B$4:$B$1003,MATCH(A1937,'Holders'!$A$4:$A$1003,0)),""))</f>
        <v/>
      </c>
      <c r="L1937" s="30">
        <f>IF(OR(A1937="",B1937="",D1937=""),"",IF(D1937=_xlfn.MAXIFS($D$4:$D$2503,$A$4:$A$2503,A1937,$B$4:$B$2503,B1937),"Yes","No"))</f>
        <v/>
      </c>
      <c r="M1937" s="30">
        <f>IF(B1937="","",IFERROR(INDEX('Share classes'!$F$4:$F$203,MATCH(B1937,'Share classes'!$B$4:$B$203,0)),""))</f>
        <v/>
      </c>
      <c r="N1937" s="30">
        <f>IF(A1937="","",IF(K1937="","Unknown holder ID",IF(J1937="","Unknown class code",IF(OR(C1937="",D1937=""),"Missing shares or date",IF(OR(C1937&lt;0,C1937&lt;&gt;INT(C1937)),"Shares must be a whole number",IF(COUNTIFS($A$4:$A$2503,A1937,$B$4:$B$2503,B1937,$D$4:$D$2503,D1937)&gt;1,"Duplicate row (same date)","OK"))))))</f>
        <v/>
      </c>
    </row>
    <row r="1938">
      <c r="A1938" s="26" t="n"/>
      <c r="B1938" s="26" t="n"/>
      <c r="C1938" s="34" t="n"/>
      <c r="D1938" s="28" t="n"/>
      <c r="E1938" s="26" t="n"/>
      <c r="F1938" s="26" t="n"/>
      <c r="G1938" s="26" t="n"/>
      <c r="H1938" s="38" t="n"/>
      <c r="I1938" s="28" t="n"/>
      <c r="J1938" s="30">
        <f>IF(B1938="","",IFERROR(INDEX('Share classes'!$A$4:$A$203,MATCH(B1938,'Share classes'!$B$4:$B$203,0)),""))</f>
        <v/>
      </c>
      <c r="K1938" s="30">
        <f>IF(A1938="","",IFERROR(INDEX('Holders'!$B$4:$B$1003,MATCH(A1938,'Holders'!$A$4:$A$1003,0)),""))</f>
        <v/>
      </c>
      <c r="L1938" s="30">
        <f>IF(OR(A1938="",B1938="",D1938=""),"",IF(D1938=_xlfn.MAXIFS($D$4:$D$2503,$A$4:$A$2503,A1938,$B$4:$B$2503,B1938),"Yes","No"))</f>
        <v/>
      </c>
      <c r="M1938" s="30">
        <f>IF(B1938="","",IFERROR(INDEX('Share classes'!$F$4:$F$203,MATCH(B1938,'Share classes'!$B$4:$B$203,0)),""))</f>
        <v/>
      </c>
      <c r="N1938" s="30">
        <f>IF(A1938="","",IF(K1938="","Unknown holder ID",IF(J1938="","Unknown class code",IF(OR(C1938="",D1938=""),"Missing shares or date",IF(OR(C1938&lt;0,C1938&lt;&gt;INT(C1938)),"Shares must be a whole number",IF(COUNTIFS($A$4:$A$2503,A1938,$B$4:$B$2503,B1938,$D$4:$D$2503,D1938)&gt;1,"Duplicate row (same date)","OK"))))))</f>
        <v/>
      </c>
    </row>
    <row r="1939">
      <c r="A1939" s="26" t="n"/>
      <c r="B1939" s="26" t="n"/>
      <c r="C1939" s="34" t="n"/>
      <c r="D1939" s="28" t="n"/>
      <c r="E1939" s="26" t="n"/>
      <c r="F1939" s="26" t="n"/>
      <c r="G1939" s="26" t="n"/>
      <c r="H1939" s="38" t="n"/>
      <c r="I1939" s="28" t="n"/>
      <c r="J1939" s="30">
        <f>IF(B1939="","",IFERROR(INDEX('Share classes'!$A$4:$A$203,MATCH(B1939,'Share classes'!$B$4:$B$203,0)),""))</f>
        <v/>
      </c>
      <c r="K1939" s="30">
        <f>IF(A1939="","",IFERROR(INDEX('Holders'!$B$4:$B$1003,MATCH(A1939,'Holders'!$A$4:$A$1003,0)),""))</f>
        <v/>
      </c>
      <c r="L1939" s="30">
        <f>IF(OR(A1939="",B1939="",D1939=""),"",IF(D1939=_xlfn.MAXIFS($D$4:$D$2503,$A$4:$A$2503,A1939,$B$4:$B$2503,B1939),"Yes","No"))</f>
        <v/>
      </c>
      <c r="M1939" s="30">
        <f>IF(B1939="","",IFERROR(INDEX('Share classes'!$F$4:$F$203,MATCH(B1939,'Share classes'!$B$4:$B$203,0)),""))</f>
        <v/>
      </c>
      <c r="N1939" s="30">
        <f>IF(A1939="","",IF(K1939="","Unknown holder ID",IF(J1939="","Unknown class code",IF(OR(C1939="",D1939=""),"Missing shares or date",IF(OR(C1939&lt;0,C1939&lt;&gt;INT(C1939)),"Shares must be a whole number",IF(COUNTIFS($A$4:$A$2503,A1939,$B$4:$B$2503,B1939,$D$4:$D$2503,D1939)&gt;1,"Duplicate row (same date)","OK"))))))</f>
        <v/>
      </c>
    </row>
    <row r="1940">
      <c r="A1940" s="26" t="n"/>
      <c r="B1940" s="26" t="n"/>
      <c r="C1940" s="34" t="n"/>
      <c r="D1940" s="28" t="n"/>
      <c r="E1940" s="26" t="n"/>
      <c r="F1940" s="26" t="n"/>
      <c r="G1940" s="26" t="n"/>
      <c r="H1940" s="38" t="n"/>
      <c r="I1940" s="28" t="n"/>
      <c r="J1940" s="30">
        <f>IF(B1940="","",IFERROR(INDEX('Share classes'!$A$4:$A$203,MATCH(B1940,'Share classes'!$B$4:$B$203,0)),""))</f>
        <v/>
      </c>
      <c r="K1940" s="30">
        <f>IF(A1940="","",IFERROR(INDEX('Holders'!$B$4:$B$1003,MATCH(A1940,'Holders'!$A$4:$A$1003,0)),""))</f>
        <v/>
      </c>
      <c r="L1940" s="30">
        <f>IF(OR(A1940="",B1940="",D1940=""),"",IF(D1940=_xlfn.MAXIFS($D$4:$D$2503,$A$4:$A$2503,A1940,$B$4:$B$2503,B1940),"Yes","No"))</f>
        <v/>
      </c>
      <c r="M1940" s="30">
        <f>IF(B1940="","",IFERROR(INDEX('Share classes'!$F$4:$F$203,MATCH(B1940,'Share classes'!$B$4:$B$203,0)),""))</f>
        <v/>
      </c>
      <c r="N1940" s="30">
        <f>IF(A1940="","",IF(K1940="","Unknown holder ID",IF(J1940="","Unknown class code",IF(OR(C1940="",D1940=""),"Missing shares or date",IF(OR(C1940&lt;0,C1940&lt;&gt;INT(C1940)),"Shares must be a whole number",IF(COUNTIFS($A$4:$A$2503,A1940,$B$4:$B$2503,B1940,$D$4:$D$2503,D1940)&gt;1,"Duplicate row (same date)","OK"))))))</f>
        <v/>
      </c>
    </row>
    <row r="1941">
      <c r="A1941" s="26" t="n"/>
      <c r="B1941" s="26" t="n"/>
      <c r="C1941" s="34" t="n"/>
      <c r="D1941" s="28" t="n"/>
      <c r="E1941" s="26" t="n"/>
      <c r="F1941" s="26" t="n"/>
      <c r="G1941" s="26" t="n"/>
      <c r="H1941" s="38" t="n"/>
      <c r="I1941" s="28" t="n"/>
      <c r="J1941" s="30">
        <f>IF(B1941="","",IFERROR(INDEX('Share classes'!$A$4:$A$203,MATCH(B1941,'Share classes'!$B$4:$B$203,0)),""))</f>
        <v/>
      </c>
      <c r="K1941" s="30">
        <f>IF(A1941="","",IFERROR(INDEX('Holders'!$B$4:$B$1003,MATCH(A1941,'Holders'!$A$4:$A$1003,0)),""))</f>
        <v/>
      </c>
      <c r="L1941" s="30">
        <f>IF(OR(A1941="",B1941="",D1941=""),"",IF(D1941=_xlfn.MAXIFS($D$4:$D$2503,$A$4:$A$2503,A1941,$B$4:$B$2503,B1941),"Yes","No"))</f>
        <v/>
      </c>
      <c r="M1941" s="30">
        <f>IF(B1941="","",IFERROR(INDEX('Share classes'!$F$4:$F$203,MATCH(B1941,'Share classes'!$B$4:$B$203,0)),""))</f>
        <v/>
      </c>
      <c r="N1941" s="30">
        <f>IF(A1941="","",IF(K1941="","Unknown holder ID",IF(J1941="","Unknown class code",IF(OR(C1941="",D1941=""),"Missing shares or date",IF(OR(C1941&lt;0,C1941&lt;&gt;INT(C1941)),"Shares must be a whole number",IF(COUNTIFS($A$4:$A$2503,A1941,$B$4:$B$2503,B1941,$D$4:$D$2503,D1941)&gt;1,"Duplicate row (same date)","OK"))))))</f>
        <v/>
      </c>
    </row>
    <row r="1942">
      <c r="A1942" s="26" t="n"/>
      <c r="B1942" s="26" t="n"/>
      <c r="C1942" s="34" t="n"/>
      <c r="D1942" s="28" t="n"/>
      <c r="E1942" s="26" t="n"/>
      <c r="F1942" s="26" t="n"/>
      <c r="G1942" s="26" t="n"/>
      <c r="H1942" s="38" t="n"/>
      <c r="I1942" s="28" t="n"/>
      <c r="J1942" s="30">
        <f>IF(B1942="","",IFERROR(INDEX('Share classes'!$A$4:$A$203,MATCH(B1942,'Share classes'!$B$4:$B$203,0)),""))</f>
        <v/>
      </c>
      <c r="K1942" s="30">
        <f>IF(A1942="","",IFERROR(INDEX('Holders'!$B$4:$B$1003,MATCH(A1942,'Holders'!$A$4:$A$1003,0)),""))</f>
        <v/>
      </c>
      <c r="L1942" s="30">
        <f>IF(OR(A1942="",B1942="",D1942=""),"",IF(D1942=_xlfn.MAXIFS($D$4:$D$2503,$A$4:$A$2503,A1942,$B$4:$B$2503,B1942),"Yes","No"))</f>
        <v/>
      </c>
      <c r="M1942" s="30">
        <f>IF(B1942="","",IFERROR(INDEX('Share classes'!$F$4:$F$203,MATCH(B1942,'Share classes'!$B$4:$B$203,0)),""))</f>
        <v/>
      </c>
      <c r="N1942" s="30">
        <f>IF(A1942="","",IF(K1942="","Unknown holder ID",IF(J1942="","Unknown class code",IF(OR(C1942="",D1942=""),"Missing shares or date",IF(OR(C1942&lt;0,C1942&lt;&gt;INT(C1942)),"Shares must be a whole number",IF(COUNTIFS($A$4:$A$2503,A1942,$B$4:$B$2503,B1942,$D$4:$D$2503,D1942)&gt;1,"Duplicate row (same date)","OK"))))))</f>
        <v/>
      </c>
    </row>
    <row r="1943">
      <c r="A1943" s="26" t="n"/>
      <c r="B1943" s="26" t="n"/>
      <c r="C1943" s="34" t="n"/>
      <c r="D1943" s="28" t="n"/>
      <c r="E1943" s="26" t="n"/>
      <c r="F1943" s="26" t="n"/>
      <c r="G1943" s="26" t="n"/>
      <c r="H1943" s="38" t="n"/>
      <c r="I1943" s="28" t="n"/>
      <c r="J1943" s="30">
        <f>IF(B1943="","",IFERROR(INDEX('Share classes'!$A$4:$A$203,MATCH(B1943,'Share classes'!$B$4:$B$203,0)),""))</f>
        <v/>
      </c>
      <c r="K1943" s="30">
        <f>IF(A1943="","",IFERROR(INDEX('Holders'!$B$4:$B$1003,MATCH(A1943,'Holders'!$A$4:$A$1003,0)),""))</f>
        <v/>
      </c>
      <c r="L1943" s="30">
        <f>IF(OR(A1943="",B1943="",D1943=""),"",IF(D1943=_xlfn.MAXIFS($D$4:$D$2503,$A$4:$A$2503,A1943,$B$4:$B$2503,B1943),"Yes","No"))</f>
        <v/>
      </c>
      <c r="M1943" s="30">
        <f>IF(B1943="","",IFERROR(INDEX('Share classes'!$F$4:$F$203,MATCH(B1943,'Share classes'!$B$4:$B$203,0)),""))</f>
        <v/>
      </c>
      <c r="N1943" s="30">
        <f>IF(A1943="","",IF(K1943="","Unknown holder ID",IF(J1943="","Unknown class code",IF(OR(C1943="",D1943=""),"Missing shares or date",IF(OR(C1943&lt;0,C1943&lt;&gt;INT(C1943)),"Shares must be a whole number",IF(COUNTIFS($A$4:$A$2503,A1943,$B$4:$B$2503,B1943,$D$4:$D$2503,D1943)&gt;1,"Duplicate row (same date)","OK"))))))</f>
        <v/>
      </c>
    </row>
    <row r="1944">
      <c r="A1944" s="26" t="n"/>
      <c r="B1944" s="26" t="n"/>
      <c r="C1944" s="34" t="n"/>
      <c r="D1944" s="28" t="n"/>
      <c r="E1944" s="26" t="n"/>
      <c r="F1944" s="26" t="n"/>
      <c r="G1944" s="26" t="n"/>
      <c r="H1944" s="38" t="n"/>
      <c r="I1944" s="28" t="n"/>
      <c r="J1944" s="30">
        <f>IF(B1944="","",IFERROR(INDEX('Share classes'!$A$4:$A$203,MATCH(B1944,'Share classes'!$B$4:$B$203,0)),""))</f>
        <v/>
      </c>
      <c r="K1944" s="30">
        <f>IF(A1944="","",IFERROR(INDEX('Holders'!$B$4:$B$1003,MATCH(A1944,'Holders'!$A$4:$A$1003,0)),""))</f>
        <v/>
      </c>
      <c r="L1944" s="30">
        <f>IF(OR(A1944="",B1944="",D1944=""),"",IF(D1944=_xlfn.MAXIFS($D$4:$D$2503,$A$4:$A$2503,A1944,$B$4:$B$2503,B1944),"Yes","No"))</f>
        <v/>
      </c>
      <c r="M1944" s="30">
        <f>IF(B1944="","",IFERROR(INDEX('Share classes'!$F$4:$F$203,MATCH(B1944,'Share classes'!$B$4:$B$203,0)),""))</f>
        <v/>
      </c>
      <c r="N1944" s="30">
        <f>IF(A1944="","",IF(K1944="","Unknown holder ID",IF(J1944="","Unknown class code",IF(OR(C1944="",D1944=""),"Missing shares or date",IF(OR(C1944&lt;0,C1944&lt;&gt;INT(C1944)),"Shares must be a whole number",IF(COUNTIFS($A$4:$A$2503,A1944,$B$4:$B$2503,B1944,$D$4:$D$2503,D1944)&gt;1,"Duplicate row (same date)","OK"))))))</f>
        <v/>
      </c>
    </row>
    <row r="1945">
      <c r="A1945" s="26" t="n"/>
      <c r="B1945" s="26" t="n"/>
      <c r="C1945" s="34" t="n"/>
      <c r="D1945" s="28" t="n"/>
      <c r="E1945" s="26" t="n"/>
      <c r="F1945" s="26" t="n"/>
      <c r="G1945" s="26" t="n"/>
      <c r="H1945" s="38" t="n"/>
      <c r="I1945" s="28" t="n"/>
      <c r="J1945" s="30">
        <f>IF(B1945="","",IFERROR(INDEX('Share classes'!$A$4:$A$203,MATCH(B1945,'Share classes'!$B$4:$B$203,0)),""))</f>
        <v/>
      </c>
      <c r="K1945" s="30">
        <f>IF(A1945="","",IFERROR(INDEX('Holders'!$B$4:$B$1003,MATCH(A1945,'Holders'!$A$4:$A$1003,0)),""))</f>
        <v/>
      </c>
      <c r="L1945" s="30">
        <f>IF(OR(A1945="",B1945="",D1945=""),"",IF(D1945=_xlfn.MAXIFS($D$4:$D$2503,$A$4:$A$2503,A1945,$B$4:$B$2503,B1945),"Yes","No"))</f>
        <v/>
      </c>
      <c r="M1945" s="30">
        <f>IF(B1945="","",IFERROR(INDEX('Share classes'!$F$4:$F$203,MATCH(B1945,'Share classes'!$B$4:$B$203,0)),""))</f>
        <v/>
      </c>
      <c r="N1945" s="30">
        <f>IF(A1945="","",IF(K1945="","Unknown holder ID",IF(J1945="","Unknown class code",IF(OR(C1945="",D1945=""),"Missing shares or date",IF(OR(C1945&lt;0,C1945&lt;&gt;INT(C1945)),"Shares must be a whole number",IF(COUNTIFS($A$4:$A$2503,A1945,$B$4:$B$2503,B1945,$D$4:$D$2503,D1945)&gt;1,"Duplicate row (same date)","OK"))))))</f>
        <v/>
      </c>
    </row>
    <row r="1946">
      <c r="A1946" s="26" t="n"/>
      <c r="B1946" s="26" t="n"/>
      <c r="C1946" s="34" t="n"/>
      <c r="D1946" s="28" t="n"/>
      <c r="E1946" s="26" t="n"/>
      <c r="F1946" s="26" t="n"/>
      <c r="G1946" s="26" t="n"/>
      <c r="H1946" s="38" t="n"/>
      <c r="I1946" s="28" t="n"/>
      <c r="J1946" s="30">
        <f>IF(B1946="","",IFERROR(INDEX('Share classes'!$A$4:$A$203,MATCH(B1946,'Share classes'!$B$4:$B$203,0)),""))</f>
        <v/>
      </c>
      <c r="K1946" s="30">
        <f>IF(A1946="","",IFERROR(INDEX('Holders'!$B$4:$B$1003,MATCH(A1946,'Holders'!$A$4:$A$1003,0)),""))</f>
        <v/>
      </c>
      <c r="L1946" s="30">
        <f>IF(OR(A1946="",B1946="",D1946=""),"",IF(D1946=_xlfn.MAXIFS($D$4:$D$2503,$A$4:$A$2503,A1946,$B$4:$B$2503,B1946),"Yes","No"))</f>
        <v/>
      </c>
      <c r="M1946" s="30">
        <f>IF(B1946="","",IFERROR(INDEX('Share classes'!$F$4:$F$203,MATCH(B1946,'Share classes'!$B$4:$B$203,0)),""))</f>
        <v/>
      </c>
      <c r="N1946" s="30">
        <f>IF(A1946="","",IF(K1946="","Unknown holder ID",IF(J1946="","Unknown class code",IF(OR(C1946="",D1946=""),"Missing shares or date",IF(OR(C1946&lt;0,C1946&lt;&gt;INT(C1946)),"Shares must be a whole number",IF(COUNTIFS($A$4:$A$2503,A1946,$B$4:$B$2503,B1946,$D$4:$D$2503,D1946)&gt;1,"Duplicate row (same date)","OK"))))))</f>
        <v/>
      </c>
    </row>
    <row r="1947">
      <c r="A1947" s="26" t="n"/>
      <c r="B1947" s="26" t="n"/>
      <c r="C1947" s="34" t="n"/>
      <c r="D1947" s="28" t="n"/>
      <c r="E1947" s="26" t="n"/>
      <c r="F1947" s="26" t="n"/>
      <c r="G1947" s="26" t="n"/>
      <c r="H1947" s="38" t="n"/>
      <c r="I1947" s="28" t="n"/>
      <c r="J1947" s="30">
        <f>IF(B1947="","",IFERROR(INDEX('Share classes'!$A$4:$A$203,MATCH(B1947,'Share classes'!$B$4:$B$203,0)),""))</f>
        <v/>
      </c>
      <c r="K1947" s="30">
        <f>IF(A1947="","",IFERROR(INDEX('Holders'!$B$4:$B$1003,MATCH(A1947,'Holders'!$A$4:$A$1003,0)),""))</f>
        <v/>
      </c>
      <c r="L1947" s="30">
        <f>IF(OR(A1947="",B1947="",D1947=""),"",IF(D1947=_xlfn.MAXIFS($D$4:$D$2503,$A$4:$A$2503,A1947,$B$4:$B$2503,B1947),"Yes","No"))</f>
        <v/>
      </c>
      <c r="M1947" s="30">
        <f>IF(B1947="","",IFERROR(INDEX('Share classes'!$F$4:$F$203,MATCH(B1947,'Share classes'!$B$4:$B$203,0)),""))</f>
        <v/>
      </c>
      <c r="N1947" s="30">
        <f>IF(A1947="","",IF(K1947="","Unknown holder ID",IF(J1947="","Unknown class code",IF(OR(C1947="",D1947=""),"Missing shares or date",IF(OR(C1947&lt;0,C1947&lt;&gt;INT(C1947)),"Shares must be a whole number",IF(COUNTIFS($A$4:$A$2503,A1947,$B$4:$B$2503,B1947,$D$4:$D$2503,D1947)&gt;1,"Duplicate row (same date)","OK"))))))</f>
        <v/>
      </c>
    </row>
    <row r="1948">
      <c r="A1948" s="26" t="n"/>
      <c r="B1948" s="26" t="n"/>
      <c r="C1948" s="34" t="n"/>
      <c r="D1948" s="28" t="n"/>
      <c r="E1948" s="26" t="n"/>
      <c r="F1948" s="26" t="n"/>
      <c r="G1948" s="26" t="n"/>
      <c r="H1948" s="38" t="n"/>
      <c r="I1948" s="28" t="n"/>
      <c r="J1948" s="30">
        <f>IF(B1948="","",IFERROR(INDEX('Share classes'!$A$4:$A$203,MATCH(B1948,'Share classes'!$B$4:$B$203,0)),""))</f>
        <v/>
      </c>
      <c r="K1948" s="30">
        <f>IF(A1948="","",IFERROR(INDEX('Holders'!$B$4:$B$1003,MATCH(A1948,'Holders'!$A$4:$A$1003,0)),""))</f>
        <v/>
      </c>
      <c r="L1948" s="30">
        <f>IF(OR(A1948="",B1948="",D1948=""),"",IF(D1948=_xlfn.MAXIFS($D$4:$D$2503,$A$4:$A$2503,A1948,$B$4:$B$2503,B1948),"Yes","No"))</f>
        <v/>
      </c>
      <c r="M1948" s="30">
        <f>IF(B1948="","",IFERROR(INDEX('Share classes'!$F$4:$F$203,MATCH(B1948,'Share classes'!$B$4:$B$203,0)),""))</f>
        <v/>
      </c>
      <c r="N1948" s="30">
        <f>IF(A1948="","",IF(K1948="","Unknown holder ID",IF(J1948="","Unknown class code",IF(OR(C1948="",D1948=""),"Missing shares or date",IF(OR(C1948&lt;0,C1948&lt;&gt;INT(C1948)),"Shares must be a whole number",IF(COUNTIFS($A$4:$A$2503,A1948,$B$4:$B$2503,B1948,$D$4:$D$2503,D1948)&gt;1,"Duplicate row (same date)","OK"))))))</f>
        <v/>
      </c>
    </row>
    <row r="1949">
      <c r="A1949" s="26" t="n"/>
      <c r="B1949" s="26" t="n"/>
      <c r="C1949" s="34" t="n"/>
      <c r="D1949" s="28" t="n"/>
      <c r="E1949" s="26" t="n"/>
      <c r="F1949" s="26" t="n"/>
      <c r="G1949" s="26" t="n"/>
      <c r="H1949" s="38" t="n"/>
      <c r="I1949" s="28" t="n"/>
      <c r="J1949" s="30">
        <f>IF(B1949="","",IFERROR(INDEX('Share classes'!$A$4:$A$203,MATCH(B1949,'Share classes'!$B$4:$B$203,0)),""))</f>
        <v/>
      </c>
      <c r="K1949" s="30">
        <f>IF(A1949="","",IFERROR(INDEX('Holders'!$B$4:$B$1003,MATCH(A1949,'Holders'!$A$4:$A$1003,0)),""))</f>
        <v/>
      </c>
      <c r="L1949" s="30">
        <f>IF(OR(A1949="",B1949="",D1949=""),"",IF(D1949=_xlfn.MAXIFS($D$4:$D$2503,$A$4:$A$2503,A1949,$B$4:$B$2503,B1949),"Yes","No"))</f>
        <v/>
      </c>
      <c r="M1949" s="30">
        <f>IF(B1949="","",IFERROR(INDEX('Share classes'!$F$4:$F$203,MATCH(B1949,'Share classes'!$B$4:$B$203,0)),""))</f>
        <v/>
      </c>
      <c r="N1949" s="30">
        <f>IF(A1949="","",IF(K1949="","Unknown holder ID",IF(J1949="","Unknown class code",IF(OR(C1949="",D1949=""),"Missing shares or date",IF(OR(C1949&lt;0,C1949&lt;&gt;INT(C1949)),"Shares must be a whole number",IF(COUNTIFS($A$4:$A$2503,A1949,$B$4:$B$2503,B1949,$D$4:$D$2503,D1949)&gt;1,"Duplicate row (same date)","OK"))))))</f>
        <v/>
      </c>
    </row>
    <row r="1950">
      <c r="A1950" s="26" t="n"/>
      <c r="B1950" s="26" t="n"/>
      <c r="C1950" s="34" t="n"/>
      <c r="D1950" s="28" t="n"/>
      <c r="E1950" s="26" t="n"/>
      <c r="F1950" s="26" t="n"/>
      <c r="G1950" s="26" t="n"/>
      <c r="H1950" s="38" t="n"/>
      <c r="I1950" s="28" t="n"/>
      <c r="J1950" s="30">
        <f>IF(B1950="","",IFERROR(INDEX('Share classes'!$A$4:$A$203,MATCH(B1950,'Share classes'!$B$4:$B$203,0)),""))</f>
        <v/>
      </c>
      <c r="K1950" s="30">
        <f>IF(A1950="","",IFERROR(INDEX('Holders'!$B$4:$B$1003,MATCH(A1950,'Holders'!$A$4:$A$1003,0)),""))</f>
        <v/>
      </c>
      <c r="L1950" s="30">
        <f>IF(OR(A1950="",B1950="",D1950=""),"",IF(D1950=_xlfn.MAXIFS($D$4:$D$2503,$A$4:$A$2503,A1950,$B$4:$B$2503,B1950),"Yes","No"))</f>
        <v/>
      </c>
      <c r="M1950" s="30">
        <f>IF(B1950="","",IFERROR(INDEX('Share classes'!$F$4:$F$203,MATCH(B1950,'Share classes'!$B$4:$B$203,0)),""))</f>
        <v/>
      </c>
      <c r="N1950" s="30">
        <f>IF(A1950="","",IF(K1950="","Unknown holder ID",IF(J1950="","Unknown class code",IF(OR(C1950="",D1950=""),"Missing shares or date",IF(OR(C1950&lt;0,C1950&lt;&gt;INT(C1950)),"Shares must be a whole number",IF(COUNTIFS($A$4:$A$2503,A1950,$B$4:$B$2503,B1950,$D$4:$D$2503,D1950)&gt;1,"Duplicate row (same date)","OK"))))))</f>
        <v/>
      </c>
    </row>
    <row r="1951">
      <c r="A1951" s="26" t="n"/>
      <c r="B1951" s="26" t="n"/>
      <c r="C1951" s="34" t="n"/>
      <c r="D1951" s="28" t="n"/>
      <c r="E1951" s="26" t="n"/>
      <c r="F1951" s="26" t="n"/>
      <c r="G1951" s="26" t="n"/>
      <c r="H1951" s="38" t="n"/>
      <c r="I1951" s="28" t="n"/>
      <c r="J1951" s="30">
        <f>IF(B1951="","",IFERROR(INDEX('Share classes'!$A$4:$A$203,MATCH(B1951,'Share classes'!$B$4:$B$203,0)),""))</f>
        <v/>
      </c>
      <c r="K1951" s="30">
        <f>IF(A1951="","",IFERROR(INDEX('Holders'!$B$4:$B$1003,MATCH(A1951,'Holders'!$A$4:$A$1003,0)),""))</f>
        <v/>
      </c>
      <c r="L1951" s="30">
        <f>IF(OR(A1951="",B1951="",D1951=""),"",IF(D1951=_xlfn.MAXIFS($D$4:$D$2503,$A$4:$A$2503,A1951,$B$4:$B$2503,B1951),"Yes","No"))</f>
        <v/>
      </c>
      <c r="M1951" s="30">
        <f>IF(B1951="","",IFERROR(INDEX('Share classes'!$F$4:$F$203,MATCH(B1951,'Share classes'!$B$4:$B$203,0)),""))</f>
        <v/>
      </c>
      <c r="N1951" s="30">
        <f>IF(A1951="","",IF(K1951="","Unknown holder ID",IF(J1951="","Unknown class code",IF(OR(C1951="",D1951=""),"Missing shares or date",IF(OR(C1951&lt;0,C1951&lt;&gt;INT(C1951)),"Shares must be a whole number",IF(COUNTIFS($A$4:$A$2503,A1951,$B$4:$B$2503,B1951,$D$4:$D$2503,D1951)&gt;1,"Duplicate row (same date)","OK"))))))</f>
        <v/>
      </c>
    </row>
    <row r="1952">
      <c r="A1952" s="26" t="n"/>
      <c r="B1952" s="26" t="n"/>
      <c r="C1952" s="34" t="n"/>
      <c r="D1952" s="28" t="n"/>
      <c r="E1952" s="26" t="n"/>
      <c r="F1952" s="26" t="n"/>
      <c r="G1952" s="26" t="n"/>
      <c r="H1952" s="38" t="n"/>
      <c r="I1952" s="28" t="n"/>
      <c r="J1952" s="30">
        <f>IF(B1952="","",IFERROR(INDEX('Share classes'!$A$4:$A$203,MATCH(B1952,'Share classes'!$B$4:$B$203,0)),""))</f>
        <v/>
      </c>
      <c r="K1952" s="30">
        <f>IF(A1952="","",IFERROR(INDEX('Holders'!$B$4:$B$1003,MATCH(A1952,'Holders'!$A$4:$A$1003,0)),""))</f>
        <v/>
      </c>
      <c r="L1952" s="30">
        <f>IF(OR(A1952="",B1952="",D1952=""),"",IF(D1952=_xlfn.MAXIFS($D$4:$D$2503,$A$4:$A$2503,A1952,$B$4:$B$2503,B1952),"Yes","No"))</f>
        <v/>
      </c>
      <c r="M1952" s="30">
        <f>IF(B1952="","",IFERROR(INDEX('Share classes'!$F$4:$F$203,MATCH(B1952,'Share classes'!$B$4:$B$203,0)),""))</f>
        <v/>
      </c>
      <c r="N1952" s="30">
        <f>IF(A1952="","",IF(K1952="","Unknown holder ID",IF(J1952="","Unknown class code",IF(OR(C1952="",D1952=""),"Missing shares or date",IF(OR(C1952&lt;0,C1952&lt;&gt;INT(C1952)),"Shares must be a whole number",IF(COUNTIFS($A$4:$A$2503,A1952,$B$4:$B$2503,B1952,$D$4:$D$2503,D1952)&gt;1,"Duplicate row (same date)","OK"))))))</f>
        <v/>
      </c>
    </row>
    <row r="1953">
      <c r="A1953" s="26" t="n"/>
      <c r="B1953" s="26" t="n"/>
      <c r="C1953" s="34" t="n"/>
      <c r="D1953" s="28" t="n"/>
      <c r="E1953" s="26" t="n"/>
      <c r="F1953" s="26" t="n"/>
      <c r="G1953" s="26" t="n"/>
      <c r="H1953" s="38" t="n"/>
      <c r="I1953" s="28" t="n"/>
      <c r="J1953" s="30">
        <f>IF(B1953="","",IFERROR(INDEX('Share classes'!$A$4:$A$203,MATCH(B1953,'Share classes'!$B$4:$B$203,0)),""))</f>
        <v/>
      </c>
      <c r="K1953" s="30">
        <f>IF(A1953="","",IFERROR(INDEX('Holders'!$B$4:$B$1003,MATCH(A1953,'Holders'!$A$4:$A$1003,0)),""))</f>
        <v/>
      </c>
      <c r="L1953" s="30">
        <f>IF(OR(A1953="",B1953="",D1953=""),"",IF(D1953=_xlfn.MAXIFS($D$4:$D$2503,$A$4:$A$2503,A1953,$B$4:$B$2503,B1953),"Yes","No"))</f>
        <v/>
      </c>
      <c r="M1953" s="30">
        <f>IF(B1953="","",IFERROR(INDEX('Share classes'!$F$4:$F$203,MATCH(B1953,'Share classes'!$B$4:$B$203,0)),""))</f>
        <v/>
      </c>
      <c r="N1953" s="30">
        <f>IF(A1953="","",IF(K1953="","Unknown holder ID",IF(J1953="","Unknown class code",IF(OR(C1953="",D1953=""),"Missing shares or date",IF(OR(C1953&lt;0,C1953&lt;&gt;INT(C1953)),"Shares must be a whole number",IF(COUNTIFS($A$4:$A$2503,A1953,$B$4:$B$2503,B1953,$D$4:$D$2503,D1953)&gt;1,"Duplicate row (same date)","OK"))))))</f>
        <v/>
      </c>
    </row>
    <row r="1954">
      <c r="A1954" s="26" t="n"/>
      <c r="B1954" s="26" t="n"/>
      <c r="C1954" s="34" t="n"/>
      <c r="D1954" s="28" t="n"/>
      <c r="E1954" s="26" t="n"/>
      <c r="F1954" s="26" t="n"/>
      <c r="G1954" s="26" t="n"/>
      <c r="H1954" s="38" t="n"/>
      <c r="I1954" s="28" t="n"/>
      <c r="J1954" s="30">
        <f>IF(B1954="","",IFERROR(INDEX('Share classes'!$A$4:$A$203,MATCH(B1954,'Share classes'!$B$4:$B$203,0)),""))</f>
        <v/>
      </c>
      <c r="K1954" s="30">
        <f>IF(A1954="","",IFERROR(INDEX('Holders'!$B$4:$B$1003,MATCH(A1954,'Holders'!$A$4:$A$1003,0)),""))</f>
        <v/>
      </c>
      <c r="L1954" s="30">
        <f>IF(OR(A1954="",B1954="",D1954=""),"",IF(D1954=_xlfn.MAXIFS($D$4:$D$2503,$A$4:$A$2503,A1954,$B$4:$B$2503,B1954),"Yes","No"))</f>
        <v/>
      </c>
      <c r="M1954" s="30">
        <f>IF(B1954="","",IFERROR(INDEX('Share classes'!$F$4:$F$203,MATCH(B1954,'Share classes'!$B$4:$B$203,0)),""))</f>
        <v/>
      </c>
      <c r="N1954" s="30">
        <f>IF(A1954="","",IF(K1954="","Unknown holder ID",IF(J1954="","Unknown class code",IF(OR(C1954="",D1954=""),"Missing shares or date",IF(OR(C1954&lt;0,C1954&lt;&gt;INT(C1954)),"Shares must be a whole number",IF(COUNTIFS($A$4:$A$2503,A1954,$B$4:$B$2503,B1954,$D$4:$D$2503,D1954)&gt;1,"Duplicate row (same date)","OK"))))))</f>
        <v/>
      </c>
    </row>
    <row r="1955">
      <c r="A1955" s="26" t="n"/>
      <c r="B1955" s="26" t="n"/>
      <c r="C1955" s="34" t="n"/>
      <c r="D1955" s="28" t="n"/>
      <c r="E1955" s="26" t="n"/>
      <c r="F1955" s="26" t="n"/>
      <c r="G1955" s="26" t="n"/>
      <c r="H1955" s="38" t="n"/>
      <c r="I1955" s="28" t="n"/>
      <c r="J1955" s="30">
        <f>IF(B1955="","",IFERROR(INDEX('Share classes'!$A$4:$A$203,MATCH(B1955,'Share classes'!$B$4:$B$203,0)),""))</f>
        <v/>
      </c>
      <c r="K1955" s="30">
        <f>IF(A1955="","",IFERROR(INDEX('Holders'!$B$4:$B$1003,MATCH(A1955,'Holders'!$A$4:$A$1003,0)),""))</f>
        <v/>
      </c>
      <c r="L1955" s="30">
        <f>IF(OR(A1955="",B1955="",D1955=""),"",IF(D1955=_xlfn.MAXIFS($D$4:$D$2503,$A$4:$A$2503,A1955,$B$4:$B$2503,B1955),"Yes","No"))</f>
        <v/>
      </c>
      <c r="M1955" s="30">
        <f>IF(B1955="","",IFERROR(INDEX('Share classes'!$F$4:$F$203,MATCH(B1955,'Share classes'!$B$4:$B$203,0)),""))</f>
        <v/>
      </c>
      <c r="N1955" s="30">
        <f>IF(A1955="","",IF(K1955="","Unknown holder ID",IF(J1955="","Unknown class code",IF(OR(C1955="",D1955=""),"Missing shares or date",IF(OR(C1955&lt;0,C1955&lt;&gt;INT(C1955)),"Shares must be a whole number",IF(COUNTIFS($A$4:$A$2503,A1955,$B$4:$B$2503,B1955,$D$4:$D$2503,D1955)&gt;1,"Duplicate row (same date)","OK"))))))</f>
        <v/>
      </c>
    </row>
    <row r="1956">
      <c r="A1956" s="26" t="n"/>
      <c r="B1956" s="26" t="n"/>
      <c r="C1956" s="34" t="n"/>
      <c r="D1956" s="28" t="n"/>
      <c r="E1956" s="26" t="n"/>
      <c r="F1956" s="26" t="n"/>
      <c r="G1956" s="26" t="n"/>
      <c r="H1956" s="38" t="n"/>
      <c r="I1956" s="28" t="n"/>
      <c r="J1956" s="30">
        <f>IF(B1956="","",IFERROR(INDEX('Share classes'!$A$4:$A$203,MATCH(B1956,'Share classes'!$B$4:$B$203,0)),""))</f>
        <v/>
      </c>
      <c r="K1956" s="30">
        <f>IF(A1956="","",IFERROR(INDEX('Holders'!$B$4:$B$1003,MATCH(A1956,'Holders'!$A$4:$A$1003,0)),""))</f>
        <v/>
      </c>
      <c r="L1956" s="30">
        <f>IF(OR(A1956="",B1956="",D1956=""),"",IF(D1956=_xlfn.MAXIFS($D$4:$D$2503,$A$4:$A$2503,A1956,$B$4:$B$2503,B1956),"Yes","No"))</f>
        <v/>
      </c>
      <c r="M1956" s="30">
        <f>IF(B1956="","",IFERROR(INDEX('Share classes'!$F$4:$F$203,MATCH(B1956,'Share classes'!$B$4:$B$203,0)),""))</f>
        <v/>
      </c>
      <c r="N1956" s="30">
        <f>IF(A1956="","",IF(K1956="","Unknown holder ID",IF(J1956="","Unknown class code",IF(OR(C1956="",D1956=""),"Missing shares or date",IF(OR(C1956&lt;0,C1956&lt;&gt;INT(C1956)),"Shares must be a whole number",IF(COUNTIFS($A$4:$A$2503,A1956,$B$4:$B$2503,B1956,$D$4:$D$2503,D1956)&gt;1,"Duplicate row (same date)","OK"))))))</f>
        <v/>
      </c>
    </row>
    <row r="1957">
      <c r="A1957" s="26" t="n"/>
      <c r="B1957" s="26" t="n"/>
      <c r="C1957" s="34" t="n"/>
      <c r="D1957" s="28" t="n"/>
      <c r="E1957" s="26" t="n"/>
      <c r="F1957" s="26" t="n"/>
      <c r="G1957" s="26" t="n"/>
      <c r="H1957" s="38" t="n"/>
      <c r="I1957" s="28" t="n"/>
      <c r="J1957" s="30">
        <f>IF(B1957="","",IFERROR(INDEX('Share classes'!$A$4:$A$203,MATCH(B1957,'Share classes'!$B$4:$B$203,0)),""))</f>
        <v/>
      </c>
      <c r="K1957" s="30">
        <f>IF(A1957="","",IFERROR(INDEX('Holders'!$B$4:$B$1003,MATCH(A1957,'Holders'!$A$4:$A$1003,0)),""))</f>
        <v/>
      </c>
      <c r="L1957" s="30">
        <f>IF(OR(A1957="",B1957="",D1957=""),"",IF(D1957=_xlfn.MAXIFS($D$4:$D$2503,$A$4:$A$2503,A1957,$B$4:$B$2503,B1957),"Yes","No"))</f>
        <v/>
      </c>
      <c r="M1957" s="30">
        <f>IF(B1957="","",IFERROR(INDEX('Share classes'!$F$4:$F$203,MATCH(B1957,'Share classes'!$B$4:$B$203,0)),""))</f>
        <v/>
      </c>
      <c r="N1957" s="30">
        <f>IF(A1957="","",IF(K1957="","Unknown holder ID",IF(J1957="","Unknown class code",IF(OR(C1957="",D1957=""),"Missing shares or date",IF(OR(C1957&lt;0,C1957&lt;&gt;INT(C1957)),"Shares must be a whole number",IF(COUNTIFS($A$4:$A$2503,A1957,$B$4:$B$2503,B1957,$D$4:$D$2503,D1957)&gt;1,"Duplicate row (same date)","OK"))))))</f>
        <v/>
      </c>
    </row>
    <row r="1958">
      <c r="A1958" s="26" t="n"/>
      <c r="B1958" s="26" t="n"/>
      <c r="C1958" s="34" t="n"/>
      <c r="D1958" s="28" t="n"/>
      <c r="E1958" s="26" t="n"/>
      <c r="F1958" s="26" t="n"/>
      <c r="G1958" s="26" t="n"/>
      <c r="H1958" s="38" t="n"/>
      <c r="I1958" s="28" t="n"/>
      <c r="J1958" s="30">
        <f>IF(B1958="","",IFERROR(INDEX('Share classes'!$A$4:$A$203,MATCH(B1958,'Share classes'!$B$4:$B$203,0)),""))</f>
        <v/>
      </c>
      <c r="K1958" s="30">
        <f>IF(A1958="","",IFERROR(INDEX('Holders'!$B$4:$B$1003,MATCH(A1958,'Holders'!$A$4:$A$1003,0)),""))</f>
        <v/>
      </c>
      <c r="L1958" s="30">
        <f>IF(OR(A1958="",B1958="",D1958=""),"",IF(D1958=_xlfn.MAXIFS($D$4:$D$2503,$A$4:$A$2503,A1958,$B$4:$B$2503,B1958),"Yes","No"))</f>
        <v/>
      </c>
      <c r="M1958" s="30">
        <f>IF(B1958="","",IFERROR(INDEX('Share classes'!$F$4:$F$203,MATCH(B1958,'Share classes'!$B$4:$B$203,0)),""))</f>
        <v/>
      </c>
      <c r="N1958" s="30">
        <f>IF(A1958="","",IF(K1958="","Unknown holder ID",IF(J1958="","Unknown class code",IF(OR(C1958="",D1958=""),"Missing shares or date",IF(OR(C1958&lt;0,C1958&lt;&gt;INT(C1958)),"Shares must be a whole number",IF(COUNTIFS($A$4:$A$2503,A1958,$B$4:$B$2503,B1958,$D$4:$D$2503,D1958)&gt;1,"Duplicate row (same date)","OK"))))))</f>
        <v/>
      </c>
    </row>
    <row r="1959">
      <c r="A1959" s="26" t="n"/>
      <c r="B1959" s="26" t="n"/>
      <c r="C1959" s="34" t="n"/>
      <c r="D1959" s="28" t="n"/>
      <c r="E1959" s="26" t="n"/>
      <c r="F1959" s="26" t="n"/>
      <c r="G1959" s="26" t="n"/>
      <c r="H1959" s="38" t="n"/>
      <c r="I1959" s="28" t="n"/>
      <c r="J1959" s="30">
        <f>IF(B1959="","",IFERROR(INDEX('Share classes'!$A$4:$A$203,MATCH(B1959,'Share classes'!$B$4:$B$203,0)),""))</f>
        <v/>
      </c>
      <c r="K1959" s="30">
        <f>IF(A1959="","",IFERROR(INDEX('Holders'!$B$4:$B$1003,MATCH(A1959,'Holders'!$A$4:$A$1003,0)),""))</f>
        <v/>
      </c>
      <c r="L1959" s="30">
        <f>IF(OR(A1959="",B1959="",D1959=""),"",IF(D1959=_xlfn.MAXIFS($D$4:$D$2503,$A$4:$A$2503,A1959,$B$4:$B$2503,B1959),"Yes","No"))</f>
        <v/>
      </c>
      <c r="M1959" s="30">
        <f>IF(B1959="","",IFERROR(INDEX('Share classes'!$F$4:$F$203,MATCH(B1959,'Share classes'!$B$4:$B$203,0)),""))</f>
        <v/>
      </c>
      <c r="N1959" s="30">
        <f>IF(A1959="","",IF(K1959="","Unknown holder ID",IF(J1959="","Unknown class code",IF(OR(C1959="",D1959=""),"Missing shares or date",IF(OR(C1959&lt;0,C1959&lt;&gt;INT(C1959)),"Shares must be a whole number",IF(COUNTIFS($A$4:$A$2503,A1959,$B$4:$B$2503,B1959,$D$4:$D$2503,D1959)&gt;1,"Duplicate row (same date)","OK"))))))</f>
        <v/>
      </c>
    </row>
    <row r="1960">
      <c r="A1960" s="26" t="n"/>
      <c r="B1960" s="26" t="n"/>
      <c r="C1960" s="34" t="n"/>
      <c r="D1960" s="28" t="n"/>
      <c r="E1960" s="26" t="n"/>
      <c r="F1960" s="26" t="n"/>
      <c r="G1960" s="26" t="n"/>
      <c r="H1960" s="38" t="n"/>
      <c r="I1960" s="28" t="n"/>
      <c r="J1960" s="30">
        <f>IF(B1960="","",IFERROR(INDEX('Share classes'!$A$4:$A$203,MATCH(B1960,'Share classes'!$B$4:$B$203,0)),""))</f>
        <v/>
      </c>
      <c r="K1960" s="30">
        <f>IF(A1960="","",IFERROR(INDEX('Holders'!$B$4:$B$1003,MATCH(A1960,'Holders'!$A$4:$A$1003,0)),""))</f>
        <v/>
      </c>
      <c r="L1960" s="30">
        <f>IF(OR(A1960="",B1960="",D1960=""),"",IF(D1960=_xlfn.MAXIFS($D$4:$D$2503,$A$4:$A$2503,A1960,$B$4:$B$2503,B1960),"Yes","No"))</f>
        <v/>
      </c>
      <c r="M1960" s="30">
        <f>IF(B1960="","",IFERROR(INDEX('Share classes'!$F$4:$F$203,MATCH(B1960,'Share classes'!$B$4:$B$203,0)),""))</f>
        <v/>
      </c>
      <c r="N1960" s="30">
        <f>IF(A1960="","",IF(K1960="","Unknown holder ID",IF(J1960="","Unknown class code",IF(OR(C1960="",D1960=""),"Missing shares or date",IF(OR(C1960&lt;0,C1960&lt;&gt;INT(C1960)),"Shares must be a whole number",IF(COUNTIFS($A$4:$A$2503,A1960,$B$4:$B$2503,B1960,$D$4:$D$2503,D1960)&gt;1,"Duplicate row (same date)","OK"))))))</f>
        <v/>
      </c>
    </row>
    <row r="1961">
      <c r="A1961" s="26" t="n"/>
      <c r="B1961" s="26" t="n"/>
      <c r="C1961" s="34" t="n"/>
      <c r="D1961" s="28" t="n"/>
      <c r="E1961" s="26" t="n"/>
      <c r="F1961" s="26" t="n"/>
      <c r="G1961" s="26" t="n"/>
      <c r="H1961" s="38" t="n"/>
      <c r="I1961" s="28" t="n"/>
      <c r="J1961" s="30">
        <f>IF(B1961="","",IFERROR(INDEX('Share classes'!$A$4:$A$203,MATCH(B1961,'Share classes'!$B$4:$B$203,0)),""))</f>
        <v/>
      </c>
      <c r="K1961" s="30">
        <f>IF(A1961="","",IFERROR(INDEX('Holders'!$B$4:$B$1003,MATCH(A1961,'Holders'!$A$4:$A$1003,0)),""))</f>
        <v/>
      </c>
      <c r="L1961" s="30">
        <f>IF(OR(A1961="",B1961="",D1961=""),"",IF(D1961=_xlfn.MAXIFS($D$4:$D$2503,$A$4:$A$2503,A1961,$B$4:$B$2503,B1961),"Yes","No"))</f>
        <v/>
      </c>
      <c r="M1961" s="30">
        <f>IF(B1961="","",IFERROR(INDEX('Share classes'!$F$4:$F$203,MATCH(B1961,'Share classes'!$B$4:$B$203,0)),""))</f>
        <v/>
      </c>
      <c r="N1961" s="30">
        <f>IF(A1961="","",IF(K1961="","Unknown holder ID",IF(J1961="","Unknown class code",IF(OR(C1961="",D1961=""),"Missing shares or date",IF(OR(C1961&lt;0,C1961&lt;&gt;INT(C1961)),"Shares must be a whole number",IF(COUNTIFS($A$4:$A$2503,A1961,$B$4:$B$2503,B1961,$D$4:$D$2503,D1961)&gt;1,"Duplicate row (same date)","OK"))))))</f>
        <v/>
      </c>
    </row>
    <row r="1962">
      <c r="A1962" s="26" t="n"/>
      <c r="B1962" s="26" t="n"/>
      <c r="C1962" s="34" t="n"/>
      <c r="D1962" s="28" t="n"/>
      <c r="E1962" s="26" t="n"/>
      <c r="F1962" s="26" t="n"/>
      <c r="G1962" s="26" t="n"/>
      <c r="H1962" s="38" t="n"/>
      <c r="I1962" s="28" t="n"/>
      <c r="J1962" s="30">
        <f>IF(B1962="","",IFERROR(INDEX('Share classes'!$A$4:$A$203,MATCH(B1962,'Share classes'!$B$4:$B$203,0)),""))</f>
        <v/>
      </c>
      <c r="K1962" s="30">
        <f>IF(A1962="","",IFERROR(INDEX('Holders'!$B$4:$B$1003,MATCH(A1962,'Holders'!$A$4:$A$1003,0)),""))</f>
        <v/>
      </c>
      <c r="L1962" s="30">
        <f>IF(OR(A1962="",B1962="",D1962=""),"",IF(D1962=_xlfn.MAXIFS($D$4:$D$2503,$A$4:$A$2503,A1962,$B$4:$B$2503,B1962),"Yes","No"))</f>
        <v/>
      </c>
      <c r="M1962" s="30">
        <f>IF(B1962="","",IFERROR(INDEX('Share classes'!$F$4:$F$203,MATCH(B1962,'Share classes'!$B$4:$B$203,0)),""))</f>
        <v/>
      </c>
      <c r="N1962" s="30">
        <f>IF(A1962="","",IF(K1962="","Unknown holder ID",IF(J1962="","Unknown class code",IF(OR(C1962="",D1962=""),"Missing shares or date",IF(OR(C1962&lt;0,C1962&lt;&gt;INT(C1962)),"Shares must be a whole number",IF(COUNTIFS($A$4:$A$2503,A1962,$B$4:$B$2503,B1962,$D$4:$D$2503,D1962)&gt;1,"Duplicate row (same date)","OK"))))))</f>
        <v/>
      </c>
    </row>
    <row r="1963">
      <c r="A1963" s="26" t="n"/>
      <c r="B1963" s="26" t="n"/>
      <c r="C1963" s="34" t="n"/>
      <c r="D1963" s="28" t="n"/>
      <c r="E1963" s="26" t="n"/>
      <c r="F1963" s="26" t="n"/>
      <c r="G1963" s="26" t="n"/>
      <c r="H1963" s="38" t="n"/>
      <c r="I1963" s="28" t="n"/>
      <c r="J1963" s="30">
        <f>IF(B1963="","",IFERROR(INDEX('Share classes'!$A$4:$A$203,MATCH(B1963,'Share classes'!$B$4:$B$203,0)),""))</f>
        <v/>
      </c>
      <c r="K1963" s="30">
        <f>IF(A1963="","",IFERROR(INDEX('Holders'!$B$4:$B$1003,MATCH(A1963,'Holders'!$A$4:$A$1003,0)),""))</f>
        <v/>
      </c>
      <c r="L1963" s="30">
        <f>IF(OR(A1963="",B1963="",D1963=""),"",IF(D1963=_xlfn.MAXIFS($D$4:$D$2503,$A$4:$A$2503,A1963,$B$4:$B$2503,B1963),"Yes","No"))</f>
        <v/>
      </c>
      <c r="M1963" s="30">
        <f>IF(B1963="","",IFERROR(INDEX('Share classes'!$F$4:$F$203,MATCH(B1963,'Share classes'!$B$4:$B$203,0)),""))</f>
        <v/>
      </c>
      <c r="N1963" s="30">
        <f>IF(A1963="","",IF(K1963="","Unknown holder ID",IF(J1963="","Unknown class code",IF(OR(C1963="",D1963=""),"Missing shares or date",IF(OR(C1963&lt;0,C1963&lt;&gt;INT(C1963)),"Shares must be a whole number",IF(COUNTIFS($A$4:$A$2503,A1963,$B$4:$B$2503,B1963,$D$4:$D$2503,D1963)&gt;1,"Duplicate row (same date)","OK"))))))</f>
        <v/>
      </c>
    </row>
    <row r="1964">
      <c r="A1964" s="26" t="n"/>
      <c r="B1964" s="26" t="n"/>
      <c r="C1964" s="34" t="n"/>
      <c r="D1964" s="28" t="n"/>
      <c r="E1964" s="26" t="n"/>
      <c r="F1964" s="26" t="n"/>
      <c r="G1964" s="26" t="n"/>
      <c r="H1964" s="38" t="n"/>
      <c r="I1964" s="28" t="n"/>
      <c r="J1964" s="30">
        <f>IF(B1964="","",IFERROR(INDEX('Share classes'!$A$4:$A$203,MATCH(B1964,'Share classes'!$B$4:$B$203,0)),""))</f>
        <v/>
      </c>
      <c r="K1964" s="30">
        <f>IF(A1964="","",IFERROR(INDEX('Holders'!$B$4:$B$1003,MATCH(A1964,'Holders'!$A$4:$A$1003,0)),""))</f>
        <v/>
      </c>
      <c r="L1964" s="30">
        <f>IF(OR(A1964="",B1964="",D1964=""),"",IF(D1964=_xlfn.MAXIFS($D$4:$D$2503,$A$4:$A$2503,A1964,$B$4:$B$2503,B1964),"Yes","No"))</f>
        <v/>
      </c>
      <c r="M1964" s="30">
        <f>IF(B1964="","",IFERROR(INDEX('Share classes'!$F$4:$F$203,MATCH(B1964,'Share classes'!$B$4:$B$203,0)),""))</f>
        <v/>
      </c>
      <c r="N1964" s="30">
        <f>IF(A1964="","",IF(K1964="","Unknown holder ID",IF(J1964="","Unknown class code",IF(OR(C1964="",D1964=""),"Missing shares or date",IF(OR(C1964&lt;0,C1964&lt;&gt;INT(C1964)),"Shares must be a whole number",IF(COUNTIFS($A$4:$A$2503,A1964,$B$4:$B$2503,B1964,$D$4:$D$2503,D1964)&gt;1,"Duplicate row (same date)","OK"))))))</f>
        <v/>
      </c>
    </row>
    <row r="1965">
      <c r="A1965" s="26" t="n"/>
      <c r="B1965" s="26" t="n"/>
      <c r="C1965" s="34" t="n"/>
      <c r="D1965" s="28" t="n"/>
      <c r="E1965" s="26" t="n"/>
      <c r="F1965" s="26" t="n"/>
      <c r="G1965" s="26" t="n"/>
      <c r="H1965" s="38" t="n"/>
      <c r="I1965" s="28" t="n"/>
      <c r="J1965" s="30">
        <f>IF(B1965="","",IFERROR(INDEX('Share classes'!$A$4:$A$203,MATCH(B1965,'Share classes'!$B$4:$B$203,0)),""))</f>
        <v/>
      </c>
      <c r="K1965" s="30">
        <f>IF(A1965="","",IFERROR(INDEX('Holders'!$B$4:$B$1003,MATCH(A1965,'Holders'!$A$4:$A$1003,0)),""))</f>
        <v/>
      </c>
      <c r="L1965" s="30">
        <f>IF(OR(A1965="",B1965="",D1965=""),"",IF(D1965=_xlfn.MAXIFS($D$4:$D$2503,$A$4:$A$2503,A1965,$B$4:$B$2503,B1965),"Yes","No"))</f>
        <v/>
      </c>
      <c r="M1965" s="30">
        <f>IF(B1965="","",IFERROR(INDEX('Share classes'!$F$4:$F$203,MATCH(B1965,'Share classes'!$B$4:$B$203,0)),""))</f>
        <v/>
      </c>
      <c r="N1965" s="30">
        <f>IF(A1965="","",IF(K1965="","Unknown holder ID",IF(J1965="","Unknown class code",IF(OR(C1965="",D1965=""),"Missing shares or date",IF(OR(C1965&lt;0,C1965&lt;&gt;INT(C1965)),"Shares must be a whole number",IF(COUNTIFS($A$4:$A$2503,A1965,$B$4:$B$2503,B1965,$D$4:$D$2503,D1965)&gt;1,"Duplicate row (same date)","OK"))))))</f>
        <v/>
      </c>
    </row>
    <row r="1966">
      <c r="A1966" s="26" t="n"/>
      <c r="B1966" s="26" t="n"/>
      <c r="C1966" s="34" t="n"/>
      <c r="D1966" s="28" t="n"/>
      <c r="E1966" s="26" t="n"/>
      <c r="F1966" s="26" t="n"/>
      <c r="G1966" s="26" t="n"/>
      <c r="H1966" s="38" t="n"/>
      <c r="I1966" s="28" t="n"/>
      <c r="J1966" s="30">
        <f>IF(B1966="","",IFERROR(INDEX('Share classes'!$A$4:$A$203,MATCH(B1966,'Share classes'!$B$4:$B$203,0)),""))</f>
        <v/>
      </c>
      <c r="K1966" s="30">
        <f>IF(A1966="","",IFERROR(INDEX('Holders'!$B$4:$B$1003,MATCH(A1966,'Holders'!$A$4:$A$1003,0)),""))</f>
        <v/>
      </c>
      <c r="L1966" s="30">
        <f>IF(OR(A1966="",B1966="",D1966=""),"",IF(D1966=_xlfn.MAXIFS($D$4:$D$2503,$A$4:$A$2503,A1966,$B$4:$B$2503,B1966),"Yes","No"))</f>
        <v/>
      </c>
      <c r="M1966" s="30">
        <f>IF(B1966="","",IFERROR(INDEX('Share classes'!$F$4:$F$203,MATCH(B1966,'Share classes'!$B$4:$B$203,0)),""))</f>
        <v/>
      </c>
      <c r="N1966" s="30">
        <f>IF(A1966="","",IF(K1966="","Unknown holder ID",IF(J1966="","Unknown class code",IF(OR(C1966="",D1966=""),"Missing shares or date",IF(OR(C1966&lt;0,C1966&lt;&gt;INT(C1966)),"Shares must be a whole number",IF(COUNTIFS($A$4:$A$2503,A1966,$B$4:$B$2503,B1966,$D$4:$D$2503,D1966)&gt;1,"Duplicate row (same date)","OK"))))))</f>
        <v/>
      </c>
    </row>
    <row r="1967">
      <c r="A1967" s="26" t="n"/>
      <c r="B1967" s="26" t="n"/>
      <c r="C1967" s="34" t="n"/>
      <c r="D1967" s="28" t="n"/>
      <c r="E1967" s="26" t="n"/>
      <c r="F1967" s="26" t="n"/>
      <c r="G1967" s="26" t="n"/>
      <c r="H1967" s="38" t="n"/>
      <c r="I1967" s="28" t="n"/>
      <c r="J1967" s="30">
        <f>IF(B1967="","",IFERROR(INDEX('Share classes'!$A$4:$A$203,MATCH(B1967,'Share classes'!$B$4:$B$203,0)),""))</f>
        <v/>
      </c>
      <c r="K1967" s="30">
        <f>IF(A1967="","",IFERROR(INDEX('Holders'!$B$4:$B$1003,MATCH(A1967,'Holders'!$A$4:$A$1003,0)),""))</f>
        <v/>
      </c>
      <c r="L1967" s="30">
        <f>IF(OR(A1967="",B1967="",D1967=""),"",IF(D1967=_xlfn.MAXIFS($D$4:$D$2503,$A$4:$A$2503,A1967,$B$4:$B$2503,B1967),"Yes","No"))</f>
        <v/>
      </c>
      <c r="M1967" s="30">
        <f>IF(B1967="","",IFERROR(INDEX('Share classes'!$F$4:$F$203,MATCH(B1967,'Share classes'!$B$4:$B$203,0)),""))</f>
        <v/>
      </c>
      <c r="N1967" s="30">
        <f>IF(A1967="","",IF(K1967="","Unknown holder ID",IF(J1967="","Unknown class code",IF(OR(C1967="",D1967=""),"Missing shares or date",IF(OR(C1967&lt;0,C1967&lt;&gt;INT(C1967)),"Shares must be a whole number",IF(COUNTIFS($A$4:$A$2503,A1967,$B$4:$B$2503,B1967,$D$4:$D$2503,D1967)&gt;1,"Duplicate row (same date)","OK"))))))</f>
        <v/>
      </c>
    </row>
    <row r="1968">
      <c r="A1968" s="26" t="n"/>
      <c r="B1968" s="26" t="n"/>
      <c r="C1968" s="34" t="n"/>
      <c r="D1968" s="28" t="n"/>
      <c r="E1968" s="26" t="n"/>
      <c r="F1968" s="26" t="n"/>
      <c r="G1968" s="26" t="n"/>
      <c r="H1968" s="38" t="n"/>
      <c r="I1968" s="28" t="n"/>
      <c r="J1968" s="30">
        <f>IF(B1968="","",IFERROR(INDEX('Share classes'!$A$4:$A$203,MATCH(B1968,'Share classes'!$B$4:$B$203,0)),""))</f>
        <v/>
      </c>
      <c r="K1968" s="30">
        <f>IF(A1968="","",IFERROR(INDEX('Holders'!$B$4:$B$1003,MATCH(A1968,'Holders'!$A$4:$A$1003,0)),""))</f>
        <v/>
      </c>
      <c r="L1968" s="30">
        <f>IF(OR(A1968="",B1968="",D1968=""),"",IF(D1968=_xlfn.MAXIFS($D$4:$D$2503,$A$4:$A$2503,A1968,$B$4:$B$2503,B1968),"Yes","No"))</f>
        <v/>
      </c>
      <c r="M1968" s="30">
        <f>IF(B1968="","",IFERROR(INDEX('Share classes'!$F$4:$F$203,MATCH(B1968,'Share classes'!$B$4:$B$203,0)),""))</f>
        <v/>
      </c>
      <c r="N1968" s="30">
        <f>IF(A1968="","",IF(K1968="","Unknown holder ID",IF(J1968="","Unknown class code",IF(OR(C1968="",D1968=""),"Missing shares or date",IF(OR(C1968&lt;0,C1968&lt;&gt;INT(C1968)),"Shares must be a whole number",IF(COUNTIFS($A$4:$A$2503,A1968,$B$4:$B$2503,B1968,$D$4:$D$2503,D1968)&gt;1,"Duplicate row (same date)","OK"))))))</f>
        <v/>
      </c>
    </row>
    <row r="1969">
      <c r="A1969" s="26" t="n"/>
      <c r="B1969" s="26" t="n"/>
      <c r="C1969" s="34" t="n"/>
      <c r="D1969" s="28" t="n"/>
      <c r="E1969" s="26" t="n"/>
      <c r="F1969" s="26" t="n"/>
      <c r="G1969" s="26" t="n"/>
      <c r="H1969" s="38" t="n"/>
      <c r="I1969" s="28" t="n"/>
      <c r="J1969" s="30">
        <f>IF(B1969="","",IFERROR(INDEX('Share classes'!$A$4:$A$203,MATCH(B1969,'Share classes'!$B$4:$B$203,0)),""))</f>
        <v/>
      </c>
      <c r="K1969" s="30">
        <f>IF(A1969="","",IFERROR(INDEX('Holders'!$B$4:$B$1003,MATCH(A1969,'Holders'!$A$4:$A$1003,0)),""))</f>
        <v/>
      </c>
      <c r="L1969" s="30">
        <f>IF(OR(A1969="",B1969="",D1969=""),"",IF(D1969=_xlfn.MAXIFS($D$4:$D$2503,$A$4:$A$2503,A1969,$B$4:$B$2503,B1969),"Yes","No"))</f>
        <v/>
      </c>
      <c r="M1969" s="30">
        <f>IF(B1969="","",IFERROR(INDEX('Share classes'!$F$4:$F$203,MATCH(B1969,'Share classes'!$B$4:$B$203,0)),""))</f>
        <v/>
      </c>
      <c r="N1969" s="30">
        <f>IF(A1969="","",IF(K1969="","Unknown holder ID",IF(J1969="","Unknown class code",IF(OR(C1969="",D1969=""),"Missing shares or date",IF(OR(C1969&lt;0,C1969&lt;&gt;INT(C1969)),"Shares must be a whole number",IF(COUNTIFS($A$4:$A$2503,A1969,$B$4:$B$2503,B1969,$D$4:$D$2503,D1969)&gt;1,"Duplicate row (same date)","OK"))))))</f>
        <v/>
      </c>
    </row>
    <row r="1970">
      <c r="A1970" s="26" t="n"/>
      <c r="B1970" s="26" t="n"/>
      <c r="C1970" s="34" t="n"/>
      <c r="D1970" s="28" t="n"/>
      <c r="E1970" s="26" t="n"/>
      <c r="F1970" s="26" t="n"/>
      <c r="G1970" s="26" t="n"/>
      <c r="H1970" s="38" t="n"/>
      <c r="I1970" s="28" t="n"/>
      <c r="J1970" s="30">
        <f>IF(B1970="","",IFERROR(INDEX('Share classes'!$A$4:$A$203,MATCH(B1970,'Share classes'!$B$4:$B$203,0)),""))</f>
        <v/>
      </c>
      <c r="K1970" s="30">
        <f>IF(A1970="","",IFERROR(INDEX('Holders'!$B$4:$B$1003,MATCH(A1970,'Holders'!$A$4:$A$1003,0)),""))</f>
        <v/>
      </c>
      <c r="L1970" s="30">
        <f>IF(OR(A1970="",B1970="",D1970=""),"",IF(D1970=_xlfn.MAXIFS($D$4:$D$2503,$A$4:$A$2503,A1970,$B$4:$B$2503,B1970),"Yes","No"))</f>
        <v/>
      </c>
      <c r="M1970" s="30">
        <f>IF(B1970="","",IFERROR(INDEX('Share classes'!$F$4:$F$203,MATCH(B1970,'Share classes'!$B$4:$B$203,0)),""))</f>
        <v/>
      </c>
      <c r="N1970" s="30">
        <f>IF(A1970="","",IF(K1970="","Unknown holder ID",IF(J1970="","Unknown class code",IF(OR(C1970="",D1970=""),"Missing shares or date",IF(OR(C1970&lt;0,C1970&lt;&gt;INT(C1970)),"Shares must be a whole number",IF(COUNTIFS($A$4:$A$2503,A1970,$B$4:$B$2503,B1970,$D$4:$D$2503,D1970)&gt;1,"Duplicate row (same date)","OK"))))))</f>
        <v/>
      </c>
    </row>
    <row r="1971">
      <c r="A1971" s="26" t="n"/>
      <c r="B1971" s="26" t="n"/>
      <c r="C1971" s="34" t="n"/>
      <c r="D1971" s="28" t="n"/>
      <c r="E1971" s="26" t="n"/>
      <c r="F1971" s="26" t="n"/>
      <c r="G1971" s="26" t="n"/>
      <c r="H1971" s="38" t="n"/>
      <c r="I1971" s="28" t="n"/>
      <c r="J1971" s="30">
        <f>IF(B1971="","",IFERROR(INDEX('Share classes'!$A$4:$A$203,MATCH(B1971,'Share classes'!$B$4:$B$203,0)),""))</f>
        <v/>
      </c>
      <c r="K1971" s="30">
        <f>IF(A1971="","",IFERROR(INDEX('Holders'!$B$4:$B$1003,MATCH(A1971,'Holders'!$A$4:$A$1003,0)),""))</f>
        <v/>
      </c>
      <c r="L1971" s="30">
        <f>IF(OR(A1971="",B1971="",D1971=""),"",IF(D1971=_xlfn.MAXIFS($D$4:$D$2503,$A$4:$A$2503,A1971,$B$4:$B$2503,B1971),"Yes","No"))</f>
        <v/>
      </c>
      <c r="M1971" s="30">
        <f>IF(B1971="","",IFERROR(INDEX('Share classes'!$F$4:$F$203,MATCH(B1971,'Share classes'!$B$4:$B$203,0)),""))</f>
        <v/>
      </c>
      <c r="N1971" s="30">
        <f>IF(A1971="","",IF(K1971="","Unknown holder ID",IF(J1971="","Unknown class code",IF(OR(C1971="",D1971=""),"Missing shares or date",IF(OR(C1971&lt;0,C1971&lt;&gt;INT(C1971)),"Shares must be a whole number",IF(COUNTIFS($A$4:$A$2503,A1971,$B$4:$B$2503,B1971,$D$4:$D$2503,D1971)&gt;1,"Duplicate row (same date)","OK"))))))</f>
        <v/>
      </c>
    </row>
    <row r="1972">
      <c r="A1972" s="26" t="n"/>
      <c r="B1972" s="26" t="n"/>
      <c r="C1972" s="34" t="n"/>
      <c r="D1972" s="28" t="n"/>
      <c r="E1972" s="26" t="n"/>
      <c r="F1972" s="26" t="n"/>
      <c r="G1972" s="26" t="n"/>
      <c r="H1972" s="38" t="n"/>
      <c r="I1972" s="28" t="n"/>
      <c r="J1972" s="30">
        <f>IF(B1972="","",IFERROR(INDEX('Share classes'!$A$4:$A$203,MATCH(B1972,'Share classes'!$B$4:$B$203,0)),""))</f>
        <v/>
      </c>
      <c r="K1972" s="30">
        <f>IF(A1972="","",IFERROR(INDEX('Holders'!$B$4:$B$1003,MATCH(A1972,'Holders'!$A$4:$A$1003,0)),""))</f>
        <v/>
      </c>
      <c r="L1972" s="30">
        <f>IF(OR(A1972="",B1972="",D1972=""),"",IF(D1972=_xlfn.MAXIFS($D$4:$D$2503,$A$4:$A$2503,A1972,$B$4:$B$2503,B1972),"Yes","No"))</f>
        <v/>
      </c>
      <c r="M1972" s="30">
        <f>IF(B1972="","",IFERROR(INDEX('Share classes'!$F$4:$F$203,MATCH(B1972,'Share classes'!$B$4:$B$203,0)),""))</f>
        <v/>
      </c>
      <c r="N1972" s="30">
        <f>IF(A1972="","",IF(K1972="","Unknown holder ID",IF(J1972="","Unknown class code",IF(OR(C1972="",D1972=""),"Missing shares or date",IF(OR(C1972&lt;0,C1972&lt;&gt;INT(C1972)),"Shares must be a whole number",IF(COUNTIFS($A$4:$A$2503,A1972,$B$4:$B$2503,B1972,$D$4:$D$2503,D1972)&gt;1,"Duplicate row (same date)","OK"))))))</f>
        <v/>
      </c>
    </row>
    <row r="1973">
      <c r="A1973" s="26" t="n"/>
      <c r="B1973" s="26" t="n"/>
      <c r="C1973" s="34" t="n"/>
      <c r="D1973" s="28" t="n"/>
      <c r="E1973" s="26" t="n"/>
      <c r="F1973" s="26" t="n"/>
      <c r="G1973" s="26" t="n"/>
      <c r="H1973" s="38" t="n"/>
      <c r="I1973" s="28" t="n"/>
      <c r="J1973" s="30">
        <f>IF(B1973="","",IFERROR(INDEX('Share classes'!$A$4:$A$203,MATCH(B1973,'Share classes'!$B$4:$B$203,0)),""))</f>
        <v/>
      </c>
      <c r="K1973" s="30">
        <f>IF(A1973="","",IFERROR(INDEX('Holders'!$B$4:$B$1003,MATCH(A1973,'Holders'!$A$4:$A$1003,0)),""))</f>
        <v/>
      </c>
      <c r="L1973" s="30">
        <f>IF(OR(A1973="",B1973="",D1973=""),"",IF(D1973=_xlfn.MAXIFS($D$4:$D$2503,$A$4:$A$2503,A1973,$B$4:$B$2503,B1973),"Yes","No"))</f>
        <v/>
      </c>
      <c r="M1973" s="30">
        <f>IF(B1973="","",IFERROR(INDEX('Share classes'!$F$4:$F$203,MATCH(B1973,'Share classes'!$B$4:$B$203,0)),""))</f>
        <v/>
      </c>
      <c r="N1973" s="30">
        <f>IF(A1973="","",IF(K1973="","Unknown holder ID",IF(J1973="","Unknown class code",IF(OR(C1973="",D1973=""),"Missing shares or date",IF(OR(C1973&lt;0,C1973&lt;&gt;INT(C1973)),"Shares must be a whole number",IF(COUNTIFS($A$4:$A$2503,A1973,$B$4:$B$2503,B1973,$D$4:$D$2503,D1973)&gt;1,"Duplicate row (same date)","OK"))))))</f>
        <v/>
      </c>
    </row>
    <row r="1974">
      <c r="A1974" s="26" t="n"/>
      <c r="B1974" s="26" t="n"/>
      <c r="C1974" s="34" t="n"/>
      <c r="D1974" s="28" t="n"/>
      <c r="E1974" s="26" t="n"/>
      <c r="F1974" s="26" t="n"/>
      <c r="G1974" s="26" t="n"/>
      <c r="H1974" s="38" t="n"/>
      <c r="I1974" s="28" t="n"/>
      <c r="J1974" s="30">
        <f>IF(B1974="","",IFERROR(INDEX('Share classes'!$A$4:$A$203,MATCH(B1974,'Share classes'!$B$4:$B$203,0)),""))</f>
        <v/>
      </c>
      <c r="K1974" s="30">
        <f>IF(A1974="","",IFERROR(INDEX('Holders'!$B$4:$B$1003,MATCH(A1974,'Holders'!$A$4:$A$1003,0)),""))</f>
        <v/>
      </c>
      <c r="L1974" s="30">
        <f>IF(OR(A1974="",B1974="",D1974=""),"",IF(D1974=_xlfn.MAXIFS($D$4:$D$2503,$A$4:$A$2503,A1974,$B$4:$B$2503,B1974),"Yes","No"))</f>
        <v/>
      </c>
      <c r="M1974" s="30">
        <f>IF(B1974="","",IFERROR(INDEX('Share classes'!$F$4:$F$203,MATCH(B1974,'Share classes'!$B$4:$B$203,0)),""))</f>
        <v/>
      </c>
      <c r="N1974" s="30">
        <f>IF(A1974="","",IF(K1974="","Unknown holder ID",IF(J1974="","Unknown class code",IF(OR(C1974="",D1974=""),"Missing shares or date",IF(OR(C1974&lt;0,C1974&lt;&gt;INT(C1974)),"Shares must be a whole number",IF(COUNTIFS($A$4:$A$2503,A1974,$B$4:$B$2503,B1974,$D$4:$D$2503,D1974)&gt;1,"Duplicate row (same date)","OK"))))))</f>
        <v/>
      </c>
    </row>
    <row r="1975">
      <c r="A1975" s="26" t="n"/>
      <c r="B1975" s="26" t="n"/>
      <c r="C1975" s="34" t="n"/>
      <c r="D1975" s="28" t="n"/>
      <c r="E1975" s="26" t="n"/>
      <c r="F1975" s="26" t="n"/>
      <c r="G1975" s="26" t="n"/>
      <c r="H1975" s="38" t="n"/>
      <c r="I1975" s="28" t="n"/>
      <c r="J1975" s="30">
        <f>IF(B1975="","",IFERROR(INDEX('Share classes'!$A$4:$A$203,MATCH(B1975,'Share classes'!$B$4:$B$203,0)),""))</f>
        <v/>
      </c>
      <c r="K1975" s="30">
        <f>IF(A1975="","",IFERROR(INDEX('Holders'!$B$4:$B$1003,MATCH(A1975,'Holders'!$A$4:$A$1003,0)),""))</f>
        <v/>
      </c>
      <c r="L1975" s="30">
        <f>IF(OR(A1975="",B1975="",D1975=""),"",IF(D1975=_xlfn.MAXIFS($D$4:$D$2503,$A$4:$A$2503,A1975,$B$4:$B$2503,B1975),"Yes","No"))</f>
        <v/>
      </c>
      <c r="M1975" s="30">
        <f>IF(B1975="","",IFERROR(INDEX('Share classes'!$F$4:$F$203,MATCH(B1975,'Share classes'!$B$4:$B$203,0)),""))</f>
        <v/>
      </c>
      <c r="N1975" s="30">
        <f>IF(A1975="","",IF(K1975="","Unknown holder ID",IF(J1975="","Unknown class code",IF(OR(C1975="",D1975=""),"Missing shares or date",IF(OR(C1975&lt;0,C1975&lt;&gt;INT(C1975)),"Shares must be a whole number",IF(COUNTIFS($A$4:$A$2503,A1975,$B$4:$B$2503,B1975,$D$4:$D$2503,D1975)&gt;1,"Duplicate row (same date)","OK"))))))</f>
        <v/>
      </c>
    </row>
    <row r="1976">
      <c r="A1976" s="26" t="n"/>
      <c r="B1976" s="26" t="n"/>
      <c r="C1976" s="34" t="n"/>
      <c r="D1976" s="28" t="n"/>
      <c r="E1976" s="26" t="n"/>
      <c r="F1976" s="26" t="n"/>
      <c r="G1976" s="26" t="n"/>
      <c r="H1976" s="38" t="n"/>
      <c r="I1976" s="28" t="n"/>
      <c r="J1976" s="30">
        <f>IF(B1976="","",IFERROR(INDEX('Share classes'!$A$4:$A$203,MATCH(B1976,'Share classes'!$B$4:$B$203,0)),""))</f>
        <v/>
      </c>
      <c r="K1976" s="30">
        <f>IF(A1976="","",IFERROR(INDEX('Holders'!$B$4:$B$1003,MATCH(A1976,'Holders'!$A$4:$A$1003,0)),""))</f>
        <v/>
      </c>
      <c r="L1976" s="30">
        <f>IF(OR(A1976="",B1976="",D1976=""),"",IF(D1976=_xlfn.MAXIFS($D$4:$D$2503,$A$4:$A$2503,A1976,$B$4:$B$2503,B1976),"Yes","No"))</f>
        <v/>
      </c>
      <c r="M1976" s="30">
        <f>IF(B1976="","",IFERROR(INDEX('Share classes'!$F$4:$F$203,MATCH(B1976,'Share classes'!$B$4:$B$203,0)),""))</f>
        <v/>
      </c>
      <c r="N1976" s="30">
        <f>IF(A1976="","",IF(K1976="","Unknown holder ID",IF(J1976="","Unknown class code",IF(OR(C1976="",D1976=""),"Missing shares or date",IF(OR(C1976&lt;0,C1976&lt;&gt;INT(C1976)),"Shares must be a whole number",IF(COUNTIFS($A$4:$A$2503,A1976,$B$4:$B$2503,B1976,$D$4:$D$2503,D1976)&gt;1,"Duplicate row (same date)","OK"))))))</f>
        <v/>
      </c>
    </row>
    <row r="1977">
      <c r="A1977" s="26" t="n"/>
      <c r="B1977" s="26" t="n"/>
      <c r="C1977" s="34" t="n"/>
      <c r="D1977" s="28" t="n"/>
      <c r="E1977" s="26" t="n"/>
      <c r="F1977" s="26" t="n"/>
      <c r="G1977" s="26" t="n"/>
      <c r="H1977" s="38" t="n"/>
      <c r="I1977" s="28" t="n"/>
      <c r="J1977" s="30">
        <f>IF(B1977="","",IFERROR(INDEX('Share classes'!$A$4:$A$203,MATCH(B1977,'Share classes'!$B$4:$B$203,0)),""))</f>
        <v/>
      </c>
      <c r="K1977" s="30">
        <f>IF(A1977="","",IFERROR(INDEX('Holders'!$B$4:$B$1003,MATCH(A1977,'Holders'!$A$4:$A$1003,0)),""))</f>
        <v/>
      </c>
      <c r="L1977" s="30">
        <f>IF(OR(A1977="",B1977="",D1977=""),"",IF(D1977=_xlfn.MAXIFS($D$4:$D$2503,$A$4:$A$2503,A1977,$B$4:$B$2503,B1977),"Yes","No"))</f>
        <v/>
      </c>
      <c r="M1977" s="30">
        <f>IF(B1977="","",IFERROR(INDEX('Share classes'!$F$4:$F$203,MATCH(B1977,'Share classes'!$B$4:$B$203,0)),""))</f>
        <v/>
      </c>
      <c r="N1977" s="30">
        <f>IF(A1977="","",IF(K1977="","Unknown holder ID",IF(J1977="","Unknown class code",IF(OR(C1977="",D1977=""),"Missing shares or date",IF(OR(C1977&lt;0,C1977&lt;&gt;INT(C1977)),"Shares must be a whole number",IF(COUNTIFS($A$4:$A$2503,A1977,$B$4:$B$2503,B1977,$D$4:$D$2503,D1977)&gt;1,"Duplicate row (same date)","OK"))))))</f>
        <v/>
      </c>
    </row>
    <row r="1978">
      <c r="A1978" s="26" t="n"/>
      <c r="B1978" s="26" t="n"/>
      <c r="C1978" s="34" t="n"/>
      <c r="D1978" s="28" t="n"/>
      <c r="E1978" s="26" t="n"/>
      <c r="F1978" s="26" t="n"/>
      <c r="G1978" s="26" t="n"/>
      <c r="H1978" s="38" t="n"/>
      <c r="I1978" s="28" t="n"/>
      <c r="J1978" s="30">
        <f>IF(B1978="","",IFERROR(INDEX('Share classes'!$A$4:$A$203,MATCH(B1978,'Share classes'!$B$4:$B$203,0)),""))</f>
        <v/>
      </c>
      <c r="K1978" s="30">
        <f>IF(A1978="","",IFERROR(INDEX('Holders'!$B$4:$B$1003,MATCH(A1978,'Holders'!$A$4:$A$1003,0)),""))</f>
        <v/>
      </c>
      <c r="L1978" s="30">
        <f>IF(OR(A1978="",B1978="",D1978=""),"",IF(D1978=_xlfn.MAXIFS($D$4:$D$2503,$A$4:$A$2503,A1978,$B$4:$B$2503,B1978),"Yes","No"))</f>
        <v/>
      </c>
      <c r="M1978" s="30">
        <f>IF(B1978="","",IFERROR(INDEX('Share classes'!$F$4:$F$203,MATCH(B1978,'Share classes'!$B$4:$B$203,0)),""))</f>
        <v/>
      </c>
      <c r="N1978" s="30">
        <f>IF(A1978="","",IF(K1978="","Unknown holder ID",IF(J1978="","Unknown class code",IF(OR(C1978="",D1978=""),"Missing shares or date",IF(OR(C1978&lt;0,C1978&lt;&gt;INT(C1978)),"Shares must be a whole number",IF(COUNTIFS($A$4:$A$2503,A1978,$B$4:$B$2503,B1978,$D$4:$D$2503,D1978)&gt;1,"Duplicate row (same date)","OK"))))))</f>
        <v/>
      </c>
    </row>
    <row r="1979">
      <c r="A1979" s="26" t="n"/>
      <c r="B1979" s="26" t="n"/>
      <c r="C1979" s="34" t="n"/>
      <c r="D1979" s="28" t="n"/>
      <c r="E1979" s="26" t="n"/>
      <c r="F1979" s="26" t="n"/>
      <c r="G1979" s="26" t="n"/>
      <c r="H1979" s="38" t="n"/>
      <c r="I1979" s="28" t="n"/>
      <c r="J1979" s="30">
        <f>IF(B1979="","",IFERROR(INDEX('Share classes'!$A$4:$A$203,MATCH(B1979,'Share classes'!$B$4:$B$203,0)),""))</f>
        <v/>
      </c>
      <c r="K1979" s="30">
        <f>IF(A1979="","",IFERROR(INDEX('Holders'!$B$4:$B$1003,MATCH(A1979,'Holders'!$A$4:$A$1003,0)),""))</f>
        <v/>
      </c>
      <c r="L1979" s="30">
        <f>IF(OR(A1979="",B1979="",D1979=""),"",IF(D1979=_xlfn.MAXIFS($D$4:$D$2503,$A$4:$A$2503,A1979,$B$4:$B$2503,B1979),"Yes","No"))</f>
        <v/>
      </c>
      <c r="M1979" s="30">
        <f>IF(B1979="","",IFERROR(INDEX('Share classes'!$F$4:$F$203,MATCH(B1979,'Share classes'!$B$4:$B$203,0)),""))</f>
        <v/>
      </c>
      <c r="N1979" s="30">
        <f>IF(A1979="","",IF(K1979="","Unknown holder ID",IF(J1979="","Unknown class code",IF(OR(C1979="",D1979=""),"Missing shares or date",IF(OR(C1979&lt;0,C1979&lt;&gt;INT(C1979)),"Shares must be a whole number",IF(COUNTIFS($A$4:$A$2503,A1979,$B$4:$B$2503,B1979,$D$4:$D$2503,D1979)&gt;1,"Duplicate row (same date)","OK"))))))</f>
        <v/>
      </c>
    </row>
    <row r="1980">
      <c r="A1980" s="26" t="n"/>
      <c r="B1980" s="26" t="n"/>
      <c r="C1980" s="34" t="n"/>
      <c r="D1980" s="28" t="n"/>
      <c r="E1980" s="26" t="n"/>
      <c r="F1980" s="26" t="n"/>
      <c r="G1980" s="26" t="n"/>
      <c r="H1980" s="38" t="n"/>
      <c r="I1980" s="28" t="n"/>
      <c r="J1980" s="30">
        <f>IF(B1980="","",IFERROR(INDEX('Share classes'!$A$4:$A$203,MATCH(B1980,'Share classes'!$B$4:$B$203,0)),""))</f>
        <v/>
      </c>
      <c r="K1980" s="30">
        <f>IF(A1980="","",IFERROR(INDEX('Holders'!$B$4:$B$1003,MATCH(A1980,'Holders'!$A$4:$A$1003,0)),""))</f>
        <v/>
      </c>
      <c r="L1980" s="30">
        <f>IF(OR(A1980="",B1980="",D1980=""),"",IF(D1980=_xlfn.MAXIFS($D$4:$D$2503,$A$4:$A$2503,A1980,$B$4:$B$2503,B1980),"Yes","No"))</f>
        <v/>
      </c>
      <c r="M1980" s="30">
        <f>IF(B1980="","",IFERROR(INDEX('Share classes'!$F$4:$F$203,MATCH(B1980,'Share classes'!$B$4:$B$203,0)),""))</f>
        <v/>
      </c>
      <c r="N1980" s="30">
        <f>IF(A1980="","",IF(K1980="","Unknown holder ID",IF(J1980="","Unknown class code",IF(OR(C1980="",D1980=""),"Missing shares or date",IF(OR(C1980&lt;0,C1980&lt;&gt;INT(C1980)),"Shares must be a whole number",IF(COUNTIFS($A$4:$A$2503,A1980,$B$4:$B$2503,B1980,$D$4:$D$2503,D1980)&gt;1,"Duplicate row (same date)","OK"))))))</f>
        <v/>
      </c>
    </row>
    <row r="1981">
      <c r="A1981" s="26" t="n"/>
      <c r="B1981" s="26" t="n"/>
      <c r="C1981" s="34" t="n"/>
      <c r="D1981" s="28" t="n"/>
      <c r="E1981" s="26" t="n"/>
      <c r="F1981" s="26" t="n"/>
      <c r="G1981" s="26" t="n"/>
      <c r="H1981" s="38" t="n"/>
      <c r="I1981" s="28" t="n"/>
      <c r="J1981" s="30">
        <f>IF(B1981="","",IFERROR(INDEX('Share classes'!$A$4:$A$203,MATCH(B1981,'Share classes'!$B$4:$B$203,0)),""))</f>
        <v/>
      </c>
      <c r="K1981" s="30">
        <f>IF(A1981="","",IFERROR(INDEX('Holders'!$B$4:$B$1003,MATCH(A1981,'Holders'!$A$4:$A$1003,0)),""))</f>
        <v/>
      </c>
      <c r="L1981" s="30">
        <f>IF(OR(A1981="",B1981="",D1981=""),"",IF(D1981=_xlfn.MAXIFS($D$4:$D$2503,$A$4:$A$2503,A1981,$B$4:$B$2503,B1981),"Yes","No"))</f>
        <v/>
      </c>
      <c r="M1981" s="30">
        <f>IF(B1981="","",IFERROR(INDEX('Share classes'!$F$4:$F$203,MATCH(B1981,'Share classes'!$B$4:$B$203,0)),""))</f>
        <v/>
      </c>
      <c r="N1981" s="30">
        <f>IF(A1981="","",IF(K1981="","Unknown holder ID",IF(J1981="","Unknown class code",IF(OR(C1981="",D1981=""),"Missing shares or date",IF(OR(C1981&lt;0,C1981&lt;&gt;INT(C1981)),"Shares must be a whole number",IF(COUNTIFS($A$4:$A$2503,A1981,$B$4:$B$2503,B1981,$D$4:$D$2503,D1981)&gt;1,"Duplicate row (same date)","OK"))))))</f>
        <v/>
      </c>
    </row>
    <row r="1982">
      <c r="A1982" s="26" t="n"/>
      <c r="B1982" s="26" t="n"/>
      <c r="C1982" s="34" t="n"/>
      <c r="D1982" s="28" t="n"/>
      <c r="E1982" s="26" t="n"/>
      <c r="F1982" s="26" t="n"/>
      <c r="G1982" s="26" t="n"/>
      <c r="H1982" s="38" t="n"/>
      <c r="I1982" s="28" t="n"/>
      <c r="J1982" s="30">
        <f>IF(B1982="","",IFERROR(INDEX('Share classes'!$A$4:$A$203,MATCH(B1982,'Share classes'!$B$4:$B$203,0)),""))</f>
        <v/>
      </c>
      <c r="K1982" s="30">
        <f>IF(A1982="","",IFERROR(INDEX('Holders'!$B$4:$B$1003,MATCH(A1982,'Holders'!$A$4:$A$1003,0)),""))</f>
        <v/>
      </c>
      <c r="L1982" s="30">
        <f>IF(OR(A1982="",B1982="",D1982=""),"",IF(D1982=_xlfn.MAXIFS($D$4:$D$2503,$A$4:$A$2503,A1982,$B$4:$B$2503,B1982),"Yes","No"))</f>
        <v/>
      </c>
      <c r="M1982" s="30">
        <f>IF(B1982="","",IFERROR(INDEX('Share classes'!$F$4:$F$203,MATCH(B1982,'Share classes'!$B$4:$B$203,0)),""))</f>
        <v/>
      </c>
      <c r="N1982" s="30">
        <f>IF(A1982="","",IF(K1982="","Unknown holder ID",IF(J1982="","Unknown class code",IF(OR(C1982="",D1982=""),"Missing shares or date",IF(OR(C1982&lt;0,C1982&lt;&gt;INT(C1982)),"Shares must be a whole number",IF(COUNTIFS($A$4:$A$2503,A1982,$B$4:$B$2503,B1982,$D$4:$D$2503,D1982)&gt;1,"Duplicate row (same date)","OK"))))))</f>
        <v/>
      </c>
    </row>
    <row r="1983">
      <c r="A1983" s="26" t="n"/>
      <c r="B1983" s="26" t="n"/>
      <c r="C1983" s="34" t="n"/>
      <c r="D1983" s="28" t="n"/>
      <c r="E1983" s="26" t="n"/>
      <c r="F1983" s="26" t="n"/>
      <c r="G1983" s="26" t="n"/>
      <c r="H1983" s="38" t="n"/>
      <c r="I1983" s="28" t="n"/>
      <c r="J1983" s="30">
        <f>IF(B1983="","",IFERROR(INDEX('Share classes'!$A$4:$A$203,MATCH(B1983,'Share classes'!$B$4:$B$203,0)),""))</f>
        <v/>
      </c>
      <c r="K1983" s="30">
        <f>IF(A1983="","",IFERROR(INDEX('Holders'!$B$4:$B$1003,MATCH(A1983,'Holders'!$A$4:$A$1003,0)),""))</f>
        <v/>
      </c>
      <c r="L1983" s="30">
        <f>IF(OR(A1983="",B1983="",D1983=""),"",IF(D1983=_xlfn.MAXIFS($D$4:$D$2503,$A$4:$A$2503,A1983,$B$4:$B$2503,B1983),"Yes","No"))</f>
        <v/>
      </c>
      <c r="M1983" s="30">
        <f>IF(B1983="","",IFERROR(INDEX('Share classes'!$F$4:$F$203,MATCH(B1983,'Share classes'!$B$4:$B$203,0)),""))</f>
        <v/>
      </c>
      <c r="N1983" s="30">
        <f>IF(A1983="","",IF(K1983="","Unknown holder ID",IF(J1983="","Unknown class code",IF(OR(C1983="",D1983=""),"Missing shares or date",IF(OR(C1983&lt;0,C1983&lt;&gt;INT(C1983)),"Shares must be a whole number",IF(COUNTIFS($A$4:$A$2503,A1983,$B$4:$B$2503,B1983,$D$4:$D$2503,D1983)&gt;1,"Duplicate row (same date)","OK"))))))</f>
        <v/>
      </c>
    </row>
    <row r="1984">
      <c r="A1984" s="26" t="n"/>
      <c r="B1984" s="26" t="n"/>
      <c r="C1984" s="34" t="n"/>
      <c r="D1984" s="28" t="n"/>
      <c r="E1984" s="26" t="n"/>
      <c r="F1984" s="26" t="n"/>
      <c r="G1984" s="26" t="n"/>
      <c r="H1984" s="38" t="n"/>
      <c r="I1984" s="28" t="n"/>
      <c r="J1984" s="30">
        <f>IF(B1984="","",IFERROR(INDEX('Share classes'!$A$4:$A$203,MATCH(B1984,'Share classes'!$B$4:$B$203,0)),""))</f>
        <v/>
      </c>
      <c r="K1984" s="30">
        <f>IF(A1984="","",IFERROR(INDEX('Holders'!$B$4:$B$1003,MATCH(A1984,'Holders'!$A$4:$A$1003,0)),""))</f>
        <v/>
      </c>
      <c r="L1984" s="30">
        <f>IF(OR(A1984="",B1984="",D1984=""),"",IF(D1984=_xlfn.MAXIFS($D$4:$D$2503,$A$4:$A$2503,A1984,$B$4:$B$2503,B1984),"Yes","No"))</f>
        <v/>
      </c>
      <c r="M1984" s="30">
        <f>IF(B1984="","",IFERROR(INDEX('Share classes'!$F$4:$F$203,MATCH(B1984,'Share classes'!$B$4:$B$203,0)),""))</f>
        <v/>
      </c>
      <c r="N1984" s="30">
        <f>IF(A1984="","",IF(K1984="","Unknown holder ID",IF(J1984="","Unknown class code",IF(OR(C1984="",D1984=""),"Missing shares or date",IF(OR(C1984&lt;0,C1984&lt;&gt;INT(C1984)),"Shares must be a whole number",IF(COUNTIFS($A$4:$A$2503,A1984,$B$4:$B$2503,B1984,$D$4:$D$2503,D1984)&gt;1,"Duplicate row (same date)","OK"))))))</f>
        <v/>
      </c>
    </row>
    <row r="1985">
      <c r="A1985" s="26" t="n"/>
      <c r="B1985" s="26" t="n"/>
      <c r="C1985" s="34" t="n"/>
      <c r="D1985" s="28" t="n"/>
      <c r="E1985" s="26" t="n"/>
      <c r="F1985" s="26" t="n"/>
      <c r="G1985" s="26" t="n"/>
      <c r="H1985" s="38" t="n"/>
      <c r="I1985" s="28" t="n"/>
      <c r="J1985" s="30">
        <f>IF(B1985="","",IFERROR(INDEX('Share classes'!$A$4:$A$203,MATCH(B1985,'Share classes'!$B$4:$B$203,0)),""))</f>
        <v/>
      </c>
      <c r="K1985" s="30">
        <f>IF(A1985="","",IFERROR(INDEX('Holders'!$B$4:$B$1003,MATCH(A1985,'Holders'!$A$4:$A$1003,0)),""))</f>
        <v/>
      </c>
      <c r="L1985" s="30">
        <f>IF(OR(A1985="",B1985="",D1985=""),"",IF(D1985=_xlfn.MAXIFS($D$4:$D$2503,$A$4:$A$2503,A1985,$B$4:$B$2503,B1985),"Yes","No"))</f>
        <v/>
      </c>
      <c r="M1985" s="30">
        <f>IF(B1985="","",IFERROR(INDEX('Share classes'!$F$4:$F$203,MATCH(B1985,'Share classes'!$B$4:$B$203,0)),""))</f>
        <v/>
      </c>
      <c r="N1985" s="30">
        <f>IF(A1985="","",IF(K1985="","Unknown holder ID",IF(J1985="","Unknown class code",IF(OR(C1985="",D1985=""),"Missing shares or date",IF(OR(C1985&lt;0,C1985&lt;&gt;INT(C1985)),"Shares must be a whole number",IF(COUNTIFS($A$4:$A$2503,A1985,$B$4:$B$2503,B1985,$D$4:$D$2503,D1985)&gt;1,"Duplicate row (same date)","OK"))))))</f>
        <v/>
      </c>
    </row>
    <row r="1986">
      <c r="A1986" s="26" t="n"/>
      <c r="B1986" s="26" t="n"/>
      <c r="C1986" s="34" t="n"/>
      <c r="D1986" s="28" t="n"/>
      <c r="E1986" s="26" t="n"/>
      <c r="F1986" s="26" t="n"/>
      <c r="G1986" s="26" t="n"/>
      <c r="H1986" s="38" t="n"/>
      <c r="I1986" s="28" t="n"/>
      <c r="J1986" s="30">
        <f>IF(B1986="","",IFERROR(INDEX('Share classes'!$A$4:$A$203,MATCH(B1986,'Share classes'!$B$4:$B$203,0)),""))</f>
        <v/>
      </c>
      <c r="K1986" s="30">
        <f>IF(A1986="","",IFERROR(INDEX('Holders'!$B$4:$B$1003,MATCH(A1986,'Holders'!$A$4:$A$1003,0)),""))</f>
        <v/>
      </c>
      <c r="L1986" s="30">
        <f>IF(OR(A1986="",B1986="",D1986=""),"",IF(D1986=_xlfn.MAXIFS($D$4:$D$2503,$A$4:$A$2503,A1986,$B$4:$B$2503,B1986),"Yes","No"))</f>
        <v/>
      </c>
      <c r="M1986" s="30">
        <f>IF(B1986="","",IFERROR(INDEX('Share classes'!$F$4:$F$203,MATCH(B1986,'Share classes'!$B$4:$B$203,0)),""))</f>
        <v/>
      </c>
      <c r="N1986" s="30">
        <f>IF(A1986="","",IF(K1986="","Unknown holder ID",IF(J1986="","Unknown class code",IF(OR(C1986="",D1986=""),"Missing shares or date",IF(OR(C1986&lt;0,C1986&lt;&gt;INT(C1986)),"Shares must be a whole number",IF(COUNTIFS($A$4:$A$2503,A1986,$B$4:$B$2503,B1986,$D$4:$D$2503,D1986)&gt;1,"Duplicate row (same date)","OK"))))))</f>
        <v/>
      </c>
    </row>
    <row r="1987">
      <c r="A1987" s="26" t="n"/>
      <c r="B1987" s="26" t="n"/>
      <c r="C1987" s="34" t="n"/>
      <c r="D1987" s="28" t="n"/>
      <c r="E1987" s="26" t="n"/>
      <c r="F1987" s="26" t="n"/>
      <c r="G1987" s="26" t="n"/>
      <c r="H1987" s="38" t="n"/>
      <c r="I1987" s="28" t="n"/>
      <c r="J1987" s="30">
        <f>IF(B1987="","",IFERROR(INDEX('Share classes'!$A$4:$A$203,MATCH(B1987,'Share classes'!$B$4:$B$203,0)),""))</f>
        <v/>
      </c>
      <c r="K1987" s="30">
        <f>IF(A1987="","",IFERROR(INDEX('Holders'!$B$4:$B$1003,MATCH(A1987,'Holders'!$A$4:$A$1003,0)),""))</f>
        <v/>
      </c>
      <c r="L1987" s="30">
        <f>IF(OR(A1987="",B1987="",D1987=""),"",IF(D1987=_xlfn.MAXIFS($D$4:$D$2503,$A$4:$A$2503,A1987,$B$4:$B$2503,B1987),"Yes","No"))</f>
        <v/>
      </c>
      <c r="M1987" s="30">
        <f>IF(B1987="","",IFERROR(INDEX('Share classes'!$F$4:$F$203,MATCH(B1987,'Share classes'!$B$4:$B$203,0)),""))</f>
        <v/>
      </c>
      <c r="N1987" s="30">
        <f>IF(A1987="","",IF(K1987="","Unknown holder ID",IF(J1987="","Unknown class code",IF(OR(C1987="",D1987=""),"Missing shares or date",IF(OR(C1987&lt;0,C1987&lt;&gt;INT(C1987)),"Shares must be a whole number",IF(COUNTIFS($A$4:$A$2503,A1987,$B$4:$B$2503,B1987,$D$4:$D$2503,D1987)&gt;1,"Duplicate row (same date)","OK"))))))</f>
        <v/>
      </c>
    </row>
    <row r="1988">
      <c r="A1988" s="26" t="n"/>
      <c r="B1988" s="26" t="n"/>
      <c r="C1988" s="34" t="n"/>
      <c r="D1988" s="28" t="n"/>
      <c r="E1988" s="26" t="n"/>
      <c r="F1988" s="26" t="n"/>
      <c r="G1988" s="26" t="n"/>
      <c r="H1988" s="38" t="n"/>
      <c r="I1988" s="28" t="n"/>
      <c r="J1988" s="30">
        <f>IF(B1988="","",IFERROR(INDEX('Share classes'!$A$4:$A$203,MATCH(B1988,'Share classes'!$B$4:$B$203,0)),""))</f>
        <v/>
      </c>
      <c r="K1988" s="30">
        <f>IF(A1988="","",IFERROR(INDEX('Holders'!$B$4:$B$1003,MATCH(A1988,'Holders'!$A$4:$A$1003,0)),""))</f>
        <v/>
      </c>
      <c r="L1988" s="30">
        <f>IF(OR(A1988="",B1988="",D1988=""),"",IF(D1988=_xlfn.MAXIFS($D$4:$D$2503,$A$4:$A$2503,A1988,$B$4:$B$2503,B1988),"Yes","No"))</f>
        <v/>
      </c>
      <c r="M1988" s="30">
        <f>IF(B1988="","",IFERROR(INDEX('Share classes'!$F$4:$F$203,MATCH(B1988,'Share classes'!$B$4:$B$203,0)),""))</f>
        <v/>
      </c>
      <c r="N1988" s="30">
        <f>IF(A1988="","",IF(K1988="","Unknown holder ID",IF(J1988="","Unknown class code",IF(OR(C1988="",D1988=""),"Missing shares or date",IF(OR(C1988&lt;0,C1988&lt;&gt;INT(C1988)),"Shares must be a whole number",IF(COUNTIFS($A$4:$A$2503,A1988,$B$4:$B$2503,B1988,$D$4:$D$2503,D1988)&gt;1,"Duplicate row (same date)","OK"))))))</f>
        <v/>
      </c>
    </row>
    <row r="1989">
      <c r="A1989" s="26" t="n"/>
      <c r="B1989" s="26" t="n"/>
      <c r="C1989" s="34" t="n"/>
      <c r="D1989" s="28" t="n"/>
      <c r="E1989" s="26" t="n"/>
      <c r="F1989" s="26" t="n"/>
      <c r="G1989" s="26" t="n"/>
      <c r="H1989" s="38" t="n"/>
      <c r="I1989" s="28" t="n"/>
      <c r="J1989" s="30">
        <f>IF(B1989="","",IFERROR(INDEX('Share classes'!$A$4:$A$203,MATCH(B1989,'Share classes'!$B$4:$B$203,0)),""))</f>
        <v/>
      </c>
      <c r="K1989" s="30">
        <f>IF(A1989="","",IFERROR(INDEX('Holders'!$B$4:$B$1003,MATCH(A1989,'Holders'!$A$4:$A$1003,0)),""))</f>
        <v/>
      </c>
      <c r="L1989" s="30">
        <f>IF(OR(A1989="",B1989="",D1989=""),"",IF(D1989=_xlfn.MAXIFS($D$4:$D$2503,$A$4:$A$2503,A1989,$B$4:$B$2503,B1989),"Yes","No"))</f>
        <v/>
      </c>
      <c r="M1989" s="30">
        <f>IF(B1989="","",IFERROR(INDEX('Share classes'!$F$4:$F$203,MATCH(B1989,'Share classes'!$B$4:$B$203,0)),""))</f>
        <v/>
      </c>
      <c r="N1989" s="30">
        <f>IF(A1989="","",IF(K1989="","Unknown holder ID",IF(J1989="","Unknown class code",IF(OR(C1989="",D1989=""),"Missing shares or date",IF(OR(C1989&lt;0,C1989&lt;&gt;INT(C1989)),"Shares must be a whole number",IF(COUNTIFS($A$4:$A$2503,A1989,$B$4:$B$2503,B1989,$D$4:$D$2503,D1989)&gt;1,"Duplicate row (same date)","OK"))))))</f>
        <v/>
      </c>
    </row>
    <row r="1990">
      <c r="A1990" s="26" t="n"/>
      <c r="B1990" s="26" t="n"/>
      <c r="C1990" s="34" t="n"/>
      <c r="D1990" s="28" t="n"/>
      <c r="E1990" s="26" t="n"/>
      <c r="F1990" s="26" t="n"/>
      <c r="G1990" s="26" t="n"/>
      <c r="H1990" s="38" t="n"/>
      <c r="I1990" s="28" t="n"/>
      <c r="J1990" s="30">
        <f>IF(B1990="","",IFERROR(INDEX('Share classes'!$A$4:$A$203,MATCH(B1990,'Share classes'!$B$4:$B$203,0)),""))</f>
        <v/>
      </c>
      <c r="K1990" s="30">
        <f>IF(A1990="","",IFERROR(INDEX('Holders'!$B$4:$B$1003,MATCH(A1990,'Holders'!$A$4:$A$1003,0)),""))</f>
        <v/>
      </c>
      <c r="L1990" s="30">
        <f>IF(OR(A1990="",B1990="",D1990=""),"",IF(D1990=_xlfn.MAXIFS($D$4:$D$2503,$A$4:$A$2503,A1990,$B$4:$B$2503,B1990),"Yes","No"))</f>
        <v/>
      </c>
      <c r="M1990" s="30">
        <f>IF(B1990="","",IFERROR(INDEX('Share classes'!$F$4:$F$203,MATCH(B1990,'Share classes'!$B$4:$B$203,0)),""))</f>
        <v/>
      </c>
      <c r="N1990" s="30">
        <f>IF(A1990="","",IF(K1990="","Unknown holder ID",IF(J1990="","Unknown class code",IF(OR(C1990="",D1990=""),"Missing shares or date",IF(OR(C1990&lt;0,C1990&lt;&gt;INT(C1990)),"Shares must be a whole number",IF(COUNTIFS($A$4:$A$2503,A1990,$B$4:$B$2503,B1990,$D$4:$D$2503,D1990)&gt;1,"Duplicate row (same date)","OK"))))))</f>
        <v/>
      </c>
    </row>
    <row r="1991">
      <c r="A1991" s="26" t="n"/>
      <c r="B1991" s="26" t="n"/>
      <c r="C1991" s="34" t="n"/>
      <c r="D1991" s="28" t="n"/>
      <c r="E1991" s="26" t="n"/>
      <c r="F1991" s="26" t="n"/>
      <c r="G1991" s="26" t="n"/>
      <c r="H1991" s="38" t="n"/>
      <c r="I1991" s="28" t="n"/>
      <c r="J1991" s="30">
        <f>IF(B1991="","",IFERROR(INDEX('Share classes'!$A$4:$A$203,MATCH(B1991,'Share classes'!$B$4:$B$203,0)),""))</f>
        <v/>
      </c>
      <c r="K1991" s="30">
        <f>IF(A1991="","",IFERROR(INDEX('Holders'!$B$4:$B$1003,MATCH(A1991,'Holders'!$A$4:$A$1003,0)),""))</f>
        <v/>
      </c>
      <c r="L1991" s="30">
        <f>IF(OR(A1991="",B1991="",D1991=""),"",IF(D1991=_xlfn.MAXIFS($D$4:$D$2503,$A$4:$A$2503,A1991,$B$4:$B$2503,B1991),"Yes","No"))</f>
        <v/>
      </c>
      <c r="M1991" s="30">
        <f>IF(B1991="","",IFERROR(INDEX('Share classes'!$F$4:$F$203,MATCH(B1991,'Share classes'!$B$4:$B$203,0)),""))</f>
        <v/>
      </c>
      <c r="N1991" s="30">
        <f>IF(A1991="","",IF(K1991="","Unknown holder ID",IF(J1991="","Unknown class code",IF(OR(C1991="",D1991=""),"Missing shares or date",IF(OR(C1991&lt;0,C1991&lt;&gt;INT(C1991)),"Shares must be a whole number",IF(COUNTIFS($A$4:$A$2503,A1991,$B$4:$B$2503,B1991,$D$4:$D$2503,D1991)&gt;1,"Duplicate row (same date)","OK"))))))</f>
        <v/>
      </c>
    </row>
    <row r="1992">
      <c r="A1992" s="26" t="n"/>
      <c r="B1992" s="26" t="n"/>
      <c r="C1992" s="34" t="n"/>
      <c r="D1992" s="28" t="n"/>
      <c r="E1992" s="26" t="n"/>
      <c r="F1992" s="26" t="n"/>
      <c r="G1992" s="26" t="n"/>
      <c r="H1992" s="38" t="n"/>
      <c r="I1992" s="28" t="n"/>
      <c r="J1992" s="30">
        <f>IF(B1992="","",IFERROR(INDEX('Share classes'!$A$4:$A$203,MATCH(B1992,'Share classes'!$B$4:$B$203,0)),""))</f>
        <v/>
      </c>
      <c r="K1992" s="30">
        <f>IF(A1992="","",IFERROR(INDEX('Holders'!$B$4:$B$1003,MATCH(A1992,'Holders'!$A$4:$A$1003,0)),""))</f>
        <v/>
      </c>
      <c r="L1992" s="30">
        <f>IF(OR(A1992="",B1992="",D1992=""),"",IF(D1992=_xlfn.MAXIFS($D$4:$D$2503,$A$4:$A$2503,A1992,$B$4:$B$2503,B1992),"Yes","No"))</f>
        <v/>
      </c>
      <c r="M1992" s="30">
        <f>IF(B1992="","",IFERROR(INDEX('Share classes'!$F$4:$F$203,MATCH(B1992,'Share classes'!$B$4:$B$203,0)),""))</f>
        <v/>
      </c>
      <c r="N1992" s="30">
        <f>IF(A1992="","",IF(K1992="","Unknown holder ID",IF(J1992="","Unknown class code",IF(OR(C1992="",D1992=""),"Missing shares or date",IF(OR(C1992&lt;0,C1992&lt;&gt;INT(C1992)),"Shares must be a whole number",IF(COUNTIFS($A$4:$A$2503,A1992,$B$4:$B$2503,B1992,$D$4:$D$2503,D1992)&gt;1,"Duplicate row (same date)","OK"))))))</f>
        <v/>
      </c>
    </row>
    <row r="1993">
      <c r="A1993" s="26" t="n"/>
      <c r="B1993" s="26" t="n"/>
      <c r="C1993" s="34" t="n"/>
      <c r="D1993" s="28" t="n"/>
      <c r="E1993" s="26" t="n"/>
      <c r="F1993" s="26" t="n"/>
      <c r="G1993" s="26" t="n"/>
      <c r="H1993" s="38" t="n"/>
      <c r="I1993" s="28" t="n"/>
      <c r="J1993" s="30">
        <f>IF(B1993="","",IFERROR(INDEX('Share classes'!$A$4:$A$203,MATCH(B1993,'Share classes'!$B$4:$B$203,0)),""))</f>
        <v/>
      </c>
      <c r="K1993" s="30">
        <f>IF(A1993="","",IFERROR(INDEX('Holders'!$B$4:$B$1003,MATCH(A1993,'Holders'!$A$4:$A$1003,0)),""))</f>
        <v/>
      </c>
      <c r="L1993" s="30">
        <f>IF(OR(A1993="",B1993="",D1993=""),"",IF(D1993=_xlfn.MAXIFS($D$4:$D$2503,$A$4:$A$2503,A1993,$B$4:$B$2503,B1993),"Yes","No"))</f>
        <v/>
      </c>
      <c r="M1993" s="30">
        <f>IF(B1993="","",IFERROR(INDEX('Share classes'!$F$4:$F$203,MATCH(B1993,'Share classes'!$B$4:$B$203,0)),""))</f>
        <v/>
      </c>
      <c r="N1993" s="30">
        <f>IF(A1993="","",IF(K1993="","Unknown holder ID",IF(J1993="","Unknown class code",IF(OR(C1993="",D1993=""),"Missing shares or date",IF(OR(C1993&lt;0,C1993&lt;&gt;INT(C1993)),"Shares must be a whole number",IF(COUNTIFS($A$4:$A$2503,A1993,$B$4:$B$2503,B1993,$D$4:$D$2503,D1993)&gt;1,"Duplicate row (same date)","OK"))))))</f>
        <v/>
      </c>
    </row>
    <row r="1994">
      <c r="A1994" s="26" t="n"/>
      <c r="B1994" s="26" t="n"/>
      <c r="C1994" s="34" t="n"/>
      <c r="D1994" s="28" t="n"/>
      <c r="E1994" s="26" t="n"/>
      <c r="F1994" s="26" t="n"/>
      <c r="G1994" s="26" t="n"/>
      <c r="H1994" s="38" t="n"/>
      <c r="I1994" s="28" t="n"/>
      <c r="J1994" s="30">
        <f>IF(B1994="","",IFERROR(INDEX('Share classes'!$A$4:$A$203,MATCH(B1994,'Share classes'!$B$4:$B$203,0)),""))</f>
        <v/>
      </c>
      <c r="K1994" s="30">
        <f>IF(A1994="","",IFERROR(INDEX('Holders'!$B$4:$B$1003,MATCH(A1994,'Holders'!$A$4:$A$1003,0)),""))</f>
        <v/>
      </c>
      <c r="L1994" s="30">
        <f>IF(OR(A1994="",B1994="",D1994=""),"",IF(D1994=_xlfn.MAXIFS($D$4:$D$2503,$A$4:$A$2503,A1994,$B$4:$B$2503,B1994),"Yes","No"))</f>
        <v/>
      </c>
      <c r="M1994" s="30">
        <f>IF(B1994="","",IFERROR(INDEX('Share classes'!$F$4:$F$203,MATCH(B1994,'Share classes'!$B$4:$B$203,0)),""))</f>
        <v/>
      </c>
      <c r="N1994" s="30">
        <f>IF(A1994="","",IF(K1994="","Unknown holder ID",IF(J1994="","Unknown class code",IF(OR(C1994="",D1994=""),"Missing shares or date",IF(OR(C1994&lt;0,C1994&lt;&gt;INT(C1994)),"Shares must be a whole number",IF(COUNTIFS($A$4:$A$2503,A1994,$B$4:$B$2503,B1994,$D$4:$D$2503,D1994)&gt;1,"Duplicate row (same date)","OK"))))))</f>
        <v/>
      </c>
    </row>
    <row r="1995">
      <c r="A1995" s="26" t="n"/>
      <c r="B1995" s="26" t="n"/>
      <c r="C1995" s="34" t="n"/>
      <c r="D1995" s="28" t="n"/>
      <c r="E1995" s="26" t="n"/>
      <c r="F1995" s="26" t="n"/>
      <c r="G1995" s="26" t="n"/>
      <c r="H1995" s="38" t="n"/>
      <c r="I1995" s="28" t="n"/>
      <c r="J1995" s="30">
        <f>IF(B1995="","",IFERROR(INDEX('Share classes'!$A$4:$A$203,MATCH(B1995,'Share classes'!$B$4:$B$203,0)),""))</f>
        <v/>
      </c>
      <c r="K1995" s="30">
        <f>IF(A1995="","",IFERROR(INDEX('Holders'!$B$4:$B$1003,MATCH(A1995,'Holders'!$A$4:$A$1003,0)),""))</f>
        <v/>
      </c>
      <c r="L1995" s="30">
        <f>IF(OR(A1995="",B1995="",D1995=""),"",IF(D1995=_xlfn.MAXIFS($D$4:$D$2503,$A$4:$A$2503,A1995,$B$4:$B$2503,B1995),"Yes","No"))</f>
        <v/>
      </c>
      <c r="M1995" s="30">
        <f>IF(B1995="","",IFERROR(INDEX('Share classes'!$F$4:$F$203,MATCH(B1995,'Share classes'!$B$4:$B$203,0)),""))</f>
        <v/>
      </c>
      <c r="N1995" s="30">
        <f>IF(A1995="","",IF(K1995="","Unknown holder ID",IF(J1995="","Unknown class code",IF(OR(C1995="",D1995=""),"Missing shares or date",IF(OR(C1995&lt;0,C1995&lt;&gt;INT(C1995)),"Shares must be a whole number",IF(COUNTIFS($A$4:$A$2503,A1995,$B$4:$B$2503,B1995,$D$4:$D$2503,D1995)&gt;1,"Duplicate row (same date)","OK"))))))</f>
        <v/>
      </c>
    </row>
    <row r="1996">
      <c r="A1996" s="26" t="n"/>
      <c r="B1996" s="26" t="n"/>
      <c r="C1996" s="34" t="n"/>
      <c r="D1996" s="28" t="n"/>
      <c r="E1996" s="26" t="n"/>
      <c r="F1996" s="26" t="n"/>
      <c r="G1996" s="26" t="n"/>
      <c r="H1996" s="38" t="n"/>
      <c r="I1996" s="28" t="n"/>
      <c r="J1996" s="30">
        <f>IF(B1996="","",IFERROR(INDEX('Share classes'!$A$4:$A$203,MATCH(B1996,'Share classes'!$B$4:$B$203,0)),""))</f>
        <v/>
      </c>
      <c r="K1996" s="30">
        <f>IF(A1996="","",IFERROR(INDEX('Holders'!$B$4:$B$1003,MATCH(A1996,'Holders'!$A$4:$A$1003,0)),""))</f>
        <v/>
      </c>
      <c r="L1996" s="30">
        <f>IF(OR(A1996="",B1996="",D1996=""),"",IF(D1996=_xlfn.MAXIFS($D$4:$D$2503,$A$4:$A$2503,A1996,$B$4:$B$2503,B1996),"Yes","No"))</f>
        <v/>
      </c>
      <c r="M1996" s="30">
        <f>IF(B1996="","",IFERROR(INDEX('Share classes'!$F$4:$F$203,MATCH(B1996,'Share classes'!$B$4:$B$203,0)),""))</f>
        <v/>
      </c>
      <c r="N1996" s="30">
        <f>IF(A1996="","",IF(K1996="","Unknown holder ID",IF(J1996="","Unknown class code",IF(OR(C1996="",D1996=""),"Missing shares or date",IF(OR(C1996&lt;0,C1996&lt;&gt;INT(C1996)),"Shares must be a whole number",IF(COUNTIFS($A$4:$A$2503,A1996,$B$4:$B$2503,B1996,$D$4:$D$2503,D1996)&gt;1,"Duplicate row (same date)","OK"))))))</f>
        <v/>
      </c>
    </row>
    <row r="1997">
      <c r="A1997" s="26" t="n"/>
      <c r="B1997" s="26" t="n"/>
      <c r="C1997" s="34" t="n"/>
      <c r="D1997" s="28" t="n"/>
      <c r="E1997" s="26" t="n"/>
      <c r="F1997" s="26" t="n"/>
      <c r="G1997" s="26" t="n"/>
      <c r="H1997" s="38" t="n"/>
      <c r="I1997" s="28" t="n"/>
      <c r="J1997" s="30">
        <f>IF(B1997="","",IFERROR(INDEX('Share classes'!$A$4:$A$203,MATCH(B1997,'Share classes'!$B$4:$B$203,0)),""))</f>
        <v/>
      </c>
      <c r="K1997" s="30">
        <f>IF(A1997="","",IFERROR(INDEX('Holders'!$B$4:$B$1003,MATCH(A1997,'Holders'!$A$4:$A$1003,0)),""))</f>
        <v/>
      </c>
      <c r="L1997" s="30">
        <f>IF(OR(A1997="",B1997="",D1997=""),"",IF(D1997=_xlfn.MAXIFS($D$4:$D$2503,$A$4:$A$2503,A1997,$B$4:$B$2503,B1997),"Yes","No"))</f>
        <v/>
      </c>
      <c r="M1997" s="30">
        <f>IF(B1997="","",IFERROR(INDEX('Share classes'!$F$4:$F$203,MATCH(B1997,'Share classes'!$B$4:$B$203,0)),""))</f>
        <v/>
      </c>
      <c r="N1997" s="30">
        <f>IF(A1997="","",IF(K1997="","Unknown holder ID",IF(J1997="","Unknown class code",IF(OR(C1997="",D1997=""),"Missing shares or date",IF(OR(C1997&lt;0,C1997&lt;&gt;INT(C1997)),"Shares must be a whole number",IF(COUNTIFS($A$4:$A$2503,A1997,$B$4:$B$2503,B1997,$D$4:$D$2503,D1997)&gt;1,"Duplicate row (same date)","OK"))))))</f>
        <v/>
      </c>
    </row>
    <row r="1998">
      <c r="A1998" s="26" t="n"/>
      <c r="B1998" s="26" t="n"/>
      <c r="C1998" s="34" t="n"/>
      <c r="D1998" s="28" t="n"/>
      <c r="E1998" s="26" t="n"/>
      <c r="F1998" s="26" t="n"/>
      <c r="G1998" s="26" t="n"/>
      <c r="H1998" s="38" t="n"/>
      <c r="I1998" s="28" t="n"/>
      <c r="J1998" s="30">
        <f>IF(B1998="","",IFERROR(INDEX('Share classes'!$A$4:$A$203,MATCH(B1998,'Share classes'!$B$4:$B$203,0)),""))</f>
        <v/>
      </c>
      <c r="K1998" s="30">
        <f>IF(A1998="","",IFERROR(INDEX('Holders'!$B$4:$B$1003,MATCH(A1998,'Holders'!$A$4:$A$1003,0)),""))</f>
        <v/>
      </c>
      <c r="L1998" s="30">
        <f>IF(OR(A1998="",B1998="",D1998=""),"",IF(D1998=_xlfn.MAXIFS($D$4:$D$2503,$A$4:$A$2503,A1998,$B$4:$B$2503,B1998),"Yes","No"))</f>
        <v/>
      </c>
      <c r="M1998" s="30">
        <f>IF(B1998="","",IFERROR(INDEX('Share classes'!$F$4:$F$203,MATCH(B1998,'Share classes'!$B$4:$B$203,0)),""))</f>
        <v/>
      </c>
      <c r="N1998" s="30">
        <f>IF(A1998="","",IF(K1998="","Unknown holder ID",IF(J1998="","Unknown class code",IF(OR(C1998="",D1998=""),"Missing shares or date",IF(OR(C1998&lt;0,C1998&lt;&gt;INT(C1998)),"Shares must be a whole number",IF(COUNTIFS($A$4:$A$2503,A1998,$B$4:$B$2503,B1998,$D$4:$D$2503,D1998)&gt;1,"Duplicate row (same date)","OK"))))))</f>
        <v/>
      </c>
    </row>
    <row r="1999">
      <c r="A1999" s="26" t="n"/>
      <c r="B1999" s="26" t="n"/>
      <c r="C1999" s="34" t="n"/>
      <c r="D1999" s="28" t="n"/>
      <c r="E1999" s="26" t="n"/>
      <c r="F1999" s="26" t="n"/>
      <c r="G1999" s="26" t="n"/>
      <c r="H1999" s="38" t="n"/>
      <c r="I1999" s="28" t="n"/>
      <c r="J1999" s="30">
        <f>IF(B1999="","",IFERROR(INDEX('Share classes'!$A$4:$A$203,MATCH(B1999,'Share classes'!$B$4:$B$203,0)),""))</f>
        <v/>
      </c>
      <c r="K1999" s="30">
        <f>IF(A1999="","",IFERROR(INDEX('Holders'!$B$4:$B$1003,MATCH(A1999,'Holders'!$A$4:$A$1003,0)),""))</f>
        <v/>
      </c>
      <c r="L1999" s="30">
        <f>IF(OR(A1999="",B1999="",D1999=""),"",IF(D1999=_xlfn.MAXIFS($D$4:$D$2503,$A$4:$A$2503,A1999,$B$4:$B$2503,B1999),"Yes","No"))</f>
        <v/>
      </c>
      <c r="M1999" s="30">
        <f>IF(B1999="","",IFERROR(INDEX('Share classes'!$F$4:$F$203,MATCH(B1999,'Share classes'!$B$4:$B$203,0)),""))</f>
        <v/>
      </c>
      <c r="N1999" s="30">
        <f>IF(A1999="","",IF(K1999="","Unknown holder ID",IF(J1999="","Unknown class code",IF(OR(C1999="",D1999=""),"Missing shares or date",IF(OR(C1999&lt;0,C1999&lt;&gt;INT(C1999)),"Shares must be a whole number",IF(COUNTIFS($A$4:$A$2503,A1999,$B$4:$B$2503,B1999,$D$4:$D$2503,D1999)&gt;1,"Duplicate row (same date)","OK"))))))</f>
        <v/>
      </c>
    </row>
    <row r="2000">
      <c r="A2000" s="26" t="n"/>
      <c r="B2000" s="26" t="n"/>
      <c r="C2000" s="34" t="n"/>
      <c r="D2000" s="28" t="n"/>
      <c r="E2000" s="26" t="n"/>
      <c r="F2000" s="26" t="n"/>
      <c r="G2000" s="26" t="n"/>
      <c r="H2000" s="38" t="n"/>
      <c r="I2000" s="28" t="n"/>
      <c r="J2000" s="30">
        <f>IF(B2000="","",IFERROR(INDEX('Share classes'!$A$4:$A$203,MATCH(B2000,'Share classes'!$B$4:$B$203,0)),""))</f>
        <v/>
      </c>
      <c r="K2000" s="30">
        <f>IF(A2000="","",IFERROR(INDEX('Holders'!$B$4:$B$1003,MATCH(A2000,'Holders'!$A$4:$A$1003,0)),""))</f>
        <v/>
      </c>
      <c r="L2000" s="30">
        <f>IF(OR(A2000="",B2000="",D2000=""),"",IF(D2000=_xlfn.MAXIFS($D$4:$D$2503,$A$4:$A$2503,A2000,$B$4:$B$2503,B2000),"Yes","No"))</f>
        <v/>
      </c>
      <c r="M2000" s="30">
        <f>IF(B2000="","",IFERROR(INDEX('Share classes'!$F$4:$F$203,MATCH(B2000,'Share classes'!$B$4:$B$203,0)),""))</f>
        <v/>
      </c>
      <c r="N2000" s="30">
        <f>IF(A2000="","",IF(K2000="","Unknown holder ID",IF(J2000="","Unknown class code",IF(OR(C2000="",D2000=""),"Missing shares or date",IF(OR(C2000&lt;0,C2000&lt;&gt;INT(C2000)),"Shares must be a whole number",IF(COUNTIFS($A$4:$A$2503,A2000,$B$4:$B$2503,B2000,$D$4:$D$2503,D2000)&gt;1,"Duplicate row (same date)","OK"))))))</f>
        <v/>
      </c>
    </row>
    <row r="2001">
      <c r="A2001" s="26" t="n"/>
      <c r="B2001" s="26" t="n"/>
      <c r="C2001" s="34" t="n"/>
      <c r="D2001" s="28" t="n"/>
      <c r="E2001" s="26" t="n"/>
      <c r="F2001" s="26" t="n"/>
      <c r="G2001" s="26" t="n"/>
      <c r="H2001" s="38" t="n"/>
      <c r="I2001" s="28" t="n"/>
      <c r="J2001" s="30">
        <f>IF(B2001="","",IFERROR(INDEX('Share classes'!$A$4:$A$203,MATCH(B2001,'Share classes'!$B$4:$B$203,0)),""))</f>
        <v/>
      </c>
      <c r="K2001" s="30">
        <f>IF(A2001="","",IFERROR(INDEX('Holders'!$B$4:$B$1003,MATCH(A2001,'Holders'!$A$4:$A$1003,0)),""))</f>
        <v/>
      </c>
      <c r="L2001" s="30">
        <f>IF(OR(A2001="",B2001="",D2001=""),"",IF(D2001=_xlfn.MAXIFS($D$4:$D$2503,$A$4:$A$2503,A2001,$B$4:$B$2503,B2001),"Yes","No"))</f>
        <v/>
      </c>
      <c r="M2001" s="30">
        <f>IF(B2001="","",IFERROR(INDEX('Share classes'!$F$4:$F$203,MATCH(B2001,'Share classes'!$B$4:$B$203,0)),""))</f>
        <v/>
      </c>
      <c r="N2001" s="30">
        <f>IF(A2001="","",IF(K2001="","Unknown holder ID",IF(J2001="","Unknown class code",IF(OR(C2001="",D2001=""),"Missing shares or date",IF(OR(C2001&lt;0,C2001&lt;&gt;INT(C2001)),"Shares must be a whole number",IF(COUNTIFS($A$4:$A$2503,A2001,$B$4:$B$2503,B2001,$D$4:$D$2503,D2001)&gt;1,"Duplicate row (same date)","OK"))))))</f>
        <v/>
      </c>
    </row>
    <row r="2002">
      <c r="A2002" s="26" t="n"/>
      <c r="B2002" s="26" t="n"/>
      <c r="C2002" s="34" t="n"/>
      <c r="D2002" s="28" t="n"/>
      <c r="E2002" s="26" t="n"/>
      <c r="F2002" s="26" t="n"/>
      <c r="G2002" s="26" t="n"/>
      <c r="H2002" s="38" t="n"/>
      <c r="I2002" s="28" t="n"/>
      <c r="J2002" s="30">
        <f>IF(B2002="","",IFERROR(INDEX('Share classes'!$A$4:$A$203,MATCH(B2002,'Share classes'!$B$4:$B$203,0)),""))</f>
        <v/>
      </c>
      <c r="K2002" s="30">
        <f>IF(A2002="","",IFERROR(INDEX('Holders'!$B$4:$B$1003,MATCH(A2002,'Holders'!$A$4:$A$1003,0)),""))</f>
        <v/>
      </c>
      <c r="L2002" s="30">
        <f>IF(OR(A2002="",B2002="",D2002=""),"",IF(D2002=_xlfn.MAXIFS($D$4:$D$2503,$A$4:$A$2503,A2002,$B$4:$B$2503,B2002),"Yes","No"))</f>
        <v/>
      </c>
      <c r="M2002" s="30">
        <f>IF(B2002="","",IFERROR(INDEX('Share classes'!$F$4:$F$203,MATCH(B2002,'Share classes'!$B$4:$B$203,0)),""))</f>
        <v/>
      </c>
      <c r="N2002" s="30">
        <f>IF(A2002="","",IF(K2002="","Unknown holder ID",IF(J2002="","Unknown class code",IF(OR(C2002="",D2002=""),"Missing shares or date",IF(OR(C2002&lt;0,C2002&lt;&gt;INT(C2002)),"Shares must be a whole number",IF(COUNTIFS($A$4:$A$2503,A2002,$B$4:$B$2503,B2002,$D$4:$D$2503,D2002)&gt;1,"Duplicate row (same date)","OK"))))))</f>
        <v/>
      </c>
    </row>
    <row r="2003">
      <c r="A2003" s="26" t="n"/>
      <c r="B2003" s="26" t="n"/>
      <c r="C2003" s="34" t="n"/>
      <c r="D2003" s="28" t="n"/>
      <c r="E2003" s="26" t="n"/>
      <c r="F2003" s="26" t="n"/>
      <c r="G2003" s="26" t="n"/>
      <c r="H2003" s="38" t="n"/>
      <c r="I2003" s="28" t="n"/>
      <c r="J2003" s="30">
        <f>IF(B2003="","",IFERROR(INDEX('Share classes'!$A$4:$A$203,MATCH(B2003,'Share classes'!$B$4:$B$203,0)),""))</f>
        <v/>
      </c>
      <c r="K2003" s="30">
        <f>IF(A2003="","",IFERROR(INDEX('Holders'!$B$4:$B$1003,MATCH(A2003,'Holders'!$A$4:$A$1003,0)),""))</f>
        <v/>
      </c>
      <c r="L2003" s="30">
        <f>IF(OR(A2003="",B2003="",D2003=""),"",IF(D2003=_xlfn.MAXIFS($D$4:$D$2503,$A$4:$A$2503,A2003,$B$4:$B$2503,B2003),"Yes","No"))</f>
        <v/>
      </c>
      <c r="M2003" s="30">
        <f>IF(B2003="","",IFERROR(INDEX('Share classes'!$F$4:$F$203,MATCH(B2003,'Share classes'!$B$4:$B$203,0)),""))</f>
        <v/>
      </c>
      <c r="N2003" s="30">
        <f>IF(A2003="","",IF(K2003="","Unknown holder ID",IF(J2003="","Unknown class code",IF(OR(C2003="",D2003=""),"Missing shares or date",IF(OR(C2003&lt;0,C2003&lt;&gt;INT(C2003)),"Shares must be a whole number",IF(COUNTIFS($A$4:$A$2503,A2003,$B$4:$B$2503,B2003,$D$4:$D$2503,D2003)&gt;1,"Duplicate row (same date)","OK"))))))</f>
        <v/>
      </c>
    </row>
    <row r="2004">
      <c r="A2004" s="26" t="n"/>
      <c r="B2004" s="26" t="n"/>
      <c r="C2004" s="34" t="n"/>
      <c r="D2004" s="28" t="n"/>
      <c r="E2004" s="26" t="n"/>
      <c r="F2004" s="26" t="n"/>
      <c r="G2004" s="26" t="n"/>
      <c r="H2004" s="38" t="n"/>
      <c r="I2004" s="28" t="n"/>
      <c r="J2004" s="30">
        <f>IF(B2004="","",IFERROR(INDEX('Share classes'!$A$4:$A$203,MATCH(B2004,'Share classes'!$B$4:$B$203,0)),""))</f>
        <v/>
      </c>
      <c r="K2004" s="30">
        <f>IF(A2004="","",IFERROR(INDEX('Holders'!$B$4:$B$1003,MATCH(A2004,'Holders'!$A$4:$A$1003,0)),""))</f>
        <v/>
      </c>
      <c r="L2004" s="30">
        <f>IF(OR(A2004="",B2004="",D2004=""),"",IF(D2004=_xlfn.MAXIFS($D$4:$D$2503,$A$4:$A$2503,A2004,$B$4:$B$2503,B2004),"Yes","No"))</f>
        <v/>
      </c>
      <c r="M2004" s="30">
        <f>IF(B2004="","",IFERROR(INDEX('Share classes'!$F$4:$F$203,MATCH(B2004,'Share classes'!$B$4:$B$203,0)),""))</f>
        <v/>
      </c>
      <c r="N2004" s="30">
        <f>IF(A2004="","",IF(K2004="","Unknown holder ID",IF(J2004="","Unknown class code",IF(OR(C2004="",D2004=""),"Missing shares or date",IF(OR(C2004&lt;0,C2004&lt;&gt;INT(C2004)),"Shares must be a whole number",IF(COUNTIFS($A$4:$A$2503,A2004,$B$4:$B$2503,B2004,$D$4:$D$2503,D2004)&gt;1,"Duplicate row (same date)","OK"))))))</f>
        <v/>
      </c>
    </row>
    <row r="2005">
      <c r="A2005" s="26" t="n"/>
      <c r="B2005" s="26" t="n"/>
      <c r="C2005" s="34" t="n"/>
      <c r="D2005" s="28" t="n"/>
      <c r="E2005" s="26" t="n"/>
      <c r="F2005" s="26" t="n"/>
      <c r="G2005" s="26" t="n"/>
      <c r="H2005" s="38" t="n"/>
      <c r="I2005" s="28" t="n"/>
      <c r="J2005" s="30">
        <f>IF(B2005="","",IFERROR(INDEX('Share classes'!$A$4:$A$203,MATCH(B2005,'Share classes'!$B$4:$B$203,0)),""))</f>
        <v/>
      </c>
      <c r="K2005" s="30">
        <f>IF(A2005="","",IFERROR(INDEX('Holders'!$B$4:$B$1003,MATCH(A2005,'Holders'!$A$4:$A$1003,0)),""))</f>
        <v/>
      </c>
      <c r="L2005" s="30">
        <f>IF(OR(A2005="",B2005="",D2005=""),"",IF(D2005=_xlfn.MAXIFS($D$4:$D$2503,$A$4:$A$2503,A2005,$B$4:$B$2503,B2005),"Yes","No"))</f>
        <v/>
      </c>
      <c r="M2005" s="30">
        <f>IF(B2005="","",IFERROR(INDEX('Share classes'!$F$4:$F$203,MATCH(B2005,'Share classes'!$B$4:$B$203,0)),""))</f>
        <v/>
      </c>
      <c r="N2005" s="30">
        <f>IF(A2005="","",IF(K2005="","Unknown holder ID",IF(J2005="","Unknown class code",IF(OR(C2005="",D2005=""),"Missing shares or date",IF(OR(C2005&lt;0,C2005&lt;&gt;INT(C2005)),"Shares must be a whole number",IF(COUNTIFS($A$4:$A$2503,A2005,$B$4:$B$2503,B2005,$D$4:$D$2503,D2005)&gt;1,"Duplicate row (same date)","OK"))))))</f>
        <v/>
      </c>
    </row>
    <row r="2006">
      <c r="A2006" s="26" t="n"/>
      <c r="B2006" s="26" t="n"/>
      <c r="C2006" s="34" t="n"/>
      <c r="D2006" s="28" t="n"/>
      <c r="E2006" s="26" t="n"/>
      <c r="F2006" s="26" t="n"/>
      <c r="G2006" s="26" t="n"/>
      <c r="H2006" s="38" t="n"/>
      <c r="I2006" s="28" t="n"/>
      <c r="J2006" s="30">
        <f>IF(B2006="","",IFERROR(INDEX('Share classes'!$A$4:$A$203,MATCH(B2006,'Share classes'!$B$4:$B$203,0)),""))</f>
        <v/>
      </c>
      <c r="K2006" s="30">
        <f>IF(A2006="","",IFERROR(INDEX('Holders'!$B$4:$B$1003,MATCH(A2006,'Holders'!$A$4:$A$1003,0)),""))</f>
        <v/>
      </c>
      <c r="L2006" s="30">
        <f>IF(OR(A2006="",B2006="",D2006=""),"",IF(D2006=_xlfn.MAXIFS($D$4:$D$2503,$A$4:$A$2503,A2006,$B$4:$B$2503,B2006),"Yes","No"))</f>
        <v/>
      </c>
      <c r="M2006" s="30">
        <f>IF(B2006="","",IFERROR(INDEX('Share classes'!$F$4:$F$203,MATCH(B2006,'Share classes'!$B$4:$B$203,0)),""))</f>
        <v/>
      </c>
      <c r="N2006" s="30">
        <f>IF(A2006="","",IF(K2006="","Unknown holder ID",IF(J2006="","Unknown class code",IF(OR(C2006="",D2006=""),"Missing shares or date",IF(OR(C2006&lt;0,C2006&lt;&gt;INT(C2006)),"Shares must be a whole number",IF(COUNTIFS($A$4:$A$2503,A2006,$B$4:$B$2503,B2006,$D$4:$D$2503,D2006)&gt;1,"Duplicate row (same date)","OK"))))))</f>
        <v/>
      </c>
    </row>
    <row r="2007">
      <c r="A2007" s="26" t="n"/>
      <c r="B2007" s="26" t="n"/>
      <c r="C2007" s="34" t="n"/>
      <c r="D2007" s="28" t="n"/>
      <c r="E2007" s="26" t="n"/>
      <c r="F2007" s="26" t="n"/>
      <c r="G2007" s="26" t="n"/>
      <c r="H2007" s="38" t="n"/>
      <c r="I2007" s="28" t="n"/>
      <c r="J2007" s="30">
        <f>IF(B2007="","",IFERROR(INDEX('Share classes'!$A$4:$A$203,MATCH(B2007,'Share classes'!$B$4:$B$203,0)),""))</f>
        <v/>
      </c>
      <c r="K2007" s="30">
        <f>IF(A2007="","",IFERROR(INDEX('Holders'!$B$4:$B$1003,MATCH(A2007,'Holders'!$A$4:$A$1003,0)),""))</f>
        <v/>
      </c>
      <c r="L2007" s="30">
        <f>IF(OR(A2007="",B2007="",D2007=""),"",IF(D2007=_xlfn.MAXIFS($D$4:$D$2503,$A$4:$A$2503,A2007,$B$4:$B$2503,B2007),"Yes","No"))</f>
        <v/>
      </c>
      <c r="M2007" s="30">
        <f>IF(B2007="","",IFERROR(INDEX('Share classes'!$F$4:$F$203,MATCH(B2007,'Share classes'!$B$4:$B$203,0)),""))</f>
        <v/>
      </c>
      <c r="N2007" s="30">
        <f>IF(A2007="","",IF(K2007="","Unknown holder ID",IF(J2007="","Unknown class code",IF(OR(C2007="",D2007=""),"Missing shares or date",IF(OR(C2007&lt;0,C2007&lt;&gt;INT(C2007)),"Shares must be a whole number",IF(COUNTIFS($A$4:$A$2503,A2007,$B$4:$B$2503,B2007,$D$4:$D$2503,D2007)&gt;1,"Duplicate row (same date)","OK"))))))</f>
        <v/>
      </c>
    </row>
    <row r="2008">
      <c r="A2008" s="26" t="n"/>
      <c r="B2008" s="26" t="n"/>
      <c r="C2008" s="34" t="n"/>
      <c r="D2008" s="28" t="n"/>
      <c r="E2008" s="26" t="n"/>
      <c r="F2008" s="26" t="n"/>
      <c r="G2008" s="26" t="n"/>
      <c r="H2008" s="38" t="n"/>
      <c r="I2008" s="28" t="n"/>
      <c r="J2008" s="30">
        <f>IF(B2008="","",IFERROR(INDEX('Share classes'!$A$4:$A$203,MATCH(B2008,'Share classes'!$B$4:$B$203,0)),""))</f>
        <v/>
      </c>
      <c r="K2008" s="30">
        <f>IF(A2008="","",IFERROR(INDEX('Holders'!$B$4:$B$1003,MATCH(A2008,'Holders'!$A$4:$A$1003,0)),""))</f>
        <v/>
      </c>
      <c r="L2008" s="30">
        <f>IF(OR(A2008="",B2008="",D2008=""),"",IF(D2008=_xlfn.MAXIFS($D$4:$D$2503,$A$4:$A$2503,A2008,$B$4:$B$2503,B2008),"Yes","No"))</f>
        <v/>
      </c>
      <c r="M2008" s="30">
        <f>IF(B2008="","",IFERROR(INDEX('Share classes'!$F$4:$F$203,MATCH(B2008,'Share classes'!$B$4:$B$203,0)),""))</f>
        <v/>
      </c>
      <c r="N2008" s="30">
        <f>IF(A2008="","",IF(K2008="","Unknown holder ID",IF(J2008="","Unknown class code",IF(OR(C2008="",D2008=""),"Missing shares or date",IF(OR(C2008&lt;0,C2008&lt;&gt;INT(C2008)),"Shares must be a whole number",IF(COUNTIFS($A$4:$A$2503,A2008,$B$4:$B$2503,B2008,$D$4:$D$2503,D2008)&gt;1,"Duplicate row (same date)","OK"))))))</f>
        <v/>
      </c>
    </row>
    <row r="2009">
      <c r="A2009" s="26" t="n"/>
      <c r="B2009" s="26" t="n"/>
      <c r="C2009" s="34" t="n"/>
      <c r="D2009" s="28" t="n"/>
      <c r="E2009" s="26" t="n"/>
      <c r="F2009" s="26" t="n"/>
      <c r="G2009" s="26" t="n"/>
      <c r="H2009" s="38" t="n"/>
      <c r="I2009" s="28" t="n"/>
      <c r="J2009" s="30">
        <f>IF(B2009="","",IFERROR(INDEX('Share classes'!$A$4:$A$203,MATCH(B2009,'Share classes'!$B$4:$B$203,0)),""))</f>
        <v/>
      </c>
      <c r="K2009" s="30">
        <f>IF(A2009="","",IFERROR(INDEX('Holders'!$B$4:$B$1003,MATCH(A2009,'Holders'!$A$4:$A$1003,0)),""))</f>
        <v/>
      </c>
      <c r="L2009" s="30">
        <f>IF(OR(A2009="",B2009="",D2009=""),"",IF(D2009=_xlfn.MAXIFS($D$4:$D$2503,$A$4:$A$2503,A2009,$B$4:$B$2503,B2009),"Yes","No"))</f>
        <v/>
      </c>
      <c r="M2009" s="30">
        <f>IF(B2009="","",IFERROR(INDEX('Share classes'!$F$4:$F$203,MATCH(B2009,'Share classes'!$B$4:$B$203,0)),""))</f>
        <v/>
      </c>
      <c r="N2009" s="30">
        <f>IF(A2009="","",IF(K2009="","Unknown holder ID",IF(J2009="","Unknown class code",IF(OR(C2009="",D2009=""),"Missing shares or date",IF(OR(C2009&lt;0,C2009&lt;&gt;INT(C2009)),"Shares must be a whole number",IF(COUNTIFS($A$4:$A$2503,A2009,$B$4:$B$2503,B2009,$D$4:$D$2503,D2009)&gt;1,"Duplicate row (same date)","OK"))))))</f>
        <v/>
      </c>
    </row>
    <row r="2010">
      <c r="A2010" s="26" t="n"/>
      <c r="B2010" s="26" t="n"/>
      <c r="C2010" s="34" t="n"/>
      <c r="D2010" s="28" t="n"/>
      <c r="E2010" s="26" t="n"/>
      <c r="F2010" s="26" t="n"/>
      <c r="G2010" s="26" t="n"/>
      <c r="H2010" s="38" t="n"/>
      <c r="I2010" s="28" t="n"/>
      <c r="J2010" s="30">
        <f>IF(B2010="","",IFERROR(INDEX('Share classes'!$A$4:$A$203,MATCH(B2010,'Share classes'!$B$4:$B$203,0)),""))</f>
        <v/>
      </c>
      <c r="K2010" s="30">
        <f>IF(A2010="","",IFERROR(INDEX('Holders'!$B$4:$B$1003,MATCH(A2010,'Holders'!$A$4:$A$1003,0)),""))</f>
        <v/>
      </c>
      <c r="L2010" s="30">
        <f>IF(OR(A2010="",B2010="",D2010=""),"",IF(D2010=_xlfn.MAXIFS($D$4:$D$2503,$A$4:$A$2503,A2010,$B$4:$B$2503,B2010),"Yes","No"))</f>
        <v/>
      </c>
      <c r="M2010" s="30">
        <f>IF(B2010="","",IFERROR(INDEX('Share classes'!$F$4:$F$203,MATCH(B2010,'Share classes'!$B$4:$B$203,0)),""))</f>
        <v/>
      </c>
      <c r="N2010" s="30">
        <f>IF(A2010="","",IF(K2010="","Unknown holder ID",IF(J2010="","Unknown class code",IF(OR(C2010="",D2010=""),"Missing shares or date",IF(OR(C2010&lt;0,C2010&lt;&gt;INT(C2010)),"Shares must be a whole number",IF(COUNTIFS($A$4:$A$2503,A2010,$B$4:$B$2503,B2010,$D$4:$D$2503,D2010)&gt;1,"Duplicate row (same date)","OK"))))))</f>
        <v/>
      </c>
    </row>
    <row r="2011">
      <c r="A2011" s="26" t="n"/>
      <c r="B2011" s="26" t="n"/>
      <c r="C2011" s="34" t="n"/>
      <c r="D2011" s="28" t="n"/>
      <c r="E2011" s="26" t="n"/>
      <c r="F2011" s="26" t="n"/>
      <c r="G2011" s="26" t="n"/>
      <c r="H2011" s="38" t="n"/>
      <c r="I2011" s="28" t="n"/>
      <c r="J2011" s="30">
        <f>IF(B2011="","",IFERROR(INDEX('Share classes'!$A$4:$A$203,MATCH(B2011,'Share classes'!$B$4:$B$203,0)),""))</f>
        <v/>
      </c>
      <c r="K2011" s="30">
        <f>IF(A2011="","",IFERROR(INDEX('Holders'!$B$4:$B$1003,MATCH(A2011,'Holders'!$A$4:$A$1003,0)),""))</f>
        <v/>
      </c>
      <c r="L2011" s="30">
        <f>IF(OR(A2011="",B2011="",D2011=""),"",IF(D2011=_xlfn.MAXIFS($D$4:$D$2503,$A$4:$A$2503,A2011,$B$4:$B$2503,B2011),"Yes","No"))</f>
        <v/>
      </c>
      <c r="M2011" s="30">
        <f>IF(B2011="","",IFERROR(INDEX('Share classes'!$F$4:$F$203,MATCH(B2011,'Share classes'!$B$4:$B$203,0)),""))</f>
        <v/>
      </c>
      <c r="N2011" s="30">
        <f>IF(A2011="","",IF(K2011="","Unknown holder ID",IF(J2011="","Unknown class code",IF(OR(C2011="",D2011=""),"Missing shares or date",IF(OR(C2011&lt;0,C2011&lt;&gt;INT(C2011)),"Shares must be a whole number",IF(COUNTIFS($A$4:$A$2503,A2011,$B$4:$B$2503,B2011,$D$4:$D$2503,D2011)&gt;1,"Duplicate row (same date)","OK"))))))</f>
        <v/>
      </c>
    </row>
    <row r="2012">
      <c r="A2012" s="26" t="n"/>
      <c r="B2012" s="26" t="n"/>
      <c r="C2012" s="34" t="n"/>
      <c r="D2012" s="28" t="n"/>
      <c r="E2012" s="26" t="n"/>
      <c r="F2012" s="26" t="n"/>
      <c r="G2012" s="26" t="n"/>
      <c r="H2012" s="38" t="n"/>
      <c r="I2012" s="28" t="n"/>
      <c r="J2012" s="30">
        <f>IF(B2012="","",IFERROR(INDEX('Share classes'!$A$4:$A$203,MATCH(B2012,'Share classes'!$B$4:$B$203,0)),""))</f>
        <v/>
      </c>
      <c r="K2012" s="30">
        <f>IF(A2012="","",IFERROR(INDEX('Holders'!$B$4:$B$1003,MATCH(A2012,'Holders'!$A$4:$A$1003,0)),""))</f>
        <v/>
      </c>
      <c r="L2012" s="30">
        <f>IF(OR(A2012="",B2012="",D2012=""),"",IF(D2012=_xlfn.MAXIFS($D$4:$D$2503,$A$4:$A$2503,A2012,$B$4:$B$2503,B2012),"Yes","No"))</f>
        <v/>
      </c>
      <c r="M2012" s="30">
        <f>IF(B2012="","",IFERROR(INDEX('Share classes'!$F$4:$F$203,MATCH(B2012,'Share classes'!$B$4:$B$203,0)),""))</f>
        <v/>
      </c>
      <c r="N2012" s="30">
        <f>IF(A2012="","",IF(K2012="","Unknown holder ID",IF(J2012="","Unknown class code",IF(OR(C2012="",D2012=""),"Missing shares or date",IF(OR(C2012&lt;0,C2012&lt;&gt;INT(C2012)),"Shares must be a whole number",IF(COUNTIFS($A$4:$A$2503,A2012,$B$4:$B$2503,B2012,$D$4:$D$2503,D2012)&gt;1,"Duplicate row (same date)","OK"))))))</f>
        <v/>
      </c>
    </row>
    <row r="2013">
      <c r="A2013" s="26" t="n"/>
      <c r="B2013" s="26" t="n"/>
      <c r="C2013" s="34" t="n"/>
      <c r="D2013" s="28" t="n"/>
      <c r="E2013" s="26" t="n"/>
      <c r="F2013" s="26" t="n"/>
      <c r="G2013" s="26" t="n"/>
      <c r="H2013" s="38" t="n"/>
      <c r="I2013" s="28" t="n"/>
      <c r="J2013" s="30">
        <f>IF(B2013="","",IFERROR(INDEX('Share classes'!$A$4:$A$203,MATCH(B2013,'Share classes'!$B$4:$B$203,0)),""))</f>
        <v/>
      </c>
      <c r="K2013" s="30">
        <f>IF(A2013="","",IFERROR(INDEX('Holders'!$B$4:$B$1003,MATCH(A2013,'Holders'!$A$4:$A$1003,0)),""))</f>
        <v/>
      </c>
      <c r="L2013" s="30">
        <f>IF(OR(A2013="",B2013="",D2013=""),"",IF(D2013=_xlfn.MAXIFS($D$4:$D$2503,$A$4:$A$2503,A2013,$B$4:$B$2503,B2013),"Yes","No"))</f>
        <v/>
      </c>
      <c r="M2013" s="30">
        <f>IF(B2013="","",IFERROR(INDEX('Share classes'!$F$4:$F$203,MATCH(B2013,'Share classes'!$B$4:$B$203,0)),""))</f>
        <v/>
      </c>
      <c r="N2013" s="30">
        <f>IF(A2013="","",IF(K2013="","Unknown holder ID",IF(J2013="","Unknown class code",IF(OR(C2013="",D2013=""),"Missing shares or date",IF(OR(C2013&lt;0,C2013&lt;&gt;INT(C2013)),"Shares must be a whole number",IF(COUNTIFS($A$4:$A$2503,A2013,$B$4:$B$2503,B2013,$D$4:$D$2503,D2013)&gt;1,"Duplicate row (same date)","OK"))))))</f>
        <v/>
      </c>
    </row>
    <row r="2014">
      <c r="A2014" s="26" t="n"/>
      <c r="B2014" s="26" t="n"/>
      <c r="C2014" s="34" t="n"/>
      <c r="D2014" s="28" t="n"/>
      <c r="E2014" s="26" t="n"/>
      <c r="F2014" s="26" t="n"/>
      <c r="G2014" s="26" t="n"/>
      <c r="H2014" s="38" t="n"/>
      <c r="I2014" s="28" t="n"/>
      <c r="J2014" s="30">
        <f>IF(B2014="","",IFERROR(INDEX('Share classes'!$A$4:$A$203,MATCH(B2014,'Share classes'!$B$4:$B$203,0)),""))</f>
        <v/>
      </c>
      <c r="K2014" s="30">
        <f>IF(A2014="","",IFERROR(INDEX('Holders'!$B$4:$B$1003,MATCH(A2014,'Holders'!$A$4:$A$1003,0)),""))</f>
        <v/>
      </c>
      <c r="L2014" s="30">
        <f>IF(OR(A2014="",B2014="",D2014=""),"",IF(D2014=_xlfn.MAXIFS($D$4:$D$2503,$A$4:$A$2503,A2014,$B$4:$B$2503,B2014),"Yes","No"))</f>
        <v/>
      </c>
      <c r="M2014" s="30">
        <f>IF(B2014="","",IFERROR(INDEX('Share classes'!$F$4:$F$203,MATCH(B2014,'Share classes'!$B$4:$B$203,0)),""))</f>
        <v/>
      </c>
      <c r="N2014" s="30">
        <f>IF(A2014="","",IF(K2014="","Unknown holder ID",IF(J2014="","Unknown class code",IF(OR(C2014="",D2014=""),"Missing shares or date",IF(OR(C2014&lt;0,C2014&lt;&gt;INT(C2014)),"Shares must be a whole number",IF(COUNTIFS($A$4:$A$2503,A2014,$B$4:$B$2503,B2014,$D$4:$D$2503,D2014)&gt;1,"Duplicate row (same date)","OK"))))))</f>
        <v/>
      </c>
    </row>
    <row r="2015">
      <c r="A2015" s="26" t="n"/>
      <c r="B2015" s="26" t="n"/>
      <c r="C2015" s="34" t="n"/>
      <c r="D2015" s="28" t="n"/>
      <c r="E2015" s="26" t="n"/>
      <c r="F2015" s="26" t="n"/>
      <c r="G2015" s="26" t="n"/>
      <c r="H2015" s="38" t="n"/>
      <c r="I2015" s="28" t="n"/>
      <c r="J2015" s="30">
        <f>IF(B2015="","",IFERROR(INDEX('Share classes'!$A$4:$A$203,MATCH(B2015,'Share classes'!$B$4:$B$203,0)),""))</f>
        <v/>
      </c>
      <c r="K2015" s="30">
        <f>IF(A2015="","",IFERROR(INDEX('Holders'!$B$4:$B$1003,MATCH(A2015,'Holders'!$A$4:$A$1003,0)),""))</f>
        <v/>
      </c>
      <c r="L2015" s="30">
        <f>IF(OR(A2015="",B2015="",D2015=""),"",IF(D2015=_xlfn.MAXIFS($D$4:$D$2503,$A$4:$A$2503,A2015,$B$4:$B$2503,B2015),"Yes","No"))</f>
        <v/>
      </c>
      <c r="M2015" s="30">
        <f>IF(B2015="","",IFERROR(INDEX('Share classes'!$F$4:$F$203,MATCH(B2015,'Share classes'!$B$4:$B$203,0)),""))</f>
        <v/>
      </c>
      <c r="N2015" s="30">
        <f>IF(A2015="","",IF(K2015="","Unknown holder ID",IF(J2015="","Unknown class code",IF(OR(C2015="",D2015=""),"Missing shares or date",IF(OR(C2015&lt;0,C2015&lt;&gt;INT(C2015)),"Shares must be a whole number",IF(COUNTIFS($A$4:$A$2503,A2015,$B$4:$B$2503,B2015,$D$4:$D$2503,D2015)&gt;1,"Duplicate row (same date)","OK"))))))</f>
        <v/>
      </c>
    </row>
    <row r="2016">
      <c r="A2016" s="26" t="n"/>
      <c r="B2016" s="26" t="n"/>
      <c r="C2016" s="34" t="n"/>
      <c r="D2016" s="28" t="n"/>
      <c r="E2016" s="26" t="n"/>
      <c r="F2016" s="26" t="n"/>
      <c r="G2016" s="26" t="n"/>
      <c r="H2016" s="38" t="n"/>
      <c r="I2016" s="28" t="n"/>
      <c r="J2016" s="30">
        <f>IF(B2016="","",IFERROR(INDEX('Share classes'!$A$4:$A$203,MATCH(B2016,'Share classes'!$B$4:$B$203,0)),""))</f>
        <v/>
      </c>
      <c r="K2016" s="30">
        <f>IF(A2016="","",IFERROR(INDEX('Holders'!$B$4:$B$1003,MATCH(A2016,'Holders'!$A$4:$A$1003,0)),""))</f>
        <v/>
      </c>
      <c r="L2016" s="30">
        <f>IF(OR(A2016="",B2016="",D2016=""),"",IF(D2016=_xlfn.MAXIFS($D$4:$D$2503,$A$4:$A$2503,A2016,$B$4:$B$2503,B2016),"Yes","No"))</f>
        <v/>
      </c>
      <c r="M2016" s="30">
        <f>IF(B2016="","",IFERROR(INDEX('Share classes'!$F$4:$F$203,MATCH(B2016,'Share classes'!$B$4:$B$203,0)),""))</f>
        <v/>
      </c>
      <c r="N2016" s="30">
        <f>IF(A2016="","",IF(K2016="","Unknown holder ID",IF(J2016="","Unknown class code",IF(OR(C2016="",D2016=""),"Missing shares or date",IF(OR(C2016&lt;0,C2016&lt;&gt;INT(C2016)),"Shares must be a whole number",IF(COUNTIFS($A$4:$A$2503,A2016,$B$4:$B$2503,B2016,$D$4:$D$2503,D2016)&gt;1,"Duplicate row (same date)","OK"))))))</f>
        <v/>
      </c>
    </row>
    <row r="2017">
      <c r="A2017" s="26" t="n"/>
      <c r="B2017" s="26" t="n"/>
      <c r="C2017" s="34" t="n"/>
      <c r="D2017" s="28" t="n"/>
      <c r="E2017" s="26" t="n"/>
      <c r="F2017" s="26" t="n"/>
      <c r="G2017" s="26" t="n"/>
      <c r="H2017" s="38" t="n"/>
      <c r="I2017" s="28" t="n"/>
      <c r="J2017" s="30">
        <f>IF(B2017="","",IFERROR(INDEX('Share classes'!$A$4:$A$203,MATCH(B2017,'Share classes'!$B$4:$B$203,0)),""))</f>
        <v/>
      </c>
      <c r="K2017" s="30">
        <f>IF(A2017="","",IFERROR(INDEX('Holders'!$B$4:$B$1003,MATCH(A2017,'Holders'!$A$4:$A$1003,0)),""))</f>
        <v/>
      </c>
      <c r="L2017" s="30">
        <f>IF(OR(A2017="",B2017="",D2017=""),"",IF(D2017=_xlfn.MAXIFS($D$4:$D$2503,$A$4:$A$2503,A2017,$B$4:$B$2503,B2017),"Yes","No"))</f>
        <v/>
      </c>
      <c r="M2017" s="30">
        <f>IF(B2017="","",IFERROR(INDEX('Share classes'!$F$4:$F$203,MATCH(B2017,'Share classes'!$B$4:$B$203,0)),""))</f>
        <v/>
      </c>
      <c r="N2017" s="30">
        <f>IF(A2017="","",IF(K2017="","Unknown holder ID",IF(J2017="","Unknown class code",IF(OR(C2017="",D2017=""),"Missing shares or date",IF(OR(C2017&lt;0,C2017&lt;&gt;INT(C2017)),"Shares must be a whole number",IF(COUNTIFS($A$4:$A$2503,A2017,$B$4:$B$2503,B2017,$D$4:$D$2503,D2017)&gt;1,"Duplicate row (same date)","OK"))))))</f>
        <v/>
      </c>
    </row>
    <row r="2018">
      <c r="A2018" s="26" t="n"/>
      <c r="B2018" s="26" t="n"/>
      <c r="C2018" s="34" t="n"/>
      <c r="D2018" s="28" t="n"/>
      <c r="E2018" s="26" t="n"/>
      <c r="F2018" s="26" t="n"/>
      <c r="G2018" s="26" t="n"/>
      <c r="H2018" s="38" t="n"/>
      <c r="I2018" s="28" t="n"/>
      <c r="J2018" s="30">
        <f>IF(B2018="","",IFERROR(INDEX('Share classes'!$A$4:$A$203,MATCH(B2018,'Share classes'!$B$4:$B$203,0)),""))</f>
        <v/>
      </c>
      <c r="K2018" s="30">
        <f>IF(A2018="","",IFERROR(INDEX('Holders'!$B$4:$B$1003,MATCH(A2018,'Holders'!$A$4:$A$1003,0)),""))</f>
        <v/>
      </c>
      <c r="L2018" s="30">
        <f>IF(OR(A2018="",B2018="",D2018=""),"",IF(D2018=_xlfn.MAXIFS($D$4:$D$2503,$A$4:$A$2503,A2018,$B$4:$B$2503,B2018),"Yes","No"))</f>
        <v/>
      </c>
      <c r="M2018" s="30">
        <f>IF(B2018="","",IFERROR(INDEX('Share classes'!$F$4:$F$203,MATCH(B2018,'Share classes'!$B$4:$B$203,0)),""))</f>
        <v/>
      </c>
      <c r="N2018" s="30">
        <f>IF(A2018="","",IF(K2018="","Unknown holder ID",IF(J2018="","Unknown class code",IF(OR(C2018="",D2018=""),"Missing shares or date",IF(OR(C2018&lt;0,C2018&lt;&gt;INT(C2018)),"Shares must be a whole number",IF(COUNTIFS($A$4:$A$2503,A2018,$B$4:$B$2503,B2018,$D$4:$D$2503,D2018)&gt;1,"Duplicate row (same date)","OK"))))))</f>
        <v/>
      </c>
    </row>
    <row r="2019">
      <c r="A2019" s="26" t="n"/>
      <c r="B2019" s="26" t="n"/>
      <c r="C2019" s="34" t="n"/>
      <c r="D2019" s="28" t="n"/>
      <c r="E2019" s="26" t="n"/>
      <c r="F2019" s="26" t="n"/>
      <c r="G2019" s="26" t="n"/>
      <c r="H2019" s="38" t="n"/>
      <c r="I2019" s="28" t="n"/>
      <c r="J2019" s="30">
        <f>IF(B2019="","",IFERROR(INDEX('Share classes'!$A$4:$A$203,MATCH(B2019,'Share classes'!$B$4:$B$203,0)),""))</f>
        <v/>
      </c>
      <c r="K2019" s="30">
        <f>IF(A2019="","",IFERROR(INDEX('Holders'!$B$4:$B$1003,MATCH(A2019,'Holders'!$A$4:$A$1003,0)),""))</f>
        <v/>
      </c>
      <c r="L2019" s="30">
        <f>IF(OR(A2019="",B2019="",D2019=""),"",IF(D2019=_xlfn.MAXIFS($D$4:$D$2503,$A$4:$A$2503,A2019,$B$4:$B$2503,B2019),"Yes","No"))</f>
        <v/>
      </c>
      <c r="M2019" s="30">
        <f>IF(B2019="","",IFERROR(INDEX('Share classes'!$F$4:$F$203,MATCH(B2019,'Share classes'!$B$4:$B$203,0)),""))</f>
        <v/>
      </c>
      <c r="N2019" s="30">
        <f>IF(A2019="","",IF(K2019="","Unknown holder ID",IF(J2019="","Unknown class code",IF(OR(C2019="",D2019=""),"Missing shares or date",IF(OR(C2019&lt;0,C2019&lt;&gt;INT(C2019)),"Shares must be a whole number",IF(COUNTIFS($A$4:$A$2503,A2019,$B$4:$B$2503,B2019,$D$4:$D$2503,D2019)&gt;1,"Duplicate row (same date)","OK"))))))</f>
        <v/>
      </c>
    </row>
    <row r="2020">
      <c r="A2020" s="26" t="n"/>
      <c r="B2020" s="26" t="n"/>
      <c r="C2020" s="34" t="n"/>
      <c r="D2020" s="28" t="n"/>
      <c r="E2020" s="26" t="n"/>
      <c r="F2020" s="26" t="n"/>
      <c r="G2020" s="26" t="n"/>
      <c r="H2020" s="38" t="n"/>
      <c r="I2020" s="28" t="n"/>
      <c r="J2020" s="30">
        <f>IF(B2020="","",IFERROR(INDEX('Share classes'!$A$4:$A$203,MATCH(B2020,'Share classes'!$B$4:$B$203,0)),""))</f>
        <v/>
      </c>
      <c r="K2020" s="30">
        <f>IF(A2020="","",IFERROR(INDEX('Holders'!$B$4:$B$1003,MATCH(A2020,'Holders'!$A$4:$A$1003,0)),""))</f>
        <v/>
      </c>
      <c r="L2020" s="30">
        <f>IF(OR(A2020="",B2020="",D2020=""),"",IF(D2020=_xlfn.MAXIFS($D$4:$D$2503,$A$4:$A$2503,A2020,$B$4:$B$2503,B2020),"Yes","No"))</f>
        <v/>
      </c>
      <c r="M2020" s="30">
        <f>IF(B2020="","",IFERROR(INDEX('Share classes'!$F$4:$F$203,MATCH(B2020,'Share classes'!$B$4:$B$203,0)),""))</f>
        <v/>
      </c>
      <c r="N2020" s="30">
        <f>IF(A2020="","",IF(K2020="","Unknown holder ID",IF(J2020="","Unknown class code",IF(OR(C2020="",D2020=""),"Missing shares or date",IF(OR(C2020&lt;0,C2020&lt;&gt;INT(C2020)),"Shares must be a whole number",IF(COUNTIFS($A$4:$A$2503,A2020,$B$4:$B$2503,B2020,$D$4:$D$2503,D2020)&gt;1,"Duplicate row (same date)","OK"))))))</f>
        <v/>
      </c>
    </row>
    <row r="2021">
      <c r="A2021" s="26" t="n"/>
      <c r="B2021" s="26" t="n"/>
      <c r="C2021" s="34" t="n"/>
      <c r="D2021" s="28" t="n"/>
      <c r="E2021" s="26" t="n"/>
      <c r="F2021" s="26" t="n"/>
      <c r="G2021" s="26" t="n"/>
      <c r="H2021" s="38" t="n"/>
      <c r="I2021" s="28" t="n"/>
      <c r="J2021" s="30">
        <f>IF(B2021="","",IFERROR(INDEX('Share classes'!$A$4:$A$203,MATCH(B2021,'Share classes'!$B$4:$B$203,0)),""))</f>
        <v/>
      </c>
      <c r="K2021" s="30">
        <f>IF(A2021="","",IFERROR(INDEX('Holders'!$B$4:$B$1003,MATCH(A2021,'Holders'!$A$4:$A$1003,0)),""))</f>
        <v/>
      </c>
      <c r="L2021" s="30">
        <f>IF(OR(A2021="",B2021="",D2021=""),"",IF(D2021=_xlfn.MAXIFS($D$4:$D$2503,$A$4:$A$2503,A2021,$B$4:$B$2503,B2021),"Yes","No"))</f>
        <v/>
      </c>
      <c r="M2021" s="30">
        <f>IF(B2021="","",IFERROR(INDEX('Share classes'!$F$4:$F$203,MATCH(B2021,'Share classes'!$B$4:$B$203,0)),""))</f>
        <v/>
      </c>
      <c r="N2021" s="30">
        <f>IF(A2021="","",IF(K2021="","Unknown holder ID",IF(J2021="","Unknown class code",IF(OR(C2021="",D2021=""),"Missing shares or date",IF(OR(C2021&lt;0,C2021&lt;&gt;INT(C2021)),"Shares must be a whole number",IF(COUNTIFS($A$4:$A$2503,A2021,$B$4:$B$2503,B2021,$D$4:$D$2503,D2021)&gt;1,"Duplicate row (same date)","OK"))))))</f>
        <v/>
      </c>
    </row>
    <row r="2022">
      <c r="A2022" s="26" t="n"/>
      <c r="B2022" s="26" t="n"/>
      <c r="C2022" s="34" t="n"/>
      <c r="D2022" s="28" t="n"/>
      <c r="E2022" s="26" t="n"/>
      <c r="F2022" s="26" t="n"/>
      <c r="G2022" s="26" t="n"/>
      <c r="H2022" s="38" t="n"/>
      <c r="I2022" s="28" t="n"/>
      <c r="J2022" s="30">
        <f>IF(B2022="","",IFERROR(INDEX('Share classes'!$A$4:$A$203,MATCH(B2022,'Share classes'!$B$4:$B$203,0)),""))</f>
        <v/>
      </c>
      <c r="K2022" s="30">
        <f>IF(A2022="","",IFERROR(INDEX('Holders'!$B$4:$B$1003,MATCH(A2022,'Holders'!$A$4:$A$1003,0)),""))</f>
        <v/>
      </c>
      <c r="L2022" s="30">
        <f>IF(OR(A2022="",B2022="",D2022=""),"",IF(D2022=_xlfn.MAXIFS($D$4:$D$2503,$A$4:$A$2503,A2022,$B$4:$B$2503,B2022),"Yes","No"))</f>
        <v/>
      </c>
      <c r="M2022" s="30">
        <f>IF(B2022="","",IFERROR(INDEX('Share classes'!$F$4:$F$203,MATCH(B2022,'Share classes'!$B$4:$B$203,0)),""))</f>
        <v/>
      </c>
      <c r="N2022" s="30">
        <f>IF(A2022="","",IF(K2022="","Unknown holder ID",IF(J2022="","Unknown class code",IF(OR(C2022="",D2022=""),"Missing shares or date",IF(OR(C2022&lt;0,C2022&lt;&gt;INT(C2022)),"Shares must be a whole number",IF(COUNTIFS($A$4:$A$2503,A2022,$B$4:$B$2503,B2022,$D$4:$D$2503,D2022)&gt;1,"Duplicate row (same date)","OK"))))))</f>
        <v/>
      </c>
    </row>
    <row r="2023">
      <c r="A2023" s="26" t="n"/>
      <c r="B2023" s="26" t="n"/>
      <c r="C2023" s="34" t="n"/>
      <c r="D2023" s="28" t="n"/>
      <c r="E2023" s="26" t="n"/>
      <c r="F2023" s="26" t="n"/>
      <c r="G2023" s="26" t="n"/>
      <c r="H2023" s="38" t="n"/>
      <c r="I2023" s="28" t="n"/>
      <c r="J2023" s="30">
        <f>IF(B2023="","",IFERROR(INDEX('Share classes'!$A$4:$A$203,MATCH(B2023,'Share classes'!$B$4:$B$203,0)),""))</f>
        <v/>
      </c>
      <c r="K2023" s="30">
        <f>IF(A2023="","",IFERROR(INDEX('Holders'!$B$4:$B$1003,MATCH(A2023,'Holders'!$A$4:$A$1003,0)),""))</f>
        <v/>
      </c>
      <c r="L2023" s="30">
        <f>IF(OR(A2023="",B2023="",D2023=""),"",IF(D2023=_xlfn.MAXIFS($D$4:$D$2503,$A$4:$A$2503,A2023,$B$4:$B$2503,B2023),"Yes","No"))</f>
        <v/>
      </c>
      <c r="M2023" s="30">
        <f>IF(B2023="","",IFERROR(INDEX('Share classes'!$F$4:$F$203,MATCH(B2023,'Share classes'!$B$4:$B$203,0)),""))</f>
        <v/>
      </c>
      <c r="N2023" s="30">
        <f>IF(A2023="","",IF(K2023="","Unknown holder ID",IF(J2023="","Unknown class code",IF(OR(C2023="",D2023=""),"Missing shares or date",IF(OR(C2023&lt;0,C2023&lt;&gt;INT(C2023)),"Shares must be a whole number",IF(COUNTIFS($A$4:$A$2503,A2023,$B$4:$B$2503,B2023,$D$4:$D$2503,D2023)&gt;1,"Duplicate row (same date)","OK"))))))</f>
        <v/>
      </c>
    </row>
    <row r="2024">
      <c r="A2024" s="26" t="n"/>
      <c r="B2024" s="26" t="n"/>
      <c r="C2024" s="34" t="n"/>
      <c r="D2024" s="28" t="n"/>
      <c r="E2024" s="26" t="n"/>
      <c r="F2024" s="26" t="n"/>
      <c r="G2024" s="26" t="n"/>
      <c r="H2024" s="38" t="n"/>
      <c r="I2024" s="28" t="n"/>
      <c r="J2024" s="30">
        <f>IF(B2024="","",IFERROR(INDEX('Share classes'!$A$4:$A$203,MATCH(B2024,'Share classes'!$B$4:$B$203,0)),""))</f>
        <v/>
      </c>
      <c r="K2024" s="30">
        <f>IF(A2024="","",IFERROR(INDEX('Holders'!$B$4:$B$1003,MATCH(A2024,'Holders'!$A$4:$A$1003,0)),""))</f>
        <v/>
      </c>
      <c r="L2024" s="30">
        <f>IF(OR(A2024="",B2024="",D2024=""),"",IF(D2024=_xlfn.MAXIFS($D$4:$D$2503,$A$4:$A$2503,A2024,$B$4:$B$2503,B2024),"Yes","No"))</f>
        <v/>
      </c>
      <c r="M2024" s="30">
        <f>IF(B2024="","",IFERROR(INDEX('Share classes'!$F$4:$F$203,MATCH(B2024,'Share classes'!$B$4:$B$203,0)),""))</f>
        <v/>
      </c>
      <c r="N2024" s="30">
        <f>IF(A2024="","",IF(K2024="","Unknown holder ID",IF(J2024="","Unknown class code",IF(OR(C2024="",D2024=""),"Missing shares or date",IF(OR(C2024&lt;0,C2024&lt;&gt;INT(C2024)),"Shares must be a whole number",IF(COUNTIFS($A$4:$A$2503,A2024,$B$4:$B$2503,B2024,$D$4:$D$2503,D2024)&gt;1,"Duplicate row (same date)","OK"))))))</f>
        <v/>
      </c>
    </row>
    <row r="2025">
      <c r="A2025" s="26" t="n"/>
      <c r="B2025" s="26" t="n"/>
      <c r="C2025" s="34" t="n"/>
      <c r="D2025" s="28" t="n"/>
      <c r="E2025" s="26" t="n"/>
      <c r="F2025" s="26" t="n"/>
      <c r="G2025" s="26" t="n"/>
      <c r="H2025" s="38" t="n"/>
      <c r="I2025" s="28" t="n"/>
      <c r="J2025" s="30">
        <f>IF(B2025="","",IFERROR(INDEX('Share classes'!$A$4:$A$203,MATCH(B2025,'Share classes'!$B$4:$B$203,0)),""))</f>
        <v/>
      </c>
      <c r="K2025" s="30">
        <f>IF(A2025="","",IFERROR(INDEX('Holders'!$B$4:$B$1003,MATCH(A2025,'Holders'!$A$4:$A$1003,0)),""))</f>
        <v/>
      </c>
      <c r="L2025" s="30">
        <f>IF(OR(A2025="",B2025="",D2025=""),"",IF(D2025=_xlfn.MAXIFS($D$4:$D$2503,$A$4:$A$2503,A2025,$B$4:$B$2503,B2025),"Yes","No"))</f>
        <v/>
      </c>
      <c r="M2025" s="30">
        <f>IF(B2025="","",IFERROR(INDEX('Share classes'!$F$4:$F$203,MATCH(B2025,'Share classes'!$B$4:$B$203,0)),""))</f>
        <v/>
      </c>
      <c r="N2025" s="30">
        <f>IF(A2025="","",IF(K2025="","Unknown holder ID",IF(J2025="","Unknown class code",IF(OR(C2025="",D2025=""),"Missing shares or date",IF(OR(C2025&lt;0,C2025&lt;&gt;INT(C2025)),"Shares must be a whole number",IF(COUNTIFS($A$4:$A$2503,A2025,$B$4:$B$2503,B2025,$D$4:$D$2503,D2025)&gt;1,"Duplicate row (same date)","OK"))))))</f>
        <v/>
      </c>
    </row>
    <row r="2026">
      <c r="A2026" s="26" t="n"/>
      <c r="B2026" s="26" t="n"/>
      <c r="C2026" s="34" t="n"/>
      <c r="D2026" s="28" t="n"/>
      <c r="E2026" s="26" t="n"/>
      <c r="F2026" s="26" t="n"/>
      <c r="G2026" s="26" t="n"/>
      <c r="H2026" s="38" t="n"/>
      <c r="I2026" s="28" t="n"/>
      <c r="J2026" s="30">
        <f>IF(B2026="","",IFERROR(INDEX('Share classes'!$A$4:$A$203,MATCH(B2026,'Share classes'!$B$4:$B$203,0)),""))</f>
        <v/>
      </c>
      <c r="K2026" s="30">
        <f>IF(A2026="","",IFERROR(INDEX('Holders'!$B$4:$B$1003,MATCH(A2026,'Holders'!$A$4:$A$1003,0)),""))</f>
        <v/>
      </c>
      <c r="L2026" s="30">
        <f>IF(OR(A2026="",B2026="",D2026=""),"",IF(D2026=_xlfn.MAXIFS($D$4:$D$2503,$A$4:$A$2503,A2026,$B$4:$B$2503,B2026),"Yes","No"))</f>
        <v/>
      </c>
      <c r="M2026" s="30">
        <f>IF(B2026="","",IFERROR(INDEX('Share classes'!$F$4:$F$203,MATCH(B2026,'Share classes'!$B$4:$B$203,0)),""))</f>
        <v/>
      </c>
      <c r="N2026" s="30">
        <f>IF(A2026="","",IF(K2026="","Unknown holder ID",IF(J2026="","Unknown class code",IF(OR(C2026="",D2026=""),"Missing shares or date",IF(OR(C2026&lt;0,C2026&lt;&gt;INT(C2026)),"Shares must be a whole number",IF(COUNTIFS($A$4:$A$2503,A2026,$B$4:$B$2503,B2026,$D$4:$D$2503,D2026)&gt;1,"Duplicate row (same date)","OK"))))))</f>
        <v/>
      </c>
    </row>
    <row r="2027">
      <c r="A2027" s="26" t="n"/>
      <c r="B2027" s="26" t="n"/>
      <c r="C2027" s="34" t="n"/>
      <c r="D2027" s="28" t="n"/>
      <c r="E2027" s="26" t="n"/>
      <c r="F2027" s="26" t="n"/>
      <c r="G2027" s="26" t="n"/>
      <c r="H2027" s="38" t="n"/>
      <c r="I2027" s="28" t="n"/>
      <c r="J2027" s="30">
        <f>IF(B2027="","",IFERROR(INDEX('Share classes'!$A$4:$A$203,MATCH(B2027,'Share classes'!$B$4:$B$203,0)),""))</f>
        <v/>
      </c>
      <c r="K2027" s="30">
        <f>IF(A2027="","",IFERROR(INDEX('Holders'!$B$4:$B$1003,MATCH(A2027,'Holders'!$A$4:$A$1003,0)),""))</f>
        <v/>
      </c>
      <c r="L2027" s="30">
        <f>IF(OR(A2027="",B2027="",D2027=""),"",IF(D2027=_xlfn.MAXIFS($D$4:$D$2503,$A$4:$A$2503,A2027,$B$4:$B$2503,B2027),"Yes","No"))</f>
        <v/>
      </c>
      <c r="M2027" s="30">
        <f>IF(B2027="","",IFERROR(INDEX('Share classes'!$F$4:$F$203,MATCH(B2027,'Share classes'!$B$4:$B$203,0)),""))</f>
        <v/>
      </c>
      <c r="N2027" s="30">
        <f>IF(A2027="","",IF(K2027="","Unknown holder ID",IF(J2027="","Unknown class code",IF(OR(C2027="",D2027=""),"Missing shares or date",IF(OR(C2027&lt;0,C2027&lt;&gt;INT(C2027)),"Shares must be a whole number",IF(COUNTIFS($A$4:$A$2503,A2027,$B$4:$B$2503,B2027,$D$4:$D$2503,D2027)&gt;1,"Duplicate row (same date)","OK"))))))</f>
        <v/>
      </c>
    </row>
    <row r="2028">
      <c r="A2028" s="26" t="n"/>
      <c r="B2028" s="26" t="n"/>
      <c r="C2028" s="34" t="n"/>
      <c r="D2028" s="28" t="n"/>
      <c r="E2028" s="26" t="n"/>
      <c r="F2028" s="26" t="n"/>
      <c r="G2028" s="26" t="n"/>
      <c r="H2028" s="38" t="n"/>
      <c r="I2028" s="28" t="n"/>
      <c r="J2028" s="30">
        <f>IF(B2028="","",IFERROR(INDEX('Share classes'!$A$4:$A$203,MATCH(B2028,'Share classes'!$B$4:$B$203,0)),""))</f>
        <v/>
      </c>
      <c r="K2028" s="30">
        <f>IF(A2028="","",IFERROR(INDEX('Holders'!$B$4:$B$1003,MATCH(A2028,'Holders'!$A$4:$A$1003,0)),""))</f>
        <v/>
      </c>
      <c r="L2028" s="30">
        <f>IF(OR(A2028="",B2028="",D2028=""),"",IF(D2028=_xlfn.MAXIFS($D$4:$D$2503,$A$4:$A$2503,A2028,$B$4:$B$2503,B2028),"Yes","No"))</f>
        <v/>
      </c>
      <c r="M2028" s="30">
        <f>IF(B2028="","",IFERROR(INDEX('Share classes'!$F$4:$F$203,MATCH(B2028,'Share classes'!$B$4:$B$203,0)),""))</f>
        <v/>
      </c>
      <c r="N2028" s="30">
        <f>IF(A2028="","",IF(K2028="","Unknown holder ID",IF(J2028="","Unknown class code",IF(OR(C2028="",D2028=""),"Missing shares or date",IF(OR(C2028&lt;0,C2028&lt;&gt;INT(C2028)),"Shares must be a whole number",IF(COUNTIFS($A$4:$A$2503,A2028,$B$4:$B$2503,B2028,$D$4:$D$2503,D2028)&gt;1,"Duplicate row (same date)","OK"))))))</f>
        <v/>
      </c>
    </row>
    <row r="2029">
      <c r="A2029" s="26" t="n"/>
      <c r="B2029" s="26" t="n"/>
      <c r="C2029" s="34" t="n"/>
      <c r="D2029" s="28" t="n"/>
      <c r="E2029" s="26" t="n"/>
      <c r="F2029" s="26" t="n"/>
      <c r="G2029" s="26" t="n"/>
      <c r="H2029" s="38" t="n"/>
      <c r="I2029" s="28" t="n"/>
      <c r="J2029" s="30">
        <f>IF(B2029="","",IFERROR(INDEX('Share classes'!$A$4:$A$203,MATCH(B2029,'Share classes'!$B$4:$B$203,0)),""))</f>
        <v/>
      </c>
      <c r="K2029" s="30">
        <f>IF(A2029="","",IFERROR(INDEX('Holders'!$B$4:$B$1003,MATCH(A2029,'Holders'!$A$4:$A$1003,0)),""))</f>
        <v/>
      </c>
      <c r="L2029" s="30">
        <f>IF(OR(A2029="",B2029="",D2029=""),"",IF(D2029=_xlfn.MAXIFS($D$4:$D$2503,$A$4:$A$2503,A2029,$B$4:$B$2503,B2029),"Yes","No"))</f>
        <v/>
      </c>
      <c r="M2029" s="30">
        <f>IF(B2029="","",IFERROR(INDEX('Share classes'!$F$4:$F$203,MATCH(B2029,'Share classes'!$B$4:$B$203,0)),""))</f>
        <v/>
      </c>
      <c r="N2029" s="30">
        <f>IF(A2029="","",IF(K2029="","Unknown holder ID",IF(J2029="","Unknown class code",IF(OR(C2029="",D2029=""),"Missing shares or date",IF(OR(C2029&lt;0,C2029&lt;&gt;INT(C2029)),"Shares must be a whole number",IF(COUNTIFS($A$4:$A$2503,A2029,$B$4:$B$2503,B2029,$D$4:$D$2503,D2029)&gt;1,"Duplicate row (same date)","OK"))))))</f>
        <v/>
      </c>
    </row>
    <row r="2030">
      <c r="A2030" s="26" t="n"/>
      <c r="B2030" s="26" t="n"/>
      <c r="C2030" s="34" t="n"/>
      <c r="D2030" s="28" t="n"/>
      <c r="E2030" s="26" t="n"/>
      <c r="F2030" s="26" t="n"/>
      <c r="G2030" s="26" t="n"/>
      <c r="H2030" s="38" t="n"/>
      <c r="I2030" s="28" t="n"/>
      <c r="J2030" s="30">
        <f>IF(B2030="","",IFERROR(INDEX('Share classes'!$A$4:$A$203,MATCH(B2030,'Share classes'!$B$4:$B$203,0)),""))</f>
        <v/>
      </c>
      <c r="K2030" s="30">
        <f>IF(A2030="","",IFERROR(INDEX('Holders'!$B$4:$B$1003,MATCH(A2030,'Holders'!$A$4:$A$1003,0)),""))</f>
        <v/>
      </c>
      <c r="L2030" s="30">
        <f>IF(OR(A2030="",B2030="",D2030=""),"",IF(D2030=_xlfn.MAXIFS($D$4:$D$2503,$A$4:$A$2503,A2030,$B$4:$B$2503,B2030),"Yes","No"))</f>
        <v/>
      </c>
      <c r="M2030" s="30">
        <f>IF(B2030="","",IFERROR(INDEX('Share classes'!$F$4:$F$203,MATCH(B2030,'Share classes'!$B$4:$B$203,0)),""))</f>
        <v/>
      </c>
      <c r="N2030" s="30">
        <f>IF(A2030="","",IF(K2030="","Unknown holder ID",IF(J2030="","Unknown class code",IF(OR(C2030="",D2030=""),"Missing shares or date",IF(OR(C2030&lt;0,C2030&lt;&gt;INT(C2030)),"Shares must be a whole number",IF(COUNTIFS($A$4:$A$2503,A2030,$B$4:$B$2503,B2030,$D$4:$D$2503,D2030)&gt;1,"Duplicate row (same date)","OK"))))))</f>
        <v/>
      </c>
    </row>
    <row r="2031">
      <c r="A2031" s="26" t="n"/>
      <c r="B2031" s="26" t="n"/>
      <c r="C2031" s="34" t="n"/>
      <c r="D2031" s="28" t="n"/>
      <c r="E2031" s="26" t="n"/>
      <c r="F2031" s="26" t="n"/>
      <c r="G2031" s="26" t="n"/>
      <c r="H2031" s="38" t="n"/>
      <c r="I2031" s="28" t="n"/>
      <c r="J2031" s="30">
        <f>IF(B2031="","",IFERROR(INDEX('Share classes'!$A$4:$A$203,MATCH(B2031,'Share classes'!$B$4:$B$203,0)),""))</f>
        <v/>
      </c>
      <c r="K2031" s="30">
        <f>IF(A2031="","",IFERROR(INDEX('Holders'!$B$4:$B$1003,MATCH(A2031,'Holders'!$A$4:$A$1003,0)),""))</f>
        <v/>
      </c>
      <c r="L2031" s="30">
        <f>IF(OR(A2031="",B2031="",D2031=""),"",IF(D2031=_xlfn.MAXIFS($D$4:$D$2503,$A$4:$A$2503,A2031,$B$4:$B$2503,B2031),"Yes","No"))</f>
        <v/>
      </c>
      <c r="M2031" s="30">
        <f>IF(B2031="","",IFERROR(INDEX('Share classes'!$F$4:$F$203,MATCH(B2031,'Share classes'!$B$4:$B$203,0)),""))</f>
        <v/>
      </c>
      <c r="N2031" s="30">
        <f>IF(A2031="","",IF(K2031="","Unknown holder ID",IF(J2031="","Unknown class code",IF(OR(C2031="",D2031=""),"Missing shares or date",IF(OR(C2031&lt;0,C2031&lt;&gt;INT(C2031)),"Shares must be a whole number",IF(COUNTIFS($A$4:$A$2503,A2031,$B$4:$B$2503,B2031,$D$4:$D$2503,D2031)&gt;1,"Duplicate row (same date)","OK"))))))</f>
        <v/>
      </c>
    </row>
    <row r="2032">
      <c r="A2032" s="26" t="n"/>
      <c r="B2032" s="26" t="n"/>
      <c r="C2032" s="34" t="n"/>
      <c r="D2032" s="28" t="n"/>
      <c r="E2032" s="26" t="n"/>
      <c r="F2032" s="26" t="n"/>
      <c r="G2032" s="26" t="n"/>
      <c r="H2032" s="38" t="n"/>
      <c r="I2032" s="28" t="n"/>
      <c r="J2032" s="30">
        <f>IF(B2032="","",IFERROR(INDEX('Share classes'!$A$4:$A$203,MATCH(B2032,'Share classes'!$B$4:$B$203,0)),""))</f>
        <v/>
      </c>
      <c r="K2032" s="30">
        <f>IF(A2032="","",IFERROR(INDEX('Holders'!$B$4:$B$1003,MATCH(A2032,'Holders'!$A$4:$A$1003,0)),""))</f>
        <v/>
      </c>
      <c r="L2032" s="30">
        <f>IF(OR(A2032="",B2032="",D2032=""),"",IF(D2032=_xlfn.MAXIFS($D$4:$D$2503,$A$4:$A$2503,A2032,$B$4:$B$2503,B2032),"Yes","No"))</f>
        <v/>
      </c>
      <c r="M2032" s="30">
        <f>IF(B2032="","",IFERROR(INDEX('Share classes'!$F$4:$F$203,MATCH(B2032,'Share classes'!$B$4:$B$203,0)),""))</f>
        <v/>
      </c>
      <c r="N2032" s="30">
        <f>IF(A2032="","",IF(K2032="","Unknown holder ID",IF(J2032="","Unknown class code",IF(OR(C2032="",D2032=""),"Missing shares or date",IF(OR(C2032&lt;0,C2032&lt;&gt;INT(C2032)),"Shares must be a whole number",IF(COUNTIFS($A$4:$A$2503,A2032,$B$4:$B$2503,B2032,$D$4:$D$2503,D2032)&gt;1,"Duplicate row (same date)","OK"))))))</f>
        <v/>
      </c>
    </row>
    <row r="2033">
      <c r="A2033" s="26" t="n"/>
      <c r="B2033" s="26" t="n"/>
      <c r="C2033" s="34" t="n"/>
      <c r="D2033" s="28" t="n"/>
      <c r="E2033" s="26" t="n"/>
      <c r="F2033" s="26" t="n"/>
      <c r="G2033" s="26" t="n"/>
      <c r="H2033" s="38" t="n"/>
      <c r="I2033" s="28" t="n"/>
      <c r="J2033" s="30">
        <f>IF(B2033="","",IFERROR(INDEX('Share classes'!$A$4:$A$203,MATCH(B2033,'Share classes'!$B$4:$B$203,0)),""))</f>
        <v/>
      </c>
      <c r="K2033" s="30">
        <f>IF(A2033="","",IFERROR(INDEX('Holders'!$B$4:$B$1003,MATCH(A2033,'Holders'!$A$4:$A$1003,0)),""))</f>
        <v/>
      </c>
      <c r="L2033" s="30">
        <f>IF(OR(A2033="",B2033="",D2033=""),"",IF(D2033=_xlfn.MAXIFS($D$4:$D$2503,$A$4:$A$2503,A2033,$B$4:$B$2503,B2033),"Yes","No"))</f>
        <v/>
      </c>
      <c r="M2033" s="30">
        <f>IF(B2033="","",IFERROR(INDEX('Share classes'!$F$4:$F$203,MATCH(B2033,'Share classes'!$B$4:$B$203,0)),""))</f>
        <v/>
      </c>
      <c r="N2033" s="30">
        <f>IF(A2033="","",IF(K2033="","Unknown holder ID",IF(J2033="","Unknown class code",IF(OR(C2033="",D2033=""),"Missing shares or date",IF(OR(C2033&lt;0,C2033&lt;&gt;INT(C2033)),"Shares must be a whole number",IF(COUNTIFS($A$4:$A$2503,A2033,$B$4:$B$2503,B2033,$D$4:$D$2503,D2033)&gt;1,"Duplicate row (same date)","OK"))))))</f>
        <v/>
      </c>
    </row>
    <row r="2034">
      <c r="A2034" s="26" t="n"/>
      <c r="B2034" s="26" t="n"/>
      <c r="C2034" s="34" t="n"/>
      <c r="D2034" s="28" t="n"/>
      <c r="E2034" s="26" t="n"/>
      <c r="F2034" s="26" t="n"/>
      <c r="G2034" s="26" t="n"/>
      <c r="H2034" s="38" t="n"/>
      <c r="I2034" s="28" t="n"/>
      <c r="J2034" s="30">
        <f>IF(B2034="","",IFERROR(INDEX('Share classes'!$A$4:$A$203,MATCH(B2034,'Share classes'!$B$4:$B$203,0)),""))</f>
        <v/>
      </c>
      <c r="K2034" s="30">
        <f>IF(A2034="","",IFERROR(INDEX('Holders'!$B$4:$B$1003,MATCH(A2034,'Holders'!$A$4:$A$1003,0)),""))</f>
        <v/>
      </c>
      <c r="L2034" s="30">
        <f>IF(OR(A2034="",B2034="",D2034=""),"",IF(D2034=_xlfn.MAXIFS($D$4:$D$2503,$A$4:$A$2503,A2034,$B$4:$B$2503,B2034),"Yes","No"))</f>
        <v/>
      </c>
      <c r="M2034" s="30">
        <f>IF(B2034="","",IFERROR(INDEX('Share classes'!$F$4:$F$203,MATCH(B2034,'Share classes'!$B$4:$B$203,0)),""))</f>
        <v/>
      </c>
      <c r="N2034" s="30">
        <f>IF(A2034="","",IF(K2034="","Unknown holder ID",IF(J2034="","Unknown class code",IF(OR(C2034="",D2034=""),"Missing shares or date",IF(OR(C2034&lt;0,C2034&lt;&gt;INT(C2034)),"Shares must be a whole number",IF(COUNTIFS($A$4:$A$2503,A2034,$B$4:$B$2503,B2034,$D$4:$D$2503,D2034)&gt;1,"Duplicate row (same date)","OK"))))))</f>
        <v/>
      </c>
    </row>
    <row r="2035">
      <c r="A2035" s="26" t="n"/>
      <c r="B2035" s="26" t="n"/>
      <c r="C2035" s="34" t="n"/>
      <c r="D2035" s="28" t="n"/>
      <c r="E2035" s="26" t="n"/>
      <c r="F2035" s="26" t="n"/>
      <c r="G2035" s="26" t="n"/>
      <c r="H2035" s="38" t="n"/>
      <c r="I2035" s="28" t="n"/>
      <c r="J2035" s="30">
        <f>IF(B2035="","",IFERROR(INDEX('Share classes'!$A$4:$A$203,MATCH(B2035,'Share classes'!$B$4:$B$203,0)),""))</f>
        <v/>
      </c>
      <c r="K2035" s="30">
        <f>IF(A2035="","",IFERROR(INDEX('Holders'!$B$4:$B$1003,MATCH(A2035,'Holders'!$A$4:$A$1003,0)),""))</f>
        <v/>
      </c>
      <c r="L2035" s="30">
        <f>IF(OR(A2035="",B2035="",D2035=""),"",IF(D2035=_xlfn.MAXIFS($D$4:$D$2503,$A$4:$A$2503,A2035,$B$4:$B$2503,B2035),"Yes","No"))</f>
        <v/>
      </c>
      <c r="M2035" s="30">
        <f>IF(B2035="","",IFERROR(INDEX('Share classes'!$F$4:$F$203,MATCH(B2035,'Share classes'!$B$4:$B$203,0)),""))</f>
        <v/>
      </c>
      <c r="N2035" s="30">
        <f>IF(A2035="","",IF(K2035="","Unknown holder ID",IF(J2035="","Unknown class code",IF(OR(C2035="",D2035=""),"Missing shares or date",IF(OR(C2035&lt;0,C2035&lt;&gt;INT(C2035)),"Shares must be a whole number",IF(COUNTIFS($A$4:$A$2503,A2035,$B$4:$B$2503,B2035,$D$4:$D$2503,D2035)&gt;1,"Duplicate row (same date)","OK"))))))</f>
        <v/>
      </c>
    </row>
    <row r="2036">
      <c r="A2036" s="26" t="n"/>
      <c r="B2036" s="26" t="n"/>
      <c r="C2036" s="34" t="n"/>
      <c r="D2036" s="28" t="n"/>
      <c r="E2036" s="26" t="n"/>
      <c r="F2036" s="26" t="n"/>
      <c r="G2036" s="26" t="n"/>
      <c r="H2036" s="38" t="n"/>
      <c r="I2036" s="28" t="n"/>
      <c r="J2036" s="30">
        <f>IF(B2036="","",IFERROR(INDEX('Share classes'!$A$4:$A$203,MATCH(B2036,'Share classes'!$B$4:$B$203,0)),""))</f>
        <v/>
      </c>
      <c r="K2036" s="30">
        <f>IF(A2036="","",IFERROR(INDEX('Holders'!$B$4:$B$1003,MATCH(A2036,'Holders'!$A$4:$A$1003,0)),""))</f>
        <v/>
      </c>
      <c r="L2036" s="30">
        <f>IF(OR(A2036="",B2036="",D2036=""),"",IF(D2036=_xlfn.MAXIFS($D$4:$D$2503,$A$4:$A$2503,A2036,$B$4:$B$2503,B2036),"Yes","No"))</f>
        <v/>
      </c>
      <c r="M2036" s="30">
        <f>IF(B2036="","",IFERROR(INDEX('Share classes'!$F$4:$F$203,MATCH(B2036,'Share classes'!$B$4:$B$203,0)),""))</f>
        <v/>
      </c>
      <c r="N2036" s="30">
        <f>IF(A2036="","",IF(K2036="","Unknown holder ID",IF(J2036="","Unknown class code",IF(OR(C2036="",D2036=""),"Missing shares or date",IF(OR(C2036&lt;0,C2036&lt;&gt;INT(C2036)),"Shares must be a whole number",IF(COUNTIFS($A$4:$A$2503,A2036,$B$4:$B$2503,B2036,$D$4:$D$2503,D2036)&gt;1,"Duplicate row (same date)","OK"))))))</f>
        <v/>
      </c>
    </row>
    <row r="2037">
      <c r="A2037" s="26" t="n"/>
      <c r="B2037" s="26" t="n"/>
      <c r="C2037" s="34" t="n"/>
      <c r="D2037" s="28" t="n"/>
      <c r="E2037" s="26" t="n"/>
      <c r="F2037" s="26" t="n"/>
      <c r="G2037" s="26" t="n"/>
      <c r="H2037" s="38" t="n"/>
      <c r="I2037" s="28" t="n"/>
      <c r="J2037" s="30">
        <f>IF(B2037="","",IFERROR(INDEX('Share classes'!$A$4:$A$203,MATCH(B2037,'Share classes'!$B$4:$B$203,0)),""))</f>
        <v/>
      </c>
      <c r="K2037" s="30">
        <f>IF(A2037="","",IFERROR(INDEX('Holders'!$B$4:$B$1003,MATCH(A2037,'Holders'!$A$4:$A$1003,0)),""))</f>
        <v/>
      </c>
      <c r="L2037" s="30">
        <f>IF(OR(A2037="",B2037="",D2037=""),"",IF(D2037=_xlfn.MAXIFS($D$4:$D$2503,$A$4:$A$2503,A2037,$B$4:$B$2503,B2037),"Yes","No"))</f>
        <v/>
      </c>
      <c r="M2037" s="30">
        <f>IF(B2037="","",IFERROR(INDEX('Share classes'!$F$4:$F$203,MATCH(B2037,'Share classes'!$B$4:$B$203,0)),""))</f>
        <v/>
      </c>
      <c r="N2037" s="30">
        <f>IF(A2037="","",IF(K2037="","Unknown holder ID",IF(J2037="","Unknown class code",IF(OR(C2037="",D2037=""),"Missing shares or date",IF(OR(C2037&lt;0,C2037&lt;&gt;INT(C2037)),"Shares must be a whole number",IF(COUNTIFS($A$4:$A$2503,A2037,$B$4:$B$2503,B2037,$D$4:$D$2503,D2037)&gt;1,"Duplicate row (same date)","OK"))))))</f>
        <v/>
      </c>
    </row>
    <row r="2038">
      <c r="A2038" s="26" t="n"/>
      <c r="B2038" s="26" t="n"/>
      <c r="C2038" s="34" t="n"/>
      <c r="D2038" s="28" t="n"/>
      <c r="E2038" s="26" t="n"/>
      <c r="F2038" s="26" t="n"/>
      <c r="G2038" s="26" t="n"/>
      <c r="H2038" s="38" t="n"/>
      <c r="I2038" s="28" t="n"/>
      <c r="J2038" s="30">
        <f>IF(B2038="","",IFERROR(INDEX('Share classes'!$A$4:$A$203,MATCH(B2038,'Share classes'!$B$4:$B$203,0)),""))</f>
        <v/>
      </c>
      <c r="K2038" s="30">
        <f>IF(A2038="","",IFERROR(INDEX('Holders'!$B$4:$B$1003,MATCH(A2038,'Holders'!$A$4:$A$1003,0)),""))</f>
        <v/>
      </c>
      <c r="L2038" s="30">
        <f>IF(OR(A2038="",B2038="",D2038=""),"",IF(D2038=_xlfn.MAXIFS($D$4:$D$2503,$A$4:$A$2503,A2038,$B$4:$B$2503,B2038),"Yes","No"))</f>
        <v/>
      </c>
      <c r="M2038" s="30">
        <f>IF(B2038="","",IFERROR(INDEX('Share classes'!$F$4:$F$203,MATCH(B2038,'Share classes'!$B$4:$B$203,0)),""))</f>
        <v/>
      </c>
      <c r="N2038" s="30">
        <f>IF(A2038="","",IF(K2038="","Unknown holder ID",IF(J2038="","Unknown class code",IF(OR(C2038="",D2038=""),"Missing shares or date",IF(OR(C2038&lt;0,C2038&lt;&gt;INT(C2038)),"Shares must be a whole number",IF(COUNTIFS($A$4:$A$2503,A2038,$B$4:$B$2503,B2038,$D$4:$D$2503,D2038)&gt;1,"Duplicate row (same date)","OK"))))))</f>
        <v/>
      </c>
    </row>
    <row r="2039">
      <c r="A2039" s="26" t="n"/>
      <c r="B2039" s="26" t="n"/>
      <c r="C2039" s="34" t="n"/>
      <c r="D2039" s="28" t="n"/>
      <c r="E2039" s="26" t="n"/>
      <c r="F2039" s="26" t="n"/>
      <c r="G2039" s="26" t="n"/>
      <c r="H2039" s="38" t="n"/>
      <c r="I2039" s="28" t="n"/>
      <c r="J2039" s="30">
        <f>IF(B2039="","",IFERROR(INDEX('Share classes'!$A$4:$A$203,MATCH(B2039,'Share classes'!$B$4:$B$203,0)),""))</f>
        <v/>
      </c>
      <c r="K2039" s="30">
        <f>IF(A2039="","",IFERROR(INDEX('Holders'!$B$4:$B$1003,MATCH(A2039,'Holders'!$A$4:$A$1003,0)),""))</f>
        <v/>
      </c>
      <c r="L2039" s="30">
        <f>IF(OR(A2039="",B2039="",D2039=""),"",IF(D2039=_xlfn.MAXIFS($D$4:$D$2503,$A$4:$A$2503,A2039,$B$4:$B$2503,B2039),"Yes","No"))</f>
        <v/>
      </c>
      <c r="M2039" s="30">
        <f>IF(B2039="","",IFERROR(INDEX('Share classes'!$F$4:$F$203,MATCH(B2039,'Share classes'!$B$4:$B$203,0)),""))</f>
        <v/>
      </c>
      <c r="N2039" s="30">
        <f>IF(A2039="","",IF(K2039="","Unknown holder ID",IF(J2039="","Unknown class code",IF(OR(C2039="",D2039=""),"Missing shares or date",IF(OR(C2039&lt;0,C2039&lt;&gt;INT(C2039)),"Shares must be a whole number",IF(COUNTIFS($A$4:$A$2503,A2039,$B$4:$B$2503,B2039,$D$4:$D$2503,D2039)&gt;1,"Duplicate row (same date)","OK"))))))</f>
        <v/>
      </c>
    </row>
    <row r="2040">
      <c r="A2040" s="26" t="n"/>
      <c r="B2040" s="26" t="n"/>
      <c r="C2040" s="34" t="n"/>
      <c r="D2040" s="28" t="n"/>
      <c r="E2040" s="26" t="n"/>
      <c r="F2040" s="26" t="n"/>
      <c r="G2040" s="26" t="n"/>
      <c r="H2040" s="38" t="n"/>
      <c r="I2040" s="28" t="n"/>
      <c r="J2040" s="30">
        <f>IF(B2040="","",IFERROR(INDEX('Share classes'!$A$4:$A$203,MATCH(B2040,'Share classes'!$B$4:$B$203,0)),""))</f>
        <v/>
      </c>
      <c r="K2040" s="30">
        <f>IF(A2040="","",IFERROR(INDEX('Holders'!$B$4:$B$1003,MATCH(A2040,'Holders'!$A$4:$A$1003,0)),""))</f>
        <v/>
      </c>
      <c r="L2040" s="30">
        <f>IF(OR(A2040="",B2040="",D2040=""),"",IF(D2040=_xlfn.MAXIFS($D$4:$D$2503,$A$4:$A$2503,A2040,$B$4:$B$2503,B2040),"Yes","No"))</f>
        <v/>
      </c>
      <c r="M2040" s="30">
        <f>IF(B2040="","",IFERROR(INDEX('Share classes'!$F$4:$F$203,MATCH(B2040,'Share classes'!$B$4:$B$203,0)),""))</f>
        <v/>
      </c>
      <c r="N2040" s="30">
        <f>IF(A2040="","",IF(K2040="","Unknown holder ID",IF(J2040="","Unknown class code",IF(OR(C2040="",D2040=""),"Missing shares or date",IF(OR(C2040&lt;0,C2040&lt;&gt;INT(C2040)),"Shares must be a whole number",IF(COUNTIFS($A$4:$A$2503,A2040,$B$4:$B$2503,B2040,$D$4:$D$2503,D2040)&gt;1,"Duplicate row (same date)","OK"))))))</f>
        <v/>
      </c>
    </row>
    <row r="2041">
      <c r="A2041" s="26" t="n"/>
      <c r="B2041" s="26" t="n"/>
      <c r="C2041" s="34" t="n"/>
      <c r="D2041" s="28" t="n"/>
      <c r="E2041" s="26" t="n"/>
      <c r="F2041" s="26" t="n"/>
      <c r="G2041" s="26" t="n"/>
      <c r="H2041" s="38" t="n"/>
      <c r="I2041" s="28" t="n"/>
      <c r="J2041" s="30">
        <f>IF(B2041="","",IFERROR(INDEX('Share classes'!$A$4:$A$203,MATCH(B2041,'Share classes'!$B$4:$B$203,0)),""))</f>
        <v/>
      </c>
      <c r="K2041" s="30">
        <f>IF(A2041="","",IFERROR(INDEX('Holders'!$B$4:$B$1003,MATCH(A2041,'Holders'!$A$4:$A$1003,0)),""))</f>
        <v/>
      </c>
      <c r="L2041" s="30">
        <f>IF(OR(A2041="",B2041="",D2041=""),"",IF(D2041=_xlfn.MAXIFS($D$4:$D$2503,$A$4:$A$2503,A2041,$B$4:$B$2503,B2041),"Yes","No"))</f>
        <v/>
      </c>
      <c r="M2041" s="30">
        <f>IF(B2041="","",IFERROR(INDEX('Share classes'!$F$4:$F$203,MATCH(B2041,'Share classes'!$B$4:$B$203,0)),""))</f>
        <v/>
      </c>
      <c r="N2041" s="30">
        <f>IF(A2041="","",IF(K2041="","Unknown holder ID",IF(J2041="","Unknown class code",IF(OR(C2041="",D2041=""),"Missing shares or date",IF(OR(C2041&lt;0,C2041&lt;&gt;INT(C2041)),"Shares must be a whole number",IF(COUNTIFS($A$4:$A$2503,A2041,$B$4:$B$2503,B2041,$D$4:$D$2503,D2041)&gt;1,"Duplicate row (same date)","OK"))))))</f>
        <v/>
      </c>
    </row>
    <row r="2042">
      <c r="A2042" s="26" t="n"/>
      <c r="B2042" s="26" t="n"/>
      <c r="C2042" s="34" t="n"/>
      <c r="D2042" s="28" t="n"/>
      <c r="E2042" s="26" t="n"/>
      <c r="F2042" s="26" t="n"/>
      <c r="G2042" s="26" t="n"/>
      <c r="H2042" s="38" t="n"/>
      <c r="I2042" s="28" t="n"/>
      <c r="J2042" s="30">
        <f>IF(B2042="","",IFERROR(INDEX('Share classes'!$A$4:$A$203,MATCH(B2042,'Share classes'!$B$4:$B$203,0)),""))</f>
        <v/>
      </c>
      <c r="K2042" s="30">
        <f>IF(A2042="","",IFERROR(INDEX('Holders'!$B$4:$B$1003,MATCH(A2042,'Holders'!$A$4:$A$1003,0)),""))</f>
        <v/>
      </c>
      <c r="L2042" s="30">
        <f>IF(OR(A2042="",B2042="",D2042=""),"",IF(D2042=_xlfn.MAXIFS($D$4:$D$2503,$A$4:$A$2503,A2042,$B$4:$B$2503,B2042),"Yes","No"))</f>
        <v/>
      </c>
      <c r="M2042" s="30">
        <f>IF(B2042="","",IFERROR(INDEX('Share classes'!$F$4:$F$203,MATCH(B2042,'Share classes'!$B$4:$B$203,0)),""))</f>
        <v/>
      </c>
      <c r="N2042" s="30">
        <f>IF(A2042="","",IF(K2042="","Unknown holder ID",IF(J2042="","Unknown class code",IF(OR(C2042="",D2042=""),"Missing shares or date",IF(OR(C2042&lt;0,C2042&lt;&gt;INT(C2042)),"Shares must be a whole number",IF(COUNTIFS($A$4:$A$2503,A2042,$B$4:$B$2503,B2042,$D$4:$D$2503,D2042)&gt;1,"Duplicate row (same date)","OK"))))))</f>
        <v/>
      </c>
    </row>
    <row r="2043">
      <c r="A2043" s="26" t="n"/>
      <c r="B2043" s="26" t="n"/>
      <c r="C2043" s="34" t="n"/>
      <c r="D2043" s="28" t="n"/>
      <c r="E2043" s="26" t="n"/>
      <c r="F2043" s="26" t="n"/>
      <c r="G2043" s="26" t="n"/>
      <c r="H2043" s="38" t="n"/>
      <c r="I2043" s="28" t="n"/>
      <c r="J2043" s="30">
        <f>IF(B2043="","",IFERROR(INDEX('Share classes'!$A$4:$A$203,MATCH(B2043,'Share classes'!$B$4:$B$203,0)),""))</f>
        <v/>
      </c>
      <c r="K2043" s="30">
        <f>IF(A2043="","",IFERROR(INDEX('Holders'!$B$4:$B$1003,MATCH(A2043,'Holders'!$A$4:$A$1003,0)),""))</f>
        <v/>
      </c>
      <c r="L2043" s="30">
        <f>IF(OR(A2043="",B2043="",D2043=""),"",IF(D2043=_xlfn.MAXIFS($D$4:$D$2503,$A$4:$A$2503,A2043,$B$4:$B$2503,B2043),"Yes","No"))</f>
        <v/>
      </c>
      <c r="M2043" s="30">
        <f>IF(B2043="","",IFERROR(INDEX('Share classes'!$F$4:$F$203,MATCH(B2043,'Share classes'!$B$4:$B$203,0)),""))</f>
        <v/>
      </c>
      <c r="N2043" s="30">
        <f>IF(A2043="","",IF(K2043="","Unknown holder ID",IF(J2043="","Unknown class code",IF(OR(C2043="",D2043=""),"Missing shares or date",IF(OR(C2043&lt;0,C2043&lt;&gt;INT(C2043)),"Shares must be a whole number",IF(COUNTIFS($A$4:$A$2503,A2043,$B$4:$B$2503,B2043,$D$4:$D$2503,D2043)&gt;1,"Duplicate row (same date)","OK"))))))</f>
        <v/>
      </c>
    </row>
    <row r="2044">
      <c r="A2044" s="26" t="n"/>
      <c r="B2044" s="26" t="n"/>
      <c r="C2044" s="34" t="n"/>
      <c r="D2044" s="28" t="n"/>
      <c r="E2044" s="26" t="n"/>
      <c r="F2044" s="26" t="n"/>
      <c r="G2044" s="26" t="n"/>
      <c r="H2044" s="38" t="n"/>
      <c r="I2044" s="28" t="n"/>
      <c r="J2044" s="30">
        <f>IF(B2044="","",IFERROR(INDEX('Share classes'!$A$4:$A$203,MATCH(B2044,'Share classes'!$B$4:$B$203,0)),""))</f>
        <v/>
      </c>
      <c r="K2044" s="30">
        <f>IF(A2044="","",IFERROR(INDEX('Holders'!$B$4:$B$1003,MATCH(A2044,'Holders'!$A$4:$A$1003,0)),""))</f>
        <v/>
      </c>
      <c r="L2044" s="30">
        <f>IF(OR(A2044="",B2044="",D2044=""),"",IF(D2044=_xlfn.MAXIFS($D$4:$D$2503,$A$4:$A$2503,A2044,$B$4:$B$2503,B2044),"Yes","No"))</f>
        <v/>
      </c>
      <c r="M2044" s="30">
        <f>IF(B2044="","",IFERROR(INDEX('Share classes'!$F$4:$F$203,MATCH(B2044,'Share classes'!$B$4:$B$203,0)),""))</f>
        <v/>
      </c>
      <c r="N2044" s="30">
        <f>IF(A2044="","",IF(K2044="","Unknown holder ID",IF(J2044="","Unknown class code",IF(OR(C2044="",D2044=""),"Missing shares or date",IF(OR(C2044&lt;0,C2044&lt;&gt;INT(C2044)),"Shares must be a whole number",IF(COUNTIFS($A$4:$A$2503,A2044,$B$4:$B$2503,B2044,$D$4:$D$2503,D2044)&gt;1,"Duplicate row (same date)","OK"))))))</f>
        <v/>
      </c>
    </row>
    <row r="2045">
      <c r="A2045" s="26" t="n"/>
      <c r="B2045" s="26" t="n"/>
      <c r="C2045" s="34" t="n"/>
      <c r="D2045" s="28" t="n"/>
      <c r="E2045" s="26" t="n"/>
      <c r="F2045" s="26" t="n"/>
      <c r="G2045" s="26" t="n"/>
      <c r="H2045" s="38" t="n"/>
      <c r="I2045" s="28" t="n"/>
      <c r="J2045" s="30">
        <f>IF(B2045="","",IFERROR(INDEX('Share classes'!$A$4:$A$203,MATCH(B2045,'Share classes'!$B$4:$B$203,0)),""))</f>
        <v/>
      </c>
      <c r="K2045" s="30">
        <f>IF(A2045="","",IFERROR(INDEX('Holders'!$B$4:$B$1003,MATCH(A2045,'Holders'!$A$4:$A$1003,0)),""))</f>
        <v/>
      </c>
      <c r="L2045" s="30">
        <f>IF(OR(A2045="",B2045="",D2045=""),"",IF(D2045=_xlfn.MAXIFS($D$4:$D$2503,$A$4:$A$2503,A2045,$B$4:$B$2503,B2045),"Yes","No"))</f>
        <v/>
      </c>
      <c r="M2045" s="30">
        <f>IF(B2045="","",IFERROR(INDEX('Share classes'!$F$4:$F$203,MATCH(B2045,'Share classes'!$B$4:$B$203,0)),""))</f>
        <v/>
      </c>
      <c r="N2045" s="30">
        <f>IF(A2045="","",IF(K2045="","Unknown holder ID",IF(J2045="","Unknown class code",IF(OR(C2045="",D2045=""),"Missing shares or date",IF(OR(C2045&lt;0,C2045&lt;&gt;INT(C2045)),"Shares must be a whole number",IF(COUNTIFS($A$4:$A$2503,A2045,$B$4:$B$2503,B2045,$D$4:$D$2503,D2045)&gt;1,"Duplicate row (same date)","OK"))))))</f>
        <v/>
      </c>
    </row>
    <row r="2046">
      <c r="A2046" s="26" t="n"/>
      <c r="B2046" s="26" t="n"/>
      <c r="C2046" s="34" t="n"/>
      <c r="D2046" s="28" t="n"/>
      <c r="E2046" s="26" t="n"/>
      <c r="F2046" s="26" t="n"/>
      <c r="G2046" s="26" t="n"/>
      <c r="H2046" s="38" t="n"/>
      <c r="I2046" s="28" t="n"/>
      <c r="J2046" s="30">
        <f>IF(B2046="","",IFERROR(INDEX('Share classes'!$A$4:$A$203,MATCH(B2046,'Share classes'!$B$4:$B$203,0)),""))</f>
        <v/>
      </c>
      <c r="K2046" s="30">
        <f>IF(A2046="","",IFERROR(INDEX('Holders'!$B$4:$B$1003,MATCH(A2046,'Holders'!$A$4:$A$1003,0)),""))</f>
        <v/>
      </c>
      <c r="L2046" s="30">
        <f>IF(OR(A2046="",B2046="",D2046=""),"",IF(D2046=_xlfn.MAXIFS($D$4:$D$2503,$A$4:$A$2503,A2046,$B$4:$B$2503,B2046),"Yes","No"))</f>
        <v/>
      </c>
      <c r="M2046" s="30">
        <f>IF(B2046="","",IFERROR(INDEX('Share classes'!$F$4:$F$203,MATCH(B2046,'Share classes'!$B$4:$B$203,0)),""))</f>
        <v/>
      </c>
      <c r="N2046" s="30">
        <f>IF(A2046="","",IF(K2046="","Unknown holder ID",IF(J2046="","Unknown class code",IF(OR(C2046="",D2046=""),"Missing shares or date",IF(OR(C2046&lt;0,C2046&lt;&gt;INT(C2046)),"Shares must be a whole number",IF(COUNTIFS($A$4:$A$2503,A2046,$B$4:$B$2503,B2046,$D$4:$D$2503,D2046)&gt;1,"Duplicate row (same date)","OK"))))))</f>
        <v/>
      </c>
    </row>
    <row r="2047">
      <c r="A2047" s="26" t="n"/>
      <c r="B2047" s="26" t="n"/>
      <c r="C2047" s="34" t="n"/>
      <c r="D2047" s="28" t="n"/>
      <c r="E2047" s="26" t="n"/>
      <c r="F2047" s="26" t="n"/>
      <c r="G2047" s="26" t="n"/>
      <c r="H2047" s="38" t="n"/>
      <c r="I2047" s="28" t="n"/>
      <c r="J2047" s="30">
        <f>IF(B2047="","",IFERROR(INDEX('Share classes'!$A$4:$A$203,MATCH(B2047,'Share classes'!$B$4:$B$203,0)),""))</f>
        <v/>
      </c>
      <c r="K2047" s="30">
        <f>IF(A2047="","",IFERROR(INDEX('Holders'!$B$4:$B$1003,MATCH(A2047,'Holders'!$A$4:$A$1003,0)),""))</f>
        <v/>
      </c>
      <c r="L2047" s="30">
        <f>IF(OR(A2047="",B2047="",D2047=""),"",IF(D2047=_xlfn.MAXIFS($D$4:$D$2503,$A$4:$A$2503,A2047,$B$4:$B$2503,B2047),"Yes","No"))</f>
        <v/>
      </c>
      <c r="M2047" s="30">
        <f>IF(B2047="","",IFERROR(INDEX('Share classes'!$F$4:$F$203,MATCH(B2047,'Share classes'!$B$4:$B$203,0)),""))</f>
        <v/>
      </c>
      <c r="N2047" s="30">
        <f>IF(A2047="","",IF(K2047="","Unknown holder ID",IF(J2047="","Unknown class code",IF(OR(C2047="",D2047=""),"Missing shares or date",IF(OR(C2047&lt;0,C2047&lt;&gt;INT(C2047)),"Shares must be a whole number",IF(COUNTIFS($A$4:$A$2503,A2047,$B$4:$B$2503,B2047,$D$4:$D$2503,D2047)&gt;1,"Duplicate row (same date)","OK"))))))</f>
        <v/>
      </c>
    </row>
    <row r="2048">
      <c r="A2048" s="26" t="n"/>
      <c r="B2048" s="26" t="n"/>
      <c r="C2048" s="34" t="n"/>
      <c r="D2048" s="28" t="n"/>
      <c r="E2048" s="26" t="n"/>
      <c r="F2048" s="26" t="n"/>
      <c r="G2048" s="26" t="n"/>
      <c r="H2048" s="38" t="n"/>
      <c r="I2048" s="28" t="n"/>
      <c r="J2048" s="30">
        <f>IF(B2048="","",IFERROR(INDEX('Share classes'!$A$4:$A$203,MATCH(B2048,'Share classes'!$B$4:$B$203,0)),""))</f>
        <v/>
      </c>
      <c r="K2048" s="30">
        <f>IF(A2048="","",IFERROR(INDEX('Holders'!$B$4:$B$1003,MATCH(A2048,'Holders'!$A$4:$A$1003,0)),""))</f>
        <v/>
      </c>
      <c r="L2048" s="30">
        <f>IF(OR(A2048="",B2048="",D2048=""),"",IF(D2048=_xlfn.MAXIFS($D$4:$D$2503,$A$4:$A$2503,A2048,$B$4:$B$2503,B2048),"Yes","No"))</f>
        <v/>
      </c>
      <c r="M2048" s="30">
        <f>IF(B2048="","",IFERROR(INDEX('Share classes'!$F$4:$F$203,MATCH(B2048,'Share classes'!$B$4:$B$203,0)),""))</f>
        <v/>
      </c>
      <c r="N2048" s="30">
        <f>IF(A2048="","",IF(K2048="","Unknown holder ID",IF(J2048="","Unknown class code",IF(OR(C2048="",D2048=""),"Missing shares or date",IF(OR(C2048&lt;0,C2048&lt;&gt;INT(C2048)),"Shares must be a whole number",IF(COUNTIFS($A$4:$A$2503,A2048,$B$4:$B$2503,B2048,$D$4:$D$2503,D2048)&gt;1,"Duplicate row (same date)","OK"))))))</f>
        <v/>
      </c>
    </row>
    <row r="2049">
      <c r="A2049" s="26" t="n"/>
      <c r="B2049" s="26" t="n"/>
      <c r="C2049" s="34" t="n"/>
      <c r="D2049" s="28" t="n"/>
      <c r="E2049" s="26" t="n"/>
      <c r="F2049" s="26" t="n"/>
      <c r="G2049" s="26" t="n"/>
      <c r="H2049" s="38" t="n"/>
      <c r="I2049" s="28" t="n"/>
      <c r="J2049" s="30">
        <f>IF(B2049="","",IFERROR(INDEX('Share classes'!$A$4:$A$203,MATCH(B2049,'Share classes'!$B$4:$B$203,0)),""))</f>
        <v/>
      </c>
      <c r="K2049" s="30">
        <f>IF(A2049="","",IFERROR(INDEX('Holders'!$B$4:$B$1003,MATCH(A2049,'Holders'!$A$4:$A$1003,0)),""))</f>
        <v/>
      </c>
      <c r="L2049" s="30">
        <f>IF(OR(A2049="",B2049="",D2049=""),"",IF(D2049=_xlfn.MAXIFS($D$4:$D$2503,$A$4:$A$2503,A2049,$B$4:$B$2503,B2049),"Yes","No"))</f>
        <v/>
      </c>
      <c r="M2049" s="30">
        <f>IF(B2049="","",IFERROR(INDEX('Share classes'!$F$4:$F$203,MATCH(B2049,'Share classes'!$B$4:$B$203,0)),""))</f>
        <v/>
      </c>
      <c r="N2049" s="30">
        <f>IF(A2049="","",IF(K2049="","Unknown holder ID",IF(J2049="","Unknown class code",IF(OR(C2049="",D2049=""),"Missing shares or date",IF(OR(C2049&lt;0,C2049&lt;&gt;INT(C2049)),"Shares must be a whole number",IF(COUNTIFS($A$4:$A$2503,A2049,$B$4:$B$2503,B2049,$D$4:$D$2503,D2049)&gt;1,"Duplicate row (same date)","OK"))))))</f>
        <v/>
      </c>
    </row>
    <row r="2050">
      <c r="A2050" s="26" t="n"/>
      <c r="B2050" s="26" t="n"/>
      <c r="C2050" s="34" t="n"/>
      <c r="D2050" s="28" t="n"/>
      <c r="E2050" s="26" t="n"/>
      <c r="F2050" s="26" t="n"/>
      <c r="G2050" s="26" t="n"/>
      <c r="H2050" s="38" t="n"/>
      <c r="I2050" s="28" t="n"/>
      <c r="J2050" s="30">
        <f>IF(B2050="","",IFERROR(INDEX('Share classes'!$A$4:$A$203,MATCH(B2050,'Share classes'!$B$4:$B$203,0)),""))</f>
        <v/>
      </c>
      <c r="K2050" s="30">
        <f>IF(A2050="","",IFERROR(INDEX('Holders'!$B$4:$B$1003,MATCH(A2050,'Holders'!$A$4:$A$1003,0)),""))</f>
        <v/>
      </c>
      <c r="L2050" s="30">
        <f>IF(OR(A2050="",B2050="",D2050=""),"",IF(D2050=_xlfn.MAXIFS($D$4:$D$2503,$A$4:$A$2503,A2050,$B$4:$B$2503,B2050),"Yes","No"))</f>
        <v/>
      </c>
      <c r="M2050" s="30">
        <f>IF(B2050="","",IFERROR(INDEX('Share classes'!$F$4:$F$203,MATCH(B2050,'Share classes'!$B$4:$B$203,0)),""))</f>
        <v/>
      </c>
      <c r="N2050" s="30">
        <f>IF(A2050="","",IF(K2050="","Unknown holder ID",IF(J2050="","Unknown class code",IF(OR(C2050="",D2050=""),"Missing shares or date",IF(OR(C2050&lt;0,C2050&lt;&gt;INT(C2050)),"Shares must be a whole number",IF(COUNTIFS($A$4:$A$2503,A2050,$B$4:$B$2503,B2050,$D$4:$D$2503,D2050)&gt;1,"Duplicate row (same date)","OK"))))))</f>
        <v/>
      </c>
    </row>
    <row r="2051">
      <c r="A2051" s="26" t="n"/>
      <c r="B2051" s="26" t="n"/>
      <c r="C2051" s="34" t="n"/>
      <c r="D2051" s="28" t="n"/>
      <c r="E2051" s="26" t="n"/>
      <c r="F2051" s="26" t="n"/>
      <c r="G2051" s="26" t="n"/>
      <c r="H2051" s="38" t="n"/>
      <c r="I2051" s="28" t="n"/>
      <c r="J2051" s="30">
        <f>IF(B2051="","",IFERROR(INDEX('Share classes'!$A$4:$A$203,MATCH(B2051,'Share classes'!$B$4:$B$203,0)),""))</f>
        <v/>
      </c>
      <c r="K2051" s="30">
        <f>IF(A2051="","",IFERROR(INDEX('Holders'!$B$4:$B$1003,MATCH(A2051,'Holders'!$A$4:$A$1003,0)),""))</f>
        <v/>
      </c>
      <c r="L2051" s="30">
        <f>IF(OR(A2051="",B2051="",D2051=""),"",IF(D2051=_xlfn.MAXIFS($D$4:$D$2503,$A$4:$A$2503,A2051,$B$4:$B$2503,B2051),"Yes","No"))</f>
        <v/>
      </c>
      <c r="M2051" s="30">
        <f>IF(B2051="","",IFERROR(INDEX('Share classes'!$F$4:$F$203,MATCH(B2051,'Share classes'!$B$4:$B$203,0)),""))</f>
        <v/>
      </c>
      <c r="N2051" s="30">
        <f>IF(A2051="","",IF(K2051="","Unknown holder ID",IF(J2051="","Unknown class code",IF(OR(C2051="",D2051=""),"Missing shares or date",IF(OR(C2051&lt;0,C2051&lt;&gt;INT(C2051)),"Shares must be a whole number",IF(COUNTIFS($A$4:$A$2503,A2051,$B$4:$B$2503,B2051,$D$4:$D$2503,D2051)&gt;1,"Duplicate row (same date)","OK"))))))</f>
        <v/>
      </c>
    </row>
    <row r="2052">
      <c r="A2052" s="26" t="n"/>
      <c r="B2052" s="26" t="n"/>
      <c r="C2052" s="34" t="n"/>
      <c r="D2052" s="28" t="n"/>
      <c r="E2052" s="26" t="n"/>
      <c r="F2052" s="26" t="n"/>
      <c r="G2052" s="26" t="n"/>
      <c r="H2052" s="38" t="n"/>
      <c r="I2052" s="28" t="n"/>
      <c r="J2052" s="30">
        <f>IF(B2052="","",IFERROR(INDEX('Share classes'!$A$4:$A$203,MATCH(B2052,'Share classes'!$B$4:$B$203,0)),""))</f>
        <v/>
      </c>
      <c r="K2052" s="30">
        <f>IF(A2052="","",IFERROR(INDEX('Holders'!$B$4:$B$1003,MATCH(A2052,'Holders'!$A$4:$A$1003,0)),""))</f>
        <v/>
      </c>
      <c r="L2052" s="30">
        <f>IF(OR(A2052="",B2052="",D2052=""),"",IF(D2052=_xlfn.MAXIFS($D$4:$D$2503,$A$4:$A$2503,A2052,$B$4:$B$2503,B2052),"Yes","No"))</f>
        <v/>
      </c>
      <c r="M2052" s="30">
        <f>IF(B2052="","",IFERROR(INDEX('Share classes'!$F$4:$F$203,MATCH(B2052,'Share classes'!$B$4:$B$203,0)),""))</f>
        <v/>
      </c>
      <c r="N2052" s="30">
        <f>IF(A2052="","",IF(K2052="","Unknown holder ID",IF(J2052="","Unknown class code",IF(OR(C2052="",D2052=""),"Missing shares or date",IF(OR(C2052&lt;0,C2052&lt;&gt;INT(C2052)),"Shares must be a whole number",IF(COUNTIFS($A$4:$A$2503,A2052,$B$4:$B$2503,B2052,$D$4:$D$2503,D2052)&gt;1,"Duplicate row (same date)","OK"))))))</f>
        <v/>
      </c>
    </row>
    <row r="2053">
      <c r="A2053" s="26" t="n"/>
      <c r="B2053" s="26" t="n"/>
      <c r="C2053" s="34" t="n"/>
      <c r="D2053" s="28" t="n"/>
      <c r="E2053" s="26" t="n"/>
      <c r="F2053" s="26" t="n"/>
      <c r="G2053" s="26" t="n"/>
      <c r="H2053" s="38" t="n"/>
      <c r="I2053" s="28" t="n"/>
      <c r="J2053" s="30">
        <f>IF(B2053="","",IFERROR(INDEX('Share classes'!$A$4:$A$203,MATCH(B2053,'Share classes'!$B$4:$B$203,0)),""))</f>
        <v/>
      </c>
      <c r="K2053" s="30">
        <f>IF(A2053="","",IFERROR(INDEX('Holders'!$B$4:$B$1003,MATCH(A2053,'Holders'!$A$4:$A$1003,0)),""))</f>
        <v/>
      </c>
      <c r="L2053" s="30">
        <f>IF(OR(A2053="",B2053="",D2053=""),"",IF(D2053=_xlfn.MAXIFS($D$4:$D$2503,$A$4:$A$2503,A2053,$B$4:$B$2503,B2053),"Yes","No"))</f>
        <v/>
      </c>
      <c r="M2053" s="30">
        <f>IF(B2053="","",IFERROR(INDEX('Share classes'!$F$4:$F$203,MATCH(B2053,'Share classes'!$B$4:$B$203,0)),""))</f>
        <v/>
      </c>
      <c r="N2053" s="30">
        <f>IF(A2053="","",IF(K2053="","Unknown holder ID",IF(J2053="","Unknown class code",IF(OR(C2053="",D2053=""),"Missing shares or date",IF(OR(C2053&lt;0,C2053&lt;&gt;INT(C2053)),"Shares must be a whole number",IF(COUNTIFS($A$4:$A$2503,A2053,$B$4:$B$2503,B2053,$D$4:$D$2503,D2053)&gt;1,"Duplicate row (same date)","OK"))))))</f>
        <v/>
      </c>
    </row>
    <row r="2054">
      <c r="A2054" s="26" t="n"/>
      <c r="B2054" s="26" t="n"/>
      <c r="C2054" s="34" t="n"/>
      <c r="D2054" s="28" t="n"/>
      <c r="E2054" s="26" t="n"/>
      <c r="F2054" s="26" t="n"/>
      <c r="G2054" s="26" t="n"/>
      <c r="H2054" s="38" t="n"/>
      <c r="I2054" s="28" t="n"/>
      <c r="J2054" s="30">
        <f>IF(B2054="","",IFERROR(INDEX('Share classes'!$A$4:$A$203,MATCH(B2054,'Share classes'!$B$4:$B$203,0)),""))</f>
        <v/>
      </c>
      <c r="K2054" s="30">
        <f>IF(A2054="","",IFERROR(INDEX('Holders'!$B$4:$B$1003,MATCH(A2054,'Holders'!$A$4:$A$1003,0)),""))</f>
        <v/>
      </c>
      <c r="L2054" s="30">
        <f>IF(OR(A2054="",B2054="",D2054=""),"",IF(D2054=_xlfn.MAXIFS($D$4:$D$2503,$A$4:$A$2503,A2054,$B$4:$B$2503,B2054),"Yes","No"))</f>
        <v/>
      </c>
      <c r="M2054" s="30">
        <f>IF(B2054="","",IFERROR(INDEX('Share classes'!$F$4:$F$203,MATCH(B2054,'Share classes'!$B$4:$B$203,0)),""))</f>
        <v/>
      </c>
      <c r="N2054" s="30">
        <f>IF(A2054="","",IF(K2054="","Unknown holder ID",IF(J2054="","Unknown class code",IF(OR(C2054="",D2054=""),"Missing shares or date",IF(OR(C2054&lt;0,C2054&lt;&gt;INT(C2054)),"Shares must be a whole number",IF(COUNTIFS($A$4:$A$2503,A2054,$B$4:$B$2503,B2054,$D$4:$D$2503,D2054)&gt;1,"Duplicate row (same date)","OK"))))))</f>
        <v/>
      </c>
    </row>
    <row r="2055">
      <c r="A2055" s="26" t="n"/>
      <c r="B2055" s="26" t="n"/>
      <c r="C2055" s="34" t="n"/>
      <c r="D2055" s="28" t="n"/>
      <c r="E2055" s="26" t="n"/>
      <c r="F2055" s="26" t="n"/>
      <c r="G2055" s="26" t="n"/>
      <c r="H2055" s="38" t="n"/>
      <c r="I2055" s="28" t="n"/>
      <c r="J2055" s="30">
        <f>IF(B2055="","",IFERROR(INDEX('Share classes'!$A$4:$A$203,MATCH(B2055,'Share classes'!$B$4:$B$203,0)),""))</f>
        <v/>
      </c>
      <c r="K2055" s="30">
        <f>IF(A2055="","",IFERROR(INDEX('Holders'!$B$4:$B$1003,MATCH(A2055,'Holders'!$A$4:$A$1003,0)),""))</f>
        <v/>
      </c>
      <c r="L2055" s="30">
        <f>IF(OR(A2055="",B2055="",D2055=""),"",IF(D2055=_xlfn.MAXIFS($D$4:$D$2503,$A$4:$A$2503,A2055,$B$4:$B$2503,B2055),"Yes","No"))</f>
        <v/>
      </c>
      <c r="M2055" s="30">
        <f>IF(B2055="","",IFERROR(INDEX('Share classes'!$F$4:$F$203,MATCH(B2055,'Share classes'!$B$4:$B$203,0)),""))</f>
        <v/>
      </c>
      <c r="N2055" s="30">
        <f>IF(A2055="","",IF(K2055="","Unknown holder ID",IF(J2055="","Unknown class code",IF(OR(C2055="",D2055=""),"Missing shares or date",IF(OR(C2055&lt;0,C2055&lt;&gt;INT(C2055)),"Shares must be a whole number",IF(COUNTIFS($A$4:$A$2503,A2055,$B$4:$B$2503,B2055,$D$4:$D$2503,D2055)&gt;1,"Duplicate row (same date)","OK"))))))</f>
        <v/>
      </c>
    </row>
    <row r="2056">
      <c r="A2056" s="26" t="n"/>
      <c r="B2056" s="26" t="n"/>
      <c r="C2056" s="34" t="n"/>
      <c r="D2056" s="28" t="n"/>
      <c r="E2056" s="26" t="n"/>
      <c r="F2056" s="26" t="n"/>
      <c r="G2056" s="26" t="n"/>
      <c r="H2056" s="38" t="n"/>
      <c r="I2056" s="28" t="n"/>
      <c r="J2056" s="30">
        <f>IF(B2056="","",IFERROR(INDEX('Share classes'!$A$4:$A$203,MATCH(B2056,'Share classes'!$B$4:$B$203,0)),""))</f>
        <v/>
      </c>
      <c r="K2056" s="30">
        <f>IF(A2056="","",IFERROR(INDEX('Holders'!$B$4:$B$1003,MATCH(A2056,'Holders'!$A$4:$A$1003,0)),""))</f>
        <v/>
      </c>
      <c r="L2056" s="30">
        <f>IF(OR(A2056="",B2056="",D2056=""),"",IF(D2056=_xlfn.MAXIFS($D$4:$D$2503,$A$4:$A$2503,A2056,$B$4:$B$2503,B2056),"Yes","No"))</f>
        <v/>
      </c>
      <c r="M2056" s="30">
        <f>IF(B2056="","",IFERROR(INDEX('Share classes'!$F$4:$F$203,MATCH(B2056,'Share classes'!$B$4:$B$203,0)),""))</f>
        <v/>
      </c>
      <c r="N2056" s="30">
        <f>IF(A2056="","",IF(K2056="","Unknown holder ID",IF(J2056="","Unknown class code",IF(OR(C2056="",D2056=""),"Missing shares or date",IF(OR(C2056&lt;0,C2056&lt;&gt;INT(C2056)),"Shares must be a whole number",IF(COUNTIFS($A$4:$A$2503,A2056,$B$4:$B$2503,B2056,$D$4:$D$2503,D2056)&gt;1,"Duplicate row (same date)","OK"))))))</f>
        <v/>
      </c>
    </row>
    <row r="2057">
      <c r="A2057" s="26" t="n"/>
      <c r="B2057" s="26" t="n"/>
      <c r="C2057" s="34" t="n"/>
      <c r="D2057" s="28" t="n"/>
      <c r="E2057" s="26" t="n"/>
      <c r="F2057" s="26" t="n"/>
      <c r="G2057" s="26" t="n"/>
      <c r="H2057" s="38" t="n"/>
      <c r="I2057" s="28" t="n"/>
      <c r="J2057" s="30">
        <f>IF(B2057="","",IFERROR(INDEX('Share classes'!$A$4:$A$203,MATCH(B2057,'Share classes'!$B$4:$B$203,0)),""))</f>
        <v/>
      </c>
      <c r="K2057" s="30">
        <f>IF(A2057="","",IFERROR(INDEX('Holders'!$B$4:$B$1003,MATCH(A2057,'Holders'!$A$4:$A$1003,0)),""))</f>
        <v/>
      </c>
      <c r="L2057" s="30">
        <f>IF(OR(A2057="",B2057="",D2057=""),"",IF(D2057=_xlfn.MAXIFS($D$4:$D$2503,$A$4:$A$2503,A2057,$B$4:$B$2503,B2057),"Yes","No"))</f>
        <v/>
      </c>
      <c r="M2057" s="30">
        <f>IF(B2057="","",IFERROR(INDEX('Share classes'!$F$4:$F$203,MATCH(B2057,'Share classes'!$B$4:$B$203,0)),""))</f>
        <v/>
      </c>
      <c r="N2057" s="30">
        <f>IF(A2057="","",IF(K2057="","Unknown holder ID",IF(J2057="","Unknown class code",IF(OR(C2057="",D2057=""),"Missing shares or date",IF(OR(C2057&lt;0,C2057&lt;&gt;INT(C2057)),"Shares must be a whole number",IF(COUNTIFS($A$4:$A$2503,A2057,$B$4:$B$2503,B2057,$D$4:$D$2503,D2057)&gt;1,"Duplicate row (same date)","OK"))))))</f>
        <v/>
      </c>
    </row>
    <row r="2058">
      <c r="A2058" s="26" t="n"/>
      <c r="B2058" s="26" t="n"/>
      <c r="C2058" s="34" t="n"/>
      <c r="D2058" s="28" t="n"/>
      <c r="E2058" s="26" t="n"/>
      <c r="F2058" s="26" t="n"/>
      <c r="G2058" s="26" t="n"/>
      <c r="H2058" s="38" t="n"/>
      <c r="I2058" s="28" t="n"/>
      <c r="J2058" s="30">
        <f>IF(B2058="","",IFERROR(INDEX('Share classes'!$A$4:$A$203,MATCH(B2058,'Share classes'!$B$4:$B$203,0)),""))</f>
        <v/>
      </c>
      <c r="K2058" s="30">
        <f>IF(A2058="","",IFERROR(INDEX('Holders'!$B$4:$B$1003,MATCH(A2058,'Holders'!$A$4:$A$1003,0)),""))</f>
        <v/>
      </c>
      <c r="L2058" s="30">
        <f>IF(OR(A2058="",B2058="",D2058=""),"",IF(D2058=_xlfn.MAXIFS($D$4:$D$2503,$A$4:$A$2503,A2058,$B$4:$B$2503,B2058),"Yes","No"))</f>
        <v/>
      </c>
      <c r="M2058" s="30">
        <f>IF(B2058="","",IFERROR(INDEX('Share classes'!$F$4:$F$203,MATCH(B2058,'Share classes'!$B$4:$B$203,0)),""))</f>
        <v/>
      </c>
      <c r="N2058" s="30">
        <f>IF(A2058="","",IF(K2058="","Unknown holder ID",IF(J2058="","Unknown class code",IF(OR(C2058="",D2058=""),"Missing shares or date",IF(OR(C2058&lt;0,C2058&lt;&gt;INT(C2058)),"Shares must be a whole number",IF(COUNTIFS($A$4:$A$2503,A2058,$B$4:$B$2503,B2058,$D$4:$D$2503,D2058)&gt;1,"Duplicate row (same date)","OK"))))))</f>
        <v/>
      </c>
    </row>
    <row r="2059">
      <c r="A2059" s="26" t="n"/>
      <c r="B2059" s="26" t="n"/>
      <c r="C2059" s="34" t="n"/>
      <c r="D2059" s="28" t="n"/>
      <c r="E2059" s="26" t="n"/>
      <c r="F2059" s="26" t="n"/>
      <c r="G2059" s="26" t="n"/>
      <c r="H2059" s="38" t="n"/>
      <c r="I2059" s="28" t="n"/>
      <c r="J2059" s="30">
        <f>IF(B2059="","",IFERROR(INDEX('Share classes'!$A$4:$A$203,MATCH(B2059,'Share classes'!$B$4:$B$203,0)),""))</f>
        <v/>
      </c>
      <c r="K2059" s="30">
        <f>IF(A2059="","",IFERROR(INDEX('Holders'!$B$4:$B$1003,MATCH(A2059,'Holders'!$A$4:$A$1003,0)),""))</f>
        <v/>
      </c>
      <c r="L2059" s="30">
        <f>IF(OR(A2059="",B2059="",D2059=""),"",IF(D2059=_xlfn.MAXIFS($D$4:$D$2503,$A$4:$A$2503,A2059,$B$4:$B$2503,B2059),"Yes","No"))</f>
        <v/>
      </c>
      <c r="M2059" s="30">
        <f>IF(B2059="","",IFERROR(INDEX('Share classes'!$F$4:$F$203,MATCH(B2059,'Share classes'!$B$4:$B$203,0)),""))</f>
        <v/>
      </c>
      <c r="N2059" s="30">
        <f>IF(A2059="","",IF(K2059="","Unknown holder ID",IF(J2059="","Unknown class code",IF(OR(C2059="",D2059=""),"Missing shares or date",IF(OR(C2059&lt;0,C2059&lt;&gt;INT(C2059)),"Shares must be a whole number",IF(COUNTIFS($A$4:$A$2503,A2059,$B$4:$B$2503,B2059,$D$4:$D$2503,D2059)&gt;1,"Duplicate row (same date)","OK"))))))</f>
        <v/>
      </c>
    </row>
    <row r="2060">
      <c r="A2060" s="26" t="n"/>
      <c r="B2060" s="26" t="n"/>
      <c r="C2060" s="34" t="n"/>
      <c r="D2060" s="28" t="n"/>
      <c r="E2060" s="26" t="n"/>
      <c r="F2060" s="26" t="n"/>
      <c r="G2060" s="26" t="n"/>
      <c r="H2060" s="38" t="n"/>
      <c r="I2060" s="28" t="n"/>
      <c r="J2060" s="30">
        <f>IF(B2060="","",IFERROR(INDEX('Share classes'!$A$4:$A$203,MATCH(B2060,'Share classes'!$B$4:$B$203,0)),""))</f>
        <v/>
      </c>
      <c r="K2060" s="30">
        <f>IF(A2060="","",IFERROR(INDEX('Holders'!$B$4:$B$1003,MATCH(A2060,'Holders'!$A$4:$A$1003,0)),""))</f>
        <v/>
      </c>
      <c r="L2060" s="30">
        <f>IF(OR(A2060="",B2060="",D2060=""),"",IF(D2060=_xlfn.MAXIFS($D$4:$D$2503,$A$4:$A$2503,A2060,$B$4:$B$2503,B2060),"Yes","No"))</f>
        <v/>
      </c>
      <c r="M2060" s="30">
        <f>IF(B2060="","",IFERROR(INDEX('Share classes'!$F$4:$F$203,MATCH(B2060,'Share classes'!$B$4:$B$203,0)),""))</f>
        <v/>
      </c>
      <c r="N2060" s="30">
        <f>IF(A2060="","",IF(K2060="","Unknown holder ID",IF(J2060="","Unknown class code",IF(OR(C2060="",D2060=""),"Missing shares or date",IF(OR(C2060&lt;0,C2060&lt;&gt;INT(C2060)),"Shares must be a whole number",IF(COUNTIFS($A$4:$A$2503,A2060,$B$4:$B$2503,B2060,$D$4:$D$2503,D2060)&gt;1,"Duplicate row (same date)","OK"))))))</f>
        <v/>
      </c>
    </row>
    <row r="2061">
      <c r="A2061" s="26" t="n"/>
      <c r="B2061" s="26" t="n"/>
      <c r="C2061" s="34" t="n"/>
      <c r="D2061" s="28" t="n"/>
      <c r="E2061" s="26" t="n"/>
      <c r="F2061" s="26" t="n"/>
      <c r="G2061" s="26" t="n"/>
      <c r="H2061" s="38" t="n"/>
      <c r="I2061" s="28" t="n"/>
      <c r="J2061" s="30">
        <f>IF(B2061="","",IFERROR(INDEX('Share classes'!$A$4:$A$203,MATCH(B2061,'Share classes'!$B$4:$B$203,0)),""))</f>
        <v/>
      </c>
      <c r="K2061" s="30">
        <f>IF(A2061="","",IFERROR(INDEX('Holders'!$B$4:$B$1003,MATCH(A2061,'Holders'!$A$4:$A$1003,0)),""))</f>
        <v/>
      </c>
      <c r="L2061" s="30">
        <f>IF(OR(A2061="",B2061="",D2061=""),"",IF(D2061=_xlfn.MAXIFS($D$4:$D$2503,$A$4:$A$2503,A2061,$B$4:$B$2503,B2061),"Yes","No"))</f>
        <v/>
      </c>
      <c r="M2061" s="30">
        <f>IF(B2061="","",IFERROR(INDEX('Share classes'!$F$4:$F$203,MATCH(B2061,'Share classes'!$B$4:$B$203,0)),""))</f>
        <v/>
      </c>
      <c r="N2061" s="30">
        <f>IF(A2061="","",IF(K2061="","Unknown holder ID",IF(J2061="","Unknown class code",IF(OR(C2061="",D2061=""),"Missing shares or date",IF(OR(C2061&lt;0,C2061&lt;&gt;INT(C2061)),"Shares must be a whole number",IF(COUNTIFS($A$4:$A$2503,A2061,$B$4:$B$2503,B2061,$D$4:$D$2503,D2061)&gt;1,"Duplicate row (same date)","OK"))))))</f>
        <v/>
      </c>
    </row>
    <row r="2062">
      <c r="A2062" s="26" t="n"/>
      <c r="B2062" s="26" t="n"/>
      <c r="C2062" s="34" t="n"/>
      <c r="D2062" s="28" t="n"/>
      <c r="E2062" s="26" t="n"/>
      <c r="F2062" s="26" t="n"/>
      <c r="G2062" s="26" t="n"/>
      <c r="H2062" s="38" t="n"/>
      <c r="I2062" s="28" t="n"/>
      <c r="J2062" s="30">
        <f>IF(B2062="","",IFERROR(INDEX('Share classes'!$A$4:$A$203,MATCH(B2062,'Share classes'!$B$4:$B$203,0)),""))</f>
        <v/>
      </c>
      <c r="K2062" s="30">
        <f>IF(A2062="","",IFERROR(INDEX('Holders'!$B$4:$B$1003,MATCH(A2062,'Holders'!$A$4:$A$1003,0)),""))</f>
        <v/>
      </c>
      <c r="L2062" s="30">
        <f>IF(OR(A2062="",B2062="",D2062=""),"",IF(D2062=_xlfn.MAXIFS($D$4:$D$2503,$A$4:$A$2503,A2062,$B$4:$B$2503,B2062),"Yes","No"))</f>
        <v/>
      </c>
      <c r="M2062" s="30">
        <f>IF(B2062="","",IFERROR(INDEX('Share classes'!$F$4:$F$203,MATCH(B2062,'Share classes'!$B$4:$B$203,0)),""))</f>
        <v/>
      </c>
      <c r="N2062" s="30">
        <f>IF(A2062="","",IF(K2062="","Unknown holder ID",IF(J2062="","Unknown class code",IF(OR(C2062="",D2062=""),"Missing shares or date",IF(OR(C2062&lt;0,C2062&lt;&gt;INT(C2062)),"Shares must be a whole number",IF(COUNTIFS($A$4:$A$2503,A2062,$B$4:$B$2503,B2062,$D$4:$D$2503,D2062)&gt;1,"Duplicate row (same date)","OK"))))))</f>
        <v/>
      </c>
    </row>
    <row r="2063">
      <c r="A2063" s="26" t="n"/>
      <c r="B2063" s="26" t="n"/>
      <c r="C2063" s="34" t="n"/>
      <c r="D2063" s="28" t="n"/>
      <c r="E2063" s="26" t="n"/>
      <c r="F2063" s="26" t="n"/>
      <c r="G2063" s="26" t="n"/>
      <c r="H2063" s="38" t="n"/>
      <c r="I2063" s="28" t="n"/>
      <c r="J2063" s="30">
        <f>IF(B2063="","",IFERROR(INDEX('Share classes'!$A$4:$A$203,MATCH(B2063,'Share classes'!$B$4:$B$203,0)),""))</f>
        <v/>
      </c>
      <c r="K2063" s="30">
        <f>IF(A2063="","",IFERROR(INDEX('Holders'!$B$4:$B$1003,MATCH(A2063,'Holders'!$A$4:$A$1003,0)),""))</f>
        <v/>
      </c>
      <c r="L2063" s="30">
        <f>IF(OR(A2063="",B2063="",D2063=""),"",IF(D2063=_xlfn.MAXIFS($D$4:$D$2503,$A$4:$A$2503,A2063,$B$4:$B$2503,B2063),"Yes","No"))</f>
        <v/>
      </c>
      <c r="M2063" s="30">
        <f>IF(B2063="","",IFERROR(INDEX('Share classes'!$F$4:$F$203,MATCH(B2063,'Share classes'!$B$4:$B$203,0)),""))</f>
        <v/>
      </c>
      <c r="N2063" s="30">
        <f>IF(A2063="","",IF(K2063="","Unknown holder ID",IF(J2063="","Unknown class code",IF(OR(C2063="",D2063=""),"Missing shares or date",IF(OR(C2063&lt;0,C2063&lt;&gt;INT(C2063)),"Shares must be a whole number",IF(COUNTIFS($A$4:$A$2503,A2063,$B$4:$B$2503,B2063,$D$4:$D$2503,D2063)&gt;1,"Duplicate row (same date)","OK"))))))</f>
        <v/>
      </c>
    </row>
    <row r="2064">
      <c r="A2064" s="26" t="n"/>
      <c r="B2064" s="26" t="n"/>
      <c r="C2064" s="34" t="n"/>
      <c r="D2064" s="28" t="n"/>
      <c r="E2064" s="26" t="n"/>
      <c r="F2064" s="26" t="n"/>
      <c r="G2064" s="26" t="n"/>
      <c r="H2064" s="38" t="n"/>
      <c r="I2064" s="28" t="n"/>
      <c r="J2064" s="30">
        <f>IF(B2064="","",IFERROR(INDEX('Share classes'!$A$4:$A$203,MATCH(B2064,'Share classes'!$B$4:$B$203,0)),""))</f>
        <v/>
      </c>
      <c r="K2064" s="30">
        <f>IF(A2064="","",IFERROR(INDEX('Holders'!$B$4:$B$1003,MATCH(A2064,'Holders'!$A$4:$A$1003,0)),""))</f>
        <v/>
      </c>
      <c r="L2064" s="30">
        <f>IF(OR(A2064="",B2064="",D2064=""),"",IF(D2064=_xlfn.MAXIFS($D$4:$D$2503,$A$4:$A$2503,A2064,$B$4:$B$2503,B2064),"Yes","No"))</f>
        <v/>
      </c>
      <c r="M2064" s="30">
        <f>IF(B2064="","",IFERROR(INDEX('Share classes'!$F$4:$F$203,MATCH(B2064,'Share classes'!$B$4:$B$203,0)),""))</f>
        <v/>
      </c>
      <c r="N2064" s="30">
        <f>IF(A2064="","",IF(K2064="","Unknown holder ID",IF(J2064="","Unknown class code",IF(OR(C2064="",D2064=""),"Missing shares or date",IF(OR(C2064&lt;0,C2064&lt;&gt;INT(C2064)),"Shares must be a whole number",IF(COUNTIFS($A$4:$A$2503,A2064,$B$4:$B$2503,B2064,$D$4:$D$2503,D2064)&gt;1,"Duplicate row (same date)","OK"))))))</f>
        <v/>
      </c>
    </row>
    <row r="2065">
      <c r="A2065" s="26" t="n"/>
      <c r="B2065" s="26" t="n"/>
      <c r="C2065" s="34" t="n"/>
      <c r="D2065" s="28" t="n"/>
      <c r="E2065" s="26" t="n"/>
      <c r="F2065" s="26" t="n"/>
      <c r="G2065" s="26" t="n"/>
      <c r="H2065" s="38" t="n"/>
      <c r="I2065" s="28" t="n"/>
      <c r="J2065" s="30">
        <f>IF(B2065="","",IFERROR(INDEX('Share classes'!$A$4:$A$203,MATCH(B2065,'Share classes'!$B$4:$B$203,0)),""))</f>
        <v/>
      </c>
      <c r="K2065" s="30">
        <f>IF(A2065="","",IFERROR(INDEX('Holders'!$B$4:$B$1003,MATCH(A2065,'Holders'!$A$4:$A$1003,0)),""))</f>
        <v/>
      </c>
      <c r="L2065" s="30">
        <f>IF(OR(A2065="",B2065="",D2065=""),"",IF(D2065=_xlfn.MAXIFS($D$4:$D$2503,$A$4:$A$2503,A2065,$B$4:$B$2503,B2065),"Yes","No"))</f>
        <v/>
      </c>
      <c r="M2065" s="30">
        <f>IF(B2065="","",IFERROR(INDEX('Share classes'!$F$4:$F$203,MATCH(B2065,'Share classes'!$B$4:$B$203,0)),""))</f>
        <v/>
      </c>
      <c r="N2065" s="30">
        <f>IF(A2065="","",IF(K2065="","Unknown holder ID",IF(J2065="","Unknown class code",IF(OR(C2065="",D2065=""),"Missing shares or date",IF(OR(C2065&lt;0,C2065&lt;&gt;INT(C2065)),"Shares must be a whole number",IF(COUNTIFS($A$4:$A$2503,A2065,$B$4:$B$2503,B2065,$D$4:$D$2503,D2065)&gt;1,"Duplicate row (same date)","OK"))))))</f>
        <v/>
      </c>
    </row>
    <row r="2066">
      <c r="A2066" s="26" t="n"/>
      <c r="B2066" s="26" t="n"/>
      <c r="C2066" s="34" t="n"/>
      <c r="D2066" s="28" t="n"/>
      <c r="E2066" s="26" t="n"/>
      <c r="F2066" s="26" t="n"/>
      <c r="G2066" s="26" t="n"/>
      <c r="H2066" s="38" t="n"/>
      <c r="I2066" s="28" t="n"/>
      <c r="J2066" s="30">
        <f>IF(B2066="","",IFERROR(INDEX('Share classes'!$A$4:$A$203,MATCH(B2066,'Share classes'!$B$4:$B$203,0)),""))</f>
        <v/>
      </c>
      <c r="K2066" s="30">
        <f>IF(A2066="","",IFERROR(INDEX('Holders'!$B$4:$B$1003,MATCH(A2066,'Holders'!$A$4:$A$1003,0)),""))</f>
        <v/>
      </c>
      <c r="L2066" s="30">
        <f>IF(OR(A2066="",B2066="",D2066=""),"",IF(D2066=_xlfn.MAXIFS($D$4:$D$2503,$A$4:$A$2503,A2066,$B$4:$B$2503,B2066),"Yes","No"))</f>
        <v/>
      </c>
      <c r="M2066" s="30">
        <f>IF(B2066="","",IFERROR(INDEX('Share classes'!$F$4:$F$203,MATCH(B2066,'Share classes'!$B$4:$B$203,0)),""))</f>
        <v/>
      </c>
      <c r="N2066" s="30">
        <f>IF(A2066="","",IF(K2066="","Unknown holder ID",IF(J2066="","Unknown class code",IF(OR(C2066="",D2066=""),"Missing shares or date",IF(OR(C2066&lt;0,C2066&lt;&gt;INT(C2066)),"Shares must be a whole number",IF(COUNTIFS($A$4:$A$2503,A2066,$B$4:$B$2503,B2066,$D$4:$D$2503,D2066)&gt;1,"Duplicate row (same date)","OK"))))))</f>
        <v/>
      </c>
    </row>
    <row r="2067">
      <c r="A2067" s="26" t="n"/>
      <c r="B2067" s="26" t="n"/>
      <c r="C2067" s="34" t="n"/>
      <c r="D2067" s="28" t="n"/>
      <c r="E2067" s="26" t="n"/>
      <c r="F2067" s="26" t="n"/>
      <c r="G2067" s="26" t="n"/>
      <c r="H2067" s="38" t="n"/>
      <c r="I2067" s="28" t="n"/>
      <c r="J2067" s="30">
        <f>IF(B2067="","",IFERROR(INDEX('Share classes'!$A$4:$A$203,MATCH(B2067,'Share classes'!$B$4:$B$203,0)),""))</f>
        <v/>
      </c>
      <c r="K2067" s="30">
        <f>IF(A2067="","",IFERROR(INDEX('Holders'!$B$4:$B$1003,MATCH(A2067,'Holders'!$A$4:$A$1003,0)),""))</f>
        <v/>
      </c>
      <c r="L2067" s="30">
        <f>IF(OR(A2067="",B2067="",D2067=""),"",IF(D2067=_xlfn.MAXIFS($D$4:$D$2503,$A$4:$A$2503,A2067,$B$4:$B$2503,B2067),"Yes","No"))</f>
        <v/>
      </c>
      <c r="M2067" s="30">
        <f>IF(B2067="","",IFERROR(INDEX('Share classes'!$F$4:$F$203,MATCH(B2067,'Share classes'!$B$4:$B$203,0)),""))</f>
        <v/>
      </c>
      <c r="N2067" s="30">
        <f>IF(A2067="","",IF(K2067="","Unknown holder ID",IF(J2067="","Unknown class code",IF(OR(C2067="",D2067=""),"Missing shares or date",IF(OR(C2067&lt;0,C2067&lt;&gt;INT(C2067)),"Shares must be a whole number",IF(COUNTIFS($A$4:$A$2503,A2067,$B$4:$B$2503,B2067,$D$4:$D$2503,D2067)&gt;1,"Duplicate row (same date)","OK"))))))</f>
        <v/>
      </c>
    </row>
    <row r="2068">
      <c r="A2068" s="26" t="n"/>
      <c r="B2068" s="26" t="n"/>
      <c r="C2068" s="34" t="n"/>
      <c r="D2068" s="28" t="n"/>
      <c r="E2068" s="26" t="n"/>
      <c r="F2068" s="26" t="n"/>
      <c r="G2068" s="26" t="n"/>
      <c r="H2068" s="38" t="n"/>
      <c r="I2068" s="28" t="n"/>
      <c r="J2068" s="30">
        <f>IF(B2068="","",IFERROR(INDEX('Share classes'!$A$4:$A$203,MATCH(B2068,'Share classes'!$B$4:$B$203,0)),""))</f>
        <v/>
      </c>
      <c r="K2068" s="30">
        <f>IF(A2068="","",IFERROR(INDEX('Holders'!$B$4:$B$1003,MATCH(A2068,'Holders'!$A$4:$A$1003,0)),""))</f>
        <v/>
      </c>
      <c r="L2068" s="30">
        <f>IF(OR(A2068="",B2068="",D2068=""),"",IF(D2068=_xlfn.MAXIFS($D$4:$D$2503,$A$4:$A$2503,A2068,$B$4:$B$2503,B2068),"Yes","No"))</f>
        <v/>
      </c>
      <c r="M2068" s="30">
        <f>IF(B2068="","",IFERROR(INDEX('Share classes'!$F$4:$F$203,MATCH(B2068,'Share classes'!$B$4:$B$203,0)),""))</f>
        <v/>
      </c>
      <c r="N2068" s="30">
        <f>IF(A2068="","",IF(K2068="","Unknown holder ID",IF(J2068="","Unknown class code",IF(OR(C2068="",D2068=""),"Missing shares or date",IF(OR(C2068&lt;0,C2068&lt;&gt;INT(C2068)),"Shares must be a whole number",IF(COUNTIFS($A$4:$A$2503,A2068,$B$4:$B$2503,B2068,$D$4:$D$2503,D2068)&gt;1,"Duplicate row (same date)","OK"))))))</f>
        <v/>
      </c>
    </row>
    <row r="2069">
      <c r="A2069" s="26" t="n"/>
      <c r="B2069" s="26" t="n"/>
      <c r="C2069" s="34" t="n"/>
      <c r="D2069" s="28" t="n"/>
      <c r="E2069" s="26" t="n"/>
      <c r="F2069" s="26" t="n"/>
      <c r="G2069" s="26" t="n"/>
      <c r="H2069" s="38" t="n"/>
      <c r="I2069" s="28" t="n"/>
      <c r="J2069" s="30">
        <f>IF(B2069="","",IFERROR(INDEX('Share classes'!$A$4:$A$203,MATCH(B2069,'Share classes'!$B$4:$B$203,0)),""))</f>
        <v/>
      </c>
      <c r="K2069" s="30">
        <f>IF(A2069="","",IFERROR(INDEX('Holders'!$B$4:$B$1003,MATCH(A2069,'Holders'!$A$4:$A$1003,0)),""))</f>
        <v/>
      </c>
      <c r="L2069" s="30">
        <f>IF(OR(A2069="",B2069="",D2069=""),"",IF(D2069=_xlfn.MAXIFS($D$4:$D$2503,$A$4:$A$2503,A2069,$B$4:$B$2503,B2069),"Yes","No"))</f>
        <v/>
      </c>
      <c r="M2069" s="30">
        <f>IF(B2069="","",IFERROR(INDEX('Share classes'!$F$4:$F$203,MATCH(B2069,'Share classes'!$B$4:$B$203,0)),""))</f>
        <v/>
      </c>
      <c r="N2069" s="30">
        <f>IF(A2069="","",IF(K2069="","Unknown holder ID",IF(J2069="","Unknown class code",IF(OR(C2069="",D2069=""),"Missing shares or date",IF(OR(C2069&lt;0,C2069&lt;&gt;INT(C2069)),"Shares must be a whole number",IF(COUNTIFS($A$4:$A$2503,A2069,$B$4:$B$2503,B2069,$D$4:$D$2503,D2069)&gt;1,"Duplicate row (same date)","OK"))))))</f>
        <v/>
      </c>
    </row>
    <row r="2070">
      <c r="A2070" s="26" t="n"/>
      <c r="B2070" s="26" t="n"/>
      <c r="C2070" s="34" t="n"/>
      <c r="D2070" s="28" t="n"/>
      <c r="E2070" s="26" t="n"/>
      <c r="F2070" s="26" t="n"/>
      <c r="G2070" s="26" t="n"/>
      <c r="H2070" s="38" t="n"/>
      <c r="I2070" s="28" t="n"/>
      <c r="J2070" s="30">
        <f>IF(B2070="","",IFERROR(INDEX('Share classes'!$A$4:$A$203,MATCH(B2070,'Share classes'!$B$4:$B$203,0)),""))</f>
        <v/>
      </c>
      <c r="K2070" s="30">
        <f>IF(A2070="","",IFERROR(INDEX('Holders'!$B$4:$B$1003,MATCH(A2070,'Holders'!$A$4:$A$1003,0)),""))</f>
        <v/>
      </c>
      <c r="L2070" s="30">
        <f>IF(OR(A2070="",B2070="",D2070=""),"",IF(D2070=_xlfn.MAXIFS($D$4:$D$2503,$A$4:$A$2503,A2070,$B$4:$B$2503,B2070),"Yes","No"))</f>
        <v/>
      </c>
      <c r="M2070" s="30">
        <f>IF(B2070="","",IFERROR(INDEX('Share classes'!$F$4:$F$203,MATCH(B2070,'Share classes'!$B$4:$B$203,0)),""))</f>
        <v/>
      </c>
      <c r="N2070" s="30">
        <f>IF(A2070="","",IF(K2070="","Unknown holder ID",IF(J2070="","Unknown class code",IF(OR(C2070="",D2070=""),"Missing shares or date",IF(OR(C2070&lt;0,C2070&lt;&gt;INT(C2070)),"Shares must be a whole number",IF(COUNTIFS($A$4:$A$2503,A2070,$B$4:$B$2503,B2070,$D$4:$D$2503,D2070)&gt;1,"Duplicate row (same date)","OK"))))))</f>
        <v/>
      </c>
    </row>
    <row r="2071">
      <c r="A2071" s="26" t="n"/>
      <c r="B2071" s="26" t="n"/>
      <c r="C2071" s="34" t="n"/>
      <c r="D2071" s="28" t="n"/>
      <c r="E2071" s="26" t="n"/>
      <c r="F2071" s="26" t="n"/>
      <c r="G2071" s="26" t="n"/>
      <c r="H2071" s="38" t="n"/>
      <c r="I2071" s="28" t="n"/>
      <c r="J2071" s="30">
        <f>IF(B2071="","",IFERROR(INDEX('Share classes'!$A$4:$A$203,MATCH(B2071,'Share classes'!$B$4:$B$203,0)),""))</f>
        <v/>
      </c>
      <c r="K2071" s="30">
        <f>IF(A2071="","",IFERROR(INDEX('Holders'!$B$4:$B$1003,MATCH(A2071,'Holders'!$A$4:$A$1003,0)),""))</f>
        <v/>
      </c>
      <c r="L2071" s="30">
        <f>IF(OR(A2071="",B2071="",D2071=""),"",IF(D2071=_xlfn.MAXIFS($D$4:$D$2503,$A$4:$A$2503,A2071,$B$4:$B$2503,B2071),"Yes","No"))</f>
        <v/>
      </c>
      <c r="M2071" s="30">
        <f>IF(B2071="","",IFERROR(INDEX('Share classes'!$F$4:$F$203,MATCH(B2071,'Share classes'!$B$4:$B$203,0)),""))</f>
        <v/>
      </c>
      <c r="N2071" s="30">
        <f>IF(A2071="","",IF(K2071="","Unknown holder ID",IF(J2071="","Unknown class code",IF(OR(C2071="",D2071=""),"Missing shares or date",IF(OR(C2071&lt;0,C2071&lt;&gt;INT(C2071)),"Shares must be a whole number",IF(COUNTIFS($A$4:$A$2503,A2071,$B$4:$B$2503,B2071,$D$4:$D$2503,D2071)&gt;1,"Duplicate row (same date)","OK"))))))</f>
        <v/>
      </c>
    </row>
    <row r="2072">
      <c r="A2072" s="26" t="n"/>
      <c r="B2072" s="26" t="n"/>
      <c r="C2072" s="34" t="n"/>
      <c r="D2072" s="28" t="n"/>
      <c r="E2072" s="26" t="n"/>
      <c r="F2072" s="26" t="n"/>
      <c r="G2072" s="26" t="n"/>
      <c r="H2072" s="38" t="n"/>
      <c r="I2072" s="28" t="n"/>
      <c r="J2072" s="30">
        <f>IF(B2072="","",IFERROR(INDEX('Share classes'!$A$4:$A$203,MATCH(B2072,'Share classes'!$B$4:$B$203,0)),""))</f>
        <v/>
      </c>
      <c r="K2072" s="30">
        <f>IF(A2072="","",IFERROR(INDEX('Holders'!$B$4:$B$1003,MATCH(A2072,'Holders'!$A$4:$A$1003,0)),""))</f>
        <v/>
      </c>
      <c r="L2072" s="30">
        <f>IF(OR(A2072="",B2072="",D2072=""),"",IF(D2072=_xlfn.MAXIFS($D$4:$D$2503,$A$4:$A$2503,A2072,$B$4:$B$2503,B2072),"Yes","No"))</f>
        <v/>
      </c>
      <c r="M2072" s="30">
        <f>IF(B2072="","",IFERROR(INDEX('Share classes'!$F$4:$F$203,MATCH(B2072,'Share classes'!$B$4:$B$203,0)),""))</f>
        <v/>
      </c>
      <c r="N2072" s="30">
        <f>IF(A2072="","",IF(K2072="","Unknown holder ID",IF(J2072="","Unknown class code",IF(OR(C2072="",D2072=""),"Missing shares or date",IF(OR(C2072&lt;0,C2072&lt;&gt;INT(C2072)),"Shares must be a whole number",IF(COUNTIFS($A$4:$A$2503,A2072,$B$4:$B$2503,B2072,$D$4:$D$2503,D2072)&gt;1,"Duplicate row (same date)","OK"))))))</f>
        <v/>
      </c>
    </row>
    <row r="2073">
      <c r="A2073" s="26" t="n"/>
      <c r="B2073" s="26" t="n"/>
      <c r="C2073" s="34" t="n"/>
      <c r="D2073" s="28" t="n"/>
      <c r="E2073" s="26" t="n"/>
      <c r="F2073" s="26" t="n"/>
      <c r="G2073" s="26" t="n"/>
      <c r="H2073" s="38" t="n"/>
      <c r="I2073" s="28" t="n"/>
      <c r="J2073" s="30">
        <f>IF(B2073="","",IFERROR(INDEX('Share classes'!$A$4:$A$203,MATCH(B2073,'Share classes'!$B$4:$B$203,0)),""))</f>
        <v/>
      </c>
      <c r="K2073" s="30">
        <f>IF(A2073="","",IFERROR(INDEX('Holders'!$B$4:$B$1003,MATCH(A2073,'Holders'!$A$4:$A$1003,0)),""))</f>
        <v/>
      </c>
      <c r="L2073" s="30">
        <f>IF(OR(A2073="",B2073="",D2073=""),"",IF(D2073=_xlfn.MAXIFS($D$4:$D$2503,$A$4:$A$2503,A2073,$B$4:$B$2503,B2073),"Yes","No"))</f>
        <v/>
      </c>
      <c r="M2073" s="30">
        <f>IF(B2073="","",IFERROR(INDEX('Share classes'!$F$4:$F$203,MATCH(B2073,'Share classes'!$B$4:$B$203,0)),""))</f>
        <v/>
      </c>
      <c r="N2073" s="30">
        <f>IF(A2073="","",IF(K2073="","Unknown holder ID",IF(J2073="","Unknown class code",IF(OR(C2073="",D2073=""),"Missing shares or date",IF(OR(C2073&lt;0,C2073&lt;&gt;INT(C2073)),"Shares must be a whole number",IF(COUNTIFS($A$4:$A$2503,A2073,$B$4:$B$2503,B2073,$D$4:$D$2503,D2073)&gt;1,"Duplicate row (same date)","OK"))))))</f>
        <v/>
      </c>
    </row>
    <row r="2074">
      <c r="A2074" s="26" t="n"/>
      <c r="B2074" s="26" t="n"/>
      <c r="C2074" s="34" t="n"/>
      <c r="D2074" s="28" t="n"/>
      <c r="E2074" s="26" t="n"/>
      <c r="F2074" s="26" t="n"/>
      <c r="G2074" s="26" t="n"/>
      <c r="H2074" s="38" t="n"/>
      <c r="I2074" s="28" t="n"/>
      <c r="J2074" s="30">
        <f>IF(B2074="","",IFERROR(INDEX('Share classes'!$A$4:$A$203,MATCH(B2074,'Share classes'!$B$4:$B$203,0)),""))</f>
        <v/>
      </c>
      <c r="K2074" s="30">
        <f>IF(A2074="","",IFERROR(INDEX('Holders'!$B$4:$B$1003,MATCH(A2074,'Holders'!$A$4:$A$1003,0)),""))</f>
        <v/>
      </c>
      <c r="L2074" s="30">
        <f>IF(OR(A2074="",B2074="",D2074=""),"",IF(D2074=_xlfn.MAXIFS($D$4:$D$2503,$A$4:$A$2503,A2074,$B$4:$B$2503,B2074),"Yes","No"))</f>
        <v/>
      </c>
      <c r="M2074" s="30">
        <f>IF(B2074="","",IFERROR(INDEX('Share classes'!$F$4:$F$203,MATCH(B2074,'Share classes'!$B$4:$B$203,0)),""))</f>
        <v/>
      </c>
      <c r="N2074" s="30">
        <f>IF(A2074="","",IF(K2074="","Unknown holder ID",IF(J2074="","Unknown class code",IF(OR(C2074="",D2074=""),"Missing shares or date",IF(OR(C2074&lt;0,C2074&lt;&gt;INT(C2074)),"Shares must be a whole number",IF(COUNTIFS($A$4:$A$2503,A2074,$B$4:$B$2503,B2074,$D$4:$D$2503,D2074)&gt;1,"Duplicate row (same date)","OK"))))))</f>
        <v/>
      </c>
    </row>
    <row r="2075">
      <c r="A2075" s="26" t="n"/>
      <c r="B2075" s="26" t="n"/>
      <c r="C2075" s="34" t="n"/>
      <c r="D2075" s="28" t="n"/>
      <c r="E2075" s="26" t="n"/>
      <c r="F2075" s="26" t="n"/>
      <c r="G2075" s="26" t="n"/>
      <c r="H2075" s="38" t="n"/>
      <c r="I2075" s="28" t="n"/>
      <c r="J2075" s="30">
        <f>IF(B2075="","",IFERROR(INDEX('Share classes'!$A$4:$A$203,MATCH(B2075,'Share classes'!$B$4:$B$203,0)),""))</f>
        <v/>
      </c>
      <c r="K2075" s="30">
        <f>IF(A2075="","",IFERROR(INDEX('Holders'!$B$4:$B$1003,MATCH(A2075,'Holders'!$A$4:$A$1003,0)),""))</f>
        <v/>
      </c>
      <c r="L2075" s="30">
        <f>IF(OR(A2075="",B2075="",D2075=""),"",IF(D2075=_xlfn.MAXIFS($D$4:$D$2503,$A$4:$A$2503,A2075,$B$4:$B$2503,B2075),"Yes","No"))</f>
        <v/>
      </c>
      <c r="M2075" s="30">
        <f>IF(B2075="","",IFERROR(INDEX('Share classes'!$F$4:$F$203,MATCH(B2075,'Share classes'!$B$4:$B$203,0)),""))</f>
        <v/>
      </c>
      <c r="N2075" s="30">
        <f>IF(A2075="","",IF(K2075="","Unknown holder ID",IF(J2075="","Unknown class code",IF(OR(C2075="",D2075=""),"Missing shares or date",IF(OR(C2075&lt;0,C2075&lt;&gt;INT(C2075)),"Shares must be a whole number",IF(COUNTIFS($A$4:$A$2503,A2075,$B$4:$B$2503,B2075,$D$4:$D$2503,D2075)&gt;1,"Duplicate row (same date)","OK"))))))</f>
        <v/>
      </c>
    </row>
    <row r="2076">
      <c r="A2076" s="26" t="n"/>
      <c r="B2076" s="26" t="n"/>
      <c r="C2076" s="34" t="n"/>
      <c r="D2076" s="28" t="n"/>
      <c r="E2076" s="26" t="n"/>
      <c r="F2076" s="26" t="n"/>
      <c r="G2076" s="26" t="n"/>
      <c r="H2076" s="38" t="n"/>
      <c r="I2076" s="28" t="n"/>
      <c r="J2076" s="30">
        <f>IF(B2076="","",IFERROR(INDEX('Share classes'!$A$4:$A$203,MATCH(B2076,'Share classes'!$B$4:$B$203,0)),""))</f>
        <v/>
      </c>
      <c r="K2076" s="30">
        <f>IF(A2076="","",IFERROR(INDEX('Holders'!$B$4:$B$1003,MATCH(A2076,'Holders'!$A$4:$A$1003,0)),""))</f>
        <v/>
      </c>
      <c r="L2076" s="30">
        <f>IF(OR(A2076="",B2076="",D2076=""),"",IF(D2076=_xlfn.MAXIFS($D$4:$D$2503,$A$4:$A$2503,A2076,$B$4:$B$2503,B2076),"Yes","No"))</f>
        <v/>
      </c>
      <c r="M2076" s="30">
        <f>IF(B2076="","",IFERROR(INDEX('Share classes'!$F$4:$F$203,MATCH(B2076,'Share classes'!$B$4:$B$203,0)),""))</f>
        <v/>
      </c>
      <c r="N2076" s="30">
        <f>IF(A2076="","",IF(K2076="","Unknown holder ID",IF(J2076="","Unknown class code",IF(OR(C2076="",D2076=""),"Missing shares or date",IF(OR(C2076&lt;0,C2076&lt;&gt;INT(C2076)),"Shares must be a whole number",IF(COUNTIFS($A$4:$A$2503,A2076,$B$4:$B$2503,B2076,$D$4:$D$2503,D2076)&gt;1,"Duplicate row (same date)","OK"))))))</f>
        <v/>
      </c>
    </row>
    <row r="2077">
      <c r="A2077" s="26" t="n"/>
      <c r="B2077" s="26" t="n"/>
      <c r="C2077" s="34" t="n"/>
      <c r="D2077" s="28" t="n"/>
      <c r="E2077" s="26" t="n"/>
      <c r="F2077" s="26" t="n"/>
      <c r="G2077" s="26" t="n"/>
      <c r="H2077" s="38" t="n"/>
      <c r="I2077" s="28" t="n"/>
      <c r="J2077" s="30">
        <f>IF(B2077="","",IFERROR(INDEX('Share classes'!$A$4:$A$203,MATCH(B2077,'Share classes'!$B$4:$B$203,0)),""))</f>
        <v/>
      </c>
      <c r="K2077" s="30">
        <f>IF(A2077="","",IFERROR(INDEX('Holders'!$B$4:$B$1003,MATCH(A2077,'Holders'!$A$4:$A$1003,0)),""))</f>
        <v/>
      </c>
      <c r="L2077" s="30">
        <f>IF(OR(A2077="",B2077="",D2077=""),"",IF(D2077=_xlfn.MAXIFS($D$4:$D$2503,$A$4:$A$2503,A2077,$B$4:$B$2503,B2077),"Yes","No"))</f>
        <v/>
      </c>
      <c r="M2077" s="30">
        <f>IF(B2077="","",IFERROR(INDEX('Share classes'!$F$4:$F$203,MATCH(B2077,'Share classes'!$B$4:$B$203,0)),""))</f>
        <v/>
      </c>
      <c r="N2077" s="30">
        <f>IF(A2077="","",IF(K2077="","Unknown holder ID",IF(J2077="","Unknown class code",IF(OR(C2077="",D2077=""),"Missing shares or date",IF(OR(C2077&lt;0,C2077&lt;&gt;INT(C2077)),"Shares must be a whole number",IF(COUNTIFS($A$4:$A$2503,A2077,$B$4:$B$2503,B2077,$D$4:$D$2503,D2077)&gt;1,"Duplicate row (same date)","OK"))))))</f>
        <v/>
      </c>
    </row>
    <row r="2078">
      <c r="A2078" s="26" t="n"/>
      <c r="B2078" s="26" t="n"/>
      <c r="C2078" s="34" t="n"/>
      <c r="D2078" s="28" t="n"/>
      <c r="E2078" s="26" t="n"/>
      <c r="F2078" s="26" t="n"/>
      <c r="G2078" s="26" t="n"/>
      <c r="H2078" s="38" t="n"/>
      <c r="I2078" s="28" t="n"/>
      <c r="J2078" s="30">
        <f>IF(B2078="","",IFERROR(INDEX('Share classes'!$A$4:$A$203,MATCH(B2078,'Share classes'!$B$4:$B$203,0)),""))</f>
        <v/>
      </c>
      <c r="K2078" s="30">
        <f>IF(A2078="","",IFERROR(INDEX('Holders'!$B$4:$B$1003,MATCH(A2078,'Holders'!$A$4:$A$1003,0)),""))</f>
        <v/>
      </c>
      <c r="L2078" s="30">
        <f>IF(OR(A2078="",B2078="",D2078=""),"",IF(D2078=_xlfn.MAXIFS($D$4:$D$2503,$A$4:$A$2503,A2078,$B$4:$B$2503,B2078),"Yes","No"))</f>
        <v/>
      </c>
      <c r="M2078" s="30">
        <f>IF(B2078="","",IFERROR(INDEX('Share classes'!$F$4:$F$203,MATCH(B2078,'Share classes'!$B$4:$B$203,0)),""))</f>
        <v/>
      </c>
      <c r="N2078" s="30">
        <f>IF(A2078="","",IF(K2078="","Unknown holder ID",IF(J2078="","Unknown class code",IF(OR(C2078="",D2078=""),"Missing shares or date",IF(OR(C2078&lt;0,C2078&lt;&gt;INT(C2078)),"Shares must be a whole number",IF(COUNTIFS($A$4:$A$2503,A2078,$B$4:$B$2503,B2078,$D$4:$D$2503,D2078)&gt;1,"Duplicate row (same date)","OK"))))))</f>
        <v/>
      </c>
    </row>
    <row r="2079">
      <c r="A2079" s="26" t="n"/>
      <c r="B2079" s="26" t="n"/>
      <c r="C2079" s="34" t="n"/>
      <c r="D2079" s="28" t="n"/>
      <c r="E2079" s="26" t="n"/>
      <c r="F2079" s="26" t="n"/>
      <c r="G2079" s="26" t="n"/>
      <c r="H2079" s="38" t="n"/>
      <c r="I2079" s="28" t="n"/>
      <c r="J2079" s="30">
        <f>IF(B2079="","",IFERROR(INDEX('Share classes'!$A$4:$A$203,MATCH(B2079,'Share classes'!$B$4:$B$203,0)),""))</f>
        <v/>
      </c>
      <c r="K2079" s="30">
        <f>IF(A2079="","",IFERROR(INDEX('Holders'!$B$4:$B$1003,MATCH(A2079,'Holders'!$A$4:$A$1003,0)),""))</f>
        <v/>
      </c>
      <c r="L2079" s="30">
        <f>IF(OR(A2079="",B2079="",D2079=""),"",IF(D2079=_xlfn.MAXIFS($D$4:$D$2503,$A$4:$A$2503,A2079,$B$4:$B$2503,B2079),"Yes","No"))</f>
        <v/>
      </c>
      <c r="M2079" s="30">
        <f>IF(B2079="","",IFERROR(INDEX('Share classes'!$F$4:$F$203,MATCH(B2079,'Share classes'!$B$4:$B$203,0)),""))</f>
        <v/>
      </c>
      <c r="N2079" s="30">
        <f>IF(A2079="","",IF(K2079="","Unknown holder ID",IF(J2079="","Unknown class code",IF(OR(C2079="",D2079=""),"Missing shares or date",IF(OR(C2079&lt;0,C2079&lt;&gt;INT(C2079)),"Shares must be a whole number",IF(COUNTIFS($A$4:$A$2503,A2079,$B$4:$B$2503,B2079,$D$4:$D$2503,D2079)&gt;1,"Duplicate row (same date)","OK"))))))</f>
        <v/>
      </c>
    </row>
    <row r="2080">
      <c r="A2080" s="26" t="n"/>
      <c r="B2080" s="26" t="n"/>
      <c r="C2080" s="34" t="n"/>
      <c r="D2080" s="28" t="n"/>
      <c r="E2080" s="26" t="n"/>
      <c r="F2080" s="26" t="n"/>
      <c r="G2080" s="26" t="n"/>
      <c r="H2080" s="38" t="n"/>
      <c r="I2080" s="28" t="n"/>
      <c r="J2080" s="30">
        <f>IF(B2080="","",IFERROR(INDEX('Share classes'!$A$4:$A$203,MATCH(B2080,'Share classes'!$B$4:$B$203,0)),""))</f>
        <v/>
      </c>
      <c r="K2080" s="30">
        <f>IF(A2080="","",IFERROR(INDEX('Holders'!$B$4:$B$1003,MATCH(A2080,'Holders'!$A$4:$A$1003,0)),""))</f>
        <v/>
      </c>
      <c r="L2080" s="30">
        <f>IF(OR(A2080="",B2080="",D2080=""),"",IF(D2080=_xlfn.MAXIFS($D$4:$D$2503,$A$4:$A$2503,A2080,$B$4:$B$2503,B2080),"Yes","No"))</f>
        <v/>
      </c>
      <c r="M2080" s="30">
        <f>IF(B2080="","",IFERROR(INDEX('Share classes'!$F$4:$F$203,MATCH(B2080,'Share classes'!$B$4:$B$203,0)),""))</f>
        <v/>
      </c>
      <c r="N2080" s="30">
        <f>IF(A2080="","",IF(K2080="","Unknown holder ID",IF(J2080="","Unknown class code",IF(OR(C2080="",D2080=""),"Missing shares or date",IF(OR(C2080&lt;0,C2080&lt;&gt;INT(C2080)),"Shares must be a whole number",IF(COUNTIFS($A$4:$A$2503,A2080,$B$4:$B$2503,B2080,$D$4:$D$2503,D2080)&gt;1,"Duplicate row (same date)","OK"))))))</f>
        <v/>
      </c>
    </row>
    <row r="2081">
      <c r="A2081" s="26" t="n"/>
      <c r="B2081" s="26" t="n"/>
      <c r="C2081" s="34" t="n"/>
      <c r="D2081" s="28" t="n"/>
      <c r="E2081" s="26" t="n"/>
      <c r="F2081" s="26" t="n"/>
      <c r="G2081" s="26" t="n"/>
      <c r="H2081" s="38" t="n"/>
      <c r="I2081" s="28" t="n"/>
      <c r="J2081" s="30">
        <f>IF(B2081="","",IFERROR(INDEX('Share classes'!$A$4:$A$203,MATCH(B2081,'Share classes'!$B$4:$B$203,0)),""))</f>
        <v/>
      </c>
      <c r="K2081" s="30">
        <f>IF(A2081="","",IFERROR(INDEX('Holders'!$B$4:$B$1003,MATCH(A2081,'Holders'!$A$4:$A$1003,0)),""))</f>
        <v/>
      </c>
      <c r="L2081" s="30">
        <f>IF(OR(A2081="",B2081="",D2081=""),"",IF(D2081=_xlfn.MAXIFS($D$4:$D$2503,$A$4:$A$2503,A2081,$B$4:$B$2503,B2081),"Yes","No"))</f>
        <v/>
      </c>
      <c r="M2081" s="30">
        <f>IF(B2081="","",IFERROR(INDEX('Share classes'!$F$4:$F$203,MATCH(B2081,'Share classes'!$B$4:$B$203,0)),""))</f>
        <v/>
      </c>
      <c r="N2081" s="30">
        <f>IF(A2081="","",IF(K2081="","Unknown holder ID",IF(J2081="","Unknown class code",IF(OR(C2081="",D2081=""),"Missing shares or date",IF(OR(C2081&lt;0,C2081&lt;&gt;INT(C2081)),"Shares must be a whole number",IF(COUNTIFS($A$4:$A$2503,A2081,$B$4:$B$2503,B2081,$D$4:$D$2503,D2081)&gt;1,"Duplicate row (same date)","OK"))))))</f>
        <v/>
      </c>
    </row>
    <row r="2082">
      <c r="A2082" s="26" t="n"/>
      <c r="B2082" s="26" t="n"/>
      <c r="C2082" s="34" t="n"/>
      <c r="D2082" s="28" t="n"/>
      <c r="E2082" s="26" t="n"/>
      <c r="F2082" s="26" t="n"/>
      <c r="G2082" s="26" t="n"/>
      <c r="H2082" s="38" t="n"/>
      <c r="I2082" s="28" t="n"/>
      <c r="J2082" s="30">
        <f>IF(B2082="","",IFERROR(INDEX('Share classes'!$A$4:$A$203,MATCH(B2082,'Share classes'!$B$4:$B$203,0)),""))</f>
        <v/>
      </c>
      <c r="K2082" s="30">
        <f>IF(A2082="","",IFERROR(INDEX('Holders'!$B$4:$B$1003,MATCH(A2082,'Holders'!$A$4:$A$1003,0)),""))</f>
        <v/>
      </c>
      <c r="L2082" s="30">
        <f>IF(OR(A2082="",B2082="",D2082=""),"",IF(D2082=_xlfn.MAXIFS($D$4:$D$2503,$A$4:$A$2503,A2082,$B$4:$B$2503,B2082),"Yes","No"))</f>
        <v/>
      </c>
      <c r="M2082" s="30">
        <f>IF(B2082="","",IFERROR(INDEX('Share classes'!$F$4:$F$203,MATCH(B2082,'Share classes'!$B$4:$B$203,0)),""))</f>
        <v/>
      </c>
      <c r="N2082" s="30">
        <f>IF(A2082="","",IF(K2082="","Unknown holder ID",IF(J2082="","Unknown class code",IF(OR(C2082="",D2082=""),"Missing shares or date",IF(OR(C2082&lt;0,C2082&lt;&gt;INT(C2082)),"Shares must be a whole number",IF(COUNTIFS($A$4:$A$2503,A2082,$B$4:$B$2503,B2082,$D$4:$D$2503,D2082)&gt;1,"Duplicate row (same date)","OK"))))))</f>
        <v/>
      </c>
    </row>
    <row r="2083">
      <c r="A2083" s="26" t="n"/>
      <c r="B2083" s="26" t="n"/>
      <c r="C2083" s="34" t="n"/>
      <c r="D2083" s="28" t="n"/>
      <c r="E2083" s="26" t="n"/>
      <c r="F2083" s="26" t="n"/>
      <c r="G2083" s="26" t="n"/>
      <c r="H2083" s="38" t="n"/>
      <c r="I2083" s="28" t="n"/>
      <c r="J2083" s="30">
        <f>IF(B2083="","",IFERROR(INDEX('Share classes'!$A$4:$A$203,MATCH(B2083,'Share classes'!$B$4:$B$203,0)),""))</f>
        <v/>
      </c>
      <c r="K2083" s="30">
        <f>IF(A2083="","",IFERROR(INDEX('Holders'!$B$4:$B$1003,MATCH(A2083,'Holders'!$A$4:$A$1003,0)),""))</f>
        <v/>
      </c>
      <c r="L2083" s="30">
        <f>IF(OR(A2083="",B2083="",D2083=""),"",IF(D2083=_xlfn.MAXIFS($D$4:$D$2503,$A$4:$A$2503,A2083,$B$4:$B$2503,B2083),"Yes","No"))</f>
        <v/>
      </c>
      <c r="M2083" s="30">
        <f>IF(B2083="","",IFERROR(INDEX('Share classes'!$F$4:$F$203,MATCH(B2083,'Share classes'!$B$4:$B$203,0)),""))</f>
        <v/>
      </c>
      <c r="N2083" s="30">
        <f>IF(A2083="","",IF(K2083="","Unknown holder ID",IF(J2083="","Unknown class code",IF(OR(C2083="",D2083=""),"Missing shares or date",IF(OR(C2083&lt;0,C2083&lt;&gt;INT(C2083)),"Shares must be a whole number",IF(COUNTIFS($A$4:$A$2503,A2083,$B$4:$B$2503,B2083,$D$4:$D$2503,D2083)&gt;1,"Duplicate row (same date)","OK"))))))</f>
        <v/>
      </c>
    </row>
    <row r="2084">
      <c r="A2084" s="26" t="n"/>
      <c r="B2084" s="26" t="n"/>
      <c r="C2084" s="34" t="n"/>
      <c r="D2084" s="28" t="n"/>
      <c r="E2084" s="26" t="n"/>
      <c r="F2084" s="26" t="n"/>
      <c r="G2084" s="26" t="n"/>
      <c r="H2084" s="38" t="n"/>
      <c r="I2084" s="28" t="n"/>
      <c r="J2084" s="30">
        <f>IF(B2084="","",IFERROR(INDEX('Share classes'!$A$4:$A$203,MATCH(B2084,'Share classes'!$B$4:$B$203,0)),""))</f>
        <v/>
      </c>
      <c r="K2084" s="30">
        <f>IF(A2084="","",IFERROR(INDEX('Holders'!$B$4:$B$1003,MATCH(A2084,'Holders'!$A$4:$A$1003,0)),""))</f>
        <v/>
      </c>
      <c r="L2084" s="30">
        <f>IF(OR(A2084="",B2084="",D2084=""),"",IF(D2084=_xlfn.MAXIFS($D$4:$D$2503,$A$4:$A$2503,A2084,$B$4:$B$2503,B2084),"Yes","No"))</f>
        <v/>
      </c>
      <c r="M2084" s="30">
        <f>IF(B2084="","",IFERROR(INDEX('Share classes'!$F$4:$F$203,MATCH(B2084,'Share classes'!$B$4:$B$203,0)),""))</f>
        <v/>
      </c>
      <c r="N2084" s="30">
        <f>IF(A2084="","",IF(K2084="","Unknown holder ID",IF(J2084="","Unknown class code",IF(OR(C2084="",D2084=""),"Missing shares or date",IF(OR(C2084&lt;0,C2084&lt;&gt;INT(C2084)),"Shares must be a whole number",IF(COUNTIFS($A$4:$A$2503,A2084,$B$4:$B$2503,B2084,$D$4:$D$2503,D2084)&gt;1,"Duplicate row (same date)","OK"))))))</f>
        <v/>
      </c>
    </row>
    <row r="2085">
      <c r="A2085" s="26" t="n"/>
      <c r="B2085" s="26" t="n"/>
      <c r="C2085" s="34" t="n"/>
      <c r="D2085" s="28" t="n"/>
      <c r="E2085" s="26" t="n"/>
      <c r="F2085" s="26" t="n"/>
      <c r="G2085" s="26" t="n"/>
      <c r="H2085" s="38" t="n"/>
      <c r="I2085" s="28" t="n"/>
      <c r="J2085" s="30">
        <f>IF(B2085="","",IFERROR(INDEX('Share classes'!$A$4:$A$203,MATCH(B2085,'Share classes'!$B$4:$B$203,0)),""))</f>
        <v/>
      </c>
      <c r="K2085" s="30">
        <f>IF(A2085="","",IFERROR(INDEX('Holders'!$B$4:$B$1003,MATCH(A2085,'Holders'!$A$4:$A$1003,0)),""))</f>
        <v/>
      </c>
      <c r="L2085" s="30">
        <f>IF(OR(A2085="",B2085="",D2085=""),"",IF(D2085=_xlfn.MAXIFS($D$4:$D$2503,$A$4:$A$2503,A2085,$B$4:$B$2503,B2085),"Yes","No"))</f>
        <v/>
      </c>
      <c r="M2085" s="30">
        <f>IF(B2085="","",IFERROR(INDEX('Share classes'!$F$4:$F$203,MATCH(B2085,'Share classes'!$B$4:$B$203,0)),""))</f>
        <v/>
      </c>
      <c r="N2085" s="30">
        <f>IF(A2085="","",IF(K2085="","Unknown holder ID",IF(J2085="","Unknown class code",IF(OR(C2085="",D2085=""),"Missing shares or date",IF(OR(C2085&lt;0,C2085&lt;&gt;INT(C2085)),"Shares must be a whole number",IF(COUNTIFS($A$4:$A$2503,A2085,$B$4:$B$2503,B2085,$D$4:$D$2503,D2085)&gt;1,"Duplicate row (same date)","OK"))))))</f>
        <v/>
      </c>
    </row>
    <row r="2086">
      <c r="A2086" s="26" t="n"/>
      <c r="B2086" s="26" t="n"/>
      <c r="C2086" s="34" t="n"/>
      <c r="D2086" s="28" t="n"/>
      <c r="E2086" s="26" t="n"/>
      <c r="F2086" s="26" t="n"/>
      <c r="G2086" s="26" t="n"/>
      <c r="H2086" s="38" t="n"/>
      <c r="I2086" s="28" t="n"/>
      <c r="J2086" s="30">
        <f>IF(B2086="","",IFERROR(INDEX('Share classes'!$A$4:$A$203,MATCH(B2086,'Share classes'!$B$4:$B$203,0)),""))</f>
        <v/>
      </c>
      <c r="K2086" s="30">
        <f>IF(A2086="","",IFERROR(INDEX('Holders'!$B$4:$B$1003,MATCH(A2086,'Holders'!$A$4:$A$1003,0)),""))</f>
        <v/>
      </c>
      <c r="L2086" s="30">
        <f>IF(OR(A2086="",B2086="",D2086=""),"",IF(D2086=_xlfn.MAXIFS($D$4:$D$2503,$A$4:$A$2503,A2086,$B$4:$B$2503,B2086),"Yes","No"))</f>
        <v/>
      </c>
      <c r="M2086" s="30">
        <f>IF(B2086="","",IFERROR(INDEX('Share classes'!$F$4:$F$203,MATCH(B2086,'Share classes'!$B$4:$B$203,0)),""))</f>
        <v/>
      </c>
      <c r="N2086" s="30">
        <f>IF(A2086="","",IF(K2086="","Unknown holder ID",IF(J2086="","Unknown class code",IF(OR(C2086="",D2086=""),"Missing shares or date",IF(OR(C2086&lt;0,C2086&lt;&gt;INT(C2086)),"Shares must be a whole number",IF(COUNTIFS($A$4:$A$2503,A2086,$B$4:$B$2503,B2086,$D$4:$D$2503,D2086)&gt;1,"Duplicate row (same date)","OK"))))))</f>
        <v/>
      </c>
    </row>
    <row r="2087">
      <c r="A2087" s="26" t="n"/>
      <c r="B2087" s="26" t="n"/>
      <c r="C2087" s="34" t="n"/>
      <c r="D2087" s="28" t="n"/>
      <c r="E2087" s="26" t="n"/>
      <c r="F2087" s="26" t="n"/>
      <c r="G2087" s="26" t="n"/>
      <c r="H2087" s="38" t="n"/>
      <c r="I2087" s="28" t="n"/>
      <c r="J2087" s="30">
        <f>IF(B2087="","",IFERROR(INDEX('Share classes'!$A$4:$A$203,MATCH(B2087,'Share classes'!$B$4:$B$203,0)),""))</f>
        <v/>
      </c>
      <c r="K2087" s="30">
        <f>IF(A2087="","",IFERROR(INDEX('Holders'!$B$4:$B$1003,MATCH(A2087,'Holders'!$A$4:$A$1003,0)),""))</f>
        <v/>
      </c>
      <c r="L2087" s="30">
        <f>IF(OR(A2087="",B2087="",D2087=""),"",IF(D2087=_xlfn.MAXIFS($D$4:$D$2503,$A$4:$A$2503,A2087,$B$4:$B$2503,B2087),"Yes","No"))</f>
        <v/>
      </c>
      <c r="M2087" s="30">
        <f>IF(B2087="","",IFERROR(INDEX('Share classes'!$F$4:$F$203,MATCH(B2087,'Share classes'!$B$4:$B$203,0)),""))</f>
        <v/>
      </c>
      <c r="N2087" s="30">
        <f>IF(A2087="","",IF(K2087="","Unknown holder ID",IF(J2087="","Unknown class code",IF(OR(C2087="",D2087=""),"Missing shares or date",IF(OR(C2087&lt;0,C2087&lt;&gt;INT(C2087)),"Shares must be a whole number",IF(COUNTIFS($A$4:$A$2503,A2087,$B$4:$B$2503,B2087,$D$4:$D$2503,D2087)&gt;1,"Duplicate row (same date)","OK"))))))</f>
        <v/>
      </c>
    </row>
    <row r="2088">
      <c r="A2088" s="26" t="n"/>
      <c r="B2088" s="26" t="n"/>
      <c r="C2088" s="34" t="n"/>
      <c r="D2088" s="28" t="n"/>
      <c r="E2088" s="26" t="n"/>
      <c r="F2088" s="26" t="n"/>
      <c r="G2088" s="26" t="n"/>
      <c r="H2088" s="38" t="n"/>
      <c r="I2088" s="28" t="n"/>
      <c r="J2088" s="30">
        <f>IF(B2088="","",IFERROR(INDEX('Share classes'!$A$4:$A$203,MATCH(B2088,'Share classes'!$B$4:$B$203,0)),""))</f>
        <v/>
      </c>
      <c r="K2088" s="30">
        <f>IF(A2088="","",IFERROR(INDEX('Holders'!$B$4:$B$1003,MATCH(A2088,'Holders'!$A$4:$A$1003,0)),""))</f>
        <v/>
      </c>
      <c r="L2088" s="30">
        <f>IF(OR(A2088="",B2088="",D2088=""),"",IF(D2088=_xlfn.MAXIFS($D$4:$D$2503,$A$4:$A$2503,A2088,$B$4:$B$2503,B2088),"Yes","No"))</f>
        <v/>
      </c>
      <c r="M2088" s="30">
        <f>IF(B2088="","",IFERROR(INDEX('Share classes'!$F$4:$F$203,MATCH(B2088,'Share classes'!$B$4:$B$203,0)),""))</f>
        <v/>
      </c>
      <c r="N2088" s="30">
        <f>IF(A2088="","",IF(K2088="","Unknown holder ID",IF(J2088="","Unknown class code",IF(OR(C2088="",D2088=""),"Missing shares or date",IF(OR(C2088&lt;0,C2088&lt;&gt;INT(C2088)),"Shares must be a whole number",IF(COUNTIFS($A$4:$A$2503,A2088,$B$4:$B$2503,B2088,$D$4:$D$2503,D2088)&gt;1,"Duplicate row (same date)","OK"))))))</f>
        <v/>
      </c>
    </row>
    <row r="2089">
      <c r="A2089" s="26" t="n"/>
      <c r="B2089" s="26" t="n"/>
      <c r="C2089" s="34" t="n"/>
      <c r="D2089" s="28" t="n"/>
      <c r="E2089" s="26" t="n"/>
      <c r="F2089" s="26" t="n"/>
      <c r="G2089" s="26" t="n"/>
      <c r="H2089" s="38" t="n"/>
      <c r="I2089" s="28" t="n"/>
      <c r="J2089" s="30">
        <f>IF(B2089="","",IFERROR(INDEX('Share classes'!$A$4:$A$203,MATCH(B2089,'Share classes'!$B$4:$B$203,0)),""))</f>
        <v/>
      </c>
      <c r="K2089" s="30">
        <f>IF(A2089="","",IFERROR(INDEX('Holders'!$B$4:$B$1003,MATCH(A2089,'Holders'!$A$4:$A$1003,0)),""))</f>
        <v/>
      </c>
      <c r="L2089" s="30">
        <f>IF(OR(A2089="",B2089="",D2089=""),"",IF(D2089=_xlfn.MAXIFS($D$4:$D$2503,$A$4:$A$2503,A2089,$B$4:$B$2503,B2089),"Yes","No"))</f>
        <v/>
      </c>
      <c r="M2089" s="30">
        <f>IF(B2089="","",IFERROR(INDEX('Share classes'!$F$4:$F$203,MATCH(B2089,'Share classes'!$B$4:$B$203,0)),""))</f>
        <v/>
      </c>
      <c r="N2089" s="30">
        <f>IF(A2089="","",IF(K2089="","Unknown holder ID",IF(J2089="","Unknown class code",IF(OR(C2089="",D2089=""),"Missing shares or date",IF(OR(C2089&lt;0,C2089&lt;&gt;INT(C2089)),"Shares must be a whole number",IF(COUNTIFS($A$4:$A$2503,A2089,$B$4:$B$2503,B2089,$D$4:$D$2503,D2089)&gt;1,"Duplicate row (same date)","OK"))))))</f>
        <v/>
      </c>
    </row>
    <row r="2090">
      <c r="A2090" s="26" t="n"/>
      <c r="B2090" s="26" t="n"/>
      <c r="C2090" s="34" t="n"/>
      <c r="D2090" s="28" t="n"/>
      <c r="E2090" s="26" t="n"/>
      <c r="F2090" s="26" t="n"/>
      <c r="G2090" s="26" t="n"/>
      <c r="H2090" s="38" t="n"/>
      <c r="I2090" s="28" t="n"/>
      <c r="J2090" s="30">
        <f>IF(B2090="","",IFERROR(INDEX('Share classes'!$A$4:$A$203,MATCH(B2090,'Share classes'!$B$4:$B$203,0)),""))</f>
        <v/>
      </c>
      <c r="K2090" s="30">
        <f>IF(A2090="","",IFERROR(INDEX('Holders'!$B$4:$B$1003,MATCH(A2090,'Holders'!$A$4:$A$1003,0)),""))</f>
        <v/>
      </c>
      <c r="L2090" s="30">
        <f>IF(OR(A2090="",B2090="",D2090=""),"",IF(D2090=_xlfn.MAXIFS($D$4:$D$2503,$A$4:$A$2503,A2090,$B$4:$B$2503,B2090),"Yes","No"))</f>
        <v/>
      </c>
      <c r="M2090" s="30">
        <f>IF(B2090="","",IFERROR(INDEX('Share classes'!$F$4:$F$203,MATCH(B2090,'Share classes'!$B$4:$B$203,0)),""))</f>
        <v/>
      </c>
      <c r="N2090" s="30">
        <f>IF(A2090="","",IF(K2090="","Unknown holder ID",IF(J2090="","Unknown class code",IF(OR(C2090="",D2090=""),"Missing shares or date",IF(OR(C2090&lt;0,C2090&lt;&gt;INT(C2090)),"Shares must be a whole number",IF(COUNTIFS($A$4:$A$2503,A2090,$B$4:$B$2503,B2090,$D$4:$D$2503,D2090)&gt;1,"Duplicate row (same date)","OK"))))))</f>
        <v/>
      </c>
    </row>
    <row r="2091">
      <c r="A2091" s="26" t="n"/>
      <c r="B2091" s="26" t="n"/>
      <c r="C2091" s="34" t="n"/>
      <c r="D2091" s="28" t="n"/>
      <c r="E2091" s="26" t="n"/>
      <c r="F2091" s="26" t="n"/>
      <c r="G2091" s="26" t="n"/>
      <c r="H2091" s="38" t="n"/>
      <c r="I2091" s="28" t="n"/>
      <c r="J2091" s="30">
        <f>IF(B2091="","",IFERROR(INDEX('Share classes'!$A$4:$A$203,MATCH(B2091,'Share classes'!$B$4:$B$203,0)),""))</f>
        <v/>
      </c>
      <c r="K2091" s="30">
        <f>IF(A2091="","",IFERROR(INDEX('Holders'!$B$4:$B$1003,MATCH(A2091,'Holders'!$A$4:$A$1003,0)),""))</f>
        <v/>
      </c>
      <c r="L2091" s="30">
        <f>IF(OR(A2091="",B2091="",D2091=""),"",IF(D2091=_xlfn.MAXIFS($D$4:$D$2503,$A$4:$A$2503,A2091,$B$4:$B$2503,B2091),"Yes","No"))</f>
        <v/>
      </c>
      <c r="M2091" s="30">
        <f>IF(B2091="","",IFERROR(INDEX('Share classes'!$F$4:$F$203,MATCH(B2091,'Share classes'!$B$4:$B$203,0)),""))</f>
        <v/>
      </c>
      <c r="N2091" s="30">
        <f>IF(A2091="","",IF(K2091="","Unknown holder ID",IF(J2091="","Unknown class code",IF(OR(C2091="",D2091=""),"Missing shares or date",IF(OR(C2091&lt;0,C2091&lt;&gt;INT(C2091)),"Shares must be a whole number",IF(COUNTIFS($A$4:$A$2503,A2091,$B$4:$B$2503,B2091,$D$4:$D$2503,D2091)&gt;1,"Duplicate row (same date)","OK"))))))</f>
        <v/>
      </c>
    </row>
    <row r="2092">
      <c r="A2092" s="26" t="n"/>
      <c r="B2092" s="26" t="n"/>
      <c r="C2092" s="34" t="n"/>
      <c r="D2092" s="28" t="n"/>
      <c r="E2092" s="26" t="n"/>
      <c r="F2092" s="26" t="n"/>
      <c r="G2092" s="26" t="n"/>
      <c r="H2092" s="38" t="n"/>
      <c r="I2092" s="28" t="n"/>
      <c r="J2092" s="30">
        <f>IF(B2092="","",IFERROR(INDEX('Share classes'!$A$4:$A$203,MATCH(B2092,'Share classes'!$B$4:$B$203,0)),""))</f>
        <v/>
      </c>
      <c r="K2092" s="30">
        <f>IF(A2092="","",IFERROR(INDEX('Holders'!$B$4:$B$1003,MATCH(A2092,'Holders'!$A$4:$A$1003,0)),""))</f>
        <v/>
      </c>
      <c r="L2092" s="30">
        <f>IF(OR(A2092="",B2092="",D2092=""),"",IF(D2092=_xlfn.MAXIFS($D$4:$D$2503,$A$4:$A$2503,A2092,$B$4:$B$2503,B2092),"Yes","No"))</f>
        <v/>
      </c>
      <c r="M2092" s="30">
        <f>IF(B2092="","",IFERROR(INDEX('Share classes'!$F$4:$F$203,MATCH(B2092,'Share classes'!$B$4:$B$203,0)),""))</f>
        <v/>
      </c>
      <c r="N2092" s="30">
        <f>IF(A2092="","",IF(K2092="","Unknown holder ID",IF(J2092="","Unknown class code",IF(OR(C2092="",D2092=""),"Missing shares or date",IF(OR(C2092&lt;0,C2092&lt;&gt;INT(C2092)),"Shares must be a whole number",IF(COUNTIFS($A$4:$A$2503,A2092,$B$4:$B$2503,B2092,$D$4:$D$2503,D2092)&gt;1,"Duplicate row (same date)","OK"))))))</f>
        <v/>
      </c>
    </row>
    <row r="2093">
      <c r="A2093" s="26" t="n"/>
      <c r="B2093" s="26" t="n"/>
      <c r="C2093" s="34" t="n"/>
      <c r="D2093" s="28" t="n"/>
      <c r="E2093" s="26" t="n"/>
      <c r="F2093" s="26" t="n"/>
      <c r="G2093" s="26" t="n"/>
      <c r="H2093" s="38" t="n"/>
      <c r="I2093" s="28" t="n"/>
      <c r="J2093" s="30">
        <f>IF(B2093="","",IFERROR(INDEX('Share classes'!$A$4:$A$203,MATCH(B2093,'Share classes'!$B$4:$B$203,0)),""))</f>
        <v/>
      </c>
      <c r="K2093" s="30">
        <f>IF(A2093="","",IFERROR(INDEX('Holders'!$B$4:$B$1003,MATCH(A2093,'Holders'!$A$4:$A$1003,0)),""))</f>
        <v/>
      </c>
      <c r="L2093" s="30">
        <f>IF(OR(A2093="",B2093="",D2093=""),"",IF(D2093=_xlfn.MAXIFS($D$4:$D$2503,$A$4:$A$2503,A2093,$B$4:$B$2503,B2093),"Yes","No"))</f>
        <v/>
      </c>
      <c r="M2093" s="30">
        <f>IF(B2093="","",IFERROR(INDEX('Share classes'!$F$4:$F$203,MATCH(B2093,'Share classes'!$B$4:$B$203,0)),""))</f>
        <v/>
      </c>
      <c r="N2093" s="30">
        <f>IF(A2093="","",IF(K2093="","Unknown holder ID",IF(J2093="","Unknown class code",IF(OR(C2093="",D2093=""),"Missing shares or date",IF(OR(C2093&lt;0,C2093&lt;&gt;INT(C2093)),"Shares must be a whole number",IF(COUNTIFS($A$4:$A$2503,A2093,$B$4:$B$2503,B2093,$D$4:$D$2503,D2093)&gt;1,"Duplicate row (same date)","OK"))))))</f>
        <v/>
      </c>
    </row>
    <row r="2094">
      <c r="A2094" s="26" t="n"/>
      <c r="B2094" s="26" t="n"/>
      <c r="C2094" s="34" t="n"/>
      <c r="D2094" s="28" t="n"/>
      <c r="E2094" s="26" t="n"/>
      <c r="F2094" s="26" t="n"/>
      <c r="G2094" s="26" t="n"/>
      <c r="H2094" s="38" t="n"/>
      <c r="I2094" s="28" t="n"/>
      <c r="J2094" s="30">
        <f>IF(B2094="","",IFERROR(INDEX('Share classes'!$A$4:$A$203,MATCH(B2094,'Share classes'!$B$4:$B$203,0)),""))</f>
        <v/>
      </c>
      <c r="K2094" s="30">
        <f>IF(A2094="","",IFERROR(INDEX('Holders'!$B$4:$B$1003,MATCH(A2094,'Holders'!$A$4:$A$1003,0)),""))</f>
        <v/>
      </c>
      <c r="L2094" s="30">
        <f>IF(OR(A2094="",B2094="",D2094=""),"",IF(D2094=_xlfn.MAXIFS($D$4:$D$2503,$A$4:$A$2503,A2094,$B$4:$B$2503,B2094),"Yes","No"))</f>
        <v/>
      </c>
      <c r="M2094" s="30">
        <f>IF(B2094="","",IFERROR(INDEX('Share classes'!$F$4:$F$203,MATCH(B2094,'Share classes'!$B$4:$B$203,0)),""))</f>
        <v/>
      </c>
      <c r="N2094" s="30">
        <f>IF(A2094="","",IF(K2094="","Unknown holder ID",IF(J2094="","Unknown class code",IF(OR(C2094="",D2094=""),"Missing shares or date",IF(OR(C2094&lt;0,C2094&lt;&gt;INT(C2094)),"Shares must be a whole number",IF(COUNTIFS($A$4:$A$2503,A2094,$B$4:$B$2503,B2094,$D$4:$D$2503,D2094)&gt;1,"Duplicate row (same date)","OK"))))))</f>
        <v/>
      </c>
    </row>
    <row r="2095">
      <c r="A2095" s="26" t="n"/>
      <c r="B2095" s="26" t="n"/>
      <c r="C2095" s="34" t="n"/>
      <c r="D2095" s="28" t="n"/>
      <c r="E2095" s="26" t="n"/>
      <c r="F2095" s="26" t="n"/>
      <c r="G2095" s="26" t="n"/>
      <c r="H2095" s="38" t="n"/>
      <c r="I2095" s="28" t="n"/>
      <c r="J2095" s="30">
        <f>IF(B2095="","",IFERROR(INDEX('Share classes'!$A$4:$A$203,MATCH(B2095,'Share classes'!$B$4:$B$203,0)),""))</f>
        <v/>
      </c>
      <c r="K2095" s="30">
        <f>IF(A2095="","",IFERROR(INDEX('Holders'!$B$4:$B$1003,MATCH(A2095,'Holders'!$A$4:$A$1003,0)),""))</f>
        <v/>
      </c>
      <c r="L2095" s="30">
        <f>IF(OR(A2095="",B2095="",D2095=""),"",IF(D2095=_xlfn.MAXIFS($D$4:$D$2503,$A$4:$A$2503,A2095,$B$4:$B$2503,B2095),"Yes","No"))</f>
        <v/>
      </c>
      <c r="M2095" s="30">
        <f>IF(B2095="","",IFERROR(INDEX('Share classes'!$F$4:$F$203,MATCH(B2095,'Share classes'!$B$4:$B$203,0)),""))</f>
        <v/>
      </c>
      <c r="N2095" s="30">
        <f>IF(A2095="","",IF(K2095="","Unknown holder ID",IF(J2095="","Unknown class code",IF(OR(C2095="",D2095=""),"Missing shares or date",IF(OR(C2095&lt;0,C2095&lt;&gt;INT(C2095)),"Shares must be a whole number",IF(COUNTIFS($A$4:$A$2503,A2095,$B$4:$B$2503,B2095,$D$4:$D$2503,D2095)&gt;1,"Duplicate row (same date)","OK"))))))</f>
        <v/>
      </c>
    </row>
    <row r="2096">
      <c r="A2096" s="26" t="n"/>
      <c r="B2096" s="26" t="n"/>
      <c r="C2096" s="34" t="n"/>
      <c r="D2096" s="28" t="n"/>
      <c r="E2096" s="26" t="n"/>
      <c r="F2096" s="26" t="n"/>
      <c r="G2096" s="26" t="n"/>
      <c r="H2096" s="38" t="n"/>
      <c r="I2096" s="28" t="n"/>
      <c r="J2096" s="30">
        <f>IF(B2096="","",IFERROR(INDEX('Share classes'!$A$4:$A$203,MATCH(B2096,'Share classes'!$B$4:$B$203,0)),""))</f>
        <v/>
      </c>
      <c r="K2096" s="30">
        <f>IF(A2096="","",IFERROR(INDEX('Holders'!$B$4:$B$1003,MATCH(A2096,'Holders'!$A$4:$A$1003,0)),""))</f>
        <v/>
      </c>
      <c r="L2096" s="30">
        <f>IF(OR(A2096="",B2096="",D2096=""),"",IF(D2096=_xlfn.MAXIFS($D$4:$D$2503,$A$4:$A$2503,A2096,$B$4:$B$2503,B2096),"Yes","No"))</f>
        <v/>
      </c>
      <c r="M2096" s="30">
        <f>IF(B2096="","",IFERROR(INDEX('Share classes'!$F$4:$F$203,MATCH(B2096,'Share classes'!$B$4:$B$203,0)),""))</f>
        <v/>
      </c>
      <c r="N2096" s="30">
        <f>IF(A2096="","",IF(K2096="","Unknown holder ID",IF(J2096="","Unknown class code",IF(OR(C2096="",D2096=""),"Missing shares or date",IF(OR(C2096&lt;0,C2096&lt;&gt;INT(C2096)),"Shares must be a whole number",IF(COUNTIFS($A$4:$A$2503,A2096,$B$4:$B$2503,B2096,$D$4:$D$2503,D2096)&gt;1,"Duplicate row (same date)","OK"))))))</f>
        <v/>
      </c>
    </row>
    <row r="2097">
      <c r="A2097" s="26" t="n"/>
      <c r="B2097" s="26" t="n"/>
      <c r="C2097" s="34" t="n"/>
      <c r="D2097" s="28" t="n"/>
      <c r="E2097" s="26" t="n"/>
      <c r="F2097" s="26" t="n"/>
      <c r="G2097" s="26" t="n"/>
      <c r="H2097" s="38" t="n"/>
      <c r="I2097" s="28" t="n"/>
      <c r="J2097" s="30">
        <f>IF(B2097="","",IFERROR(INDEX('Share classes'!$A$4:$A$203,MATCH(B2097,'Share classes'!$B$4:$B$203,0)),""))</f>
        <v/>
      </c>
      <c r="K2097" s="30">
        <f>IF(A2097="","",IFERROR(INDEX('Holders'!$B$4:$B$1003,MATCH(A2097,'Holders'!$A$4:$A$1003,0)),""))</f>
        <v/>
      </c>
      <c r="L2097" s="30">
        <f>IF(OR(A2097="",B2097="",D2097=""),"",IF(D2097=_xlfn.MAXIFS($D$4:$D$2503,$A$4:$A$2503,A2097,$B$4:$B$2503,B2097),"Yes","No"))</f>
        <v/>
      </c>
      <c r="M2097" s="30">
        <f>IF(B2097="","",IFERROR(INDEX('Share classes'!$F$4:$F$203,MATCH(B2097,'Share classes'!$B$4:$B$203,0)),""))</f>
        <v/>
      </c>
      <c r="N2097" s="30">
        <f>IF(A2097="","",IF(K2097="","Unknown holder ID",IF(J2097="","Unknown class code",IF(OR(C2097="",D2097=""),"Missing shares or date",IF(OR(C2097&lt;0,C2097&lt;&gt;INT(C2097)),"Shares must be a whole number",IF(COUNTIFS($A$4:$A$2503,A2097,$B$4:$B$2503,B2097,$D$4:$D$2503,D2097)&gt;1,"Duplicate row (same date)","OK"))))))</f>
        <v/>
      </c>
    </row>
    <row r="2098">
      <c r="A2098" s="26" t="n"/>
      <c r="B2098" s="26" t="n"/>
      <c r="C2098" s="34" t="n"/>
      <c r="D2098" s="28" t="n"/>
      <c r="E2098" s="26" t="n"/>
      <c r="F2098" s="26" t="n"/>
      <c r="G2098" s="26" t="n"/>
      <c r="H2098" s="38" t="n"/>
      <c r="I2098" s="28" t="n"/>
      <c r="J2098" s="30">
        <f>IF(B2098="","",IFERROR(INDEX('Share classes'!$A$4:$A$203,MATCH(B2098,'Share classes'!$B$4:$B$203,0)),""))</f>
        <v/>
      </c>
      <c r="K2098" s="30">
        <f>IF(A2098="","",IFERROR(INDEX('Holders'!$B$4:$B$1003,MATCH(A2098,'Holders'!$A$4:$A$1003,0)),""))</f>
        <v/>
      </c>
      <c r="L2098" s="30">
        <f>IF(OR(A2098="",B2098="",D2098=""),"",IF(D2098=_xlfn.MAXIFS($D$4:$D$2503,$A$4:$A$2503,A2098,$B$4:$B$2503,B2098),"Yes","No"))</f>
        <v/>
      </c>
      <c r="M2098" s="30">
        <f>IF(B2098="","",IFERROR(INDEX('Share classes'!$F$4:$F$203,MATCH(B2098,'Share classes'!$B$4:$B$203,0)),""))</f>
        <v/>
      </c>
      <c r="N2098" s="30">
        <f>IF(A2098="","",IF(K2098="","Unknown holder ID",IF(J2098="","Unknown class code",IF(OR(C2098="",D2098=""),"Missing shares or date",IF(OR(C2098&lt;0,C2098&lt;&gt;INT(C2098)),"Shares must be a whole number",IF(COUNTIFS($A$4:$A$2503,A2098,$B$4:$B$2503,B2098,$D$4:$D$2503,D2098)&gt;1,"Duplicate row (same date)","OK"))))))</f>
        <v/>
      </c>
    </row>
    <row r="2099">
      <c r="A2099" s="26" t="n"/>
      <c r="B2099" s="26" t="n"/>
      <c r="C2099" s="34" t="n"/>
      <c r="D2099" s="28" t="n"/>
      <c r="E2099" s="26" t="n"/>
      <c r="F2099" s="26" t="n"/>
      <c r="G2099" s="26" t="n"/>
      <c r="H2099" s="38" t="n"/>
      <c r="I2099" s="28" t="n"/>
      <c r="J2099" s="30">
        <f>IF(B2099="","",IFERROR(INDEX('Share classes'!$A$4:$A$203,MATCH(B2099,'Share classes'!$B$4:$B$203,0)),""))</f>
        <v/>
      </c>
      <c r="K2099" s="30">
        <f>IF(A2099="","",IFERROR(INDEX('Holders'!$B$4:$B$1003,MATCH(A2099,'Holders'!$A$4:$A$1003,0)),""))</f>
        <v/>
      </c>
      <c r="L2099" s="30">
        <f>IF(OR(A2099="",B2099="",D2099=""),"",IF(D2099=_xlfn.MAXIFS($D$4:$D$2503,$A$4:$A$2503,A2099,$B$4:$B$2503,B2099),"Yes","No"))</f>
        <v/>
      </c>
      <c r="M2099" s="30">
        <f>IF(B2099="","",IFERROR(INDEX('Share classes'!$F$4:$F$203,MATCH(B2099,'Share classes'!$B$4:$B$203,0)),""))</f>
        <v/>
      </c>
      <c r="N2099" s="30">
        <f>IF(A2099="","",IF(K2099="","Unknown holder ID",IF(J2099="","Unknown class code",IF(OR(C2099="",D2099=""),"Missing shares or date",IF(OR(C2099&lt;0,C2099&lt;&gt;INT(C2099)),"Shares must be a whole number",IF(COUNTIFS($A$4:$A$2503,A2099,$B$4:$B$2503,B2099,$D$4:$D$2503,D2099)&gt;1,"Duplicate row (same date)","OK"))))))</f>
        <v/>
      </c>
    </row>
    <row r="2100">
      <c r="A2100" s="26" t="n"/>
      <c r="B2100" s="26" t="n"/>
      <c r="C2100" s="34" t="n"/>
      <c r="D2100" s="28" t="n"/>
      <c r="E2100" s="26" t="n"/>
      <c r="F2100" s="26" t="n"/>
      <c r="G2100" s="26" t="n"/>
      <c r="H2100" s="38" t="n"/>
      <c r="I2100" s="28" t="n"/>
      <c r="J2100" s="30">
        <f>IF(B2100="","",IFERROR(INDEX('Share classes'!$A$4:$A$203,MATCH(B2100,'Share classes'!$B$4:$B$203,0)),""))</f>
        <v/>
      </c>
      <c r="K2100" s="30">
        <f>IF(A2100="","",IFERROR(INDEX('Holders'!$B$4:$B$1003,MATCH(A2100,'Holders'!$A$4:$A$1003,0)),""))</f>
        <v/>
      </c>
      <c r="L2100" s="30">
        <f>IF(OR(A2100="",B2100="",D2100=""),"",IF(D2100=_xlfn.MAXIFS($D$4:$D$2503,$A$4:$A$2503,A2100,$B$4:$B$2503,B2100),"Yes","No"))</f>
        <v/>
      </c>
      <c r="M2100" s="30">
        <f>IF(B2100="","",IFERROR(INDEX('Share classes'!$F$4:$F$203,MATCH(B2100,'Share classes'!$B$4:$B$203,0)),""))</f>
        <v/>
      </c>
      <c r="N2100" s="30">
        <f>IF(A2100="","",IF(K2100="","Unknown holder ID",IF(J2100="","Unknown class code",IF(OR(C2100="",D2100=""),"Missing shares or date",IF(OR(C2100&lt;0,C2100&lt;&gt;INT(C2100)),"Shares must be a whole number",IF(COUNTIFS($A$4:$A$2503,A2100,$B$4:$B$2503,B2100,$D$4:$D$2503,D2100)&gt;1,"Duplicate row (same date)","OK"))))))</f>
        <v/>
      </c>
    </row>
    <row r="2101">
      <c r="A2101" s="26" t="n"/>
      <c r="B2101" s="26" t="n"/>
      <c r="C2101" s="34" t="n"/>
      <c r="D2101" s="28" t="n"/>
      <c r="E2101" s="26" t="n"/>
      <c r="F2101" s="26" t="n"/>
      <c r="G2101" s="26" t="n"/>
      <c r="H2101" s="38" t="n"/>
      <c r="I2101" s="28" t="n"/>
      <c r="J2101" s="30">
        <f>IF(B2101="","",IFERROR(INDEX('Share classes'!$A$4:$A$203,MATCH(B2101,'Share classes'!$B$4:$B$203,0)),""))</f>
        <v/>
      </c>
      <c r="K2101" s="30">
        <f>IF(A2101="","",IFERROR(INDEX('Holders'!$B$4:$B$1003,MATCH(A2101,'Holders'!$A$4:$A$1003,0)),""))</f>
        <v/>
      </c>
      <c r="L2101" s="30">
        <f>IF(OR(A2101="",B2101="",D2101=""),"",IF(D2101=_xlfn.MAXIFS($D$4:$D$2503,$A$4:$A$2503,A2101,$B$4:$B$2503,B2101),"Yes","No"))</f>
        <v/>
      </c>
      <c r="M2101" s="30">
        <f>IF(B2101="","",IFERROR(INDEX('Share classes'!$F$4:$F$203,MATCH(B2101,'Share classes'!$B$4:$B$203,0)),""))</f>
        <v/>
      </c>
      <c r="N2101" s="30">
        <f>IF(A2101="","",IF(K2101="","Unknown holder ID",IF(J2101="","Unknown class code",IF(OR(C2101="",D2101=""),"Missing shares or date",IF(OR(C2101&lt;0,C2101&lt;&gt;INT(C2101)),"Shares must be a whole number",IF(COUNTIFS($A$4:$A$2503,A2101,$B$4:$B$2503,B2101,$D$4:$D$2503,D2101)&gt;1,"Duplicate row (same date)","OK"))))))</f>
        <v/>
      </c>
    </row>
    <row r="2102">
      <c r="A2102" s="26" t="n"/>
      <c r="B2102" s="26" t="n"/>
      <c r="C2102" s="34" t="n"/>
      <c r="D2102" s="28" t="n"/>
      <c r="E2102" s="26" t="n"/>
      <c r="F2102" s="26" t="n"/>
      <c r="G2102" s="26" t="n"/>
      <c r="H2102" s="38" t="n"/>
      <c r="I2102" s="28" t="n"/>
      <c r="J2102" s="30">
        <f>IF(B2102="","",IFERROR(INDEX('Share classes'!$A$4:$A$203,MATCH(B2102,'Share classes'!$B$4:$B$203,0)),""))</f>
        <v/>
      </c>
      <c r="K2102" s="30">
        <f>IF(A2102="","",IFERROR(INDEX('Holders'!$B$4:$B$1003,MATCH(A2102,'Holders'!$A$4:$A$1003,0)),""))</f>
        <v/>
      </c>
      <c r="L2102" s="30">
        <f>IF(OR(A2102="",B2102="",D2102=""),"",IF(D2102=_xlfn.MAXIFS($D$4:$D$2503,$A$4:$A$2503,A2102,$B$4:$B$2503,B2102),"Yes","No"))</f>
        <v/>
      </c>
      <c r="M2102" s="30">
        <f>IF(B2102="","",IFERROR(INDEX('Share classes'!$F$4:$F$203,MATCH(B2102,'Share classes'!$B$4:$B$203,0)),""))</f>
        <v/>
      </c>
      <c r="N2102" s="30">
        <f>IF(A2102="","",IF(K2102="","Unknown holder ID",IF(J2102="","Unknown class code",IF(OR(C2102="",D2102=""),"Missing shares or date",IF(OR(C2102&lt;0,C2102&lt;&gt;INT(C2102)),"Shares must be a whole number",IF(COUNTIFS($A$4:$A$2503,A2102,$B$4:$B$2503,B2102,$D$4:$D$2503,D2102)&gt;1,"Duplicate row (same date)","OK"))))))</f>
        <v/>
      </c>
    </row>
    <row r="2103">
      <c r="A2103" s="26" t="n"/>
      <c r="B2103" s="26" t="n"/>
      <c r="C2103" s="34" t="n"/>
      <c r="D2103" s="28" t="n"/>
      <c r="E2103" s="26" t="n"/>
      <c r="F2103" s="26" t="n"/>
      <c r="G2103" s="26" t="n"/>
      <c r="H2103" s="38" t="n"/>
      <c r="I2103" s="28" t="n"/>
      <c r="J2103" s="30">
        <f>IF(B2103="","",IFERROR(INDEX('Share classes'!$A$4:$A$203,MATCH(B2103,'Share classes'!$B$4:$B$203,0)),""))</f>
        <v/>
      </c>
      <c r="K2103" s="30">
        <f>IF(A2103="","",IFERROR(INDEX('Holders'!$B$4:$B$1003,MATCH(A2103,'Holders'!$A$4:$A$1003,0)),""))</f>
        <v/>
      </c>
      <c r="L2103" s="30">
        <f>IF(OR(A2103="",B2103="",D2103=""),"",IF(D2103=_xlfn.MAXIFS($D$4:$D$2503,$A$4:$A$2503,A2103,$B$4:$B$2503,B2103),"Yes","No"))</f>
        <v/>
      </c>
      <c r="M2103" s="30">
        <f>IF(B2103="","",IFERROR(INDEX('Share classes'!$F$4:$F$203,MATCH(B2103,'Share classes'!$B$4:$B$203,0)),""))</f>
        <v/>
      </c>
      <c r="N2103" s="30">
        <f>IF(A2103="","",IF(K2103="","Unknown holder ID",IF(J2103="","Unknown class code",IF(OR(C2103="",D2103=""),"Missing shares or date",IF(OR(C2103&lt;0,C2103&lt;&gt;INT(C2103)),"Shares must be a whole number",IF(COUNTIFS($A$4:$A$2503,A2103,$B$4:$B$2503,B2103,$D$4:$D$2503,D2103)&gt;1,"Duplicate row (same date)","OK"))))))</f>
        <v/>
      </c>
    </row>
    <row r="2104">
      <c r="A2104" s="26" t="n"/>
      <c r="B2104" s="26" t="n"/>
      <c r="C2104" s="34" t="n"/>
      <c r="D2104" s="28" t="n"/>
      <c r="E2104" s="26" t="n"/>
      <c r="F2104" s="26" t="n"/>
      <c r="G2104" s="26" t="n"/>
      <c r="H2104" s="38" t="n"/>
      <c r="I2104" s="28" t="n"/>
      <c r="J2104" s="30">
        <f>IF(B2104="","",IFERROR(INDEX('Share classes'!$A$4:$A$203,MATCH(B2104,'Share classes'!$B$4:$B$203,0)),""))</f>
        <v/>
      </c>
      <c r="K2104" s="30">
        <f>IF(A2104="","",IFERROR(INDEX('Holders'!$B$4:$B$1003,MATCH(A2104,'Holders'!$A$4:$A$1003,0)),""))</f>
        <v/>
      </c>
      <c r="L2104" s="30">
        <f>IF(OR(A2104="",B2104="",D2104=""),"",IF(D2104=_xlfn.MAXIFS($D$4:$D$2503,$A$4:$A$2503,A2104,$B$4:$B$2503,B2104),"Yes","No"))</f>
        <v/>
      </c>
      <c r="M2104" s="30">
        <f>IF(B2104="","",IFERROR(INDEX('Share classes'!$F$4:$F$203,MATCH(B2104,'Share classes'!$B$4:$B$203,0)),""))</f>
        <v/>
      </c>
      <c r="N2104" s="30">
        <f>IF(A2104="","",IF(K2104="","Unknown holder ID",IF(J2104="","Unknown class code",IF(OR(C2104="",D2104=""),"Missing shares or date",IF(OR(C2104&lt;0,C2104&lt;&gt;INT(C2104)),"Shares must be a whole number",IF(COUNTIFS($A$4:$A$2503,A2104,$B$4:$B$2503,B2104,$D$4:$D$2503,D2104)&gt;1,"Duplicate row (same date)","OK"))))))</f>
        <v/>
      </c>
    </row>
    <row r="2105">
      <c r="A2105" s="26" t="n"/>
      <c r="B2105" s="26" t="n"/>
      <c r="C2105" s="34" t="n"/>
      <c r="D2105" s="28" t="n"/>
      <c r="E2105" s="26" t="n"/>
      <c r="F2105" s="26" t="n"/>
      <c r="G2105" s="26" t="n"/>
      <c r="H2105" s="38" t="n"/>
      <c r="I2105" s="28" t="n"/>
      <c r="J2105" s="30">
        <f>IF(B2105="","",IFERROR(INDEX('Share classes'!$A$4:$A$203,MATCH(B2105,'Share classes'!$B$4:$B$203,0)),""))</f>
        <v/>
      </c>
      <c r="K2105" s="30">
        <f>IF(A2105="","",IFERROR(INDEX('Holders'!$B$4:$B$1003,MATCH(A2105,'Holders'!$A$4:$A$1003,0)),""))</f>
        <v/>
      </c>
      <c r="L2105" s="30">
        <f>IF(OR(A2105="",B2105="",D2105=""),"",IF(D2105=_xlfn.MAXIFS($D$4:$D$2503,$A$4:$A$2503,A2105,$B$4:$B$2503,B2105),"Yes","No"))</f>
        <v/>
      </c>
      <c r="M2105" s="30">
        <f>IF(B2105="","",IFERROR(INDEX('Share classes'!$F$4:$F$203,MATCH(B2105,'Share classes'!$B$4:$B$203,0)),""))</f>
        <v/>
      </c>
      <c r="N2105" s="30">
        <f>IF(A2105="","",IF(K2105="","Unknown holder ID",IF(J2105="","Unknown class code",IF(OR(C2105="",D2105=""),"Missing shares or date",IF(OR(C2105&lt;0,C2105&lt;&gt;INT(C2105)),"Shares must be a whole number",IF(COUNTIFS($A$4:$A$2503,A2105,$B$4:$B$2503,B2105,$D$4:$D$2503,D2105)&gt;1,"Duplicate row (same date)","OK"))))))</f>
        <v/>
      </c>
    </row>
    <row r="2106">
      <c r="A2106" s="26" t="n"/>
      <c r="B2106" s="26" t="n"/>
      <c r="C2106" s="34" t="n"/>
      <c r="D2106" s="28" t="n"/>
      <c r="E2106" s="26" t="n"/>
      <c r="F2106" s="26" t="n"/>
      <c r="G2106" s="26" t="n"/>
      <c r="H2106" s="38" t="n"/>
      <c r="I2106" s="28" t="n"/>
      <c r="J2106" s="30">
        <f>IF(B2106="","",IFERROR(INDEX('Share classes'!$A$4:$A$203,MATCH(B2106,'Share classes'!$B$4:$B$203,0)),""))</f>
        <v/>
      </c>
      <c r="K2106" s="30">
        <f>IF(A2106="","",IFERROR(INDEX('Holders'!$B$4:$B$1003,MATCH(A2106,'Holders'!$A$4:$A$1003,0)),""))</f>
        <v/>
      </c>
      <c r="L2106" s="30">
        <f>IF(OR(A2106="",B2106="",D2106=""),"",IF(D2106=_xlfn.MAXIFS($D$4:$D$2503,$A$4:$A$2503,A2106,$B$4:$B$2503,B2106),"Yes","No"))</f>
        <v/>
      </c>
      <c r="M2106" s="30">
        <f>IF(B2106="","",IFERROR(INDEX('Share classes'!$F$4:$F$203,MATCH(B2106,'Share classes'!$B$4:$B$203,0)),""))</f>
        <v/>
      </c>
      <c r="N2106" s="30">
        <f>IF(A2106="","",IF(K2106="","Unknown holder ID",IF(J2106="","Unknown class code",IF(OR(C2106="",D2106=""),"Missing shares or date",IF(OR(C2106&lt;0,C2106&lt;&gt;INT(C2106)),"Shares must be a whole number",IF(COUNTIFS($A$4:$A$2503,A2106,$B$4:$B$2503,B2106,$D$4:$D$2503,D2106)&gt;1,"Duplicate row (same date)","OK"))))))</f>
        <v/>
      </c>
    </row>
    <row r="2107">
      <c r="A2107" s="26" t="n"/>
      <c r="B2107" s="26" t="n"/>
      <c r="C2107" s="34" t="n"/>
      <c r="D2107" s="28" t="n"/>
      <c r="E2107" s="26" t="n"/>
      <c r="F2107" s="26" t="n"/>
      <c r="G2107" s="26" t="n"/>
      <c r="H2107" s="38" t="n"/>
      <c r="I2107" s="28" t="n"/>
      <c r="J2107" s="30">
        <f>IF(B2107="","",IFERROR(INDEX('Share classes'!$A$4:$A$203,MATCH(B2107,'Share classes'!$B$4:$B$203,0)),""))</f>
        <v/>
      </c>
      <c r="K2107" s="30">
        <f>IF(A2107="","",IFERROR(INDEX('Holders'!$B$4:$B$1003,MATCH(A2107,'Holders'!$A$4:$A$1003,0)),""))</f>
        <v/>
      </c>
      <c r="L2107" s="30">
        <f>IF(OR(A2107="",B2107="",D2107=""),"",IF(D2107=_xlfn.MAXIFS($D$4:$D$2503,$A$4:$A$2503,A2107,$B$4:$B$2503,B2107),"Yes","No"))</f>
        <v/>
      </c>
      <c r="M2107" s="30">
        <f>IF(B2107="","",IFERROR(INDEX('Share classes'!$F$4:$F$203,MATCH(B2107,'Share classes'!$B$4:$B$203,0)),""))</f>
        <v/>
      </c>
      <c r="N2107" s="30">
        <f>IF(A2107="","",IF(K2107="","Unknown holder ID",IF(J2107="","Unknown class code",IF(OR(C2107="",D2107=""),"Missing shares or date",IF(OR(C2107&lt;0,C2107&lt;&gt;INT(C2107)),"Shares must be a whole number",IF(COUNTIFS($A$4:$A$2503,A2107,$B$4:$B$2503,B2107,$D$4:$D$2503,D2107)&gt;1,"Duplicate row (same date)","OK"))))))</f>
        <v/>
      </c>
    </row>
    <row r="2108">
      <c r="A2108" s="26" t="n"/>
      <c r="B2108" s="26" t="n"/>
      <c r="C2108" s="34" t="n"/>
      <c r="D2108" s="28" t="n"/>
      <c r="E2108" s="26" t="n"/>
      <c r="F2108" s="26" t="n"/>
      <c r="G2108" s="26" t="n"/>
      <c r="H2108" s="38" t="n"/>
      <c r="I2108" s="28" t="n"/>
      <c r="J2108" s="30">
        <f>IF(B2108="","",IFERROR(INDEX('Share classes'!$A$4:$A$203,MATCH(B2108,'Share classes'!$B$4:$B$203,0)),""))</f>
        <v/>
      </c>
      <c r="K2108" s="30">
        <f>IF(A2108="","",IFERROR(INDEX('Holders'!$B$4:$B$1003,MATCH(A2108,'Holders'!$A$4:$A$1003,0)),""))</f>
        <v/>
      </c>
      <c r="L2108" s="30">
        <f>IF(OR(A2108="",B2108="",D2108=""),"",IF(D2108=_xlfn.MAXIFS($D$4:$D$2503,$A$4:$A$2503,A2108,$B$4:$B$2503,B2108),"Yes","No"))</f>
        <v/>
      </c>
      <c r="M2108" s="30">
        <f>IF(B2108="","",IFERROR(INDEX('Share classes'!$F$4:$F$203,MATCH(B2108,'Share classes'!$B$4:$B$203,0)),""))</f>
        <v/>
      </c>
      <c r="N2108" s="30">
        <f>IF(A2108="","",IF(K2108="","Unknown holder ID",IF(J2108="","Unknown class code",IF(OR(C2108="",D2108=""),"Missing shares or date",IF(OR(C2108&lt;0,C2108&lt;&gt;INT(C2108)),"Shares must be a whole number",IF(COUNTIFS($A$4:$A$2503,A2108,$B$4:$B$2503,B2108,$D$4:$D$2503,D2108)&gt;1,"Duplicate row (same date)","OK"))))))</f>
        <v/>
      </c>
    </row>
    <row r="2109">
      <c r="A2109" s="26" t="n"/>
      <c r="B2109" s="26" t="n"/>
      <c r="C2109" s="34" t="n"/>
      <c r="D2109" s="28" t="n"/>
      <c r="E2109" s="26" t="n"/>
      <c r="F2109" s="26" t="n"/>
      <c r="G2109" s="26" t="n"/>
      <c r="H2109" s="38" t="n"/>
      <c r="I2109" s="28" t="n"/>
      <c r="J2109" s="30">
        <f>IF(B2109="","",IFERROR(INDEX('Share classes'!$A$4:$A$203,MATCH(B2109,'Share classes'!$B$4:$B$203,0)),""))</f>
        <v/>
      </c>
      <c r="K2109" s="30">
        <f>IF(A2109="","",IFERROR(INDEX('Holders'!$B$4:$B$1003,MATCH(A2109,'Holders'!$A$4:$A$1003,0)),""))</f>
        <v/>
      </c>
      <c r="L2109" s="30">
        <f>IF(OR(A2109="",B2109="",D2109=""),"",IF(D2109=_xlfn.MAXIFS($D$4:$D$2503,$A$4:$A$2503,A2109,$B$4:$B$2503,B2109),"Yes","No"))</f>
        <v/>
      </c>
      <c r="M2109" s="30">
        <f>IF(B2109="","",IFERROR(INDEX('Share classes'!$F$4:$F$203,MATCH(B2109,'Share classes'!$B$4:$B$203,0)),""))</f>
        <v/>
      </c>
      <c r="N2109" s="30">
        <f>IF(A2109="","",IF(K2109="","Unknown holder ID",IF(J2109="","Unknown class code",IF(OR(C2109="",D2109=""),"Missing shares or date",IF(OR(C2109&lt;0,C2109&lt;&gt;INT(C2109)),"Shares must be a whole number",IF(COUNTIFS($A$4:$A$2503,A2109,$B$4:$B$2503,B2109,$D$4:$D$2503,D2109)&gt;1,"Duplicate row (same date)","OK"))))))</f>
        <v/>
      </c>
    </row>
    <row r="2110">
      <c r="A2110" s="26" t="n"/>
      <c r="B2110" s="26" t="n"/>
      <c r="C2110" s="34" t="n"/>
      <c r="D2110" s="28" t="n"/>
      <c r="E2110" s="26" t="n"/>
      <c r="F2110" s="26" t="n"/>
      <c r="G2110" s="26" t="n"/>
      <c r="H2110" s="38" t="n"/>
      <c r="I2110" s="28" t="n"/>
      <c r="J2110" s="30">
        <f>IF(B2110="","",IFERROR(INDEX('Share classes'!$A$4:$A$203,MATCH(B2110,'Share classes'!$B$4:$B$203,0)),""))</f>
        <v/>
      </c>
      <c r="K2110" s="30">
        <f>IF(A2110="","",IFERROR(INDEX('Holders'!$B$4:$B$1003,MATCH(A2110,'Holders'!$A$4:$A$1003,0)),""))</f>
        <v/>
      </c>
      <c r="L2110" s="30">
        <f>IF(OR(A2110="",B2110="",D2110=""),"",IF(D2110=_xlfn.MAXIFS($D$4:$D$2503,$A$4:$A$2503,A2110,$B$4:$B$2503,B2110),"Yes","No"))</f>
        <v/>
      </c>
      <c r="M2110" s="30">
        <f>IF(B2110="","",IFERROR(INDEX('Share classes'!$F$4:$F$203,MATCH(B2110,'Share classes'!$B$4:$B$203,0)),""))</f>
        <v/>
      </c>
      <c r="N2110" s="30">
        <f>IF(A2110="","",IF(K2110="","Unknown holder ID",IF(J2110="","Unknown class code",IF(OR(C2110="",D2110=""),"Missing shares or date",IF(OR(C2110&lt;0,C2110&lt;&gt;INT(C2110)),"Shares must be a whole number",IF(COUNTIFS($A$4:$A$2503,A2110,$B$4:$B$2503,B2110,$D$4:$D$2503,D2110)&gt;1,"Duplicate row (same date)","OK"))))))</f>
        <v/>
      </c>
    </row>
    <row r="2111">
      <c r="A2111" s="26" t="n"/>
      <c r="B2111" s="26" t="n"/>
      <c r="C2111" s="34" t="n"/>
      <c r="D2111" s="28" t="n"/>
      <c r="E2111" s="26" t="n"/>
      <c r="F2111" s="26" t="n"/>
      <c r="G2111" s="26" t="n"/>
      <c r="H2111" s="38" t="n"/>
      <c r="I2111" s="28" t="n"/>
      <c r="J2111" s="30">
        <f>IF(B2111="","",IFERROR(INDEX('Share classes'!$A$4:$A$203,MATCH(B2111,'Share classes'!$B$4:$B$203,0)),""))</f>
        <v/>
      </c>
      <c r="K2111" s="30">
        <f>IF(A2111="","",IFERROR(INDEX('Holders'!$B$4:$B$1003,MATCH(A2111,'Holders'!$A$4:$A$1003,0)),""))</f>
        <v/>
      </c>
      <c r="L2111" s="30">
        <f>IF(OR(A2111="",B2111="",D2111=""),"",IF(D2111=_xlfn.MAXIFS($D$4:$D$2503,$A$4:$A$2503,A2111,$B$4:$B$2503,B2111),"Yes","No"))</f>
        <v/>
      </c>
      <c r="M2111" s="30">
        <f>IF(B2111="","",IFERROR(INDEX('Share classes'!$F$4:$F$203,MATCH(B2111,'Share classes'!$B$4:$B$203,0)),""))</f>
        <v/>
      </c>
      <c r="N2111" s="30">
        <f>IF(A2111="","",IF(K2111="","Unknown holder ID",IF(J2111="","Unknown class code",IF(OR(C2111="",D2111=""),"Missing shares or date",IF(OR(C2111&lt;0,C2111&lt;&gt;INT(C2111)),"Shares must be a whole number",IF(COUNTIFS($A$4:$A$2503,A2111,$B$4:$B$2503,B2111,$D$4:$D$2503,D2111)&gt;1,"Duplicate row (same date)","OK"))))))</f>
        <v/>
      </c>
    </row>
    <row r="2112">
      <c r="A2112" s="26" t="n"/>
      <c r="B2112" s="26" t="n"/>
      <c r="C2112" s="34" t="n"/>
      <c r="D2112" s="28" t="n"/>
      <c r="E2112" s="26" t="n"/>
      <c r="F2112" s="26" t="n"/>
      <c r="G2112" s="26" t="n"/>
      <c r="H2112" s="38" t="n"/>
      <c r="I2112" s="28" t="n"/>
      <c r="J2112" s="30">
        <f>IF(B2112="","",IFERROR(INDEX('Share classes'!$A$4:$A$203,MATCH(B2112,'Share classes'!$B$4:$B$203,0)),""))</f>
        <v/>
      </c>
      <c r="K2112" s="30">
        <f>IF(A2112="","",IFERROR(INDEX('Holders'!$B$4:$B$1003,MATCH(A2112,'Holders'!$A$4:$A$1003,0)),""))</f>
        <v/>
      </c>
      <c r="L2112" s="30">
        <f>IF(OR(A2112="",B2112="",D2112=""),"",IF(D2112=_xlfn.MAXIFS($D$4:$D$2503,$A$4:$A$2503,A2112,$B$4:$B$2503,B2112),"Yes","No"))</f>
        <v/>
      </c>
      <c r="M2112" s="30">
        <f>IF(B2112="","",IFERROR(INDEX('Share classes'!$F$4:$F$203,MATCH(B2112,'Share classes'!$B$4:$B$203,0)),""))</f>
        <v/>
      </c>
      <c r="N2112" s="30">
        <f>IF(A2112="","",IF(K2112="","Unknown holder ID",IF(J2112="","Unknown class code",IF(OR(C2112="",D2112=""),"Missing shares or date",IF(OR(C2112&lt;0,C2112&lt;&gt;INT(C2112)),"Shares must be a whole number",IF(COUNTIFS($A$4:$A$2503,A2112,$B$4:$B$2503,B2112,$D$4:$D$2503,D2112)&gt;1,"Duplicate row (same date)","OK"))))))</f>
        <v/>
      </c>
    </row>
    <row r="2113">
      <c r="A2113" s="26" t="n"/>
      <c r="B2113" s="26" t="n"/>
      <c r="C2113" s="34" t="n"/>
      <c r="D2113" s="28" t="n"/>
      <c r="E2113" s="26" t="n"/>
      <c r="F2113" s="26" t="n"/>
      <c r="G2113" s="26" t="n"/>
      <c r="H2113" s="38" t="n"/>
      <c r="I2113" s="28" t="n"/>
      <c r="J2113" s="30">
        <f>IF(B2113="","",IFERROR(INDEX('Share classes'!$A$4:$A$203,MATCH(B2113,'Share classes'!$B$4:$B$203,0)),""))</f>
        <v/>
      </c>
      <c r="K2113" s="30">
        <f>IF(A2113="","",IFERROR(INDEX('Holders'!$B$4:$B$1003,MATCH(A2113,'Holders'!$A$4:$A$1003,0)),""))</f>
        <v/>
      </c>
      <c r="L2113" s="30">
        <f>IF(OR(A2113="",B2113="",D2113=""),"",IF(D2113=_xlfn.MAXIFS($D$4:$D$2503,$A$4:$A$2503,A2113,$B$4:$B$2503,B2113),"Yes","No"))</f>
        <v/>
      </c>
      <c r="M2113" s="30">
        <f>IF(B2113="","",IFERROR(INDEX('Share classes'!$F$4:$F$203,MATCH(B2113,'Share classes'!$B$4:$B$203,0)),""))</f>
        <v/>
      </c>
      <c r="N2113" s="30">
        <f>IF(A2113="","",IF(K2113="","Unknown holder ID",IF(J2113="","Unknown class code",IF(OR(C2113="",D2113=""),"Missing shares or date",IF(OR(C2113&lt;0,C2113&lt;&gt;INT(C2113)),"Shares must be a whole number",IF(COUNTIFS($A$4:$A$2503,A2113,$B$4:$B$2503,B2113,$D$4:$D$2503,D2113)&gt;1,"Duplicate row (same date)","OK"))))))</f>
        <v/>
      </c>
    </row>
    <row r="2114">
      <c r="A2114" s="26" t="n"/>
      <c r="B2114" s="26" t="n"/>
      <c r="C2114" s="34" t="n"/>
      <c r="D2114" s="28" t="n"/>
      <c r="E2114" s="26" t="n"/>
      <c r="F2114" s="26" t="n"/>
      <c r="G2114" s="26" t="n"/>
      <c r="H2114" s="38" t="n"/>
      <c r="I2114" s="28" t="n"/>
      <c r="J2114" s="30">
        <f>IF(B2114="","",IFERROR(INDEX('Share classes'!$A$4:$A$203,MATCH(B2114,'Share classes'!$B$4:$B$203,0)),""))</f>
        <v/>
      </c>
      <c r="K2114" s="30">
        <f>IF(A2114="","",IFERROR(INDEX('Holders'!$B$4:$B$1003,MATCH(A2114,'Holders'!$A$4:$A$1003,0)),""))</f>
        <v/>
      </c>
      <c r="L2114" s="30">
        <f>IF(OR(A2114="",B2114="",D2114=""),"",IF(D2114=_xlfn.MAXIFS($D$4:$D$2503,$A$4:$A$2503,A2114,$B$4:$B$2503,B2114),"Yes","No"))</f>
        <v/>
      </c>
      <c r="M2114" s="30">
        <f>IF(B2114="","",IFERROR(INDEX('Share classes'!$F$4:$F$203,MATCH(B2114,'Share classes'!$B$4:$B$203,0)),""))</f>
        <v/>
      </c>
      <c r="N2114" s="30">
        <f>IF(A2114="","",IF(K2114="","Unknown holder ID",IF(J2114="","Unknown class code",IF(OR(C2114="",D2114=""),"Missing shares or date",IF(OR(C2114&lt;0,C2114&lt;&gt;INT(C2114)),"Shares must be a whole number",IF(COUNTIFS($A$4:$A$2503,A2114,$B$4:$B$2503,B2114,$D$4:$D$2503,D2114)&gt;1,"Duplicate row (same date)","OK"))))))</f>
        <v/>
      </c>
    </row>
    <row r="2115">
      <c r="A2115" s="26" t="n"/>
      <c r="B2115" s="26" t="n"/>
      <c r="C2115" s="34" t="n"/>
      <c r="D2115" s="28" t="n"/>
      <c r="E2115" s="26" t="n"/>
      <c r="F2115" s="26" t="n"/>
      <c r="G2115" s="26" t="n"/>
      <c r="H2115" s="38" t="n"/>
      <c r="I2115" s="28" t="n"/>
      <c r="J2115" s="30">
        <f>IF(B2115="","",IFERROR(INDEX('Share classes'!$A$4:$A$203,MATCH(B2115,'Share classes'!$B$4:$B$203,0)),""))</f>
        <v/>
      </c>
      <c r="K2115" s="30">
        <f>IF(A2115="","",IFERROR(INDEX('Holders'!$B$4:$B$1003,MATCH(A2115,'Holders'!$A$4:$A$1003,0)),""))</f>
        <v/>
      </c>
      <c r="L2115" s="30">
        <f>IF(OR(A2115="",B2115="",D2115=""),"",IF(D2115=_xlfn.MAXIFS($D$4:$D$2503,$A$4:$A$2503,A2115,$B$4:$B$2503,B2115),"Yes","No"))</f>
        <v/>
      </c>
      <c r="M2115" s="30">
        <f>IF(B2115="","",IFERROR(INDEX('Share classes'!$F$4:$F$203,MATCH(B2115,'Share classes'!$B$4:$B$203,0)),""))</f>
        <v/>
      </c>
      <c r="N2115" s="30">
        <f>IF(A2115="","",IF(K2115="","Unknown holder ID",IF(J2115="","Unknown class code",IF(OR(C2115="",D2115=""),"Missing shares or date",IF(OR(C2115&lt;0,C2115&lt;&gt;INT(C2115)),"Shares must be a whole number",IF(COUNTIFS($A$4:$A$2503,A2115,$B$4:$B$2503,B2115,$D$4:$D$2503,D2115)&gt;1,"Duplicate row (same date)","OK"))))))</f>
        <v/>
      </c>
    </row>
    <row r="2116">
      <c r="A2116" s="26" t="n"/>
      <c r="B2116" s="26" t="n"/>
      <c r="C2116" s="34" t="n"/>
      <c r="D2116" s="28" t="n"/>
      <c r="E2116" s="26" t="n"/>
      <c r="F2116" s="26" t="n"/>
      <c r="G2116" s="26" t="n"/>
      <c r="H2116" s="38" t="n"/>
      <c r="I2116" s="28" t="n"/>
      <c r="J2116" s="30">
        <f>IF(B2116="","",IFERROR(INDEX('Share classes'!$A$4:$A$203,MATCH(B2116,'Share classes'!$B$4:$B$203,0)),""))</f>
        <v/>
      </c>
      <c r="K2116" s="30">
        <f>IF(A2116="","",IFERROR(INDEX('Holders'!$B$4:$B$1003,MATCH(A2116,'Holders'!$A$4:$A$1003,0)),""))</f>
        <v/>
      </c>
      <c r="L2116" s="30">
        <f>IF(OR(A2116="",B2116="",D2116=""),"",IF(D2116=_xlfn.MAXIFS($D$4:$D$2503,$A$4:$A$2503,A2116,$B$4:$B$2503,B2116),"Yes","No"))</f>
        <v/>
      </c>
      <c r="M2116" s="30">
        <f>IF(B2116="","",IFERROR(INDEX('Share classes'!$F$4:$F$203,MATCH(B2116,'Share classes'!$B$4:$B$203,0)),""))</f>
        <v/>
      </c>
      <c r="N2116" s="30">
        <f>IF(A2116="","",IF(K2116="","Unknown holder ID",IF(J2116="","Unknown class code",IF(OR(C2116="",D2116=""),"Missing shares or date",IF(OR(C2116&lt;0,C2116&lt;&gt;INT(C2116)),"Shares must be a whole number",IF(COUNTIFS($A$4:$A$2503,A2116,$B$4:$B$2503,B2116,$D$4:$D$2503,D2116)&gt;1,"Duplicate row (same date)","OK"))))))</f>
        <v/>
      </c>
    </row>
    <row r="2117">
      <c r="A2117" s="26" t="n"/>
      <c r="B2117" s="26" t="n"/>
      <c r="C2117" s="34" t="n"/>
      <c r="D2117" s="28" t="n"/>
      <c r="E2117" s="26" t="n"/>
      <c r="F2117" s="26" t="n"/>
      <c r="G2117" s="26" t="n"/>
      <c r="H2117" s="38" t="n"/>
      <c r="I2117" s="28" t="n"/>
      <c r="J2117" s="30">
        <f>IF(B2117="","",IFERROR(INDEX('Share classes'!$A$4:$A$203,MATCH(B2117,'Share classes'!$B$4:$B$203,0)),""))</f>
        <v/>
      </c>
      <c r="K2117" s="30">
        <f>IF(A2117="","",IFERROR(INDEX('Holders'!$B$4:$B$1003,MATCH(A2117,'Holders'!$A$4:$A$1003,0)),""))</f>
        <v/>
      </c>
      <c r="L2117" s="30">
        <f>IF(OR(A2117="",B2117="",D2117=""),"",IF(D2117=_xlfn.MAXIFS($D$4:$D$2503,$A$4:$A$2503,A2117,$B$4:$B$2503,B2117),"Yes","No"))</f>
        <v/>
      </c>
      <c r="M2117" s="30">
        <f>IF(B2117="","",IFERROR(INDEX('Share classes'!$F$4:$F$203,MATCH(B2117,'Share classes'!$B$4:$B$203,0)),""))</f>
        <v/>
      </c>
      <c r="N2117" s="30">
        <f>IF(A2117="","",IF(K2117="","Unknown holder ID",IF(J2117="","Unknown class code",IF(OR(C2117="",D2117=""),"Missing shares or date",IF(OR(C2117&lt;0,C2117&lt;&gt;INT(C2117)),"Shares must be a whole number",IF(COUNTIFS($A$4:$A$2503,A2117,$B$4:$B$2503,B2117,$D$4:$D$2503,D2117)&gt;1,"Duplicate row (same date)","OK"))))))</f>
        <v/>
      </c>
    </row>
    <row r="2118">
      <c r="A2118" s="26" t="n"/>
      <c r="B2118" s="26" t="n"/>
      <c r="C2118" s="34" t="n"/>
      <c r="D2118" s="28" t="n"/>
      <c r="E2118" s="26" t="n"/>
      <c r="F2118" s="26" t="n"/>
      <c r="G2118" s="26" t="n"/>
      <c r="H2118" s="38" t="n"/>
      <c r="I2118" s="28" t="n"/>
      <c r="J2118" s="30">
        <f>IF(B2118="","",IFERROR(INDEX('Share classes'!$A$4:$A$203,MATCH(B2118,'Share classes'!$B$4:$B$203,0)),""))</f>
        <v/>
      </c>
      <c r="K2118" s="30">
        <f>IF(A2118="","",IFERROR(INDEX('Holders'!$B$4:$B$1003,MATCH(A2118,'Holders'!$A$4:$A$1003,0)),""))</f>
        <v/>
      </c>
      <c r="L2118" s="30">
        <f>IF(OR(A2118="",B2118="",D2118=""),"",IF(D2118=_xlfn.MAXIFS($D$4:$D$2503,$A$4:$A$2503,A2118,$B$4:$B$2503,B2118),"Yes","No"))</f>
        <v/>
      </c>
      <c r="M2118" s="30">
        <f>IF(B2118="","",IFERROR(INDEX('Share classes'!$F$4:$F$203,MATCH(B2118,'Share classes'!$B$4:$B$203,0)),""))</f>
        <v/>
      </c>
      <c r="N2118" s="30">
        <f>IF(A2118="","",IF(K2118="","Unknown holder ID",IF(J2118="","Unknown class code",IF(OR(C2118="",D2118=""),"Missing shares or date",IF(OR(C2118&lt;0,C2118&lt;&gt;INT(C2118)),"Shares must be a whole number",IF(COUNTIFS($A$4:$A$2503,A2118,$B$4:$B$2503,B2118,$D$4:$D$2503,D2118)&gt;1,"Duplicate row (same date)","OK"))))))</f>
        <v/>
      </c>
    </row>
    <row r="2119">
      <c r="A2119" s="26" t="n"/>
      <c r="B2119" s="26" t="n"/>
      <c r="C2119" s="34" t="n"/>
      <c r="D2119" s="28" t="n"/>
      <c r="E2119" s="26" t="n"/>
      <c r="F2119" s="26" t="n"/>
      <c r="G2119" s="26" t="n"/>
      <c r="H2119" s="38" t="n"/>
      <c r="I2119" s="28" t="n"/>
      <c r="J2119" s="30">
        <f>IF(B2119="","",IFERROR(INDEX('Share classes'!$A$4:$A$203,MATCH(B2119,'Share classes'!$B$4:$B$203,0)),""))</f>
        <v/>
      </c>
      <c r="K2119" s="30">
        <f>IF(A2119="","",IFERROR(INDEX('Holders'!$B$4:$B$1003,MATCH(A2119,'Holders'!$A$4:$A$1003,0)),""))</f>
        <v/>
      </c>
      <c r="L2119" s="30">
        <f>IF(OR(A2119="",B2119="",D2119=""),"",IF(D2119=_xlfn.MAXIFS($D$4:$D$2503,$A$4:$A$2503,A2119,$B$4:$B$2503,B2119),"Yes","No"))</f>
        <v/>
      </c>
      <c r="M2119" s="30">
        <f>IF(B2119="","",IFERROR(INDEX('Share classes'!$F$4:$F$203,MATCH(B2119,'Share classes'!$B$4:$B$203,0)),""))</f>
        <v/>
      </c>
      <c r="N2119" s="30">
        <f>IF(A2119="","",IF(K2119="","Unknown holder ID",IF(J2119="","Unknown class code",IF(OR(C2119="",D2119=""),"Missing shares or date",IF(OR(C2119&lt;0,C2119&lt;&gt;INT(C2119)),"Shares must be a whole number",IF(COUNTIFS($A$4:$A$2503,A2119,$B$4:$B$2503,B2119,$D$4:$D$2503,D2119)&gt;1,"Duplicate row (same date)","OK"))))))</f>
        <v/>
      </c>
    </row>
    <row r="2120">
      <c r="A2120" s="26" t="n"/>
      <c r="B2120" s="26" t="n"/>
      <c r="C2120" s="34" t="n"/>
      <c r="D2120" s="28" t="n"/>
      <c r="E2120" s="26" t="n"/>
      <c r="F2120" s="26" t="n"/>
      <c r="G2120" s="26" t="n"/>
      <c r="H2120" s="38" t="n"/>
      <c r="I2120" s="28" t="n"/>
      <c r="J2120" s="30">
        <f>IF(B2120="","",IFERROR(INDEX('Share classes'!$A$4:$A$203,MATCH(B2120,'Share classes'!$B$4:$B$203,0)),""))</f>
        <v/>
      </c>
      <c r="K2120" s="30">
        <f>IF(A2120="","",IFERROR(INDEX('Holders'!$B$4:$B$1003,MATCH(A2120,'Holders'!$A$4:$A$1003,0)),""))</f>
        <v/>
      </c>
      <c r="L2120" s="30">
        <f>IF(OR(A2120="",B2120="",D2120=""),"",IF(D2120=_xlfn.MAXIFS($D$4:$D$2503,$A$4:$A$2503,A2120,$B$4:$B$2503,B2120),"Yes","No"))</f>
        <v/>
      </c>
      <c r="M2120" s="30">
        <f>IF(B2120="","",IFERROR(INDEX('Share classes'!$F$4:$F$203,MATCH(B2120,'Share classes'!$B$4:$B$203,0)),""))</f>
        <v/>
      </c>
      <c r="N2120" s="30">
        <f>IF(A2120="","",IF(K2120="","Unknown holder ID",IF(J2120="","Unknown class code",IF(OR(C2120="",D2120=""),"Missing shares or date",IF(OR(C2120&lt;0,C2120&lt;&gt;INT(C2120)),"Shares must be a whole number",IF(COUNTIFS($A$4:$A$2503,A2120,$B$4:$B$2503,B2120,$D$4:$D$2503,D2120)&gt;1,"Duplicate row (same date)","OK"))))))</f>
        <v/>
      </c>
    </row>
    <row r="2121">
      <c r="A2121" s="26" t="n"/>
      <c r="B2121" s="26" t="n"/>
      <c r="C2121" s="34" t="n"/>
      <c r="D2121" s="28" t="n"/>
      <c r="E2121" s="26" t="n"/>
      <c r="F2121" s="26" t="n"/>
      <c r="G2121" s="26" t="n"/>
      <c r="H2121" s="38" t="n"/>
      <c r="I2121" s="28" t="n"/>
      <c r="J2121" s="30">
        <f>IF(B2121="","",IFERROR(INDEX('Share classes'!$A$4:$A$203,MATCH(B2121,'Share classes'!$B$4:$B$203,0)),""))</f>
        <v/>
      </c>
      <c r="K2121" s="30">
        <f>IF(A2121="","",IFERROR(INDEX('Holders'!$B$4:$B$1003,MATCH(A2121,'Holders'!$A$4:$A$1003,0)),""))</f>
        <v/>
      </c>
      <c r="L2121" s="30">
        <f>IF(OR(A2121="",B2121="",D2121=""),"",IF(D2121=_xlfn.MAXIFS($D$4:$D$2503,$A$4:$A$2503,A2121,$B$4:$B$2503,B2121),"Yes","No"))</f>
        <v/>
      </c>
      <c r="M2121" s="30">
        <f>IF(B2121="","",IFERROR(INDEX('Share classes'!$F$4:$F$203,MATCH(B2121,'Share classes'!$B$4:$B$203,0)),""))</f>
        <v/>
      </c>
      <c r="N2121" s="30">
        <f>IF(A2121="","",IF(K2121="","Unknown holder ID",IF(J2121="","Unknown class code",IF(OR(C2121="",D2121=""),"Missing shares or date",IF(OR(C2121&lt;0,C2121&lt;&gt;INT(C2121)),"Shares must be a whole number",IF(COUNTIFS($A$4:$A$2503,A2121,$B$4:$B$2503,B2121,$D$4:$D$2503,D2121)&gt;1,"Duplicate row (same date)","OK"))))))</f>
        <v/>
      </c>
    </row>
    <row r="2122">
      <c r="A2122" s="26" t="n"/>
      <c r="B2122" s="26" t="n"/>
      <c r="C2122" s="34" t="n"/>
      <c r="D2122" s="28" t="n"/>
      <c r="E2122" s="26" t="n"/>
      <c r="F2122" s="26" t="n"/>
      <c r="G2122" s="26" t="n"/>
      <c r="H2122" s="38" t="n"/>
      <c r="I2122" s="28" t="n"/>
      <c r="J2122" s="30">
        <f>IF(B2122="","",IFERROR(INDEX('Share classes'!$A$4:$A$203,MATCH(B2122,'Share classes'!$B$4:$B$203,0)),""))</f>
        <v/>
      </c>
      <c r="K2122" s="30">
        <f>IF(A2122="","",IFERROR(INDEX('Holders'!$B$4:$B$1003,MATCH(A2122,'Holders'!$A$4:$A$1003,0)),""))</f>
        <v/>
      </c>
      <c r="L2122" s="30">
        <f>IF(OR(A2122="",B2122="",D2122=""),"",IF(D2122=_xlfn.MAXIFS($D$4:$D$2503,$A$4:$A$2503,A2122,$B$4:$B$2503,B2122),"Yes","No"))</f>
        <v/>
      </c>
      <c r="M2122" s="30">
        <f>IF(B2122="","",IFERROR(INDEX('Share classes'!$F$4:$F$203,MATCH(B2122,'Share classes'!$B$4:$B$203,0)),""))</f>
        <v/>
      </c>
      <c r="N2122" s="30">
        <f>IF(A2122="","",IF(K2122="","Unknown holder ID",IF(J2122="","Unknown class code",IF(OR(C2122="",D2122=""),"Missing shares or date",IF(OR(C2122&lt;0,C2122&lt;&gt;INT(C2122)),"Shares must be a whole number",IF(COUNTIFS($A$4:$A$2503,A2122,$B$4:$B$2503,B2122,$D$4:$D$2503,D2122)&gt;1,"Duplicate row (same date)","OK"))))))</f>
        <v/>
      </c>
    </row>
    <row r="2123">
      <c r="A2123" s="26" t="n"/>
      <c r="B2123" s="26" t="n"/>
      <c r="C2123" s="34" t="n"/>
      <c r="D2123" s="28" t="n"/>
      <c r="E2123" s="26" t="n"/>
      <c r="F2123" s="26" t="n"/>
      <c r="G2123" s="26" t="n"/>
      <c r="H2123" s="38" t="n"/>
      <c r="I2123" s="28" t="n"/>
      <c r="J2123" s="30">
        <f>IF(B2123="","",IFERROR(INDEX('Share classes'!$A$4:$A$203,MATCH(B2123,'Share classes'!$B$4:$B$203,0)),""))</f>
        <v/>
      </c>
      <c r="K2123" s="30">
        <f>IF(A2123="","",IFERROR(INDEX('Holders'!$B$4:$B$1003,MATCH(A2123,'Holders'!$A$4:$A$1003,0)),""))</f>
        <v/>
      </c>
      <c r="L2123" s="30">
        <f>IF(OR(A2123="",B2123="",D2123=""),"",IF(D2123=_xlfn.MAXIFS($D$4:$D$2503,$A$4:$A$2503,A2123,$B$4:$B$2503,B2123),"Yes","No"))</f>
        <v/>
      </c>
      <c r="M2123" s="30">
        <f>IF(B2123="","",IFERROR(INDEX('Share classes'!$F$4:$F$203,MATCH(B2123,'Share classes'!$B$4:$B$203,0)),""))</f>
        <v/>
      </c>
      <c r="N2123" s="30">
        <f>IF(A2123="","",IF(K2123="","Unknown holder ID",IF(J2123="","Unknown class code",IF(OR(C2123="",D2123=""),"Missing shares or date",IF(OR(C2123&lt;0,C2123&lt;&gt;INT(C2123)),"Shares must be a whole number",IF(COUNTIFS($A$4:$A$2503,A2123,$B$4:$B$2503,B2123,$D$4:$D$2503,D2123)&gt;1,"Duplicate row (same date)","OK"))))))</f>
        <v/>
      </c>
    </row>
    <row r="2124">
      <c r="A2124" s="26" t="n"/>
      <c r="B2124" s="26" t="n"/>
      <c r="C2124" s="34" t="n"/>
      <c r="D2124" s="28" t="n"/>
      <c r="E2124" s="26" t="n"/>
      <c r="F2124" s="26" t="n"/>
      <c r="G2124" s="26" t="n"/>
      <c r="H2124" s="38" t="n"/>
      <c r="I2124" s="28" t="n"/>
      <c r="J2124" s="30">
        <f>IF(B2124="","",IFERROR(INDEX('Share classes'!$A$4:$A$203,MATCH(B2124,'Share classes'!$B$4:$B$203,0)),""))</f>
        <v/>
      </c>
      <c r="K2124" s="30">
        <f>IF(A2124="","",IFERROR(INDEX('Holders'!$B$4:$B$1003,MATCH(A2124,'Holders'!$A$4:$A$1003,0)),""))</f>
        <v/>
      </c>
      <c r="L2124" s="30">
        <f>IF(OR(A2124="",B2124="",D2124=""),"",IF(D2124=_xlfn.MAXIFS($D$4:$D$2503,$A$4:$A$2503,A2124,$B$4:$B$2503,B2124),"Yes","No"))</f>
        <v/>
      </c>
      <c r="M2124" s="30">
        <f>IF(B2124="","",IFERROR(INDEX('Share classes'!$F$4:$F$203,MATCH(B2124,'Share classes'!$B$4:$B$203,0)),""))</f>
        <v/>
      </c>
      <c r="N2124" s="30">
        <f>IF(A2124="","",IF(K2124="","Unknown holder ID",IF(J2124="","Unknown class code",IF(OR(C2124="",D2124=""),"Missing shares or date",IF(OR(C2124&lt;0,C2124&lt;&gt;INT(C2124)),"Shares must be a whole number",IF(COUNTIFS($A$4:$A$2503,A2124,$B$4:$B$2503,B2124,$D$4:$D$2503,D2124)&gt;1,"Duplicate row (same date)","OK"))))))</f>
        <v/>
      </c>
    </row>
    <row r="2125">
      <c r="A2125" s="26" t="n"/>
      <c r="B2125" s="26" t="n"/>
      <c r="C2125" s="34" t="n"/>
      <c r="D2125" s="28" t="n"/>
      <c r="E2125" s="26" t="n"/>
      <c r="F2125" s="26" t="n"/>
      <c r="G2125" s="26" t="n"/>
      <c r="H2125" s="38" t="n"/>
      <c r="I2125" s="28" t="n"/>
      <c r="J2125" s="30">
        <f>IF(B2125="","",IFERROR(INDEX('Share classes'!$A$4:$A$203,MATCH(B2125,'Share classes'!$B$4:$B$203,0)),""))</f>
        <v/>
      </c>
      <c r="K2125" s="30">
        <f>IF(A2125="","",IFERROR(INDEX('Holders'!$B$4:$B$1003,MATCH(A2125,'Holders'!$A$4:$A$1003,0)),""))</f>
        <v/>
      </c>
      <c r="L2125" s="30">
        <f>IF(OR(A2125="",B2125="",D2125=""),"",IF(D2125=_xlfn.MAXIFS($D$4:$D$2503,$A$4:$A$2503,A2125,$B$4:$B$2503,B2125),"Yes","No"))</f>
        <v/>
      </c>
      <c r="M2125" s="30">
        <f>IF(B2125="","",IFERROR(INDEX('Share classes'!$F$4:$F$203,MATCH(B2125,'Share classes'!$B$4:$B$203,0)),""))</f>
        <v/>
      </c>
      <c r="N2125" s="30">
        <f>IF(A2125="","",IF(K2125="","Unknown holder ID",IF(J2125="","Unknown class code",IF(OR(C2125="",D2125=""),"Missing shares or date",IF(OR(C2125&lt;0,C2125&lt;&gt;INT(C2125)),"Shares must be a whole number",IF(COUNTIFS($A$4:$A$2503,A2125,$B$4:$B$2503,B2125,$D$4:$D$2503,D2125)&gt;1,"Duplicate row (same date)","OK"))))))</f>
        <v/>
      </c>
    </row>
    <row r="2126">
      <c r="A2126" s="26" t="n"/>
      <c r="B2126" s="26" t="n"/>
      <c r="C2126" s="34" t="n"/>
      <c r="D2126" s="28" t="n"/>
      <c r="E2126" s="26" t="n"/>
      <c r="F2126" s="26" t="n"/>
      <c r="G2126" s="26" t="n"/>
      <c r="H2126" s="38" t="n"/>
      <c r="I2126" s="28" t="n"/>
      <c r="J2126" s="30">
        <f>IF(B2126="","",IFERROR(INDEX('Share classes'!$A$4:$A$203,MATCH(B2126,'Share classes'!$B$4:$B$203,0)),""))</f>
        <v/>
      </c>
      <c r="K2126" s="30">
        <f>IF(A2126="","",IFERROR(INDEX('Holders'!$B$4:$B$1003,MATCH(A2126,'Holders'!$A$4:$A$1003,0)),""))</f>
        <v/>
      </c>
      <c r="L2126" s="30">
        <f>IF(OR(A2126="",B2126="",D2126=""),"",IF(D2126=_xlfn.MAXIFS($D$4:$D$2503,$A$4:$A$2503,A2126,$B$4:$B$2503,B2126),"Yes","No"))</f>
        <v/>
      </c>
      <c r="M2126" s="30">
        <f>IF(B2126="","",IFERROR(INDEX('Share classes'!$F$4:$F$203,MATCH(B2126,'Share classes'!$B$4:$B$203,0)),""))</f>
        <v/>
      </c>
      <c r="N2126" s="30">
        <f>IF(A2126="","",IF(K2126="","Unknown holder ID",IF(J2126="","Unknown class code",IF(OR(C2126="",D2126=""),"Missing shares or date",IF(OR(C2126&lt;0,C2126&lt;&gt;INT(C2126)),"Shares must be a whole number",IF(COUNTIFS($A$4:$A$2503,A2126,$B$4:$B$2503,B2126,$D$4:$D$2503,D2126)&gt;1,"Duplicate row (same date)","OK"))))))</f>
        <v/>
      </c>
    </row>
    <row r="2127">
      <c r="A2127" s="26" t="n"/>
      <c r="B2127" s="26" t="n"/>
      <c r="C2127" s="34" t="n"/>
      <c r="D2127" s="28" t="n"/>
      <c r="E2127" s="26" t="n"/>
      <c r="F2127" s="26" t="n"/>
      <c r="G2127" s="26" t="n"/>
      <c r="H2127" s="38" t="n"/>
      <c r="I2127" s="28" t="n"/>
      <c r="J2127" s="30">
        <f>IF(B2127="","",IFERROR(INDEX('Share classes'!$A$4:$A$203,MATCH(B2127,'Share classes'!$B$4:$B$203,0)),""))</f>
        <v/>
      </c>
      <c r="K2127" s="30">
        <f>IF(A2127="","",IFERROR(INDEX('Holders'!$B$4:$B$1003,MATCH(A2127,'Holders'!$A$4:$A$1003,0)),""))</f>
        <v/>
      </c>
      <c r="L2127" s="30">
        <f>IF(OR(A2127="",B2127="",D2127=""),"",IF(D2127=_xlfn.MAXIFS($D$4:$D$2503,$A$4:$A$2503,A2127,$B$4:$B$2503,B2127),"Yes","No"))</f>
        <v/>
      </c>
      <c r="M2127" s="30">
        <f>IF(B2127="","",IFERROR(INDEX('Share classes'!$F$4:$F$203,MATCH(B2127,'Share classes'!$B$4:$B$203,0)),""))</f>
        <v/>
      </c>
      <c r="N2127" s="30">
        <f>IF(A2127="","",IF(K2127="","Unknown holder ID",IF(J2127="","Unknown class code",IF(OR(C2127="",D2127=""),"Missing shares or date",IF(OR(C2127&lt;0,C2127&lt;&gt;INT(C2127)),"Shares must be a whole number",IF(COUNTIFS($A$4:$A$2503,A2127,$B$4:$B$2503,B2127,$D$4:$D$2503,D2127)&gt;1,"Duplicate row (same date)","OK"))))))</f>
        <v/>
      </c>
    </row>
    <row r="2128">
      <c r="A2128" s="26" t="n"/>
      <c r="B2128" s="26" t="n"/>
      <c r="C2128" s="34" t="n"/>
      <c r="D2128" s="28" t="n"/>
      <c r="E2128" s="26" t="n"/>
      <c r="F2128" s="26" t="n"/>
      <c r="G2128" s="26" t="n"/>
      <c r="H2128" s="38" t="n"/>
      <c r="I2128" s="28" t="n"/>
      <c r="J2128" s="30">
        <f>IF(B2128="","",IFERROR(INDEX('Share classes'!$A$4:$A$203,MATCH(B2128,'Share classes'!$B$4:$B$203,0)),""))</f>
        <v/>
      </c>
      <c r="K2128" s="30">
        <f>IF(A2128="","",IFERROR(INDEX('Holders'!$B$4:$B$1003,MATCH(A2128,'Holders'!$A$4:$A$1003,0)),""))</f>
        <v/>
      </c>
      <c r="L2128" s="30">
        <f>IF(OR(A2128="",B2128="",D2128=""),"",IF(D2128=_xlfn.MAXIFS($D$4:$D$2503,$A$4:$A$2503,A2128,$B$4:$B$2503,B2128),"Yes","No"))</f>
        <v/>
      </c>
      <c r="M2128" s="30">
        <f>IF(B2128="","",IFERROR(INDEX('Share classes'!$F$4:$F$203,MATCH(B2128,'Share classes'!$B$4:$B$203,0)),""))</f>
        <v/>
      </c>
      <c r="N2128" s="30">
        <f>IF(A2128="","",IF(K2128="","Unknown holder ID",IF(J2128="","Unknown class code",IF(OR(C2128="",D2128=""),"Missing shares or date",IF(OR(C2128&lt;0,C2128&lt;&gt;INT(C2128)),"Shares must be a whole number",IF(COUNTIFS($A$4:$A$2503,A2128,$B$4:$B$2503,B2128,$D$4:$D$2503,D2128)&gt;1,"Duplicate row (same date)","OK"))))))</f>
        <v/>
      </c>
    </row>
    <row r="2129">
      <c r="A2129" s="26" t="n"/>
      <c r="B2129" s="26" t="n"/>
      <c r="C2129" s="34" t="n"/>
      <c r="D2129" s="28" t="n"/>
      <c r="E2129" s="26" t="n"/>
      <c r="F2129" s="26" t="n"/>
      <c r="G2129" s="26" t="n"/>
      <c r="H2129" s="38" t="n"/>
      <c r="I2129" s="28" t="n"/>
      <c r="J2129" s="30">
        <f>IF(B2129="","",IFERROR(INDEX('Share classes'!$A$4:$A$203,MATCH(B2129,'Share classes'!$B$4:$B$203,0)),""))</f>
        <v/>
      </c>
      <c r="K2129" s="30">
        <f>IF(A2129="","",IFERROR(INDEX('Holders'!$B$4:$B$1003,MATCH(A2129,'Holders'!$A$4:$A$1003,0)),""))</f>
        <v/>
      </c>
      <c r="L2129" s="30">
        <f>IF(OR(A2129="",B2129="",D2129=""),"",IF(D2129=_xlfn.MAXIFS($D$4:$D$2503,$A$4:$A$2503,A2129,$B$4:$B$2503,B2129),"Yes","No"))</f>
        <v/>
      </c>
      <c r="M2129" s="30">
        <f>IF(B2129="","",IFERROR(INDEX('Share classes'!$F$4:$F$203,MATCH(B2129,'Share classes'!$B$4:$B$203,0)),""))</f>
        <v/>
      </c>
      <c r="N2129" s="30">
        <f>IF(A2129="","",IF(K2129="","Unknown holder ID",IF(J2129="","Unknown class code",IF(OR(C2129="",D2129=""),"Missing shares or date",IF(OR(C2129&lt;0,C2129&lt;&gt;INT(C2129)),"Shares must be a whole number",IF(COUNTIFS($A$4:$A$2503,A2129,$B$4:$B$2503,B2129,$D$4:$D$2503,D2129)&gt;1,"Duplicate row (same date)","OK"))))))</f>
        <v/>
      </c>
    </row>
    <row r="2130">
      <c r="A2130" s="26" t="n"/>
      <c r="B2130" s="26" t="n"/>
      <c r="C2130" s="34" t="n"/>
      <c r="D2130" s="28" t="n"/>
      <c r="E2130" s="26" t="n"/>
      <c r="F2130" s="26" t="n"/>
      <c r="G2130" s="26" t="n"/>
      <c r="H2130" s="38" t="n"/>
      <c r="I2130" s="28" t="n"/>
      <c r="J2130" s="30">
        <f>IF(B2130="","",IFERROR(INDEX('Share classes'!$A$4:$A$203,MATCH(B2130,'Share classes'!$B$4:$B$203,0)),""))</f>
        <v/>
      </c>
      <c r="K2130" s="30">
        <f>IF(A2130="","",IFERROR(INDEX('Holders'!$B$4:$B$1003,MATCH(A2130,'Holders'!$A$4:$A$1003,0)),""))</f>
        <v/>
      </c>
      <c r="L2130" s="30">
        <f>IF(OR(A2130="",B2130="",D2130=""),"",IF(D2130=_xlfn.MAXIFS($D$4:$D$2503,$A$4:$A$2503,A2130,$B$4:$B$2503,B2130),"Yes","No"))</f>
        <v/>
      </c>
      <c r="M2130" s="30">
        <f>IF(B2130="","",IFERROR(INDEX('Share classes'!$F$4:$F$203,MATCH(B2130,'Share classes'!$B$4:$B$203,0)),""))</f>
        <v/>
      </c>
      <c r="N2130" s="30">
        <f>IF(A2130="","",IF(K2130="","Unknown holder ID",IF(J2130="","Unknown class code",IF(OR(C2130="",D2130=""),"Missing shares or date",IF(OR(C2130&lt;0,C2130&lt;&gt;INT(C2130)),"Shares must be a whole number",IF(COUNTIFS($A$4:$A$2503,A2130,$B$4:$B$2503,B2130,$D$4:$D$2503,D2130)&gt;1,"Duplicate row (same date)","OK"))))))</f>
        <v/>
      </c>
    </row>
    <row r="2131">
      <c r="A2131" s="26" t="n"/>
      <c r="B2131" s="26" t="n"/>
      <c r="C2131" s="34" t="n"/>
      <c r="D2131" s="28" t="n"/>
      <c r="E2131" s="26" t="n"/>
      <c r="F2131" s="26" t="n"/>
      <c r="G2131" s="26" t="n"/>
      <c r="H2131" s="38" t="n"/>
      <c r="I2131" s="28" t="n"/>
      <c r="J2131" s="30">
        <f>IF(B2131="","",IFERROR(INDEX('Share classes'!$A$4:$A$203,MATCH(B2131,'Share classes'!$B$4:$B$203,0)),""))</f>
        <v/>
      </c>
      <c r="K2131" s="30">
        <f>IF(A2131="","",IFERROR(INDEX('Holders'!$B$4:$B$1003,MATCH(A2131,'Holders'!$A$4:$A$1003,0)),""))</f>
        <v/>
      </c>
      <c r="L2131" s="30">
        <f>IF(OR(A2131="",B2131="",D2131=""),"",IF(D2131=_xlfn.MAXIFS($D$4:$D$2503,$A$4:$A$2503,A2131,$B$4:$B$2503,B2131),"Yes","No"))</f>
        <v/>
      </c>
      <c r="M2131" s="30">
        <f>IF(B2131="","",IFERROR(INDEX('Share classes'!$F$4:$F$203,MATCH(B2131,'Share classes'!$B$4:$B$203,0)),""))</f>
        <v/>
      </c>
      <c r="N2131" s="30">
        <f>IF(A2131="","",IF(K2131="","Unknown holder ID",IF(J2131="","Unknown class code",IF(OR(C2131="",D2131=""),"Missing shares or date",IF(OR(C2131&lt;0,C2131&lt;&gt;INT(C2131)),"Shares must be a whole number",IF(COUNTIFS($A$4:$A$2503,A2131,$B$4:$B$2503,B2131,$D$4:$D$2503,D2131)&gt;1,"Duplicate row (same date)","OK"))))))</f>
        <v/>
      </c>
    </row>
    <row r="2132">
      <c r="A2132" s="26" t="n"/>
      <c r="B2132" s="26" t="n"/>
      <c r="C2132" s="34" t="n"/>
      <c r="D2132" s="28" t="n"/>
      <c r="E2132" s="26" t="n"/>
      <c r="F2132" s="26" t="n"/>
      <c r="G2132" s="26" t="n"/>
      <c r="H2132" s="38" t="n"/>
      <c r="I2132" s="28" t="n"/>
      <c r="J2132" s="30">
        <f>IF(B2132="","",IFERROR(INDEX('Share classes'!$A$4:$A$203,MATCH(B2132,'Share classes'!$B$4:$B$203,0)),""))</f>
        <v/>
      </c>
      <c r="K2132" s="30">
        <f>IF(A2132="","",IFERROR(INDEX('Holders'!$B$4:$B$1003,MATCH(A2132,'Holders'!$A$4:$A$1003,0)),""))</f>
        <v/>
      </c>
      <c r="L2132" s="30">
        <f>IF(OR(A2132="",B2132="",D2132=""),"",IF(D2132=_xlfn.MAXIFS($D$4:$D$2503,$A$4:$A$2503,A2132,$B$4:$B$2503,B2132),"Yes","No"))</f>
        <v/>
      </c>
      <c r="M2132" s="30">
        <f>IF(B2132="","",IFERROR(INDEX('Share classes'!$F$4:$F$203,MATCH(B2132,'Share classes'!$B$4:$B$203,0)),""))</f>
        <v/>
      </c>
      <c r="N2132" s="30">
        <f>IF(A2132="","",IF(K2132="","Unknown holder ID",IF(J2132="","Unknown class code",IF(OR(C2132="",D2132=""),"Missing shares or date",IF(OR(C2132&lt;0,C2132&lt;&gt;INT(C2132)),"Shares must be a whole number",IF(COUNTIFS($A$4:$A$2503,A2132,$B$4:$B$2503,B2132,$D$4:$D$2503,D2132)&gt;1,"Duplicate row (same date)","OK"))))))</f>
        <v/>
      </c>
    </row>
    <row r="2133">
      <c r="A2133" s="26" t="n"/>
      <c r="B2133" s="26" t="n"/>
      <c r="C2133" s="34" t="n"/>
      <c r="D2133" s="28" t="n"/>
      <c r="E2133" s="26" t="n"/>
      <c r="F2133" s="26" t="n"/>
      <c r="G2133" s="26" t="n"/>
      <c r="H2133" s="38" t="n"/>
      <c r="I2133" s="28" t="n"/>
      <c r="J2133" s="30">
        <f>IF(B2133="","",IFERROR(INDEX('Share classes'!$A$4:$A$203,MATCH(B2133,'Share classes'!$B$4:$B$203,0)),""))</f>
        <v/>
      </c>
      <c r="K2133" s="30">
        <f>IF(A2133="","",IFERROR(INDEX('Holders'!$B$4:$B$1003,MATCH(A2133,'Holders'!$A$4:$A$1003,0)),""))</f>
        <v/>
      </c>
      <c r="L2133" s="30">
        <f>IF(OR(A2133="",B2133="",D2133=""),"",IF(D2133=_xlfn.MAXIFS($D$4:$D$2503,$A$4:$A$2503,A2133,$B$4:$B$2503,B2133),"Yes","No"))</f>
        <v/>
      </c>
      <c r="M2133" s="30">
        <f>IF(B2133="","",IFERROR(INDEX('Share classes'!$F$4:$F$203,MATCH(B2133,'Share classes'!$B$4:$B$203,0)),""))</f>
        <v/>
      </c>
      <c r="N2133" s="30">
        <f>IF(A2133="","",IF(K2133="","Unknown holder ID",IF(J2133="","Unknown class code",IF(OR(C2133="",D2133=""),"Missing shares or date",IF(OR(C2133&lt;0,C2133&lt;&gt;INT(C2133)),"Shares must be a whole number",IF(COUNTIFS($A$4:$A$2503,A2133,$B$4:$B$2503,B2133,$D$4:$D$2503,D2133)&gt;1,"Duplicate row (same date)","OK"))))))</f>
        <v/>
      </c>
    </row>
    <row r="2134">
      <c r="A2134" s="26" t="n"/>
      <c r="B2134" s="26" t="n"/>
      <c r="C2134" s="34" t="n"/>
      <c r="D2134" s="28" t="n"/>
      <c r="E2134" s="26" t="n"/>
      <c r="F2134" s="26" t="n"/>
      <c r="G2134" s="26" t="n"/>
      <c r="H2134" s="38" t="n"/>
      <c r="I2134" s="28" t="n"/>
      <c r="J2134" s="30">
        <f>IF(B2134="","",IFERROR(INDEX('Share classes'!$A$4:$A$203,MATCH(B2134,'Share classes'!$B$4:$B$203,0)),""))</f>
        <v/>
      </c>
      <c r="K2134" s="30">
        <f>IF(A2134="","",IFERROR(INDEX('Holders'!$B$4:$B$1003,MATCH(A2134,'Holders'!$A$4:$A$1003,0)),""))</f>
        <v/>
      </c>
      <c r="L2134" s="30">
        <f>IF(OR(A2134="",B2134="",D2134=""),"",IF(D2134=_xlfn.MAXIFS($D$4:$D$2503,$A$4:$A$2503,A2134,$B$4:$B$2503,B2134),"Yes","No"))</f>
        <v/>
      </c>
      <c r="M2134" s="30">
        <f>IF(B2134="","",IFERROR(INDEX('Share classes'!$F$4:$F$203,MATCH(B2134,'Share classes'!$B$4:$B$203,0)),""))</f>
        <v/>
      </c>
      <c r="N2134" s="30">
        <f>IF(A2134="","",IF(K2134="","Unknown holder ID",IF(J2134="","Unknown class code",IF(OR(C2134="",D2134=""),"Missing shares or date",IF(OR(C2134&lt;0,C2134&lt;&gt;INT(C2134)),"Shares must be a whole number",IF(COUNTIFS($A$4:$A$2503,A2134,$B$4:$B$2503,B2134,$D$4:$D$2503,D2134)&gt;1,"Duplicate row (same date)","OK"))))))</f>
        <v/>
      </c>
    </row>
    <row r="2135">
      <c r="A2135" s="26" t="n"/>
      <c r="B2135" s="26" t="n"/>
      <c r="C2135" s="34" t="n"/>
      <c r="D2135" s="28" t="n"/>
      <c r="E2135" s="26" t="n"/>
      <c r="F2135" s="26" t="n"/>
      <c r="G2135" s="26" t="n"/>
      <c r="H2135" s="38" t="n"/>
      <c r="I2135" s="28" t="n"/>
      <c r="J2135" s="30">
        <f>IF(B2135="","",IFERROR(INDEX('Share classes'!$A$4:$A$203,MATCH(B2135,'Share classes'!$B$4:$B$203,0)),""))</f>
        <v/>
      </c>
      <c r="K2135" s="30">
        <f>IF(A2135="","",IFERROR(INDEX('Holders'!$B$4:$B$1003,MATCH(A2135,'Holders'!$A$4:$A$1003,0)),""))</f>
        <v/>
      </c>
      <c r="L2135" s="30">
        <f>IF(OR(A2135="",B2135="",D2135=""),"",IF(D2135=_xlfn.MAXIFS($D$4:$D$2503,$A$4:$A$2503,A2135,$B$4:$B$2503,B2135),"Yes","No"))</f>
        <v/>
      </c>
      <c r="M2135" s="30">
        <f>IF(B2135="","",IFERROR(INDEX('Share classes'!$F$4:$F$203,MATCH(B2135,'Share classes'!$B$4:$B$203,0)),""))</f>
        <v/>
      </c>
      <c r="N2135" s="30">
        <f>IF(A2135="","",IF(K2135="","Unknown holder ID",IF(J2135="","Unknown class code",IF(OR(C2135="",D2135=""),"Missing shares or date",IF(OR(C2135&lt;0,C2135&lt;&gt;INT(C2135)),"Shares must be a whole number",IF(COUNTIFS($A$4:$A$2503,A2135,$B$4:$B$2503,B2135,$D$4:$D$2503,D2135)&gt;1,"Duplicate row (same date)","OK"))))))</f>
        <v/>
      </c>
    </row>
    <row r="2136">
      <c r="A2136" s="26" t="n"/>
      <c r="B2136" s="26" t="n"/>
      <c r="C2136" s="34" t="n"/>
      <c r="D2136" s="28" t="n"/>
      <c r="E2136" s="26" t="n"/>
      <c r="F2136" s="26" t="n"/>
      <c r="G2136" s="26" t="n"/>
      <c r="H2136" s="38" t="n"/>
      <c r="I2136" s="28" t="n"/>
      <c r="J2136" s="30">
        <f>IF(B2136="","",IFERROR(INDEX('Share classes'!$A$4:$A$203,MATCH(B2136,'Share classes'!$B$4:$B$203,0)),""))</f>
        <v/>
      </c>
      <c r="K2136" s="30">
        <f>IF(A2136="","",IFERROR(INDEX('Holders'!$B$4:$B$1003,MATCH(A2136,'Holders'!$A$4:$A$1003,0)),""))</f>
        <v/>
      </c>
      <c r="L2136" s="30">
        <f>IF(OR(A2136="",B2136="",D2136=""),"",IF(D2136=_xlfn.MAXIFS($D$4:$D$2503,$A$4:$A$2503,A2136,$B$4:$B$2503,B2136),"Yes","No"))</f>
        <v/>
      </c>
      <c r="M2136" s="30">
        <f>IF(B2136="","",IFERROR(INDEX('Share classes'!$F$4:$F$203,MATCH(B2136,'Share classes'!$B$4:$B$203,0)),""))</f>
        <v/>
      </c>
      <c r="N2136" s="30">
        <f>IF(A2136="","",IF(K2136="","Unknown holder ID",IF(J2136="","Unknown class code",IF(OR(C2136="",D2136=""),"Missing shares or date",IF(OR(C2136&lt;0,C2136&lt;&gt;INT(C2136)),"Shares must be a whole number",IF(COUNTIFS($A$4:$A$2503,A2136,$B$4:$B$2503,B2136,$D$4:$D$2503,D2136)&gt;1,"Duplicate row (same date)","OK"))))))</f>
        <v/>
      </c>
    </row>
    <row r="2137">
      <c r="A2137" s="26" t="n"/>
      <c r="B2137" s="26" t="n"/>
      <c r="C2137" s="34" t="n"/>
      <c r="D2137" s="28" t="n"/>
      <c r="E2137" s="26" t="n"/>
      <c r="F2137" s="26" t="n"/>
      <c r="G2137" s="26" t="n"/>
      <c r="H2137" s="38" t="n"/>
      <c r="I2137" s="28" t="n"/>
      <c r="J2137" s="30">
        <f>IF(B2137="","",IFERROR(INDEX('Share classes'!$A$4:$A$203,MATCH(B2137,'Share classes'!$B$4:$B$203,0)),""))</f>
        <v/>
      </c>
      <c r="K2137" s="30">
        <f>IF(A2137="","",IFERROR(INDEX('Holders'!$B$4:$B$1003,MATCH(A2137,'Holders'!$A$4:$A$1003,0)),""))</f>
        <v/>
      </c>
      <c r="L2137" s="30">
        <f>IF(OR(A2137="",B2137="",D2137=""),"",IF(D2137=_xlfn.MAXIFS($D$4:$D$2503,$A$4:$A$2503,A2137,$B$4:$B$2503,B2137),"Yes","No"))</f>
        <v/>
      </c>
      <c r="M2137" s="30">
        <f>IF(B2137="","",IFERROR(INDEX('Share classes'!$F$4:$F$203,MATCH(B2137,'Share classes'!$B$4:$B$203,0)),""))</f>
        <v/>
      </c>
      <c r="N2137" s="30">
        <f>IF(A2137="","",IF(K2137="","Unknown holder ID",IF(J2137="","Unknown class code",IF(OR(C2137="",D2137=""),"Missing shares or date",IF(OR(C2137&lt;0,C2137&lt;&gt;INT(C2137)),"Shares must be a whole number",IF(COUNTIFS($A$4:$A$2503,A2137,$B$4:$B$2503,B2137,$D$4:$D$2503,D2137)&gt;1,"Duplicate row (same date)","OK"))))))</f>
        <v/>
      </c>
    </row>
    <row r="2138">
      <c r="A2138" s="26" t="n"/>
      <c r="B2138" s="26" t="n"/>
      <c r="C2138" s="34" t="n"/>
      <c r="D2138" s="28" t="n"/>
      <c r="E2138" s="26" t="n"/>
      <c r="F2138" s="26" t="n"/>
      <c r="G2138" s="26" t="n"/>
      <c r="H2138" s="38" t="n"/>
      <c r="I2138" s="28" t="n"/>
      <c r="J2138" s="30">
        <f>IF(B2138="","",IFERROR(INDEX('Share classes'!$A$4:$A$203,MATCH(B2138,'Share classes'!$B$4:$B$203,0)),""))</f>
        <v/>
      </c>
      <c r="K2138" s="30">
        <f>IF(A2138="","",IFERROR(INDEX('Holders'!$B$4:$B$1003,MATCH(A2138,'Holders'!$A$4:$A$1003,0)),""))</f>
        <v/>
      </c>
      <c r="L2138" s="30">
        <f>IF(OR(A2138="",B2138="",D2138=""),"",IF(D2138=_xlfn.MAXIFS($D$4:$D$2503,$A$4:$A$2503,A2138,$B$4:$B$2503,B2138),"Yes","No"))</f>
        <v/>
      </c>
      <c r="M2138" s="30">
        <f>IF(B2138="","",IFERROR(INDEX('Share classes'!$F$4:$F$203,MATCH(B2138,'Share classes'!$B$4:$B$203,0)),""))</f>
        <v/>
      </c>
      <c r="N2138" s="30">
        <f>IF(A2138="","",IF(K2138="","Unknown holder ID",IF(J2138="","Unknown class code",IF(OR(C2138="",D2138=""),"Missing shares or date",IF(OR(C2138&lt;0,C2138&lt;&gt;INT(C2138)),"Shares must be a whole number",IF(COUNTIFS($A$4:$A$2503,A2138,$B$4:$B$2503,B2138,$D$4:$D$2503,D2138)&gt;1,"Duplicate row (same date)","OK"))))))</f>
        <v/>
      </c>
    </row>
    <row r="2139">
      <c r="A2139" s="26" t="n"/>
      <c r="B2139" s="26" t="n"/>
      <c r="C2139" s="34" t="n"/>
      <c r="D2139" s="28" t="n"/>
      <c r="E2139" s="26" t="n"/>
      <c r="F2139" s="26" t="n"/>
      <c r="G2139" s="26" t="n"/>
      <c r="H2139" s="38" t="n"/>
      <c r="I2139" s="28" t="n"/>
      <c r="J2139" s="30">
        <f>IF(B2139="","",IFERROR(INDEX('Share classes'!$A$4:$A$203,MATCH(B2139,'Share classes'!$B$4:$B$203,0)),""))</f>
        <v/>
      </c>
      <c r="K2139" s="30">
        <f>IF(A2139="","",IFERROR(INDEX('Holders'!$B$4:$B$1003,MATCH(A2139,'Holders'!$A$4:$A$1003,0)),""))</f>
        <v/>
      </c>
      <c r="L2139" s="30">
        <f>IF(OR(A2139="",B2139="",D2139=""),"",IF(D2139=_xlfn.MAXIFS($D$4:$D$2503,$A$4:$A$2503,A2139,$B$4:$B$2503,B2139),"Yes","No"))</f>
        <v/>
      </c>
      <c r="M2139" s="30">
        <f>IF(B2139="","",IFERROR(INDEX('Share classes'!$F$4:$F$203,MATCH(B2139,'Share classes'!$B$4:$B$203,0)),""))</f>
        <v/>
      </c>
      <c r="N2139" s="30">
        <f>IF(A2139="","",IF(K2139="","Unknown holder ID",IF(J2139="","Unknown class code",IF(OR(C2139="",D2139=""),"Missing shares or date",IF(OR(C2139&lt;0,C2139&lt;&gt;INT(C2139)),"Shares must be a whole number",IF(COUNTIFS($A$4:$A$2503,A2139,$B$4:$B$2503,B2139,$D$4:$D$2503,D2139)&gt;1,"Duplicate row (same date)","OK"))))))</f>
        <v/>
      </c>
    </row>
    <row r="2140">
      <c r="A2140" s="26" t="n"/>
      <c r="B2140" s="26" t="n"/>
      <c r="C2140" s="34" t="n"/>
      <c r="D2140" s="28" t="n"/>
      <c r="E2140" s="26" t="n"/>
      <c r="F2140" s="26" t="n"/>
      <c r="G2140" s="26" t="n"/>
      <c r="H2140" s="38" t="n"/>
      <c r="I2140" s="28" t="n"/>
      <c r="J2140" s="30">
        <f>IF(B2140="","",IFERROR(INDEX('Share classes'!$A$4:$A$203,MATCH(B2140,'Share classes'!$B$4:$B$203,0)),""))</f>
        <v/>
      </c>
      <c r="K2140" s="30">
        <f>IF(A2140="","",IFERROR(INDEX('Holders'!$B$4:$B$1003,MATCH(A2140,'Holders'!$A$4:$A$1003,0)),""))</f>
        <v/>
      </c>
      <c r="L2140" s="30">
        <f>IF(OR(A2140="",B2140="",D2140=""),"",IF(D2140=_xlfn.MAXIFS($D$4:$D$2503,$A$4:$A$2503,A2140,$B$4:$B$2503,B2140),"Yes","No"))</f>
        <v/>
      </c>
      <c r="M2140" s="30">
        <f>IF(B2140="","",IFERROR(INDEX('Share classes'!$F$4:$F$203,MATCH(B2140,'Share classes'!$B$4:$B$203,0)),""))</f>
        <v/>
      </c>
      <c r="N2140" s="30">
        <f>IF(A2140="","",IF(K2140="","Unknown holder ID",IF(J2140="","Unknown class code",IF(OR(C2140="",D2140=""),"Missing shares or date",IF(OR(C2140&lt;0,C2140&lt;&gt;INT(C2140)),"Shares must be a whole number",IF(COUNTIFS($A$4:$A$2503,A2140,$B$4:$B$2503,B2140,$D$4:$D$2503,D2140)&gt;1,"Duplicate row (same date)","OK"))))))</f>
        <v/>
      </c>
    </row>
    <row r="2141">
      <c r="A2141" s="26" t="n"/>
      <c r="B2141" s="26" t="n"/>
      <c r="C2141" s="34" t="n"/>
      <c r="D2141" s="28" t="n"/>
      <c r="E2141" s="26" t="n"/>
      <c r="F2141" s="26" t="n"/>
      <c r="G2141" s="26" t="n"/>
      <c r="H2141" s="38" t="n"/>
      <c r="I2141" s="28" t="n"/>
      <c r="J2141" s="30">
        <f>IF(B2141="","",IFERROR(INDEX('Share classes'!$A$4:$A$203,MATCH(B2141,'Share classes'!$B$4:$B$203,0)),""))</f>
        <v/>
      </c>
      <c r="K2141" s="30">
        <f>IF(A2141="","",IFERROR(INDEX('Holders'!$B$4:$B$1003,MATCH(A2141,'Holders'!$A$4:$A$1003,0)),""))</f>
        <v/>
      </c>
      <c r="L2141" s="30">
        <f>IF(OR(A2141="",B2141="",D2141=""),"",IF(D2141=_xlfn.MAXIFS($D$4:$D$2503,$A$4:$A$2503,A2141,$B$4:$B$2503,B2141),"Yes","No"))</f>
        <v/>
      </c>
      <c r="M2141" s="30">
        <f>IF(B2141="","",IFERROR(INDEX('Share classes'!$F$4:$F$203,MATCH(B2141,'Share classes'!$B$4:$B$203,0)),""))</f>
        <v/>
      </c>
      <c r="N2141" s="30">
        <f>IF(A2141="","",IF(K2141="","Unknown holder ID",IF(J2141="","Unknown class code",IF(OR(C2141="",D2141=""),"Missing shares or date",IF(OR(C2141&lt;0,C2141&lt;&gt;INT(C2141)),"Shares must be a whole number",IF(COUNTIFS($A$4:$A$2503,A2141,$B$4:$B$2503,B2141,$D$4:$D$2503,D2141)&gt;1,"Duplicate row (same date)","OK"))))))</f>
        <v/>
      </c>
    </row>
    <row r="2142">
      <c r="A2142" s="26" t="n"/>
      <c r="B2142" s="26" t="n"/>
      <c r="C2142" s="34" t="n"/>
      <c r="D2142" s="28" t="n"/>
      <c r="E2142" s="26" t="n"/>
      <c r="F2142" s="26" t="n"/>
      <c r="G2142" s="26" t="n"/>
      <c r="H2142" s="38" t="n"/>
      <c r="I2142" s="28" t="n"/>
      <c r="J2142" s="30">
        <f>IF(B2142="","",IFERROR(INDEX('Share classes'!$A$4:$A$203,MATCH(B2142,'Share classes'!$B$4:$B$203,0)),""))</f>
        <v/>
      </c>
      <c r="K2142" s="30">
        <f>IF(A2142="","",IFERROR(INDEX('Holders'!$B$4:$B$1003,MATCH(A2142,'Holders'!$A$4:$A$1003,0)),""))</f>
        <v/>
      </c>
      <c r="L2142" s="30">
        <f>IF(OR(A2142="",B2142="",D2142=""),"",IF(D2142=_xlfn.MAXIFS($D$4:$D$2503,$A$4:$A$2503,A2142,$B$4:$B$2503,B2142),"Yes","No"))</f>
        <v/>
      </c>
      <c r="M2142" s="30">
        <f>IF(B2142="","",IFERROR(INDEX('Share classes'!$F$4:$F$203,MATCH(B2142,'Share classes'!$B$4:$B$203,0)),""))</f>
        <v/>
      </c>
      <c r="N2142" s="30">
        <f>IF(A2142="","",IF(K2142="","Unknown holder ID",IF(J2142="","Unknown class code",IF(OR(C2142="",D2142=""),"Missing shares or date",IF(OR(C2142&lt;0,C2142&lt;&gt;INT(C2142)),"Shares must be a whole number",IF(COUNTIFS($A$4:$A$2503,A2142,$B$4:$B$2503,B2142,$D$4:$D$2503,D2142)&gt;1,"Duplicate row (same date)","OK"))))))</f>
        <v/>
      </c>
    </row>
    <row r="2143">
      <c r="A2143" s="26" t="n"/>
      <c r="B2143" s="26" t="n"/>
      <c r="C2143" s="34" t="n"/>
      <c r="D2143" s="28" t="n"/>
      <c r="E2143" s="26" t="n"/>
      <c r="F2143" s="26" t="n"/>
      <c r="G2143" s="26" t="n"/>
      <c r="H2143" s="38" t="n"/>
      <c r="I2143" s="28" t="n"/>
      <c r="J2143" s="30">
        <f>IF(B2143="","",IFERROR(INDEX('Share classes'!$A$4:$A$203,MATCH(B2143,'Share classes'!$B$4:$B$203,0)),""))</f>
        <v/>
      </c>
      <c r="K2143" s="30">
        <f>IF(A2143="","",IFERROR(INDEX('Holders'!$B$4:$B$1003,MATCH(A2143,'Holders'!$A$4:$A$1003,0)),""))</f>
        <v/>
      </c>
      <c r="L2143" s="30">
        <f>IF(OR(A2143="",B2143="",D2143=""),"",IF(D2143=_xlfn.MAXIFS($D$4:$D$2503,$A$4:$A$2503,A2143,$B$4:$B$2503,B2143),"Yes","No"))</f>
        <v/>
      </c>
      <c r="M2143" s="30">
        <f>IF(B2143="","",IFERROR(INDEX('Share classes'!$F$4:$F$203,MATCH(B2143,'Share classes'!$B$4:$B$203,0)),""))</f>
        <v/>
      </c>
      <c r="N2143" s="30">
        <f>IF(A2143="","",IF(K2143="","Unknown holder ID",IF(J2143="","Unknown class code",IF(OR(C2143="",D2143=""),"Missing shares or date",IF(OR(C2143&lt;0,C2143&lt;&gt;INT(C2143)),"Shares must be a whole number",IF(COUNTIFS($A$4:$A$2503,A2143,$B$4:$B$2503,B2143,$D$4:$D$2503,D2143)&gt;1,"Duplicate row (same date)","OK"))))))</f>
        <v/>
      </c>
    </row>
    <row r="2144">
      <c r="A2144" s="26" t="n"/>
      <c r="B2144" s="26" t="n"/>
      <c r="C2144" s="34" t="n"/>
      <c r="D2144" s="28" t="n"/>
      <c r="E2144" s="26" t="n"/>
      <c r="F2144" s="26" t="n"/>
      <c r="G2144" s="26" t="n"/>
      <c r="H2144" s="38" t="n"/>
      <c r="I2144" s="28" t="n"/>
      <c r="J2144" s="30">
        <f>IF(B2144="","",IFERROR(INDEX('Share classes'!$A$4:$A$203,MATCH(B2144,'Share classes'!$B$4:$B$203,0)),""))</f>
        <v/>
      </c>
      <c r="K2144" s="30">
        <f>IF(A2144="","",IFERROR(INDEX('Holders'!$B$4:$B$1003,MATCH(A2144,'Holders'!$A$4:$A$1003,0)),""))</f>
        <v/>
      </c>
      <c r="L2144" s="30">
        <f>IF(OR(A2144="",B2144="",D2144=""),"",IF(D2144=_xlfn.MAXIFS($D$4:$D$2503,$A$4:$A$2503,A2144,$B$4:$B$2503,B2144),"Yes","No"))</f>
        <v/>
      </c>
      <c r="M2144" s="30">
        <f>IF(B2144="","",IFERROR(INDEX('Share classes'!$F$4:$F$203,MATCH(B2144,'Share classes'!$B$4:$B$203,0)),""))</f>
        <v/>
      </c>
      <c r="N2144" s="30">
        <f>IF(A2144="","",IF(K2144="","Unknown holder ID",IF(J2144="","Unknown class code",IF(OR(C2144="",D2144=""),"Missing shares or date",IF(OR(C2144&lt;0,C2144&lt;&gt;INT(C2144)),"Shares must be a whole number",IF(COUNTIFS($A$4:$A$2503,A2144,$B$4:$B$2503,B2144,$D$4:$D$2503,D2144)&gt;1,"Duplicate row (same date)","OK"))))))</f>
        <v/>
      </c>
    </row>
    <row r="2145">
      <c r="A2145" s="26" t="n"/>
      <c r="B2145" s="26" t="n"/>
      <c r="C2145" s="34" t="n"/>
      <c r="D2145" s="28" t="n"/>
      <c r="E2145" s="26" t="n"/>
      <c r="F2145" s="26" t="n"/>
      <c r="G2145" s="26" t="n"/>
      <c r="H2145" s="38" t="n"/>
      <c r="I2145" s="28" t="n"/>
      <c r="J2145" s="30">
        <f>IF(B2145="","",IFERROR(INDEX('Share classes'!$A$4:$A$203,MATCH(B2145,'Share classes'!$B$4:$B$203,0)),""))</f>
        <v/>
      </c>
      <c r="K2145" s="30">
        <f>IF(A2145="","",IFERROR(INDEX('Holders'!$B$4:$B$1003,MATCH(A2145,'Holders'!$A$4:$A$1003,0)),""))</f>
        <v/>
      </c>
      <c r="L2145" s="30">
        <f>IF(OR(A2145="",B2145="",D2145=""),"",IF(D2145=_xlfn.MAXIFS($D$4:$D$2503,$A$4:$A$2503,A2145,$B$4:$B$2503,B2145),"Yes","No"))</f>
        <v/>
      </c>
      <c r="M2145" s="30">
        <f>IF(B2145="","",IFERROR(INDEX('Share classes'!$F$4:$F$203,MATCH(B2145,'Share classes'!$B$4:$B$203,0)),""))</f>
        <v/>
      </c>
      <c r="N2145" s="30">
        <f>IF(A2145="","",IF(K2145="","Unknown holder ID",IF(J2145="","Unknown class code",IF(OR(C2145="",D2145=""),"Missing shares or date",IF(OR(C2145&lt;0,C2145&lt;&gt;INT(C2145)),"Shares must be a whole number",IF(COUNTIFS($A$4:$A$2503,A2145,$B$4:$B$2503,B2145,$D$4:$D$2503,D2145)&gt;1,"Duplicate row (same date)","OK"))))))</f>
        <v/>
      </c>
    </row>
    <row r="2146">
      <c r="A2146" s="26" t="n"/>
      <c r="B2146" s="26" t="n"/>
      <c r="C2146" s="34" t="n"/>
      <c r="D2146" s="28" t="n"/>
      <c r="E2146" s="26" t="n"/>
      <c r="F2146" s="26" t="n"/>
      <c r="G2146" s="26" t="n"/>
      <c r="H2146" s="38" t="n"/>
      <c r="I2146" s="28" t="n"/>
      <c r="J2146" s="30">
        <f>IF(B2146="","",IFERROR(INDEX('Share classes'!$A$4:$A$203,MATCH(B2146,'Share classes'!$B$4:$B$203,0)),""))</f>
        <v/>
      </c>
      <c r="K2146" s="30">
        <f>IF(A2146="","",IFERROR(INDEX('Holders'!$B$4:$B$1003,MATCH(A2146,'Holders'!$A$4:$A$1003,0)),""))</f>
        <v/>
      </c>
      <c r="L2146" s="30">
        <f>IF(OR(A2146="",B2146="",D2146=""),"",IF(D2146=_xlfn.MAXIFS($D$4:$D$2503,$A$4:$A$2503,A2146,$B$4:$B$2503,B2146),"Yes","No"))</f>
        <v/>
      </c>
      <c r="M2146" s="30">
        <f>IF(B2146="","",IFERROR(INDEX('Share classes'!$F$4:$F$203,MATCH(B2146,'Share classes'!$B$4:$B$203,0)),""))</f>
        <v/>
      </c>
      <c r="N2146" s="30">
        <f>IF(A2146="","",IF(K2146="","Unknown holder ID",IF(J2146="","Unknown class code",IF(OR(C2146="",D2146=""),"Missing shares or date",IF(OR(C2146&lt;0,C2146&lt;&gt;INT(C2146)),"Shares must be a whole number",IF(COUNTIFS($A$4:$A$2503,A2146,$B$4:$B$2503,B2146,$D$4:$D$2503,D2146)&gt;1,"Duplicate row (same date)","OK"))))))</f>
        <v/>
      </c>
    </row>
    <row r="2147">
      <c r="A2147" s="26" t="n"/>
      <c r="B2147" s="26" t="n"/>
      <c r="C2147" s="34" t="n"/>
      <c r="D2147" s="28" t="n"/>
      <c r="E2147" s="26" t="n"/>
      <c r="F2147" s="26" t="n"/>
      <c r="G2147" s="26" t="n"/>
      <c r="H2147" s="38" t="n"/>
      <c r="I2147" s="28" t="n"/>
      <c r="J2147" s="30">
        <f>IF(B2147="","",IFERROR(INDEX('Share classes'!$A$4:$A$203,MATCH(B2147,'Share classes'!$B$4:$B$203,0)),""))</f>
        <v/>
      </c>
      <c r="K2147" s="30">
        <f>IF(A2147="","",IFERROR(INDEX('Holders'!$B$4:$B$1003,MATCH(A2147,'Holders'!$A$4:$A$1003,0)),""))</f>
        <v/>
      </c>
      <c r="L2147" s="30">
        <f>IF(OR(A2147="",B2147="",D2147=""),"",IF(D2147=_xlfn.MAXIFS($D$4:$D$2503,$A$4:$A$2503,A2147,$B$4:$B$2503,B2147),"Yes","No"))</f>
        <v/>
      </c>
      <c r="M2147" s="30">
        <f>IF(B2147="","",IFERROR(INDEX('Share classes'!$F$4:$F$203,MATCH(B2147,'Share classes'!$B$4:$B$203,0)),""))</f>
        <v/>
      </c>
      <c r="N2147" s="30">
        <f>IF(A2147="","",IF(K2147="","Unknown holder ID",IF(J2147="","Unknown class code",IF(OR(C2147="",D2147=""),"Missing shares or date",IF(OR(C2147&lt;0,C2147&lt;&gt;INT(C2147)),"Shares must be a whole number",IF(COUNTIFS($A$4:$A$2503,A2147,$B$4:$B$2503,B2147,$D$4:$D$2503,D2147)&gt;1,"Duplicate row (same date)","OK"))))))</f>
        <v/>
      </c>
    </row>
    <row r="2148">
      <c r="A2148" s="26" t="n"/>
      <c r="B2148" s="26" t="n"/>
      <c r="C2148" s="34" t="n"/>
      <c r="D2148" s="28" t="n"/>
      <c r="E2148" s="26" t="n"/>
      <c r="F2148" s="26" t="n"/>
      <c r="G2148" s="26" t="n"/>
      <c r="H2148" s="38" t="n"/>
      <c r="I2148" s="28" t="n"/>
      <c r="J2148" s="30">
        <f>IF(B2148="","",IFERROR(INDEX('Share classes'!$A$4:$A$203,MATCH(B2148,'Share classes'!$B$4:$B$203,0)),""))</f>
        <v/>
      </c>
      <c r="K2148" s="30">
        <f>IF(A2148="","",IFERROR(INDEX('Holders'!$B$4:$B$1003,MATCH(A2148,'Holders'!$A$4:$A$1003,0)),""))</f>
        <v/>
      </c>
      <c r="L2148" s="30">
        <f>IF(OR(A2148="",B2148="",D2148=""),"",IF(D2148=_xlfn.MAXIFS($D$4:$D$2503,$A$4:$A$2503,A2148,$B$4:$B$2503,B2148),"Yes","No"))</f>
        <v/>
      </c>
      <c r="M2148" s="30">
        <f>IF(B2148="","",IFERROR(INDEX('Share classes'!$F$4:$F$203,MATCH(B2148,'Share classes'!$B$4:$B$203,0)),""))</f>
        <v/>
      </c>
      <c r="N2148" s="30">
        <f>IF(A2148="","",IF(K2148="","Unknown holder ID",IF(J2148="","Unknown class code",IF(OR(C2148="",D2148=""),"Missing shares or date",IF(OR(C2148&lt;0,C2148&lt;&gt;INT(C2148)),"Shares must be a whole number",IF(COUNTIFS($A$4:$A$2503,A2148,$B$4:$B$2503,B2148,$D$4:$D$2503,D2148)&gt;1,"Duplicate row (same date)","OK"))))))</f>
        <v/>
      </c>
    </row>
    <row r="2149">
      <c r="A2149" s="26" t="n"/>
      <c r="B2149" s="26" t="n"/>
      <c r="C2149" s="34" t="n"/>
      <c r="D2149" s="28" t="n"/>
      <c r="E2149" s="26" t="n"/>
      <c r="F2149" s="26" t="n"/>
      <c r="G2149" s="26" t="n"/>
      <c r="H2149" s="38" t="n"/>
      <c r="I2149" s="28" t="n"/>
      <c r="J2149" s="30">
        <f>IF(B2149="","",IFERROR(INDEX('Share classes'!$A$4:$A$203,MATCH(B2149,'Share classes'!$B$4:$B$203,0)),""))</f>
        <v/>
      </c>
      <c r="K2149" s="30">
        <f>IF(A2149="","",IFERROR(INDEX('Holders'!$B$4:$B$1003,MATCH(A2149,'Holders'!$A$4:$A$1003,0)),""))</f>
        <v/>
      </c>
      <c r="L2149" s="30">
        <f>IF(OR(A2149="",B2149="",D2149=""),"",IF(D2149=_xlfn.MAXIFS($D$4:$D$2503,$A$4:$A$2503,A2149,$B$4:$B$2503,B2149),"Yes","No"))</f>
        <v/>
      </c>
      <c r="M2149" s="30">
        <f>IF(B2149="","",IFERROR(INDEX('Share classes'!$F$4:$F$203,MATCH(B2149,'Share classes'!$B$4:$B$203,0)),""))</f>
        <v/>
      </c>
      <c r="N2149" s="30">
        <f>IF(A2149="","",IF(K2149="","Unknown holder ID",IF(J2149="","Unknown class code",IF(OR(C2149="",D2149=""),"Missing shares or date",IF(OR(C2149&lt;0,C2149&lt;&gt;INT(C2149)),"Shares must be a whole number",IF(COUNTIFS($A$4:$A$2503,A2149,$B$4:$B$2503,B2149,$D$4:$D$2503,D2149)&gt;1,"Duplicate row (same date)","OK"))))))</f>
        <v/>
      </c>
    </row>
    <row r="2150">
      <c r="A2150" s="26" t="n"/>
      <c r="B2150" s="26" t="n"/>
      <c r="C2150" s="34" t="n"/>
      <c r="D2150" s="28" t="n"/>
      <c r="E2150" s="26" t="n"/>
      <c r="F2150" s="26" t="n"/>
      <c r="G2150" s="26" t="n"/>
      <c r="H2150" s="38" t="n"/>
      <c r="I2150" s="28" t="n"/>
      <c r="J2150" s="30">
        <f>IF(B2150="","",IFERROR(INDEX('Share classes'!$A$4:$A$203,MATCH(B2150,'Share classes'!$B$4:$B$203,0)),""))</f>
        <v/>
      </c>
      <c r="K2150" s="30">
        <f>IF(A2150="","",IFERROR(INDEX('Holders'!$B$4:$B$1003,MATCH(A2150,'Holders'!$A$4:$A$1003,0)),""))</f>
        <v/>
      </c>
      <c r="L2150" s="30">
        <f>IF(OR(A2150="",B2150="",D2150=""),"",IF(D2150=_xlfn.MAXIFS($D$4:$D$2503,$A$4:$A$2503,A2150,$B$4:$B$2503,B2150),"Yes","No"))</f>
        <v/>
      </c>
      <c r="M2150" s="30">
        <f>IF(B2150="","",IFERROR(INDEX('Share classes'!$F$4:$F$203,MATCH(B2150,'Share classes'!$B$4:$B$203,0)),""))</f>
        <v/>
      </c>
      <c r="N2150" s="30">
        <f>IF(A2150="","",IF(K2150="","Unknown holder ID",IF(J2150="","Unknown class code",IF(OR(C2150="",D2150=""),"Missing shares or date",IF(OR(C2150&lt;0,C2150&lt;&gt;INT(C2150)),"Shares must be a whole number",IF(COUNTIFS($A$4:$A$2503,A2150,$B$4:$B$2503,B2150,$D$4:$D$2503,D2150)&gt;1,"Duplicate row (same date)","OK"))))))</f>
        <v/>
      </c>
    </row>
    <row r="2151">
      <c r="A2151" s="26" t="n"/>
      <c r="B2151" s="26" t="n"/>
      <c r="C2151" s="34" t="n"/>
      <c r="D2151" s="28" t="n"/>
      <c r="E2151" s="26" t="n"/>
      <c r="F2151" s="26" t="n"/>
      <c r="G2151" s="26" t="n"/>
      <c r="H2151" s="38" t="n"/>
      <c r="I2151" s="28" t="n"/>
      <c r="J2151" s="30">
        <f>IF(B2151="","",IFERROR(INDEX('Share classes'!$A$4:$A$203,MATCH(B2151,'Share classes'!$B$4:$B$203,0)),""))</f>
        <v/>
      </c>
      <c r="K2151" s="30">
        <f>IF(A2151="","",IFERROR(INDEX('Holders'!$B$4:$B$1003,MATCH(A2151,'Holders'!$A$4:$A$1003,0)),""))</f>
        <v/>
      </c>
      <c r="L2151" s="30">
        <f>IF(OR(A2151="",B2151="",D2151=""),"",IF(D2151=_xlfn.MAXIFS($D$4:$D$2503,$A$4:$A$2503,A2151,$B$4:$B$2503,B2151),"Yes","No"))</f>
        <v/>
      </c>
      <c r="M2151" s="30">
        <f>IF(B2151="","",IFERROR(INDEX('Share classes'!$F$4:$F$203,MATCH(B2151,'Share classes'!$B$4:$B$203,0)),""))</f>
        <v/>
      </c>
      <c r="N2151" s="30">
        <f>IF(A2151="","",IF(K2151="","Unknown holder ID",IF(J2151="","Unknown class code",IF(OR(C2151="",D2151=""),"Missing shares or date",IF(OR(C2151&lt;0,C2151&lt;&gt;INT(C2151)),"Shares must be a whole number",IF(COUNTIFS($A$4:$A$2503,A2151,$B$4:$B$2503,B2151,$D$4:$D$2503,D2151)&gt;1,"Duplicate row (same date)","OK"))))))</f>
        <v/>
      </c>
    </row>
    <row r="2152">
      <c r="A2152" s="26" t="n"/>
      <c r="B2152" s="26" t="n"/>
      <c r="C2152" s="34" t="n"/>
      <c r="D2152" s="28" t="n"/>
      <c r="E2152" s="26" t="n"/>
      <c r="F2152" s="26" t="n"/>
      <c r="G2152" s="26" t="n"/>
      <c r="H2152" s="38" t="n"/>
      <c r="I2152" s="28" t="n"/>
      <c r="J2152" s="30">
        <f>IF(B2152="","",IFERROR(INDEX('Share classes'!$A$4:$A$203,MATCH(B2152,'Share classes'!$B$4:$B$203,0)),""))</f>
        <v/>
      </c>
      <c r="K2152" s="30">
        <f>IF(A2152="","",IFERROR(INDEX('Holders'!$B$4:$B$1003,MATCH(A2152,'Holders'!$A$4:$A$1003,0)),""))</f>
        <v/>
      </c>
      <c r="L2152" s="30">
        <f>IF(OR(A2152="",B2152="",D2152=""),"",IF(D2152=_xlfn.MAXIFS($D$4:$D$2503,$A$4:$A$2503,A2152,$B$4:$B$2503,B2152),"Yes","No"))</f>
        <v/>
      </c>
      <c r="M2152" s="30">
        <f>IF(B2152="","",IFERROR(INDEX('Share classes'!$F$4:$F$203,MATCH(B2152,'Share classes'!$B$4:$B$203,0)),""))</f>
        <v/>
      </c>
      <c r="N2152" s="30">
        <f>IF(A2152="","",IF(K2152="","Unknown holder ID",IF(J2152="","Unknown class code",IF(OR(C2152="",D2152=""),"Missing shares or date",IF(OR(C2152&lt;0,C2152&lt;&gt;INT(C2152)),"Shares must be a whole number",IF(COUNTIFS($A$4:$A$2503,A2152,$B$4:$B$2503,B2152,$D$4:$D$2503,D2152)&gt;1,"Duplicate row (same date)","OK"))))))</f>
        <v/>
      </c>
    </row>
    <row r="2153">
      <c r="A2153" s="26" t="n"/>
      <c r="B2153" s="26" t="n"/>
      <c r="C2153" s="34" t="n"/>
      <c r="D2153" s="28" t="n"/>
      <c r="E2153" s="26" t="n"/>
      <c r="F2153" s="26" t="n"/>
      <c r="G2153" s="26" t="n"/>
      <c r="H2153" s="38" t="n"/>
      <c r="I2153" s="28" t="n"/>
      <c r="J2153" s="30">
        <f>IF(B2153="","",IFERROR(INDEX('Share classes'!$A$4:$A$203,MATCH(B2153,'Share classes'!$B$4:$B$203,0)),""))</f>
        <v/>
      </c>
      <c r="K2153" s="30">
        <f>IF(A2153="","",IFERROR(INDEX('Holders'!$B$4:$B$1003,MATCH(A2153,'Holders'!$A$4:$A$1003,0)),""))</f>
        <v/>
      </c>
      <c r="L2153" s="30">
        <f>IF(OR(A2153="",B2153="",D2153=""),"",IF(D2153=_xlfn.MAXIFS($D$4:$D$2503,$A$4:$A$2503,A2153,$B$4:$B$2503,B2153),"Yes","No"))</f>
        <v/>
      </c>
      <c r="M2153" s="30">
        <f>IF(B2153="","",IFERROR(INDEX('Share classes'!$F$4:$F$203,MATCH(B2153,'Share classes'!$B$4:$B$203,0)),""))</f>
        <v/>
      </c>
      <c r="N2153" s="30">
        <f>IF(A2153="","",IF(K2153="","Unknown holder ID",IF(J2153="","Unknown class code",IF(OR(C2153="",D2153=""),"Missing shares or date",IF(OR(C2153&lt;0,C2153&lt;&gt;INT(C2153)),"Shares must be a whole number",IF(COUNTIFS($A$4:$A$2503,A2153,$B$4:$B$2503,B2153,$D$4:$D$2503,D2153)&gt;1,"Duplicate row (same date)","OK"))))))</f>
        <v/>
      </c>
    </row>
    <row r="2154">
      <c r="A2154" s="26" t="n"/>
      <c r="B2154" s="26" t="n"/>
      <c r="C2154" s="34" t="n"/>
      <c r="D2154" s="28" t="n"/>
      <c r="E2154" s="26" t="n"/>
      <c r="F2154" s="26" t="n"/>
      <c r="G2154" s="26" t="n"/>
      <c r="H2154" s="38" t="n"/>
      <c r="I2154" s="28" t="n"/>
      <c r="J2154" s="30">
        <f>IF(B2154="","",IFERROR(INDEX('Share classes'!$A$4:$A$203,MATCH(B2154,'Share classes'!$B$4:$B$203,0)),""))</f>
        <v/>
      </c>
      <c r="K2154" s="30">
        <f>IF(A2154="","",IFERROR(INDEX('Holders'!$B$4:$B$1003,MATCH(A2154,'Holders'!$A$4:$A$1003,0)),""))</f>
        <v/>
      </c>
      <c r="L2154" s="30">
        <f>IF(OR(A2154="",B2154="",D2154=""),"",IF(D2154=_xlfn.MAXIFS($D$4:$D$2503,$A$4:$A$2503,A2154,$B$4:$B$2503,B2154),"Yes","No"))</f>
        <v/>
      </c>
      <c r="M2154" s="30">
        <f>IF(B2154="","",IFERROR(INDEX('Share classes'!$F$4:$F$203,MATCH(B2154,'Share classes'!$B$4:$B$203,0)),""))</f>
        <v/>
      </c>
      <c r="N2154" s="30">
        <f>IF(A2154="","",IF(K2154="","Unknown holder ID",IF(J2154="","Unknown class code",IF(OR(C2154="",D2154=""),"Missing shares or date",IF(OR(C2154&lt;0,C2154&lt;&gt;INT(C2154)),"Shares must be a whole number",IF(COUNTIFS($A$4:$A$2503,A2154,$B$4:$B$2503,B2154,$D$4:$D$2503,D2154)&gt;1,"Duplicate row (same date)","OK"))))))</f>
        <v/>
      </c>
    </row>
    <row r="2155">
      <c r="A2155" s="26" t="n"/>
      <c r="B2155" s="26" t="n"/>
      <c r="C2155" s="34" t="n"/>
      <c r="D2155" s="28" t="n"/>
      <c r="E2155" s="26" t="n"/>
      <c r="F2155" s="26" t="n"/>
      <c r="G2155" s="26" t="n"/>
      <c r="H2155" s="38" t="n"/>
      <c r="I2155" s="28" t="n"/>
      <c r="J2155" s="30">
        <f>IF(B2155="","",IFERROR(INDEX('Share classes'!$A$4:$A$203,MATCH(B2155,'Share classes'!$B$4:$B$203,0)),""))</f>
        <v/>
      </c>
      <c r="K2155" s="30">
        <f>IF(A2155="","",IFERROR(INDEX('Holders'!$B$4:$B$1003,MATCH(A2155,'Holders'!$A$4:$A$1003,0)),""))</f>
        <v/>
      </c>
      <c r="L2155" s="30">
        <f>IF(OR(A2155="",B2155="",D2155=""),"",IF(D2155=_xlfn.MAXIFS($D$4:$D$2503,$A$4:$A$2503,A2155,$B$4:$B$2503,B2155),"Yes","No"))</f>
        <v/>
      </c>
      <c r="M2155" s="30">
        <f>IF(B2155="","",IFERROR(INDEX('Share classes'!$F$4:$F$203,MATCH(B2155,'Share classes'!$B$4:$B$203,0)),""))</f>
        <v/>
      </c>
      <c r="N2155" s="30">
        <f>IF(A2155="","",IF(K2155="","Unknown holder ID",IF(J2155="","Unknown class code",IF(OR(C2155="",D2155=""),"Missing shares or date",IF(OR(C2155&lt;0,C2155&lt;&gt;INT(C2155)),"Shares must be a whole number",IF(COUNTIFS($A$4:$A$2503,A2155,$B$4:$B$2503,B2155,$D$4:$D$2503,D2155)&gt;1,"Duplicate row (same date)","OK"))))))</f>
        <v/>
      </c>
    </row>
    <row r="2156">
      <c r="A2156" s="26" t="n"/>
      <c r="B2156" s="26" t="n"/>
      <c r="C2156" s="34" t="n"/>
      <c r="D2156" s="28" t="n"/>
      <c r="E2156" s="26" t="n"/>
      <c r="F2156" s="26" t="n"/>
      <c r="G2156" s="26" t="n"/>
      <c r="H2156" s="38" t="n"/>
      <c r="I2156" s="28" t="n"/>
      <c r="J2156" s="30">
        <f>IF(B2156="","",IFERROR(INDEX('Share classes'!$A$4:$A$203,MATCH(B2156,'Share classes'!$B$4:$B$203,0)),""))</f>
        <v/>
      </c>
      <c r="K2156" s="30">
        <f>IF(A2156="","",IFERROR(INDEX('Holders'!$B$4:$B$1003,MATCH(A2156,'Holders'!$A$4:$A$1003,0)),""))</f>
        <v/>
      </c>
      <c r="L2156" s="30">
        <f>IF(OR(A2156="",B2156="",D2156=""),"",IF(D2156=_xlfn.MAXIFS($D$4:$D$2503,$A$4:$A$2503,A2156,$B$4:$B$2503,B2156),"Yes","No"))</f>
        <v/>
      </c>
      <c r="M2156" s="30">
        <f>IF(B2156="","",IFERROR(INDEX('Share classes'!$F$4:$F$203,MATCH(B2156,'Share classes'!$B$4:$B$203,0)),""))</f>
        <v/>
      </c>
      <c r="N2156" s="30">
        <f>IF(A2156="","",IF(K2156="","Unknown holder ID",IF(J2156="","Unknown class code",IF(OR(C2156="",D2156=""),"Missing shares or date",IF(OR(C2156&lt;0,C2156&lt;&gt;INT(C2156)),"Shares must be a whole number",IF(COUNTIFS($A$4:$A$2503,A2156,$B$4:$B$2503,B2156,$D$4:$D$2503,D2156)&gt;1,"Duplicate row (same date)","OK"))))))</f>
        <v/>
      </c>
    </row>
    <row r="2157">
      <c r="A2157" s="26" t="n"/>
      <c r="B2157" s="26" t="n"/>
      <c r="C2157" s="34" t="n"/>
      <c r="D2157" s="28" t="n"/>
      <c r="E2157" s="26" t="n"/>
      <c r="F2157" s="26" t="n"/>
      <c r="G2157" s="26" t="n"/>
      <c r="H2157" s="38" t="n"/>
      <c r="I2157" s="28" t="n"/>
      <c r="J2157" s="30">
        <f>IF(B2157="","",IFERROR(INDEX('Share classes'!$A$4:$A$203,MATCH(B2157,'Share classes'!$B$4:$B$203,0)),""))</f>
        <v/>
      </c>
      <c r="K2157" s="30">
        <f>IF(A2157="","",IFERROR(INDEX('Holders'!$B$4:$B$1003,MATCH(A2157,'Holders'!$A$4:$A$1003,0)),""))</f>
        <v/>
      </c>
      <c r="L2157" s="30">
        <f>IF(OR(A2157="",B2157="",D2157=""),"",IF(D2157=_xlfn.MAXIFS($D$4:$D$2503,$A$4:$A$2503,A2157,$B$4:$B$2503,B2157),"Yes","No"))</f>
        <v/>
      </c>
      <c r="M2157" s="30">
        <f>IF(B2157="","",IFERROR(INDEX('Share classes'!$F$4:$F$203,MATCH(B2157,'Share classes'!$B$4:$B$203,0)),""))</f>
        <v/>
      </c>
      <c r="N2157" s="30">
        <f>IF(A2157="","",IF(K2157="","Unknown holder ID",IF(J2157="","Unknown class code",IF(OR(C2157="",D2157=""),"Missing shares or date",IF(OR(C2157&lt;0,C2157&lt;&gt;INT(C2157)),"Shares must be a whole number",IF(COUNTIFS($A$4:$A$2503,A2157,$B$4:$B$2503,B2157,$D$4:$D$2503,D2157)&gt;1,"Duplicate row (same date)","OK"))))))</f>
        <v/>
      </c>
    </row>
    <row r="2158">
      <c r="A2158" s="26" t="n"/>
      <c r="B2158" s="26" t="n"/>
      <c r="C2158" s="34" t="n"/>
      <c r="D2158" s="28" t="n"/>
      <c r="E2158" s="26" t="n"/>
      <c r="F2158" s="26" t="n"/>
      <c r="G2158" s="26" t="n"/>
      <c r="H2158" s="38" t="n"/>
      <c r="I2158" s="28" t="n"/>
      <c r="J2158" s="30">
        <f>IF(B2158="","",IFERROR(INDEX('Share classes'!$A$4:$A$203,MATCH(B2158,'Share classes'!$B$4:$B$203,0)),""))</f>
        <v/>
      </c>
      <c r="K2158" s="30">
        <f>IF(A2158="","",IFERROR(INDEX('Holders'!$B$4:$B$1003,MATCH(A2158,'Holders'!$A$4:$A$1003,0)),""))</f>
        <v/>
      </c>
      <c r="L2158" s="30">
        <f>IF(OR(A2158="",B2158="",D2158=""),"",IF(D2158=_xlfn.MAXIFS($D$4:$D$2503,$A$4:$A$2503,A2158,$B$4:$B$2503,B2158),"Yes","No"))</f>
        <v/>
      </c>
      <c r="M2158" s="30">
        <f>IF(B2158="","",IFERROR(INDEX('Share classes'!$F$4:$F$203,MATCH(B2158,'Share classes'!$B$4:$B$203,0)),""))</f>
        <v/>
      </c>
      <c r="N2158" s="30">
        <f>IF(A2158="","",IF(K2158="","Unknown holder ID",IF(J2158="","Unknown class code",IF(OR(C2158="",D2158=""),"Missing shares or date",IF(OR(C2158&lt;0,C2158&lt;&gt;INT(C2158)),"Shares must be a whole number",IF(COUNTIFS($A$4:$A$2503,A2158,$B$4:$B$2503,B2158,$D$4:$D$2503,D2158)&gt;1,"Duplicate row (same date)","OK"))))))</f>
        <v/>
      </c>
    </row>
    <row r="2159">
      <c r="A2159" s="26" t="n"/>
      <c r="B2159" s="26" t="n"/>
      <c r="C2159" s="34" t="n"/>
      <c r="D2159" s="28" t="n"/>
      <c r="E2159" s="26" t="n"/>
      <c r="F2159" s="26" t="n"/>
      <c r="G2159" s="26" t="n"/>
      <c r="H2159" s="38" t="n"/>
      <c r="I2159" s="28" t="n"/>
      <c r="J2159" s="30">
        <f>IF(B2159="","",IFERROR(INDEX('Share classes'!$A$4:$A$203,MATCH(B2159,'Share classes'!$B$4:$B$203,0)),""))</f>
        <v/>
      </c>
      <c r="K2159" s="30">
        <f>IF(A2159="","",IFERROR(INDEX('Holders'!$B$4:$B$1003,MATCH(A2159,'Holders'!$A$4:$A$1003,0)),""))</f>
        <v/>
      </c>
      <c r="L2159" s="30">
        <f>IF(OR(A2159="",B2159="",D2159=""),"",IF(D2159=_xlfn.MAXIFS($D$4:$D$2503,$A$4:$A$2503,A2159,$B$4:$B$2503,B2159),"Yes","No"))</f>
        <v/>
      </c>
      <c r="M2159" s="30">
        <f>IF(B2159="","",IFERROR(INDEX('Share classes'!$F$4:$F$203,MATCH(B2159,'Share classes'!$B$4:$B$203,0)),""))</f>
        <v/>
      </c>
      <c r="N2159" s="30">
        <f>IF(A2159="","",IF(K2159="","Unknown holder ID",IF(J2159="","Unknown class code",IF(OR(C2159="",D2159=""),"Missing shares or date",IF(OR(C2159&lt;0,C2159&lt;&gt;INT(C2159)),"Shares must be a whole number",IF(COUNTIFS($A$4:$A$2503,A2159,$B$4:$B$2503,B2159,$D$4:$D$2503,D2159)&gt;1,"Duplicate row (same date)","OK"))))))</f>
        <v/>
      </c>
    </row>
    <row r="2160">
      <c r="A2160" s="26" t="n"/>
      <c r="B2160" s="26" t="n"/>
      <c r="C2160" s="34" t="n"/>
      <c r="D2160" s="28" t="n"/>
      <c r="E2160" s="26" t="n"/>
      <c r="F2160" s="26" t="n"/>
      <c r="G2160" s="26" t="n"/>
      <c r="H2160" s="38" t="n"/>
      <c r="I2160" s="28" t="n"/>
      <c r="J2160" s="30">
        <f>IF(B2160="","",IFERROR(INDEX('Share classes'!$A$4:$A$203,MATCH(B2160,'Share classes'!$B$4:$B$203,0)),""))</f>
        <v/>
      </c>
      <c r="K2160" s="30">
        <f>IF(A2160="","",IFERROR(INDEX('Holders'!$B$4:$B$1003,MATCH(A2160,'Holders'!$A$4:$A$1003,0)),""))</f>
        <v/>
      </c>
      <c r="L2160" s="30">
        <f>IF(OR(A2160="",B2160="",D2160=""),"",IF(D2160=_xlfn.MAXIFS($D$4:$D$2503,$A$4:$A$2503,A2160,$B$4:$B$2503,B2160),"Yes","No"))</f>
        <v/>
      </c>
      <c r="M2160" s="30">
        <f>IF(B2160="","",IFERROR(INDEX('Share classes'!$F$4:$F$203,MATCH(B2160,'Share classes'!$B$4:$B$203,0)),""))</f>
        <v/>
      </c>
      <c r="N2160" s="30">
        <f>IF(A2160="","",IF(K2160="","Unknown holder ID",IF(J2160="","Unknown class code",IF(OR(C2160="",D2160=""),"Missing shares or date",IF(OR(C2160&lt;0,C2160&lt;&gt;INT(C2160)),"Shares must be a whole number",IF(COUNTIFS($A$4:$A$2503,A2160,$B$4:$B$2503,B2160,$D$4:$D$2503,D2160)&gt;1,"Duplicate row (same date)","OK"))))))</f>
        <v/>
      </c>
    </row>
    <row r="2161">
      <c r="A2161" s="26" t="n"/>
      <c r="B2161" s="26" t="n"/>
      <c r="C2161" s="34" t="n"/>
      <c r="D2161" s="28" t="n"/>
      <c r="E2161" s="26" t="n"/>
      <c r="F2161" s="26" t="n"/>
      <c r="G2161" s="26" t="n"/>
      <c r="H2161" s="38" t="n"/>
      <c r="I2161" s="28" t="n"/>
      <c r="J2161" s="30">
        <f>IF(B2161="","",IFERROR(INDEX('Share classes'!$A$4:$A$203,MATCH(B2161,'Share classes'!$B$4:$B$203,0)),""))</f>
        <v/>
      </c>
      <c r="K2161" s="30">
        <f>IF(A2161="","",IFERROR(INDEX('Holders'!$B$4:$B$1003,MATCH(A2161,'Holders'!$A$4:$A$1003,0)),""))</f>
        <v/>
      </c>
      <c r="L2161" s="30">
        <f>IF(OR(A2161="",B2161="",D2161=""),"",IF(D2161=_xlfn.MAXIFS($D$4:$D$2503,$A$4:$A$2503,A2161,$B$4:$B$2503,B2161),"Yes","No"))</f>
        <v/>
      </c>
      <c r="M2161" s="30">
        <f>IF(B2161="","",IFERROR(INDEX('Share classes'!$F$4:$F$203,MATCH(B2161,'Share classes'!$B$4:$B$203,0)),""))</f>
        <v/>
      </c>
      <c r="N2161" s="30">
        <f>IF(A2161="","",IF(K2161="","Unknown holder ID",IF(J2161="","Unknown class code",IF(OR(C2161="",D2161=""),"Missing shares or date",IF(OR(C2161&lt;0,C2161&lt;&gt;INT(C2161)),"Shares must be a whole number",IF(COUNTIFS($A$4:$A$2503,A2161,$B$4:$B$2503,B2161,$D$4:$D$2503,D2161)&gt;1,"Duplicate row (same date)","OK"))))))</f>
        <v/>
      </c>
    </row>
    <row r="2162">
      <c r="A2162" s="26" t="n"/>
      <c r="B2162" s="26" t="n"/>
      <c r="C2162" s="34" t="n"/>
      <c r="D2162" s="28" t="n"/>
      <c r="E2162" s="26" t="n"/>
      <c r="F2162" s="26" t="n"/>
      <c r="G2162" s="26" t="n"/>
      <c r="H2162" s="38" t="n"/>
      <c r="I2162" s="28" t="n"/>
      <c r="J2162" s="30">
        <f>IF(B2162="","",IFERROR(INDEX('Share classes'!$A$4:$A$203,MATCH(B2162,'Share classes'!$B$4:$B$203,0)),""))</f>
        <v/>
      </c>
      <c r="K2162" s="30">
        <f>IF(A2162="","",IFERROR(INDEX('Holders'!$B$4:$B$1003,MATCH(A2162,'Holders'!$A$4:$A$1003,0)),""))</f>
        <v/>
      </c>
      <c r="L2162" s="30">
        <f>IF(OR(A2162="",B2162="",D2162=""),"",IF(D2162=_xlfn.MAXIFS($D$4:$D$2503,$A$4:$A$2503,A2162,$B$4:$B$2503,B2162),"Yes","No"))</f>
        <v/>
      </c>
      <c r="M2162" s="30">
        <f>IF(B2162="","",IFERROR(INDEX('Share classes'!$F$4:$F$203,MATCH(B2162,'Share classes'!$B$4:$B$203,0)),""))</f>
        <v/>
      </c>
      <c r="N2162" s="30">
        <f>IF(A2162="","",IF(K2162="","Unknown holder ID",IF(J2162="","Unknown class code",IF(OR(C2162="",D2162=""),"Missing shares or date",IF(OR(C2162&lt;0,C2162&lt;&gt;INT(C2162)),"Shares must be a whole number",IF(COUNTIFS($A$4:$A$2503,A2162,$B$4:$B$2503,B2162,$D$4:$D$2503,D2162)&gt;1,"Duplicate row (same date)","OK"))))))</f>
        <v/>
      </c>
    </row>
    <row r="2163">
      <c r="A2163" s="26" t="n"/>
      <c r="B2163" s="26" t="n"/>
      <c r="C2163" s="34" t="n"/>
      <c r="D2163" s="28" t="n"/>
      <c r="E2163" s="26" t="n"/>
      <c r="F2163" s="26" t="n"/>
      <c r="G2163" s="26" t="n"/>
      <c r="H2163" s="38" t="n"/>
      <c r="I2163" s="28" t="n"/>
      <c r="J2163" s="30">
        <f>IF(B2163="","",IFERROR(INDEX('Share classes'!$A$4:$A$203,MATCH(B2163,'Share classes'!$B$4:$B$203,0)),""))</f>
        <v/>
      </c>
      <c r="K2163" s="30">
        <f>IF(A2163="","",IFERROR(INDEX('Holders'!$B$4:$B$1003,MATCH(A2163,'Holders'!$A$4:$A$1003,0)),""))</f>
        <v/>
      </c>
      <c r="L2163" s="30">
        <f>IF(OR(A2163="",B2163="",D2163=""),"",IF(D2163=_xlfn.MAXIFS($D$4:$D$2503,$A$4:$A$2503,A2163,$B$4:$B$2503,B2163),"Yes","No"))</f>
        <v/>
      </c>
      <c r="M2163" s="30">
        <f>IF(B2163="","",IFERROR(INDEX('Share classes'!$F$4:$F$203,MATCH(B2163,'Share classes'!$B$4:$B$203,0)),""))</f>
        <v/>
      </c>
      <c r="N2163" s="30">
        <f>IF(A2163="","",IF(K2163="","Unknown holder ID",IF(J2163="","Unknown class code",IF(OR(C2163="",D2163=""),"Missing shares or date",IF(OR(C2163&lt;0,C2163&lt;&gt;INT(C2163)),"Shares must be a whole number",IF(COUNTIFS($A$4:$A$2503,A2163,$B$4:$B$2503,B2163,$D$4:$D$2503,D2163)&gt;1,"Duplicate row (same date)","OK"))))))</f>
        <v/>
      </c>
    </row>
    <row r="2164">
      <c r="A2164" s="26" t="n"/>
      <c r="B2164" s="26" t="n"/>
      <c r="C2164" s="34" t="n"/>
      <c r="D2164" s="28" t="n"/>
      <c r="E2164" s="26" t="n"/>
      <c r="F2164" s="26" t="n"/>
      <c r="G2164" s="26" t="n"/>
      <c r="H2164" s="38" t="n"/>
      <c r="I2164" s="28" t="n"/>
      <c r="J2164" s="30">
        <f>IF(B2164="","",IFERROR(INDEX('Share classes'!$A$4:$A$203,MATCH(B2164,'Share classes'!$B$4:$B$203,0)),""))</f>
        <v/>
      </c>
      <c r="K2164" s="30">
        <f>IF(A2164="","",IFERROR(INDEX('Holders'!$B$4:$B$1003,MATCH(A2164,'Holders'!$A$4:$A$1003,0)),""))</f>
        <v/>
      </c>
      <c r="L2164" s="30">
        <f>IF(OR(A2164="",B2164="",D2164=""),"",IF(D2164=_xlfn.MAXIFS($D$4:$D$2503,$A$4:$A$2503,A2164,$B$4:$B$2503,B2164),"Yes","No"))</f>
        <v/>
      </c>
      <c r="M2164" s="30">
        <f>IF(B2164="","",IFERROR(INDEX('Share classes'!$F$4:$F$203,MATCH(B2164,'Share classes'!$B$4:$B$203,0)),""))</f>
        <v/>
      </c>
      <c r="N2164" s="30">
        <f>IF(A2164="","",IF(K2164="","Unknown holder ID",IF(J2164="","Unknown class code",IF(OR(C2164="",D2164=""),"Missing shares or date",IF(OR(C2164&lt;0,C2164&lt;&gt;INT(C2164)),"Shares must be a whole number",IF(COUNTIFS($A$4:$A$2503,A2164,$B$4:$B$2503,B2164,$D$4:$D$2503,D2164)&gt;1,"Duplicate row (same date)","OK"))))))</f>
        <v/>
      </c>
    </row>
    <row r="2165">
      <c r="A2165" s="26" t="n"/>
      <c r="B2165" s="26" t="n"/>
      <c r="C2165" s="34" t="n"/>
      <c r="D2165" s="28" t="n"/>
      <c r="E2165" s="26" t="n"/>
      <c r="F2165" s="26" t="n"/>
      <c r="G2165" s="26" t="n"/>
      <c r="H2165" s="38" t="n"/>
      <c r="I2165" s="28" t="n"/>
      <c r="J2165" s="30">
        <f>IF(B2165="","",IFERROR(INDEX('Share classes'!$A$4:$A$203,MATCH(B2165,'Share classes'!$B$4:$B$203,0)),""))</f>
        <v/>
      </c>
      <c r="K2165" s="30">
        <f>IF(A2165="","",IFERROR(INDEX('Holders'!$B$4:$B$1003,MATCH(A2165,'Holders'!$A$4:$A$1003,0)),""))</f>
        <v/>
      </c>
      <c r="L2165" s="30">
        <f>IF(OR(A2165="",B2165="",D2165=""),"",IF(D2165=_xlfn.MAXIFS($D$4:$D$2503,$A$4:$A$2503,A2165,$B$4:$B$2503,B2165),"Yes","No"))</f>
        <v/>
      </c>
      <c r="M2165" s="30">
        <f>IF(B2165="","",IFERROR(INDEX('Share classes'!$F$4:$F$203,MATCH(B2165,'Share classes'!$B$4:$B$203,0)),""))</f>
        <v/>
      </c>
      <c r="N2165" s="30">
        <f>IF(A2165="","",IF(K2165="","Unknown holder ID",IF(J2165="","Unknown class code",IF(OR(C2165="",D2165=""),"Missing shares or date",IF(OR(C2165&lt;0,C2165&lt;&gt;INT(C2165)),"Shares must be a whole number",IF(COUNTIFS($A$4:$A$2503,A2165,$B$4:$B$2503,B2165,$D$4:$D$2503,D2165)&gt;1,"Duplicate row (same date)","OK"))))))</f>
        <v/>
      </c>
    </row>
    <row r="2166">
      <c r="A2166" s="26" t="n"/>
      <c r="B2166" s="26" t="n"/>
      <c r="C2166" s="34" t="n"/>
      <c r="D2166" s="28" t="n"/>
      <c r="E2166" s="26" t="n"/>
      <c r="F2166" s="26" t="n"/>
      <c r="G2166" s="26" t="n"/>
      <c r="H2166" s="38" t="n"/>
      <c r="I2166" s="28" t="n"/>
      <c r="J2166" s="30">
        <f>IF(B2166="","",IFERROR(INDEX('Share classes'!$A$4:$A$203,MATCH(B2166,'Share classes'!$B$4:$B$203,0)),""))</f>
        <v/>
      </c>
      <c r="K2166" s="30">
        <f>IF(A2166="","",IFERROR(INDEX('Holders'!$B$4:$B$1003,MATCH(A2166,'Holders'!$A$4:$A$1003,0)),""))</f>
        <v/>
      </c>
      <c r="L2166" s="30">
        <f>IF(OR(A2166="",B2166="",D2166=""),"",IF(D2166=_xlfn.MAXIFS($D$4:$D$2503,$A$4:$A$2503,A2166,$B$4:$B$2503,B2166),"Yes","No"))</f>
        <v/>
      </c>
      <c r="M2166" s="30">
        <f>IF(B2166="","",IFERROR(INDEX('Share classes'!$F$4:$F$203,MATCH(B2166,'Share classes'!$B$4:$B$203,0)),""))</f>
        <v/>
      </c>
      <c r="N2166" s="30">
        <f>IF(A2166="","",IF(K2166="","Unknown holder ID",IF(J2166="","Unknown class code",IF(OR(C2166="",D2166=""),"Missing shares or date",IF(OR(C2166&lt;0,C2166&lt;&gt;INT(C2166)),"Shares must be a whole number",IF(COUNTIFS($A$4:$A$2503,A2166,$B$4:$B$2503,B2166,$D$4:$D$2503,D2166)&gt;1,"Duplicate row (same date)","OK"))))))</f>
        <v/>
      </c>
    </row>
    <row r="2167">
      <c r="A2167" s="26" t="n"/>
      <c r="B2167" s="26" t="n"/>
      <c r="C2167" s="34" t="n"/>
      <c r="D2167" s="28" t="n"/>
      <c r="E2167" s="26" t="n"/>
      <c r="F2167" s="26" t="n"/>
      <c r="G2167" s="26" t="n"/>
      <c r="H2167" s="38" t="n"/>
      <c r="I2167" s="28" t="n"/>
      <c r="J2167" s="30">
        <f>IF(B2167="","",IFERROR(INDEX('Share classes'!$A$4:$A$203,MATCH(B2167,'Share classes'!$B$4:$B$203,0)),""))</f>
        <v/>
      </c>
      <c r="K2167" s="30">
        <f>IF(A2167="","",IFERROR(INDEX('Holders'!$B$4:$B$1003,MATCH(A2167,'Holders'!$A$4:$A$1003,0)),""))</f>
        <v/>
      </c>
      <c r="L2167" s="30">
        <f>IF(OR(A2167="",B2167="",D2167=""),"",IF(D2167=_xlfn.MAXIFS($D$4:$D$2503,$A$4:$A$2503,A2167,$B$4:$B$2503,B2167),"Yes","No"))</f>
        <v/>
      </c>
      <c r="M2167" s="30">
        <f>IF(B2167="","",IFERROR(INDEX('Share classes'!$F$4:$F$203,MATCH(B2167,'Share classes'!$B$4:$B$203,0)),""))</f>
        <v/>
      </c>
      <c r="N2167" s="30">
        <f>IF(A2167="","",IF(K2167="","Unknown holder ID",IF(J2167="","Unknown class code",IF(OR(C2167="",D2167=""),"Missing shares or date",IF(OR(C2167&lt;0,C2167&lt;&gt;INT(C2167)),"Shares must be a whole number",IF(COUNTIFS($A$4:$A$2503,A2167,$B$4:$B$2503,B2167,$D$4:$D$2503,D2167)&gt;1,"Duplicate row (same date)","OK"))))))</f>
        <v/>
      </c>
    </row>
    <row r="2168">
      <c r="A2168" s="26" t="n"/>
      <c r="B2168" s="26" t="n"/>
      <c r="C2168" s="34" t="n"/>
      <c r="D2168" s="28" t="n"/>
      <c r="E2168" s="26" t="n"/>
      <c r="F2168" s="26" t="n"/>
      <c r="G2168" s="26" t="n"/>
      <c r="H2168" s="38" t="n"/>
      <c r="I2168" s="28" t="n"/>
      <c r="J2168" s="30">
        <f>IF(B2168="","",IFERROR(INDEX('Share classes'!$A$4:$A$203,MATCH(B2168,'Share classes'!$B$4:$B$203,0)),""))</f>
        <v/>
      </c>
      <c r="K2168" s="30">
        <f>IF(A2168="","",IFERROR(INDEX('Holders'!$B$4:$B$1003,MATCH(A2168,'Holders'!$A$4:$A$1003,0)),""))</f>
        <v/>
      </c>
      <c r="L2168" s="30">
        <f>IF(OR(A2168="",B2168="",D2168=""),"",IF(D2168=_xlfn.MAXIFS($D$4:$D$2503,$A$4:$A$2503,A2168,$B$4:$B$2503,B2168),"Yes","No"))</f>
        <v/>
      </c>
      <c r="M2168" s="30">
        <f>IF(B2168="","",IFERROR(INDEX('Share classes'!$F$4:$F$203,MATCH(B2168,'Share classes'!$B$4:$B$203,0)),""))</f>
        <v/>
      </c>
      <c r="N2168" s="30">
        <f>IF(A2168="","",IF(K2168="","Unknown holder ID",IF(J2168="","Unknown class code",IF(OR(C2168="",D2168=""),"Missing shares or date",IF(OR(C2168&lt;0,C2168&lt;&gt;INT(C2168)),"Shares must be a whole number",IF(COUNTIFS($A$4:$A$2503,A2168,$B$4:$B$2503,B2168,$D$4:$D$2503,D2168)&gt;1,"Duplicate row (same date)","OK"))))))</f>
        <v/>
      </c>
    </row>
    <row r="2169">
      <c r="A2169" s="26" t="n"/>
      <c r="B2169" s="26" t="n"/>
      <c r="C2169" s="34" t="n"/>
      <c r="D2169" s="28" t="n"/>
      <c r="E2169" s="26" t="n"/>
      <c r="F2169" s="26" t="n"/>
      <c r="G2169" s="26" t="n"/>
      <c r="H2169" s="38" t="n"/>
      <c r="I2169" s="28" t="n"/>
      <c r="J2169" s="30">
        <f>IF(B2169="","",IFERROR(INDEX('Share classes'!$A$4:$A$203,MATCH(B2169,'Share classes'!$B$4:$B$203,0)),""))</f>
        <v/>
      </c>
      <c r="K2169" s="30">
        <f>IF(A2169="","",IFERROR(INDEX('Holders'!$B$4:$B$1003,MATCH(A2169,'Holders'!$A$4:$A$1003,0)),""))</f>
        <v/>
      </c>
      <c r="L2169" s="30">
        <f>IF(OR(A2169="",B2169="",D2169=""),"",IF(D2169=_xlfn.MAXIFS($D$4:$D$2503,$A$4:$A$2503,A2169,$B$4:$B$2503,B2169),"Yes","No"))</f>
        <v/>
      </c>
      <c r="M2169" s="30">
        <f>IF(B2169="","",IFERROR(INDEX('Share classes'!$F$4:$F$203,MATCH(B2169,'Share classes'!$B$4:$B$203,0)),""))</f>
        <v/>
      </c>
      <c r="N2169" s="30">
        <f>IF(A2169="","",IF(K2169="","Unknown holder ID",IF(J2169="","Unknown class code",IF(OR(C2169="",D2169=""),"Missing shares or date",IF(OR(C2169&lt;0,C2169&lt;&gt;INT(C2169)),"Shares must be a whole number",IF(COUNTIFS($A$4:$A$2503,A2169,$B$4:$B$2503,B2169,$D$4:$D$2503,D2169)&gt;1,"Duplicate row (same date)","OK"))))))</f>
        <v/>
      </c>
    </row>
    <row r="2170">
      <c r="A2170" s="26" t="n"/>
      <c r="B2170" s="26" t="n"/>
      <c r="C2170" s="34" t="n"/>
      <c r="D2170" s="28" t="n"/>
      <c r="E2170" s="26" t="n"/>
      <c r="F2170" s="26" t="n"/>
      <c r="G2170" s="26" t="n"/>
      <c r="H2170" s="38" t="n"/>
      <c r="I2170" s="28" t="n"/>
      <c r="J2170" s="30">
        <f>IF(B2170="","",IFERROR(INDEX('Share classes'!$A$4:$A$203,MATCH(B2170,'Share classes'!$B$4:$B$203,0)),""))</f>
        <v/>
      </c>
      <c r="K2170" s="30">
        <f>IF(A2170="","",IFERROR(INDEX('Holders'!$B$4:$B$1003,MATCH(A2170,'Holders'!$A$4:$A$1003,0)),""))</f>
        <v/>
      </c>
      <c r="L2170" s="30">
        <f>IF(OR(A2170="",B2170="",D2170=""),"",IF(D2170=_xlfn.MAXIFS($D$4:$D$2503,$A$4:$A$2503,A2170,$B$4:$B$2503,B2170),"Yes","No"))</f>
        <v/>
      </c>
      <c r="M2170" s="30">
        <f>IF(B2170="","",IFERROR(INDEX('Share classes'!$F$4:$F$203,MATCH(B2170,'Share classes'!$B$4:$B$203,0)),""))</f>
        <v/>
      </c>
      <c r="N2170" s="30">
        <f>IF(A2170="","",IF(K2170="","Unknown holder ID",IF(J2170="","Unknown class code",IF(OR(C2170="",D2170=""),"Missing shares or date",IF(OR(C2170&lt;0,C2170&lt;&gt;INT(C2170)),"Shares must be a whole number",IF(COUNTIFS($A$4:$A$2503,A2170,$B$4:$B$2503,B2170,$D$4:$D$2503,D2170)&gt;1,"Duplicate row (same date)","OK"))))))</f>
        <v/>
      </c>
    </row>
    <row r="2171">
      <c r="A2171" s="26" t="n"/>
      <c r="B2171" s="26" t="n"/>
      <c r="C2171" s="34" t="n"/>
      <c r="D2171" s="28" t="n"/>
      <c r="E2171" s="26" t="n"/>
      <c r="F2171" s="26" t="n"/>
      <c r="G2171" s="26" t="n"/>
      <c r="H2171" s="38" t="n"/>
      <c r="I2171" s="28" t="n"/>
      <c r="J2171" s="30">
        <f>IF(B2171="","",IFERROR(INDEX('Share classes'!$A$4:$A$203,MATCH(B2171,'Share classes'!$B$4:$B$203,0)),""))</f>
        <v/>
      </c>
      <c r="K2171" s="30">
        <f>IF(A2171="","",IFERROR(INDEX('Holders'!$B$4:$B$1003,MATCH(A2171,'Holders'!$A$4:$A$1003,0)),""))</f>
        <v/>
      </c>
      <c r="L2171" s="30">
        <f>IF(OR(A2171="",B2171="",D2171=""),"",IF(D2171=_xlfn.MAXIFS($D$4:$D$2503,$A$4:$A$2503,A2171,$B$4:$B$2503,B2171),"Yes","No"))</f>
        <v/>
      </c>
      <c r="M2171" s="30">
        <f>IF(B2171="","",IFERROR(INDEX('Share classes'!$F$4:$F$203,MATCH(B2171,'Share classes'!$B$4:$B$203,0)),""))</f>
        <v/>
      </c>
      <c r="N2171" s="30">
        <f>IF(A2171="","",IF(K2171="","Unknown holder ID",IF(J2171="","Unknown class code",IF(OR(C2171="",D2171=""),"Missing shares or date",IF(OR(C2171&lt;0,C2171&lt;&gt;INT(C2171)),"Shares must be a whole number",IF(COUNTIFS($A$4:$A$2503,A2171,$B$4:$B$2503,B2171,$D$4:$D$2503,D2171)&gt;1,"Duplicate row (same date)","OK"))))))</f>
        <v/>
      </c>
    </row>
    <row r="2172">
      <c r="A2172" s="26" t="n"/>
      <c r="B2172" s="26" t="n"/>
      <c r="C2172" s="34" t="n"/>
      <c r="D2172" s="28" t="n"/>
      <c r="E2172" s="26" t="n"/>
      <c r="F2172" s="26" t="n"/>
      <c r="G2172" s="26" t="n"/>
      <c r="H2172" s="38" t="n"/>
      <c r="I2172" s="28" t="n"/>
      <c r="J2172" s="30">
        <f>IF(B2172="","",IFERROR(INDEX('Share classes'!$A$4:$A$203,MATCH(B2172,'Share classes'!$B$4:$B$203,0)),""))</f>
        <v/>
      </c>
      <c r="K2172" s="30">
        <f>IF(A2172="","",IFERROR(INDEX('Holders'!$B$4:$B$1003,MATCH(A2172,'Holders'!$A$4:$A$1003,0)),""))</f>
        <v/>
      </c>
      <c r="L2172" s="30">
        <f>IF(OR(A2172="",B2172="",D2172=""),"",IF(D2172=_xlfn.MAXIFS($D$4:$D$2503,$A$4:$A$2503,A2172,$B$4:$B$2503,B2172),"Yes","No"))</f>
        <v/>
      </c>
      <c r="M2172" s="30">
        <f>IF(B2172="","",IFERROR(INDEX('Share classes'!$F$4:$F$203,MATCH(B2172,'Share classes'!$B$4:$B$203,0)),""))</f>
        <v/>
      </c>
      <c r="N2172" s="30">
        <f>IF(A2172="","",IF(K2172="","Unknown holder ID",IF(J2172="","Unknown class code",IF(OR(C2172="",D2172=""),"Missing shares or date",IF(OR(C2172&lt;0,C2172&lt;&gt;INT(C2172)),"Shares must be a whole number",IF(COUNTIFS($A$4:$A$2503,A2172,$B$4:$B$2503,B2172,$D$4:$D$2503,D2172)&gt;1,"Duplicate row (same date)","OK"))))))</f>
        <v/>
      </c>
    </row>
    <row r="2173">
      <c r="A2173" s="26" t="n"/>
      <c r="B2173" s="26" t="n"/>
      <c r="C2173" s="34" t="n"/>
      <c r="D2173" s="28" t="n"/>
      <c r="E2173" s="26" t="n"/>
      <c r="F2173" s="26" t="n"/>
      <c r="G2173" s="26" t="n"/>
      <c r="H2173" s="38" t="n"/>
      <c r="I2173" s="28" t="n"/>
      <c r="J2173" s="30">
        <f>IF(B2173="","",IFERROR(INDEX('Share classes'!$A$4:$A$203,MATCH(B2173,'Share classes'!$B$4:$B$203,0)),""))</f>
        <v/>
      </c>
      <c r="K2173" s="30">
        <f>IF(A2173="","",IFERROR(INDEX('Holders'!$B$4:$B$1003,MATCH(A2173,'Holders'!$A$4:$A$1003,0)),""))</f>
        <v/>
      </c>
      <c r="L2173" s="30">
        <f>IF(OR(A2173="",B2173="",D2173=""),"",IF(D2173=_xlfn.MAXIFS($D$4:$D$2503,$A$4:$A$2503,A2173,$B$4:$B$2503,B2173),"Yes","No"))</f>
        <v/>
      </c>
      <c r="M2173" s="30">
        <f>IF(B2173="","",IFERROR(INDEX('Share classes'!$F$4:$F$203,MATCH(B2173,'Share classes'!$B$4:$B$203,0)),""))</f>
        <v/>
      </c>
      <c r="N2173" s="30">
        <f>IF(A2173="","",IF(K2173="","Unknown holder ID",IF(J2173="","Unknown class code",IF(OR(C2173="",D2173=""),"Missing shares or date",IF(OR(C2173&lt;0,C2173&lt;&gt;INT(C2173)),"Shares must be a whole number",IF(COUNTIFS($A$4:$A$2503,A2173,$B$4:$B$2503,B2173,$D$4:$D$2503,D2173)&gt;1,"Duplicate row (same date)","OK"))))))</f>
        <v/>
      </c>
    </row>
    <row r="2174">
      <c r="A2174" s="26" t="n"/>
      <c r="B2174" s="26" t="n"/>
      <c r="C2174" s="34" t="n"/>
      <c r="D2174" s="28" t="n"/>
      <c r="E2174" s="26" t="n"/>
      <c r="F2174" s="26" t="n"/>
      <c r="G2174" s="26" t="n"/>
      <c r="H2174" s="38" t="n"/>
      <c r="I2174" s="28" t="n"/>
      <c r="J2174" s="30">
        <f>IF(B2174="","",IFERROR(INDEX('Share classes'!$A$4:$A$203,MATCH(B2174,'Share classes'!$B$4:$B$203,0)),""))</f>
        <v/>
      </c>
      <c r="K2174" s="30">
        <f>IF(A2174="","",IFERROR(INDEX('Holders'!$B$4:$B$1003,MATCH(A2174,'Holders'!$A$4:$A$1003,0)),""))</f>
        <v/>
      </c>
      <c r="L2174" s="30">
        <f>IF(OR(A2174="",B2174="",D2174=""),"",IF(D2174=_xlfn.MAXIFS($D$4:$D$2503,$A$4:$A$2503,A2174,$B$4:$B$2503,B2174),"Yes","No"))</f>
        <v/>
      </c>
      <c r="M2174" s="30">
        <f>IF(B2174="","",IFERROR(INDEX('Share classes'!$F$4:$F$203,MATCH(B2174,'Share classes'!$B$4:$B$203,0)),""))</f>
        <v/>
      </c>
      <c r="N2174" s="30">
        <f>IF(A2174="","",IF(K2174="","Unknown holder ID",IF(J2174="","Unknown class code",IF(OR(C2174="",D2174=""),"Missing shares or date",IF(OR(C2174&lt;0,C2174&lt;&gt;INT(C2174)),"Shares must be a whole number",IF(COUNTIFS($A$4:$A$2503,A2174,$B$4:$B$2503,B2174,$D$4:$D$2503,D2174)&gt;1,"Duplicate row (same date)","OK"))))))</f>
        <v/>
      </c>
    </row>
    <row r="2175">
      <c r="A2175" s="26" t="n"/>
      <c r="B2175" s="26" t="n"/>
      <c r="C2175" s="34" t="n"/>
      <c r="D2175" s="28" t="n"/>
      <c r="E2175" s="26" t="n"/>
      <c r="F2175" s="26" t="n"/>
      <c r="G2175" s="26" t="n"/>
      <c r="H2175" s="38" t="n"/>
      <c r="I2175" s="28" t="n"/>
      <c r="J2175" s="30">
        <f>IF(B2175="","",IFERROR(INDEX('Share classes'!$A$4:$A$203,MATCH(B2175,'Share classes'!$B$4:$B$203,0)),""))</f>
        <v/>
      </c>
      <c r="K2175" s="30">
        <f>IF(A2175="","",IFERROR(INDEX('Holders'!$B$4:$B$1003,MATCH(A2175,'Holders'!$A$4:$A$1003,0)),""))</f>
        <v/>
      </c>
      <c r="L2175" s="30">
        <f>IF(OR(A2175="",B2175="",D2175=""),"",IF(D2175=_xlfn.MAXIFS($D$4:$D$2503,$A$4:$A$2503,A2175,$B$4:$B$2503,B2175),"Yes","No"))</f>
        <v/>
      </c>
      <c r="M2175" s="30">
        <f>IF(B2175="","",IFERROR(INDEX('Share classes'!$F$4:$F$203,MATCH(B2175,'Share classes'!$B$4:$B$203,0)),""))</f>
        <v/>
      </c>
      <c r="N2175" s="30">
        <f>IF(A2175="","",IF(K2175="","Unknown holder ID",IF(J2175="","Unknown class code",IF(OR(C2175="",D2175=""),"Missing shares or date",IF(OR(C2175&lt;0,C2175&lt;&gt;INT(C2175)),"Shares must be a whole number",IF(COUNTIFS($A$4:$A$2503,A2175,$B$4:$B$2503,B2175,$D$4:$D$2503,D2175)&gt;1,"Duplicate row (same date)","OK"))))))</f>
        <v/>
      </c>
    </row>
    <row r="2176">
      <c r="A2176" s="26" t="n"/>
      <c r="B2176" s="26" t="n"/>
      <c r="C2176" s="34" t="n"/>
      <c r="D2176" s="28" t="n"/>
      <c r="E2176" s="26" t="n"/>
      <c r="F2176" s="26" t="n"/>
      <c r="G2176" s="26" t="n"/>
      <c r="H2176" s="38" t="n"/>
      <c r="I2176" s="28" t="n"/>
      <c r="J2176" s="30">
        <f>IF(B2176="","",IFERROR(INDEX('Share classes'!$A$4:$A$203,MATCH(B2176,'Share classes'!$B$4:$B$203,0)),""))</f>
        <v/>
      </c>
      <c r="K2176" s="30">
        <f>IF(A2176="","",IFERROR(INDEX('Holders'!$B$4:$B$1003,MATCH(A2176,'Holders'!$A$4:$A$1003,0)),""))</f>
        <v/>
      </c>
      <c r="L2176" s="30">
        <f>IF(OR(A2176="",B2176="",D2176=""),"",IF(D2176=_xlfn.MAXIFS($D$4:$D$2503,$A$4:$A$2503,A2176,$B$4:$B$2503,B2176),"Yes","No"))</f>
        <v/>
      </c>
      <c r="M2176" s="30">
        <f>IF(B2176="","",IFERROR(INDEX('Share classes'!$F$4:$F$203,MATCH(B2176,'Share classes'!$B$4:$B$203,0)),""))</f>
        <v/>
      </c>
      <c r="N2176" s="30">
        <f>IF(A2176="","",IF(K2176="","Unknown holder ID",IF(J2176="","Unknown class code",IF(OR(C2176="",D2176=""),"Missing shares or date",IF(OR(C2176&lt;0,C2176&lt;&gt;INT(C2176)),"Shares must be a whole number",IF(COUNTIFS($A$4:$A$2503,A2176,$B$4:$B$2503,B2176,$D$4:$D$2503,D2176)&gt;1,"Duplicate row (same date)","OK"))))))</f>
        <v/>
      </c>
    </row>
    <row r="2177">
      <c r="A2177" s="26" t="n"/>
      <c r="B2177" s="26" t="n"/>
      <c r="C2177" s="34" t="n"/>
      <c r="D2177" s="28" t="n"/>
      <c r="E2177" s="26" t="n"/>
      <c r="F2177" s="26" t="n"/>
      <c r="G2177" s="26" t="n"/>
      <c r="H2177" s="38" t="n"/>
      <c r="I2177" s="28" t="n"/>
      <c r="J2177" s="30">
        <f>IF(B2177="","",IFERROR(INDEX('Share classes'!$A$4:$A$203,MATCH(B2177,'Share classes'!$B$4:$B$203,0)),""))</f>
        <v/>
      </c>
      <c r="K2177" s="30">
        <f>IF(A2177="","",IFERROR(INDEX('Holders'!$B$4:$B$1003,MATCH(A2177,'Holders'!$A$4:$A$1003,0)),""))</f>
        <v/>
      </c>
      <c r="L2177" s="30">
        <f>IF(OR(A2177="",B2177="",D2177=""),"",IF(D2177=_xlfn.MAXIFS($D$4:$D$2503,$A$4:$A$2503,A2177,$B$4:$B$2503,B2177),"Yes","No"))</f>
        <v/>
      </c>
      <c r="M2177" s="30">
        <f>IF(B2177="","",IFERROR(INDEX('Share classes'!$F$4:$F$203,MATCH(B2177,'Share classes'!$B$4:$B$203,0)),""))</f>
        <v/>
      </c>
      <c r="N2177" s="30">
        <f>IF(A2177="","",IF(K2177="","Unknown holder ID",IF(J2177="","Unknown class code",IF(OR(C2177="",D2177=""),"Missing shares or date",IF(OR(C2177&lt;0,C2177&lt;&gt;INT(C2177)),"Shares must be a whole number",IF(COUNTIFS($A$4:$A$2503,A2177,$B$4:$B$2503,B2177,$D$4:$D$2503,D2177)&gt;1,"Duplicate row (same date)","OK"))))))</f>
        <v/>
      </c>
    </row>
    <row r="2178">
      <c r="A2178" s="26" t="n"/>
      <c r="B2178" s="26" t="n"/>
      <c r="C2178" s="34" t="n"/>
      <c r="D2178" s="28" t="n"/>
      <c r="E2178" s="26" t="n"/>
      <c r="F2178" s="26" t="n"/>
      <c r="G2178" s="26" t="n"/>
      <c r="H2178" s="38" t="n"/>
      <c r="I2178" s="28" t="n"/>
      <c r="J2178" s="30">
        <f>IF(B2178="","",IFERROR(INDEX('Share classes'!$A$4:$A$203,MATCH(B2178,'Share classes'!$B$4:$B$203,0)),""))</f>
        <v/>
      </c>
      <c r="K2178" s="30">
        <f>IF(A2178="","",IFERROR(INDEX('Holders'!$B$4:$B$1003,MATCH(A2178,'Holders'!$A$4:$A$1003,0)),""))</f>
        <v/>
      </c>
      <c r="L2178" s="30">
        <f>IF(OR(A2178="",B2178="",D2178=""),"",IF(D2178=_xlfn.MAXIFS($D$4:$D$2503,$A$4:$A$2503,A2178,$B$4:$B$2503,B2178),"Yes","No"))</f>
        <v/>
      </c>
      <c r="M2178" s="30">
        <f>IF(B2178="","",IFERROR(INDEX('Share classes'!$F$4:$F$203,MATCH(B2178,'Share classes'!$B$4:$B$203,0)),""))</f>
        <v/>
      </c>
      <c r="N2178" s="30">
        <f>IF(A2178="","",IF(K2178="","Unknown holder ID",IF(J2178="","Unknown class code",IF(OR(C2178="",D2178=""),"Missing shares or date",IF(OR(C2178&lt;0,C2178&lt;&gt;INT(C2178)),"Shares must be a whole number",IF(COUNTIFS($A$4:$A$2503,A2178,$B$4:$B$2503,B2178,$D$4:$D$2503,D2178)&gt;1,"Duplicate row (same date)","OK"))))))</f>
        <v/>
      </c>
    </row>
    <row r="2179">
      <c r="A2179" s="26" t="n"/>
      <c r="B2179" s="26" t="n"/>
      <c r="C2179" s="34" t="n"/>
      <c r="D2179" s="28" t="n"/>
      <c r="E2179" s="26" t="n"/>
      <c r="F2179" s="26" t="n"/>
      <c r="G2179" s="26" t="n"/>
      <c r="H2179" s="38" t="n"/>
      <c r="I2179" s="28" t="n"/>
      <c r="J2179" s="30">
        <f>IF(B2179="","",IFERROR(INDEX('Share classes'!$A$4:$A$203,MATCH(B2179,'Share classes'!$B$4:$B$203,0)),""))</f>
        <v/>
      </c>
      <c r="K2179" s="30">
        <f>IF(A2179="","",IFERROR(INDEX('Holders'!$B$4:$B$1003,MATCH(A2179,'Holders'!$A$4:$A$1003,0)),""))</f>
        <v/>
      </c>
      <c r="L2179" s="30">
        <f>IF(OR(A2179="",B2179="",D2179=""),"",IF(D2179=_xlfn.MAXIFS($D$4:$D$2503,$A$4:$A$2503,A2179,$B$4:$B$2503,B2179),"Yes","No"))</f>
        <v/>
      </c>
      <c r="M2179" s="30">
        <f>IF(B2179="","",IFERROR(INDEX('Share classes'!$F$4:$F$203,MATCH(B2179,'Share classes'!$B$4:$B$203,0)),""))</f>
        <v/>
      </c>
      <c r="N2179" s="30">
        <f>IF(A2179="","",IF(K2179="","Unknown holder ID",IF(J2179="","Unknown class code",IF(OR(C2179="",D2179=""),"Missing shares or date",IF(OR(C2179&lt;0,C2179&lt;&gt;INT(C2179)),"Shares must be a whole number",IF(COUNTIFS($A$4:$A$2503,A2179,$B$4:$B$2503,B2179,$D$4:$D$2503,D2179)&gt;1,"Duplicate row (same date)","OK"))))))</f>
        <v/>
      </c>
    </row>
    <row r="2180">
      <c r="A2180" s="26" t="n"/>
      <c r="B2180" s="26" t="n"/>
      <c r="C2180" s="34" t="n"/>
      <c r="D2180" s="28" t="n"/>
      <c r="E2180" s="26" t="n"/>
      <c r="F2180" s="26" t="n"/>
      <c r="G2180" s="26" t="n"/>
      <c r="H2180" s="38" t="n"/>
      <c r="I2180" s="28" t="n"/>
      <c r="J2180" s="30">
        <f>IF(B2180="","",IFERROR(INDEX('Share classes'!$A$4:$A$203,MATCH(B2180,'Share classes'!$B$4:$B$203,0)),""))</f>
        <v/>
      </c>
      <c r="K2180" s="30">
        <f>IF(A2180="","",IFERROR(INDEX('Holders'!$B$4:$B$1003,MATCH(A2180,'Holders'!$A$4:$A$1003,0)),""))</f>
        <v/>
      </c>
      <c r="L2180" s="30">
        <f>IF(OR(A2180="",B2180="",D2180=""),"",IF(D2180=_xlfn.MAXIFS($D$4:$D$2503,$A$4:$A$2503,A2180,$B$4:$B$2503,B2180),"Yes","No"))</f>
        <v/>
      </c>
      <c r="M2180" s="30">
        <f>IF(B2180="","",IFERROR(INDEX('Share classes'!$F$4:$F$203,MATCH(B2180,'Share classes'!$B$4:$B$203,0)),""))</f>
        <v/>
      </c>
      <c r="N2180" s="30">
        <f>IF(A2180="","",IF(K2180="","Unknown holder ID",IF(J2180="","Unknown class code",IF(OR(C2180="",D2180=""),"Missing shares or date",IF(OR(C2180&lt;0,C2180&lt;&gt;INT(C2180)),"Shares must be a whole number",IF(COUNTIFS($A$4:$A$2503,A2180,$B$4:$B$2503,B2180,$D$4:$D$2503,D2180)&gt;1,"Duplicate row (same date)","OK"))))))</f>
        <v/>
      </c>
    </row>
    <row r="2181">
      <c r="A2181" s="26" t="n"/>
      <c r="B2181" s="26" t="n"/>
      <c r="C2181" s="34" t="n"/>
      <c r="D2181" s="28" t="n"/>
      <c r="E2181" s="26" t="n"/>
      <c r="F2181" s="26" t="n"/>
      <c r="G2181" s="26" t="n"/>
      <c r="H2181" s="38" t="n"/>
      <c r="I2181" s="28" t="n"/>
      <c r="J2181" s="30">
        <f>IF(B2181="","",IFERROR(INDEX('Share classes'!$A$4:$A$203,MATCH(B2181,'Share classes'!$B$4:$B$203,0)),""))</f>
        <v/>
      </c>
      <c r="K2181" s="30">
        <f>IF(A2181="","",IFERROR(INDEX('Holders'!$B$4:$B$1003,MATCH(A2181,'Holders'!$A$4:$A$1003,0)),""))</f>
        <v/>
      </c>
      <c r="L2181" s="30">
        <f>IF(OR(A2181="",B2181="",D2181=""),"",IF(D2181=_xlfn.MAXIFS($D$4:$D$2503,$A$4:$A$2503,A2181,$B$4:$B$2503,B2181),"Yes","No"))</f>
        <v/>
      </c>
      <c r="M2181" s="30">
        <f>IF(B2181="","",IFERROR(INDEX('Share classes'!$F$4:$F$203,MATCH(B2181,'Share classes'!$B$4:$B$203,0)),""))</f>
        <v/>
      </c>
      <c r="N2181" s="30">
        <f>IF(A2181="","",IF(K2181="","Unknown holder ID",IF(J2181="","Unknown class code",IF(OR(C2181="",D2181=""),"Missing shares or date",IF(OR(C2181&lt;0,C2181&lt;&gt;INT(C2181)),"Shares must be a whole number",IF(COUNTIFS($A$4:$A$2503,A2181,$B$4:$B$2503,B2181,$D$4:$D$2503,D2181)&gt;1,"Duplicate row (same date)","OK"))))))</f>
        <v/>
      </c>
    </row>
    <row r="2182">
      <c r="A2182" s="26" t="n"/>
      <c r="B2182" s="26" t="n"/>
      <c r="C2182" s="34" t="n"/>
      <c r="D2182" s="28" t="n"/>
      <c r="E2182" s="26" t="n"/>
      <c r="F2182" s="26" t="n"/>
      <c r="G2182" s="26" t="n"/>
      <c r="H2182" s="38" t="n"/>
      <c r="I2182" s="28" t="n"/>
      <c r="J2182" s="30">
        <f>IF(B2182="","",IFERROR(INDEX('Share classes'!$A$4:$A$203,MATCH(B2182,'Share classes'!$B$4:$B$203,0)),""))</f>
        <v/>
      </c>
      <c r="K2182" s="30">
        <f>IF(A2182="","",IFERROR(INDEX('Holders'!$B$4:$B$1003,MATCH(A2182,'Holders'!$A$4:$A$1003,0)),""))</f>
        <v/>
      </c>
      <c r="L2182" s="30">
        <f>IF(OR(A2182="",B2182="",D2182=""),"",IF(D2182=_xlfn.MAXIFS($D$4:$D$2503,$A$4:$A$2503,A2182,$B$4:$B$2503,B2182),"Yes","No"))</f>
        <v/>
      </c>
      <c r="M2182" s="30">
        <f>IF(B2182="","",IFERROR(INDEX('Share classes'!$F$4:$F$203,MATCH(B2182,'Share classes'!$B$4:$B$203,0)),""))</f>
        <v/>
      </c>
      <c r="N2182" s="30">
        <f>IF(A2182="","",IF(K2182="","Unknown holder ID",IF(J2182="","Unknown class code",IF(OR(C2182="",D2182=""),"Missing shares or date",IF(OR(C2182&lt;0,C2182&lt;&gt;INT(C2182)),"Shares must be a whole number",IF(COUNTIFS($A$4:$A$2503,A2182,$B$4:$B$2503,B2182,$D$4:$D$2503,D2182)&gt;1,"Duplicate row (same date)","OK"))))))</f>
        <v/>
      </c>
    </row>
    <row r="2183">
      <c r="A2183" s="26" t="n"/>
      <c r="B2183" s="26" t="n"/>
      <c r="C2183" s="34" t="n"/>
      <c r="D2183" s="28" t="n"/>
      <c r="E2183" s="26" t="n"/>
      <c r="F2183" s="26" t="n"/>
      <c r="G2183" s="26" t="n"/>
      <c r="H2183" s="38" t="n"/>
      <c r="I2183" s="28" t="n"/>
      <c r="J2183" s="30">
        <f>IF(B2183="","",IFERROR(INDEX('Share classes'!$A$4:$A$203,MATCH(B2183,'Share classes'!$B$4:$B$203,0)),""))</f>
        <v/>
      </c>
      <c r="K2183" s="30">
        <f>IF(A2183="","",IFERROR(INDEX('Holders'!$B$4:$B$1003,MATCH(A2183,'Holders'!$A$4:$A$1003,0)),""))</f>
        <v/>
      </c>
      <c r="L2183" s="30">
        <f>IF(OR(A2183="",B2183="",D2183=""),"",IF(D2183=_xlfn.MAXIFS($D$4:$D$2503,$A$4:$A$2503,A2183,$B$4:$B$2503,B2183),"Yes","No"))</f>
        <v/>
      </c>
      <c r="M2183" s="30">
        <f>IF(B2183="","",IFERROR(INDEX('Share classes'!$F$4:$F$203,MATCH(B2183,'Share classes'!$B$4:$B$203,0)),""))</f>
        <v/>
      </c>
      <c r="N2183" s="30">
        <f>IF(A2183="","",IF(K2183="","Unknown holder ID",IF(J2183="","Unknown class code",IF(OR(C2183="",D2183=""),"Missing shares or date",IF(OR(C2183&lt;0,C2183&lt;&gt;INT(C2183)),"Shares must be a whole number",IF(COUNTIFS($A$4:$A$2503,A2183,$B$4:$B$2503,B2183,$D$4:$D$2503,D2183)&gt;1,"Duplicate row (same date)","OK"))))))</f>
        <v/>
      </c>
    </row>
    <row r="2184">
      <c r="A2184" s="26" t="n"/>
      <c r="B2184" s="26" t="n"/>
      <c r="C2184" s="34" t="n"/>
      <c r="D2184" s="28" t="n"/>
      <c r="E2184" s="26" t="n"/>
      <c r="F2184" s="26" t="n"/>
      <c r="G2184" s="26" t="n"/>
      <c r="H2184" s="38" t="n"/>
      <c r="I2184" s="28" t="n"/>
      <c r="J2184" s="30">
        <f>IF(B2184="","",IFERROR(INDEX('Share classes'!$A$4:$A$203,MATCH(B2184,'Share classes'!$B$4:$B$203,0)),""))</f>
        <v/>
      </c>
      <c r="K2184" s="30">
        <f>IF(A2184="","",IFERROR(INDEX('Holders'!$B$4:$B$1003,MATCH(A2184,'Holders'!$A$4:$A$1003,0)),""))</f>
        <v/>
      </c>
      <c r="L2184" s="30">
        <f>IF(OR(A2184="",B2184="",D2184=""),"",IF(D2184=_xlfn.MAXIFS($D$4:$D$2503,$A$4:$A$2503,A2184,$B$4:$B$2503,B2184),"Yes","No"))</f>
        <v/>
      </c>
      <c r="M2184" s="30">
        <f>IF(B2184="","",IFERROR(INDEX('Share classes'!$F$4:$F$203,MATCH(B2184,'Share classes'!$B$4:$B$203,0)),""))</f>
        <v/>
      </c>
      <c r="N2184" s="30">
        <f>IF(A2184="","",IF(K2184="","Unknown holder ID",IF(J2184="","Unknown class code",IF(OR(C2184="",D2184=""),"Missing shares or date",IF(OR(C2184&lt;0,C2184&lt;&gt;INT(C2184)),"Shares must be a whole number",IF(COUNTIFS($A$4:$A$2503,A2184,$B$4:$B$2503,B2184,$D$4:$D$2503,D2184)&gt;1,"Duplicate row (same date)","OK"))))))</f>
        <v/>
      </c>
    </row>
    <row r="2185">
      <c r="A2185" s="26" t="n"/>
      <c r="B2185" s="26" t="n"/>
      <c r="C2185" s="34" t="n"/>
      <c r="D2185" s="28" t="n"/>
      <c r="E2185" s="26" t="n"/>
      <c r="F2185" s="26" t="n"/>
      <c r="G2185" s="26" t="n"/>
      <c r="H2185" s="38" t="n"/>
      <c r="I2185" s="28" t="n"/>
      <c r="J2185" s="30">
        <f>IF(B2185="","",IFERROR(INDEX('Share classes'!$A$4:$A$203,MATCH(B2185,'Share classes'!$B$4:$B$203,0)),""))</f>
        <v/>
      </c>
      <c r="K2185" s="30">
        <f>IF(A2185="","",IFERROR(INDEX('Holders'!$B$4:$B$1003,MATCH(A2185,'Holders'!$A$4:$A$1003,0)),""))</f>
        <v/>
      </c>
      <c r="L2185" s="30">
        <f>IF(OR(A2185="",B2185="",D2185=""),"",IF(D2185=_xlfn.MAXIFS($D$4:$D$2503,$A$4:$A$2503,A2185,$B$4:$B$2503,B2185),"Yes","No"))</f>
        <v/>
      </c>
      <c r="M2185" s="30">
        <f>IF(B2185="","",IFERROR(INDEX('Share classes'!$F$4:$F$203,MATCH(B2185,'Share classes'!$B$4:$B$203,0)),""))</f>
        <v/>
      </c>
      <c r="N2185" s="30">
        <f>IF(A2185="","",IF(K2185="","Unknown holder ID",IF(J2185="","Unknown class code",IF(OR(C2185="",D2185=""),"Missing shares or date",IF(OR(C2185&lt;0,C2185&lt;&gt;INT(C2185)),"Shares must be a whole number",IF(COUNTIFS($A$4:$A$2503,A2185,$B$4:$B$2503,B2185,$D$4:$D$2503,D2185)&gt;1,"Duplicate row (same date)","OK"))))))</f>
        <v/>
      </c>
    </row>
    <row r="2186">
      <c r="A2186" s="26" t="n"/>
      <c r="B2186" s="26" t="n"/>
      <c r="C2186" s="34" t="n"/>
      <c r="D2186" s="28" t="n"/>
      <c r="E2186" s="26" t="n"/>
      <c r="F2186" s="26" t="n"/>
      <c r="G2186" s="26" t="n"/>
      <c r="H2186" s="38" t="n"/>
      <c r="I2186" s="28" t="n"/>
      <c r="J2186" s="30">
        <f>IF(B2186="","",IFERROR(INDEX('Share classes'!$A$4:$A$203,MATCH(B2186,'Share classes'!$B$4:$B$203,0)),""))</f>
        <v/>
      </c>
      <c r="K2186" s="30">
        <f>IF(A2186="","",IFERROR(INDEX('Holders'!$B$4:$B$1003,MATCH(A2186,'Holders'!$A$4:$A$1003,0)),""))</f>
        <v/>
      </c>
      <c r="L2186" s="30">
        <f>IF(OR(A2186="",B2186="",D2186=""),"",IF(D2186=_xlfn.MAXIFS($D$4:$D$2503,$A$4:$A$2503,A2186,$B$4:$B$2503,B2186),"Yes","No"))</f>
        <v/>
      </c>
      <c r="M2186" s="30">
        <f>IF(B2186="","",IFERROR(INDEX('Share classes'!$F$4:$F$203,MATCH(B2186,'Share classes'!$B$4:$B$203,0)),""))</f>
        <v/>
      </c>
      <c r="N2186" s="30">
        <f>IF(A2186="","",IF(K2186="","Unknown holder ID",IF(J2186="","Unknown class code",IF(OR(C2186="",D2186=""),"Missing shares or date",IF(OR(C2186&lt;0,C2186&lt;&gt;INT(C2186)),"Shares must be a whole number",IF(COUNTIFS($A$4:$A$2503,A2186,$B$4:$B$2503,B2186,$D$4:$D$2503,D2186)&gt;1,"Duplicate row (same date)","OK"))))))</f>
        <v/>
      </c>
    </row>
    <row r="2187">
      <c r="A2187" s="26" t="n"/>
      <c r="B2187" s="26" t="n"/>
      <c r="C2187" s="34" t="n"/>
      <c r="D2187" s="28" t="n"/>
      <c r="E2187" s="26" t="n"/>
      <c r="F2187" s="26" t="n"/>
      <c r="G2187" s="26" t="n"/>
      <c r="H2187" s="38" t="n"/>
      <c r="I2187" s="28" t="n"/>
      <c r="J2187" s="30">
        <f>IF(B2187="","",IFERROR(INDEX('Share classes'!$A$4:$A$203,MATCH(B2187,'Share classes'!$B$4:$B$203,0)),""))</f>
        <v/>
      </c>
      <c r="K2187" s="30">
        <f>IF(A2187="","",IFERROR(INDEX('Holders'!$B$4:$B$1003,MATCH(A2187,'Holders'!$A$4:$A$1003,0)),""))</f>
        <v/>
      </c>
      <c r="L2187" s="30">
        <f>IF(OR(A2187="",B2187="",D2187=""),"",IF(D2187=_xlfn.MAXIFS($D$4:$D$2503,$A$4:$A$2503,A2187,$B$4:$B$2503,B2187),"Yes","No"))</f>
        <v/>
      </c>
      <c r="M2187" s="30">
        <f>IF(B2187="","",IFERROR(INDEX('Share classes'!$F$4:$F$203,MATCH(B2187,'Share classes'!$B$4:$B$203,0)),""))</f>
        <v/>
      </c>
      <c r="N2187" s="30">
        <f>IF(A2187="","",IF(K2187="","Unknown holder ID",IF(J2187="","Unknown class code",IF(OR(C2187="",D2187=""),"Missing shares or date",IF(OR(C2187&lt;0,C2187&lt;&gt;INT(C2187)),"Shares must be a whole number",IF(COUNTIFS($A$4:$A$2503,A2187,$B$4:$B$2503,B2187,$D$4:$D$2503,D2187)&gt;1,"Duplicate row (same date)","OK"))))))</f>
        <v/>
      </c>
    </row>
    <row r="2188">
      <c r="A2188" s="26" t="n"/>
      <c r="B2188" s="26" t="n"/>
      <c r="C2188" s="34" t="n"/>
      <c r="D2188" s="28" t="n"/>
      <c r="E2188" s="26" t="n"/>
      <c r="F2188" s="26" t="n"/>
      <c r="G2188" s="26" t="n"/>
      <c r="H2188" s="38" t="n"/>
      <c r="I2188" s="28" t="n"/>
      <c r="J2188" s="30">
        <f>IF(B2188="","",IFERROR(INDEX('Share classes'!$A$4:$A$203,MATCH(B2188,'Share classes'!$B$4:$B$203,0)),""))</f>
        <v/>
      </c>
      <c r="K2188" s="30">
        <f>IF(A2188="","",IFERROR(INDEX('Holders'!$B$4:$B$1003,MATCH(A2188,'Holders'!$A$4:$A$1003,0)),""))</f>
        <v/>
      </c>
      <c r="L2188" s="30">
        <f>IF(OR(A2188="",B2188="",D2188=""),"",IF(D2188=_xlfn.MAXIFS($D$4:$D$2503,$A$4:$A$2503,A2188,$B$4:$B$2503,B2188),"Yes","No"))</f>
        <v/>
      </c>
      <c r="M2188" s="30">
        <f>IF(B2188="","",IFERROR(INDEX('Share classes'!$F$4:$F$203,MATCH(B2188,'Share classes'!$B$4:$B$203,0)),""))</f>
        <v/>
      </c>
      <c r="N2188" s="30">
        <f>IF(A2188="","",IF(K2188="","Unknown holder ID",IF(J2188="","Unknown class code",IF(OR(C2188="",D2188=""),"Missing shares or date",IF(OR(C2188&lt;0,C2188&lt;&gt;INT(C2188)),"Shares must be a whole number",IF(COUNTIFS($A$4:$A$2503,A2188,$B$4:$B$2503,B2188,$D$4:$D$2503,D2188)&gt;1,"Duplicate row (same date)","OK"))))))</f>
        <v/>
      </c>
    </row>
    <row r="2189">
      <c r="A2189" s="26" t="n"/>
      <c r="B2189" s="26" t="n"/>
      <c r="C2189" s="34" t="n"/>
      <c r="D2189" s="28" t="n"/>
      <c r="E2189" s="26" t="n"/>
      <c r="F2189" s="26" t="n"/>
      <c r="G2189" s="26" t="n"/>
      <c r="H2189" s="38" t="n"/>
      <c r="I2189" s="28" t="n"/>
      <c r="J2189" s="30">
        <f>IF(B2189="","",IFERROR(INDEX('Share classes'!$A$4:$A$203,MATCH(B2189,'Share classes'!$B$4:$B$203,0)),""))</f>
        <v/>
      </c>
      <c r="K2189" s="30">
        <f>IF(A2189="","",IFERROR(INDEX('Holders'!$B$4:$B$1003,MATCH(A2189,'Holders'!$A$4:$A$1003,0)),""))</f>
        <v/>
      </c>
      <c r="L2189" s="30">
        <f>IF(OR(A2189="",B2189="",D2189=""),"",IF(D2189=_xlfn.MAXIFS($D$4:$D$2503,$A$4:$A$2503,A2189,$B$4:$B$2503,B2189),"Yes","No"))</f>
        <v/>
      </c>
      <c r="M2189" s="30">
        <f>IF(B2189="","",IFERROR(INDEX('Share classes'!$F$4:$F$203,MATCH(B2189,'Share classes'!$B$4:$B$203,0)),""))</f>
        <v/>
      </c>
      <c r="N2189" s="30">
        <f>IF(A2189="","",IF(K2189="","Unknown holder ID",IF(J2189="","Unknown class code",IF(OR(C2189="",D2189=""),"Missing shares or date",IF(OR(C2189&lt;0,C2189&lt;&gt;INT(C2189)),"Shares must be a whole number",IF(COUNTIFS($A$4:$A$2503,A2189,$B$4:$B$2503,B2189,$D$4:$D$2503,D2189)&gt;1,"Duplicate row (same date)","OK"))))))</f>
        <v/>
      </c>
    </row>
    <row r="2190">
      <c r="A2190" s="26" t="n"/>
      <c r="B2190" s="26" t="n"/>
      <c r="C2190" s="34" t="n"/>
      <c r="D2190" s="28" t="n"/>
      <c r="E2190" s="26" t="n"/>
      <c r="F2190" s="26" t="n"/>
      <c r="G2190" s="26" t="n"/>
      <c r="H2190" s="38" t="n"/>
      <c r="I2190" s="28" t="n"/>
      <c r="J2190" s="30">
        <f>IF(B2190="","",IFERROR(INDEX('Share classes'!$A$4:$A$203,MATCH(B2190,'Share classes'!$B$4:$B$203,0)),""))</f>
        <v/>
      </c>
      <c r="K2190" s="30">
        <f>IF(A2190="","",IFERROR(INDEX('Holders'!$B$4:$B$1003,MATCH(A2190,'Holders'!$A$4:$A$1003,0)),""))</f>
        <v/>
      </c>
      <c r="L2190" s="30">
        <f>IF(OR(A2190="",B2190="",D2190=""),"",IF(D2190=_xlfn.MAXIFS($D$4:$D$2503,$A$4:$A$2503,A2190,$B$4:$B$2503,B2190),"Yes","No"))</f>
        <v/>
      </c>
      <c r="M2190" s="30">
        <f>IF(B2190="","",IFERROR(INDEX('Share classes'!$F$4:$F$203,MATCH(B2190,'Share classes'!$B$4:$B$203,0)),""))</f>
        <v/>
      </c>
      <c r="N2190" s="30">
        <f>IF(A2190="","",IF(K2190="","Unknown holder ID",IF(J2190="","Unknown class code",IF(OR(C2190="",D2190=""),"Missing shares or date",IF(OR(C2190&lt;0,C2190&lt;&gt;INT(C2190)),"Shares must be a whole number",IF(COUNTIFS($A$4:$A$2503,A2190,$B$4:$B$2503,B2190,$D$4:$D$2503,D2190)&gt;1,"Duplicate row (same date)","OK"))))))</f>
        <v/>
      </c>
    </row>
    <row r="2191">
      <c r="A2191" s="26" t="n"/>
      <c r="B2191" s="26" t="n"/>
      <c r="C2191" s="34" t="n"/>
      <c r="D2191" s="28" t="n"/>
      <c r="E2191" s="26" t="n"/>
      <c r="F2191" s="26" t="n"/>
      <c r="G2191" s="26" t="n"/>
      <c r="H2191" s="38" t="n"/>
      <c r="I2191" s="28" t="n"/>
      <c r="J2191" s="30">
        <f>IF(B2191="","",IFERROR(INDEX('Share classes'!$A$4:$A$203,MATCH(B2191,'Share classes'!$B$4:$B$203,0)),""))</f>
        <v/>
      </c>
      <c r="K2191" s="30">
        <f>IF(A2191="","",IFERROR(INDEX('Holders'!$B$4:$B$1003,MATCH(A2191,'Holders'!$A$4:$A$1003,0)),""))</f>
        <v/>
      </c>
      <c r="L2191" s="30">
        <f>IF(OR(A2191="",B2191="",D2191=""),"",IF(D2191=_xlfn.MAXIFS($D$4:$D$2503,$A$4:$A$2503,A2191,$B$4:$B$2503,B2191),"Yes","No"))</f>
        <v/>
      </c>
      <c r="M2191" s="30">
        <f>IF(B2191="","",IFERROR(INDEX('Share classes'!$F$4:$F$203,MATCH(B2191,'Share classes'!$B$4:$B$203,0)),""))</f>
        <v/>
      </c>
      <c r="N2191" s="30">
        <f>IF(A2191="","",IF(K2191="","Unknown holder ID",IF(J2191="","Unknown class code",IF(OR(C2191="",D2191=""),"Missing shares or date",IF(OR(C2191&lt;0,C2191&lt;&gt;INT(C2191)),"Shares must be a whole number",IF(COUNTIFS($A$4:$A$2503,A2191,$B$4:$B$2503,B2191,$D$4:$D$2503,D2191)&gt;1,"Duplicate row (same date)","OK"))))))</f>
        <v/>
      </c>
    </row>
    <row r="2192">
      <c r="A2192" s="26" t="n"/>
      <c r="B2192" s="26" t="n"/>
      <c r="C2192" s="34" t="n"/>
      <c r="D2192" s="28" t="n"/>
      <c r="E2192" s="26" t="n"/>
      <c r="F2192" s="26" t="n"/>
      <c r="G2192" s="26" t="n"/>
      <c r="H2192" s="38" t="n"/>
      <c r="I2192" s="28" t="n"/>
      <c r="J2192" s="30">
        <f>IF(B2192="","",IFERROR(INDEX('Share classes'!$A$4:$A$203,MATCH(B2192,'Share classes'!$B$4:$B$203,0)),""))</f>
        <v/>
      </c>
      <c r="K2192" s="30">
        <f>IF(A2192="","",IFERROR(INDEX('Holders'!$B$4:$B$1003,MATCH(A2192,'Holders'!$A$4:$A$1003,0)),""))</f>
        <v/>
      </c>
      <c r="L2192" s="30">
        <f>IF(OR(A2192="",B2192="",D2192=""),"",IF(D2192=_xlfn.MAXIFS($D$4:$D$2503,$A$4:$A$2503,A2192,$B$4:$B$2503,B2192),"Yes","No"))</f>
        <v/>
      </c>
      <c r="M2192" s="30">
        <f>IF(B2192="","",IFERROR(INDEX('Share classes'!$F$4:$F$203,MATCH(B2192,'Share classes'!$B$4:$B$203,0)),""))</f>
        <v/>
      </c>
      <c r="N2192" s="30">
        <f>IF(A2192="","",IF(K2192="","Unknown holder ID",IF(J2192="","Unknown class code",IF(OR(C2192="",D2192=""),"Missing shares or date",IF(OR(C2192&lt;0,C2192&lt;&gt;INT(C2192)),"Shares must be a whole number",IF(COUNTIFS($A$4:$A$2503,A2192,$B$4:$B$2503,B2192,$D$4:$D$2503,D2192)&gt;1,"Duplicate row (same date)","OK"))))))</f>
        <v/>
      </c>
    </row>
    <row r="2193">
      <c r="A2193" s="26" t="n"/>
      <c r="B2193" s="26" t="n"/>
      <c r="C2193" s="34" t="n"/>
      <c r="D2193" s="28" t="n"/>
      <c r="E2193" s="26" t="n"/>
      <c r="F2193" s="26" t="n"/>
      <c r="G2193" s="26" t="n"/>
      <c r="H2193" s="38" t="n"/>
      <c r="I2193" s="28" t="n"/>
      <c r="J2193" s="30">
        <f>IF(B2193="","",IFERROR(INDEX('Share classes'!$A$4:$A$203,MATCH(B2193,'Share classes'!$B$4:$B$203,0)),""))</f>
        <v/>
      </c>
      <c r="K2193" s="30">
        <f>IF(A2193="","",IFERROR(INDEX('Holders'!$B$4:$B$1003,MATCH(A2193,'Holders'!$A$4:$A$1003,0)),""))</f>
        <v/>
      </c>
      <c r="L2193" s="30">
        <f>IF(OR(A2193="",B2193="",D2193=""),"",IF(D2193=_xlfn.MAXIFS($D$4:$D$2503,$A$4:$A$2503,A2193,$B$4:$B$2503,B2193),"Yes","No"))</f>
        <v/>
      </c>
      <c r="M2193" s="30">
        <f>IF(B2193="","",IFERROR(INDEX('Share classes'!$F$4:$F$203,MATCH(B2193,'Share classes'!$B$4:$B$203,0)),""))</f>
        <v/>
      </c>
      <c r="N2193" s="30">
        <f>IF(A2193="","",IF(K2193="","Unknown holder ID",IF(J2193="","Unknown class code",IF(OR(C2193="",D2193=""),"Missing shares or date",IF(OR(C2193&lt;0,C2193&lt;&gt;INT(C2193)),"Shares must be a whole number",IF(COUNTIFS($A$4:$A$2503,A2193,$B$4:$B$2503,B2193,$D$4:$D$2503,D2193)&gt;1,"Duplicate row (same date)","OK"))))))</f>
        <v/>
      </c>
    </row>
    <row r="2194">
      <c r="A2194" s="26" t="n"/>
      <c r="B2194" s="26" t="n"/>
      <c r="C2194" s="34" t="n"/>
      <c r="D2194" s="28" t="n"/>
      <c r="E2194" s="26" t="n"/>
      <c r="F2194" s="26" t="n"/>
      <c r="G2194" s="26" t="n"/>
      <c r="H2194" s="38" t="n"/>
      <c r="I2194" s="28" t="n"/>
      <c r="J2194" s="30">
        <f>IF(B2194="","",IFERROR(INDEX('Share classes'!$A$4:$A$203,MATCH(B2194,'Share classes'!$B$4:$B$203,0)),""))</f>
        <v/>
      </c>
      <c r="K2194" s="30">
        <f>IF(A2194="","",IFERROR(INDEX('Holders'!$B$4:$B$1003,MATCH(A2194,'Holders'!$A$4:$A$1003,0)),""))</f>
        <v/>
      </c>
      <c r="L2194" s="30">
        <f>IF(OR(A2194="",B2194="",D2194=""),"",IF(D2194=_xlfn.MAXIFS($D$4:$D$2503,$A$4:$A$2503,A2194,$B$4:$B$2503,B2194),"Yes","No"))</f>
        <v/>
      </c>
      <c r="M2194" s="30">
        <f>IF(B2194="","",IFERROR(INDEX('Share classes'!$F$4:$F$203,MATCH(B2194,'Share classes'!$B$4:$B$203,0)),""))</f>
        <v/>
      </c>
      <c r="N2194" s="30">
        <f>IF(A2194="","",IF(K2194="","Unknown holder ID",IF(J2194="","Unknown class code",IF(OR(C2194="",D2194=""),"Missing shares or date",IF(OR(C2194&lt;0,C2194&lt;&gt;INT(C2194)),"Shares must be a whole number",IF(COUNTIFS($A$4:$A$2503,A2194,$B$4:$B$2503,B2194,$D$4:$D$2503,D2194)&gt;1,"Duplicate row (same date)","OK"))))))</f>
        <v/>
      </c>
    </row>
    <row r="2195">
      <c r="A2195" s="26" t="n"/>
      <c r="B2195" s="26" t="n"/>
      <c r="C2195" s="34" t="n"/>
      <c r="D2195" s="28" t="n"/>
      <c r="E2195" s="26" t="n"/>
      <c r="F2195" s="26" t="n"/>
      <c r="G2195" s="26" t="n"/>
      <c r="H2195" s="38" t="n"/>
      <c r="I2195" s="28" t="n"/>
      <c r="J2195" s="30">
        <f>IF(B2195="","",IFERROR(INDEX('Share classes'!$A$4:$A$203,MATCH(B2195,'Share classes'!$B$4:$B$203,0)),""))</f>
        <v/>
      </c>
      <c r="K2195" s="30">
        <f>IF(A2195="","",IFERROR(INDEX('Holders'!$B$4:$B$1003,MATCH(A2195,'Holders'!$A$4:$A$1003,0)),""))</f>
        <v/>
      </c>
      <c r="L2195" s="30">
        <f>IF(OR(A2195="",B2195="",D2195=""),"",IF(D2195=_xlfn.MAXIFS($D$4:$D$2503,$A$4:$A$2503,A2195,$B$4:$B$2503,B2195),"Yes","No"))</f>
        <v/>
      </c>
      <c r="M2195" s="30">
        <f>IF(B2195="","",IFERROR(INDEX('Share classes'!$F$4:$F$203,MATCH(B2195,'Share classes'!$B$4:$B$203,0)),""))</f>
        <v/>
      </c>
      <c r="N2195" s="30">
        <f>IF(A2195="","",IF(K2195="","Unknown holder ID",IF(J2195="","Unknown class code",IF(OR(C2195="",D2195=""),"Missing shares or date",IF(OR(C2195&lt;0,C2195&lt;&gt;INT(C2195)),"Shares must be a whole number",IF(COUNTIFS($A$4:$A$2503,A2195,$B$4:$B$2503,B2195,$D$4:$D$2503,D2195)&gt;1,"Duplicate row (same date)","OK"))))))</f>
        <v/>
      </c>
    </row>
    <row r="2196">
      <c r="A2196" s="26" t="n"/>
      <c r="B2196" s="26" t="n"/>
      <c r="C2196" s="34" t="n"/>
      <c r="D2196" s="28" t="n"/>
      <c r="E2196" s="26" t="n"/>
      <c r="F2196" s="26" t="n"/>
      <c r="G2196" s="26" t="n"/>
      <c r="H2196" s="38" t="n"/>
      <c r="I2196" s="28" t="n"/>
      <c r="J2196" s="30">
        <f>IF(B2196="","",IFERROR(INDEX('Share classes'!$A$4:$A$203,MATCH(B2196,'Share classes'!$B$4:$B$203,0)),""))</f>
        <v/>
      </c>
      <c r="K2196" s="30">
        <f>IF(A2196="","",IFERROR(INDEX('Holders'!$B$4:$B$1003,MATCH(A2196,'Holders'!$A$4:$A$1003,0)),""))</f>
        <v/>
      </c>
      <c r="L2196" s="30">
        <f>IF(OR(A2196="",B2196="",D2196=""),"",IF(D2196=_xlfn.MAXIFS($D$4:$D$2503,$A$4:$A$2503,A2196,$B$4:$B$2503,B2196),"Yes","No"))</f>
        <v/>
      </c>
      <c r="M2196" s="30">
        <f>IF(B2196="","",IFERROR(INDEX('Share classes'!$F$4:$F$203,MATCH(B2196,'Share classes'!$B$4:$B$203,0)),""))</f>
        <v/>
      </c>
      <c r="N2196" s="30">
        <f>IF(A2196="","",IF(K2196="","Unknown holder ID",IF(J2196="","Unknown class code",IF(OR(C2196="",D2196=""),"Missing shares or date",IF(OR(C2196&lt;0,C2196&lt;&gt;INT(C2196)),"Shares must be a whole number",IF(COUNTIFS($A$4:$A$2503,A2196,$B$4:$B$2503,B2196,$D$4:$D$2503,D2196)&gt;1,"Duplicate row (same date)","OK"))))))</f>
        <v/>
      </c>
    </row>
    <row r="2197">
      <c r="A2197" s="26" t="n"/>
      <c r="B2197" s="26" t="n"/>
      <c r="C2197" s="34" t="n"/>
      <c r="D2197" s="28" t="n"/>
      <c r="E2197" s="26" t="n"/>
      <c r="F2197" s="26" t="n"/>
      <c r="G2197" s="26" t="n"/>
      <c r="H2197" s="38" t="n"/>
      <c r="I2197" s="28" t="n"/>
      <c r="J2197" s="30">
        <f>IF(B2197="","",IFERROR(INDEX('Share classes'!$A$4:$A$203,MATCH(B2197,'Share classes'!$B$4:$B$203,0)),""))</f>
        <v/>
      </c>
      <c r="K2197" s="30">
        <f>IF(A2197="","",IFERROR(INDEX('Holders'!$B$4:$B$1003,MATCH(A2197,'Holders'!$A$4:$A$1003,0)),""))</f>
        <v/>
      </c>
      <c r="L2197" s="30">
        <f>IF(OR(A2197="",B2197="",D2197=""),"",IF(D2197=_xlfn.MAXIFS($D$4:$D$2503,$A$4:$A$2503,A2197,$B$4:$B$2503,B2197),"Yes","No"))</f>
        <v/>
      </c>
      <c r="M2197" s="30">
        <f>IF(B2197="","",IFERROR(INDEX('Share classes'!$F$4:$F$203,MATCH(B2197,'Share classes'!$B$4:$B$203,0)),""))</f>
        <v/>
      </c>
      <c r="N2197" s="30">
        <f>IF(A2197="","",IF(K2197="","Unknown holder ID",IF(J2197="","Unknown class code",IF(OR(C2197="",D2197=""),"Missing shares or date",IF(OR(C2197&lt;0,C2197&lt;&gt;INT(C2197)),"Shares must be a whole number",IF(COUNTIFS($A$4:$A$2503,A2197,$B$4:$B$2503,B2197,$D$4:$D$2503,D2197)&gt;1,"Duplicate row (same date)","OK"))))))</f>
        <v/>
      </c>
    </row>
    <row r="2198">
      <c r="A2198" s="26" t="n"/>
      <c r="B2198" s="26" t="n"/>
      <c r="C2198" s="34" t="n"/>
      <c r="D2198" s="28" t="n"/>
      <c r="E2198" s="26" t="n"/>
      <c r="F2198" s="26" t="n"/>
      <c r="G2198" s="26" t="n"/>
      <c r="H2198" s="38" t="n"/>
      <c r="I2198" s="28" t="n"/>
      <c r="J2198" s="30">
        <f>IF(B2198="","",IFERROR(INDEX('Share classes'!$A$4:$A$203,MATCH(B2198,'Share classes'!$B$4:$B$203,0)),""))</f>
        <v/>
      </c>
      <c r="K2198" s="30">
        <f>IF(A2198="","",IFERROR(INDEX('Holders'!$B$4:$B$1003,MATCH(A2198,'Holders'!$A$4:$A$1003,0)),""))</f>
        <v/>
      </c>
      <c r="L2198" s="30">
        <f>IF(OR(A2198="",B2198="",D2198=""),"",IF(D2198=_xlfn.MAXIFS($D$4:$D$2503,$A$4:$A$2503,A2198,$B$4:$B$2503,B2198),"Yes","No"))</f>
        <v/>
      </c>
      <c r="M2198" s="30">
        <f>IF(B2198="","",IFERROR(INDEX('Share classes'!$F$4:$F$203,MATCH(B2198,'Share classes'!$B$4:$B$203,0)),""))</f>
        <v/>
      </c>
      <c r="N2198" s="30">
        <f>IF(A2198="","",IF(K2198="","Unknown holder ID",IF(J2198="","Unknown class code",IF(OR(C2198="",D2198=""),"Missing shares or date",IF(OR(C2198&lt;0,C2198&lt;&gt;INT(C2198)),"Shares must be a whole number",IF(COUNTIFS($A$4:$A$2503,A2198,$B$4:$B$2503,B2198,$D$4:$D$2503,D2198)&gt;1,"Duplicate row (same date)","OK"))))))</f>
        <v/>
      </c>
    </row>
    <row r="2199">
      <c r="A2199" s="26" t="n"/>
      <c r="B2199" s="26" t="n"/>
      <c r="C2199" s="34" t="n"/>
      <c r="D2199" s="28" t="n"/>
      <c r="E2199" s="26" t="n"/>
      <c r="F2199" s="26" t="n"/>
      <c r="G2199" s="26" t="n"/>
      <c r="H2199" s="38" t="n"/>
      <c r="I2199" s="28" t="n"/>
      <c r="J2199" s="30">
        <f>IF(B2199="","",IFERROR(INDEX('Share classes'!$A$4:$A$203,MATCH(B2199,'Share classes'!$B$4:$B$203,0)),""))</f>
        <v/>
      </c>
      <c r="K2199" s="30">
        <f>IF(A2199="","",IFERROR(INDEX('Holders'!$B$4:$B$1003,MATCH(A2199,'Holders'!$A$4:$A$1003,0)),""))</f>
        <v/>
      </c>
      <c r="L2199" s="30">
        <f>IF(OR(A2199="",B2199="",D2199=""),"",IF(D2199=_xlfn.MAXIFS($D$4:$D$2503,$A$4:$A$2503,A2199,$B$4:$B$2503,B2199),"Yes","No"))</f>
        <v/>
      </c>
      <c r="M2199" s="30">
        <f>IF(B2199="","",IFERROR(INDEX('Share classes'!$F$4:$F$203,MATCH(B2199,'Share classes'!$B$4:$B$203,0)),""))</f>
        <v/>
      </c>
      <c r="N2199" s="30">
        <f>IF(A2199="","",IF(K2199="","Unknown holder ID",IF(J2199="","Unknown class code",IF(OR(C2199="",D2199=""),"Missing shares or date",IF(OR(C2199&lt;0,C2199&lt;&gt;INT(C2199)),"Shares must be a whole number",IF(COUNTIFS($A$4:$A$2503,A2199,$B$4:$B$2503,B2199,$D$4:$D$2503,D2199)&gt;1,"Duplicate row (same date)","OK"))))))</f>
        <v/>
      </c>
    </row>
    <row r="2200">
      <c r="A2200" s="26" t="n"/>
      <c r="B2200" s="26" t="n"/>
      <c r="C2200" s="34" t="n"/>
      <c r="D2200" s="28" t="n"/>
      <c r="E2200" s="26" t="n"/>
      <c r="F2200" s="26" t="n"/>
      <c r="G2200" s="26" t="n"/>
      <c r="H2200" s="38" t="n"/>
      <c r="I2200" s="28" t="n"/>
      <c r="J2200" s="30">
        <f>IF(B2200="","",IFERROR(INDEX('Share classes'!$A$4:$A$203,MATCH(B2200,'Share classes'!$B$4:$B$203,0)),""))</f>
        <v/>
      </c>
      <c r="K2200" s="30">
        <f>IF(A2200="","",IFERROR(INDEX('Holders'!$B$4:$B$1003,MATCH(A2200,'Holders'!$A$4:$A$1003,0)),""))</f>
        <v/>
      </c>
      <c r="L2200" s="30">
        <f>IF(OR(A2200="",B2200="",D2200=""),"",IF(D2200=_xlfn.MAXIFS($D$4:$D$2503,$A$4:$A$2503,A2200,$B$4:$B$2503,B2200),"Yes","No"))</f>
        <v/>
      </c>
      <c r="M2200" s="30">
        <f>IF(B2200="","",IFERROR(INDEX('Share classes'!$F$4:$F$203,MATCH(B2200,'Share classes'!$B$4:$B$203,0)),""))</f>
        <v/>
      </c>
      <c r="N2200" s="30">
        <f>IF(A2200="","",IF(K2200="","Unknown holder ID",IF(J2200="","Unknown class code",IF(OR(C2200="",D2200=""),"Missing shares or date",IF(OR(C2200&lt;0,C2200&lt;&gt;INT(C2200)),"Shares must be a whole number",IF(COUNTIFS($A$4:$A$2503,A2200,$B$4:$B$2503,B2200,$D$4:$D$2503,D2200)&gt;1,"Duplicate row (same date)","OK"))))))</f>
        <v/>
      </c>
    </row>
    <row r="2201">
      <c r="A2201" s="26" t="n"/>
      <c r="B2201" s="26" t="n"/>
      <c r="C2201" s="34" t="n"/>
      <c r="D2201" s="28" t="n"/>
      <c r="E2201" s="26" t="n"/>
      <c r="F2201" s="26" t="n"/>
      <c r="G2201" s="26" t="n"/>
      <c r="H2201" s="38" t="n"/>
      <c r="I2201" s="28" t="n"/>
      <c r="J2201" s="30">
        <f>IF(B2201="","",IFERROR(INDEX('Share classes'!$A$4:$A$203,MATCH(B2201,'Share classes'!$B$4:$B$203,0)),""))</f>
        <v/>
      </c>
      <c r="K2201" s="30">
        <f>IF(A2201="","",IFERROR(INDEX('Holders'!$B$4:$B$1003,MATCH(A2201,'Holders'!$A$4:$A$1003,0)),""))</f>
        <v/>
      </c>
      <c r="L2201" s="30">
        <f>IF(OR(A2201="",B2201="",D2201=""),"",IF(D2201=_xlfn.MAXIFS($D$4:$D$2503,$A$4:$A$2503,A2201,$B$4:$B$2503,B2201),"Yes","No"))</f>
        <v/>
      </c>
      <c r="M2201" s="30">
        <f>IF(B2201="","",IFERROR(INDEX('Share classes'!$F$4:$F$203,MATCH(B2201,'Share classes'!$B$4:$B$203,0)),""))</f>
        <v/>
      </c>
      <c r="N2201" s="30">
        <f>IF(A2201="","",IF(K2201="","Unknown holder ID",IF(J2201="","Unknown class code",IF(OR(C2201="",D2201=""),"Missing shares or date",IF(OR(C2201&lt;0,C2201&lt;&gt;INT(C2201)),"Shares must be a whole number",IF(COUNTIFS($A$4:$A$2503,A2201,$B$4:$B$2503,B2201,$D$4:$D$2503,D2201)&gt;1,"Duplicate row (same date)","OK"))))))</f>
        <v/>
      </c>
    </row>
    <row r="2202">
      <c r="A2202" s="26" t="n"/>
      <c r="B2202" s="26" t="n"/>
      <c r="C2202" s="34" t="n"/>
      <c r="D2202" s="28" t="n"/>
      <c r="E2202" s="26" t="n"/>
      <c r="F2202" s="26" t="n"/>
      <c r="G2202" s="26" t="n"/>
      <c r="H2202" s="38" t="n"/>
      <c r="I2202" s="28" t="n"/>
      <c r="J2202" s="30">
        <f>IF(B2202="","",IFERROR(INDEX('Share classes'!$A$4:$A$203,MATCH(B2202,'Share classes'!$B$4:$B$203,0)),""))</f>
        <v/>
      </c>
      <c r="K2202" s="30">
        <f>IF(A2202="","",IFERROR(INDEX('Holders'!$B$4:$B$1003,MATCH(A2202,'Holders'!$A$4:$A$1003,0)),""))</f>
        <v/>
      </c>
      <c r="L2202" s="30">
        <f>IF(OR(A2202="",B2202="",D2202=""),"",IF(D2202=_xlfn.MAXIFS($D$4:$D$2503,$A$4:$A$2503,A2202,$B$4:$B$2503,B2202),"Yes","No"))</f>
        <v/>
      </c>
      <c r="M2202" s="30">
        <f>IF(B2202="","",IFERROR(INDEX('Share classes'!$F$4:$F$203,MATCH(B2202,'Share classes'!$B$4:$B$203,0)),""))</f>
        <v/>
      </c>
      <c r="N2202" s="30">
        <f>IF(A2202="","",IF(K2202="","Unknown holder ID",IF(J2202="","Unknown class code",IF(OR(C2202="",D2202=""),"Missing shares or date",IF(OR(C2202&lt;0,C2202&lt;&gt;INT(C2202)),"Shares must be a whole number",IF(COUNTIFS($A$4:$A$2503,A2202,$B$4:$B$2503,B2202,$D$4:$D$2503,D2202)&gt;1,"Duplicate row (same date)","OK"))))))</f>
        <v/>
      </c>
    </row>
    <row r="2203">
      <c r="A2203" s="26" t="n"/>
      <c r="B2203" s="26" t="n"/>
      <c r="C2203" s="34" t="n"/>
      <c r="D2203" s="28" t="n"/>
      <c r="E2203" s="26" t="n"/>
      <c r="F2203" s="26" t="n"/>
      <c r="G2203" s="26" t="n"/>
      <c r="H2203" s="38" t="n"/>
      <c r="I2203" s="28" t="n"/>
      <c r="J2203" s="30">
        <f>IF(B2203="","",IFERROR(INDEX('Share classes'!$A$4:$A$203,MATCH(B2203,'Share classes'!$B$4:$B$203,0)),""))</f>
        <v/>
      </c>
      <c r="K2203" s="30">
        <f>IF(A2203="","",IFERROR(INDEX('Holders'!$B$4:$B$1003,MATCH(A2203,'Holders'!$A$4:$A$1003,0)),""))</f>
        <v/>
      </c>
      <c r="L2203" s="30">
        <f>IF(OR(A2203="",B2203="",D2203=""),"",IF(D2203=_xlfn.MAXIFS($D$4:$D$2503,$A$4:$A$2503,A2203,$B$4:$B$2503,B2203),"Yes","No"))</f>
        <v/>
      </c>
      <c r="M2203" s="30">
        <f>IF(B2203="","",IFERROR(INDEX('Share classes'!$F$4:$F$203,MATCH(B2203,'Share classes'!$B$4:$B$203,0)),""))</f>
        <v/>
      </c>
      <c r="N2203" s="30">
        <f>IF(A2203="","",IF(K2203="","Unknown holder ID",IF(J2203="","Unknown class code",IF(OR(C2203="",D2203=""),"Missing shares or date",IF(OR(C2203&lt;0,C2203&lt;&gt;INT(C2203)),"Shares must be a whole number",IF(COUNTIFS($A$4:$A$2503,A2203,$B$4:$B$2503,B2203,$D$4:$D$2503,D2203)&gt;1,"Duplicate row (same date)","OK"))))))</f>
        <v/>
      </c>
    </row>
    <row r="2204">
      <c r="A2204" s="26" t="n"/>
      <c r="B2204" s="26" t="n"/>
      <c r="C2204" s="34" t="n"/>
      <c r="D2204" s="28" t="n"/>
      <c r="E2204" s="26" t="n"/>
      <c r="F2204" s="26" t="n"/>
      <c r="G2204" s="26" t="n"/>
      <c r="H2204" s="38" t="n"/>
      <c r="I2204" s="28" t="n"/>
      <c r="J2204" s="30">
        <f>IF(B2204="","",IFERROR(INDEX('Share classes'!$A$4:$A$203,MATCH(B2204,'Share classes'!$B$4:$B$203,0)),""))</f>
        <v/>
      </c>
      <c r="K2204" s="30">
        <f>IF(A2204="","",IFERROR(INDEX('Holders'!$B$4:$B$1003,MATCH(A2204,'Holders'!$A$4:$A$1003,0)),""))</f>
        <v/>
      </c>
      <c r="L2204" s="30">
        <f>IF(OR(A2204="",B2204="",D2204=""),"",IF(D2204=_xlfn.MAXIFS($D$4:$D$2503,$A$4:$A$2503,A2204,$B$4:$B$2503,B2204),"Yes","No"))</f>
        <v/>
      </c>
      <c r="M2204" s="30">
        <f>IF(B2204="","",IFERROR(INDEX('Share classes'!$F$4:$F$203,MATCH(B2204,'Share classes'!$B$4:$B$203,0)),""))</f>
        <v/>
      </c>
      <c r="N2204" s="30">
        <f>IF(A2204="","",IF(K2204="","Unknown holder ID",IF(J2204="","Unknown class code",IF(OR(C2204="",D2204=""),"Missing shares or date",IF(OR(C2204&lt;0,C2204&lt;&gt;INT(C2204)),"Shares must be a whole number",IF(COUNTIFS($A$4:$A$2503,A2204,$B$4:$B$2503,B2204,$D$4:$D$2503,D2204)&gt;1,"Duplicate row (same date)","OK"))))))</f>
        <v/>
      </c>
    </row>
    <row r="2205">
      <c r="A2205" s="26" t="n"/>
      <c r="B2205" s="26" t="n"/>
      <c r="C2205" s="34" t="n"/>
      <c r="D2205" s="28" t="n"/>
      <c r="E2205" s="26" t="n"/>
      <c r="F2205" s="26" t="n"/>
      <c r="G2205" s="26" t="n"/>
      <c r="H2205" s="38" t="n"/>
      <c r="I2205" s="28" t="n"/>
      <c r="J2205" s="30">
        <f>IF(B2205="","",IFERROR(INDEX('Share classes'!$A$4:$A$203,MATCH(B2205,'Share classes'!$B$4:$B$203,0)),""))</f>
        <v/>
      </c>
      <c r="K2205" s="30">
        <f>IF(A2205="","",IFERROR(INDEX('Holders'!$B$4:$B$1003,MATCH(A2205,'Holders'!$A$4:$A$1003,0)),""))</f>
        <v/>
      </c>
      <c r="L2205" s="30">
        <f>IF(OR(A2205="",B2205="",D2205=""),"",IF(D2205=_xlfn.MAXIFS($D$4:$D$2503,$A$4:$A$2503,A2205,$B$4:$B$2503,B2205),"Yes","No"))</f>
        <v/>
      </c>
      <c r="M2205" s="30">
        <f>IF(B2205="","",IFERROR(INDEX('Share classes'!$F$4:$F$203,MATCH(B2205,'Share classes'!$B$4:$B$203,0)),""))</f>
        <v/>
      </c>
      <c r="N2205" s="30">
        <f>IF(A2205="","",IF(K2205="","Unknown holder ID",IF(J2205="","Unknown class code",IF(OR(C2205="",D2205=""),"Missing shares or date",IF(OR(C2205&lt;0,C2205&lt;&gt;INT(C2205)),"Shares must be a whole number",IF(COUNTIFS($A$4:$A$2503,A2205,$B$4:$B$2503,B2205,$D$4:$D$2503,D2205)&gt;1,"Duplicate row (same date)","OK"))))))</f>
        <v/>
      </c>
    </row>
    <row r="2206">
      <c r="A2206" s="26" t="n"/>
      <c r="B2206" s="26" t="n"/>
      <c r="C2206" s="34" t="n"/>
      <c r="D2206" s="28" t="n"/>
      <c r="E2206" s="26" t="n"/>
      <c r="F2206" s="26" t="n"/>
      <c r="G2206" s="26" t="n"/>
      <c r="H2206" s="38" t="n"/>
      <c r="I2206" s="28" t="n"/>
      <c r="J2206" s="30">
        <f>IF(B2206="","",IFERROR(INDEX('Share classes'!$A$4:$A$203,MATCH(B2206,'Share classes'!$B$4:$B$203,0)),""))</f>
        <v/>
      </c>
      <c r="K2206" s="30">
        <f>IF(A2206="","",IFERROR(INDEX('Holders'!$B$4:$B$1003,MATCH(A2206,'Holders'!$A$4:$A$1003,0)),""))</f>
        <v/>
      </c>
      <c r="L2206" s="30">
        <f>IF(OR(A2206="",B2206="",D2206=""),"",IF(D2206=_xlfn.MAXIFS($D$4:$D$2503,$A$4:$A$2503,A2206,$B$4:$B$2503,B2206),"Yes","No"))</f>
        <v/>
      </c>
      <c r="M2206" s="30">
        <f>IF(B2206="","",IFERROR(INDEX('Share classes'!$F$4:$F$203,MATCH(B2206,'Share classes'!$B$4:$B$203,0)),""))</f>
        <v/>
      </c>
      <c r="N2206" s="30">
        <f>IF(A2206="","",IF(K2206="","Unknown holder ID",IF(J2206="","Unknown class code",IF(OR(C2206="",D2206=""),"Missing shares or date",IF(OR(C2206&lt;0,C2206&lt;&gt;INT(C2206)),"Shares must be a whole number",IF(COUNTIFS($A$4:$A$2503,A2206,$B$4:$B$2503,B2206,$D$4:$D$2503,D2206)&gt;1,"Duplicate row (same date)","OK"))))))</f>
        <v/>
      </c>
    </row>
    <row r="2207">
      <c r="A2207" s="26" t="n"/>
      <c r="B2207" s="26" t="n"/>
      <c r="C2207" s="34" t="n"/>
      <c r="D2207" s="28" t="n"/>
      <c r="E2207" s="26" t="n"/>
      <c r="F2207" s="26" t="n"/>
      <c r="G2207" s="26" t="n"/>
      <c r="H2207" s="38" t="n"/>
      <c r="I2207" s="28" t="n"/>
      <c r="J2207" s="30">
        <f>IF(B2207="","",IFERROR(INDEX('Share classes'!$A$4:$A$203,MATCH(B2207,'Share classes'!$B$4:$B$203,0)),""))</f>
        <v/>
      </c>
      <c r="K2207" s="30">
        <f>IF(A2207="","",IFERROR(INDEX('Holders'!$B$4:$B$1003,MATCH(A2207,'Holders'!$A$4:$A$1003,0)),""))</f>
        <v/>
      </c>
      <c r="L2207" s="30">
        <f>IF(OR(A2207="",B2207="",D2207=""),"",IF(D2207=_xlfn.MAXIFS($D$4:$D$2503,$A$4:$A$2503,A2207,$B$4:$B$2503,B2207),"Yes","No"))</f>
        <v/>
      </c>
      <c r="M2207" s="30">
        <f>IF(B2207="","",IFERROR(INDEX('Share classes'!$F$4:$F$203,MATCH(B2207,'Share classes'!$B$4:$B$203,0)),""))</f>
        <v/>
      </c>
      <c r="N2207" s="30">
        <f>IF(A2207="","",IF(K2207="","Unknown holder ID",IF(J2207="","Unknown class code",IF(OR(C2207="",D2207=""),"Missing shares or date",IF(OR(C2207&lt;0,C2207&lt;&gt;INT(C2207)),"Shares must be a whole number",IF(COUNTIFS($A$4:$A$2503,A2207,$B$4:$B$2503,B2207,$D$4:$D$2503,D2207)&gt;1,"Duplicate row (same date)","OK"))))))</f>
        <v/>
      </c>
    </row>
    <row r="2208">
      <c r="A2208" s="26" t="n"/>
      <c r="B2208" s="26" t="n"/>
      <c r="C2208" s="34" t="n"/>
      <c r="D2208" s="28" t="n"/>
      <c r="E2208" s="26" t="n"/>
      <c r="F2208" s="26" t="n"/>
      <c r="G2208" s="26" t="n"/>
      <c r="H2208" s="38" t="n"/>
      <c r="I2208" s="28" t="n"/>
      <c r="J2208" s="30">
        <f>IF(B2208="","",IFERROR(INDEX('Share classes'!$A$4:$A$203,MATCH(B2208,'Share classes'!$B$4:$B$203,0)),""))</f>
        <v/>
      </c>
      <c r="K2208" s="30">
        <f>IF(A2208="","",IFERROR(INDEX('Holders'!$B$4:$B$1003,MATCH(A2208,'Holders'!$A$4:$A$1003,0)),""))</f>
        <v/>
      </c>
      <c r="L2208" s="30">
        <f>IF(OR(A2208="",B2208="",D2208=""),"",IF(D2208=_xlfn.MAXIFS($D$4:$D$2503,$A$4:$A$2503,A2208,$B$4:$B$2503,B2208),"Yes","No"))</f>
        <v/>
      </c>
      <c r="M2208" s="30">
        <f>IF(B2208="","",IFERROR(INDEX('Share classes'!$F$4:$F$203,MATCH(B2208,'Share classes'!$B$4:$B$203,0)),""))</f>
        <v/>
      </c>
      <c r="N2208" s="30">
        <f>IF(A2208="","",IF(K2208="","Unknown holder ID",IF(J2208="","Unknown class code",IF(OR(C2208="",D2208=""),"Missing shares or date",IF(OR(C2208&lt;0,C2208&lt;&gt;INT(C2208)),"Shares must be a whole number",IF(COUNTIFS($A$4:$A$2503,A2208,$B$4:$B$2503,B2208,$D$4:$D$2503,D2208)&gt;1,"Duplicate row (same date)","OK"))))))</f>
        <v/>
      </c>
    </row>
    <row r="2209">
      <c r="A2209" s="26" t="n"/>
      <c r="B2209" s="26" t="n"/>
      <c r="C2209" s="34" t="n"/>
      <c r="D2209" s="28" t="n"/>
      <c r="E2209" s="26" t="n"/>
      <c r="F2209" s="26" t="n"/>
      <c r="G2209" s="26" t="n"/>
      <c r="H2209" s="38" t="n"/>
      <c r="I2209" s="28" t="n"/>
      <c r="J2209" s="30">
        <f>IF(B2209="","",IFERROR(INDEX('Share classes'!$A$4:$A$203,MATCH(B2209,'Share classes'!$B$4:$B$203,0)),""))</f>
        <v/>
      </c>
      <c r="K2209" s="30">
        <f>IF(A2209="","",IFERROR(INDEX('Holders'!$B$4:$B$1003,MATCH(A2209,'Holders'!$A$4:$A$1003,0)),""))</f>
        <v/>
      </c>
      <c r="L2209" s="30">
        <f>IF(OR(A2209="",B2209="",D2209=""),"",IF(D2209=_xlfn.MAXIFS($D$4:$D$2503,$A$4:$A$2503,A2209,$B$4:$B$2503,B2209),"Yes","No"))</f>
        <v/>
      </c>
      <c r="M2209" s="30">
        <f>IF(B2209="","",IFERROR(INDEX('Share classes'!$F$4:$F$203,MATCH(B2209,'Share classes'!$B$4:$B$203,0)),""))</f>
        <v/>
      </c>
      <c r="N2209" s="30">
        <f>IF(A2209="","",IF(K2209="","Unknown holder ID",IF(J2209="","Unknown class code",IF(OR(C2209="",D2209=""),"Missing shares or date",IF(OR(C2209&lt;0,C2209&lt;&gt;INT(C2209)),"Shares must be a whole number",IF(COUNTIFS($A$4:$A$2503,A2209,$B$4:$B$2503,B2209,$D$4:$D$2503,D2209)&gt;1,"Duplicate row (same date)","OK"))))))</f>
        <v/>
      </c>
    </row>
    <row r="2210">
      <c r="A2210" s="26" t="n"/>
      <c r="B2210" s="26" t="n"/>
      <c r="C2210" s="34" t="n"/>
      <c r="D2210" s="28" t="n"/>
      <c r="E2210" s="26" t="n"/>
      <c r="F2210" s="26" t="n"/>
      <c r="G2210" s="26" t="n"/>
      <c r="H2210" s="38" t="n"/>
      <c r="I2210" s="28" t="n"/>
      <c r="J2210" s="30">
        <f>IF(B2210="","",IFERROR(INDEX('Share classes'!$A$4:$A$203,MATCH(B2210,'Share classes'!$B$4:$B$203,0)),""))</f>
        <v/>
      </c>
      <c r="K2210" s="30">
        <f>IF(A2210="","",IFERROR(INDEX('Holders'!$B$4:$B$1003,MATCH(A2210,'Holders'!$A$4:$A$1003,0)),""))</f>
        <v/>
      </c>
      <c r="L2210" s="30">
        <f>IF(OR(A2210="",B2210="",D2210=""),"",IF(D2210=_xlfn.MAXIFS($D$4:$D$2503,$A$4:$A$2503,A2210,$B$4:$B$2503,B2210),"Yes","No"))</f>
        <v/>
      </c>
      <c r="M2210" s="30">
        <f>IF(B2210="","",IFERROR(INDEX('Share classes'!$F$4:$F$203,MATCH(B2210,'Share classes'!$B$4:$B$203,0)),""))</f>
        <v/>
      </c>
      <c r="N2210" s="30">
        <f>IF(A2210="","",IF(K2210="","Unknown holder ID",IF(J2210="","Unknown class code",IF(OR(C2210="",D2210=""),"Missing shares or date",IF(OR(C2210&lt;0,C2210&lt;&gt;INT(C2210)),"Shares must be a whole number",IF(COUNTIFS($A$4:$A$2503,A2210,$B$4:$B$2503,B2210,$D$4:$D$2503,D2210)&gt;1,"Duplicate row (same date)","OK"))))))</f>
        <v/>
      </c>
    </row>
    <row r="2211">
      <c r="A2211" s="26" t="n"/>
      <c r="B2211" s="26" t="n"/>
      <c r="C2211" s="34" t="n"/>
      <c r="D2211" s="28" t="n"/>
      <c r="E2211" s="26" t="n"/>
      <c r="F2211" s="26" t="n"/>
      <c r="G2211" s="26" t="n"/>
      <c r="H2211" s="38" t="n"/>
      <c r="I2211" s="28" t="n"/>
      <c r="J2211" s="30">
        <f>IF(B2211="","",IFERROR(INDEX('Share classes'!$A$4:$A$203,MATCH(B2211,'Share classes'!$B$4:$B$203,0)),""))</f>
        <v/>
      </c>
      <c r="K2211" s="30">
        <f>IF(A2211="","",IFERROR(INDEX('Holders'!$B$4:$B$1003,MATCH(A2211,'Holders'!$A$4:$A$1003,0)),""))</f>
        <v/>
      </c>
      <c r="L2211" s="30">
        <f>IF(OR(A2211="",B2211="",D2211=""),"",IF(D2211=_xlfn.MAXIFS($D$4:$D$2503,$A$4:$A$2503,A2211,$B$4:$B$2503,B2211),"Yes","No"))</f>
        <v/>
      </c>
      <c r="M2211" s="30">
        <f>IF(B2211="","",IFERROR(INDEX('Share classes'!$F$4:$F$203,MATCH(B2211,'Share classes'!$B$4:$B$203,0)),""))</f>
        <v/>
      </c>
      <c r="N2211" s="30">
        <f>IF(A2211="","",IF(K2211="","Unknown holder ID",IF(J2211="","Unknown class code",IF(OR(C2211="",D2211=""),"Missing shares or date",IF(OR(C2211&lt;0,C2211&lt;&gt;INT(C2211)),"Shares must be a whole number",IF(COUNTIFS($A$4:$A$2503,A2211,$B$4:$B$2503,B2211,$D$4:$D$2503,D2211)&gt;1,"Duplicate row (same date)","OK"))))))</f>
        <v/>
      </c>
    </row>
    <row r="2212">
      <c r="A2212" s="26" t="n"/>
      <c r="B2212" s="26" t="n"/>
      <c r="C2212" s="34" t="n"/>
      <c r="D2212" s="28" t="n"/>
      <c r="E2212" s="26" t="n"/>
      <c r="F2212" s="26" t="n"/>
      <c r="G2212" s="26" t="n"/>
      <c r="H2212" s="38" t="n"/>
      <c r="I2212" s="28" t="n"/>
      <c r="J2212" s="30">
        <f>IF(B2212="","",IFERROR(INDEX('Share classes'!$A$4:$A$203,MATCH(B2212,'Share classes'!$B$4:$B$203,0)),""))</f>
        <v/>
      </c>
      <c r="K2212" s="30">
        <f>IF(A2212="","",IFERROR(INDEX('Holders'!$B$4:$B$1003,MATCH(A2212,'Holders'!$A$4:$A$1003,0)),""))</f>
        <v/>
      </c>
      <c r="L2212" s="30">
        <f>IF(OR(A2212="",B2212="",D2212=""),"",IF(D2212=_xlfn.MAXIFS($D$4:$D$2503,$A$4:$A$2503,A2212,$B$4:$B$2503,B2212),"Yes","No"))</f>
        <v/>
      </c>
      <c r="M2212" s="30">
        <f>IF(B2212="","",IFERROR(INDEX('Share classes'!$F$4:$F$203,MATCH(B2212,'Share classes'!$B$4:$B$203,0)),""))</f>
        <v/>
      </c>
      <c r="N2212" s="30">
        <f>IF(A2212="","",IF(K2212="","Unknown holder ID",IF(J2212="","Unknown class code",IF(OR(C2212="",D2212=""),"Missing shares or date",IF(OR(C2212&lt;0,C2212&lt;&gt;INT(C2212)),"Shares must be a whole number",IF(COUNTIFS($A$4:$A$2503,A2212,$B$4:$B$2503,B2212,$D$4:$D$2503,D2212)&gt;1,"Duplicate row (same date)","OK"))))))</f>
        <v/>
      </c>
    </row>
    <row r="2213">
      <c r="A2213" s="26" t="n"/>
      <c r="B2213" s="26" t="n"/>
      <c r="C2213" s="34" t="n"/>
      <c r="D2213" s="28" t="n"/>
      <c r="E2213" s="26" t="n"/>
      <c r="F2213" s="26" t="n"/>
      <c r="G2213" s="26" t="n"/>
      <c r="H2213" s="38" t="n"/>
      <c r="I2213" s="28" t="n"/>
      <c r="J2213" s="30">
        <f>IF(B2213="","",IFERROR(INDEX('Share classes'!$A$4:$A$203,MATCH(B2213,'Share classes'!$B$4:$B$203,0)),""))</f>
        <v/>
      </c>
      <c r="K2213" s="30">
        <f>IF(A2213="","",IFERROR(INDEX('Holders'!$B$4:$B$1003,MATCH(A2213,'Holders'!$A$4:$A$1003,0)),""))</f>
        <v/>
      </c>
      <c r="L2213" s="30">
        <f>IF(OR(A2213="",B2213="",D2213=""),"",IF(D2213=_xlfn.MAXIFS($D$4:$D$2503,$A$4:$A$2503,A2213,$B$4:$B$2503,B2213),"Yes","No"))</f>
        <v/>
      </c>
      <c r="M2213" s="30">
        <f>IF(B2213="","",IFERROR(INDEX('Share classes'!$F$4:$F$203,MATCH(B2213,'Share classes'!$B$4:$B$203,0)),""))</f>
        <v/>
      </c>
      <c r="N2213" s="30">
        <f>IF(A2213="","",IF(K2213="","Unknown holder ID",IF(J2213="","Unknown class code",IF(OR(C2213="",D2213=""),"Missing shares or date",IF(OR(C2213&lt;0,C2213&lt;&gt;INT(C2213)),"Shares must be a whole number",IF(COUNTIFS($A$4:$A$2503,A2213,$B$4:$B$2503,B2213,$D$4:$D$2503,D2213)&gt;1,"Duplicate row (same date)","OK"))))))</f>
        <v/>
      </c>
    </row>
    <row r="2214">
      <c r="A2214" s="26" t="n"/>
      <c r="B2214" s="26" t="n"/>
      <c r="C2214" s="34" t="n"/>
      <c r="D2214" s="28" t="n"/>
      <c r="E2214" s="26" t="n"/>
      <c r="F2214" s="26" t="n"/>
      <c r="G2214" s="26" t="n"/>
      <c r="H2214" s="38" t="n"/>
      <c r="I2214" s="28" t="n"/>
      <c r="J2214" s="30">
        <f>IF(B2214="","",IFERROR(INDEX('Share classes'!$A$4:$A$203,MATCH(B2214,'Share classes'!$B$4:$B$203,0)),""))</f>
        <v/>
      </c>
      <c r="K2214" s="30">
        <f>IF(A2214="","",IFERROR(INDEX('Holders'!$B$4:$B$1003,MATCH(A2214,'Holders'!$A$4:$A$1003,0)),""))</f>
        <v/>
      </c>
      <c r="L2214" s="30">
        <f>IF(OR(A2214="",B2214="",D2214=""),"",IF(D2214=_xlfn.MAXIFS($D$4:$D$2503,$A$4:$A$2503,A2214,$B$4:$B$2503,B2214),"Yes","No"))</f>
        <v/>
      </c>
      <c r="M2214" s="30">
        <f>IF(B2214="","",IFERROR(INDEX('Share classes'!$F$4:$F$203,MATCH(B2214,'Share classes'!$B$4:$B$203,0)),""))</f>
        <v/>
      </c>
      <c r="N2214" s="30">
        <f>IF(A2214="","",IF(K2214="","Unknown holder ID",IF(J2214="","Unknown class code",IF(OR(C2214="",D2214=""),"Missing shares or date",IF(OR(C2214&lt;0,C2214&lt;&gt;INT(C2214)),"Shares must be a whole number",IF(COUNTIFS($A$4:$A$2503,A2214,$B$4:$B$2503,B2214,$D$4:$D$2503,D2214)&gt;1,"Duplicate row (same date)","OK"))))))</f>
        <v/>
      </c>
    </row>
    <row r="2215">
      <c r="A2215" s="26" t="n"/>
      <c r="B2215" s="26" t="n"/>
      <c r="C2215" s="34" t="n"/>
      <c r="D2215" s="28" t="n"/>
      <c r="E2215" s="26" t="n"/>
      <c r="F2215" s="26" t="n"/>
      <c r="G2215" s="26" t="n"/>
      <c r="H2215" s="38" t="n"/>
      <c r="I2215" s="28" t="n"/>
      <c r="J2215" s="30">
        <f>IF(B2215="","",IFERROR(INDEX('Share classes'!$A$4:$A$203,MATCH(B2215,'Share classes'!$B$4:$B$203,0)),""))</f>
        <v/>
      </c>
      <c r="K2215" s="30">
        <f>IF(A2215="","",IFERROR(INDEX('Holders'!$B$4:$B$1003,MATCH(A2215,'Holders'!$A$4:$A$1003,0)),""))</f>
        <v/>
      </c>
      <c r="L2215" s="30">
        <f>IF(OR(A2215="",B2215="",D2215=""),"",IF(D2215=_xlfn.MAXIFS($D$4:$D$2503,$A$4:$A$2503,A2215,$B$4:$B$2503,B2215),"Yes","No"))</f>
        <v/>
      </c>
      <c r="M2215" s="30">
        <f>IF(B2215="","",IFERROR(INDEX('Share classes'!$F$4:$F$203,MATCH(B2215,'Share classes'!$B$4:$B$203,0)),""))</f>
        <v/>
      </c>
      <c r="N2215" s="30">
        <f>IF(A2215="","",IF(K2215="","Unknown holder ID",IF(J2215="","Unknown class code",IF(OR(C2215="",D2215=""),"Missing shares or date",IF(OR(C2215&lt;0,C2215&lt;&gt;INT(C2215)),"Shares must be a whole number",IF(COUNTIFS($A$4:$A$2503,A2215,$B$4:$B$2503,B2215,$D$4:$D$2503,D2215)&gt;1,"Duplicate row (same date)","OK"))))))</f>
        <v/>
      </c>
    </row>
    <row r="2216">
      <c r="A2216" s="26" t="n"/>
      <c r="B2216" s="26" t="n"/>
      <c r="C2216" s="34" t="n"/>
      <c r="D2216" s="28" t="n"/>
      <c r="E2216" s="26" t="n"/>
      <c r="F2216" s="26" t="n"/>
      <c r="G2216" s="26" t="n"/>
      <c r="H2216" s="38" t="n"/>
      <c r="I2216" s="28" t="n"/>
      <c r="J2216" s="30">
        <f>IF(B2216="","",IFERROR(INDEX('Share classes'!$A$4:$A$203,MATCH(B2216,'Share classes'!$B$4:$B$203,0)),""))</f>
        <v/>
      </c>
      <c r="K2216" s="30">
        <f>IF(A2216="","",IFERROR(INDEX('Holders'!$B$4:$B$1003,MATCH(A2216,'Holders'!$A$4:$A$1003,0)),""))</f>
        <v/>
      </c>
      <c r="L2216" s="30">
        <f>IF(OR(A2216="",B2216="",D2216=""),"",IF(D2216=_xlfn.MAXIFS($D$4:$D$2503,$A$4:$A$2503,A2216,$B$4:$B$2503,B2216),"Yes","No"))</f>
        <v/>
      </c>
      <c r="M2216" s="30">
        <f>IF(B2216="","",IFERROR(INDEX('Share classes'!$F$4:$F$203,MATCH(B2216,'Share classes'!$B$4:$B$203,0)),""))</f>
        <v/>
      </c>
      <c r="N2216" s="30">
        <f>IF(A2216="","",IF(K2216="","Unknown holder ID",IF(J2216="","Unknown class code",IF(OR(C2216="",D2216=""),"Missing shares or date",IF(OR(C2216&lt;0,C2216&lt;&gt;INT(C2216)),"Shares must be a whole number",IF(COUNTIFS($A$4:$A$2503,A2216,$B$4:$B$2503,B2216,$D$4:$D$2503,D2216)&gt;1,"Duplicate row (same date)","OK"))))))</f>
        <v/>
      </c>
    </row>
    <row r="2217">
      <c r="A2217" s="26" t="n"/>
      <c r="B2217" s="26" t="n"/>
      <c r="C2217" s="34" t="n"/>
      <c r="D2217" s="28" t="n"/>
      <c r="E2217" s="26" t="n"/>
      <c r="F2217" s="26" t="n"/>
      <c r="G2217" s="26" t="n"/>
      <c r="H2217" s="38" t="n"/>
      <c r="I2217" s="28" t="n"/>
      <c r="J2217" s="30">
        <f>IF(B2217="","",IFERROR(INDEX('Share classes'!$A$4:$A$203,MATCH(B2217,'Share classes'!$B$4:$B$203,0)),""))</f>
        <v/>
      </c>
      <c r="K2217" s="30">
        <f>IF(A2217="","",IFERROR(INDEX('Holders'!$B$4:$B$1003,MATCH(A2217,'Holders'!$A$4:$A$1003,0)),""))</f>
        <v/>
      </c>
      <c r="L2217" s="30">
        <f>IF(OR(A2217="",B2217="",D2217=""),"",IF(D2217=_xlfn.MAXIFS($D$4:$D$2503,$A$4:$A$2503,A2217,$B$4:$B$2503,B2217),"Yes","No"))</f>
        <v/>
      </c>
      <c r="M2217" s="30">
        <f>IF(B2217="","",IFERROR(INDEX('Share classes'!$F$4:$F$203,MATCH(B2217,'Share classes'!$B$4:$B$203,0)),""))</f>
        <v/>
      </c>
      <c r="N2217" s="30">
        <f>IF(A2217="","",IF(K2217="","Unknown holder ID",IF(J2217="","Unknown class code",IF(OR(C2217="",D2217=""),"Missing shares or date",IF(OR(C2217&lt;0,C2217&lt;&gt;INT(C2217)),"Shares must be a whole number",IF(COUNTIFS($A$4:$A$2503,A2217,$B$4:$B$2503,B2217,$D$4:$D$2503,D2217)&gt;1,"Duplicate row (same date)","OK"))))))</f>
        <v/>
      </c>
    </row>
    <row r="2218">
      <c r="A2218" s="26" t="n"/>
      <c r="B2218" s="26" t="n"/>
      <c r="C2218" s="34" t="n"/>
      <c r="D2218" s="28" t="n"/>
      <c r="E2218" s="26" t="n"/>
      <c r="F2218" s="26" t="n"/>
      <c r="G2218" s="26" t="n"/>
      <c r="H2218" s="38" t="n"/>
      <c r="I2218" s="28" t="n"/>
      <c r="J2218" s="30">
        <f>IF(B2218="","",IFERROR(INDEX('Share classes'!$A$4:$A$203,MATCH(B2218,'Share classes'!$B$4:$B$203,0)),""))</f>
        <v/>
      </c>
      <c r="K2218" s="30">
        <f>IF(A2218="","",IFERROR(INDEX('Holders'!$B$4:$B$1003,MATCH(A2218,'Holders'!$A$4:$A$1003,0)),""))</f>
        <v/>
      </c>
      <c r="L2218" s="30">
        <f>IF(OR(A2218="",B2218="",D2218=""),"",IF(D2218=_xlfn.MAXIFS($D$4:$D$2503,$A$4:$A$2503,A2218,$B$4:$B$2503,B2218),"Yes","No"))</f>
        <v/>
      </c>
      <c r="M2218" s="30">
        <f>IF(B2218="","",IFERROR(INDEX('Share classes'!$F$4:$F$203,MATCH(B2218,'Share classes'!$B$4:$B$203,0)),""))</f>
        <v/>
      </c>
      <c r="N2218" s="30">
        <f>IF(A2218="","",IF(K2218="","Unknown holder ID",IF(J2218="","Unknown class code",IF(OR(C2218="",D2218=""),"Missing shares or date",IF(OR(C2218&lt;0,C2218&lt;&gt;INT(C2218)),"Shares must be a whole number",IF(COUNTIFS($A$4:$A$2503,A2218,$B$4:$B$2503,B2218,$D$4:$D$2503,D2218)&gt;1,"Duplicate row (same date)","OK"))))))</f>
        <v/>
      </c>
    </row>
    <row r="2219">
      <c r="A2219" s="26" t="n"/>
      <c r="B2219" s="26" t="n"/>
      <c r="C2219" s="34" t="n"/>
      <c r="D2219" s="28" t="n"/>
      <c r="E2219" s="26" t="n"/>
      <c r="F2219" s="26" t="n"/>
      <c r="G2219" s="26" t="n"/>
      <c r="H2219" s="38" t="n"/>
      <c r="I2219" s="28" t="n"/>
      <c r="J2219" s="30">
        <f>IF(B2219="","",IFERROR(INDEX('Share classes'!$A$4:$A$203,MATCH(B2219,'Share classes'!$B$4:$B$203,0)),""))</f>
        <v/>
      </c>
      <c r="K2219" s="30">
        <f>IF(A2219="","",IFERROR(INDEX('Holders'!$B$4:$B$1003,MATCH(A2219,'Holders'!$A$4:$A$1003,0)),""))</f>
        <v/>
      </c>
      <c r="L2219" s="30">
        <f>IF(OR(A2219="",B2219="",D2219=""),"",IF(D2219=_xlfn.MAXIFS($D$4:$D$2503,$A$4:$A$2503,A2219,$B$4:$B$2503,B2219),"Yes","No"))</f>
        <v/>
      </c>
      <c r="M2219" s="30">
        <f>IF(B2219="","",IFERROR(INDEX('Share classes'!$F$4:$F$203,MATCH(B2219,'Share classes'!$B$4:$B$203,0)),""))</f>
        <v/>
      </c>
      <c r="N2219" s="30">
        <f>IF(A2219="","",IF(K2219="","Unknown holder ID",IF(J2219="","Unknown class code",IF(OR(C2219="",D2219=""),"Missing shares or date",IF(OR(C2219&lt;0,C2219&lt;&gt;INT(C2219)),"Shares must be a whole number",IF(COUNTIFS($A$4:$A$2503,A2219,$B$4:$B$2503,B2219,$D$4:$D$2503,D2219)&gt;1,"Duplicate row (same date)","OK"))))))</f>
        <v/>
      </c>
    </row>
    <row r="2220">
      <c r="A2220" s="26" t="n"/>
      <c r="B2220" s="26" t="n"/>
      <c r="C2220" s="34" t="n"/>
      <c r="D2220" s="28" t="n"/>
      <c r="E2220" s="26" t="n"/>
      <c r="F2220" s="26" t="n"/>
      <c r="G2220" s="26" t="n"/>
      <c r="H2220" s="38" t="n"/>
      <c r="I2220" s="28" t="n"/>
      <c r="J2220" s="30">
        <f>IF(B2220="","",IFERROR(INDEX('Share classes'!$A$4:$A$203,MATCH(B2220,'Share classes'!$B$4:$B$203,0)),""))</f>
        <v/>
      </c>
      <c r="K2220" s="30">
        <f>IF(A2220="","",IFERROR(INDEX('Holders'!$B$4:$B$1003,MATCH(A2220,'Holders'!$A$4:$A$1003,0)),""))</f>
        <v/>
      </c>
      <c r="L2220" s="30">
        <f>IF(OR(A2220="",B2220="",D2220=""),"",IF(D2220=_xlfn.MAXIFS($D$4:$D$2503,$A$4:$A$2503,A2220,$B$4:$B$2503,B2220),"Yes","No"))</f>
        <v/>
      </c>
      <c r="M2220" s="30">
        <f>IF(B2220="","",IFERROR(INDEX('Share classes'!$F$4:$F$203,MATCH(B2220,'Share classes'!$B$4:$B$203,0)),""))</f>
        <v/>
      </c>
      <c r="N2220" s="30">
        <f>IF(A2220="","",IF(K2220="","Unknown holder ID",IF(J2220="","Unknown class code",IF(OR(C2220="",D2220=""),"Missing shares or date",IF(OR(C2220&lt;0,C2220&lt;&gt;INT(C2220)),"Shares must be a whole number",IF(COUNTIFS($A$4:$A$2503,A2220,$B$4:$B$2503,B2220,$D$4:$D$2503,D2220)&gt;1,"Duplicate row (same date)","OK"))))))</f>
        <v/>
      </c>
    </row>
    <row r="2221">
      <c r="A2221" s="26" t="n"/>
      <c r="B2221" s="26" t="n"/>
      <c r="C2221" s="34" t="n"/>
      <c r="D2221" s="28" t="n"/>
      <c r="E2221" s="26" t="n"/>
      <c r="F2221" s="26" t="n"/>
      <c r="G2221" s="26" t="n"/>
      <c r="H2221" s="38" t="n"/>
      <c r="I2221" s="28" t="n"/>
      <c r="J2221" s="30">
        <f>IF(B2221="","",IFERROR(INDEX('Share classes'!$A$4:$A$203,MATCH(B2221,'Share classes'!$B$4:$B$203,0)),""))</f>
        <v/>
      </c>
      <c r="K2221" s="30">
        <f>IF(A2221="","",IFERROR(INDEX('Holders'!$B$4:$B$1003,MATCH(A2221,'Holders'!$A$4:$A$1003,0)),""))</f>
        <v/>
      </c>
      <c r="L2221" s="30">
        <f>IF(OR(A2221="",B2221="",D2221=""),"",IF(D2221=_xlfn.MAXIFS($D$4:$D$2503,$A$4:$A$2503,A2221,$B$4:$B$2503,B2221),"Yes","No"))</f>
        <v/>
      </c>
      <c r="M2221" s="30">
        <f>IF(B2221="","",IFERROR(INDEX('Share classes'!$F$4:$F$203,MATCH(B2221,'Share classes'!$B$4:$B$203,0)),""))</f>
        <v/>
      </c>
      <c r="N2221" s="30">
        <f>IF(A2221="","",IF(K2221="","Unknown holder ID",IF(J2221="","Unknown class code",IF(OR(C2221="",D2221=""),"Missing shares or date",IF(OR(C2221&lt;0,C2221&lt;&gt;INT(C2221)),"Shares must be a whole number",IF(COUNTIFS($A$4:$A$2503,A2221,$B$4:$B$2503,B2221,$D$4:$D$2503,D2221)&gt;1,"Duplicate row (same date)","OK"))))))</f>
        <v/>
      </c>
    </row>
    <row r="2222">
      <c r="A2222" s="26" t="n"/>
      <c r="B2222" s="26" t="n"/>
      <c r="C2222" s="34" t="n"/>
      <c r="D2222" s="28" t="n"/>
      <c r="E2222" s="26" t="n"/>
      <c r="F2222" s="26" t="n"/>
      <c r="G2222" s="26" t="n"/>
      <c r="H2222" s="38" t="n"/>
      <c r="I2222" s="28" t="n"/>
      <c r="J2222" s="30">
        <f>IF(B2222="","",IFERROR(INDEX('Share classes'!$A$4:$A$203,MATCH(B2222,'Share classes'!$B$4:$B$203,0)),""))</f>
        <v/>
      </c>
      <c r="K2222" s="30">
        <f>IF(A2222="","",IFERROR(INDEX('Holders'!$B$4:$B$1003,MATCH(A2222,'Holders'!$A$4:$A$1003,0)),""))</f>
        <v/>
      </c>
      <c r="L2222" s="30">
        <f>IF(OR(A2222="",B2222="",D2222=""),"",IF(D2222=_xlfn.MAXIFS($D$4:$D$2503,$A$4:$A$2503,A2222,$B$4:$B$2503,B2222),"Yes","No"))</f>
        <v/>
      </c>
      <c r="M2222" s="30">
        <f>IF(B2222="","",IFERROR(INDEX('Share classes'!$F$4:$F$203,MATCH(B2222,'Share classes'!$B$4:$B$203,0)),""))</f>
        <v/>
      </c>
      <c r="N2222" s="30">
        <f>IF(A2222="","",IF(K2222="","Unknown holder ID",IF(J2222="","Unknown class code",IF(OR(C2222="",D2222=""),"Missing shares or date",IF(OR(C2222&lt;0,C2222&lt;&gt;INT(C2222)),"Shares must be a whole number",IF(COUNTIFS($A$4:$A$2503,A2222,$B$4:$B$2503,B2222,$D$4:$D$2503,D2222)&gt;1,"Duplicate row (same date)","OK"))))))</f>
        <v/>
      </c>
    </row>
    <row r="2223">
      <c r="A2223" s="26" t="n"/>
      <c r="B2223" s="26" t="n"/>
      <c r="C2223" s="34" t="n"/>
      <c r="D2223" s="28" t="n"/>
      <c r="E2223" s="26" t="n"/>
      <c r="F2223" s="26" t="n"/>
      <c r="G2223" s="26" t="n"/>
      <c r="H2223" s="38" t="n"/>
      <c r="I2223" s="28" t="n"/>
      <c r="J2223" s="30">
        <f>IF(B2223="","",IFERROR(INDEX('Share classes'!$A$4:$A$203,MATCH(B2223,'Share classes'!$B$4:$B$203,0)),""))</f>
        <v/>
      </c>
      <c r="K2223" s="30">
        <f>IF(A2223="","",IFERROR(INDEX('Holders'!$B$4:$B$1003,MATCH(A2223,'Holders'!$A$4:$A$1003,0)),""))</f>
        <v/>
      </c>
      <c r="L2223" s="30">
        <f>IF(OR(A2223="",B2223="",D2223=""),"",IF(D2223=_xlfn.MAXIFS($D$4:$D$2503,$A$4:$A$2503,A2223,$B$4:$B$2503,B2223),"Yes","No"))</f>
        <v/>
      </c>
      <c r="M2223" s="30">
        <f>IF(B2223="","",IFERROR(INDEX('Share classes'!$F$4:$F$203,MATCH(B2223,'Share classes'!$B$4:$B$203,0)),""))</f>
        <v/>
      </c>
      <c r="N2223" s="30">
        <f>IF(A2223="","",IF(K2223="","Unknown holder ID",IF(J2223="","Unknown class code",IF(OR(C2223="",D2223=""),"Missing shares or date",IF(OR(C2223&lt;0,C2223&lt;&gt;INT(C2223)),"Shares must be a whole number",IF(COUNTIFS($A$4:$A$2503,A2223,$B$4:$B$2503,B2223,$D$4:$D$2503,D2223)&gt;1,"Duplicate row (same date)","OK"))))))</f>
        <v/>
      </c>
    </row>
    <row r="2224">
      <c r="A2224" s="26" t="n"/>
      <c r="B2224" s="26" t="n"/>
      <c r="C2224" s="34" t="n"/>
      <c r="D2224" s="28" t="n"/>
      <c r="E2224" s="26" t="n"/>
      <c r="F2224" s="26" t="n"/>
      <c r="G2224" s="26" t="n"/>
      <c r="H2224" s="38" t="n"/>
      <c r="I2224" s="28" t="n"/>
      <c r="J2224" s="30">
        <f>IF(B2224="","",IFERROR(INDEX('Share classes'!$A$4:$A$203,MATCH(B2224,'Share classes'!$B$4:$B$203,0)),""))</f>
        <v/>
      </c>
      <c r="K2224" s="30">
        <f>IF(A2224="","",IFERROR(INDEX('Holders'!$B$4:$B$1003,MATCH(A2224,'Holders'!$A$4:$A$1003,0)),""))</f>
        <v/>
      </c>
      <c r="L2224" s="30">
        <f>IF(OR(A2224="",B2224="",D2224=""),"",IF(D2224=_xlfn.MAXIFS($D$4:$D$2503,$A$4:$A$2503,A2224,$B$4:$B$2503,B2224),"Yes","No"))</f>
        <v/>
      </c>
      <c r="M2224" s="30">
        <f>IF(B2224="","",IFERROR(INDEX('Share classes'!$F$4:$F$203,MATCH(B2224,'Share classes'!$B$4:$B$203,0)),""))</f>
        <v/>
      </c>
      <c r="N2224" s="30">
        <f>IF(A2224="","",IF(K2224="","Unknown holder ID",IF(J2224="","Unknown class code",IF(OR(C2224="",D2224=""),"Missing shares or date",IF(OR(C2224&lt;0,C2224&lt;&gt;INT(C2224)),"Shares must be a whole number",IF(COUNTIFS($A$4:$A$2503,A2224,$B$4:$B$2503,B2224,$D$4:$D$2503,D2224)&gt;1,"Duplicate row (same date)","OK"))))))</f>
        <v/>
      </c>
    </row>
    <row r="2225">
      <c r="A2225" s="26" t="n"/>
      <c r="B2225" s="26" t="n"/>
      <c r="C2225" s="34" t="n"/>
      <c r="D2225" s="28" t="n"/>
      <c r="E2225" s="26" t="n"/>
      <c r="F2225" s="26" t="n"/>
      <c r="G2225" s="26" t="n"/>
      <c r="H2225" s="38" t="n"/>
      <c r="I2225" s="28" t="n"/>
      <c r="J2225" s="30">
        <f>IF(B2225="","",IFERROR(INDEX('Share classes'!$A$4:$A$203,MATCH(B2225,'Share classes'!$B$4:$B$203,0)),""))</f>
        <v/>
      </c>
      <c r="K2225" s="30">
        <f>IF(A2225="","",IFERROR(INDEX('Holders'!$B$4:$B$1003,MATCH(A2225,'Holders'!$A$4:$A$1003,0)),""))</f>
        <v/>
      </c>
      <c r="L2225" s="30">
        <f>IF(OR(A2225="",B2225="",D2225=""),"",IF(D2225=_xlfn.MAXIFS($D$4:$D$2503,$A$4:$A$2503,A2225,$B$4:$B$2503,B2225),"Yes","No"))</f>
        <v/>
      </c>
      <c r="M2225" s="30">
        <f>IF(B2225="","",IFERROR(INDEX('Share classes'!$F$4:$F$203,MATCH(B2225,'Share classes'!$B$4:$B$203,0)),""))</f>
        <v/>
      </c>
      <c r="N2225" s="30">
        <f>IF(A2225="","",IF(K2225="","Unknown holder ID",IF(J2225="","Unknown class code",IF(OR(C2225="",D2225=""),"Missing shares or date",IF(OR(C2225&lt;0,C2225&lt;&gt;INT(C2225)),"Shares must be a whole number",IF(COUNTIFS($A$4:$A$2503,A2225,$B$4:$B$2503,B2225,$D$4:$D$2503,D2225)&gt;1,"Duplicate row (same date)","OK"))))))</f>
        <v/>
      </c>
    </row>
    <row r="2226">
      <c r="A2226" s="26" t="n"/>
      <c r="B2226" s="26" t="n"/>
      <c r="C2226" s="34" t="n"/>
      <c r="D2226" s="28" t="n"/>
      <c r="E2226" s="26" t="n"/>
      <c r="F2226" s="26" t="n"/>
      <c r="G2226" s="26" t="n"/>
      <c r="H2226" s="38" t="n"/>
      <c r="I2226" s="28" t="n"/>
      <c r="J2226" s="30">
        <f>IF(B2226="","",IFERROR(INDEX('Share classes'!$A$4:$A$203,MATCH(B2226,'Share classes'!$B$4:$B$203,0)),""))</f>
        <v/>
      </c>
      <c r="K2226" s="30">
        <f>IF(A2226="","",IFERROR(INDEX('Holders'!$B$4:$B$1003,MATCH(A2226,'Holders'!$A$4:$A$1003,0)),""))</f>
        <v/>
      </c>
      <c r="L2226" s="30">
        <f>IF(OR(A2226="",B2226="",D2226=""),"",IF(D2226=_xlfn.MAXIFS($D$4:$D$2503,$A$4:$A$2503,A2226,$B$4:$B$2503,B2226),"Yes","No"))</f>
        <v/>
      </c>
      <c r="M2226" s="30">
        <f>IF(B2226="","",IFERROR(INDEX('Share classes'!$F$4:$F$203,MATCH(B2226,'Share classes'!$B$4:$B$203,0)),""))</f>
        <v/>
      </c>
      <c r="N2226" s="30">
        <f>IF(A2226="","",IF(K2226="","Unknown holder ID",IF(J2226="","Unknown class code",IF(OR(C2226="",D2226=""),"Missing shares or date",IF(OR(C2226&lt;0,C2226&lt;&gt;INT(C2226)),"Shares must be a whole number",IF(COUNTIFS($A$4:$A$2503,A2226,$B$4:$B$2503,B2226,$D$4:$D$2503,D2226)&gt;1,"Duplicate row (same date)","OK"))))))</f>
        <v/>
      </c>
    </row>
    <row r="2227">
      <c r="A2227" s="26" t="n"/>
      <c r="B2227" s="26" t="n"/>
      <c r="C2227" s="34" t="n"/>
      <c r="D2227" s="28" t="n"/>
      <c r="E2227" s="26" t="n"/>
      <c r="F2227" s="26" t="n"/>
      <c r="G2227" s="26" t="n"/>
      <c r="H2227" s="38" t="n"/>
      <c r="I2227" s="28" t="n"/>
      <c r="J2227" s="30">
        <f>IF(B2227="","",IFERROR(INDEX('Share classes'!$A$4:$A$203,MATCH(B2227,'Share classes'!$B$4:$B$203,0)),""))</f>
        <v/>
      </c>
      <c r="K2227" s="30">
        <f>IF(A2227="","",IFERROR(INDEX('Holders'!$B$4:$B$1003,MATCH(A2227,'Holders'!$A$4:$A$1003,0)),""))</f>
        <v/>
      </c>
      <c r="L2227" s="30">
        <f>IF(OR(A2227="",B2227="",D2227=""),"",IF(D2227=_xlfn.MAXIFS($D$4:$D$2503,$A$4:$A$2503,A2227,$B$4:$B$2503,B2227),"Yes","No"))</f>
        <v/>
      </c>
      <c r="M2227" s="30">
        <f>IF(B2227="","",IFERROR(INDEX('Share classes'!$F$4:$F$203,MATCH(B2227,'Share classes'!$B$4:$B$203,0)),""))</f>
        <v/>
      </c>
      <c r="N2227" s="30">
        <f>IF(A2227="","",IF(K2227="","Unknown holder ID",IF(J2227="","Unknown class code",IF(OR(C2227="",D2227=""),"Missing shares or date",IF(OR(C2227&lt;0,C2227&lt;&gt;INT(C2227)),"Shares must be a whole number",IF(COUNTIFS($A$4:$A$2503,A2227,$B$4:$B$2503,B2227,$D$4:$D$2503,D2227)&gt;1,"Duplicate row (same date)","OK"))))))</f>
        <v/>
      </c>
    </row>
    <row r="2228">
      <c r="A2228" s="26" t="n"/>
      <c r="B2228" s="26" t="n"/>
      <c r="C2228" s="34" t="n"/>
      <c r="D2228" s="28" t="n"/>
      <c r="E2228" s="26" t="n"/>
      <c r="F2228" s="26" t="n"/>
      <c r="G2228" s="26" t="n"/>
      <c r="H2228" s="38" t="n"/>
      <c r="I2228" s="28" t="n"/>
      <c r="J2228" s="30">
        <f>IF(B2228="","",IFERROR(INDEX('Share classes'!$A$4:$A$203,MATCH(B2228,'Share classes'!$B$4:$B$203,0)),""))</f>
        <v/>
      </c>
      <c r="K2228" s="30">
        <f>IF(A2228="","",IFERROR(INDEX('Holders'!$B$4:$B$1003,MATCH(A2228,'Holders'!$A$4:$A$1003,0)),""))</f>
        <v/>
      </c>
      <c r="L2228" s="30">
        <f>IF(OR(A2228="",B2228="",D2228=""),"",IF(D2228=_xlfn.MAXIFS($D$4:$D$2503,$A$4:$A$2503,A2228,$B$4:$B$2503,B2228),"Yes","No"))</f>
        <v/>
      </c>
      <c r="M2228" s="30">
        <f>IF(B2228="","",IFERROR(INDEX('Share classes'!$F$4:$F$203,MATCH(B2228,'Share classes'!$B$4:$B$203,0)),""))</f>
        <v/>
      </c>
      <c r="N2228" s="30">
        <f>IF(A2228="","",IF(K2228="","Unknown holder ID",IF(J2228="","Unknown class code",IF(OR(C2228="",D2228=""),"Missing shares or date",IF(OR(C2228&lt;0,C2228&lt;&gt;INT(C2228)),"Shares must be a whole number",IF(COUNTIFS($A$4:$A$2503,A2228,$B$4:$B$2503,B2228,$D$4:$D$2503,D2228)&gt;1,"Duplicate row (same date)","OK"))))))</f>
        <v/>
      </c>
    </row>
    <row r="2229">
      <c r="A2229" s="26" t="n"/>
      <c r="B2229" s="26" t="n"/>
      <c r="C2229" s="34" t="n"/>
      <c r="D2229" s="28" t="n"/>
      <c r="E2229" s="26" t="n"/>
      <c r="F2229" s="26" t="n"/>
      <c r="G2229" s="26" t="n"/>
      <c r="H2229" s="38" t="n"/>
      <c r="I2229" s="28" t="n"/>
      <c r="J2229" s="30">
        <f>IF(B2229="","",IFERROR(INDEX('Share classes'!$A$4:$A$203,MATCH(B2229,'Share classes'!$B$4:$B$203,0)),""))</f>
        <v/>
      </c>
      <c r="K2229" s="30">
        <f>IF(A2229="","",IFERROR(INDEX('Holders'!$B$4:$B$1003,MATCH(A2229,'Holders'!$A$4:$A$1003,0)),""))</f>
        <v/>
      </c>
      <c r="L2229" s="30">
        <f>IF(OR(A2229="",B2229="",D2229=""),"",IF(D2229=_xlfn.MAXIFS($D$4:$D$2503,$A$4:$A$2503,A2229,$B$4:$B$2503,B2229),"Yes","No"))</f>
        <v/>
      </c>
      <c r="M2229" s="30">
        <f>IF(B2229="","",IFERROR(INDEX('Share classes'!$F$4:$F$203,MATCH(B2229,'Share classes'!$B$4:$B$203,0)),""))</f>
        <v/>
      </c>
      <c r="N2229" s="30">
        <f>IF(A2229="","",IF(K2229="","Unknown holder ID",IF(J2229="","Unknown class code",IF(OR(C2229="",D2229=""),"Missing shares or date",IF(OR(C2229&lt;0,C2229&lt;&gt;INT(C2229)),"Shares must be a whole number",IF(COUNTIFS($A$4:$A$2503,A2229,$B$4:$B$2503,B2229,$D$4:$D$2503,D2229)&gt;1,"Duplicate row (same date)","OK"))))))</f>
        <v/>
      </c>
    </row>
    <row r="2230">
      <c r="A2230" s="26" t="n"/>
      <c r="B2230" s="26" t="n"/>
      <c r="C2230" s="34" t="n"/>
      <c r="D2230" s="28" t="n"/>
      <c r="E2230" s="26" t="n"/>
      <c r="F2230" s="26" t="n"/>
      <c r="G2230" s="26" t="n"/>
      <c r="H2230" s="38" t="n"/>
      <c r="I2230" s="28" t="n"/>
      <c r="J2230" s="30">
        <f>IF(B2230="","",IFERROR(INDEX('Share classes'!$A$4:$A$203,MATCH(B2230,'Share classes'!$B$4:$B$203,0)),""))</f>
        <v/>
      </c>
      <c r="K2230" s="30">
        <f>IF(A2230="","",IFERROR(INDEX('Holders'!$B$4:$B$1003,MATCH(A2230,'Holders'!$A$4:$A$1003,0)),""))</f>
        <v/>
      </c>
      <c r="L2230" s="30">
        <f>IF(OR(A2230="",B2230="",D2230=""),"",IF(D2230=_xlfn.MAXIFS($D$4:$D$2503,$A$4:$A$2503,A2230,$B$4:$B$2503,B2230),"Yes","No"))</f>
        <v/>
      </c>
      <c r="M2230" s="30">
        <f>IF(B2230="","",IFERROR(INDEX('Share classes'!$F$4:$F$203,MATCH(B2230,'Share classes'!$B$4:$B$203,0)),""))</f>
        <v/>
      </c>
      <c r="N2230" s="30">
        <f>IF(A2230="","",IF(K2230="","Unknown holder ID",IF(J2230="","Unknown class code",IF(OR(C2230="",D2230=""),"Missing shares or date",IF(OR(C2230&lt;0,C2230&lt;&gt;INT(C2230)),"Shares must be a whole number",IF(COUNTIFS($A$4:$A$2503,A2230,$B$4:$B$2503,B2230,$D$4:$D$2503,D2230)&gt;1,"Duplicate row (same date)","OK"))))))</f>
        <v/>
      </c>
    </row>
    <row r="2231">
      <c r="A2231" s="26" t="n"/>
      <c r="B2231" s="26" t="n"/>
      <c r="C2231" s="34" t="n"/>
      <c r="D2231" s="28" t="n"/>
      <c r="E2231" s="26" t="n"/>
      <c r="F2231" s="26" t="n"/>
      <c r="G2231" s="26" t="n"/>
      <c r="H2231" s="38" t="n"/>
      <c r="I2231" s="28" t="n"/>
      <c r="J2231" s="30">
        <f>IF(B2231="","",IFERROR(INDEX('Share classes'!$A$4:$A$203,MATCH(B2231,'Share classes'!$B$4:$B$203,0)),""))</f>
        <v/>
      </c>
      <c r="K2231" s="30">
        <f>IF(A2231="","",IFERROR(INDEX('Holders'!$B$4:$B$1003,MATCH(A2231,'Holders'!$A$4:$A$1003,0)),""))</f>
        <v/>
      </c>
      <c r="L2231" s="30">
        <f>IF(OR(A2231="",B2231="",D2231=""),"",IF(D2231=_xlfn.MAXIFS($D$4:$D$2503,$A$4:$A$2503,A2231,$B$4:$B$2503,B2231),"Yes","No"))</f>
        <v/>
      </c>
      <c r="M2231" s="30">
        <f>IF(B2231="","",IFERROR(INDEX('Share classes'!$F$4:$F$203,MATCH(B2231,'Share classes'!$B$4:$B$203,0)),""))</f>
        <v/>
      </c>
      <c r="N2231" s="30">
        <f>IF(A2231="","",IF(K2231="","Unknown holder ID",IF(J2231="","Unknown class code",IF(OR(C2231="",D2231=""),"Missing shares or date",IF(OR(C2231&lt;0,C2231&lt;&gt;INT(C2231)),"Shares must be a whole number",IF(COUNTIFS($A$4:$A$2503,A2231,$B$4:$B$2503,B2231,$D$4:$D$2503,D2231)&gt;1,"Duplicate row (same date)","OK"))))))</f>
        <v/>
      </c>
    </row>
    <row r="2232">
      <c r="A2232" s="26" t="n"/>
      <c r="B2232" s="26" t="n"/>
      <c r="C2232" s="34" t="n"/>
      <c r="D2232" s="28" t="n"/>
      <c r="E2232" s="26" t="n"/>
      <c r="F2232" s="26" t="n"/>
      <c r="G2232" s="26" t="n"/>
      <c r="H2232" s="38" t="n"/>
      <c r="I2232" s="28" t="n"/>
      <c r="J2232" s="30">
        <f>IF(B2232="","",IFERROR(INDEX('Share classes'!$A$4:$A$203,MATCH(B2232,'Share classes'!$B$4:$B$203,0)),""))</f>
        <v/>
      </c>
      <c r="K2232" s="30">
        <f>IF(A2232="","",IFERROR(INDEX('Holders'!$B$4:$B$1003,MATCH(A2232,'Holders'!$A$4:$A$1003,0)),""))</f>
        <v/>
      </c>
      <c r="L2232" s="30">
        <f>IF(OR(A2232="",B2232="",D2232=""),"",IF(D2232=_xlfn.MAXIFS($D$4:$D$2503,$A$4:$A$2503,A2232,$B$4:$B$2503,B2232),"Yes","No"))</f>
        <v/>
      </c>
      <c r="M2232" s="30">
        <f>IF(B2232="","",IFERROR(INDEX('Share classes'!$F$4:$F$203,MATCH(B2232,'Share classes'!$B$4:$B$203,0)),""))</f>
        <v/>
      </c>
      <c r="N2232" s="30">
        <f>IF(A2232="","",IF(K2232="","Unknown holder ID",IF(J2232="","Unknown class code",IF(OR(C2232="",D2232=""),"Missing shares or date",IF(OR(C2232&lt;0,C2232&lt;&gt;INT(C2232)),"Shares must be a whole number",IF(COUNTIFS($A$4:$A$2503,A2232,$B$4:$B$2503,B2232,$D$4:$D$2503,D2232)&gt;1,"Duplicate row (same date)","OK"))))))</f>
        <v/>
      </c>
    </row>
    <row r="2233">
      <c r="A2233" s="26" t="n"/>
      <c r="B2233" s="26" t="n"/>
      <c r="C2233" s="34" t="n"/>
      <c r="D2233" s="28" t="n"/>
      <c r="E2233" s="26" t="n"/>
      <c r="F2233" s="26" t="n"/>
      <c r="G2233" s="26" t="n"/>
      <c r="H2233" s="38" t="n"/>
      <c r="I2233" s="28" t="n"/>
      <c r="J2233" s="30">
        <f>IF(B2233="","",IFERROR(INDEX('Share classes'!$A$4:$A$203,MATCH(B2233,'Share classes'!$B$4:$B$203,0)),""))</f>
        <v/>
      </c>
      <c r="K2233" s="30">
        <f>IF(A2233="","",IFERROR(INDEX('Holders'!$B$4:$B$1003,MATCH(A2233,'Holders'!$A$4:$A$1003,0)),""))</f>
        <v/>
      </c>
      <c r="L2233" s="30">
        <f>IF(OR(A2233="",B2233="",D2233=""),"",IF(D2233=_xlfn.MAXIFS($D$4:$D$2503,$A$4:$A$2503,A2233,$B$4:$B$2503,B2233),"Yes","No"))</f>
        <v/>
      </c>
      <c r="M2233" s="30">
        <f>IF(B2233="","",IFERROR(INDEX('Share classes'!$F$4:$F$203,MATCH(B2233,'Share classes'!$B$4:$B$203,0)),""))</f>
        <v/>
      </c>
      <c r="N2233" s="30">
        <f>IF(A2233="","",IF(K2233="","Unknown holder ID",IF(J2233="","Unknown class code",IF(OR(C2233="",D2233=""),"Missing shares or date",IF(OR(C2233&lt;0,C2233&lt;&gt;INT(C2233)),"Shares must be a whole number",IF(COUNTIFS($A$4:$A$2503,A2233,$B$4:$B$2503,B2233,$D$4:$D$2503,D2233)&gt;1,"Duplicate row (same date)","OK"))))))</f>
        <v/>
      </c>
    </row>
    <row r="2234">
      <c r="A2234" s="26" t="n"/>
      <c r="B2234" s="26" t="n"/>
      <c r="C2234" s="34" t="n"/>
      <c r="D2234" s="28" t="n"/>
      <c r="E2234" s="26" t="n"/>
      <c r="F2234" s="26" t="n"/>
      <c r="G2234" s="26" t="n"/>
      <c r="H2234" s="38" t="n"/>
      <c r="I2234" s="28" t="n"/>
      <c r="J2234" s="30">
        <f>IF(B2234="","",IFERROR(INDEX('Share classes'!$A$4:$A$203,MATCH(B2234,'Share classes'!$B$4:$B$203,0)),""))</f>
        <v/>
      </c>
      <c r="K2234" s="30">
        <f>IF(A2234="","",IFERROR(INDEX('Holders'!$B$4:$B$1003,MATCH(A2234,'Holders'!$A$4:$A$1003,0)),""))</f>
        <v/>
      </c>
      <c r="L2234" s="30">
        <f>IF(OR(A2234="",B2234="",D2234=""),"",IF(D2234=_xlfn.MAXIFS($D$4:$D$2503,$A$4:$A$2503,A2234,$B$4:$B$2503,B2234),"Yes","No"))</f>
        <v/>
      </c>
      <c r="M2234" s="30">
        <f>IF(B2234="","",IFERROR(INDEX('Share classes'!$F$4:$F$203,MATCH(B2234,'Share classes'!$B$4:$B$203,0)),""))</f>
        <v/>
      </c>
      <c r="N2234" s="30">
        <f>IF(A2234="","",IF(K2234="","Unknown holder ID",IF(J2234="","Unknown class code",IF(OR(C2234="",D2234=""),"Missing shares or date",IF(OR(C2234&lt;0,C2234&lt;&gt;INT(C2234)),"Shares must be a whole number",IF(COUNTIFS($A$4:$A$2503,A2234,$B$4:$B$2503,B2234,$D$4:$D$2503,D2234)&gt;1,"Duplicate row (same date)","OK"))))))</f>
        <v/>
      </c>
    </row>
    <row r="2235">
      <c r="A2235" s="26" t="n"/>
      <c r="B2235" s="26" t="n"/>
      <c r="C2235" s="34" t="n"/>
      <c r="D2235" s="28" t="n"/>
      <c r="E2235" s="26" t="n"/>
      <c r="F2235" s="26" t="n"/>
      <c r="G2235" s="26" t="n"/>
      <c r="H2235" s="38" t="n"/>
      <c r="I2235" s="28" t="n"/>
      <c r="J2235" s="30">
        <f>IF(B2235="","",IFERROR(INDEX('Share classes'!$A$4:$A$203,MATCH(B2235,'Share classes'!$B$4:$B$203,0)),""))</f>
        <v/>
      </c>
      <c r="K2235" s="30">
        <f>IF(A2235="","",IFERROR(INDEX('Holders'!$B$4:$B$1003,MATCH(A2235,'Holders'!$A$4:$A$1003,0)),""))</f>
        <v/>
      </c>
      <c r="L2235" s="30">
        <f>IF(OR(A2235="",B2235="",D2235=""),"",IF(D2235=_xlfn.MAXIFS($D$4:$D$2503,$A$4:$A$2503,A2235,$B$4:$B$2503,B2235),"Yes","No"))</f>
        <v/>
      </c>
      <c r="M2235" s="30">
        <f>IF(B2235="","",IFERROR(INDEX('Share classes'!$F$4:$F$203,MATCH(B2235,'Share classes'!$B$4:$B$203,0)),""))</f>
        <v/>
      </c>
      <c r="N2235" s="30">
        <f>IF(A2235="","",IF(K2235="","Unknown holder ID",IF(J2235="","Unknown class code",IF(OR(C2235="",D2235=""),"Missing shares or date",IF(OR(C2235&lt;0,C2235&lt;&gt;INT(C2235)),"Shares must be a whole number",IF(COUNTIFS($A$4:$A$2503,A2235,$B$4:$B$2503,B2235,$D$4:$D$2503,D2235)&gt;1,"Duplicate row (same date)","OK"))))))</f>
        <v/>
      </c>
    </row>
    <row r="2236">
      <c r="A2236" s="26" t="n"/>
      <c r="B2236" s="26" t="n"/>
      <c r="C2236" s="34" t="n"/>
      <c r="D2236" s="28" t="n"/>
      <c r="E2236" s="26" t="n"/>
      <c r="F2236" s="26" t="n"/>
      <c r="G2236" s="26" t="n"/>
      <c r="H2236" s="38" t="n"/>
      <c r="I2236" s="28" t="n"/>
      <c r="J2236" s="30">
        <f>IF(B2236="","",IFERROR(INDEX('Share classes'!$A$4:$A$203,MATCH(B2236,'Share classes'!$B$4:$B$203,0)),""))</f>
        <v/>
      </c>
      <c r="K2236" s="30">
        <f>IF(A2236="","",IFERROR(INDEX('Holders'!$B$4:$B$1003,MATCH(A2236,'Holders'!$A$4:$A$1003,0)),""))</f>
        <v/>
      </c>
      <c r="L2236" s="30">
        <f>IF(OR(A2236="",B2236="",D2236=""),"",IF(D2236=_xlfn.MAXIFS($D$4:$D$2503,$A$4:$A$2503,A2236,$B$4:$B$2503,B2236),"Yes","No"))</f>
        <v/>
      </c>
      <c r="M2236" s="30">
        <f>IF(B2236="","",IFERROR(INDEX('Share classes'!$F$4:$F$203,MATCH(B2236,'Share classes'!$B$4:$B$203,0)),""))</f>
        <v/>
      </c>
      <c r="N2236" s="30">
        <f>IF(A2236="","",IF(K2236="","Unknown holder ID",IF(J2236="","Unknown class code",IF(OR(C2236="",D2236=""),"Missing shares or date",IF(OR(C2236&lt;0,C2236&lt;&gt;INT(C2236)),"Shares must be a whole number",IF(COUNTIFS($A$4:$A$2503,A2236,$B$4:$B$2503,B2236,$D$4:$D$2503,D2236)&gt;1,"Duplicate row (same date)","OK"))))))</f>
        <v/>
      </c>
    </row>
    <row r="2237">
      <c r="A2237" s="26" t="n"/>
      <c r="B2237" s="26" t="n"/>
      <c r="C2237" s="34" t="n"/>
      <c r="D2237" s="28" t="n"/>
      <c r="E2237" s="26" t="n"/>
      <c r="F2237" s="26" t="n"/>
      <c r="G2237" s="26" t="n"/>
      <c r="H2237" s="38" t="n"/>
      <c r="I2237" s="28" t="n"/>
      <c r="J2237" s="30">
        <f>IF(B2237="","",IFERROR(INDEX('Share classes'!$A$4:$A$203,MATCH(B2237,'Share classes'!$B$4:$B$203,0)),""))</f>
        <v/>
      </c>
      <c r="K2237" s="30">
        <f>IF(A2237="","",IFERROR(INDEX('Holders'!$B$4:$B$1003,MATCH(A2237,'Holders'!$A$4:$A$1003,0)),""))</f>
        <v/>
      </c>
      <c r="L2237" s="30">
        <f>IF(OR(A2237="",B2237="",D2237=""),"",IF(D2237=_xlfn.MAXIFS($D$4:$D$2503,$A$4:$A$2503,A2237,$B$4:$B$2503,B2237),"Yes","No"))</f>
        <v/>
      </c>
      <c r="M2237" s="30">
        <f>IF(B2237="","",IFERROR(INDEX('Share classes'!$F$4:$F$203,MATCH(B2237,'Share classes'!$B$4:$B$203,0)),""))</f>
        <v/>
      </c>
      <c r="N2237" s="30">
        <f>IF(A2237="","",IF(K2237="","Unknown holder ID",IF(J2237="","Unknown class code",IF(OR(C2237="",D2237=""),"Missing shares or date",IF(OR(C2237&lt;0,C2237&lt;&gt;INT(C2237)),"Shares must be a whole number",IF(COUNTIFS($A$4:$A$2503,A2237,$B$4:$B$2503,B2237,$D$4:$D$2503,D2237)&gt;1,"Duplicate row (same date)","OK"))))))</f>
        <v/>
      </c>
    </row>
    <row r="2238">
      <c r="A2238" s="26" t="n"/>
      <c r="B2238" s="26" t="n"/>
      <c r="C2238" s="34" t="n"/>
      <c r="D2238" s="28" t="n"/>
      <c r="E2238" s="26" t="n"/>
      <c r="F2238" s="26" t="n"/>
      <c r="G2238" s="26" t="n"/>
      <c r="H2238" s="38" t="n"/>
      <c r="I2238" s="28" t="n"/>
      <c r="J2238" s="30">
        <f>IF(B2238="","",IFERROR(INDEX('Share classes'!$A$4:$A$203,MATCH(B2238,'Share classes'!$B$4:$B$203,0)),""))</f>
        <v/>
      </c>
      <c r="K2238" s="30">
        <f>IF(A2238="","",IFERROR(INDEX('Holders'!$B$4:$B$1003,MATCH(A2238,'Holders'!$A$4:$A$1003,0)),""))</f>
        <v/>
      </c>
      <c r="L2238" s="30">
        <f>IF(OR(A2238="",B2238="",D2238=""),"",IF(D2238=_xlfn.MAXIFS($D$4:$D$2503,$A$4:$A$2503,A2238,$B$4:$B$2503,B2238),"Yes","No"))</f>
        <v/>
      </c>
      <c r="M2238" s="30">
        <f>IF(B2238="","",IFERROR(INDEX('Share classes'!$F$4:$F$203,MATCH(B2238,'Share classes'!$B$4:$B$203,0)),""))</f>
        <v/>
      </c>
      <c r="N2238" s="30">
        <f>IF(A2238="","",IF(K2238="","Unknown holder ID",IF(J2238="","Unknown class code",IF(OR(C2238="",D2238=""),"Missing shares or date",IF(OR(C2238&lt;0,C2238&lt;&gt;INT(C2238)),"Shares must be a whole number",IF(COUNTIFS($A$4:$A$2503,A2238,$B$4:$B$2503,B2238,$D$4:$D$2503,D2238)&gt;1,"Duplicate row (same date)","OK"))))))</f>
        <v/>
      </c>
    </row>
    <row r="2239">
      <c r="A2239" s="26" t="n"/>
      <c r="B2239" s="26" t="n"/>
      <c r="C2239" s="34" t="n"/>
      <c r="D2239" s="28" t="n"/>
      <c r="E2239" s="26" t="n"/>
      <c r="F2239" s="26" t="n"/>
      <c r="G2239" s="26" t="n"/>
      <c r="H2239" s="38" t="n"/>
      <c r="I2239" s="28" t="n"/>
      <c r="J2239" s="30">
        <f>IF(B2239="","",IFERROR(INDEX('Share classes'!$A$4:$A$203,MATCH(B2239,'Share classes'!$B$4:$B$203,0)),""))</f>
        <v/>
      </c>
      <c r="K2239" s="30">
        <f>IF(A2239="","",IFERROR(INDEX('Holders'!$B$4:$B$1003,MATCH(A2239,'Holders'!$A$4:$A$1003,0)),""))</f>
        <v/>
      </c>
      <c r="L2239" s="30">
        <f>IF(OR(A2239="",B2239="",D2239=""),"",IF(D2239=_xlfn.MAXIFS($D$4:$D$2503,$A$4:$A$2503,A2239,$B$4:$B$2503,B2239),"Yes","No"))</f>
        <v/>
      </c>
      <c r="M2239" s="30">
        <f>IF(B2239="","",IFERROR(INDEX('Share classes'!$F$4:$F$203,MATCH(B2239,'Share classes'!$B$4:$B$203,0)),""))</f>
        <v/>
      </c>
      <c r="N2239" s="30">
        <f>IF(A2239="","",IF(K2239="","Unknown holder ID",IF(J2239="","Unknown class code",IF(OR(C2239="",D2239=""),"Missing shares or date",IF(OR(C2239&lt;0,C2239&lt;&gt;INT(C2239)),"Shares must be a whole number",IF(COUNTIFS($A$4:$A$2503,A2239,$B$4:$B$2503,B2239,$D$4:$D$2503,D2239)&gt;1,"Duplicate row (same date)","OK"))))))</f>
        <v/>
      </c>
    </row>
    <row r="2240">
      <c r="A2240" s="26" t="n"/>
      <c r="B2240" s="26" t="n"/>
      <c r="C2240" s="34" t="n"/>
      <c r="D2240" s="28" t="n"/>
      <c r="E2240" s="26" t="n"/>
      <c r="F2240" s="26" t="n"/>
      <c r="G2240" s="26" t="n"/>
      <c r="H2240" s="38" t="n"/>
      <c r="I2240" s="28" t="n"/>
      <c r="J2240" s="30">
        <f>IF(B2240="","",IFERROR(INDEX('Share classes'!$A$4:$A$203,MATCH(B2240,'Share classes'!$B$4:$B$203,0)),""))</f>
        <v/>
      </c>
      <c r="K2240" s="30">
        <f>IF(A2240="","",IFERROR(INDEX('Holders'!$B$4:$B$1003,MATCH(A2240,'Holders'!$A$4:$A$1003,0)),""))</f>
        <v/>
      </c>
      <c r="L2240" s="30">
        <f>IF(OR(A2240="",B2240="",D2240=""),"",IF(D2240=_xlfn.MAXIFS($D$4:$D$2503,$A$4:$A$2503,A2240,$B$4:$B$2503,B2240),"Yes","No"))</f>
        <v/>
      </c>
      <c r="M2240" s="30">
        <f>IF(B2240="","",IFERROR(INDEX('Share classes'!$F$4:$F$203,MATCH(B2240,'Share classes'!$B$4:$B$203,0)),""))</f>
        <v/>
      </c>
      <c r="N2240" s="30">
        <f>IF(A2240="","",IF(K2240="","Unknown holder ID",IF(J2240="","Unknown class code",IF(OR(C2240="",D2240=""),"Missing shares or date",IF(OR(C2240&lt;0,C2240&lt;&gt;INT(C2240)),"Shares must be a whole number",IF(COUNTIFS($A$4:$A$2503,A2240,$B$4:$B$2503,B2240,$D$4:$D$2503,D2240)&gt;1,"Duplicate row (same date)","OK"))))))</f>
        <v/>
      </c>
    </row>
    <row r="2241">
      <c r="A2241" s="26" t="n"/>
      <c r="B2241" s="26" t="n"/>
      <c r="C2241" s="34" t="n"/>
      <c r="D2241" s="28" t="n"/>
      <c r="E2241" s="26" t="n"/>
      <c r="F2241" s="26" t="n"/>
      <c r="G2241" s="26" t="n"/>
      <c r="H2241" s="38" t="n"/>
      <c r="I2241" s="28" t="n"/>
      <c r="J2241" s="30">
        <f>IF(B2241="","",IFERROR(INDEX('Share classes'!$A$4:$A$203,MATCH(B2241,'Share classes'!$B$4:$B$203,0)),""))</f>
        <v/>
      </c>
      <c r="K2241" s="30">
        <f>IF(A2241="","",IFERROR(INDEX('Holders'!$B$4:$B$1003,MATCH(A2241,'Holders'!$A$4:$A$1003,0)),""))</f>
        <v/>
      </c>
      <c r="L2241" s="30">
        <f>IF(OR(A2241="",B2241="",D2241=""),"",IF(D2241=_xlfn.MAXIFS($D$4:$D$2503,$A$4:$A$2503,A2241,$B$4:$B$2503,B2241),"Yes","No"))</f>
        <v/>
      </c>
      <c r="M2241" s="30">
        <f>IF(B2241="","",IFERROR(INDEX('Share classes'!$F$4:$F$203,MATCH(B2241,'Share classes'!$B$4:$B$203,0)),""))</f>
        <v/>
      </c>
      <c r="N2241" s="30">
        <f>IF(A2241="","",IF(K2241="","Unknown holder ID",IF(J2241="","Unknown class code",IF(OR(C2241="",D2241=""),"Missing shares or date",IF(OR(C2241&lt;0,C2241&lt;&gt;INT(C2241)),"Shares must be a whole number",IF(COUNTIFS($A$4:$A$2503,A2241,$B$4:$B$2503,B2241,$D$4:$D$2503,D2241)&gt;1,"Duplicate row (same date)","OK"))))))</f>
        <v/>
      </c>
    </row>
    <row r="2242">
      <c r="A2242" s="26" t="n"/>
      <c r="B2242" s="26" t="n"/>
      <c r="C2242" s="34" t="n"/>
      <c r="D2242" s="28" t="n"/>
      <c r="E2242" s="26" t="n"/>
      <c r="F2242" s="26" t="n"/>
      <c r="G2242" s="26" t="n"/>
      <c r="H2242" s="38" t="n"/>
      <c r="I2242" s="28" t="n"/>
      <c r="J2242" s="30">
        <f>IF(B2242="","",IFERROR(INDEX('Share classes'!$A$4:$A$203,MATCH(B2242,'Share classes'!$B$4:$B$203,0)),""))</f>
        <v/>
      </c>
      <c r="K2242" s="30">
        <f>IF(A2242="","",IFERROR(INDEX('Holders'!$B$4:$B$1003,MATCH(A2242,'Holders'!$A$4:$A$1003,0)),""))</f>
        <v/>
      </c>
      <c r="L2242" s="30">
        <f>IF(OR(A2242="",B2242="",D2242=""),"",IF(D2242=_xlfn.MAXIFS($D$4:$D$2503,$A$4:$A$2503,A2242,$B$4:$B$2503,B2242),"Yes","No"))</f>
        <v/>
      </c>
      <c r="M2242" s="30">
        <f>IF(B2242="","",IFERROR(INDEX('Share classes'!$F$4:$F$203,MATCH(B2242,'Share classes'!$B$4:$B$203,0)),""))</f>
        <v/>
      </c>
      <c r="N2242" s="30">
        <f>IF(A2242="","",IF(K2242="","Unknown holder ID",IF(J2242="","Unknown class code",IF(OR(C2242="",D2242=""),"Missing shares or date",IF(OR(C2242&lt;0,C2242&lt;&gt;INT(C2242)),"Shares must be a whole number",IF(COUNTIFS($A$4:$A$2503,A2242,$B$4:$B$2503,B2242,$D$4:$D$2503,D2242)&gt;1,"Duplicate row (same date)","OK"))))))</f>
        <v/>
      </c>
    </row>
    <row r="2243">
      <c r="A2243" s="26" t="n"/>
      <c r="B2243" s="26" t="n"/>
      <c r="C2243" s="34" t="n"/>
      <c r="D2243" s="28" t="n"/>
      <c r="E2243" s="26" t="n"/>
      <c r="F2243" s="26" t="n"/>
      <c r="G2243" s="26" t="n"/>
      <c r="H2243" s="38" t="n"/>
      <c r="I2243" s="28" t="n"/>
      <c r="J2243" s="30">
        <f>IF(B2243="","",IFERROR(INDEX('Share classes'!$A$4:$A$203,MATCH(B2243,'Share classes'!$B$4:$B$203,0)),""))</f>
        <v/>
      </c>
      <c r="K2243" s="30">
        <f>IF(A2243="","",IFERROR(INDEX('Holders'!$B$4:$B$1003,MATCH(A2243,'Holders'!$A$4:$A$1003,0)),""))</f>
        <v/>
      </c>
      <c r="L2243" s="30">
        <f>IF(OR(A2243="",B2243="",D2243=""),"",IF(D2243=_xlfn.MAXIFS($D$4:$D$2503,$A$4:$A$2503,A2243,$B$4:$B$2503,B2243),"Yes","No"))</f>
        <v/>
      </c>
      <c r="M2243" s="30">
        <f>IF(B2243="","",IFERROR(INDEX('Share classes'!$F$4:$F$203,MATCH(B2243,'Share classes'!$B$4:$B$203,0)),""))</f>
        <v/>
      </c>
      <c r="N2243" s="30">
        <f>IF(A2243="","",IF(K2243="","Unknown holder ID",IF(J2243="","Unknown class code",IF(OR(C2243="",D2243=""),"Missing shares or date",IF(OR(C2243&lt;0,C2243&lt;&gt;INT(C2243)),"Shares must be a whole number",IF(COUNTIFS($A$4:$A$2503,A2243,$B$4:$B$2503,B2243,$D$4:$D$2503,D2243)&gt;1,"Duplicate row (same date)","OK"))))))</f>
        <v/>
      </c>
    </row>
    <row r="2244">
      <c r="A2244" s="26" t="n"/>
      <c r="B2244" s="26" t="n"/>
      <c r="C2244" s="34" t="n"/>
      <c r="D2244" s="28" t="n"/>
      <c r="E2244" s="26" t="n"/>
      <c r="F2244" s="26" t="n"/>
      <c r="G2244" s="26" t="n"/>
      <c r="H2244" s="38" t="n"/>
      <c r="I2244" s="28" t="n"/>
      <c r="J2244" s="30">
        <f>IF(B2244="","",IFERROR(INDEX('Share classes'!$A$4:$A$203,MATCH(B2244,'Share classes'!$B$4:$B$203,0)),""))</f>
        <v/>
      </c>
      <c r="K2244" s="30">
        <f>IF(A2244="","",IFERROR(INDEX('Holders'!$B$4:$B$1003,MATCH(A2244,'Holders'!$A$4:$A$1003,0)),""))</f>
        <v/>
      </c>
      <c r="L2244" s="30">
        <f>IF(OR(A2244="",B2244="",D2244=""),"",IF(D2244=_xlfn.MAXIFS($D$4:$D$2503,$A$4:$A$2503,A2244,$B$4:$B$2503,B2244),"Yes","No"))</f>
        <v/>
      </c>
      <c r="M2244" s="30">
        <f>IF(B2244="","",IFERROR(INDEX('Share classes'!$F$4:$F$203,MATCH(B2244,'Share classes'!$B$4:$B$203,0)),""))</f>
        <v/>
      </c>
      <c r="N2244" s="30">
        <f>IF(A2244="","",IF(K2244="","Unknown holder ID",IF(J2244="","Unknown class code",IF(OR(C2244="",D2244=""),"Missing shares or date",IF(OR(C2244&lt;0,C2244&lt;&gt;INT(C2244)),"Shares must be a whole number",IF(COUNTIFS($A$4:$A$2503,A2244,$B$4:$B$2503,B2244,$D$4:$D$2503,D2244)&gt;1,"Duplicate row (same date)","OK"))))))</f>
        <v/>
      </c>
    </row>
    <row r="2245">
      <c r="A2245" s="26" t="n"/>
      <c r="B2245" s="26" t="n"/>
      <c r="C2245" s="34" t="n"/>
      <c r="D2245" s="28" t="n"/>
      <c r="E2245" s="26" t="n"/>
      <c r="F2245" s="26" t="n"/>
      <c r="G2245" s="26" t="n"/>
      <c r="H2245" s="38" t="n"/>
      <c r="I2245" s="28" t="n"/>
      <c r="J2245" s="30">
        <f>IF(B2245="","",IFERROR(INDEX('Share classes'!$A$4:$A$203,MATCH(B2245,'Share classes'!$B$4:$B$203,0)),""))</f>
        <v/>
      </c>
      <c r="K2245" s="30">
        <f>IF(A2245="","",IFERROR(INDEX('Holders'!$B$4:$B$1003,MATCH(A2245,'Holders'!$A$4:$A$1003,0)),""))</f>
        <v/>
      </c>
      <c r="L2245" s="30">
        <f>IF(OR(A2245="",B2245="",D2245=""),"",IF(D2245=_xlfn.MAXIFS($D$4:$D$2503,$A$4:$A$2503,A2245,$B$4:$B$2503,B2245),"Yes","No"))</f>
        <v/>
      </c>
      <c r="M2245" s="30">
        <f>IF(B2245="","",IFERROR(INDEX('Share classes'!$F$4:$F$203,MATCH(B2245,'Share classes'!$B$4:$B$203,0)),""))</f>
        <v/>
      </c>
      <c r="N2245" s="30">
        <f>IF(A2245="","",IF(K2245="","Unknown holder ID",IF(J2245="","Unknown class code",IF(OR(C2245="",D2245=""),"Missing shares or date",IF(OR(C2245&lt;0,C2245&lt;&gt;INT(C2245)),"Shares must be a whole number",IF(COUNTIFS($A$4:$A$2503,A2245,$B$4:$B$2503,B2245,$D$4:$D$2503,D2245)&gt;1,"Duplicate row (same date)","OK"))))))</f>
        <v/>
      </c>
    </row>
    <row r="2246">
      <c r="A2246" s="26" t="n"/>
      <c r="B2246" s="26" t="n"/>
      <c r="C2246" s="34" t="n"/>
      <c r="D2246" s="28" t="n"/>
      <c r="E2246" s="26" t="n"/>
      <c r="F2246" s="26" t="n"/>
      <c r="G2246" s="26" t="n"/>
      <c r="H2246" s="38" t="n"/>
      <c r="I2246" s="28" t="n"/>
      <c r="J2246" s="30">
        <f>IF(B2246="","",IFERROR(INDEX('Share classes'!$A$4:$A$203,MATCH(B2246,'Share classes'!$B$4:$B$203,0)),""))</f>
        <v/>
      </c>
      <c r="K2246" s="30">
        <f>IF(A2246="","",IFERROR(INDEX('Holders'!$B$4:$B$1003,MATCH(A2246,'Holders'!$A$4:$A$1003,0)),""))</f>
        <v/>
      </c>
      <c r="L2246" s="30">
        <f>IF(OR(A2246="",B2246="",D2246=""),"",IF(D2246=_xlfn.MAXIFS($D$4:$D$2503,$A$4:$A$2503,A2246,$B$4:$B$2503,B2246),"Yes","No"))</f>
        <v/>
      </c>
      <c r="M2246" s="30">
        <f>IF(B2246="","",IFERROR(INDEX('Share classes'!$F$4:$F$203,MATCH(B2246,'Share classes'!$B$4:$B$203,0)),""))</f>
        <v/>
      </c>
      <c r="N2246" s="30">
        <f>IF(A2246="","",IF(K2246="","Unknown holder ID",IF(J2246="","Unknown class code",IF(OR(C2246="",D2246=""),"Missing shares or date",IF(OR(C2246&lt;0,C2246&lt;&gt;INT(C2246)),"Shares must be a whole number",IF(COUNTIFS($A$4:$A$2503,A2246,$B$4:$B$2503,B2246,$D$4:$D$2503,D2246)&gt;1,"Duplicate row (same date)","OK"))))))</f>
        <v/>
      </c>
    </row>
    <row r="2247">
      <c r="A2247" s="26" t="n"/>
      <c r="B2247" s="26" t="n"/>
      <c r="C2247" s="34" t="n"/>
      <c r="D2247" s="28" t="n"/>
      <c r="E2247" s="26" t="n"/>
      <c r="F2247" s="26" t="n"/>
      <c r="G2247" s="26" t="n"/>
      <c r="H2247" s="38" t="n"/>
      <c r="I2247" s="28" t="n"/>
      <c r="J2247" s="30">
        <f>IF(B2247="","",IFERROR(INDEX('Share classes'!$A$4:$A$203,MATCH(B2247,'Share classes'!$B$4:$B$203,0)),""))</f>
        <v/>
      </c>
      <c r="K2247" s="30">
        <f>IF(A2247="","",IFERROR(INDEX('Holders'!$B$4:$B$1003,MATCH(A2247,'Holders'!$A$4:$A$1003,0)),""))</f>
        <v/>
      </c>
      <c r="L2247" s="30">
        <f>IF(OR(A2247="",B2247="",D2247=""),"",IF(D2247=_xlfn.MAXIFS($D$4:$D$2503,$A$4:$A$2503,A2247,$B$4:$B$2503,B2247),"Yes","No"))</f>
        <v/>
      </c>
      <c r="M2247" s="30">
        <f>IF(B2247="","",IFERROR(INDEX('Share classes'!$F$4:$F$203,MATCH(B2247,'Share classes'!$B$4:$B$203,0)),""))</f>
        <v/>
      </c>
      <c r="N2247" s="30">
        <f>IF(A2247="","",IF(K2247="","Unknown holder ID",IF(J2247="","Unknown class code",IF(OR(C2247="",D2247=""),"Missing shares or date",IF(OR(C2247&lt;0,C2247&lt;&gt;INT(C2247)),"Shares must be a whole number",IF(COUNTIFS($A$4:$A$2503,A2247,$B$4:$B$2503,B2247,$D$4:$D$2503,D2247)&gt;1,"Duplicate row (same date)","OK"))))))</f>
        <v/>
      </c>
    </row>
    <row r="2248">
      <c r="A2248" s="26" t="n"/>
      <c r="B2248" s="26" t="n"/>
      <c r="C2248" s="34" t="n"/>
      <c r="D2248" s="28" t="n"/>
      <c r="E2248" s="26" t="n"/>
      <c r="F2248" s="26" t="n"/>
      <c r="G2248" s="26" t="n"/>
      <c r="H2248" s="38" t="n"/>
      <c r="I2248" s="28" t="n"/>
      <c r="J2248" s="30">
        <f>IF(B2248="","",IFERROR(INDEX('Share classes'!$A$4:$A$203,MATCH(B2248,'Share classes'!$B$4:$B$203,0)),""))</f>
        <v/>
      </c>
      <c r="K2248" s="30">
        <f>IF(A2248="","",IFERROR(INDEX('Holders'!$B$4:$B$1003,MATCH(A2248,'Holders'!$A$4:$A$1003,0)),""))</f>
        <v/>
      </c>
      <c r="L2248" s="30">
        <f>IF(OR(A2248="",B2248="",D2248=""),"",IF(D2248=_xlfn.MAXIFS($D$4:$D$2503,$A$4:$A$2503,A2248,$B$4:$B$2503,B2248),"Yes","No"))</f>
        <v/>
      </c>
      <c r="M2248" s="30">
        <f>IF(B2248="","",IFERROR(INDEX('Share classes'!$F$4:$F$203,MATCH(B2248,'Share classes'!$B$4:$B$203,0)),""))</f>
        <v/>
      </c>
      <c r="N2248" s="30">
        <f>IF(A2248="","",IF(K2248="","Unknown holder ID",IF(J2248="","Unknown class code",IF(OR(C2248="",D2248=""),"Missing shares or date",IF(OR(C2248&lt;0,C2248&lt;&gt;INT(C2248)),"Shares must be a whole number",IF(COUNTIFS($A$4:$A$2503,A2248,$B$4:$B$2503,B2248,$D$4:$D$2503,D2248)&gt;1,"Duplicate row (same date)","OK"))))))</f>
        <v/>
      </c>
    </row>
    <row r="2249">
      <c r="A2249" s="26" t="n"/>
      <c r="B2249" s="26" t="n"/>
      <c r="C2249" s="34" t="n"/>
      <c r="D2249" s="28" t="n"/>
      <c r="E2249" s="26" t="n"/>
      <c r="F2249" s="26" t="n"/>
      <c r="G2249" s="26" t="n"/>
      <c r="H2249" s="38" t="n"/>
      <c r="I2249" s="28" t="n"/>
      <c r="J2249" s="30">
        <f>IF(B2249="","",IFERROR(INDEX('Share classes'!$A$4:$A$203,MATCH(B2249,'Share classes'!$B$4:$B$203,0)),""))</f>
        <v/>
      </c>
      <c r="K2249" s="30">
        <f>IF(A2249="","",IFERROR(INDEX('Holders'!$B$4:$B$1003,MATCH(A2249,'Holders'!$A$4:$A$1003,0)),""))</f>
        <v/>
      </c>
      <c r="L2249" s="30">
        <f>IF(OR(A2249="",B2249="",D2249=""),"",IF(D2249=_xlfn.MAXIFS($D$4:$D$2503,$A$4:$A$2503,A2249,$B$4:$B$2503,B2249),"Yes","No"))</f>
        <v/>
      </c>
      <c r="M2249" s="30">
        <f>IF(B2249="","",IFERROR(INDEX('Share classes'!$F$4:$F$203,MATCH(B2249,'Share classes'!$B$4:$B$203,0)),""))</f>
        <v/>
      </c>
      <c r="N2249" s="30">
        <f>IF(A2249="","",IF(K2249="","Unknown holder ID",IF(J2249="","Unknown class code",IF(OR(C2249="",D2249=""),"Missing shares or date",IF(OR(C2249&lt;0,C2249&lt;&gt;INT(C2249)),"Shares must be a whole number",IF(COUNTIFS($A$4:$A$2503,A2249,$B$4:$B$2503,B2249,$D$4:$D$2503,D2249)&gt;1,"Duplicate row (same date)","OK"))))))</f>
        <v/>
      </c>
    </row>
    <row r="2250">
      <c r="A2250" s="26" t="n"/>
      <c r="B2250" s="26" t="n"/>
      <c r="C2250" s="34" t="n"/>
      <c r="D2250" s="28" t="n"/>
      <c r="E2250" s="26" t="n"/>
      <c r="F2250" s="26" t="n"/>
      <c r="G2250" s="26" t="n"/>
      <c r="H2250" s="38" t="n"/>
      <c r="I2250" s="28" t="n"/>
      <c r="J2250" s="30">
        <f>IF(B2250="","",IFERROR(INDEX('Share classes'!$A$4:$A$203,MATCH(B2250,'Share classes'!$B$4:$B$203,0)),""))</f>
        <v/>
      </c>
      <c r="K2250" s="30">
        <f>IF(A2250="","",IFERROR(INDEX('Holders'!$B$4:$B$1003,MATCH(A2250,'Holders'!$A$4:$A$1003,0)),""))</f>
        <v/>
      </c>
      <c r="L2250" s="30">
        <f>IF(OR(A2250="",B2250="",D2250=""),"",IF(D2250=_xlfn.MAXIFS($D$4:$D$2503,$A$4:$A$2503,A2250,$B$4:$B$2503,B2250),"Yes","No"))</f>
        <v/>
      </c>
      <c r="M2250" s="30">
        <f>IF(B2250="","",IFERROR(INDEX('Share classes'!$F$4:$F$203,MATCH(B2250,'Share classes'!$B$4:$B$203,0)),""))</f>
        <v/>
      </c>
      <c r="N2250" s="30">
        <f>IF(A2250="","",IF(K2250="","Unknown holder ID",IF(J2250="","Unknown class code",IF(OR(C2250="",D2250=""),"Missing shares or date",IF(OR(C2250&lt;0,C2250&lt;&gt;INT(C2250)),"Shares must be a whole number",IF(COUNTIFS($A$4:$A$2503,A2250,$B$4:$B$2503,B2250,$D$4:$D$2503,D2250)&gt;1,"Duplicate row (same date)","OK"))))))</f>
        <v/>
      </c>
    </row>
    <row r="2251">
      <c r="A2251" s="26" t="n"/>
      <c r="B2251" s="26" t="n"/>
      <c r="C2251" s="34" t="n"/>
      <c r="D2251" s="28" t="n"/>
      <c r="E2251" s="26" t="n"/>
      <c r="F2251" s="26" t="n"/>
      <c r="G2251" s="26" t="n"/>
      <c r="H2251" s="38" t="n"/>
      <c r="I2251" s="28" t="n"/>
      <c r="J2251" s="30">
        <f>IF(B2251="","",IFERROR(INDEX('Share classes'!$A$4:$A$203,MATCH(B2251,'Share classes'!$B$4:$B$203,0)),""))</f>
        <v/>
      </c>
      <c r="K2251" s="30">
        <f>IF(A2251="","",IFERROR(INDEX('Holders'!$B$4:$B$1003,MATCH(A2251,'Holders'!$A$4:$A$1003,0)),""))</f>
        <v/>
      </c>
      <c r="L2251" s="30">
        <f>IF(OR(A2251="",B2251="",D2251=""),"",IF(D2251=_xlfn.MAXIFS($D$4:$D$2503,$A$4:$A$2503,A2251,$B$4:$B$2503,B2251),"Yes","No"))</f>
        <v/>
      </c>
      <c r="M2251" s="30">
        <f>IF(B2251="","",IFERROR(INDEX('Share classes'!$F$4:$F$203,MATCH(B2251,'Share classes'!$B$4:$B$203,0)),""))</f>
        <v/>
      </c>
      <c r="N2251" s="30">
        <f>IF(A2251="","",IF(K2251="","Unknown holder ID",IF(J2251="","Unknown class code",IF(OR(C2251="",D2251=""),"Missing shares or date",IF(OR(C2251&lt;0,C2251&lt;&gt;INT(C2251)),"Shares must be a whole number",IF(COUNTIFS($A$4:$A$2503,A2251,$B$4:$B$2503,B2251,$D$4:$D$2503,D2251)&gt;1,"Duplicate row (same date)","OK"))))))</f>
        <v/>
      </c>
    </row>
    <row r="2252">
      <c r="A2252" s="26" t="n"/>
      <c r="B2252" s="26" t="n"/>
      <c r="C2252" s="34" t="n"/>
      <c r="D2252" s="28" t="n"/>
      <c r="E2252" s="26" t="n"/>
      <c r="F2252" s="26" t="n"/>
      <c r="G2252" s="26" t="n"/>
      <c r="H2252" s="38" t="n"/>
      <c r="I2252" s="28" t="n"/>
      <c r="J2252" s="30">
        <f>IF(B2252="","",IFERROR(INDEX('Share classes'!$A$4:$A$203,MATCH(B2252,'Share classes'!$B$4:$B$203,0)),""))</f>
        <v/>
      </c>
      <c r="K2252" s="30">
        <f>IF(A2252="","",IFERROR(INDEX('Holders'!$B$4:$B$1003,MATCH(A2252,'Holders'!$A$4:$A$1003,0)),""))</f>
        <v/>
      </c>
      <c r="L2252" s="30">
        <f>IF(OR(A2252="",B2252="",D2252=""),"",IF(D2252=_xlfn.MAXIFS($D$4:$D$2503,$A$4:$A$2503,A2252,$B$4:$B$2503,B2252),"Yes","No"))</f>
        <v/>
      </c>
      <c r="M2252" s="30">
        <f>IF(B2252="","",IFERROR(INDEX('Share classes'!$F$4:$F$203,MATCH(B2252,'Share classes'!$B$4:$B$203,0)),""))</f>
        <v/>
      </c>
      <c r="N2252" s="30">
        <f>IF(A2252="","",IF(K2252="","Unknown holder ID",IF(J2252="","Unknown class code",IF(OR(C2252="",D2252=""),"Missing shares or date",IF(OR(C2252&lt;0,C2252&lt;&gt;INT(C2252)),"Shares must be a whole number",IF(COUNTIFS($A$4:$A$2503,A2252,$B$4:$B$2503,B2252,$D$4:$D$2503,D2252)&gt;1,"Duplicate row (same date)","OK"))))))</f>
        <v/>
      </c>
    </row>
    <row r="2253">
      <c r="A2253" s="26" t="n"/>
      <c r="B2253" s="26" t="n"/>
      <c r="C2253" s="34" t="n"/>
      <c r="D2253" s="28" t="n"/>
      <c r="E2253" s="26" t="n"/>
      <c r="F2253" s="26" t="n"/>
      <c r="G2253" s="26" t="n"/>
      <c r="H2253" s="38" t="n"/>
      <c r="I2253" s="28" t="n"/>
      <c r="J2253" s="30">
        <f>IF(B2253="","",IFERROR(INDEX('Share classes'!$A$4:$A$203,MATCH(B2253,'Share classes'!$B$4:$B$203,0)),""))</f>
        <v/>
      </c>
      <c r="K2253" s="30">
        <f>IF(A2253="","",IFERROR(INDEX('Holders'!$B$4:$B$1003,MATCH(A2253,'Holders'!$A$4:$A$1003,0)),""))</f>
        <v/>
      </c>
      <c r="L2253" s="30">
        <f>IF(OR(A2253="",B2253="",D2253=""),"",IF(D2253=_xlfn.MAXIFS($D$4:$D$2503,$A$4:$A$2503,A2253,$B$4:$B$2503,B2253),"Yes","No"))</f>
        <v/>
      </c>
      <c r="M2253" s="30">
        <f>IF(B2253="","",IFERROR(INDEX('Share classes'!$F$4:$F$203,MATCH(B2253,'Share classes'!$B$4:$B$203,0)),""))</f>
        <v/>
      </c>
      <c r="N2253" s="30">
        <f>IF(A2253="","",IF(K2253="","Unknown holder ID",IF(J2253="","Unknown class code",IF(OR(C2253="",D2253=""),"Missing shares or date",IF(OR(C2253&lt;0,C2253&lt;&gt;INT(C2253)),"Shares must be a whole number",IF(COUNTIFS($A$4:$A$2503,A2253,$B$4:$B$2503,B2253,$D$4:$D$2503,D2253)&gt;1,"Duplicate row (same date)","OK"))))))</f>
        <v/>
      </c>
    </row>
    <row r="2254">
      <c r="A2254" s="26" t="n"/>
      <c r="B2254" s="26" t="n"/>
      <c r="C2254" s="34" t="n"/>
      <c r="D2254" s="28" t="n"/>
      <c r="E2254" s="26" t="n"/>
      <c r="F2254" s="26" t="n"/>
      <c r="G2254" s="26" t="n"/>
      <c r="H2254" s="38" t="n"/>
      <c r="I2254" s="28" t="n"/>
      <c r="J2254" s="30">
        <f>IF(B2254="","",IFERROR(INDEX('Share classes'!$A$4:$A$203,MATCH(B2254,'Share classes'!$B$4:$B$203,0)),""))</f>
        <v/>
      </c>
      <c r="K2254" s="30">
        <f>IF(A2254="","",IFERROR(INDEX('Holders'!$B$4:$B$1003,MATCH(A2254,'Holders'!$A$4:$A$1003,0)),""))</f>
        <v/>
      </c>
      <c r="L2254" s="30">
        <f>IF(OR(A2254="",B2254="",D2254=""),"",IF(D2254=_xlfn.MAXIFS($D$4:$D$2503,$A$4:$A$2503,A2254,$B$4:$B$2503,B2254),"Yes","No"))</f>
        <v/>
      </c>
      <c r="M2254" s="30">
        <f>IF(B2254="","",IFERROR(INDEX('Share classes'!$F$4:$F$203,MATCH(B2254,'Share classes'!$B$4:$B$203,0)),""))</f>
        <v/>
      </c>
      <c r="N2254" s="30">
        <f>IF(A2254="","",IF(K2254="","Unknown holder ID",IF(J2254="","Unknown class code",IF(OR(C2254="",D2254=""),"Missing shares or date",IF(OR(C2254&lt;0,C2254&lt;&gt;INT(C2254)),"Shares must be a whole number",IF(COUNTIFS($A$4:$A$2503,A2254,$B$4:$B$2503,B2254,$D$4:$D$2503,D2254)&gt;1,"Duplicate row (same date)","OK"))))))</f>
        <v/>
      </c>
    </row>
    <row r="2255">
      <c r="A2255" s="26" t="n"/>
      <c r="B2255" s="26" t="n"/>
      <c r="C2255" s="34" t="n"/>
      <c r="D2255" s="28" t="n"/>
      <c r="E2255" s="26" t="n"/>
      <c r="F2255" s="26" t="n"/>
      <c r="G2255" s="26" t="n"/>
      <c r="H2255" s="38" t="n"/>
      <c r="I2255" s="28" t="n"/>
      <c r="J2255" s="30">
        <f>IF(B2255="","",IFERROR(INDEX('Share classes'!$A$4:$A$203,MATCH(B2255,'Share classes'!$B$4:$B$203,0)),""))</f>
        <v/>
      </c>
      <c r="K2255" s="30">
        <f>IF(A2255="","",IFERROR(INDEX('Holders'!$B$4:$B$1003,MATCH(A2255,'Holders'!$A$4:$A$1003,0)),""))</f>
        <v/>
      </c>
      <c r="L2255" s="30">
        <f>IF(OR(A2255="",B2255="",D2255=""),"",IF(D2255=_xlfn.MAXIFS($D$4:$D$2503,$A$4:$A$2503,A2255,$B$4:$B$2503,B2255),"Yes","No"))</f>
        <v/>
      </c>
      <c r="M2255" s="30">
        <f>IF(B2255="","",IFERROR(INDEX('Share classes'!$F$4:$F$203,MATCH(B2255,'Share classes'!$B$4:$B$203,0)),""))</f>
        <v/>
      </c>
      <c r="N2255" s="30">
        <f>IF(A2255="","",IF(K2255="","Unknown holder ID",IF(J2255="","Unknown class code",IF(OR(C2255="",D2255=""),"Missing shares or date",IF(OR(C2255&lt;0,C2255&lt;&gt;INT(C2255)),"Shares must be a whole number",IF(COUNTIFS($A$4:$A$2503,A2255,$B$4:$B$2503,B2255,$D$4:$D$2503,D2255)&gt;1,"Duplicate row (same date)","OK"))))))</f>
        <v/>
      </c>
    </row>
    <row r="2256">
      <c r="A2256" s="26" t="n"/>
      <c r="B2256" s="26" t="n"/>
      <c r="C2256" s="34" t="n"/>
      <c r="D2256" s="28" t="n"/>
      <c r="E2256" s="26" t="n"/>
      <c r="F2256" s="26" t="n"/>
      <c r="G2256" s="26" t="n"/>
      <c r="H2256" s="38" t="n"/>
      <c r="I2256" s="28" t="n"/>
      <c r="J2256" s="30">
        <f>IF(B2256="","",IFERROR(INDEX('Share classes'!$A$4:$A$203,MATCH(B2256,'Share classes'!$B$4:$B$203,0)),""))</f>
        <v/>
      </c>
      <c r="K2256" s="30">
        <f>IF(A2256="","",IFERROR(INDEX('Holders'!$B$4:$B$1003,MATCH(A2256,'Holders'!$A$4:$A$1003,0)),""))</f>
        <v/>
      </c>
      <c r="L2256" s="30">
        <f>IF(OR(A2256="",B2256="",D2256=""),"",IF(D2256=_xlfn.MAXIFS($D$4:$D$2503,$A$4:$A$2503,A2256,$B$4:$B$2503,B2256),"Yes","No"))</f>
        <v/>
      </c>
      <c r="M2256" s="30">
        <f>IF(B2256="","",IFERROR(INDEX('Share classes'!$F$4:$F$203,MATCH(B2256,'Share classes'!$B$4:$B$203,0)),""))</f>
        <v/>
      </c>
      <c r="N2256" s="30">
        <f>IF(A2256="","",IF(K2256="","Unknown holder ID",IF(J2256="","Unknown class code",IF(OR(C2256="",D2256=""),"Missing shares or date",IF(OR(C2256&lt;0,C2256&lt;&gt;INT(C2256)),"Shares must be a whole number",IF(COUNTIFS($A$4:$A$2503,A2256,$B$4:$B$2503,B2256,$D$4:$D$2503,D2256)&gt;1,"Duplicate row (same date)","OK"))))))</f>
        <v/>
      </c>
    </row>
    <row r="2257">
      <c r="A2257" s="26" t="n"/>
      <c r="B2257" s="26" t="n"/>
      <c r="C2257" s="34" t="n"/>
      <c r="D2257" s="28" t="n"/>
      <c r="E2257" s="26" t="n"/>
      <c r="F2257" s="26" t="n"/>
      <c r="G2257" s="26" t="n"/>
      <c r="H2257" s="38" t="n"/>
      <c r="I2257" s="28" t="n"/>
      <c r="J2257" s="30">
        <f>IF(B2257="","",IFERROR(INDEX('Share classes'!$A$4:$A$203,MATCH(B2257,'Share classes'!$B$4:$B$203,0)),""))</f>
        <v/>
      </c>
      <c r="K2257" s="30">
        <f>IF(A2257="","",IFERROR(INDEX('Holders'!$B$4:$B$1003,MATCH(A2257,'Holders'!$A$4:$A$1003,0)),""))</f>
        <v/>
      </c>
      <c r="L2257" s="30">
        <f>IF(OR(A2257="",B2257="",D2257=""),"",IF(D2257=_xlfn.MAXIFS($D$4:$D$2503,$A$4:$A$2503,A2257,$B$4:$B$2503,B2257),"Yes","No"))</f>
        <v/>
      </c>
      <c r="M2257" s="30">
        <f>IF(B2257="","",IFERROR(INDEX('Share classes'!$F$4:$F$203,MATCH(B2257,'Share classes'!$B$4:$B$203,0)),""))</f>
        <v/>
      </c>
      <c r="N2257" s="30">
        <f>IF(A2257="","",IF(K2257="","Unknown holder ID",IF(J2257="","Unknown class code",IF(OR(C2257="",D2257=""),"Missing shares or date",IF(OR(C2257&lt;0,C2257&lt;&gt;INT(C2257)),"Shares must be a whole number",IF(COUNTIFS($A$4:$A$2503,A2257,$B$4:$B$2503,B2257,$D$4:$D$2503,D2257)&gt;1,"Duplicate row (same date)","OK"))))))</f>
        <v/>
      </c>
    </row>
    <row r="2258">
      <c r="A2258" s="26" t="n"/>
      <c r="B2258" s="26" t="n"/>
      <c r="C2258" s="34" t="n"/>
      <c r="D2258" s="28" t="n"/>
      <c r="E2258" s="26" t="n"/>
      <c r="F2258" s="26" t="n"/>
      <c r="G2258" s="26" t="n"/>
      <c r="H2258" s="38" t="n"/>
      <c r="I2258" s="28" t="n"/>
      <c r="J2258" s="30">
        <f>IF(B2258="","",IFERROR(INDEX('Share classes'!$A$4:$A$203,MATCH(B2258,'Share classes'!$B$4:$B$203,0)),""))</f>
        <v/>
      </c>
      <c r="K2258" s="30">
        <f>IF(A2258="","",IFERROR(INDEX('Holders'!$B$4:$B$1003,MATCH(A2258,'Holders'!$A$4:$A$1003,0)),""))</f>
        <v/>
      </c>
      <c r="L2258" s="30">
        <f>IF(OR(A2258="",B2258="",D2258=""),"",IF(D2258=_xlfn.MAXIFS($D$4:$D$2503,$A$4:$A$2503,A2258,$B$4:$B$2503,B2258),"Yes","No"))</f>
        <v/>
      </c>
      <c r="M2258" s="30">
        <f>IF(B2258="","",IFERROR(INDEX('Share classes'!$F$4:$F$203,MATCH(B2258,'Share classes'!$B$4:$B$203,0)),""))</f>
        <v/>
      </c>
      <c r="N2258" s="30">
        <f>IF(A2258="","",IF(K2258="","Unknown holder ID",IF(J2258="","Unknown class code",IF(OR(C2258="",D2258=""),"Missing shares or date",IF(OR(C2258&lt;0,C2258&lt;&gt;INT(C2258)),"Shares must be a whole number",IF(COUNTIFS($A$4:$A$2503,A2258,$B$4:$B$2503,B2258,$D$4:$D$2503,D2258)&gt;1,"Duplicate row (same date)","OK"))))))</f>
        <v/>
      </c>
    </row>
    <row r="2259">
      <c r="A2259" s="26" t="n"/>
      <c r="B2259" s="26" t="n"/>
      <c r="C2259" s="34" t="n"/>
      <c r="D2259" s="28" t="n"/>
      <c r="E2259" s="26" t="n"/>
      <c r="F2259" s="26" t="n"/>
      <c r="G2259" s="26" t="n"/>
      <c r="H2259" s="38" t="n"/>
      <c r="I2259" s="28" t="n"/>
      <c r="J2259" s="30">
        <f>IF(B2259="","",IFERROR(INDEX('Share classes'!$A$4:$A$203,MATCH(B2259,'Share classes'!$B$4:$B$203,0)),""))</f>
        <v/>
      </c>
      <c r="K2259" s="30">
        <f>IF(A2259="","",IFERROR(INDEX('Holders'!$B$4:$B$1003,MATCH(A2259,'Holders'!$A$4:$A$1003,0)),""))</f>
        <v/>
      </c>
      <c r="L2259" s="30">
        <f>IF(OR(A2259="",B2259="",D2259=""),"",IF(D2259=_xlfn.MAXIFS($D$4:$D$2503,$A$4:$A$2503,A2259,$B$4:$B$2503,B2259),"Yes","No"))</f>
        <v/>
      </c>
      <c r="M2259" s="30">
        <f>IF(B2259="","",IFERROR(INDEX('Share classes'!$F$4:$F$203,MATCH(B2259,'Share classes'!$B$4:$B$203,0)),""))</f>
        <v/>
      </c>
      <c r="N2259" s="30">
        <f>IF(A2259="","",IF(K2259="","Unknown holder ID",IF(J2259="","Unknown class code",IF(OR(C2259="",D2259=""),"Missing shares or date",IF(OR(C2259&lt;0,C2259&lt;&gt;INT(C2259)),"Shares must be a whole number",IF(COUNTIFS($A$4:$A$2503,A2259,$B$4:$B$2503,B2259,$D$4:$D$2503,D2259)&gt;1,"Duplicate row (same date)","OK"))))))</f>
        <v/>
      </c>
    </row>
    <row r="2260">
      <c r="A2260" s="26" t="n"/>
      <c r="B2260" s="26" t="n"/>
      <c r="C2260" s="34" t="n"/>
      <c r="D2260" s="28" t="n"/>
      <c r="E2260" s="26" t="n"/>
      <c r="F2260" s="26" t="n"/>
      <c r="G2260" s="26" t="n"/>
      <c r="H2260" s="38" t="n"/>
      <c r="I2260" s="28" t="n"/>
      <c r="J2260" s="30">
        <f>IF(B2260="","",IFERROR(INDEX('Share classes'!$A$4:$A$203,MATCH(B2260,'Share classes'!$B$4:$B$203,0)),""))</f>
        <v/>
      </c>
      <c r="K2260" s="30">
        <f>IF(A2260="","",IFERROR(INDEX('Holders'!$B$4:$B$1003,MATCH(A2260,'Holders'!$A$4:$A$1003,0)),""))</f>
        <v/>
      </c>
      <c r="L2260" s="30">
        <f>IF(OR(A2260="",B2260="",D2260=""),"",IF(D2260=_xlfn.MAXIFS($D$4:$D$2503,$A$4:$A$2503,A2260,$B$4:$B$2503,B2260),"Yes","No"))</f>
        <v/>
      </c>
      <c r="M2260" s="30">
        <f>IF(B2260="","",IFERROR(INDEX('Share classes'!$F$4:$F$203,MATCH(B2260,'Share classes'!$B$4:$B$203,0)),""))</f>
        <v/>
      </c>
      <c r="N2260" s="30">
        <f>IF(A2260="","",IF(K2260="","Unknown holder ID",IF(J2260="","Unknown class code",IF(OR(C2260="",D2260=""),"Missing shares or date",IF(OR(C2260&lt;0,C2260&lt;&gt;INT(C2260)),"Shares must be a whole number",IF(COUNTIFS($A$4:$A$2503,A2260,$B$4:$B$2503,B2260,$D$4:$D$2503,D2260)&gt;1,"Duplicate row (same date)","OK"))))))</f>
        <v/>
      </c>
    </row>
    <row r="2261">
      <c r="A2261" s="26" t="n"/>
      <c r="B2261" s="26" t="n"/>
      <c r="C2261" s="34" t="n"/>
      <c r="D2261" s="28" t="n"/>
      <c r="E2261" s="26" t="n"/>
      <c r="F2261" s="26" t="n"/>
      <c r="G2261" s="26" t="n"/>
      <c r="H2261" s="38" t="n"/>
      <c r="I2261" s="28" t="n"/>
      <c r="J2261" s="30">
        <f>IF(B2261="","",IFERROR(INDEX('Share classes'!$A$4:$A$203,MATCH(B2261,'Share classes'!$B$4:$B$203,0)),""))</f>
        <v/>
      </c>
      <c r="K2261" s="30">
        <f>IF(A2261="","",IFERROR(INDEX('Holders'!$B$4:$B$1003,MATCH(A2261,'Holders'!$A$4:$A$1003,0)),""))</f>
        <v/>
      </c>
      <c r="L2261" s="30">
        <f>IF(OR(A2261="",B2261="",D2261=""),"",IF(D2261=_xlfn.MAXIFS($D$4:$D$2503,$A$4:$A$2503,A2261,$B$4:$B$2503,B2261),"Yes","No"))</f>
        <v/>
      </c>
      <c r="M2261" s="30">
        <f>IF(B2261="","",IFERROR(INDEX('Share classes'!$F$4:$F$203,MATCH(B2261,'Share classes'!$B$4:$B$203,0)),""))</f>
        <v/>
      </c>
      <c r="N2261" s="30">
        <f>IF(A2261="","",IF(K2261="","Unknown holder ID",IF(J2261="","Unknown class code",IF(OR(C2261="",D2261=""),"Missing shares or date",IF(OR(C2261&lt;0,C2261&lt;&gt;INT(C2261)),"Shares must be a whole number",IF(COUNTIFS($A$4:$A$2503,A2261,$B$4:$B$2503,B2261,$D$4:$D$2503,D2261)&gt;1,"Duplicate row (same date)","OK"))))))</f>
        <v/>
      </c>
    </row>
    <row r="2262">
      <c r="A2262" s="26" t="n"/>
      <c r="B2262" s="26" t="n"/>
      <c r="C2262" s="34" t="n"/>
      <c r="D2262" s="28" t="n"/>
      <c r="E2262" s="26" t="n"/>
      <c r="F2262" s="26" t="n"/>
      <c r="G2262" s="26" t="n"/>
      <c r="H2262" s="38" t="n"/>
      <c r="I2262" s="28" t="n"/>
      <c r="J2262" s="30">
        <f>IF(B2262="","",IFERROR(INDEX('Share classes'!$A$4:$A$203,MATCH(B2262,'Share classes'!$B$4:$B$203,0)),""))</f>
        <v/>
      </c>
      <c r="K2262" s="30">
        <f>IF(A2262="","",IFERROR(INDEX('Holders'!$B$4:$B$1003,MATCH(A2262,'Holders'!$A$4:$A$1003,0)),""))</f>
        <v/>
      </c>
      <c r="L2262" s="30">
        <f>IF(OR(A2262="",B2262="",D2262=""),"",IF(D2262=_xlfn.MAXIFS($D$4:$D$2503,$A$4:$A$2503,A2262,$B$4:$B$2503,B2262),"Yes","No"))</f>
        <v/>
      </c>
      <c r="M2262" s="30">
        <f>IF(B2262="","",IFERROR(INDEX('Share classes'!$F$4:$F$203,MATCH(B2262,'Share classes'!$B$4:$B$203,0)),""))</f>
        <v/>
      </c>
      <c r="N2262" s="30">
        <f>IF(A2262="","",IF(K2262="","Unknown holder ID",IF(J2262="","Unknown class code",IF(OR(C2262="",D2262=""),"Missing shares or date",IF(OR(C2262&lt;0,C2262&lt;&gt;INT(C2262)),"Shares must be a whole number",IF(COUNTIFS($A$4:$A$2503,A2262,$B$4:$B$2503,B2262,$D$4:$D$2503,D2262)&gt;1,"Duplicate row (same date)","OK"))))))</f>
        <v/>
      </c>
    </row>
    <row r="2263">
      <c r="A2263" s="26" t="n"/>
      <c r="B2263" s="26" t="n"/>
      <c r="C2263" s="34" t="n"/>
      <c r="D2263" s="28" t="n"/>
      <c r="E2263" s="26" t="n"/>
      <c r="F2263" s="26" t="n"/>
      <c r="G2263" s="26" t="n"/>
      <c r="H2263" s="38" t="n"/>
      <c r="I2263" s="28" t="n"/>
      <c r="J2263" s="30">
        <f>IF(B2263="","",IFERROR(INDEX('Share classes'!$A$4:$A$203,MATCH(B2263,'Share classes'!$B$4:$B$203,0)),""))</f>
        <v/>
      </c>
      <c r="K2263" s="30">
        <f>IF(A2263="","",IFERROR(INDEX('Holders'!$B$4:$B$1003,MATCH(A2263,'Holders'!$A$4:$A$1003,0)),""))</f>
        <v/>
      </c>
      <c r="L2263" s="30">
        <f>IF(OR(A2263="",B2263="",D2263=""),"",IF(D2263=_xlfn.MAXIFS($D$4:$D$2503,$A$4:$A$2503,A2263,$B$4:$B$2503,B2263),"Yes","No"))</f>
        <v/>
      </c>
      <c r="M2263" s="30">
        <f>IF(B2263="","",IFERROR(INDEX('Share classes'!$F$4:$F$203,MATCH(B2263,'Share classes'!$B$4:$B$203,0)),""))</f>
        <v/>
      </c>
      <c r="N2263" s="30">
        <f>IF(A2263="","",IF(K2263="","Unknown holder ID",IF(J2263="","Unknown class code",IF(OR(C2263="",D2263=""),"Missing shares or date",IF(OR(C2263&lt;0,C2263&lt;&gt;INT(C2263)),"Shares must be a whole number",IF(COUNTIFS($A$4:$A$2503,A2263,$B$4:$B$2503,B2263,$D$4:$D$2503,D2263)&gt;1,"Duplicate row (same date)","OK"))))))</f>
        <v/>
      </c>
    </row>
    <row r="2264">
      <c r="A2264" s="26" t="n"/>
      <c r="B2264" s="26" t="n"/>
      <c r="C2264" s="34" t="n"/>
      <c r="D2264" s="28" t="n"/>
      <c r="E2264" s="26" t="n"/>
      <c r="F2264" s="26" t="n"/>
      <c r="G2264" s="26" t="n"/>
      <c r="H2264" s="38" t="n"/>
      <c r="I2264" s="28" t="n"/>
      <c r="J2264" s="30">
        <f>IF(B2264="","",IFERROR(INDEX('Share classes'!$A$4:$A$203,MATCH(B2264,'Share classes'!$B$4:$B$203,0)),""))</f>
        <v/>
      </c>
      <c r="K2264" s="30">
        <f>IF(A2264="","",IFERROR(INDEX('Holders'!$B$4:$B$1003,MATCH(A2264,'Holders'!$A$4:$A$1003,0)),""))</f>
        <v/>
      </c>
      <c r="L2264" s="30">
        <f>IF(OR(A2264="",B2264="",D2264=""),"",IF(D2264=_xlfn.MAXIFS($D$4:$D$2503,$A$4:$A$2503,A2264,$B$4:$B$2503,B2264),"Yes","No"))</f>
        <v/>
      </c>
      <c r="M2264" s="30">
        <f>IF(B2264="","",IFERROR(INDEX('Share classes'!$F$4:$F$203,MATCH(B2264,'Share classes'!$B$4:$B$203,0)),""))</f>
        <v/>
      </c>
      <c r="N2264" s="30">
        <f>IF(A2264="","",IF(K2264="","Unknown holder ID",IF(J2264="","Unknown class code",IF(OR(C2264="",D2264=""),"Missing shares or date",IF(OR(C2264&lt;0,C2264&lt;&gt;INT(C2264)),"Shares must be a whole number",IF(COUNTIFS($A$4:$A$2503,A2264,$B$4:$B$2503,B2264,$D$4:$D$2503,D2264)&gt;1,"Duplicate row (same date)","OK"))))))</f>
        <v/>
      </c>
    </row>
    <row r="2265">
      <c r="A2265" s="26" t="n"/>
      <c r="B2265" s="26" t="n"/>
      <c r="C2265" s="34" t="n"/>
      <c r="D2265" s="28" t="n"/>
      <c r="E2265" s="26" t="n"/>
      <c r="F2265" s="26" t="n"/>
      <c r="G2265" s="26" t="n"/>
      <c r="H2265" s="38" t="n"/>
      <c r="I2265" s="28" t="n"/>
      <c r="J2265" s="30">
        <f>IF(B2265="","",IFERROR(INDEX('Share classes'!$A$4:$A$203,MATCH(B2265,'Share classes'!$B$4:$B$203,0)),""))</f>
        <v/>
      </c>
      <c r="K2265" s="30">
        <f>IF(A2265="","",IFERROR(INDEX('Holders'!$B$4:$B$1003,MATCH(A2265,'Holders'!$A$4:$A$1003,0)),""))</f>
        <v/>
      </c>
      <c r="L2265" s="30">
        <f>IF(OR(A2265="",B2265="",D2265=""),"",IF(D2265=_xlfn.MAXIFS($D$4:$D$2503,$A$4:$A$2503,A2265,$B$4:$B$2503,B2265),"Yes","No"))</f>
        <v/>
      </c>
      <c r="M2265" s="30">
        <f>IF(B2265="","",IFERROR(INDEX('Share classes'!$F$4:$F$203,MATCH(B2265,'Share classes'!$B$4:$B$203,0)),""))</f>
        <v/>
      </c>
      <c r="N2265" s="30">
        <f>IF(A2265="","",IF(K2265="","Unknown holder ID",IF(J2265="","Unknown class code",IF(OR(C2265="",D2265=""),"Missing shares or date",IF(OR(C2265&lt;0,C2265&lt;&gt;INT(C2265)),"Shares must be a whole number",IF(COUNTIFS($A$4:$A$2503,A2265,$B$4:$B$2503,B2265,$D$4:$D$2503,D2265)&gt;1,"Duplicate row (same date)","OK"))))))</f>
        <v/>
      </c>
    </row>
    <row r="2266">
      <c r="A2266" s="26" t="n"/>
      <c r="B2266" s="26" t="n"/>
      <c r="C2266" s="34" t="n"/>
      <c r="D2266" s="28" t="n"/>
      <c r="E2266" s="26" t="n"/>
      <c r="F2266" s="26" t="n"/>
      <c r="G2266" s="26" t="n"/>
      <c r="H2266" s="38" t="n"/>
      <c r="I2266" s="28" t="n"/>
      <c r="J2266" s="30">
        <f>IF(B2266="","",IFERROR(INDEX('Share classes'!$A$4:$A$203,MATCH(B2266,'Share classes'!$B$4:$B$203,0)),""))</f>
        <v/>
      </c>
      <c r="K2266" s="30">
        <f>IF(A2266="","",IFERROR(INDEX('Holders'!$B$4:$B$1003,MATCH(A2266,'Holders'!$A$4:$A$1003,0)),""))</f>
        <v/>
      </c>
      <c r="L2266" s="30">
        <f>IF(OR(A2266="",B2266="",D2266=""),"",IF(D2266=_xlfn.MAXIFS($D$4:$D$2503,$A$4:$A$2503,A2266,$B$4:$B$2503,B2266),"Yes","No"))</f>
        <v/>
      </c>
      <c r="M2266" s="30">
        <f>IF(B2266="","",IFERROR(INDEX('Share classes'!$F$4:$F$203,MATCH(B2266,'Share classes'!$B$4:$B$203,0)),""))</f>
        <v/>
      </c>
      <c r="N2266" s="30">
        <f>IF(A2266="","",IF(K2266="","Unknown holder ID",IF(J2266="","Unknown class code",IF(OR(C2266="",D2266=""),"Missing shares or date",IF(OR(C2266&lt;0,C2266&lt;&gt;INT(C2266)),"Shares must be a whole number",IF(COUNTIFS($A$4:$A$2503,A2266,$B$4:$B$2503,B2266,$D$4:$D$2503,D2266)&gt;1,"Duplicate row (same date)","OK"))))))</f>
        <v/>
      </c>
    </row>
    <row r="2267">
      <c r="A2267" s="26" t="n"/>
      <c r="B2267" s="26" t="n"/>
      <c r="C2267" s="34" t="n"/>
      <c r="D2267" s="28" t="n"/>
      <c r="E2267" s="26" t="n"/>
      <c r="F2267" s="26" t="n"/>
      <c r="G2267" s="26" t="n"/>
      <c r="H2267" s="38" t="n"/>
      <c r="I2267" s="28" t="n"/>
      <c r="J2267" s="30">
        <f>IF(B2267="","",IFERROR(INDEX('Share classes'!$A$4:$A$203,MATCH(B2267,'Share classes'!$B$4:$B$203,0)),""))</f>
        <v/>
      </c>
      <c r="K2267" s="30">
        <f>IF(A2267="","",IFERROR(INDEX('Holders'!$B$4:$B$1003,MATCH(A2267,'Holders'!$A$4:$A$1003,0)),""))</f>
        <v/>
      </c>
      <c r="L2267" s="30">
        <f>IF(OR(A2267="",B2267="",D2267=""),"",IF(D2267=_xlfn.MAXIFS($D$4:$D$2503,$A$4:$A$2503,A2267,$B$4:$B$2503,B2267),"Yes","No"))</f>
        <v/>
      </c>
      <c r="M2267" s="30">
        <f>IF(B2267="","",IFERROR(INDEX('Share classes'!$F$4:$F$203,MATCH(B2267,'Share classes'!$B$4:$B$203,0)),""))</f>
        <v/>
      </c>
      <c r="N2267" s="30">
        <f>IF(A2267="","",IF(K2267="","Unknown holder ID",IF(J2267="","Unknown class code",IF(OR(C2267="",D2267=""),"Missing shares or date",IF(OR(C2267&lt;0,C2267&lt;&gt;INT(C2267)),"Shares must be a whole number",IF(COUNTIFS($A$4:$A$2503,A2267,$B$4:$B$2503,B2267,$D$4:$D$2503,D2267)&gt;1,"Duplicate row (same date)","OK"))))))</f>
        <v/>
      </c>
    </row>
    <row r="2268">
      <c r="A2268" s="26" t="n"/>
      <c r="B2268" s="26" t="n"/>
      <c r="C2268" s="34" t="n"/>
      <c r="D2268" s="28" t="n"/>
      <c r="E2268" s="26" t="n"/>
      <c r="F2268" s="26" t="n"/>
      <c r="G2268" s="26" t="n"/>
      <c r="H2268" s="38" t="n"/>
      <c r="I2268" s="28" t="n"/>
      <c r="J2268" s="30">
        <f>IF(B2268="","",IFERROR(INDEX('Share classes'!$A$4:$A$203,MATCH(B2268,'Share classes'!$B$4:$B$203,0)),""))</f>
        <v/>
      </c>
      <c r="K2268" s="30">
        <f>IF(A2268="","",IFERROR(INDEX('Holders'!$B$4:$B$1003,MATCH(A2268,'Holders'!$A$4:$A$1003,0)),""))</f>
        <v/>
      </c>
      <c r="L2268" s="30">
        <f>IF(OR(A2268="",B2268="",D2268=""),"",IF(D2268=_xlfn.MAXIFS($D$4:$D$2503,$A$4:$A$2503,A2268,$B$4:$B$2503,B2268),"Yes","No"))</f>
        <v/>
      </c>
      <c r="M2268" s="30">
        <f>IF(B2268="","",IFERROR(INDEX('Share classes'!$F$4:$F$203,MATCH(B2268,'Share classes'!$B$4:$B$203,0)),""))</f>
        <v/>
      </c>
      <c r="N2268" s="30">
        <f>IF(A2268="","",IF(K2268="","Unknown holder ID",IF(J2268="","Unknown class code",IF(OR(C2268="",D2268=""),"Missing shares or date",IF(OR(C2268&lt;0,C2268&lt;&gt;INT(C2268)),"Shares must be a whole number",IF(COUNTIFS($A$4:$A$2503,A2268,$B$4:$B$2503,B2268,$D$4:$D$2503,D2268)&gt;1,"Duplicate row (same date)","OK"))))))</f>
        <v/>
      </c>
    </row>
    <row r="2269">
      <c r="A2269" s="26" t="n"/>
      <c r="B2269" s="26" t="n"/>
      <c r="C2269" s="34" t="n"/>
      <c r="D2269" s="28" t="n"/>
      <c r="E2269" s="26" t="n"/>
      <c r="F2269" s="26" t="n"/>
      <c r="G2269" s="26" t="n"/>
      <c r="H2269" s="38" t="n"/>
      <c r="I2269" s="28" t="n"/>
      <c r="J2269" s="30">
        <f>IF(B2269="","",IFERROR(INDEX('Share classes'!$A$4:$A$203,MATCH(B2269,'Share classes'!$B$4:$B$203,0)),""))</f>
        <v/>
      </c>
      <c r="K2269" s="30">
        <f>IF(A2269="","",IFERROR(INDEX('Holders'!$B$4:$B$1003,MATCH(A2269,'Holders'!$A$4:$A$1003,0)),""))</f>
        <v/>
      </c>
      <c r="L2269" s="30">
        <f>IF(OR(A2269="",B2269="",D2269=""),"",IF(D2269=_xlfn.MAXIFS($D$4:$D$2503,$A$4:$A$2503,A2269,$B$4:$B$2503,B2269),"Yes","No"))</f>
        <v/>
      </c>
      <c r="M2269" s="30">
        <f>IF(B2269="","",IFERROR(INDEX('Share classes'!$F$4:$F$203,MATCH(B2269,'Share classes'!$B$4:$B$203,0)),""))</f>
        <v/>
      </c>
      <c r="N2269" s="30">
        <f>IF(A2269="","",IF(K2269="","Unknown holder ID",IF(J2269="","Unknown class code",IF(OR(C2269="",D2269=""),"Missing shares or date",IF(OR(C2269&lt;0,C2269&lt;&gt;INT(C2269)),"Shares must be a whole number",IF(COUNTIFS($A$4:$A$2503,A2269,$B$4:$B$2503,B2269,$D$4:$D$2503,D2269)&gt;1,"Duplicate row (same date)","OK"))))))</f>
        <v/>
      </c>
    </row>
    <row r="2270">
      <c r="A2270" s="26" t="n"/>
      <c r="B2270" s="26" t="n"/>
      <c r="C2270" s="34" t="n"/>
      <c r="D2270" s="28" t="n"/>
      <c r="E2270" s="26" t="n"/>
      <c r="F2270" s="26" t="n"/>
      <c r="G2270" s="26" t="n"/>
      <c r="H2270" s="38" t="n"/>
      <c r="I2270" s="28" t="n"/>
      <c r="J2270" s="30">
        <f>IF(B2270="","",IFERROR(INDEX('Share classes'!$A$4:$A$203,MATCH(B2270,'Share classes'!$B$4:$B$203,0)),""))</f>
        <v/>
      </c>
      <c r="K2270" s="30">
        <f>IF(A2270="","",IFERROR(INDEX('Holders'!$B$4:$B$1003,MATCH(A2270,'Holders'!$A$4:$A$1003,0)),""))</f>
        <v/>
      </c>
      <c r="L2270" s="30">
        <f>IF(OR(A2270="",B2270="",D2270=""),"",IF(D2270=_xlfn.MAXIFS($D$4:$D$2503,$A$4:$A$2503,A2270,$B$4:$B$2503,B2270),"Yes","No"))</f>
        <v/>
      </c>
      <c r="M2270" s="30">
        <f>IF(B2270="","",IFERROR(INDEX('Share classes'!$F$4:$F$203,MATCH(B2270,'Share classes'!$B$4:$B$203,0)),""))</f>
        <v/>
      </c>
      <c r="N2270" s="30">
        <f>IF(A2270="","",IF(K2270="","Unknown holder ID",IF(J2270="","Unknown class code",IF(OR(C2270="",D2270=""),"Missing shares or date",IF(OR(C2270&lt;0,C2270&lt;&gt;INT(C2270)),"Shares must be a whole number",IF(COUNTIFS($A$4:$A$2503,A2270,$B$4:$B$2503,B2270,$D$4:$D$2503,D2270)&gt;1,"Duplicate row (same date)","OK"))))))</f>
        <v/>
      </c>
    </row>
    <row r="2271">
      <c r="A2271" s="26" t="n"/>
      <c r="B2271" s="26" t="n"/>
      <c r="C2271" s="34" t="n"/>
      <c r="D2271" s="28" t="n"/>
      <c r="E2271" s="26" t="n"/>
      <c r="F2271" s="26" t="n"/>
      <c r="G2271" s="26" t="n"/>
      <c r="H2271" s="38" t="n"/>
      <c r="I2271" s="28" t="n"/>
      <c r="J2271" s="30">
        <f>IF(B2271="","",IFERROR(INDEX('Share classes'!$A$4:$A$203,MATCH(B2271,'Share classes'!$B$4:$B$203,0)),""))</f>
        <v/>
      </c>
      <c r="K2271" s="30">
        <f>IF(A2271="","",IFERROR(INDEX('Holders'!$B$4:$B$1003,MATCH(A2271,'Holders'!$A$4:$A$1003,0)),""))</f>
        <v/>
      </c>
      <c r="L2271" s="30">
        <f>IF(OR(A2271="",B2271="",D2271=""),"",IF(D2271=_xlfn.MAXIFS($D$4:$D$2503,$A$4:$A$2503,A2271,$B$4:$B$2503,B2271),"Yes","No"))</f>
        <v/>
      </c>
      <c r="M2271" s="30">
        <f>IF(B2271="","",IFERROR(INDEX('Share classes'!$F$4:$F$203,MATCH(B2271,'Share classes'!$B$4:$B$203,0)),""))</f>
        <v/>
      </c>
      <c r="N2271" s="30">
        <f>IF(A2271="","",IF(K2271="","Unknown holder ID",IF(J2271="","Unknown class code",IF(OR(C2271="",D2271=""),"Missing shares or date",IF(OR(C2271&lt;0,C2271&lt;&gt;INT(C2271)),"Shares must be a whole number",IF(COUNTIFS($A$4:$A$2503,A2271,$B$4:$B$2503,B2271,$D$4:$D$2503,D2271)&gt;1,"Duplicate row (same date)","OK"))))))</f>
        <v/>
      </c>
    </row>
    <row r="2272">
      <c r="A2272" s="26" t="n"/>
      <c r="B2272" s="26" t="n"/>
      <c r="C2272" s="34" t="n"/>
      <c r="D2272" s="28" t="n"/>
      <c r="E2272" s="26" t="n"/>
      <c r="F2272" s="26" t="n"/>
      <c r="G2272" s="26" t="n"/>
      <c r="H2272" s="38" t="n"/>
      <c r="I2272" s="28" t="n"/>
      <c r="J2272" s="30">
        <f>IF(B2272="","",IFERROR(INDEX('Share classes'!$A$4:$A$203,MATCH(B2272,'Share classes'!$B$4:$B$203,0)),""))</f>
        <v/>
      </c>
      <c r="K2272" s="30">
        <f>IF(A2272="","",IFERROR(INDEX('Holders'!$B$4:$B$1003,MATCH(A2272,'Holders'!$A$4:$A$1003,0)),""))</f>
        <v/>
      </c>
      <c r="L2272" s="30">
        <f>IF(OR(A2272="",B2272="",D2272=""),"",IF(D2272=_xlfn.MAXIFS($D$4:$D$2503,$A$4:$A$2503,A2272,$B$4:$B$2503,B2272),"Yes","No"))</f>
        <v/>
      </c>
      <c r="M2272" s="30">
        <f>IF(B2272="","",IFERROR(INDEX('Share classes'!$F$4:$F$203,MATCH(B2272,'Share classes'!$B$4:$B$203,0)),""))</f>
        <v/>
      </c>
      <c r="N2272" s="30">
        <f>IF(A2272="","",IF(K2272="","Unknown holder ID",IF(J2272="","Unknown class code",IF(OR(C2272="",D2272=""),"Missing shares or date",IF(OR(C2272&lt;0,C2272&lt;&gt;INT(C2272)),"Shares must be a whole number",IF(COUNTIFS($A$4:$A$2503,A2272,$B$4:$B$2503,B2272,$D$4:$D$2503,D2272)&gt;1,"Duplicate row (same date)","OK"))))))</f>
        <v/>
      </c>
    </row>
    <row r="2273">
      <c r="A2273" s="26" t="n"/>
      <c r="B2273" s="26" t="n"/>
      <c r="C2273" s="34" t="n"/>
      <c r="D2273" s="28" t="n"/>
      <c r="E2273" s="26" t="n"/>
      <c r="F2273" s="26" t="n"/>
      <c r="G2273" s="26" t="n"/>
      <c r="H2273" s="38" t="n"/>
      <c r="I2273" s="28" t="n"/>
      <c r="J2273" s="30">
        <f>IF(B2273="","",IFERROR(INDEX('Share classes'!$A$4:$A$203,MATCH(B2273,'Share classes'!$B$4:$B$203,0)),""))</f>
        <v/>
      </c>
      <c r="K2273" s="30">
        <f>IF(A2273="","",IFERROR(INDEX('Holders'!$B$4:$B$1003,MATCH(A2273,'Holders'!$A$4:$A$1003,0)),""))</f>
        <v/>
      </c>
      <c r="L2273" s="30">
        <f>IF(OR(A2273="",B2273="",D2273=""),"",IF(D2273=_xlfn.MAXIFS($D$4:$D$2503,$A$4:$A$2503,A2273,$B$4:$B$2503,B2273),"Yes","No"))</f>
        <v/>
      </c>
      <c r="M2273" s="30">
        <f>IF(B2273="","",IFERROR(INDEX('Share classes'!$F$4:$F$203,MATCH(B2273,'Share classes'!$B$4:$B$203,0)),""))</f>
        <v/>
      </c>
      <c r="N2273" s="30">
        <f>IF(A2273="","",IF(K2273="","Unknown holder ID",IF(J2273="","Unknown class code",IF(OR(C2273="",D2273=""),"Missing shares or date",IF(OR(C2273&lt;0,C2273&lt;&gt;INT(C2273)),"Shares must be a whole number",IF(COUNTIFS($A$4:$A$2503,A2273,$B$4:$B$2503,B2273,$D$4:$D$2503,D2273)&gt;1,"Duplicate row (same date)","OK"))))))</f>
        <v/>
      </c>
    </row>
    <row r="2274">
      <c r="A2274" s="26" t="n"/>
      <c r="B2274" s="26" t="n"/>
      <c r="C2274" s="34" t="n"/>
      <c r="D2274" s="28" t="n"/>
      <c r="E2274" s="26" t="n"/>
      <c r="F2274" s="26" t="n"/>
      <c r="G2274" s="26" t="n"/>
      <c r="H2274" s="38" t="n"/>
      <c r="I2274" s="28" t="n"/>
      <c r="J2274" s="30">
        <f>IF(B2274="","",IFERROR(INDEX('Share classes'!$A$4:$A$203,MATCH(B2274,'Share classes'!$B$4:$B$203,0)),""))</f>
        <v/>
      </c>
      <c r="K2274" s="30">
        <f>IF(A2274="","",IFERROR(INDEX('Holders'!$B$4:$B$1003,MATCH(A2274,'Holders'!$A$4:$A$1003,0)),""))</f>
        <v/>
      </c>
      <c r="L2274" s="30">
        <f>IF(OR(A2274="",B2274="",D2274=""),"",IF(D2274=_xlfn.MAXIFS($D$4:$D$2503,$A$4:$A$2503,A2274,$B$4:$B$2503,B2274),"Yes","No"))</f>
        <v/>
      </c>
      <c r="M2274" s="30">
        <f>IF(B2274="","",IFERROR(INDEX('Share classes'!$F$4:$F$203,MATCH(B2274,'Share classes'!$B$4:$B$203,0)),""))</f>
        <v/>
      </c>
      <c r="N2274" s="30">
        <f>IF(A2274="","",IF(K2274="","Unknown holder ID",IF(J2274="","Unknown class code",IF(OR(C2274="",D2274=""),"Missing shares or date",IF(OR(C2274&lt;0,C2274&lt;&gt;INT(C2274)),"Shares must be a whole number",IF(COUNTIFS($A$4:$A$2503,A2274,$B$4:$B$2503,B2274,$D$4:$D$2503,D2274)&gt;1,"Duplicate row (same date)","OK"))))))</f>
        <v/>
      </c>
    </row>
    <row r="2275">
      <c r="A2275" s="26" t="n"/>
      <c r="B2275" s="26" t="n"/>
      <c r="C2275" s="34" t="n"/>
      <c r="D2275" s="28" t="n"/>
      <c r="E2275" s="26" t="n"/>
      <c r="F2275" s="26" t="n"/>
      <c r="G2275" s="26" t="n"/>
      <c r="H2275" s="38" t="n"/>
      <c r="I2275" s="28" t="n"/>
      <c r="J2275" s="30">
        <f>IF(B2275="","",IFERROR(INDEX('Share classes'!$A$4:$A$203,MATCH(B2275,'Share classes'!$B$4:$B$203,0)),""))</f>
        <v/>
      </c>
      <c r="K2275" s="30">
        <f>IF(A2275="","",IFERROR(INDEX('Holders'!$B$4:$B$1003,MATCH(A2275,'Holders'!$A$4:$A$1003,0)),""))</f>
        <v/>
      </c>
      <c r="L2275" s="30">
        <f>IF(OR(A2275="",B2275="",D2275=""),"",IF(D2275=_xlfn.MAXIFS($D$4:$D$2503,$A$4:$A$2503,A2275,$B$4:$B$2503,B2275),"Yes","No"))</f>
        <v/>
      </c>
      <c r="M2275" s="30">
        <f>IF(B2275="","",IFERROR(INDEX('Share classes'!$F$4:$F$203,MATCH(B2275,'Share classes'!$B$4:$B$203,0)),""))</f>
        <v/>
      </c>
      <c r="N2275" s="30">
        <f>IF(A2275="","",IF(K2275="","Unknown holder ID",IF(J2275="","Unknown class code",IF(OR(C2275="",D2275=""),"Missing shares or date",IF(OR(C2275&lt;0,C2275&lt;&gt;INT(C2275)),"Shares must be a whole number",IF(COUNTIFS($A$4:$A$2503,A2275,$B$4:$B$2503,B2275,$D$4:$D$2503,D2275)&gt;1,"Duplicate row (same date)","OK"))))))</f>
        <v/>
      </c>
    </row>
    <row r="2276">
      <c r="A2276" s="26" t="n"/>
      <c r="B2276" s="26" t="n"/>
      <c r="C2276" s="34" t="n"/>
      <c r="D2276" s="28" t="n"/>
      <c r="E2276" s="26" t="n"/>
      <c r="F2276" s="26" t="n"/>
      <c r="G2276" s="26" t="n"/>
      <c r="H2276" s="38" t="n"/>
      <c r="I2276" s="28" t="n"/>
      <c r="J2276" s="30">
        <f>IF(B2276="","",IFERROR(INDEX('Share classes'!$A$4:$A$203,MATCH(B2276,'Share classes'!$B$4:$B$203,0)),""))</f>
        <v/>
      </c>
      <c r="K2276" s="30">
        <f>IF(A2276="","",IFERROR(INDEX('Holders'!$B$4:$B$1003,MATCH(A2276,'Holders'!$A$4:$A$1003,0)),""))</f>
        <v/>
      </c>
      <c r="L2276" s="30">
        <f>IF(OR(A2276="",B2276="",D2276=""),"",IF(D2276=_xlfn.MAXIFS($D$4:$D$2503,$A$4:$A$2503,A2276,$B$4:$B$2503,B2276),"Yes","No"))</f>
        <v/>
      </c>
      <c r="M2276" s="30">
        <f>IF(B2276="","",IFERROR(INDEX('Share classes'!$F$4:$F$203,MATCH(B2276,'Share classes'!$B$4:$B$203,0)),""))</f>
        <v/>
      </c>
      <c r="N2276" s="30">
        <f>IF(A2276="","",IF(K2276="","Unknown holder ID",IF(J2276="","Unknown class code",IF(OR(C2276="",D2276=""),"Missing shares or date",IF(OR(C2276&lt;0,C2276&lt;&gt;INT(C2276)),"Shares must be a whole number",IF(COUNTIFS($A$4:$A$2503,A2276,$B$4:$B$2503,B2276,$D$4:$D$2503,D2276)&gt;1,"Duplicate row (same date)","OK"))))))</f>
        <v/>
      </c>
    </row>
    <row r="2277">
      <c r="A2277" s="26" t="n"/>
      <c r="B2277" s="26" t="n"/>
      <c r="C2277" s="34" t="n"/>
      <c r="D2277" s="28" t="n"/>
      <c r="E2277" s="26" t="n"/>
      <c r="F2277" s="26" t="n"/>
      <c r="G2277" s="26" t="n"/>
      <c r="H2277" s="38" t="n"/>
      <c r="I2277" s="28" t="n"/>
      <c r="J2277" s="30">
        <f>IF(B2277="","",IFERROR(INDEX('Share classes'!$A$4:$A$203,MATCH(B2277,'Share classes'!$B$4:$B$203,0)),""))</f>
        <v/>
      </c>
      <c r="K2277" s="30">
        <f>IF(A2277="","",IFERROR(INDEX('Holders'!$B$4:$B$1003,MATCH(A2277,'Holders'!$A$4:$A$1003,0)),""))</f>
        <v/>
      </c>
      <c r="L2277" s="30">
        <f>IF(OR(A2277="",B2277="",D2277=""),"",IF(D2277=_xlfn.MAXIFS($D$4:$D$2503,$A$4:$A$2503,A2277,$B$4:$B$2503,B2277),"Yes","No"))</f>
        <v/>
      </c>
      <c r="M2277" s="30">
        <f>IF(B2277="","",IFERROR(INDEX('Share classes'!$F$4:$F$203,MATCH(B2277,'Share classes'!$B$4:$B$203,0)),""))</f>
        <v/>
      </c>
      <c r="N2277" s="30">
        <f>IF(A2277="","",IF(K2277="","Unknown holder ID",IF(J2277="","Unknown class code",IF(OR(C2277="",D2277=""),"Missing shares or date",IF(OR(C2277&lt;0,C2277&lt;&gt;INT(C2277)),"Shares must be a whole number",IF(COUNTIFS($A$4:$A$2503,A2277,$B$4:$B$2503,B2277,$D$4:$D$2503,D2277)&gt;1,"Duplicate row (same date)","OK"))))))</f>
        <v/>
      </c>
    </row>
    <row r="2278">
      <c r="A2278" s="26" t="n"/>
      <c r="B2278" s="26" t="n"/>
      <c r="C2278" s="34" t="n"/>
      <c r="D2278" s="28" t="n"/>
      <c r="E2278" s="26" t="n"/>
      <c r="F2278" s="26" t="n"/>
      <c r="G2278" s="26" t="n"/>
      <c r="H2278" s="38" t="n"/>
      <c r="I2278" s="28" t="n"/>
      <c r="J2278" s="30">
        <f>IF(B2278="","",IFERROR(INDEX('Share classes'!$A$4:$A$203,MATCH(B2278,'Share classes'!$B$4:$B$203,0)),""))</f>
        <v/>
      </c>
      <c r="K2278" s="30">
        <f>IF(A2278="","",IFERROR(INDEX('Holders'!$B$4:$B$1003,MATCH(A2278,'Holders'!$A$4:$A$1003,0)),""))</f>
        <v/>
      </c>
      <c r="L2278" s="30">
        <f>IF(OR(A2278="",B2278="",D2278=""),"",IF(D2278=_xlfn.MAXIFS($D$4:$D$2503,$A$4:$A$2503,A2278,$B$4:$B$2503,B2278),"Yes","No"))</f>
        <v/>
      </c>
      <c r="M2278" s="30">
        <f>IF(B2278="","",IFERROR(INDEX('Share classes'!$F$4:$F$203,MATCH(B2278,'Share classes'!$B$4:$B$203,0)),""))</f>
        <v/>
      </c>
      <c r="N2278" s="30">
        <f>IF(A2278="","",IF(K2278="","Unknown holder ID",IF(J2278="","Unknown class code",IF(OR(C2278="",D2278=""),"Missing shares or date",IF(OR(C2278&lt;0,C2278&lt;&gt;INT(C2278)),"Shares must be a whole number",IF(COUNTIFS($A$4:$A$2503,A2278,$B$4:$B$2503,B2278,$D$4:$D$2503,D2278)&gt;1,"Duplicate row (same date)","OK"))))))</f>
        <v/>
      </c>
    </row>
    <row r="2279">
      <c r="A2279" s="26" t="n"/>
      <c r="B2279" s="26" t="n"/>
      <c r="C2279" s="34" t="n"/>
      <c r="D2279" s="28" t="n"/>
      <c r="E2279" s="26" t="n"/>
      <c r="F2279" s="26" t="n"/>
      <c r="G2279" s="26" t="n"/>
      <c r="H2279" s="38" t="n"/>
      <c r="I2279" s="28" t="n"/>
      <c r="J2279" s="30">
        <f>IF(B2279="","",IFERROR(INDEX('Share classes'!$A$4:$A$203,MATCH(B2279,'Share classes'!$B$4:$B$203,0)),""))</f>
        <v/>
      </c>
      <c r="K2279" s="30">
        <f>IF(A2279="","",IFERROR(INDEX('Holders'!$B$4:$B$1003,MATCH(A2279,'Holders'!$A$4:$A$1003,0)),""))</f>
        <v/>
      </c>
      <c r="L2279" s="30">
        <f>IF(OR(A2279="",B2279="",D2279=""),"",IF(D2279=_xlfn.MAXIFS($D$4:$D$2503,$A$4:$A$2503,A2279,$B$4:$B$2503,B2279),"Yes","No"))</f>
        <v/>
      </c>
      <c r="M2279" s="30">
        <f>IF(B2279="","",IFERROR(INDEX('Share classes'!$F$4:$F$203,MATCH(B2279,'Share classes'!$B$4:$B$203,0)),""))</f>
        <v/>
      </c>
      <c r="N2279" s="30">
        <f>IF(A2279="","",IF(K2279="","Unknown holder ID",IF(J2279="","Unknown class code",IF(OR(C2279="",D2279=""),"Missing shares or date",IF(OR(C2279&lt;0,C2279&lt;&gt;INT(C2279)),"Shares must be a whole number",IF(COUNTIFS($A$4:$A$2503,A2279,$B$4:$B$2503,B2279,$D$4:$D$2503,D2279)&gt;1,"Duplicate row (same date)","OK"))))))</f>
        <v/>
      </c>
    </row>
    <row r="2280">
      <c r="A2280" s="26" t="n"/>
      <c r="B2280" s="26" t="n"/>
      <c r="C2280" s="34" t="n"/>
      <c r="D2280" s="28" t="n"/>
      <c r="E2280" s="26" t="n"/>
      <c r="F2280" s="26" t="n"/>
      <c r="G2280" s="26" t="n"/>
      <c r="H2280" s="38" t="n"/>
      <c r="I2280" s="28" t="n"/>
      <c r="J2280" s="30">
        <f>IF(B2280="","",IFERROR(INDEX('Share classes'!$A$4:$A$203,MATCH(B2280,'Share classes'!$B$4:$B$203,0)),""))</f>
        <v/>
      </c>
      <c r="K2280" s="30">
        <f>IF(A2280="","",IFERROR(INDEX('Holders'!$B$4:$B$1003,MATCH(A2280,'Holders'!$A$4:$A$1003,0)),""))</f>
        <v/>
      </c>
      <c r="L2280" s="30">
        <f>IF(OR(A2280="",B2280="",D2280=""),"",IF(D2280=_xlfn.MAXIFS($D$4:$D$2503,$A$4:$A$2503,A2280,$B$4:$B$2503,B2280),"Yes","No"))</f>
        <v/>
      </c>
      <c r="M2280" s="30">
        <f>IF(B2280="","",IFERROR(INDEX('Share classes'!$F$4:$F$203,MATCH(B2280,'Share classes'!$B$4:$B$203,0)),""))</f>
        <v/>
      </c>
      <c r="N2280" s="30">
        <f>IF(A2280="","",IF(K2280="","Unknown holder ID",IF(J2280="","Unknown class code",IF(OR(C2280="",D2280=""),"Missing shares or date",IF(OR(C2280&lt;0,C2280&lt;&gt;INT(C2280)),"Shares must be a whole number",IF(COUNTIFS($A$4:$A$2503,A2280,$B$4:$B$2503,B2280,$D$4:$D$2503,D2280)&gt;1,"Duplicate row (same date)","OK"))))))</f>
        <v/>
      </c>
    </row>
    <row r="2281">
      <c r="A2281" s="26" t="n"/>
      <c r="B2281" s="26" t="n"/>
      <c r="C2281" s="34" t="n"/>
      <c r="D2281" s="28" t="n"/>
      <c r="E2281" s="26" t="n"/>
      <c r="F2281" s="26" t="n"/>
      <c r="G2281" s="26" t="n"/>
      <c r="H2281" s="38" t="n"/>
      <c r="I2281" s="28" t="n"/>
      <c r="J2281" s="30">
        <f>IF(B2281="","",IFERROR(INDEX('Share classes'!$A$4:$A$203,MATCH(B2281,'Share classes'!$B$4:$B$203,0)),""))</f>
        <v/>
      </c>
      <c r="K2281" s="30">
        <f>IF(A2281="","",IFERROR(INDEX('Holders'!$B$4:$B$1003,MATCH(A2281,'Holders'!$A$4:$A$1003,0)),""))</f>
        <v/>
      </c>
      <c r="L2281" s="30">
        <f>IF(OR(A2281="",B2281="",D2281=""),"",IF(D2281=_xlfn.MAXIFS($D$4:$D$2503,$A$4:$A$2503,A2281,$B$4:$B$2503,B2281),"Yes","No"))</f>
        <v/>
      </c>
      <c r="M2281" s="30">
        <f>IF(B2281="","",IFERROR(INDEX('Share classes'!$F$4:$F$203,MATCH(B2281,'Share classes'!$B$4:$B$203,0)),""))</f>
        <v/>
      </c>
      <c r="N2281" s="30">
        <f>IF(A2281="","",IF(K2281="","Unknown holder ID",IF(J2281="","Unknown class code",IF(OR(C2281="",D2281=""),"Missing shares or date",IF(OR(C2281&lt;0,C2281&lt;&gt;INT(C2281)),"Shares must be a whole number",IF(COUNTIFS($A$4:$A$2503,A2281,$B$4:$B$2503,B2281,$D$4:$D$2503,D2281)&gt;1,"Duplicate row (same date)","OK"))))))</f>
        <v/>
      </c>
    </row>
    <row r="2282">
      <c r="A2282" s="26" t="n"/>
      <c r="B2282" s="26" t="n"/>
      <c r="C2282" s="34" t="n"/>
      <c r="D2282" s="28" t="n"/>
      <c r="E2282" s="26" t="n"/>
      <c r="F2282" s="26" t="n"/>
      <c r="G2282" s="26" t="n"/>
      <c r="H2282" s="38" t="n"/>
      <c r="I2282" s="28" t="n"/>
      <c r="J2282" s="30">
        <f>IF(B2282="","",IFERROR(INDEX('Share classes'!$A$4:$A$203,MATCH(B2282,'Share classes'!$B$4:$B$203,0)),""))</f>
        <v/>
      </c>
      <c r="K2282" s="30">
        <f>IF(A2282="","",IFERROR(INDEX('Holders'!$B$4:$B$1003,MATCH(A2282,'Holders'!$A$4:$A$1003,0)),""))</f>
        <v/>
      </c>
      <c r="L2282" s="30">
        <f>IF(OR(A2282="",B2282="",D2282=""),"",IF(D2282=_xlfn.MAXIFS($D$4:$D$2503,$A$4:$A$2503,A2282,$B$4:$B$2503,B2282),"Yes","No"))</f>
        <v/>
      </c>
      <c r="M2282" s="30">
        <f>IF(B2282="","",IFERROR(INDEX('Share classes'!$F$4:$F$203,MATCH(B2282,'Share classes'!$B$4:$B$203,0)),""))</f>
        <v/>
      </c>
      <c r="N2282" s="30">
        <f>IF(A2282="","",IF(K2282="","Unknown holder ID",IF(J2282="","Unknown class code",IF(OR(C2282="",D2282=""),"Missing shares or date",IF(OR(C2282&lt;0,C2282&lt;&gt;INT(C2282)),"Shares must be a whole number",IF(COUNTIFS($A$4:$A$2503,A2282,$B$4:$B$2503,B2282,$D$4:$D$2503,D2282)&gt;1,"Duplicate row (same date)","OK"))))))</f>
        <v/>
      </c>
    </row>
    <row r="2283">
      <c r="A2283" s="26" t="n"/>
      <c r="B2283" s="26" t="n"/>
      <c r="C2283" s="34" t="n"/>
      <c r="D2283" s="28" t="n"/>
      <c r="E2283" s="26" t="n"/>
      <c r="F2283" s="26" t="n"/>
      <c r="G2283" s="26" t="n"/>
      <c r="H2283" s="38" t="n"/>
      <c r="I2283" s="28" t="n"/>
      <c r="J2283" s="30">
        <f>IF(B2283="","",IFERROR(INDEX('Share classes'!$A$4:$A$203,MATCH(B2283,'Share classes'!$B$4:$B$203,0)),""))</f>
        <v/>
      </c>
      <c r="K2283" s="30">
        <f>IF(A2283="","",IFERROR(INDEX('Holders'!$B$4:$B$1003,MATCH(A2283,'Holders'!$A$4:$A$1003,0)),""))</f>
        <v/>
      </c>
      <c r="L2283" s="30">
        <f>IF(OR(A2283="",B2283="",D2283=""),"",IF(D2283=_xlfn.MAXIFS($D$4:$D$2503,$A$4:$A$2503,A2283,$B$4:$B$2503,B2283),"Yes","No"))</f>
        <v/>
      </c>
      <c r="M2283" s="30">
        <f>IF(B2283="","",IFERROR(INDEX('Share classes'!$F$4:$F$203,MATCH(B2283,'Share classes'!$B$4:$B$203,0)),""))</f>
        <v/>
      </c>
      <c r="N2283" s="30">
        <f>IF(A2283="","",IF(K2283="","Unknown holder ID",IF(J2283="","Unknown class code",IF(OR(C2283="",D2283=""),"Missing shares or date",IF(OR(C2283&lt;0,C2283&lt;&gt;INT(C2283)),"Shares must be a whole number",IF(COUNTIFS($A$4:$A$2503,A2283,$B$4:$B$2503,B2283,$D$4:$D$2503,D2283)&gt;1,"Duplicate row (same date)","OK"))))))</f>
        <v/>
      </c>
    </row>
    <row r="2284">
      <c r="A2284" s="26" t="n"/>
      <c r="B2284" s="26" t="n"/>
      <c r="C2284" s="34" t="n"/>
      <c r="D2284" s="28" t="n"/>
      <c r="E2284" s="26" t="n"/>
      <c r="F2284" s="26" t="n"/>
      <c r="G2284" s="26" t="n"/>
      <c r="H2284" s="38" t="n"/>
      <c r="I2284" s="28" t="n"/>
      <c r="J2284" s="30">
        <f>IF(B2284="","",IFERROR(INDEX('Share classes'!$A$4:$A$203,MATCH(B2284,'Share classes'!$B$4:$B$203,0)),""))</f>
        <v/>
      </c>
      <c r="K2284" s="30">
        <f>IF(A2284="","",IFERROR(INDEX('Holders'!$B$4:$B$1003,MATCH(A2284,'Holders'!$A$4:$A$1003,0)),""))</f>
        <v/>
      </c>
      <c r="L2284" s="30">
        <f>IF(OR(A2284="",B2284="",D2284=""),"",IF(D2284=_xlfn.MAXIFS($D$4:$D$2503,$A$4:$A$2503,A2284,$B$4:$B$2503,B2284),"Yes","No"))</f>
        <v/>
      </c>
      <c r="M2284" s="30">
        <f>IF(B2284="","",IFERROR(INDEX('Share classes'!$F$4:$F$203,MATCH(B2284,'Share classes'!$B$4:$B$203,0)),""))</f>
        <v/>
      </c>
      <c r="N2284" s="30">
        <f>IF(A2284="","",IF(K2284="","Unknown holder ID",IF(J2284="","Unknown class code",IF(OR(C2284="",D2284=""),"Missing shares or date",IF(OR(C2284&lt;0,C2284&lt;&gt;INT(C2284)),"Shares must be a whole number",IF(COUNTIFS($A$4:$A$2503,A2284,$B$4:$B$2503,B2284,$D$4:$D$2503,D2284)&gt;1,"Duplicate row (same date)","OK"))))))</f>
        <v/>
      </c>
    </row>
    <row r="2285">
      <c r="A2285" s="26" t="n"/>
      <c r="B2285" s="26" t="n"/>
      <c r="C2285" s="34" t="n"/>
      <c r="D2285" s="28" t="n"/>
      <c r="E2285" s="26" t="n"/>
      <c r="F2285" s="26" t="n"/>
      <c r="G2285" s="26" t="n"/>
      <c r="H2285" s="38" t="n"/>
      <c r="I2285" s="28" t="n"/>
      <c r="J2285" s="30">
        <f>IF(B2285="","",IFERROR(INDEX('Share classes'!$A$4:$A$203,MATCH(B2285,'Share classes'!$B$4:$B$203,0)),""))</f>
        <v/>
      </c>
      <c r="K2285" s="30">
        <f>IF(A2285="","",IFERROR(INDEX('Holders'!$B$4:$B$1003,MATCH(A2285,'Holders'!$A$4:$A$1003,0)),""))</f>
        <v/>
      </c>
      <c r="L2285" s="30">
        <f>IF(OR(A2285="",B2285="",D2285=""),"",IF(D2285=_xlfn.MAXIFS($D$4:$D$2503,$A$4:$A$2503,A2285,$B$4:$B$2503,B2285),"Yes","No"))</f>
        <v/>
      </c>
      <c r="M2285" s="30">
        <f>IF(B2285="","",IFERROR(INDEX('Share classes'!$F$4:$F$203,MATCH(B2285,'Share classes'!$B$4:$B$203,0)),""))</f>
        <v/>
      </c>
      <c r="N2285" s="30">
        <f>IF(A2285="","",IF(K2285="","Unknown holder ID",IF(J2285="","Unknown class code",IF(OR(C2285="",D2285=""),"Missing shares or date",IF(OR(C2285&lt;0,C2285&lt;&gt;INT(C2285)),"Shares must be a whole number",IF(COUNTIFS($A$4:$A$2503,A2285,$B$4:$B$2503,B2285,$D$4:$D$2503,D2285)&gt;1,"Duplicate row (same date)","OK"))))))</f>
        <v/>
      </c>
    </row>
    <row r="2286">
      <c r="A2286" s="26" t="n"/>
      <c r="B2286" s="26" t="n"/>
      <c r="C2286" s="34" t="n"/>
      <c r="D2286" s="28" t="n"/>
      <c r="E2286" s="26" t="n"/>
      <c r="F2286" s="26" t="n"/>
      <c r="G2286" s="26" t="n"/>
      <c r="H2286" s="38" t="n"/>
      <c r="I2286" s="28" t="n"/>
      <c r="J2286" s="30">
        <f>IF(B2286="","",IFERROR(INDEX('Share classes'!$A$4:$A$203,MATCH(B2286,'Share classes'!$B$4:$B$203,0)),""))</f>
        <v/>
      </c>
      <c r="K2286" s="30">
        <f>IF(A2286="","",IFERROR(INDEX('Holders'!$B$4:$B$1003,MATCH(A2286,'Holders'!$A$4:$A$1003,0)),""))</f>
        <v/>
      </c>
      <c r="L2286" s="30">
        <f>IF(OR(A2286="",B2286="",D2286=""),"",IF(D2286=_xlfn.MAXIFS($D$4:$D$2503,$A$4:$A$2503,A2286,$B$4:$B$2503,B2286),"Yes","No"))</f>
        <v/>
      </c>
      <c r="M2286" s="30">
        <f>IF(B2286="","",IFERROR(INDEX('Share classes'!$F$4:$F$203,MATCH(B2286,'Share classes'!$B$4:$B$203,0)),""))</f>
        <v/>
      </c>
      <c r="N2286" s="30">
        <f>IF(A2286="","",IF(K2286="","Unknown holder ID",IF(J2286="","Unknown class code",IF(OR(C2286="",D2286=""),"Missing shares or date",IF(OR(C2286&lt;0,C2286&lt;&gt;INT(C2286)),"Shares must be a whole number",IF(COUNTIFS($A$4:$A$2503,A2286,$B$4:$B$2503,B2286,$D$4:$D$2503,D2286)&gt;1,"Duplicate row (same date)","OK"))))))</f>
        <v/>
      </c>
    </row>
    <row r="2287">
      <c r="A2287" s="26" t="n"/>
      <c r="B2287" s="26" t="n"/>
      <c r="C2287" s="34" t="n"/>
      <c r="D2287" s="28" t="n"/>
      <c r="E2287" s="26" t="n"/>
      <c r="F2287" s="26" t="n"/>
      <c r="G2287" s="26" t="n"/>
      <c r="H2287" s="38" t="n"/>
      <c r="I2287" s="28" t="n"/>
      <c r="J2287" s="30">
        <f>IF(B2287="","",IFERROR(INDEX('Share classes'!$A$4:$A$203,MATCH(B2287,'Share classes'!$B$4:$B$203,0)),""))</f>
        <v/>
      </c>
      <c r="K2287" s="30">
        <f>IF(A2287="","",IFERROR(INDEX('Holders'!$B$4:$B$1003,MATCH(A2287,'Holders'!$A$4:$A$1003,0)),""))</f>
        <v/>
      </c>
      <c r="L2287" s="30">
        <f>IF(OR(A2287="",B2287="",D2287=""),"",IF(D2287=_xlfn.MAXIFS($D$4:$D$2503,$A$4:$A$2503,A2287,$B$4:$B$2503,B2287),"Yes","No"))</f>
        <v/>
      </c>
      <c r="M2287" s="30">
        <f>IF(B2287="","",IFERROR(INDEX('Share classes'!$F$4:$F$203,MATCH(B2287,'Share classes'!$B$4:$B$203,0)),""))</f>
        <v/>
      </c>
      <c r="N2287" s="30">
        <f>IF(A2287="","",IF(K2287="","Unknown holder ID",IF(J2287="","Unknown class code",IF(OR(C2287="",D2287=""),"Missing shares or date",IF(OR(C2287&lt;0,C2287&lt;&gt;INT(C2287)),"Shares must be a whole number",IF(COUNTIFS($A$4:$A$2503,A2287,$B$4:$B$2503,B2287,$D$4:$D$2503,D2287)&gt;1,"Duplicate row (same date)","OK"))))))</f>
        <v/>
      </c>
    </row>
    <row r="2288">
      <c r="A2288" s="26" t="n"/>
      <c r="B2288" s="26" t="n"/>
      <c r="C2288" s="34" t="n"/>
      <c r="D2288" s="28" t="n"/>
      <c r="E2288" s="26" t="n"/>
      <c r="F2288" s="26" t="n"/>
      <c r="G2288" s="26" t="n"/>
      <c r="H2288" s="38" t="n"/>
      <c r="I2288" s="28" t="n"/>
      <c r="J2288" s="30">
        <f>IF(B2288="","",IFERROR(INDEX('Share classes'!$A$4:$A$203,MATCH(B2288,'Share classes'!$B$4:$B$203,0)),""))</f>
        <v/>
      </c>
      <c r="K2288" s="30">
        <f>IF(A2288="","",IFERROR(INDEX('Holders'!$B$4:$B$1003,MATCH(A2288,'Holders'!$A$4:$A$1003,0)),""))</f>
        <v/>
      </c>
      <c r="L2288" s="30">
        <f>IF(OR(A2288="",B2288="",D2288=""),"",IF(D2288=_xlfn.MAXIFS($D$4:$D$2503,$A$4:$A$2503,A2288,$B$4:$B$2503,B2288),"Yes","No"))</f>
        <v/>
      </c>
      <c r="M2288" s="30">
        <f>IF(B2288="","",IFERROR(INDEX('Share classes'!$F$4:$F$203,MATCH(B2288,'Share classes'!$B$4:$B$203,0)),""))</f>
        <v/>
      </c>
      <c r="N2288" s="30">
        <f>IF(A2288="","",IF(K2288="","Unknown holder ID",IF(J2288="","Unknown class code",IF(OR(C2288="",D2288=""),"Missing shares or date",IF(OR(C2288&lt;0,C2288&lt;&gt;INT(C2288)),"Shares must be a whole number",IF(COUNTIFS($A$4:$A$2503,A2288,$B$4:$B$2503,B2288,$D$4:$D$2503,D2288)&gt;1,"Duplicate row (same date)","OK"))))))</f>
        <v/>
      </c>
    </row>
    <row r="2289">
      <c r="A2289" s="26" t="n"/>
      <c r="B2289" s="26" t="n"/>
      <c r="C2289" s="34" t="n"/>
      <c r="D2289" s="28" t="n"/>
      <c r="E2289" s="26" t="n"/>
      <c r="F2289" s="26" t="n"/>
      <c r="G2289" s="26" t="n"/>
      <c r="H2289" s="38" t="n"/>
      <c r="I2289" s="28" t="n"/>
      <c r="J2289" s="30">
        <f>IF(B2289="","",IFERROR(INDEX('Share classes'!$A$4:$A$203,MATCH(B2289,'Share classes'!$B$4:$B$203,0)),""))</f>
        <v/>
      </c>
      <c r="K2289" s="30">
        <f>IF(A2289="","",IFERROR(INDEX('Holders'!$B$4:$B$1003,MATCH(A2289,'Holders'!$A$4:$A$1003,0)),""))</f>
        <v/>
      </c>
      <c r="L2289" s="30">
        <f>IF(OR(A2289="",B2289="",D2289=""),"",IF(D2289=_xlfn.MAXIFS($D$4:$D$2503,$A$4:$A$2503,A2289,$B$4:$B$2503,B2289),"Yes","No"))</f>
        <v/>
      </c>
      <c r="M2289" s="30">
        <f>IF(B2289="","",IFERROR(INDEX('Share classes'!$F$4:$F$203,MATCH(B2289,'Share classes'!$B$4:$B$203,0)),""))</f>
        <v/>
      </c>
      <c r="N2289" s="30">
        <f>IF(A2289="","",IF(K2289="","Unknown holder ID",IF(J2289="","Unknown class code",IF(OR(C2289="",D2289=""),"Missing shares or date",IF(OR(C2289&lt;0,C2289&lt;&gt;INT(C2289)),"Shares must be a whole number",IF(COUNTIFS($A$4:$A$2503,A2289,$B$4:$B$2503,B2289,$D$4:$D$2503,D2289)&gt;1,"Duplicate row (same date)","OK"))))))</f>
        <v/>
      </c>
    </row>
    <row r="2290">
      <c r="A2290" s="26" t="n"/>
      <c r="B2290" s="26" t="n"/>
      <c r="C2290" s="34" t="n"/>
      <c r="D2290" s="28" t="n"/>
      <c r="E2290" s="26" t="n"/>
      <c r="F2290" s="26" t="n"/>
      <c r="G2290" s="26" t="n"/>
      <c r="H2290" s="38" t="n"/>
      <c r="I2290" s="28" t="n"/>
      <c r="J2290" s="30">
        <f>IF(B2290="","",IFERROR(INDEX('Share classes'!$A$4:$A$203,MATCH(B2290,'Share classes'!$B$4:$B$203,0)),""))</f>
        <v/>
      </c>
      <c r="K2290" s="30">
        <f>IF(A2290="","",IFERROR(INDEX('Holders'!$B$4:$B$1003,MATCH(A2290,'Holders'!$A$4:$A$1003,0)),""))</f>
        <v/>
      </c>
      <c r="L2290" s="30">
        <f>IF(OR(A2290="",B2290="",D2290=""),"",IF(D2290=_xlfn.MAXIFS($D$4:$D$2503,$A$4:$A$2503,A2290,$B$4:$B$2503,B2290),"Yes","No"))</f>
        <v/>
      </c>
      <c r="M2290" s="30">
        <f>IF(B2290="","",IFERROR(INDEX('Share classes'!$F$4:$F$203,MATCH(B2290,'Share classes'!$B$4:$B$203,0)),""))</f>
        <v/>
      </c>
      <c r="N2290" s="30">
        <f>IF(A2290="","",IF(K2290="","Unknown holder ID",IF(J2290="","Unknown class code",IF(OR(C2290="",D2290=""),"Missing shares or date",IF(OR(C2290&lt;0,C2290&lt;&gt;INT(C2290)),"Shares must be a whole number",IF(COUNTIFS($A$4:$A$2503,A2290,$B$4:$B$2503,B2290,$D$4:$D$2503,D2290)&gt;1,"Duplicate row (same date)","OK"))))))</f>
        <v/>
      </c>
    </row>
    <row r="2291">
      <c r="A2291" s="26" t="n"/>
      <c r="B2291" s="26" t="n"/>
      <c r="C2291" s="34" t="n"/>
      <c r="D2291" s="28" t="n"/>
      <c r="E2291" s="26" t="n"/>
      <c r="F2291" s="26" t="n"/>
      <c r="G2291" s="26" t="n"/>
      <c r="H2291" s="38" t="n"/>
      <c r="I2291" s="28" t="n"/>
      <c r="J2291" s="30">
        <f>IF(B2291="","",IFERROR(INDEX('Share classes'!$A$4:$A$203,MATCH(B2291,'Share classes'!$B$4:$B$203,0)),""))</f>
        <v/>
      </c>
      <c r="K2291" s="30">
        <f>IF(A2291="","",IFERROR(INDEX('Holders'!$B$4:$B$1003,MATCH(A2291,'Holders'!$A$4:$A$1003,0)),""))</f>
        <v/>
      </c>
      <c r="L2291" s="30">
        <f>IF(OR(A2291="",B2291="",D2291=""),"",IF(D2291=_xlfn.MAXIFS($D$4:$D$2503,$A$4:$A$2503,A2291,$B$4:$B$2503,B2291),"Yes","No"))</f>
        <v/>
      </c>
      <c r="M2291" s="30">
        <f>IF(B2291="","",IFERROR(INDEX('Share classes'!$F$4:$F$203,MATCH(B2291,'Share classes'!$B$4:$B$203,0)),""))</f>
        <v/>
      </c>
      <c r="N2291" s="30">
        <f>IF(A2291="","",IF(K2291="","Unknown holder ID",IF(J2291="","Unknown class code",IF(OR(C2291="",D2291=""),"Missing shares or date",IF(OR(C2291&lt;0,C2291&lt;&gt;INT(C2291)),"Shares must be a whole number",IF(COUNTIFS($A$4:$A$2503,A2291,$B$4:$B$2503,B2291,$D$4:$D$2503,D2291)&gt;1,"Duplicate row (same date)","OK"))))))</f>
        <v/>
      </c>
    </row>
    <row r="2292">
      <c r="A2292" s="26" t="n"/>
      <c r="B2292" s="26" t="n"/>
      <c r="C2292" s="34" t="n"/>
      <c r="D2292" s="28" t="n"/>
      <c r="E2292" s="26" t="n"/>
      <c r="F2292" s="26" t="n"/>
      <c r="G2292" s="26" t="n"/>
      <c r="H2292" s="38" t="n"/>
      <c r="I2292" s="28" t="n"/>
      <c r="J2292" s="30">
        <f>IF(B2292="","",IFERROR(INDEX('Share classes'!$A$4:$A$203,MATCH(B2292,'Share classes'!$B$4:$B$203,0)),""))</f>
        <v/>
      </c>
      <c r="K2292" s="30">
        <f>IF(A2292="","",IFERROR(INDEX('Holders'!$B$4:$B$1003,MATCH(A2292,'Holders'!$A$4:$A$1003,0)),""))</f>
        <v/>
      </c>
      <c r="L2292" s="30">
        <f>IF(OR(A2292="",B2292="",D2292=""),"",IF(D2292=_xlfn.MAXIFS($D$4:$D$2503,$A$4:$A$2503,A2292,$B$4:$B$2503,B2292),"Yes","No"))</f>
        <v/>
      </c>
      <c r="M2292" s="30">
        <f>IF(B2292="","",IFERROR(INDEX('Share classes'!$F$4:$F$203,MATCH(B2292,'Share classes'!$B$4:$B$203,0)),""))</f>
        <v/>
      </c>
      <c r="N2292" s="30">
        <f>IF(A2292="","",IF(K2292="","Unknown holder ID",IF(J2292="","Unknown class code",IF(OR(C2292="",D2292=""),"Missing shares or date",IF(OR(C2292&lt;0,C2292&lt;&gt;INT(C2292)),"Shares must be a whole number",IF(COUNTIFS($A$4:$A$2503,A2292,$B$4:$B$2503,B2292,$D$4:$D$2503,D2292)&gt;1,"Duplicate row (same date)","OK"))))))</f>
        <v/>
      </c>
    </row>
    <row r="2293">
      <c r="A2293" s="26" t="n"/>
      <c r="B2293" s="26" t="n"/>
      <c r="C2293" s="34" t="n"/>
      <c r="D2293" s="28" t="n"/>
      <c r="E2293" s="26" t="n"/>
      <c r="F2293" s="26" t="n"/>
      <c r="G2293" s="26" t="n"/>
      <c r="H2293" s="38" t="n"/>
      <c r="I2293" s="28" t="n"/>
      <c r="J2293" s="30">
        <f>IF(B2293="","",IFERROR(INDEX('Share classes'!$A$4:$A$203,MATCH(B2293,'Share classes'!$B$4:$B$203,0)),""))</f>
        <v/>
      </c>
      <c r="K2293" s="30">
        <f>IF(A2293="","",IFERROR(INDEX('Holders'!$B$4:$B$1003,MATCH(A2293,'Holders'!$A$4:$A$1003,0)),""))</f>
        <v/>
      </c>
      <c r="L2293" s="30">
        <f>IF(OR(A2293="",B2293="",D2293=""),"",IF(D2293=_xlfn.MAXIFS($D$4:$D$2503,$A$4:$A$2503,A2293,$B$4:$B$2503,B2293),"Yes","No"))</f>
        <v/>
      </c>
      <c r="M2293" s="30">
        <f>IF(B2293="","",IFERROR(INDEX('Share classes'!$F$4:$F$203,MATCH(B2293,'Share classes'!$B$4:$B$203,0)),""))</f>
        <v/>
      </c>
      <c r="N2293" s="30">
        <f>IF(A2293="","",IF(K2293="","Unknown holder ID",IF(J2293="","Unknown class code",IF(OR(C2293="",D2293=""),"Missing shares or date",IF(OR(C2293&lt;0,C2293&lt;&gt;INT(C2293)),"Shares must be a whole number",IF(COUNTIFS($A$4:$A$2503,A2293,$B$4:$B$2503,B2293,$D$4:$D$2503,D2293)&gt;1,"Duplicate row (same date)","OK"))))))</f>
        <v/>
      </c>
    </row>
    <row r="2294">
      <c r="A2294" s="26" t="n"/>
      <c r="B2294" s="26" t="n"/>
      <c r="C2294" s="34" t="n"/>
      <c r="D2294" s="28" t="n"/>
      <c r="E2294" s="26" t="n"/>
      <c r="F2294" s="26" t="n"/>
      <c r="G2294" s="26" t="n"/>
      <c r="H2294" s="38" t="n"/>
      <c r="I2294" s="28" t="n"/>
      <c r="J2294" s="30">
        <f>IF(B2294="","",IFERROR(INDEX('Share classes'!$A$4:$A$203,MATCH(B2294,'Share classes'!$B$4:$B$203,0)),""))</f>
        <v/>
      </c>
      <c r="K2294" s="30">
        <f>IF(A2294="","",IFERROR(INDEX('Holders'!$B$4:$B$1003,MATCH(A2294,'Holders'!$A$4:$A$1003,0)),""))</f>
        <v/>
      </c>
      <c r="L2294" s="30">
        <f>IF(OR(A2294="",B2294="",D2294=""),"",IF(D2294=_xlfn.MAXIFS($D$4:$D$2503,$A$4:$A$2503,A2294,$B$4:$B$2503,B2294),"Yes","No"))</f>
        <v/>
      </c>
      <c r="M2294" s="30">
        <f>IF(B2294="","",IFERROR(INDEX('Share classes'!$F$4:$F$203,MATCH(B2294,'Share classes'!$B$4:$B$203,0)),""))</f>
        <v/>
      </c>
      <c r="N2294" s="30">
        <f>IF(A2294="","",IF(K2294="","Unknown holder ID",IF(J2294="","Unknown class code",IF(OR(C2294="",D2294=""),"Missing shares or date",IF(OR(C2294&lt;0,C2294&lt;&gt;INT(C2294)),"Shares must be a whole number",IF(COUNTIFS($A$4:$A$2503,A2294,$B$4:$B$2503,B2294,$D$4:$D$2503,D2294)&gt;1,"Duplicate row (same date)","OK"))))))</f>
        <v/>
      </c>
    </row>
    <row r="2295">
      <c r="A2295" s="26" t="n"/>
      <c r="B2295" s="26" t="n"/>
      <c r="C2295" s="34" t="n"/>
      <c r="D2295" s="28" t="n"/>
      <c r="E2295" s="26" t="n"/>
      <c r="F2295" s="26" t="n"/>
      <c r="G2295" s="26" t="n"/>
      <c r="H2295" s="38" t="n"/>
      <c r="I2295" s="28" t="n"/>
      <c r="J2295" s="30">
        <f>IF(B2295="","",IFERROR(INDEX('Share classes'!$A$4:$A$203,MATCH(B2295,'Share classes'!$B$4:$B$203,0)),""))</f>
        <v/>
      </c>
      <c r="K2295" s="30">
        <f>IF(A2295="","",IFERROR(INDEX('Holders'!$B$4:$B$1003,MATCH(A2295,'Holders'!$A$4:$A$1003,0)),""))</f>
        <v/>
      </c>
      <c r="L2295" s="30">
        <f>IF(OR(A2295="",B2295="",D2295=""),"",IF(D2295=_xlfn.MAXIFS($D$4:$D$2503,$A$4:$A$2503,A2295,$B$4:$B$2503,B2295),"Yes","No"))</f>
        <v/>
      </c>
      <c r="M2295" s="30">
        <f>IF(B2295="","",IFERROR(INDEX('Share classes'!$F$4:$F$203,MATCH(B2295,'Share classes'!$B$4:$B$203,0)),""))</f>
        <v/>
      </c>
      <c r="N2295" s="30">
        <f>IF(A2295="","",IF(K2295="","Unknown holder ID",IF(J2295="","Unknown class code",IF(OR(C2295="",D2295=""),"Missing shares or date",IF(OR(C2295&lt;0,C2295&lt;&gt;INT(C2295)),"Shares must be a whole number",IF(COUNTIFS($A$4:$A$2503,A2295,$B$4:$B$2503,B2295,$D$4:$D$2503,D2295)&gt;1,"Duplicate row (same date)","OK"))))))</f>
        <v/>
      </c>
    </row>
    <row r="2296">
      <c r="A2296" s="26" t="n"/>
      <c r="B2296" s="26" t="n"/>
      <c r="C2296" s="34" t="n"/>
      <c r="D2296" s="28" t="n"/>
      <c r="E2296" s="26" t="n"/>
      <c r="F2296" s="26" t="n"/>
      <c r="G2296" s="26" t="n"/>
      <c r="H2296" s="38" t="n"/>
      <c r="I2296" s="28" t="n"/>
      <c r="J2296" s="30">
        <f>IF(B2296="","",IFERROR(INDEX('Share classes'!$A$4:$A$203,MATCH(B2296,'Share classes'!$B$4:$B$203,0)),""))</f>
        <v/>
      </c>
      <c r="K2296" s="30">
        <f>IF(A2296="","",IFERROR(INDEX('Holders'!$B$4:$B$1003,MATCH(A2296,'Holders'!$A$4:$A$1003,0)),""))</f>
        <v/>
      </c>
      <c r="L2296" s="30">
        <f>IF(OR(A2296="",B2296="",D2296=""),"",IF(D2296=_xlfn.MAXIFS($D$4:$D$2503,$A$4:$A$2503,A2296,$B$4:$B$2503,B2296),"Yes","No"))</f>
        <v/>
      </c>
      <c r="M2296" s="30">
        <f>IF(B2296="","",IFERROR(INDEX('Share classes'!$F$4:$F$203,MATCH(B2296,'Share classes'!$B$4:$B$203,0)),""))</f>
        <v/>
      </c>
      <c r="N2296" s="30">
        <f>IF(A2296="","",IF(K2296="","Unknown holder ID",IF(J2296="","Unknown class code",IF(OR(C2296="",D2296=""),"Missing shares or date",IF(OR(C2296&lt;0,C2296&lt;&gt;INT(C2296)),"Shares must be a whole number",IF(COUNTIFS($A$4:$A$2503,A2296,$B$4:$B$2503,B2296,$D$4:$D$2503,D2296)&gt;1,"Duplicate row (same date)","OK"))))))</f>
        <v/>
      </c>
    </row>
    <row r="2297">
      <c r="A2297" s="26" t="n"/>
      <c r="B2297" s="26" t="n"/>
      <c r="C2297" s="34" t="n"/>
      <c r="D2297" s="28" t="n"/>
      <c r="E2297" s="26" t="n"/>
      <c r="F2297" s="26" t="n"/>
      <c r="G2297" s="26" t="n"/>
      <c r="H2297" s="38" t="n"/>
      <c r="I2297" s="28" t="n"/>
      <c r="J2297" s="30">
        <f>IF(B2297="","",IFERROR(INDEX('Share classes'!$A$4:$A$203,MATCH(B2297,'Share classes'!$B$4:$B$203,0)),""))</f>
        <v/>
      </c>
      <c r="K2297" s="30">
        <f>IF(A2297="","",IFERROR(INDEX('Holders'!$B$4:$B$1003,MATCH(A2297,'Holders'!$A$4:$A$1003,0)),""))</f>
        <v/>
      </c>
      <c r="L2297" s="30">
        <f>IF(OR(A2297="",B2297="",D2297=""),"",IF(D2297=_xlfn.MAXIFS($D$4:$D$2503,$A$4:$A$2503,A2297,$B$4:$B$2503,B2297),"Yes","No"))</f>
        <v/>
      </c>
      <c r="M2297" s="30">
        <f>IF(B2297="","",IFERROR(INDEX('Share classes'!$F$4:$F$203,MATCH(B2297,'Share classes'!$B$4:$B$203,0)),""))</f>
        <v/>
      </c>
      <c r="N2297" s="30">
        <f>IF(A2297="","",IF(K2297="","Unknown holder ID",IF(J2297="","Unknown class code",IF(OR(C2297="",D2297=""),"Missing shares or date",IF(OR(C2297&lt;0,C2297&lt;&gt;INT(C2297)),"Shares must be a whole number",IF(COUNTIFS($A$4:$A$2503,A2297,$B$4:$B$2503,B2297,$D$4:$D$2503,D2297)&gt;1,"Duplicate row (same date)","OK"))))))</f>
        <v/>
      </c>
    </row>
    <row r="2298">
      <c r="A2298" s="26" t="n"/>
      <c r="B2298" s="26" t="n"/>
      <c r="C2298" s="34" t="n"/>
      <c r="D2298" s="28" t="n"/>
      <c r="E2298" s="26" t="n"/>
      <c r="F2298" s="26" t="n"/>
      <c r="G2298" s="26" t="n"/>
      <c r="H2298" s="38" t="n"/>
      <c r="I2298" s="28" t="n"/>
      <c r="J2298" s="30">
        <f>IF(B2298="","",IFERROR(INDEX('Share classes'!$A$4:$A$203,MATCH(B2298,'Share classes'!$B$4:$B$203,0)),""))</f>
        <v/>
      </c>
      <c r="K2298" s="30">
        <f>IF(A2298="","",IFERROR(INDEX('Holders'!$B$4:$B$1003,MATCH(A2298,'Holders'!$A$4:$A$1003,0)),""))</f>
        <v/>
      </c>
      <c r="L2298" s="30">
        <f>IF(OR(A2298="",B2298="",D2298=""),"",IF(D2298=_xlfn.MAXIFS($D$4:$D$2503,$A$4:$A$2503,A2298,$B$4:$B$2503,B2298),"Yes","No"))</f>
        <v/>
      </c>
      <c r="M2298" s="30">
        <f>IF(B2298="","",IFERROR(INDEX('Share classes'!$F$4:$F$203,MATCH(B2298,'Share classes'!$B$4:$B$203,0)),""))</f>
        <v/>
      </c>
      <c r="N2298" s="30">
        <f>IF(A2298="","",IF(K2298="","Unknown holder ID",IF(J2298="","Unknown class code",IF(OR(C2298="",D2298=""),"Missing shares or date",IF(OR(C2298&lt;0,C2298&lt;&gt;INT(C2298)),"Shares must be a whole number",IF(COUNTIFS($A$4:$A$2503,A2298,$B$4:$B$2503,B2298,$D$4:$D$2503,D2298)&gt;1,"Duplicate row (same date)","OK"))))))</f>
        <v/>
      </c>
    </row>
    <row r="2299">
      <c r="A2299" s="26" t="n"/>
      <c r="B2299" s="26" t="n"/>
      <c r="C2299" s="34" t="n"/>
      <c r="D2299" s="28" t="n"/>
      <c r="E2299" s="26" t="n"/>
      <c r="F2299" s="26" t="n"/>
      <c r="G2299" s="26" t="n"/>
      <c r="H2299" s="38" t="n"/>
      <c r="I2299" s="28" t="n"/>
      <c r="J2299" s="30">
        <f>IF(B2299="","",IFERROR(INDEX('Share classes'!$A$4:$A$203,MATCH(B2299,'Share classes'!$B$4:$B$203,0)),""))</f>
        <v/>
      </c>
      <c r="K2299" s="30">
        <f>IF(A2299="","",IFERROR(INDEX('Holders'!$B$4:$B$1003,MATCH(A2299,'Holders'!$A$4:$A$1003,0)),""))</f>
        <v/>
      </c>
      <c r="L2299" s="30">
        <f>IF(OR(A2299="",B2299="",D2299=""),"",IF(D2299=_xlfn.MAXIFS($D$4:$D$2503,$A$4:$A$2503,A2299,$B$4:$B$2503,B2299),"Yes","No"))</f>
        <v/>
      </c>
      <c r="M2299" s="30">
        <f>IF(B2299="","",IFERROR(INDEX('Share classes'!$F$4:$F$203,MATCH(B2299,'Share classes'!$B$4:$B$203,0)),""))</f>
        <v/>
      </c>
      <c r="N2299" s="30">
        <f>IF(A2299="","",IF(K2299="","Unknown holder ID",IF(J2299="","Unknown class code",IF(OR(C2299="",D2299=""),"Missing shares or date",IF(OR(C2299&lt;0,C2299&lt;&gt;INT(C2299)),"Shares must be a whole number",IF(COUNTIFS($A$4:$A$2503,A2299,$B$4:$B$2503,B2299,$D$4:$D$2503,D2299)&gt;1,"Duplicate row (same date)","OK"))))))</f>
        <v/>
      </c>
    </row>
    <row r="2300">
      <c r="A2300" s="26" t="n"/>
      <c r="B2300" s="26" t="n"/>
      <c r="C2300" s="34" t="n"/>
      <c r="D2300" s="28" t="n"/>
      <c r="E2300" s="26" t="n"/>
      <c r="F2300" s="26" t="n"/>
      <c r="G2300" s="26" t="n"/>
      <c r="H2300" s="38" t="n"/>
      <c r="I2300" s="28" t="n"/>
      <c r="J2300" s="30">
        <f>IF(B2300="","",IFERROR(INDEX('Share classes'!$A$4:$A$203,MATCH(B2300,'Share classes'!$B$4:$B$203,0)),""))</f>
        <v/>
      </c>
      <c r="K2300" s="30">
        <f>IF(A2300="","",IFERROR(INDEX('Holders'!$B$4:$B$1003,MATCH(A2300,'Holders'!$A$4:$A$1003,0)),""))</f>
        <v/>
      </c>
      <c r="L2300" s="30">
        <f>IF(OR(A2300="",B2300="",D2300=""),"",IF(D2300=_xlfn.MAXIFS($D$4:$D$2503,$A$4:$A$2503,A2300,$B$4:$B$2503,B2300),"Yes","No"))</f>
        <v/>
      </c>
      <c r="M2300" s="30">
        <f>IF(B2300="","",IFERROR(INDEX('Share classes'!$F$4:$F$203,MATCH(B2300,'Share classes'!$B$4:$B$203,0)),""))</f>
        <v/>
      </c>
      <c r="N2300" s="30">
        <f>IF(A2300="","",IF(K2300="","Unknown holder ID",IF(J2300="","Unknown class code",IF(OR(C2300="",D2300=""),"Missing shares or date",IF(OR(C2300&lt;0,C2300&lt;&gt;INT(C2300)),"Shares must be a whole number",IF(COUNTIFS($A$4:$A$2503,A2300,$B$4:$B$2503,B2300,$D$4:$D$2503,D2300)&gt;1,"Duplicate row (same date)","OK"))))))</f>
        <v/>
      </c>
    </row>
    <row r="2301">
      <c r="A2301" s="26" t="n"/>
      <c r="B2301" s="26" t="n"/>
      <c r="C2301" s="34" t="n"/>
      <c r="D2301" s="28" t="n"/>
      <c r="E2301" s="26" t="n"/>
      <c r="F2301" s="26" t="n"/>
      <c r="G2301" s="26" t="n"/>
      <c r="H2301" s="38" t="n"/>
      <c r="I2301" s="28" t="n"/>
      <c r="J2301" s="30">
        <f>IF(B2301="","",IFERROR(INDEX('Share classes'!$A$4:$A$203,MATCH(B2301,'Share classes'!$B$4:$B$203,0)),""))</f>
        <v/>
      </c>
      <c r="K2301" s="30">
        <f>IF(A2301="","",IFERROR(INDEX('Holders'!$B$4:$B$1003,MATCH(A2301,'Holders'!$A$4:$A$1003,0)),""))</f>
        <v/>
      </c>
      <c r="L2301" s="30">
        <f>IF(OR(A2301="",B2301="",D2301=""),"",IF(D2301=_xlfn.MAXIFS($D$4:$D$2503,$A$4:$A$2503,A2301,$B$4:$B$2503,B2301),"Yes","No"))</f>
        <v/>
      </c>
      <c r="M2301" s="30">
        <f>IF(B2301="","",IFERROR(INDEX('Share classes'!$F$4:$F$203,MATCH(B2301,'Share classes'!$B$4:$B$203,0)),""))</f>
        <v/>
      </c>
      <c r="N2301" s="30">
        <f>IF(A2301="","",IF(K2301="","Unknown holder ID",IF(J2301="","Unknown class code",IF(OR(C2301="",D2301=""),"Missing shares or date",IF(OR(C2301&lt;0,C2301&lt;&gt;INT(C2301)),"Shares must be a whole number",IF(COUNTIFS($A$4:$A$2503,A2301,$B$4:$B$2503,B2301,$D$4:$D$2503,D2301)&gt;1,"Duplicate row (same date)","OK"))))))</f>
        <v/>
      </c>
    </row>
    <row r="2302">
      <c r="A2302" s="26" t="n"/>
      <c r="B2302" s="26" t="n"/>
      <c r="C2302" s="34" t="n"/>
      <c r="D2302" s="28" t="n"/>
      <c r="E2302" s="26" t="n"/>
      <c r="F2302" s="26" t="n"/>
      <c r="G2302" s="26" t="n"/>
      <c r="H2302" s="38" t="n"/>
      <c r="I2302" s="28" t="n"/>
      <c r="J2302" s="30">
        <f>IF(B2302="","",IFERROR(INDEX('Share classes'!$A$4:$A$203,MATCH(B2302,'Share classes'!$B$4:$B$203,0)),""))</f>
        <v/>
      </c>
      <c r="K2302" s="30">
        <f>IF(A2302="","",IFERROR(INDEX('Holders'!$B$4:$B$1003,MATCH(A2302,'Holders'!$A$4:$A$1003,0)),""))</f>
        <v/>
      </c>
      <c r="L2302" s="30">
        <f>IF(OR(A2302="",B2302="",D2302=""),"",IF(D2302=_xlfn.MAXIFS($D$4:$D$2503,$A$4:$A$2503,A2302,$B$4:$B$2503,B2302),"Yes","No"))</f>
        <v/>
      </c>
      <c r="M2302" s="30">
        <f>IF(B2302="","",IFERROR(INDEX('Share classes'!$F$4:$F$203,MATCH(B2302,'Share classes'!$B$4:$B$203,0)),""))</f>
        <v/>
      </c>
      <c r="N2302" s="30">
        <f>IF(A2302="","",IF(K2302="","Unknown holder ID",IF(J2302="","Unknown class code",IF(OR(C2302="",D2302=""),"Missing shares or date",IF(OR(C2302&lt;0,C2302&lt;&gt;INT(C2302)),"Shares must be a whole number",IF(COUNTIFS($A$4:$A$2503,A2302,$B$4:$B$2503,B2302,$D$4:$D$2503,D2302)&gt;1,"Duplicate row (same date)","OK"))))))</f>
        <v/>
      </c>
    </row>
    <row r="2303">
      <c r="A2303" s="26" t="n"/>
      <c r="B2303" s="26" t="n"/>
      <c r="C2303" s="34" t="n"/>
      <c r="D2303" s="28" t="n"/>
      <c r="E2303" s="26" t="n"/>
      <c r="F2303" s="26" t="n"/>
      <c r="G2303" s="26" t="n"/>
      <c r="H2303" s="38" t="n"/>
      <c r="I2303" s="28" t="n"/>
      <c r="J2303" s="30">
        <f>IF(B2303="","",IFERROR(INDEX('Share classes'!$A$4:$A$203,MATCH(B2303,'Share classes'!$B$4:$B$203,0)),""))</f>
        <v/>
      </c>
      <c r="K2303" s="30">
        <f>IF(A2303="","",IFERROR(INDEX('Holders'!$B$4:$B$1003,MATCH(A2303,'Holders'!$A$4:$A$1003,0)),""))</f>
        <v/>
      </c>
      <c r="L2303" s="30">
        <f>IF(OR(A2303="",B2303="",D2303=""),"",IF(D2303=_xlfn.MAXIFS($D$4:$D$2503,$A$4:$A$2503,A2303,$B$4:$B$2503,B2303),"Yes","No"))</f>
        <v/>
      </c>
      <c r="M2303" s="30">
        <f>IF(B2303="","",IFERROR(INDEX('Share classes'!$F$4:$F$203,MATCH(B2303,'Share classes'!$B$4:$B$203,0)),""))</f>
        <v/>
      </c>
      <c r="N2303" s="30">
        <f>IF(A2303="","",IF(K2303="","Unknown holder ID",IF(J2303="","Unknown class code",IF(OR(C2303="",D2303=""),"Missing shares or date",IF(OR(C2303&lt;0,C2303&lt;&gt;INT(C2303)),"Shares must be a whole number",IF(COUNTIFS($A$4:$A$2503,A2303,$B$4:$B$2503,B2303,$D$4:$D$2503,D2303)&gt;1,"Duplicate row (same date)","OK"))))))</f>
        <v/>
      </c>
    </row>
    <row r="2304">
      <c r="A2304" s="26" t="n"/>
      <c r="B2304" s="26" t="n"/>
      <c r="C2304" s="34" t="n"/>
      <c r="D2304" s="28" t="n"/>
      <c r="E2304" s="26" t="n"/>
      <c r="F2304" s="26" t="n"/>
      <c r="G2304" s="26" t="n"/>
      <c r="H2304" s="38" t="n"/>
      <c r="I2304" s="28" t="n"/>
      <c r="J2304" s="30">
        <f>IF(B2304="","",IFERROR(INDEX('Share classes'!$A$4:$A$203,MATCH(B2304,'Share classes'!$B$4:$B$203,0)),""))</f>
        <v/>
      </c>
      <c r="K2304" s="30">
        <f>IF(A2304="","",IFERROR(INDEX('Holders'!$B$4:$B$1003,MATCH(A2304,'Holders'!$A$4:$A$1003,0)),""))</f>
        <v/>
      </c>
      <c r="L2304" s="30">
        <f>IF(OR(A2304="",B2304="",D2304=""),"",IF(D2304=_xlfn.MAXIFS($D$4:$D$2503,$A$4:$A$2503,A2304,$B$4:$B$2503,B2304),"Yes","No"))</f>
        <v/>
      </c>
      <c r="M2304" s="30">
        <f>IF(B2304="","",IFERROR(INDEX('Share classes'!$F$4:$F$203,MATCH(B2304,'Share classes'!$B$4:$B$203,0)),""))</f>
        <v/>
      </c>
      <c r="N2304" s="30">
        <f>IF(A2304="","",IF(K2304="","Unknown holder ID",IF(J2304="","Unknown class code",IF(OR(C2304="",D2304=""),"Missing shares or date",IF(OR(C2304&lt;0,C2304&lt;&gt;INT(C2304)),"Shares must be a whole number",IF(COUNTIFS($A$4:$A$2503,A2304,$B$4:$B$2503,B2304,$D$4:$D$2503,D2304)&gt;1,"Duplicate row (same date)","OK"))))))</f>
        <v/>
      </c>
    </row>
    <row r="2305">
      <c r="A2305" s="26" t="n"/>
      <c r="B2305" s="26" t="n"/>
      <c r="C2305" s="34" t="n"/>
      <c r="D2305" s="28" t="n"/>
      <c r="E2305" s="26" t="n"/>
      <c r="F2305" s="26" t="n"/>
      <c r="G2305" s="26" t="n"/>
      <c r="H2305" s="38" t="n"/>
      <c r="I2305" s="28" t="n"/>
      <c r="J2305" s="30">
        <f>IF(B2305="","",IFERROR(INDEX('Share classes'!$A$4:$A$203,MATCH(B2305,'Share classes'!$B$4:$B$203,0)),""))</f>
        <v/>
      </c>
      <c r="K2305" s="30">
        <f>IF(A2305="","",IFERROR(INDEX('Holders'!$B$4:$B$1003,MATCH(A2305,'Holders'!$A$4:$A$1003,0)),""))</f>
        <v/>
      </c>
      <c r="L2305" s="30">
        <f>IF(OR(A2305="",B2305="",D2305=""),"",IF(D2305=_xlfn.MAXIFS($D$4:$D$2503,$A$4:$A$2503,A2305,$B$4:$B$2503,B2305),"Yes","No"))</f>
        <v/>
      </c>
      <c r="M2305" s="30">
        <f>IF(B2305="","",IFERROR(INDEX('Share classes'!$F$4:$F$203,MATCH(B2305,'Share classes'!$B$4:$B$203,0)),""))</f>
        <v/>
      </c>
      <c r="N2305" s="30">
        <f>IF(A2305="","",IF(K2305="","Unknown holder ID",IF(J2305="","Unknown class code",IF(OR(C2305="",D2305=""),"Missing shares or date",IF(OR(C2305&lt;0,C2305&lt;&gt;INT(C2305)),"Shares must be a whole number",IF(COUNTIFS($A$4:$A$2503,A2305,$B$4:$B$2503,B2305,$D$4:$D$2503,D2305)&gt;1,"Duplicate row (same date)","OK"))))))</f>
        <v/>
      </c>
    </row>
    <row r="2306">
      <c r="A2306" s="26" t="n"/>
      <c r="B2306" s="26" t="n"/>
      <c r="C2306" s="34" t="n"/>
      <c r="D2306" s="28" t="n"/>
      <c r="E2306" s="26" t="n"/>
      <c r="F2306" s="26" t="n"/>
      <c r="G2306" s="26" t="n"/>
      <c r="H2306" s="38" t="n"/>
      <c r="I2306" s="28" t="n"/>
      <c r="J2306" s="30">
        <f>IF(B2306="","",IFERROR(INDEX('Share classes'!$A$4:$A$203,MATCH(B2306,'Share classes'!$B$4:$B$203,0)),""))</f>
        <v/>
      </c>
      <c r="K2306" s="30">
        <f>IF(A2306="","",IFERROR(INDEX('Holders'!$B$4:$B$1003,MATCH(A2306,'Holders'!$A$4:$A$1003,0)),""))</f>
        <v/>
      </c>
      <c r="L2306" s="30">
        <f>IF(OR(A2306="",B2306="",D2306=""),"",IF(D2306=_xlfn.MAXIFS($D$4:$D$2503,$A$4:$A$2503,A2306,$B$4:$B$2503,B2306),"Yes","No"))</f>
        <v/>
      </c>
      <c r="M2306" s="30">
        <f>IF(B2306="","",IFERROR(INDEX('Share classes'!$F$4:$F$203,MATCH(B2306,'Share classes'!$B$4:$B$203,0)),""))</f>
        <v/>
      </c>
      <c r="N2306" s="30">
        <f>IF(A2306="","",IF(K2306="","Unknown holder ID",IF(J2306="","Unknown class code",IF(OR(C2306="",D2306=""),"Missing shares or date",IF(OR(C2306&lt;0,C2306&lt;&gt;INT(C2306)),"Shares must be a whole number",IF(COUNTIFS($A$4:$A$2503,A2306,$B$4:$B$2503,B2306,$D$4:$D$2503,D2306)&gt;1,"Duplicate row (same date)","OK"))))))</f>
        <v/>
      </c>
    </row>
    <row r="2307">
      <c r="A2307" s="26" t="n"/>
      <c r="B2307" s="26" t="n"/>
      <c r="C2307" s="34" t="n"/>
      <c r="D2307" s="28" t="n"/>
      <c r="E2307" s="26" t="n"/>
      <c r="F2307" s="26" t="n"/>
      <c r="G2307" s="26" t="n"/>
      <c r="H2307" s="38" t="n"/>
      <c r="I2307" s="28" t="n"/>
      <c r="J2307" s="30">
        <f>IF(B2307="","",IFERROR(INDEX('Share classes'!$A$4:$A$203,MATCH(B2307,'Share classes'!$B$4:$B$203,0)),""))</f>
        <v/>
      </c>
      <c r="K2307" s="30">
        <f>IF(A2307="","",IFERROR(INDEX('Holders'!$B$4:$B$1003,MATCH(A2307,'Holders'!$A$4:$A$1003,0)),""))</f>
        <v/>
      </c>
      <c r="L2307" s="30">
        <f>IF(OR(A2307="",B2307="",D2307=""),"",IF(D2307=_xlfn.MAXIFS($D$4:$D$2503,$A$4:$A$2503,A2307,$B$4:$B$2503,B2307),"Yes","No"))</f>
        <v/>
      </c>
      <c r="M2307" s="30">
        <f>IF(B2307="","",IFERROR(INDEX('Share classes'!$F$4:$F$203,MATCH(B2307,'Share classes'!$B$4:$B$203,0)),""))</f>
        <v/>
      </c>
      <c r="N2307" s="30">
        <f>IF(A2307="","",IF(K2307="","Unknown holder ID",IF(J2307="","Unknown class code",IF(OR(C2307="",D2307=""),"Missing shares or date",IF(OR(C2307&lt;0,C2307&lt;&gt;INT(C2307)),"Shares must be a whole number",IF(COUNTIFS($A$4:$A$2503,A2307,$B$4:$B$2503,B2307,$D$4:$D$2503,D2307)&gt;1,"Duplicate row (same date)","OK"))))))</f>
        <v/>
      </c>
    </row>
    <row r="2308">
      <c r="A2308" s="26" t="n"/>
      <c r="B2308" s="26" t="n"/>
      <c r="C2308" s="34" t="n"/>
      <c r="D2308" s="28" t="n"/>
      <c r="E2308" s="26" t="n"/>
      <c r="F2308" s="26" t="n"/>
      <c r="G2308" s="26" t="n"/>
      <c r="H2308" s="38" t="n"/>
      <c r="I2308" s="28" t="n"/>
      <c r="J2308" s="30">
        <f>IF(B2308="","",IFERROR(INDEX('Share classes'!$A$4:$A$203,MATCH(B2308,'Share classes'!$B$4:$B$203,0)),""))</f>
        <v/>
      </c>
      <c r="K2308" s="30">
        <f>IF(A2308="","",IFERROR(INDEX('Holders'!$B$4:$B$1003,MATCH(A2308,'Holders'!$A$4:$A$1003,0)),""))</f>
        <v/>
      </c>
      <c r="L2308" s="30">
        <f>IF(OR(A2308="",B2308="",D2308=""),"",IF(D2308=_xlfn.MAXIFS($D$4:$D$2503,$A$4:$A$2503,A2308,$B$4:$B$2503,B2308),"Yes","No"))</f>
        <v/>
      </c>
      <c r="M2308" s="30">
        <f>IF(B2308="","",IFERROR(INDEX('Share classes'!$F$4:$F$203,MATCH(B2308,'Share classes'!$B$4:$B$203,0)),""))</f>
        <v/>
      </c>
      <c r="N2308" s="30">
        <f>IF(A2308="","",IF(K2308="","Unknown holder ID",IF(J2308="","Unknown class code",IF(OR(C2308="",D2308=""),"Missing shares or date",IF(OR(C2308&lt;0,C2308&lt;&gt;INT(C2308)),"Shares must be a whole number",IF(COUNTIFS($A$4:$A$2503,A2308,$B$4:$B$2503,B2308,$D$4:$D$2503,D2308)&gt;1,"Duplicate row (same date)","OK"))))))</f>
        <v/>
      </c>
    </row>
    <row r="2309">
      <c r="A2309" s="26" t="n"/>
      <c r="B2309" s="26" t="n"/>
      <c r="C2309" s="34" t="n"/>
      <c r="D2309" s="28" t="n"/>
      <c r="E2309" s="26" t="n"/>
      <c r="F2309" s="26" t="n"/>
      <c r="G2309" s="26" t="n"/>
      <c r="H2309" s="38" t="n"/>
      <c r="I2309" s="28" t="n"/>
      <c r="J2309" s="30">
        <f>IF(B2309="","",IFERROR(INDEX('Share classes'!$A$4:$A$203,MATCH(B2309,'Share classes'!$B$4:$B$203,0)),""))</f>
        <v/>
      </c>
      <c r="K2309" s="30">
        <f>IF(A2309="","",IFERROR(INDEX('Holders'!$B$4:$B$1003,MATCH(A2309,'Holders'!$A$4:$A$1003,0)),""))</f>
        <v/>
      </c>
      <c r="L2309" s="30">
        <f>IF(OR(A2309="",B2309="",D2309=""),"",IF(D2309=_xlfn.MAXIFS($D$4:$D$2503,$A$4:$A$2503,A2309,$B$4:$B$2503,B2309),"Yes","No"))</f>
        <v/>
      </c>
      <c r="M2309" s="30">
        <f>IF(B2309="","",IFERROR(INDEX('Share classes'!$F$4:$F$203,MATCH(B2309,'Share classes'!$B$4:$B$203,0)),""))</f>
        <v/>
      </c>
      <c r="N2309" s="30">
        <f>IF(A2309="","",IF(K2309="","Unknown holder ID",IF(J2309="","Unknown class code",IF(OR(C2309="",D2309=""),"Missing shares or date",IF(OR(C2309&lt;0,C2309&lt;&gt;INT(C2309)),"Shares must be a whole number",IF(COUNTIFS($A$4:$A$2503,A2309,$B$4:$B$2503,B2309,$D$4:$D$2503,D2309)&gt;1,"Duplicate row (same date)","OK"))))))</f>
        <v/>
      </c>
    </row>
    <row r="2310">
      <c r="A2310" s="26" t="n"/>
      <c r="B2310" s="26" t="n"/>
      <c r="C2310" s="34" t="n"/>
      <c r="D2310" s="28" t="n"/>
      <c r="E2310" s="26" t="n"/>
      <c r="F2310" s="26" t="n"/>
      <c r="G2310" s="26" t="n"/>
      <c r="H2310" s="38" t="n"/>
      <c r="I2310" s="28" t="n"/>
      <c r="J2310" s="30">
        <f>IF(B2310="","",IFERROR(INDEX('Share classes'!$A$4:$A$203,MATCH(B2310,'Share classes'!$B$4:$B$203,0)),""))</f>
        <v/>
      </c>
      <c r="K2310" s="30">
        <f>IF(A2310="","",IFERROR(INDEX('Holders'!$B$4:$B$1003,MATCH(A2310,'Holders'!$A$4:$A$1003,0)),""))</f>
        <v/>
      </c>
      <c r="L2310" s="30">
        <f>IF(OR(A2310="",B2310="",D2310=""),"",IF(D2310=_xlfn.MAXIFS($D$4:$D$2503,$A$4:$A$2503,A2310,$B$4:$B$2503,B2310),"Yes","No"))</f>
        <v/>
      </c>
      <c r="M2310" s="30">
        <f>IF(B2310="","",IFERROR(INDEX('Share classes'!$F$4:$F$203,MATCH(B2310,'Share classes'!$B$4:$B$203,0)),""))</f>
        <v/>
      </c>
      <c r="N2310" s="30">
        <f>IF(A2310="","",IF(K2310="","Unknown holder ID",IF(J2310="","Unknown class code",IF(OR(C2310="",D2310=""),"Missing shares or date",IF(OR(C2310&lt;0,C2310&lt;&gt;INT(C2310)),"Shares must be a whole number",IF(COUNTIFS($A$4:$A$2503,A2310,$B$4:$B$2503,B2310,$D$4:$D$2503,D2310)&gt;1,"Duplicate row (same date)","OK"))))))</f>
        <v/>
      </c>
    </row>
    <row r="2311">
      <c r="A2311" s="26" t="n"/>
      <c r="B2311" s="26" t="n"/>
      <c r="C2311" s="34" t="n"/>
      <c r="D2311" s="28" t="n"/>
      <c r="E2311" s="26" t="n"/>
      <c r="F2311" s="26" t="n"/>
      <c r="G2311" s="26" t="n"/>
      <c r="H2311" s="38" t="n"/>
      <c r="I2311" s="28" t="n"/>
      <c r="J2311" s="30">
        <f>IF(B2311="","",IFERROR(INDEX('Share classes'!$A$4:$A$203,MATCH(B2311,'Share classes'!$B$4:$B$203,0)),""))</f>
        <v/>
      </c>
      <c r="K2311" s="30">
        <f>IF(A2311="","",IFERROR(INDEX('Holders'!$B$4:$B$1003,MATCH(A2311,'Holders'!$A$4:$A$1003,0)),""))</f>
        <v/>
      </c>
      <c r="L2311" s="30">
        <f>IF(OR(A2311="",B2311="",D2311=""),"",IF(D2311=_xlfn.MAXIFS($D$4:$D$2503,$A$4:$A$2503,A2311,$B$4:$B$2503,B2311),"Yes","No"))</f>
        <v/>
      </c>
      <c r="M2311" s="30">
        <f>IF(B2311="","",IFERROR(INDEX('Share classes'!$F$4:$F$203,MATCH(B2311,'Share classes'!$B$4:$B$203,0)),""))</f>
        <v/>
      </c>
      <c r="N2311" s="30">
        <f>IF(A2311="","",IF(K2311="","Unknown holder ID",IF(J2311="","Unknown class code",IF(OR(C2311="",D2311=""),"Missing shares or date",IF(OR(C2311&lt;0,C2311&lt;&gt;INT(C2311)),"Shares must be a whole number",IF(COUNTIFS($A$4:$A$2503,A2311,$B$4:$B$2503,B2311,$D$4:$D$2503,D2311)&gt;1,"Duplicate row (same date)","OK"))))))</f>
        <v/>
      </c>
    </row>
    <row r="2312">
      <c r="A2312" s="26" t="n"/>
      <c r="B2312" s="26" t="n"/>
      <c r="C2312" s="34" t="n"/>
      <c r="D2312" s="28" t="n"/>
      <c r="E2312" s="26" t="n"/>
      <c r="F2312" s="26" t="n"/>
      <c r="G2312" s="26" t="n"/>
      <c r="H2312" s="38" t="n"/>
      <c r="I2312" s="28" t="n"/>
      <c r="J2312" s="30">
        <f>IF(B2312="","",IFERROR(INDEX('Share classes'!$A$4:$A$203,MATCH(B2312,'Share classes'!$B$4:$B$203,0)),""))</f>
        <v/>
      </c>
      <c r="K2312" s="30">
        <f>IF(A2312="","",IFERROR(INDEX('Holders'!$B$4:$B$1003,MATCH(A2312,'Holders'!$A$4:$A$1003,0)),""))</f>
        <v/>
      </c>
      <c r="L2312" s="30">
        <f>IF(OR(A2312="",B2312="",D2312=""),"",IF(D2312=_xlfn.MAXIFS($D$4:$D$2503,$A$4:$A$2503,A2312,$B$4:$B$2503,B2312),"Yes","No"))</f>
        <v/>
      </c>
      <c r="M2312" s="30">
        <f>IF(B2312="","",IFERROR(INDEX('Share classes'!$F$4:$F$203,MATCH(B2312,'Share classes'!$B$4:$B$203,0)),""))</f>
        <v/>
      </c>
      <c r="N2312" s="30">
        <f>IF(A2312="","",IF(K2312="","Unknown holder ID",IF(J2312="","Unknown class code",IF(OR(C2312="",D2312=""),"Missing shares or date",IF(OR(C2312&lt;0,C2312&lt;&gt;INT(C2312)),"Shares must be a whole number",IF(COUNTIFS($A$4:$A$2503,A2312,$B$4:$B$2503,B2312,$D$4:$D$2503,D2312)&gt;1,"Duplicate row (same date)","OK"))))))</f>
        <v/>
      </c>
    </row>
    <row r="2313">
      <c r="A2313" s="26" t="n"/>
      <c r="B2313" s="26" t="n"/>
      <c r="C2313" s="34" t="n"/>
      <c r="D2313" s="28" t="n"/>
      <c r="E2313" s="26" t="n"/>
      <c r="F2313" s="26" t="n"/>
      <c r="G2313" s="26" t="n"/>
      <c r="H2313" s="38" t="n"/>
      <c r="I2313" s="28" t="n"/>
      <c r="J2313" s="30">
        <f>IF(B2313="","",IFERROR(INDEX('Share classes'!$A$4:$A$203,MATCH(B2313,'Share classes'!$B$4:$B$203,0)),""))</f>
        <v/>
      </c>
      <c r="K2313" s="30">
        <f>IF(A2313="","",IFERROR(INDEX('Holders'!$B$4:$B$1003,MATCH(A2313,'Holders'!$A$4:$A$1003,0)),""))</f>
        <v/>
      </c>
      <c r="L2313" s="30">
        <f>IF(OR(A2313="",B2313="",D2313=""),"",IF(D2313=_xlfn.MAXIFS($D$4:$D$2503,$A$4:$A$2503,A2313,$B$4:$B$2503,B2313),"Yes","No"))</f>
        <v/>
      </c>
      <c r="M2313" s="30">
        <f>IF(B2313="","",IFERROR(INDEX('Share classes'!$F$4:$F$203,MATCH(B2313,'Share classes'!$B$4:$B$203,0)),""))</f>
        <v/>
      </c>
      <c r="N2313" s="30">
        <f>IF(A2313="","",IF(K2313="","Unknown holder ID",IF(J2313="","Unknown class code",IF(OR(C2313="",D2313=""),"Missing shares or date",IF(OR(C2313&lt;0,C2313&lt;&gt;INT(C2313)),"Shares must be a whole number",IF(COUNTIFS($A$4:$A$2503,A2313,$B$4:$B$2503,B2313,$D$4:$D$2503,D2313)&gt;1,"Duplicate row (same date)","OK"))))))</f>
        <v/>
      </c>
    </row>
    <row r="2314">
      <c r="A2314" s="26" t="n"/>
      <c r="B2314" s="26" t="n"/>
      <c r="C2314" s="34" t="n"/>
      <c r="D2314" s="28" t="n"/>
      <c r="E2314" s="26" t="n"/>
      <c r="F2314" s="26" t="n"/>
      <c r="G2314" s="26" t="n"/>
      <c r="H2314" s="38" t="n"/>
      <c r="I2314" s="28" t="n"/>
      <c r="J2314" s="30">
        <f>IF(B2314="","",IFERROR(INDEX('Share classes'!$A$4:$A$203,MATCH(B2314,'Share classes'!$B$4:$B$203,0)),""))</f>
        <v/>
      </c>
      <c r="K2314" s="30">
        <f>IF(A2314="","",IFERROR(INDEX('Holders'!$B$4:$B$1003,MATCH(A2314,'Holders'!$A$4:$A$1003,0)),""))</f>
        <v/>
      </c>
      <c r="L2314" s="30">
        <f>IF(OR(A2314="",B2314="",D2314=""),"",IF(D2314=_xlfn.MAXIFS($D$4:$D$2503,$A$4:$A$2503,A2314,$B$4:$B$2503,B2314),"Yes","No"))</f>
        <v/>
      </c>
      <c r="M2314" s="30">
        <f>IF(B2314="","",IFERROR(INDEX('Share classes'!$F$4:$F$203,MATCH(B2314,'Share classes'!$B$4:$B$203,0)),""))</f>
        <v/>
      </c>
      <c r="N2314" s="30">
        <f>IF(A2314="","",IF(K2314="","Unknown holder ID",IF(J2314="","Unknown class code",IF(OR(C2314="",D2314=""),"Missing shares or date",IF(OR(C2314&lt;0,C2314&lt;&gt;INT(C2314)),"Shares must be a whole number",IF(COUNTIFS($A$4:$A$2503,A2314,$B$4:$B$2503,B2314,$D$4:$D$2503,D2314)&gt;1,"Duplicate row (same date)","OK"))))))</f>
        <v/>
      </c>
    </row>
    <row r="2315">
      <c r="A2315" s="26" t="n"/>
      <c r="B2315" s="26" t="n"/>
      <c r="C2315" s="34" t="n"/>
      <c r="D2315" s="28" t="n"/>
      <c r="E2315" s="26" t="n"/>
      <c r="F2315" s="26" t="n"/>
      <c r="G2315" s="26" t="n"/>
      <c r="H2315" s="38" t="n"/>
      <c r="I2315" s="28" t="n"/>
      <c r="J2315" s="30">
        <f>IF(B2315="","",IFERROR(INDEX('Share classes'!$A$4:$A$203,MATCH(B2315,'Share classes'!$B$4:$B$203,0)),""))</f>
        <v/>
      </c>
      <c r="K2315" s="30">
        <f>IF(A2315="","",IFERROR(INDEX('Holders'!$B$4:$B$1003,MATCH(A2315,'Holders'!$A$4:$A$1003,0)),""))</f>
        <v/>
      </c>
      <c r="L2315" s="30">
        <f>IF(OR(A2315="",B2315="",D2315=""),"",IF(D2315=_xlfn.MAXIFS($D$4:$D$2503,$A$4:$A$2503,A2315,$B$4:$B$2503,B2315),"Yes","No"))</f>
        <v/>
      </c>
      <c r="M2315" s="30">
        <f>IF(B2315="","",IFERROR(INDEX('Share classes'!$F$4:$F$203,MATCH(B2315,'Share classes'!$B$4:$B$203,0)),""))</f>
        <v/>
      </c>
      <c r="N2315" s="30">
        <f>IF(A2315="","",IF(K2315="","Unknown holder ID",IF(J2315="","Unknown class code",IF(OR(C2315="",D2315=""),"Missing shares or date",IF(OR(C2315&lt;0,C2315&lt;&gt;INT(C2315)),"Shares must be a whole number",IF(COUNTIFS($A$4:$A$2503,A2315,$B$4:$B$2503,B2315,$D$4:$D$2503,D2315)&gt;1,"Duplicate row (same date)","OK"))))))</f>
        <v/>
      </c>
    </row>
    <row r="2316">
      <c r="A2316" s="26" t="n"/>
      <c r="B2316" s="26" t="n"/>
      <c r="C2316" s="34" t="n"/>
      <c r="D2316" s="28" t="n"/>
      <c r="E2316" s="26" t="n"/>
      <c r="F2316" s="26" t="n"/>
      <c r="G2316" s="26" t="n"/>
      <c r="H2316" s="38" t="n"/>
      <c r="I2316" s="28" t="n"/>
      <c r="J2316" s="30">
        <f>IF(B2316="","",IFERROR(INDEX('Share classes'!$A$4:$A$203,MATCH(B2316,'Share classes'!$B$4:$B$203,0)),""))</f>
        <v/>
      </c>
      <c r="K2316" s="30">
        <f>IF(A2316="","",IFERROR(INDEX('Holders'!$B$4:$B$1003,MATCH(A2316,'Holders'!$A$4:$A$1003,0)),""))</f>
        <v/>
      </c>
      <c r="L2316" s="30">
        <f>IF(OR(A2316="",B2316="",D2316=""),"",IF(D2316=_xlfn.MAXIFS($D$4:$D$2503,$A$4:$A$2503,A2316,$B$4:$B$2503,B2316),"Yes","No"))</f>
        <v/>
      </c>
      <c r="M2316" s="30">
        <f>IF(B2316="","",IFERROR(INDEX('Share classes'!$F$4:$F$203,MATCH(B2316,'Share classes'!$B$4:$B$203,0)),""))</f>
        <v/>
      </c>
      <c r="N2316" s="30">
        <f>IF(A2316="","",IF(K2316="","Unknown holder ID",IF(J2316="","Unknown class code",IF(OR(C2316="",D2316=""),"Missing shares or date",IF(OR(C2316&lt;0,C2316&lt;&gt;INT(C2316)),"Shares must be a whole number",IF(COUNTIFS($A$4:$A$2503,A2316,$B$4:$B$2503,B2316,$D$4:$D$2503,D2316)&gt;1,"Duplicate row (same date)","OK"))))))</f>
        <v/>
      </c>
    </row>
    <row r="2317">
      <c r="A2317" s="26" t="n"/>
      <c r="B2317" s="26" t="n"/>
      <c r="C2317" s="34" t="n"/>
      <c r="D2317" s="28" t="n"/>
      <c r="E2317" s="26" t="n"/>
      <c r="F2317" s="26" t="n"/>
      <c r="G2317" s="26" t="n"/>
      <c r="H2317" s="38" t="n"/>
      <c r="I2317" s="28" t="n"/>
      <c r="J2317" s="30">
        <f>IF(B2317="","",IFERROR(INDEX('Share classes'!$A$4:$A$203,MATCH(B2317,'Share classes'!$B$4:$B$203,0)),""))</f>
        <v/>
      </c>
      <c r="K2317" s="30">
        <f>IF(A2317="","",IFERROR(INDEX('Holders'!$B$4:$B$1003,MATCH(A2317,'Holders'!$A$4:$A$1003,0)),""))</f>
        <v/>
      </c>
      <c r="L2317" s="30">
        <f>IF(OR(A2317="",B2317="",D2317=""),"",IF(D2317=_xlfn.MAXIFS($D$4:$D$2503,$A$4:$A$2503,A2317,$B$4:$B$2503,B2317),"Yes","No"))</f>
        <v/>
      </c>
      <c r="M2317" s="30">
        <f>IF(B2317="","",IFERROR(INDEX('Share classes'!$F$4:$F$203,MATCH(B2317,'Share classes'!$B$4:$B$203,0)),""))</f>
        <v/>
      </c>
      <c r="N2317" s="30">
        <f>IF(A2317="","",IF(K2317="","Unknown holder ID",IF(J2317="","Unknown class code",IF(OR(C2317="",D2317=""),"Missing shares or date",IF(OR(C2317&lt;0,C2317&lt;&gt;INT(C2317)),"Shares must be a whole number",IF(COUNTIFS($A$4:$A$2503,A2317,$B$4:$B$2503,B2317,$D$4:$D$2503,D2317)&gt;1,"Duplicate row (same date)","OK"))))))</f>
        <v/>
      </c>
    </row>
    <row r="2318">
      <c r="A2318" s="26" t="n"/>
      <c r="B2318" s="26" t="n"/>
      <c r="C2318" s="34" t="n"/>
      <c r="D2318" s="28" t="n"/>
      <c r="E2318" s="26" t="n"/>
      <c r="F2318" s="26" t="n"/>
      <c r="G2318" s="26" t="n"/>
      <c r="H2318" s="38" t="n"/>
      <c r="I2318" s="28" t="n"/>
      <c r="J2318" s="30">
        <f>IF(B2318="","",IFERROR(INDEX('Share classes'!$A$4:$A$203,MATCH(B2318,'Share classes'!$B$4:$B$203,0)),""))</f>
        <v/>
      </c>
      <c r="K2318" s="30">
        <f>IF(A2318="","",IFERROR(INDEX('Holders'!$B$4:$B$1003,MATCH(A2318,'Holders'!$A$4:$A$1003,0)),""))</f>
        <v/>
      </c>
      <c r="L2318" s="30">
        <f>IF(OR(A2318="",B2318="",D2318=""),"",IF(D2318=_xlfn.MAXIFS($D$4:$D$2503,$A$4:$A$2503,A2318,$B$4:$B$2503,B2318),"Yes","No"))</f>
        <v/>
      </c>
      <c r="M2318" s="30">
        <f>IF(B2318="","",IFERROR(INDEX('Share classes'!$F$4:$F$203,MATCH(B2318,'Share classes'!$B$4:$B$203,0)),""))</f>
        <v/>
      </c>
      <c r="N2318" s="30">
        <f>IF(A2318="","",IF(K2318="","Unknown holder ID",IF(J2318="","Unknown class code",IF(OR(C2318="",D2318=""),"Missing shares or date",IF(OR(C2318&lt;0,C2318&lt;&gt;INT(C2318)),"Shares must be a whole number",IF(COUNTIFS($A$4:$A$2503,A2318,$B$4:$B$2503,B2318,$D$4:$D$2503,D2318)&gt;1,"Duplicate row (same date)","OK"))))))</f>
        <v/>
      </c>
    </row>
    <row r="2319">
      <c r="A2319" s="26" t="n"/>
      <c r="B2319" s="26" t="n"/>
      <c r="C2319" s="34" t="n"/>
      <c r="D2319" s="28" t="n"/>
      <c r="E2319" s="26" t="n"/>
      <c r="F2319" s="26" t="n"/>
      <c r="G2319" s="26" t="n"/>
      <c r="H2319" s="38" t="n"/>
      <c r="I2319" s="28" t="n"/>
      <c r="J2319" s="30">
        <f>IF(B2319="","",IFERROR(INDEX('Share classes'!$A$4:$A$203,MATCH(B2319,'Share classes'!$B$4:$B$203,0)),""))</f>
        <v/>
      </c>
      <c r="K2319" s="30">
        <f>IF(A2319="","",IFERROR(INDEX('Holders'!$B$4:$B$1003,MATCH(A2319,'Holders'!$A$4:$A$1003,0)),""))</f>
        <v/>
      </c>
      <c r="L2319" s="30">
        <f>IF(OR(A2319="",B2319="",D2319=""),"",IF(D2319=_xlfn.MAXIFS($D$4:$D$2503,$A$4:$A$2503,A2319,$B$4:$B$2503,B2319),"Yes","No"))</f>
        <v/>
      </c>
      <c r="M2319" s="30">
        <f>IF(B2319="","",IFERROR(INDEX('Share classes'!$F$4:$F$203,MATCH(B2319,'Share classes'!$B$4:$B$203,0)),""))</f>
        <v/>
      </c>
      <c r="N2319" s="30">
        <f>IF(A2319="","",IF(K2319="","Unknown holder ID",IF(J2319="","Unknown class code",IF(OR(C2319="",D2319=""),"Missing shares or date",IF(OR(C2319&lt;0,C2319&lt;&gt;INT(C2319)),"Shares must be a whole number",IF(COUNTIFS($A$4:$A$2503,A2319,$B$4:$B$2503,B2319,$D$4:$D$2503,D2319)&gt;1,"Duplicate row (same date)","OK"))))))</f>
        <v/>
      </c>
    </row>
    <row r="2320">
      <c r="A2320" s="26" t="n"/>
      <c r="B2320" s="26" t="n"/>
      <c r="C2320" s="34" t="n"/>
      <c r="D2320" s="28" t="n"/>
      <c r="E2320" s="26" t="n"/>
      <c r="F2320" s="26" t="n"/>
      <c r="G2320" s="26" t="n"/>
      <c r="H2320" s="38" t="n"/>
      <c r="I2320" s="28" t="n"/>
      <c r="J2320" s="30">
        <f>IF(B2320="","",IFERROR(INDEX('Share classes'!$A$4:$A$203,MATCH(B2320,'Share classes'!$B$4:$B$203,0)),""))</f>
        <v/>
      </c>
      <c r="K2320" s="30">
        <f>IF(A2320="","",IFERROR(INDEX('Holders'!$B$4:$B$1003,MATCH(A2320,'Holders'!$A$4:$A$1003,0)),""))</f>
        <v/>
      </c>
      <c r="L2320" s="30">
        <f>IF(OR(A2320="",B2320="",D2320=""),"",IF(D2320=_xlfn.MAXIFS($D$4:$D$2503,$A$4:$A$2503,A2320,$B$4:$B$2503,B2320),"Yes","No"))</f>
        <v/>
      </c>
      <c r="M2320" s="30">
        <f>IF(B2320="","",IFERROR(INDEX('Share classes'!$F$4:$F$203,MATCH(B2320,'Share classes'!$B$4:$B$203,0)),""))</f>
        <v/>
      </c>
      <c r="N2320" s="30">
        <f>IF(A2320="","",IF(K2320="","Unknown holder ID",IF(J2320="","Unknown class code",IF(OR(C2320="",D2320=""),"Missing shares or date",IF(OR(C2320&lt;0,C2320&lt;&gt;INT(C2320)),"Shares must be a whole number",IF(COUNTIFS($A$4:$A$2503,A2320,$B$4:$B$2503,B2320,$D$4:$D$2503,D2320)&gt;1,"Duplicate row (same date)","OK"))))))</f>
        <v/>
      </c>
    </row>
    <row r="2321">
      <c r="A2321" s="26" t="n"/>
      <c r="B2321" s="26" t="n"/>
      <c r="C2321" s="34" t="n"/>
      <c r="D2321" s="28" t="n"/>
      <c r="E2321" s="26" t="n"/>
      <c r="F2321" s="26" t="n"/>
      <c r="G2321" s="26" t="n"/>
      <c r="H2321" s="38" t="n"/>
      <c r="I2321" s="28" t="n"/>
      <c r="J2321" s="30">
        <f>IF(B2321="","",IFERROR(INDEX('Share classes'!$A$4:$A$203,MATCH(B2321,'Share classes'!$B$4:$B$203,0)),""))</f>
        <v/>
      </c>
      <c r="K2321" s="30">
        <f>IF(A2321="","",IFERROR(INDEX('Holders'!$B$4:$B$1003,MATCH(A2321,'Holders'!$A$4:$A$1003,0)),""))</f>
        <v/>
      </c>
      <c r="L2321" s="30">
        <f>IF(OR(A2321="",B2321="",D2321=""),"",IF(D2321=_xlfn.MAXIFS($D$4:$D$2503,$A$4:$A$2503,A2321,$B$4:$B$2503,B2321),"Yes","No"))</f>
        <v/>
      </c>
      <c r="M2321" s="30">
        <f>IF(B2321="","",IFERROR(INDEX('Share classes'!$F$4:$F$203,MATCH(B2321,'Share classes'!$B$4:$B$203,0)),""))</f>
        <v/>
      </c>
      <c r="N2321" s="30">
        <f>IF(A2321="","",IF(K2321="","Unknown holder ID",IF(J2321="","Unknown class code",IF(OR(C2321="",D2321=""),"Missing shares or date",IF(OR(C2321&lt;0,C2321&lt;&gt;INT(C2321)),"Shares must be a whole number",IF(COUNTIFS($A$4:$A$2503,A2321,$B$4:$B$2503,B2321,$D$4:$D$2503,D2321)&gt;1,"Duplicate row (same date)","OK"))))))</f>
        <v/>
      </c>
    </row>
    <row r="2322">
      <c r="A2322" s="26" t="n"/>
      <c r="B2322" s="26" t="n"/>
      <c r="C2322" s="34" t="n"/>
      <c r="D2322" s="28" t="n"/>
      <c r="E2322" s="26" t="n"/>
      <c r="F2322" s="26" t="n"/>
      <c r="G2322" s="26" t="n"/>
      <c r="H2322" s="38" t="n"/>
      <c r="I2322" s="28" t="n"/>
      <c r="J2322" s="30">
        <f>IF(B2322="","",IFERROR(INDEX('Share classes'!$A$4:$A$203,MATCH(B2322,'Share classes'!$B$4:$B$203,0)),""))</f>
        <v/>
      </c>
      <c r="K2322" s="30">
        <f>IF(A2322="","",IFERROR(INDEX('Holders'!$B$4:$B$1003,MATCH(A2322,'Holders'!$A$4:$A$1003,0)),""))</f>
        <v/>
      </c>
      <c r="L2322" s="30">
        <f>IF(OR(A2322="",B2322="",D2322=""),"",IF(D2322=_xlfn.MAXIFS($D$4:$D$2503,$A$4:$A$2503,A2322,$B$4:$B$2503,B2322),"Yes","No"))</f>
        <v/>
      </c>
      <c r="M2322" s="30">
        <f>IF(B2322="","",IFERROR(INDEX('Share classes'!$F$4:$F$203,MATCH(B2322,'Share classes'!$B$4:$B$203,0)),""))</f>
        <v/>
      </c>
      <c r="N2322" s="30">
        <f>IF(A2322="","",IF(K2322="","Unknown holder ID",IF(J2322="","Unknown class code",IF(OR(C2322="",D2322=""),"Missing shares or date",IF(OR(C2322&lt;0,C2322&lt;&gt;INT(C2322)),"Shares must be a whole number",IF(COUNTIFS($A$4:$A$2503,A2322,$B$4:$B$2503,B2322,$D$4:$D$2503,D2322)&gt;1,"Duplicate row (same date)","OK"))))))</f>
        <v/>
      </c>
    </row>
    <row r="2323">
      <c r="A2323" s="26" t="n"/>
      <c r="B2323" s="26" t="n"/>
      <c r="C2323" s="34" t="n"/>
      <c r="D2323" s="28" t="n"/>
      <c r="E2323" s="26" t="n"/>
      <c r="F2323" s="26" t="n"/>
      <c r="G2323" s="26" t="n"/>
      <c r="H2323" s="38" t="n"/>
      <c r="I2323" s="28" t="n"/>
      <c r="J2323" s="30">
        <f>IF(B2323="","",IFERROR(INDEX('Share classes'!$A$4:$A$203,MATCH(B2323,'Share classes'!$B$4:$B$203,0)),""))</f>
        <v/>
      </c>
      <c r="K2323" s="30">
        <f>IF(A2323="","",IFERROR(INDEX('Holders'!$B$4:$B$1003,MATCH(A2323,'Holders'!$A$4:$A$1003,0)),""))</f>
        <v/>
      </c>
      <c r="L2323" s="30">
        <f>IF(OR(A2323="",B2323="",D2323=""),"",IF(D2323=_xlfn.MAXIFS($D$4:$D$2503,$A$4:$A$2503,A2323,$B$4:$B$2503,B2323),"Yes","No"))</f>
        <v/>
      </c>
      <c r="M2323" s="30">
        <f>IF(B2323="","",IFERROR(INDEX('Share classes'!$F$4:$F$203,MATCH(B2323,'Share classes'!$B$4:$B$203,0)),""))</f>
        <v/>
      </c>
      <c r="N2323" s="30">
        <f>IF(A2323="","",IF(K2323="","Unknown holder ID",IF(J2323="","Unknown class code",IF(OR(C2323="",D2323=""),"Missing shares or date",IF(OR(C2323&lt;0,C2323&lt;&gt;INT(C2323)),"Shares must be a whole number",IF(COUNTIFS($A$4:$A$2503,A2323,$B$4:$B$2503,B2323,$D$4:$D$2503,D2323)&gt;1,"Duplicate row (same date)","OK"))))))</f>
        <v/>
      </c>
    </row>
    <row r="2324">
      <c r="A2324" s="26" t="n"/>
      <c r="B2324" s="26" t="n"/>
      <c r="C2324" s="34" t="n"/>
      <c r="D2324" s="28" t="n"/>
      <c r="E2324" s="26" t="n"/>
      <c r="F2324" s="26" t="n"/>
      <c r="G2324" s="26" t="n"/>
      <c r="H2324" s="38" t="n"/>
      <c r="I2324" s="28" t="n"/>
      <c r="J2324" s="30">
        <f>IF(B2324="","",IFERROR(INDEX('Share classes'!$A$4:$A$203,MATCH(B2324,'Share classes'!$B$4:$B$203,0)),""))</f>
        <v/>
      </c>
      <c r="K2324" s="30">
        <f>IF(A2324="","",IFERROR(INDEX('Holders'!$B$4:$B$1003,MATCH(A2324,'Holders'!$A$4:$A$1003,0)),""))</f>
        <v/>
      </c>
      <c r="L2324" s="30">
        <f>IF(OR(A2324="",B2324="",D2324=""),"",IF(D2324=_xlfn.MAXIFS($D$4:$D$2503,$A$4:$A$2503,A2324,$B$4:$B$2503,B2324),"Yes","No"))</f>
        <v/>
      </c>
      <c r="M2324" s="30">
        <f>IF(B2324="","",IFERROR(INDEX('Share classes'!$F$4:$F$203,MATCH(B2324,'Share classes'!$B$4:$B$203,0)),""))</f>
        <v/>
      </c>
      <c r="N2324" s="30">
        <f>IF(A2324="","",IF(K2324="","Unknown holder ID",IF(J2324="","Unknown class code",IF(OR(C2324="",D2324=""),"Missing shares or date",IF(OR(C2324&lt;0,C2324&lt;&gt;INT(C2324)),"Shares must be a whole number",IF(COUNTIFS($A$4:$A$2503,A2324,$B$4:$B$2503,B2324,$D$4:$D$2503,D2324)&gt;1,"Duplicate row (same date)","OK"))))))</f>
        <v/>
      </c>
    </row>
    <row r="2325">
      <c r="A2325" s="26" t="n"/>
      <c r="B2325" s="26" t="n"/>
      <c r="C2325" s="34" t="n"/>
      <c r="D2325" s="28" t="n"/>
      <c r="E2325" s="26" t="n"/>
      <c r="F2325" s="26" t="n"/>
      <c r="G2325" s="26" t="n"/>
      <c r="H2325" s="38" t="n"/>
      <c r="I2325" s="28" t="n"/>
      <c r="J2325" s="30">
        <f>IF(B2325="","",IFERROR(INDEX('Share classes'!$A$4:$A$203,MATCH(B2325,'Share classes'!$B$4:$B$203,0)),""))</f>
        <v/>
      </c>
      <c r="K2325" s="30">
        <f>IF(A2325="","",IFERROR(INDEX('Holders'!$B$4:$B$1003,MATCH(A2325,'Holders'!$A$4:$A$1003,0)),""))</f>
        <v/>
      </c>
      <c r="L2325" s="30">
        <f>IF(OR(A2325="",B2325="",D2325=""),"",IF(D2325=_xlfn.MAXIFS($D$4:$D$2503,$A$4:$A$2503,A2325,$B$4:$B$2503,B2325),"Yes","No"))</f>
        <v/>
      </c>
      <c r="M2325" s="30">
        <f>IF(B2325="","",IFERROR(INDEX('Share classes'!$F$4:$F$203,MATCH(B2325,'Share classes'!$B$4:$B$203,0)),""))</f>
        <v/>
      </c>
      <c r="N2325" s="30">
        <f>IF(A2325="","",IF(K2325="","Unknown holder ID",IF(J2325="","Unknown class code",IF(OR(C2325="",D2325=""),"Missing shares or date",IF(OR(C2325&lt;0,C2325&lt;&gt;INT(C2325)),"Shares must be a whole number",IF(COUNTIFS($A$4:$A$2503,A2325,$B$4:$B$2503,B2325,$D$4:$D$2503,D2325)&gt;1,"Duplicate row (same date)","OK"))))))</f>
        <v/>
      </c>
    </row>
    <row r="2326">
      <c r="A2326" s="26" t="n"/>
      <c r="B2326" s="26" t="n"/>
      <c r="C2326" s="34" t="n"/>
      <c r="D2326" s="28" t="n"/>
      <c r="E2326" s="26" t="n"/>
      <c r="F2326" s="26" t="n"/>
      <c r="G2326" s="26" t="n"/>
      <c r="H2326" s="38" t="n"/>
      <c r="I2326" s="28" t="n"/>
      <c r="J2326" s="30">
        <f>IF(B2326="","",IFERROR(INDEX('Share classes'!$A$4:$A$203,MATCH(B2326,'Share classes'!$B$4:$B$203,0)),""))</f>
        <v/>
      </c>
      <c r="K2326" s="30">
        <f>IF(A2326="","",IFERROR(INDEX('Holders'!$B$4:$B$1003,MATCH(A2326,'Holders'!$A$4:$A$1003,0)),""))</f>
        <v/>
      </c>
      <c r="L2326" s="30">
        <f>IF(OR(A2326="",B2326="",D2326=""),"",IF(D2326=_xlfn.MAXIFS($D$4:$D$2503,$A$4:$A$2503,A2326,$B$4:$B$2503,B2326),"Yes","No"))</f>
        <v/>
      </c>
      <c r="M2326" s="30">
        <f>IF(B2326="","",IFERROR(INDEX('Share classes'!$F$4:$F$203,MATCH(B2326,'Share classes'!$B$4:$B$203,0)),""))</f>
        <v/>
      </c>
      <c r="N2326" s="30">
        <f>IF(A2326="","",IF(K2326="","Unknown holder ID",IF(J2326="","Unknown class code",IF(OR(C2326="",D2326=""),"Missing shares or date",IF(OR(C2326&lt;0,C2326&lt;&gt;INT(C2326)),"Shares must be a whole number",IF(COUNTIFS($A$4:$A$2503,A2326,$B$4:$B$2503,B2326,$D$4:$D$2503,D2326)&gt;1,"Duplicate row (same date)","OK"))))))</f>
        <v/>
      </c>
    </row>
    <row r="2327">
      <c r="A2327" s="26" t="n"/>
      <c r="B2327" s="26" t="n"/>
      <c r="C2327" s="34" t="n"/>
      <c r="D2327" s="28" t="n"/>
      <c r="E2327" s="26" t="n"/>
      <c r="F2327" s="26" t="n"/>
      <c r="G2327" s="26" t="n"/>
      <c r="H2327" s="38" t="n"/>
      <c r="I2327" s="28" t="n"/>
      <c r="J2327" s="30">
        <f>IF(B2327="","",IFERROR(INDEX('Share classes'!$A$4:$A$203,MATCH(B2327,'Share classes'!$B$4:$B$203,0)),""))</f>
        <v/>
      </c>
      <c r="K2327" s="30">
        <f>IF(A2327="","",IFERROR(INDEX('Holders'!$B$4:$B$1003,MATCH(A2327,'Holders'!$A$4:$A$1003,0)),""))</f>
        <v/>
      </c>
      <c r="L2327" s="30">
        <f>IF(OR(A2327="",B2327="",D2327=""),"",IF(D2327=_xlfn.MAXIFS($D$4:$D$2503,$A$4:$A$2503,A2327,$B$4:$B$2503,B2327),"Yes","No"))</f>
        <v/>
      </c>
      <c r="M2327" s="30">
        <f>IF(B2327="","",IFERROR(INDEX('Share classes'!$F$4:$F$203,MATCH(B2327,'Share classes'!$B$4:$B$203,0)),""))</f>
        <v/>
      </c>
      <c r="N2327" s="30">
        <f>IF(A2327="","",IF(K2327="","Unknown holder ID",IF(J2327="","Unknown class code",IF(OR(C2327="",D2327=""),"Missing shares or date",IF(OR(C2327&lt;0,C2327&lt;&gt;INT(C2327)),"Shares must be a whole number",IF(COUNTIFS($A$4:$A$2503,A2327,$B$4:$B$2503,B2327,$D$4:$D$2503,D2327)&gt;1,"Duplicate row (same date)","OK"))))))</f>
        <v/>
      </c>
    </row>
    <row r="2328">
      <c r="A2328" s="26" t="n"/>
      <c r="B2328" s="26" t="n"/>
      <c r="C2328" s="34" t="n"/>
      <c r="D2328" s="28" t="n"/>
      <c r="E2328" s="26" t="n"/>
      <c r="F2328" s="26" t="n"/>
      <c r="G2328" s="26" t="n"/>
      <c r="H2328" s="38" t="n"/>
      <c r="I2328" s="28" t="n"/>
      <c r="J2328" s="30">
        <f>IF(B2328="","",IFERROR(INDEX('Share classes'!$A$4:$A$203,MATCH(B2328,'Share classes'!$B$4:$B$203,0)),""))</f>
        <v/>
      </c>
      <c r="K2328" s="30">
        <f>IF(A2328="","",IFERROR(INDEX('Holders'!$B$4:$B$1003,MATCH(A2328,'Holders'!$A$4:$A$1003,0)),""))</f>
        <v/>
      </c>
      <c r="L2328" s="30">
        <f>IF(OR(A2328="",B2328="",D2328=""),"",IF(D2328=_xlfn.MAXIFS($D$4:$D$2503,$A$4:$A$2503,A2328,$B$4:$B$2503,B2328),"Yes","No"))</f>
        <v/>
      </c>
      <c r="M2328" s="30">
        <f>IF(B2328="","",IFERROR(INDEX('Share classes'!$F$4:$F$203,MATCH(B2328,'Share classes'!$B$4:$B$203,0)),""))</f>
        <v/>
      </c>
      <c r="N2328" s="30">
        <f>IF(A2328="","",IF(K2328="","Unknown holder ID",IF(J2328="","Unknown class code",IF(OR(C2328="",D2328=""),"Missing shares or date",IF(OR(C2328&lt;0,C2328&lt;&gt;INT(C2328)),"Shares must be a whole number",IF(COUNTIFS($A$4:$A$2503,A2328,$B$4:$B$2503,B2328,$D$4:$D$2503,D2328)&gt;1,"Duplicate row (same date)","OK"))))))</f>
        <v/>
      </c>
    </row>
    <row r="2329">
      <c r="A2329" s="26" t="n"/>
      <c r="B2329" s="26" t="n"/>
      <c r="C2329" s="34" t="n"/>
      <c r="D2329" s="28" t="n"/>
      <c r="E2329" s="26" t="n"/>
      <c r="F2329" s="26" t="n"/>
      <c r="G2329" s="26" t="n"/>
      <c r="H2329" s="38" t="n"/>
      <c r="I2329" s="28" t="n"/>
      <c r="J2329" s="30">
        <f>IF(B2329="","",IFERROR(INDEX('Share classes'!$A$4:$A$203,MATCH(B2329,'Share classes'!$B$4:$B$203,0)),""))</f>
        <v/>
      </c>
      <c r="K2329" s="30">
        <f>IF(A2329="","",IFERROR(INDEX('Holders'!$B$4:$B$1003,MATCH(A2329,'Holders'!$A$4:$A$1003,0)),""))</f>
        <v/>
      </c>
      <c r="L2329" s="30">
        <f>IF(OR(A2329="",B2329="",D2329=""),"",IF(D2329=_xlfn.MAXIFS($D$4:$D$2503,$A$4:$A$2503,A2329,$B$4:$B$2503,B2329),"Yes","No"))</f>
        <v/>
      </c>
      <c r="M2329" s="30">
        <f>IF(B2329="","",IFERROR(INDEX('Share classes'!$F$4:$F$203,MATCH(B2329,'Share classes'!$B$4:$B$203,0)),""))</f>
        <v/>
      </c>
      <c r="N2329" s="30">
        <f>IF(A2329="","",IF(K2329="","Unknown holder ID",IF(J2329="","Unknown class code",IF(OR(C2329="",D2329=""),"Missing shares or date",IF(OR(C2329&lt;0,C2329&lt;&gt;INT(C2329)),"Shares must be a whole number",IF(COUNTIFS($A$4:$A$2503,A2329,$B$4:$B$2503,B2329,$D$4:$D$2503,D2329)&gt;1,"Duplicate row (same date)","OK"))))))</f>
        <v/>
      </c>
    </row>
    <row r="2330">
      <c r="A2330" s="26" t="n"/>
      <c r="B2330" s="26" t="n"/>
      <c r="C2330" s="34" t="n"/>
      <c r="D2330" s="28" t="n"/>
      <c r="E2330" s="26" t="n"/>
      <c r="F2330" s="26" t="n"/>
      <c r="G2330" s="26" t="n"/>
      <c r="H2330" s="38" t="n"/>
      <c r="I2330" s="28" t="n"/>
      <c r="J2330" s="30">
        <f>IF(B2330="","",IFERROR(INDEX('Share classes'!$A$4:$A$203,MATCH(B2330,'Share classes'!$B$4:$B$203,0)),""))</f>
        <v/>
      </c>
      <c r="K2330" s="30">
        <f>IF(A2330="","",IFERROR(INDEX('Holders'!$B$4:$B$1003,MATCH(A2330,'Holders'!$A$4:$A$1003,0)),""))</f>
        <v/>
      </c>
      <c r="L2330" s="30">
        <f>IF(OR(A2330="",B2330="",D2330=""),"",IF(D2330=_xlfn.MAXIFS($D$4:$D$2503,$A$4:$A$2503,A2330,$B$4:$B$2503,B2330),"Yes","No"))</f>
        <v/>
      </c>
      <c r="M2330" s="30">
        <f>IF(B2330="","",IFERROR(INDEX('Share classes'!$F$4:$F$203,MATCH(B2330,'Share classes'!$B$4:$B$203,0)),""))</f>
        <v/>
      </c>
      <c r="N2330" s="30">
        <f>IF(A2330="","",IF(K2330="","Unknown holder ID",IF(J2330="","Unknown class code",IF(OR(C2330="",D2330=""),"Missing shares or date",IF(OR(C2330&lt;0,C2330&lt;&gt;INT(C2330)),"Shares must be a whole number",IF(COUNTIFS($A$4:$A$2503,A2330,$B$4:$B$2503,B2330,$D$4:$D$2503,D2330)&gt;1,"Duplicate row (same date)","OK"))))))</f>
        <v/>
      </c>
    </row>
    <row r="2331">
      <c r="A2331" s="26" t="n"/>
      <c r="B2331" s="26" t="n"/>
      <c r="C2331" s="34" t="n"/>
      <c r="D2331" s="28" t="n"/>
      <c r="E2331" s="26" t="n"/>
      <c r="F2331" s="26" t="n"/>
      <c r="G2331" s="26" t="n"/>
      <c r="H2331" s="38" t="n"/>
      <c r="I2331" s="28" t="n"/>
      <c r="J2331" s="30">
        <f>IF(B2331="","",IFERROR(INDEX('Share classes'!$A$4:$A$203,MATCH(B2331,'Share classes'!$B$4:$B$203,0)),""))</f>
        <v/>
      </c>
      <c r="K2331" s="30">
        <f>IF(A2331="","",IFERROR(INDEX('Holders'!$B$4:$B$1003,MATCH(A2331,'Holders'!$A$4:$A$1003,0)),""))</f>
        <v/>
      </c>
      <c r="L2331" s="30">
        <f>IF(OR(A2331="",B2331="",D2331=""),"",IF(D2331=_xlfn.MAXIFS($D$4:$D$2503,$A$4:$A$2503,A2331,$B$4:$B$2503,B2331),"Yes","No"))</f>
        <v/>
      </c>
      <c r="M2331" s="30">
        <f>IF(B2331="","",IFERROR(INDEX('Share classes'!$F$4:$F$203,MATCH(B2331,'Share classes'!$B$4:$B$203,0)),""))</f>
        <v/>
      </c>
      <c r="N2331" s="30">
        <f>IF(A2331="","",IF(K2331="","Unknown holder ID",IF(J2331="","Unknown class code",IF(OR(C2331="",D2331=""),"Missing shares or date",IF(OR(C2331&lt;0,C2331&lt;&gt;INT(C2331)),"Shares must be a whole number",IF(COUNTIFS($A$4:$A$2503,A2331,$B$4:$B$2503,B2331,$D$4:$D$2503,D2331)&gt;1,"Duplicate row (same date)","OK"))))))</f>
        <v/>
      </c>
    </row>
    <row r="2332">
      <c r="A2332" s="26" t="n"/>
      <c r="B2332" s="26" t="n"/>
      <c r="C2332" s="34" t="n"/>
      <c r="D2332" s="28" t="n"/>
      <c r="E2332" s="26" t="n"/>
      <c r="F2332" s="26" t="n"/>
      <c r="G2332" s="26" t="n"/>
      <c r="H2332" s="38" t="n"/>
      <c r="I2332" s="28" t="n"/>
      <c r="J2332" s="30">
        <f>IF(B2332="","",IFERROR(INDEX('Share classes'!$A$4:$A$203,MATCH(B2332,'Share classes'!$B$4:$B$203,0)),""))</f>
        <v/>
      </c>
      <c r="K2332" s="30">
        <f>IF(A2332="","",IFERROR(INDEX('Holders'!$B$4:$B$1003,MATCH(A2332,'Holders'!$A$4:$A$1003,0)),""))</f>
        <v/>
      </c>
      <c r="L2332" s="30">
        <f>IF(OR(A2332="",B2332="",D2332=""),"",IF(D2332=_xlfn.MAXIFS($D$4:$D$2503,$A$4:$A$2503,A2332,$B$4:$B$2503,B2332),"Yes","No"))</f>
        <v/>
      </c>
      <c r="M2332" s="30">
        <f>IF(B2332="","",IFERROR(INDEX('Share classes'!$F$4:$F$203,MATCH(B2332,'Share classes'!$B$4:$B$203,0)),""))</f>
        <v/>
      </c>
      <c r="N2332" s="30">
        <f>IF(A2332="","",IF(K2332="","Unknown holder ID",IF(J2332="","Unknown class code",IF(OR(C2332="",D2332=""),"Missing shares or date",IF(OR(C2332&lt;0,C2332&lt;&gt;INT(C2332)),"Shares must be a whole number",IF(COUNTIFS($A$4:$A$2503,A2332,$B$4:$B$2503,B2332,$D$4:$D$2503,D2332)&gt;1,"Duplicate row (same date)","OK"))))))</f>
        <v/>
      </c>
    </row>
    <row r="2333">
      <c r="A2333" s="26" t="n"/>
      <c r="B2333" s="26" t="n"/>
      <c r="C2333" s="34" t="n"/>
      <c r="D2333" s="28" t="n"/>
      <c r="E2333" s="26" t="n"/>
      <c r="F2333" s="26" t="n"/>
      <c r="G2333" s="26" t="n"/>
      <c r="H2333" s="38" t="n"/>
      <c r="I2333" s="28" t="n"/>
      <c r="J2333" s="30">
        <f>IF(B2333="","",IFERROR(INDEX('Share classes'!$A$4:$A$203,MATCH(B2333,'Share classes'!$B$4:$B$203,0)),""))</f>
        <v/>
      </c>
      <c r="K2333" s="30">
        <f>IF(A2333="","",IFERROR(INDEX('Holders'!$B$4:$B$1003,MATCH(A2333,'Holders'!$A$4:$A$1003,0)),""))</f>
        <v/>
      </c>
      <c r="L2333" s="30">
        <f>IF(OR(A2333="",B2333="",D2333=""),"",IF(D2333=_xlfn.MAXIFS($D$4:$D$2503,$A$4:$A$2503,A2333,$B$4:$B$2503,B2333),"Yes","No"))</f>
        <v/>
      </c>
      <c r="M2333" s="30">
        <f>IF(B2333="","",IFERROR(INDEX('Share classes'!$F$4:$F$203,MATCH(B2333,'Share classes'!$B$4:$B$203,0)),""))</f>
        <v/>
      </c>
      <c r="N2333" s="30">
        <f>IF(A2333="","",IF(K2333="","Unknown holder ID",IF(J2333="","Unknown class code",IF(OR(C2333="",D2333=""),"Missing shares or date",IF(OR(C2333&lt;0,C2333&lt;&gt;INT(C2333)),"Shares must be a whole number",IF(COUNTIFS($A$4:$A$2503,A2333,$B$4:$B$2503,B2333,$D$4:$D$2503,D2333)&gt;1,"Duplicate row (same date)","OK"))))))</f>
        <v/>
      </c>
    </row>
    <row r="2334">
      <c r="A2334" s="26" t="n"/>
      <c r="B2334" s="26" t="n"/>
      <c r="C2334" s="34" t="n"/>
      <c r="D2334" s="28" t="n"/>
      <c r="E2334" s="26" t="n"/>
      <c r="F2334" s="26" t="n"/>
      <c r="G2334" s="26" t="n"/>
      <c r="H2334" s="38" t="n"/>
      <c r="I2334" s="28" t="n"/>
      <c r="J2334" s="30">
        <f>IF(B2334="","",IFERROR(INDEX('Share classes'!$A$4:$A$203,MATCH(B2334,'Share classes'!$B$4:$B$203,0)),""))</f>
        <v/>
      </c>
      <c r="K2334" s="30">
        <f>IF(A2334="","",IFERROR(INDEX('Holders'!$B$4:$B$1003,MATCH(A2334,'Holders'!$A$4:$A$1003,0)),""))</f>
        <v/>
      </c>
      <c r="L2334" s="30">
        <f>IF(OR(A2334="",B2334="",D2334=""),"",IF(D2334=_xlfn.MAXIFS($D$4:$D$2503,$A$4:$A$2503,A2334,$B$4:$B$2503,B2334),"Yes","No"))</f>
        <v/>
      </c>
      <c r="M2334" s="30">
        <f>IF(B2334="","",IFERROR(INDEX('Share classes'!$F$4:$F$203,MATCH(B2334,'Share classes'!$B$4:$B$203,0)),""))</f>
        <v/>
      </c>
      <c r="N2334" s="30">
        <f>IF(A2334="","",IF(K2334="","Unknown holder ID",IF(J2334="","Unknown class code",IF(OR(C2334="",D2334=""),"Missing shares or date",IF(OR(C2334&lt;0,C2334&lt;&gt;INT(C2334)),"Shares must be a whole number",IF(COUNTIFS($A$4:$A$2503,A2334,$B$4:$B$2503,B2334,$D$4:$D$2503,D2334)&gt;1,"Duplicate row (same date)","OK"))))))</f>
        <v/>
      </c>
    </row>
    <row r="2335">
      <c r="A2335" s="26" t="n"/>
      <c r="B2335" s="26" t="n"/>
      <c r="C2335" s="34" t="n"/>
      <c r="D2335" s="28" t="n"/>
      <c r="E2335" s="26" t="n"/>
      <c r="F2335" s="26" t="n"/>
      <c r="G2335" s="26" t="n"/>
      <c r="H2335" s="38" t="n"/>
      <c r="I2335" s="28" t="n"/>
      <c r="J2335" s="30">
        <f>IF(B2335="","",IFERROR(INDEX('Share classes'!$A$4:$A$203,MATCH(B2335,'Share classes'!$B$4:$B$203,0)),""))</f>
        <v/>
      </c>
      <c r="K2335" s="30">
        <f>IF(A2335="","",IFERROR(INDEX('Holders'!$B$4:$B$1003,MATCH(A2335,'Holders'!$A$4:$A$1003,0)),""))</f>
        <v/>
      </c>
      <c r="L2335" s="30">
        <f>IF(OR(A2335="",B2335="",D2335=""),"",IF(D2335=_xlfn.MAXIFS($D$4:$D$2503,$A$4:$A$2503,A2335,$B$4:$B$2503,B2335),"Yes","No"))</f>
        <v/>
      </c>
      <c r="M2335" s="30">
        <f>IF(B2335="","",IFERROR(INDEX('Share classes'!$F$4:$F$203,MATCH(B2335,'Share classes'!$B$4:$B$203,0)),""))</f>
        <v/>
      </c>
      <c r="N2335" s="30">
        <f>IF(A2335="","",IF(K2335="","Unknown holder ID",IF(J2335="","Unknown class code",IF(OR(C2335="",D2335=""),"Missing shares or date",IF(OR(C2335&lt;0,C2335&lt;&gt;INT(C2335)),"Shares must be a whole number",IF(COUNTIFS($A$4:$A$2503,A2335,$B$4:$B$2503,B2335,$D$4:$D$2503,D2335)&gt;1,"Duplicate row (same date)","OK"))))))</f>
        <v/>
      </c>
    </row>
    <row r="2336">
      <c r="A2336" s="26" t="n"/>
      <c r="B2336" s="26" t="n"/>
      <c r="C2336" s="34" t="n"/>
      <c r="D2336" s="28" t="n"/>
      <c r="E2336" s="26" t="n"/>
      <c r="F2336" s="26" t="n"/>
      <c r="G2336" s="26" t="n"/>
      <c r="H2336" s="38" t="n"/>
      <c r="I2336" s="28" t="n"/>
      <c r="J2336" s="30">
        <f>IF(B2336="","",IFERROR(INDEX('Share classes'!$A$4:$A$203,MATCH(B2336,'Share classes'!$B$4:$B$203,0)),""))</f>
        <v/>
      </c>
      <c r="K2336" s="30">
        <f>IF(A2336="","",IFERROR(INDEX('Holders'!$B$4:$B$1003,MATCH(A2336,'Holders'!$A$4:$A$1003,0)),""))</f>
        <v/>
      </c>
      <c r="L2336" s="30">
        <f>IF(OR(A2336="",B2336="",D2336=""),"",IF(D2336=_xlfn.MAXIFS($D$4:$D$2503,$A$4:$A$2503,A2336,$B$4:$B$2503,B2336),"Yes","No"))</f>
        <v/>
      </c>
      <c r="M2336" s="30">
        <f>IF(B2336="","",IFERROR(INDEX('Share classes'!$F$4:$F$203,MATCH(B2336,'Share classes'!$B$4:$B$203,0)),""))</f>
        <v/>
      </c>
      <c r="N2336" s="30">
        <f>IF(A2336="","",IF(K2336="","Unknown holder ID",IF(J2336="","Unknown class code",IF(OR(C2336="",D2336=""),"Missing shares or date",IF(OR(C2336&lt;0,C2336&lt;&gt;INT(C2336)),"Shares must be a whole number",IF(COUNTIFS($A$4:$A$2503,A2336,$B$4:$B$2503,B2336,$D$4:$D$2503,D2336)&gt;1,"Duplicate row (same date)","OK"))))))</f>
        <v/>
      </c>
    </row>
    <row r="2337">
      <c r="A2337" s="26" t="n"/>
      <c r="B2337" s="26" t="n"/>
      <c r="C2337" s="34" t="n"/>
      <c r="D2337" s="28" t="n"/>
      <c r="E2337" s="26" t="n"/>
      <c r="F2337" s="26" t="n"/>
      <c r="G2337" s="26" t="n"/>
      <c r="H2337" s="38" t="n"/>
      <c r="I2337" s="28" t="n"/>
      <c r="J2337" s="30">
        <f>IF(B2337="","",IFERROR(INDEX('Share classes'!$A$4:$A$203,MATCH(B2337,'Share classes'!$B$4:$B$203,0)),""))</f>
        <v/>
      </c>
      <c r="K2337" s="30">
        <f>IF(A2337="","",IFERROR(INDEX('Holders'!$B$4:$B$1003,MATCH(A2337,'Holders'!$A$4:$A$1003,0)),""))</f>
        <v/>
      </c>
      <c r="L2337" s="30">
        <f>IF(OR(A2337="",B2337="",D2337=""),"",IF(D2337=_xlfn.MAXIFS($D$4:$D$2503,$A$4:$A$2503,A2337,$B$4:$B$2503,B2337),"Yes","No"))</f>
        <v/>
      </c>
      <c r="M2337" s="30">
        <f>IF(B2337="","",IFERROR(INDEX('Share classes'!$F$4:$F$203,MATCH(B2337,'Share classes'!$B$4:$B$203,0)),""))</f>
        <v/>
      </c>
      <c r="N2337" s="30">
        <f>IF(A2337="","",IF(K2337="","Unknown holder ID",IF(J2337="","Unknown class code",IF(OR(C2337="",D2337=""),"Missing shares or date",IF(OR(C2337&lt;0,C2337&lt;&gt;INT(C2337)),"Shares must be a whole number",IF(COUNTIFS($A$4:$A$2503,A2337,$B$4:$B$2503,B2337,$D$4:$D$2503,D2337)&gt;1,"Duplicate row (same date)","OK"))))))</f>
        <v/>
      </c>
    </row>
    <row r="2338">
      <c r="A2338" s="26" t="n"/>
      <c r="B2338" s="26" t="n"/>
      <c r="C2338" s="34" t="n"/>
      <c r="D2338" s="28" t="n"/>
      <c r="E2338" s="26" t="n"/>
      <c r="F2338" s="26" t="n"/>
      <c r="G2338" s="26" t="n"/>
      <c r="H2338" s="38" t="n"/>
      <c r="I2338" s="28" t="n"/>
      <c r="J2338" s="30">
        <f>IF(B2338="","",IFERROR(INDEX('Share classes'!$A$4:$A$203,MATCH(B2338,'Share classes'!$B$4:$B$203,0)),""))</f>
        <v/>
      </c>
      <c r="K2338" s="30">
        <f>IF(A2338="","",IFERROR(INDEX('Holders'!$B$4:$B$1003,MATCH(A2338,'Holders'!$A$4:$A$1003,0)),""))</f>
        <v/>
      </c>
      <c r="L2338" s="30">
        <f>IF(OR(A2338="",B2338="",D2338=""),"",IF(D2338=_xlfn.MAXIFS($D$4:$D$2503,$A$4:$A$2503,A2338,$B$4:$B$2503,B2338),"Yes","No"))</f>
        <v/>
      </c>
      <c r="M2338" s="30">
        <f>IF(B2338="","",IFERROR(INDEX('Share classes'!$F$4:$F$203,MATCH(B2338,'Share classes'!$B$4:$B$203,0)),""))</f>
        <v/>
      </c>
      <c r="N2338" s="30">
        <f>IF(A2338="","",IF(K2338="","Unknown holder ID",IF(J2338="","Unknown class code",IF(OR(C2338="",D2338=""),"Missing shares or date",IF(OR(C2338&lt;0,C2338&lt;&gt;INT(C2338)),"Shares must be a whole number",IF(COUNTIFS($A$4:$A$2503,A2338,$B$4:$B$2503,B2338,$D$4:$D$2503,D2338)&gt;1,"Duplicate row (same date)","OK"))))))</f>
        <v/>
      </c>
    </row>
    <row r="2339">
      <c r="A2339" s="26" t="n"/>
      <c r="B2339" s="26" t="n"/>
      <c r="C2339" s="34" t="n"/>
      <c r="D2339" s="28" t="n"/>
      <c r="E2339" s="26" t="n"/>
      <c r="F2339" s="26" t="n"/>
      <c r="G2339" s="26" t="n"/>
      <c r="H2339" s="38" t="n"/>
      <c r="I2339" s="28" t="n"/>
      <c r="J2339" s="30">
        <f>IF(B2339="","",IFERROR(INDEX('Share classes'!$A$4:$A$203,MATCH(B2339,'Share classes'!$B$4:$B$203,0)),""))</f>
        <v/>
      </c>
      <c r="K2339" s="30">
        <f>IF(A2339="","",IFERROR(INDEX('Holders'!$B$4:$B$1003,MATCH(A2339,'Holders'!$A$4:$A$1003,0)),""))</f>
        <v/>
      </c>
      <c r="L2339" s="30">
        <f>IF(OR(A2339="",B2339="",D2339=""),"",IF(D2339=_xlfn.MAXIFS($D$4:$D$2503,$A$4:$A$2503,A2339,$B$4:$B$2503,B2339),"Yes","No"))</f>
        <v/>
      </c>
      <c r="M2339" s="30">
        <f>IF(B2339="","",IFERROR(INDEX('Share classes'!$F$4:$F$203,MATCH(B2339,'Share classes'!$B$4:$B$203,0)),""))</f>
        <v/>
      </c>
      <c r="N2339" s="30">
        <f>IF(A2339="","",IF(K2339="","Unknown holder ID",IF(J2339="","Unknown class code",IF(OR(C2339="",D2339=""),"Missing shares or date",IF(OR(C2339&lt;0,C2339&lt;&gt;INT(C2339)),"Shares must be a whole number",IF(COUNTIFS($A$4:$A$2503,A2339,$B$4:$B$2503,B2339,$D$4:$D$2503,D2339)&gt;1,"Duplicate row (same date)","OK"))))))</f>
        <v/>
      </c>
    </row>
    <row r="2340">
      <c r="A2340" s="26" t="n"/>
      <c r="B2340" s="26" t="n"/>
      <c r="C2340" s="34" t="n"/>
      <c r="D2340" s="28" t="n"/>
      <c r="E2340" s="26" t="n"/>
      <c r="F2340" s="26" t="n"/>
      <c r="G2340" s="26" t="n"/>
      <c r="H2340" s="38" t="n"/>
      <c r="I2340" s="28" t="n"/>
      <c r="J2340" s="30">
        <f>IF(B2340="","",IFERROR(INDEX('Share classes'!$A$4:$A$203,MATCH(B2340,'Share classes'!$B$4:$B$203,0)),""))</f>
        <v/>
      </c>
      <c r="K2340" s="30">
        <f>IF(A2340="","",IFERROR(INDEX('Holders'!$B$4:$B$1003,MATCH(A2340,'Holders'!$A$4:$A$1003,0)),""))</f>
        <v/>
      </c>
      <c r="L2340" s="30">
        <f>IF(OR(A2340="",B2340="",D2340=""),"",IF(D2340=_xlfn.MAXIFS($D$4:$D$2503,$A$4:$A$2503,A2340,$B$4:$B$2503,B2340),"Yes","No"))</f>
        <v/>
      </c>
      <c r="M2340" s="30">
        <f>IF(B2340="","",IFERROR(INDEX('Share classes'!$F$4:$F$203,MATCH(B2340,'Share classes'!$B$4:$B$203,0)),""))</f>
        <v/>
      </c>
      <c r="N2340" s="30">
        <f>IF(A2340="","",IF(K2340="","Unknown holder ID",IF(J2340="","Unknown class code",IF(OR(C2340="",D2340=""),"Missing shares or date",IF(OR(C2340&lt;0,C2340&lt;&gt;INT(C2340)),"Shares must be a whole number",IF(COUNTIFS($A$4:$A$2503,A2340,$B$4:$B$2503,B2340,$D$4:$D$2503,D2340)&gt;1,"Duplicate row (same date)","OK"))))))</f>
        <v/>
      </c>
    </row>
    <row r="2341">
      <c r="A2341" s="26" t="n"/>
      <c r="B2341" s="26" t="n"/>
      <c r="C2341" s="34" t="n"/>
      <c r="D2341" s="28" t="n"/>
      <c r="E2341" s="26" t="n"/>
      <c r="F2341" s="26" t="n"/>
      <c r="G2341" s="26" t="n"/>
      <c r="H2341" s="38" t="n"/>
      <c r="I2341" s="28" t="n"/>
      <c r="J2341" s="30">
        <f>IF(B2341="","",IFERROR(INDEX('Share classes'!$A$4:$A$203,MATCH(B2341,'Share classes'!$B$4:$B$203,0)),""))</f>
        <v/>
      </c>
      <c r="K2341" s="30">
        <f>IF(A2341="","",IFERROR(INDEX('Holders'!$B$4:$B$1003,MATCH(A2341,'Holders'!$A$4:$A$1003,0)),""))</f>
        <v/>
      </c>
      <c r="L2341" s="30">
        <f>IF(OR(A2341="",B2341="",D2341=""),"",IF(D2341=_xlfn.MAXIFS($D$4:$D$2503,$A$4:$A$2503,A2341,$B$4:$B$2503,B2341),"Yes","No"))</f>
        <v/>
      </c>
      <c r="M2341" s="30">
        <f>IF(B2341="","",IFERROR(INDEX('Share classes'!$F$4:$F$203,MATCH(B2341,'Share classes'!$B$4:$B$203,0)),""))</f>
        <v/>
      </c>
      <c r="N2341" s="30">
        <f>IF(A2341="","",IF(K2341="","Unknown holder ID",IF(J2341="","Unknown class code",IF(OR(C2341="",D2341=""),"Missing shares or date",IF(OR(C2341&lt;0,C2341&lt;&gt;INT(C2341)),"Shares must be a whole number",IF(COUNTIFS($A$4:$A$2503,A2341,$B$4:$B$2503,B2341,$D$4:$D$2503,D2341)&gt;1,"Duplicate row (same date)","OK"))))))</f>
        <v/>
      </c>
    </row>
    <row r="2342">
      <c r="A2342" s="26" t="n"/>
      <c r="B2342" s="26" t="n"/>
      <c r="C2342" s="34" t="n"/>
      <c r="D2342" s="28" t="n"/>
      <c r="E2342" s="26" t="n"/>
      <c r="F2342" s="26" t="n"/>
      <c r="G2342" s="26" t="n"/>
      <c r="H2342" s="38" t="n"/>
      <c r="I2342" s="28" t="n"/>
      <c r="J2342" s="30">
        <f>IF(B2342="","",IFERROR(INDEX('Share classes'!$A$4:$A$203,MATCH(B2342,'Share classes'!$B$4:$B$203,0)),""))</f>
        <v/>
      </c>
      <c r="K2342" s="30">
        <f>IF(A2342="","",IFERROR(INDEX('Holders'!$B$4:$B$1003,MATCH(A2342,'Holders'!$A$4:$A$1003,0)),""))</f>
        <v/>
      </c>
      <c r="L2342" s="30">
        <f>IF(OR(A2342="",B2342="",D2342=""),"",IF(D2342=_xlfn.MAXIFS($D$4:$D$2503,$A$4:$A$2503,A2342,$B$4:$B$2503,B2342),"Yes","No"))</f>
        <v/>
      </c>
      <c r="M2342" s="30">
        <f>IF(B2342="","",IFERROR(INDEX('Share classes'!$F$4:$F$203,MATCH(B2342,'Share classes'!$B$4:$B$203,0)),""))</f>
        <v/>
      </c>
      <c r="N2342" s="30">
        <f>IF(A2342="","",IF(K2342="","Unknown holder ID",IF(J2342="","Unknown class code",IF(OR(C2342="",D2342=""),"Missing shares or date",IF(OR(C2342&lt;0,C2342&lt;&gt;INT(C2342)),"Shares must be a whole number",IF(COUNTIFS($A$4:$A$2503,A2342,$B$4:$B$2503,B2342,$D$4:$D$2503,D2342)&gt;1,"Duplicate row (same date)","OK"))))))</f>
        <v/>
      </c>
    </row>
    <row r="2343">
      <c r="A2343" s="26" t="n"/>
      <c r="B2343" s="26" t="n"/>
      <c r="C2343" s="34" t="n"/>
      <c r="D2343" s="28" t="n"/>
      <c r="E2343" s="26" t="n"/>
      <c r="F2343" s="26" t="n"/>
      <c r="G2343" s="26" t="n"/>
      <c r="H2343" s="38" t="n"/>
      <c r="I2343" s="28" t="n"/>
      <c r="J2343" s="30">
        <f>IF(B2343="","",IFERROR(INDEX('Share classes'!$A$4:$A$203,MATCH(B2343,'Share classes'!$B$4:$B$203,0)),""))</f>
        <v/>
      </c>
      <c r="K2343" s="30">
        <f>IF(A2343="","",IFERROR(INDEX('Holders'!$B$4:$B$1003,MATCH(A2343,'Holders'!$A$4:$A$1003,0)),""))</f>
        <v/>
      </c>
      <c r="L2343" s="30">
        <f>IF(OR(A2343="",B2343="",D2343=""),"",IF(D2343=_xlfn.MAXIFS($D$4:$D$2503,$A$4:$A$2503,A2343,$B$4:$B$2503,B2343),"Yes","No"))</f>
        <v/>
      </c>
      <c r="M2343" s="30">
        <f>IF(B2343="","",IFERROR(INDEX('Share classes'!$F$4:$F$203,MATCH(B2343,'Share classes'!$B$4:$B$203,0)),""))</f>
        <v/>
      </c>
      <c r="N2343" s="30">
        <f>IF(A2343="","",IF(K2343="","Unknown holder ID",IF(J2343="","Unknown class code",IF(OR(C2343="",D2343=""),"Missing shares or date",IF(OR(C2343&lt;0,C2343&lt;&gt;INT(C2343)),"Shares must be a whole number",IF(COUNTIFS($A$4:$A$2503,A2343,$B$4:$B$2503,B2343,$D$4:$D$2503,D2343)&gt;1,"Duplicate row (same date)","OK"))))))</f>
        <v/>
      </c>
    </row>
    <row r="2344">
      <c r="A2344" s="26" t="n"/>
      <c r="B2344" s="26" t="n"/>
      <c r="C2344" s="34" t="n"/>
      <c r="D2344" s="28" t="n"/>
      <c r="E2344" s="26" t="n"/>
      <c r="F2344" s="26" t="n"/>
      <c r="G2344" s="26" t="n"/>
      <c r="H2344" s="38" t="n"/>
      <c r="I2344" s="28" t="n"/>
      <c r="J2344" s="30">
        <f>IF(B2344="","",IFERROR(INDEX('Share classes'!$A$4:$A$203,MATCH(B2344,'Share classes'!$B$4:$B$203,0)),""))</f>
        <v/>
      </c>
      <c r="K2344" s="30">
        <f>IF(A2344="","",IFERROR(INDEX('Holders'!$B$4:$B$1003,MATCH(A2344,'Holders'!$A$4:$A$1003,0)),""))</f>
        <v/>
      </c>
      <c r="L2344" s="30">
        <f>IF(OR(A2344="",B2344="",D2344=""),"",IF(D2344=_xlfn.MAXIFS($D$4:$D$2503,$A$4:$A$2503,A2344,$B$4:$B$2503,B2344),"Yes","No"))</f>
        <v/>
      </c>
      <c r="M2344" s="30">
        <f>IF(B2344="","",IFERROR(INDEX('Share classes'!$F$4:$F$203,MATCH(B2344,'Share classes'!$B$4:$B$203,0)),""))</f>
        <v/>
      </c>
      <c r="N2344" s="30">
        <f>IF(A2344="","",IF(K2344="","Unknown holder ID",IF(J2344="","Unknown class code",IF(OR(C2344="",D2344=""),"Missing shares or date",IF(OR(C2344&lt;0,C2344&lt;&gt;INT(C2344)),"Shares must be a whole number",IF(COUNTIFS($A$4:$A$2503,A2344,$B$4:$B$2503,B2344,$D$4:$D$2503,D2344)&gt;1,"Duplicate row (same date)","OK"))))))</f>
        <v/>
      </c>
    </row>
    <row r="2345">
      <c r="A2345" s="26" t="n"/>
      <c r="B2345" s="26" t="n"/>
      <c r="C2345" s="34" t="n"/>
      <c r="D2345" s="28" t="n"/>
      <c r="E2345" s="26" t="n"/>
      <c r="F2345" s="26" t="n"/>
      <c r="G2345" s="26" t="n"/>
      <c r="H2345" s="38" t="n"/>
      <c r="I2345" s="28" t="n"/>
      <c r="J2345" s="30">
        <f>IF(B2345="","",IFERROR(INDEX('Share classes'!$A$4:$A$203,MATCH(B2345,'Share classes'!$B$4:$B$203,0)),""))</f>
        <v/>
      </c>
      <c r="K2345" s="30">
        <f>IF(A2345="","",IFERROR(INDEX('Holders'!$B$4:$B$1003,MATCH(A2345,'Holders'!$A$4:$A$1003,0)),""))</f>
        <v/>
      </c>
      <c r="L2345" s="30">
        <f>IF(OR(A2345="",B2345="",D2345=""),"",IF(D2345=_xlfn.MAXIFS($D$4:$D$2503,$A$4:$A$2503,A2345,$B$4:$B$2503,B2345),"Yes","No"))</f>
        <v/>
      </c>
      <c r="M2345" s="30">
        <f>IF(B2345="","",IFERROR(INDEX('Share classes'!$F$4:$F$203,MATCH(B2345,'Share classes'!$B$4:$B$203,0)),""))</f>
        <v/>
      </c>
      <c r="N2345" s="30">
        <f>IF(A2345="","",IF(K2345="","Unknown holder ID",IF(J2345="","Unknown class code",IF(OR(C2345="",D2345=""),"Missing shares or date",IF(OR(C2345&lt;0,C2345&lt;&gt;INT(C2345)),"Shares must be a whole number",IF(COUNTIFS($A$4:$A$2503,A2345,$B$4:$B$2503,B2345,$D$4:$D$2503,D2345)&gt;1,"Duplicate row (same date)","OK"))))))</f>
        <v/>
      </c>
    </row>
    <row r="2346">
      <c r="A2346" s="26" t="n"/>
      <c r="B2346" s="26" t="n"/>
      <c r="C2346" s="34" t="n"/>
      <c r="D2346" s="28" t="n"/>
      <c r="E2346" s="26" t="n"/>
      <c r="F2346" s="26" t="n"/>
      <c r="G2346" s="26" t="n"/>
      <c r="H2346" s="38" t="n"/>
      <c r="I2346" s="28" t="n"/>
      <c r="J2346" s="30">
        <f>IF(B2346="","",IFERROR(INDEX('Share classes'!$A$4:$A$203,MATCH(B2346,'Share classes'!$B$4:$B$203,0)),""))</f>
        <v/>
      </c>
      <c r="K2346" s="30">
        <f>IF(A2346="","",IFERROR(INDEX('Holders'!$B$4:$B$1003,MATCH(A2346,'Holders'!$A$4:$A$1003,0)),""))</f>
        <v/>
      </c>
      <c r="L2346" s="30">
        <f>IF(OR(A2346="",B2346="",D2346=""),"",IF(D2346=_xlfn.MAXIFS($D$4:$D$2503,$A$4:$A$2503,A2346,$B$4:$B$2503,B2346),"Yes","No"))</f>
        <v/>
      </c>
      <c r="M2346" s="30">
        <f>IF(B2346="","",IFERROR(INDEX('Share classes'!$F$4:$F$203,MATCH(B2346,'Share classes'!$B$4:$B$203,0)),""))</f>
        <v/>
      </c>
      <c r="N2346" s="30">
        <f>IF(A2346="","",IF(K2346="","Unknown holder ID",IF(J2346="","Unknown class code",IF(OR(C2346="",D2346=""),"Missing shares or date",IF(OR(C2346&lt;0,C2346&lt;&gt;INT(C2346)),"Shares must be a whole number",IF(COUNTIFS($A$4:$A$2503,A2346,$B$4:$B$2503,B2346,$D$4:$D$2503,D2346)&gt;1,"Duplicate row (same date)","OK"))))))</f>
        <v/>
      </c>
    </row>
    <row r="2347">
      <c r="A2347" s="26" t="n"/>
      <c r="B2347" s="26" t="n"/>
      <c r="C2347" s="34" t="n"/>
      <c r="D2347" s="28" t="n"/>
      <c r="E2347" s="26" t="n"/>
      <c r="F2347" s="26" t="n"/>
      <c r="G2347" s="26" t="n"/>
      <c r="H2347" s="38" t="n"/>
      <c r="I2347" s="28" t="n"/>
      <c r="J2347" s="30">
        <f>IF(B2347="","",IFERROR(INDEX('Share classes'!$A$4:$A$203,MATCH(B2347,'Share classes'!$B$4:$B$203,0)),""))</f>
        <v/>
      </c>
      <c r="K2347" s="30">
        <f>IF(A2347="","",IFERROR(INDEX('Holders'!$B$4:$B$1003,MATCH(A2347,'Holders'!$A$4:$A$1003,0)),""))</f>
        <v/>
      </c>
      <c r="L2347" s="30">
        <f>IF(OR(A2347="",B2347="",D2347=""),"",IF(D2347=_xlfn.MAXIFS($D$4:$D$2503,$A$4:$A$2503,A2347,$B$4:$B$2503,B2347),"Yes","No"))</f>
        <v/>
      </c>
      <c r="M2347" s="30">
        <f>IF(B2347="","",IFERROR(INDEX('Share classes'!$F$4:$F$203,MATCH(B2347,'Share classes'!$B$4:$B$203,0)),""))</f>
        <v/>
      </c>
      <c r="N2347" s="30">
        <f>IF(A2347="","",IF(K2347="","Unknown holder ID",IF(J2347="","Unknown class code",IF(OR(C2347="",D2347=""),"Missing shares or date",IF(OR(C2347&lt;0,C2347&lt;&gt;INT(C2347)),"Shares must be a whole number",IF(COUNTIFS($A$4:$A$2503,A2347,$B$4:$B$2503,B2347,$D$4:$D$2503,D2347)&gt;1,"Duplicate row (same date)","OK"))))))</f>
        <v/>
      </c>
    </row>
    <row r="2348">
      <c r="A2348" s="26" t="n"/>
      <c r="B2348" s="26" t="n"/>
      <c r="C2348" s="34" t="n"/>
      <c r="D2348" s="28" t="n"/>
      <c r="E2348" s="26" t="n"/>
      <c r="F2348" s="26" t="n"/>
      <c r="G2348" s="26" t="n"/>
      <c r="H2348" s="38" t="n"/>
      <c r="I2348" s="28" t="n"/>
      <c r="J2348" s="30">
        <f>IF(B2348="","",IFERROR(INDEX('Share classes'!$A$4:$A$203,MATCH(B2348,'Share classes'!$B$4:$B$203,0)),""))</f>
        <v/>
      </c>
      <c r="K2348" s="30">
        <f>IF(A2348="","",IFERROR(INDEX('Holders'!$B$4:$B$1003,MATCH(A2348,'Holders'!$A$4:$A$1003,0)),""))</f>
        <v/>
      </c>
      <c r="L2348" s="30">
        <f>IF(OR(A2348="",B2348="",D2348=""),"",IF(D2348=_xlfn.MAXIFS($D$4:$D$2503,$A$4:$A$2503,A2348,$B$4:$B$2503,B2348),"Yes","No"))</f>
        <v/>
      </c>
      <c r="M2348" s="30">
        <f>IF(B2348="","",IFERROR(INDEX('Share classes'!$F$4:$F$203,MATCH(B2348,'Share classes'!$B$4:$B$203,0)),""))</f>
        <v/>
      </c>
      <c r="N2348" s="30">
        <f>IF(A2348="","",IF(K2348="","Unknown holder ID",IF(J2348="","Unknown class code",IF(OR(C2348="",D2348=""),"Missing shares or date",IF(OR(C2348&lt;0,C2348&lt;&gt;INT(C2348)),"Shares must be a whole number",IF(COUNTIFS($A$4:$A$2503,A2348,$B$4:$B$2503,B2348,$D$4:$D$2503,D2348)&gt;1,"Duplicate row (same date)","OK"))))))</f>
        <v/>
      </c>
    </row>
    <row r="2349">
      <c r="A2349" s="26" t="n"/>
      <c r="B2349" s="26" t="n"/>
      <c r="C2349" s="34" t="n"/>
      <c r="D2349" s="28" t="n"/>
      <c r="E2349" s="26" t="n"/>
      <c r="F2349" s="26" t="n"/>
      <c r="G2349" s="26" t="n"/>
      <c r="H2349" s="38" t="n"/>
      <c r="I2349" s="28" t="n"/>
      <c r="J2349" s="30">
        <f>IF(B2349="","",IFERROR(INDEX('Share classes'!$A$4:$A$203,MATCH(B2349,'Share classes'!$B$4:$B$203,0)),""))</f>
        <v/>
      </c>
      <c r="K2349" s="30">
        <f>IF(A2349="","",IFERROR(INDEX('Holders'!$B$4:$B$1003,MATCH(A2349,'Holders'!$A$4:$A$1003,0)),""))</f>
        <v/>
      </c>
      <c r="L2349" s="30">
        <f>IF(OR(A2349="",B2349="",D2349=""),"",IF(D2349=_xlfn.MAXIFS($D$4:$D$2503,$A$4:$A$2503,A2349,$B$4:$B$2503,B2349),"Yes","No"))</f>
        <v/>
      </c>
      <c r="M2349" s="30">
        <f>IF(B2349="","",IFERROR(INDEX('Share classes'!$F$4:$F$203,MATCH(B2349,'Share classes'!$B$4:$B$203,0)),""))</f>
        <v/>
      </c>
      <c r="N2349" s="30">
        <f>IF(A2349="","",IF(K2349="","Unknown holder ID",IF(J2349="","Unknown class code",IF(OR(C2349="",D2349=""),"Missing shares or date",IF(OR(C2349&lt;0,C2349&lt;&gt;INT(C2349)),"Shares must be a whole number",IF(COUNTIFS($A$4:$A$2503,A2349,$B$4:$B$2503,B2349,$D$4:$D$2503,D2349)&gt;1,"Duplicate row (same date)","OK"))))))</f>
        <v/>
      </c>
    </row>
    <row r="2350">
      <c r="A2350" s="26" t="n"/>
      <c r="B2350" s="26" t="n"/>
      <c r="C2350" s="34" t="n"/>
      <c r="D2350" s="28" t="n"/>
      <c r="E2350" s="26" t="n"/>
      <c r="F2350" s="26" t="n"/>
      <c r="G2350" s="26" t="n"/>
      <c r="H2350" s="38" t="n"/>
      <c r="I2350" s="28" t="n"/>
      <c r="J2350" s="30">
        <f>IF(B2350="","",IFERROR(INDEX('Share classes'!$A$4:$A$203,MATCH(B2350,'Share classes'!$B$4:$B$203,0)),""))</f>
        <v/>
      </c>
      <c r="K2350" s="30">
        <f>IF(A2350="","",IFERROR(INDEX('Holders'!$B$4:$B$1003,MATCH(A2350,'Holders'!$A$4:$A$1003,0)),""))</f>
        <v/>
      </c>
      <c r="L2350" s="30">
        <f>IF(OR(A2350="",B2350="",D2350=""),"",IF(D2350=_xlfn.MAXIFS($D$4:$D$2503,$A$4:$A$2503,A2350,$B$4:$B$2503,B2350),"Yes","No"))</f>
        <v/>
      </c>
      <c r="M2350" s="30">
        <f>IF(B2350="","",IFERROR(INDEX('Share classes'!$F$4:$F$203,MATCH(B2350,'Share classes'!$B$4:$B$203,0)),""))</f>
        <v/>
      </c>
      <c r="N2350" s="30">
        <f>IF(A2350="","",IF(K2350="","Unknown holder ID",IF(J2350="","Unknown class code",IF(OR(C2350="",D2350=""),"Missing shares or date",IF(OR(C2350&lt;0,C2350&lt;&gt;INT(C2350)),"Shares must be a whole number",IF(COUNTIFS($A$4:$A$2503,A2350,$B$4:$B$2503,B2350,$D$4:$D$2503,D2350)&gt;1,"Duplicate row (same date)","OK"))))))</f>
        <v/>
      </c>
    </row>
    <row r="2351">
      <c r="A2351" s="26" t="n"/>
      <c r="B2351" s="26" t="n"/>
      <c r="C2351" s="34" t="n"/>
      <c r="D2351" s="28" t="n"/>
      <c r="E2351" s="26" t="n"/>
      <c r="F2351" s="26" t="n"/>
      <c r="G2351" s="26" t="n"/>
      <c r="H2351" s="38" t="n"/>
      <c r="I2351" s="28" t="n"/>
      <c r="J2351" s="30">
        <f>IF(B2351="","",IFERROR(INDEX('Share classes'!$A$4:$A$203,MATCH(B2351,'Share classes'!$B$4:$B$203,0)),""))</f>
        <v/>
      </c>
      <c r="K2351" s="30">
        <f>IF(A2351="","",IFERROR(INDEX('Holders'!$B$4:$B$1003,MATCH(A2351,'Holders'!$A$4:$A$1003,0)),""))</f>
        <v/>
      </c>
      <c r="L2351" s="30">
        <f>IF(OR(A2351="",B2351="",D2351=""),"",IF(D2351=_xlfn.MAXIFS($D$4:$D$2503,$A$4:$A$2503,A2351,$B$4:$B$2503,B2351),"Yes","No"))</f>
        <v/>
      </c>
      <c r="M2351" s="30">
        <f>IF(B2351="","",IFERROR(INDEX('Share classes'!$F$4:$F$203,MATCH(B2351,'Share classes'!$B$4:$B$203,0)),""))</f>
        <v/>
      </c>
      <c r="N2351" s="30">
        <f>IF(A2351="","",IF(K2351="","Unknown holder ID",IF(J2351="","Unknown class code",IF(OR(C2351="",D2351=""),"Missing shares or date",IF(OR(C2351&lt;0,C2351&lt;&gt;INT(C2351)),"Shares must be a whole number",IF(COUNTIFS($A$4:$A$2503,A2351,$B$4:$B$2503,B2351,$D$4:$D$2503,D2351)&gt;1,"Duplicate row (same date)","OK"))))))</f>
        <v/>
      </c>
    </row>
    <row r="2352">
      <c r="A2352" s="26" t="n"/>
      <c r="B2352" s="26" t="n"/>
      <c r="C2352" s="34" t="n"/>
      <c r="D2352" s="28" t="n"/>
      <c r="E2352" s="26" t="n"/>
      <c r="F2352" s="26" t="n"/>
      <c r="G2352" s="26" t="n"/>
      <c r="H2352" s="38" t="n"/>
      <c r="I2352" s="28" t="n"/>
      <c r="J2352" s="30">
        <f>IF(B2352="","",IFERROR(INDEX('Share classes'!$A$4:$A$203,MATCH(B2352,'Share classes'!$B$4:$B$203,0)),""))</f>
        <v/>
      </c>
      <c r="K2352" s="30">
        <f>IF(A2352="","",IFERROR(INDEX('Holders'!$B$4:$B$1003,MATCH(A2352,'Holders'!$A$4:$A$1003,0)),""))</f>
        <v/>
      </c>
      <c r="L2352" s="30">
        <f>IF(OR(A2352="",B2352="",D2352=""),"",IF(D2352=_xlfn.MAXIFS($D$4:$D$2503,$A$4:$A$2503,A2352,$B$4:$B$2503,B2352),"Yes","No"))</f>
        <v/>
      </c>
      <c r="M2352" s="30">
        <f>IF(B2352="","",IFERROR(INDEX('Share classes'!$F$4:$F$203,MATCH(B2352,'Share classes'!$B$4:$B$203,0)),""))</f>
        <v/>
      </c>
      <c r="N2352" s="30">
        <f>IF(A2352="","",IF(K2352="","Unknown holder ID",IF(J2352="","Unknown class code",IF(OR(C2352="",D2352=""),"Missing shares or date",IF(OR(C2352&lt;0,C2352&lt;&gt;INT(C2352)),"Shares must be a whole number",IF(COUNTIFS($A$4:$A$2503,A2352,$B$4:$B$2503,B2352,$D$4:$D$2503,D2352)&gt;1,"Duplicate row (same date)","OK"))))))</f>
        <v/>
      </c>
    </row>
    <row r="2353">
      <c r="A2353" s="26" t="n"/>
      <c r="B2353" s="26" t="n"/>
      <c r="C2353" s="34" t="n"/>
      <c r="D2353" s="28" t="n"/>
      <c r="E2353" s="26" t="n"/>
      <c r="F2353" s="26" t="n"/>
      <c r="G2353" s="26" t="n"/>
      <c r="H2353" s="38" t="n"/>
      <c r="I2353" s="28" t="n"/>
      <c r="J2353" s="30">
        <f>IF(B2353="","",IFERROR(INDEX('Share classes'!$A$4:$A$203,MATCH(B2353,'Share classes'!$B$4:$B$203,0)),""))</f>
        <v/>
      </c>
      <c r="K2353" s="30">
        <f>IF(A2353="","",IFERROR(INDEX('Holders'!$B$4:$B$1003,MATCH(A2353,'Holders'!$A$4:$A$1003,0)),""))</f>
        <v/>
      </c>
      <c r="L2353" s="30">
        <f>IF(OR(A2353="",B2353="",D2353=""),"",IF(D2353=_xlfn.MAXIFS($D$4:$D$2503,$A$4:$A$2503,A2353,$B$4:$B$2503,B2353),"Yes","No"))</f>
        <v/>
      </c>
      <c r="M2353" s="30">
        <f>IF(B2353="","",IFERROR(INDEX('Share classes'!$F$4:$F$203,MATCH(B2353,'Share classes'!$B$4:$B$203,0)),""))</f>
        <v/>
      </c>
      <c r="N2353" s="30">
        <f>IF(A2353="","",IF(K2353="","Unknown holder ID",IF(J2353="","Unknown class code",IF(OR(C2353="",D2353=""),"Missing shares or date",IF(OR(C2353&lt;0,C2353&lt;&gt;INT(C2353)),"Shares must be a whole number",IF(COUNTIFS($A$4:$A$2503,A2353,$B$4:$B$2503,B2353,$D$4:$D$2503,D2353)&gt;1,"Duplicate row (same date)","OK"))))))</f>
        <v/>
      </c>
    </row>
    <row r="2354">
      <c r="A2354" s="26" t="n"/>
      <c r="B2354" s="26" t="n"/>
      <c r="C2354" s="34" t="n"/>
      <c r="D2354" s="28" t="n"/>
      <c r="E2354" s="26" t="n"/>
      <c r="F2354" s="26" t="n"/>
      <c r="G2354" s="26" t="n"/>
      <c r="H2354" s="38" t="n"/>
      <c r="I2354" s="28" t="n"/>
      <c r="J2354" s="30">
        <f>IF(B2354="","",IFERROR(INDEX('Share classes'!$A$4:$A$203,MATCH(B2354,'Share classes'!$B$4:$B$203,0)),""))</f>
        <v/>
      </c>
      <c r="K2354" s="30">
        <f>IF(A2354="","",IFERROR(INDEX('Holders'!$B$4:$B$1003,MATCH(A2354,'Holders'!$A$4:$A$1003,0)),""))</f>
        <v/>
      </c>
      <c r="L2354" s="30">
        <f>IF(OR(A2354="",B2354="",D2354=""),"",IF(D2354=_xlfn.MAXIFS($D$4:$D$2503,$A$4:$A$2503,A2354,$B$4:$B$2503,B2354),"Yes","No"))</f>
        <v/>
      </c>
      <c r="M2354" s="30">
        <f>IF(B2354="","",IFERROR(INDEX('Share classes'!$F$4:$F$203,MATCH(B2354,'Share classes'!$B$4:$B$203,0)),""))</f>
        <v/>
      </c>
      <c r="N2354" s="30">
        <f>IF(A2354="","",IF(K2354="","Unknown holder ID",IF(J2354="","Unknown class code",IF(OR(C2354="",D2354=""),"Missing shares or date",IF(OR(C2354&lt;0,C2354&lt;&gt;INT(C2354)),"Shares must be a whole number",IF(COUNTIFS($A$4:$A$2503,A2354,$B$4:$B$2503,B2354,$D$4:$D$2503,D2354)&gt;1,"Duplicate row (same date)","OK"))))))</f>
        <v/>
      </c>
    </row>
    <row r="2355">
      <c r="A2355" s="26" t="n"/>
      <c r="B2355" s="26" t="n"/>
      <c r="C2355" s="34" t="n"/>
      <c r="D2355" s="28" t="n"/>
      <c r="E2355" s="26" t="n"/>
      <c r="F2355" s="26" t="n"/>
      <c r="G2355" s="26" t="n"/>
      <c r="H2355" s="38" t="n"/>
      <c r="I2355" s="28" t="n"/>
      <c r="J2355" s="30">
        <f>IF(B2355="","",IFERROR(INDEX('Share classes'!$A$4:$A$203,MATCH(B2355,'Share classes'!$B$4:$B$203,0)),""))</f>
        <v/>
      </c>
      <c r="K2355" s="30">
        <f>IF(A2355="","",IFERROR(INDEX('Holders'!$B$4:$B$1003,MATCH(A2355,'Holders'!$A$4:$A$1003,0)),""))</f>
        <v/>
      </c>
      <c r="L2355" s="30">
        <f>IF(OR(A2355="",B2355="",D2355=""),"",IF(D2355=_xlfn.MAXIFS($D$4:$D$2503,$A$4:$A$2503,A2355,$B$4:$B$2503,B2355),"Yes","No"))</f>
        <v/>
      </c>
      <c r="M2355" s="30">
        <f>IF(B2355="","",IFERROR(INDEX('Share classes'!$F$4:$F$203,MATCH(B2355,'Share classes'!$B$4:$B$203,0)),""))</f>
        <v/>
      </c>
      <c r="N2355" s="30">
        <f>IF(A2355="","",IF(K2355="","Unknown holder ID",IF(J2355="","Unknown class code",IF(OR(C2355="",D2355=""),"Missing shares or date",IF(OR(C2355&lt;0,C2355&lt;&gt;INT(C2355)),"Shares must be a whole number",IF(COUNTIFS($A$4:$A$2503,A2355,$B$4:$B$2503,B2355,$D$4:$D$2503,D2355)&gt;1,"Duplicate row (same date)","OK"))))))</f>
        <v/>
      </c>
    </row>
    <row r="2356">
      <c r="A2356" s="26" t="n"/>
      <c r="B2356" s="26" t="n"/>
      <c r="C2356" s="34" t="n"/>
      <c r="D2356" s="28" t="n"/>
      <c r="E2356" s="26" t="n"/>
      <c r="F2356" s="26" t="n"/>
      <c r="G2356" s="26" t="n"/>
      <c r="H2356" s="38" t="n"/>
      <c r="I2356" s="28" t="n"/>
      <c r="J2356" s="30">
        <f>IF(B2356="","",IFERROR(INDEX('Share classes'!$A$4:$A$203,MATCH(B2356,'Share classes'!$B$4:$B$203,0)),""))</f>
        <v/>
      </c>
      <c r="K2356" s="30">
        <f>IF(A2356="","",IFERROR(INDEX('Holders'!$B$4:$B$1003,MATCH(A2356,'Holders'!$A$4:$A$1003,0)),""))</f>
        <v/>
      </c>
      <c r="L2356" s="30">
        <f>IF(OR(A2356="",B2356="",D2356=""),"",IF(D2356=_xlfn.MAXIFS($D$4:$D$2503,$A$4:$A$2503,A2356,$B$4:$B$2503,B2356),"Yes","No"))</f>
        <v/>
      </c>
      <c r="M2356" s="30">
        <f>IF(B2356="","",IFERROR(INDEX('Share classes'!$F$4:$F$203,MATCH(B2356,'Share classes'!$B$4:$B$203,0)),""))</f>
        <v/>
      </c>
      <c r="N2356" s="30">
        <f>IF(A2356="","",IF(K2356="","Unknown holder ID",IF(J2356="","Unknown class code",IF(OR(C2356="",D2356=""),"Missing shares or date",IF(OR(C2356&lt;0,C2356&lt;&gt;INT(C2356)),"Shares must be a whole number",IF(COUNTIFS($A$4:$A$2503,A2356,$B$4:$B$2503,B2356,$D$4:$D$2503,D2356)&gt;1,"Duplicate row (same date)","OK"))))))</f>
        <v/>
      </c>
    </row>
    <row r="2357">
      <c r="A2357" s="26" t="n"/>
      <c r="B2357" s="26" t="n"/>
      <c r="C2357" s="34" t="n"/>
      <c r="D2357" s="28" t="n"/>
      <c r="E2357" s="26" t="n"/>
      <c r="F2357" s="26" t="n"/>
      <c r="G2357" s="26" t="n"/>
      <c r="H2357" s="38" t="n"/>
      <c r="I2357" s="28" t="n"/>
      <c r="J2357" s="30">
        <f>IF(B2357="","",IFERROR(INDEX('Share classes'!$A$4:$A$203,MATCH(B2357,'Share classes'!$B$4:$B$203,0)),""))</f>
        <v/>
      </c>
      <c r="K2357" s="30">
        <f>IF(A2357="","",IFERROR(INDEX('Holders'!$B$4:$B$1003,MATCH(A2357,'Holders'!$A$4:$A$1003,0)),""))</f>
        <v/>
      </c>
      <c r="L2357" s="30">
        <f>IF(OR(A2357="",B2357="",D2357=""),"",IF(D2357=_xlfn.MAXIFS($D$4:$D$2503,$A$4:$A$2503,A2357,$B$4:$B$2503,B2357),"Yes","No"))</f>
        <v/>
      </c>
      <c r="M2357" s="30">
        <f>IF(B2357="","",IFERROR(INDEX('Share classes'!$F$4:$F$203,MATCH(B2357,'Share classes'!$B$4:$B$203,0)),""))</f>
        <v/>
      </c>
      <c r="N2357" s="30">
        <f>IF(A2357="","",IF(K2357="","Unknown holder ID",IF(J2357="","Unknown class code",IF(OR(C2357="",D2357=""),"Missing shares or date",IF(OR(C2357&lt;0,C2357&lt;&gt;INT(C2357)),"Shares must be a whole number",IF(COUNTIFS($A$4:$A$2503,A2357,$B$4:$B$2503,B2357,$D$4:$D$2503,D2357)&gt;1,"Duplicate row (same date)","OK"))))))</f>
        <v/>
      </c>
    </row>
    <row r="2358">
      <c r="A2358" s="26" t="n"/>
      <c r="B2358" s="26" t="n"/>
      <c r="C2358" s="34" t="n"/>
      <c r="D2358" s="28" t="n"/>
      <c r="E2358" s="26" t="n"/>
      <c r="F2358" s="26" t="n"/>
      <c r="G2358" s="26" t="n"/>
      <c r="H2358" s="38" t="n"/>
      <c r="I2358" s="28" t="n"/>
      <c r="J2358" s="30">
        <f>IF(B2358="","",IFERROR(INDEX('Share classes'!$A$4:$A$203,MATCH(B2358,'Share classes'!$B$4:$B$203,0)),""))</f>
        <v/>
      </c>
      <c r="K2358" s="30">
        <f>IF(A2358="","",IFERROR(INDEX('Holders'!$B$4:$B$1003,MATCH(A2358,'Holders'!$A$4:$A$1003,0)),""))</f>
        <v/>
      </c>
      <c r="L2358" s="30">
        <f>IF(OR(A2358="",B2358="",D2358=""),"",IF(D2358=_xlfn.MAXIFS($D$4:$D$2503,$A$4:$A$2503,A2358,$B$4:$B$2503,B2358),"Yes","No"))</f>
        <v/>
      </c>
      <c r="M2358" s="30">
        <f>IF(B2358="","",IFERROR(INDEX('Share classes'!$F$4:$F$203,MATCH(B2358,'Share classes'!$B$4:$B$203,0)),""))</f>
        <v/>
      </c>
      <c r="N2358" s="30">
        <f>IF(A2358="","",IF(K2358="","Unknown holder ID",IF(J2358="","Unknown class code",IF(OR(C2358="",D2358=""),"Missing shares or date",IF(OR(C2358&lt;0,C2358&lt;&gt;INT(C2358)),"Shares must be a whole number",IF(COUNTIFS($A$4:$A$2503,A2358,$B$4:$B$2503,B2358,$D$4:$D$2503,D2358)&gt;1,"Duplicate row (same date)","OK"))))))</f>
        <v/>
      </c>
    </row>
    <row r="2359">
      <c r="A2359" s="26" t="n"/>
      <c r="B2359" s="26" t="n"/>
      <c r="C2359" s="34" t="n"/>
      <c r="D2359" s="28" t="n"/>
      <c r="E2359" s="26" t="n"/>
      <c r="F2359" s="26" t="n"/>
      <c r="G2359" s="26" t="n"/>
      <c r="H2359" s="38" t="n"/>
      <c r="I2359" s="28" t="n"/>
      <c r="J2359" s="30">
        <f>IF(B2359="","",IFERROR(INDEX('Share classes'!$A$4:$A$203,MATCH(B2359,'Share classes'!$B$4:$B$203,0)),""))</f>
        <v/>
      </c>
      <c r="K2359" s="30">
        <f>IF(A2359="","",IFERROR(INDEX('Holders'!$B$4:$B$1003,MATCH(A2359,'Holders'!$A$4:$A$1003,0)),""))</f>
        <v/>
      </c>
      <c r="L2359" s="30">
        <f>IF(OR(A2359="",B2359="",D2359=""),"",IF(D2359=_xlfn.MAXIFS($D$4:$D$2503,$A$4:$A$2503,A2359,$B$4:$B$2503,B2359),"Yes","No"))</f>
        <v/>
      </c>
      <c r="M2359" s="30">
        <f>IF(B2359="","",IFERROR(INDEX('Share classes'!$F$4:$F$203,MATCH(B2359,'Share classes'!$B$4:$B$203,0)),""))</f>
        <v/>
      </c>
      <c r="N2359" s="30">
        <f>IF(A2359="","",IF(K2359="","Unknown holder ID",IF(J2359="","Unknown class code",IF(OR(C2359="",D2359=""),"Missing shares or date",IF(OR(C2359&lt;0,C2359&lt;&gt;INT(C2359)),"Shares must be a whole number",IF(COUNTIFS($A$4:$A$2503,A2359,$B$4:$B$2503,B2359,$D$4:$D$2503,D2359)&gt;1,"Duplicate row (same date)","OK"))))))</f>
        <v/>
      </c>
    </row>
    <row r="2360">
      <c r="A2360" s="26" t="n"/>
      <c r="B2360" s="26" t="n"/>
      <c r="C2360" s="34" t="n"/>
      <c r="D2360" s="28" t="n"/>
      <c r="E2360" s="26" t="n"/>
      <c r="F2360" s="26" t="n"/>
      <c r="G2360" s="26" t="n"/>
      <c r="H2360" s="38" t="n"/>
      <c r="I2360" s="28" t="n"/>
      <c r="J2360" s="30">
        <f>IF(B2360="","",IFERROR(INDEX('Share classes'!$A$4:$A$203,MATCH(B2360,'Share classes'!$B$4:$B$203,0)),""))</f>
        <v/>
      </c>
      <c r="K2360" s="30">
        <f>IF(A2360="","",IFERROR(INDEX('Holders'!$B$4:$B$1003,MATCH(A2360,'Holders'!$A$4:$A$1003,0)),""))</f>
        <v/>
      </c>
      <c r="L2360" s="30">
        <f>IF(OR(A2360="",B2360="",D2360=""),"",IF(D2360=_xlfn.MAXIFS($D$4:$D$2503,$A$4:$A$2503,A2360,$B$4:$B$2503,B2360),"Yes","No"))</f>
        <v/>
      </c>
      <c r="M2360" s="30">
        <f>IF(B2360="","",IFERROR(INDEX('Share classes'!$F$4:$F$203,MATCH(B2360,'Share classes'!$B$4:$B$203,0)),""))</f>
        <v/>
      </c>
      <c r="N2360" s="30">
        <f>IF(A2360="","",IF(K2360="","Unknown holder ID",IF(J2360="","Unknown class code",IF(OR(C2360="",D2360=""),"Missing shares or date",IF(OR(C2360&lt;0,C2360&lt;&gt;INT(C2360)),"Shares must be a whole number",IF(COUNTIFS($A$4:$A$2503,A2360,$B$4:$B$2503,B2360,$D$4:$D$2503,D2360)&gt;1,"Duplicate row (same date)","OK"))))))</f>
        <v/>
      </c>
    </row>
    <row r="2361">
      <c r="A2361" s="26" t="n"/>
      <c r="B2361" s="26" t="n"/>
      <c r="C2361" s="34" t="n"/>
      <c r="D2361" s="28" t="n"/>
      <c r="E2361" s="26" t="n"/>
      <c r="F2361" s="26" t="n"/>
      <c r="G2361" s="26" t="n"/>
      <c r="H2361" s="38" t="n"/>
      <c r="I2361" s="28" t="n"/>
      <c r="J2361" s="30">
        <f>IF(B2361="","",IFERROR(INDEX('Share classes'!$A$4:$A$203,MATCH(B2361,'Share classes'!$B$4:$B$203,0)),""))</f>
        <v/>
      </c>
      <c r="K2361" s="30">
        <f>IF(A2361="","",IFERROR(INDEX('Holders'!$B$4:$B$1003,MATCH(A2361,'Holders'!$A$4:$A$1003,0)),""))</f>
        <v/>
      </c>
      <c r="L2361" s="30">
        <f>IF(OR(A2361="",B2361="",D2361=""),"",IF(D2361=_xlfn.MAXIFS($D$4:$D$2503,$A$4:$A$2503,A2361,$B$4:$B$2503,B2361),"Yes","No"))</f>
        <v/>
      </c>
      <c r="M2361" s="30">
        <f>IF(B2361="","",IFERROR(INDEX('Share classes'!$F$4:$F$203,MATCH(B2361,'Share classes'!$B$4:$B$203,0)),""))</f>
        <v/>
      </c>
      <c r="N2361" s="30">
        <f>IF(A2361="","",IF(K2361="","Unknown holder ID",IF(J2361="","Unknown class code",IF(OR(C2361="",D2361=""),"Missing shares or date",IF(OR(C2361&lt;0,C2361&lt;&gt;INT(C2361)),"Shares must be a whole number",IF(COUNTIFS($A$4:$A$2503,A2361,$B$4:$B$2503,B2361,$D$4:$D$2503,D2361)&gt;1,"Duplicate row (same date)","OK"))))))</f>
        <v/>
      </c>
    </row>
    <row r="2362">
      <c r="A2362" s="26" t="n"/>
      <c r="B2362" s="26" t="n"/>
      <c r="C2362" s="34" t="n"/>
      <c r="D2362" s="28" t="n"/>
      <c r="E2362" s="26" t="n"/>
      <c r="F2362" s="26" t="n"/>
      <c r="G2362" s="26" t="n"/>
      <c r="H2362" s="38" t="n"/>
      <c r="I2362" s="28" t="n"/>
      <c r="J2362" s="30">
        <f>IF(B2362="","",IFERROR(INDEX('Share classes'!$A$4:$A$203,MATCH(B2362,'Share classes'!$B$4:$B$203,0)),""))</f>
        <v/>
      </c>
      <c r="K2362" s="30">
        <f>IF(A2362="","",IFERROR(INDEX('Holders'!$B$4:$B$1003,MATCH(A2362,'Holders'!$A$4:$A$1003,0)),""))</f>
        <v/>
      </c>
      <c r="L2362" s="30">
        <f>IF(OR(A2362="",B2362="",D2362=""),"",IF(D2362=_xlfn.MAXIFS($D$4:$D$2503,$A$4:$A$2503,A2362,$B$4:$B$2503,B2362),"Yes","No"))</f>
        <v/>
      </c>
      <c r="M2362" s="30">
        <f>IF(B2362="","",IFERROR(INDEX('Share classes'!$F$4:$F$203,MATCH(B2362,'Share classes'!$B$4:$B$203,0)),""))</f>
        <v/>
      </c>
      <c r="N2362" s="30">
        <f>IF(A2362="","",IF(K2362="","Unknown holder ID",IF(J2362="","Unknown class code",IF(OR(C2362="",D2362=""),"Missing shares or date",IF(OR(C2362&lt;0,C2362&lt;&gt;INT(C2362)),"Shares must be a whole number",IF(COUNTIFS($A$4:$A$2503,A2362,$B$4:$B$2503,B2362,$D$4:$D$2503,D2362)&gt;1,"Duplicate row (same date)","OK"))))))</f>
        <v/>
      </c>
    </row>
    <row r="2363">
      <c r="A2363" s="26" t="n"/>
      <c r="B2363" s="26" t="n"/>
      <c r="C2363" s="34" t="n"/>
      <c r="D2363" s="28" t="n"/>
      <c r="E2363" s="26" t="n"/>
      <c r="F2363" s="26" t="n"/>
      <c r="G2363" s="26" t="n"/>
      <c r="H2363" s="38" t="n"/>
      <c r="I2363" s="28" t="n"/>
      <c r="J2363" s="30">
        <f>IF(B2363="","",IFERROR(INDEX('Share classes'!$A$4:$A$203,MATCH(B2363,'Share classes'!$B$4:$B$203,0)),""))</f>
        <v/>
      </c>
      <c r="K2363" s="30">
        <f>IF(A2363="","",IFERROR(INDEX('Holders'!$B$4:$B$1003,MATCH(A2363,'Holders'!$A$4:$A$1003,0)),""))</f>
        <v/>
      </c>
      <c r="L2363" s="30">
        <f>IF(OR(A2363="",B2363="",D2363=""),"",IF(D2363=_xlfn.MAXIFS($D$4:$D$2503,$A$4:$A$2503,A2363,$B$4:$B$2503,B2363),"Yes","No"))</f>
        <v/>
      </c>
      <c r="M2363" s="30">
        <f>IF(B2363="","",IFERROR(INDEX('Share classes'!$F$4:$F$203,MATCH(B2363,'Share classes'!$B$4:$B$203,0)),""))</f>
        <v/>
      </c>
      <c r="N2363" s="30">
        <f>IF(A2363="","",IF(K2363="","Unknown holder ID",IF(J2363="","Unknown class code",IF(OR(C2363="",D2363=""),"Missing shares or date",IF(OR(C2363&lt;0,C2363&lt;&gt;INT(C2363)),"Shares must be a whole number",IF(COUNTIFS($A$4:$A$2503,A2363,$B$4:$B$2503,B2363,$D$4:$D$2503,D2363)&gt;1,"Duplicate row (same date)","OK"))))))</f>
        <v/>
      </c>
    </row>
    <row r="2364">
      <c r="A2364" s="26" t="n"/>
      <c r="B2364" s="26" t="n"/>
      <c r="C2364" s="34" t="n"/>
      <c r="D2364" s="28" t="n"/>
      <c r="E2364" s="26" t="n"/>
      <c r="F2364" s="26" t="n"/>
      <c r="G2364" s="26" t="n"/>
      <c r="H2364" s="38" t="n"/>
      <c r="I2364" s="28" t="n"/>
      <c r="J2364" s="30">
        <f>IF(B2364="","",IFERROR(INDEX('Share classes'!$A$4:$A$203,MATCH(B2364,'Share classes'!$B$4:$B$203,0)),""))</f>
        <v/>
      </c>
      <c r="K2364" s="30">
        <f>IF(A2364="","",IFERROR(INDEX('Holders'!$B$4:$B$1003,MATCH(A2364,'Holders'!$A$4:$A$1003,0)),""))</f>
        <v/>
      </c>
      <c r="L2364" s="30">
        <f>IF(OR(A2364="",B2364="",D2364=""),"",IF(D2364=_xlfn.MAXIFS($D$4:$D$2503,$A$4:$A$2503,A2364,$B$4:$B$2503,B2364),"Yes","No"))</f>
        <v/>
      </c>
      <c r="M2364" s="30">
        <f>IF(B2364="","",IFERROR(INDEX('Share classes'!$F$4:$F$203,MATCH(B2364,'Share classes'!$B$4:$B$203,0)),""))</f>
        <v/>
      </c>
      <c r="N2364" s="30">
        <f>IF(A2364="","",IF(K2364="","Unknown holder ID",IF(J2364="","Unknown class code",IF(OR(C2364="",D2364=""),"Missing shares or date",IF(OR(C2364&lt;0,C2364&lt;&gt;INT(C2364)),"Shares must be a whole number",IF(COUNTIFS($A$4:$A$2503,A2364,$B$4:$B$2503,B2364,$D$4:$D$2503,D2364)&gt;1,"Duplicate row (same date)","OK"))))))</f>
        <v/>
      </c>
    </row>
    <row r="2365">
      <c r="A2365" s="26" t="n"/>
      <c r="B2365" s="26" t="n"/>
      <c r="C2365" s="34" t="n"/>
      <c r="D2365" s="28" t="n"/>
      <c r="E2365" s="26" t="n"/>
      <c r="F2365" s="26" t="n"/>
      <c r="G2365" s="26" t="n"/>
      <c r="H2365" s="38" t="n"/>
      <c r="I2365" s="28" t="n"/>
      <c r="J2365" s="30">
        <f>IF(B2365="","",IFERROR(INDEX('Share classes'!$A$4:$A$203,MATCH(B2365,'Share classes'!$B$4:$B$203,0)),""))</f>
        <v/>
      </c>
      <c r="K2365" s="30">
        <f>IF(A2365="","",IFERROR(INDEX('Holders'!$B$4:$B$1003,MATCH(A2365,'Holders'!$A$4:$A$1003,0)),""))</f>
        <v/>
      </c>
      <c r="L2365" s="30">
        <f>IF(OR(A2365="",B2365="",D2365=""),"",IF(D2365=_xlfn.MAXIFS($D$4:$D$2503,$A$4:$A$2503,A2365,$B$4:$B$2503,B2365),"Yes","No"))</f>
        <v/>
      </c>
      <c r="M2365" s="30">
        <f>IF(B2365="","",IFERROR(INDEX('Share classes'!$F$4:$F$203,MATCH(B2365,'Share classes'!$B$4:$B$203,0)),""))</f>
        <v/>
      </c>
      <c r="N2365" s="30">
        <f>IF(A2365="","",IF(K2365="","Unknown holder ID",IF(J2365="","Unknown class code",IF(OR(C2365="",D2365=""),"Missing shares or date",IF(OR(C2365&lt;0,C2365&lt;&gt;INT(C2365)),"Shares must be a whole number",IF(COUNTIFS($A$4:$A$2503,A2365,$B$4:$B$2503,B2365,$D$4:$D$2503,D2365)&gt;1,"Duplicate row (same date)","OK"))))))</f>
        <v/>
      </c>
    </row>
    <row r="2366">
      <c r="A2366" s="26" t="n"/>
      <c r="B2366" s="26" t="n"/>
      <c r="C2366" s="34" t="n"/>
      <c r="D2366" s="28" t="n"/>
      <c r="E2366" s="26" t="n"/>
      <c r="F2366" s="26" t="n"/>
      <c r="G2366" s="26" t="n"/>
      <c r="H2366" s="38" t="n"/>
      <c r="I2366" s="28" t="n"/>
      <c r="J2366" s="30">
        <f>IF(B2366="","",IFERROR(INDEX('Share classes'!$A$4:$A$203,MATCH(B2366,'Share classes'!$B$4:$B$203,0)),""))</f>
        <v/>
      </c>
      <c r="K2366" s="30">
        <f>IF(A2366="","",IFERROR(INDEX('Holders'!$B$4:$B$1003,MATCH(A2366,'Holders'!$A$4:$A$1003,0)),""))</f>
        <v/>
      </c>
      <c r="L2366" s="30">
        <f>IF(OR(A2366="",B2366="",D2366=""),"",IF(D2366=_xlfn.MAXIFS($D$4:$D$2503,$A$4:$A$2503,A2366,$B$4:$B$2503,B2366),"Yes","No"))</f>
        <v/>
      </c>
      <c r="M2366" s="30">
        <f>IF(B2366="","",IFERROR(INDEX('Share classes'!$F$4:$F$203,MATCH(B2366,'Share classes'!$B$4:$B$203,0)),""))</f>
        <v/>
      </c>
      <c r="N2366" s="30">
        <f>IF(A2366="","",IF(K2366="","Unknown holder ID",IF(J2366="","Unknown class code",IF(OR(C2366="",D2366=""),"Missing shares or date",IF(OR(C2366&lt;0,C2366&lt;&gt;INT(C2366)),"Shares must be a whole number",IF(COUNTIFS($A$4:$A$2503,A2366,$B$4:$B$2503,B2366,$D$4:$D$2503,D2366)&gt;1,"Duplicate row (same date)","OK"))))))</f>
        <v/>
      </c>
    </row>
    <row r="2367">
      <c r="A2367" s="26" t="n"/>
      <c r="B2367" s="26" t="n"/>
      <c r="C2367" s="34" t="n"/>
      <c r="D2367" s="28" t="n"/>
      <c r="E2367" s="26" t="n"/>
      <c r="F2367" s="26" t="n"/>
      <c r="G2367" s="26" t="n"/>
      <c r="H2367" s="38" t="n"/>
      <c r="I2367" s="28" t="n"/>
      <c r="J2367" s="30">
        <f>IF(B2367="","",IFERROR(INDEX('Share classes'!$A$4:$A$203,MATCH(B2367,'Share classes'!$B$4:$B$203,0)),""))</f>
        <v/>
      </c>
      <c r="K2367" s="30">
        <f>IF(A2367="","",IFERROR(INDEX('Holders'!$B$4:$B$1003,MATCH(A2367,'Holders'!$A$4:$A$1003,0)),""))</f>
        <v/>
      </c>
      <c r="L2367" s="30">
        <f>IF(OR(A2367="",B2367="",D2367=""),"",IF(D2367=_xlfn.MAXIFS($D$4:$D$2503,$A$4:$A$2503,A2367,$B$4:$B$2503,B2367),"Yes","No"))</f>
        <v/>
      </c>
      <c r="M2367" s="30">
        <f>IF(B2367="","",IFERROR(INDEX('Share classes'!$F$4:$F$203,MATCH(B2367,'Share classes'!$B$4:$B$203,0)),""))</f>
        <v/>
      </c>
      <c r="N2367" s="30">
        <f>IF(A2367="","",IF(K2367="","Unknown holder ID",IF(J2367="","Unknown class code",IF(OR(C2367="",D2367=""),"Missing shares or date",IF(OR(C2367&lt;0,C2367&lt;&gt;INT(C2367)),"Shares must be a whole number",IF(COUNTIFS($A$4:$A$2503,A2367,$B$4:$B$2503,B2367,$D$4:$D$2503,D2367)&gt;1,"Duplicate row (same date)","OK"))))))</f>
        <v/>
      </c>
    </row>
    <row r="2368">
      <c r="A2368" s="26" t="n"/>
      <c r="B2368" s="26" t="n"/>
      <c r="C2368" s="34" t="n"/>
      <c r="D2368" s="28" t="n"/>
      <c r="E2368" s="26" t="n"/>
      <c r="F2368" s="26" t="n"/>
      <c r="G2368" s="26" t="n"/>
      <c r="H2368" s="38" t="n"/>
      <c r="I2368" s="28" t="n"/>
      <c r="J2368" s="30">
        <f>IF(B2368="","",IFERROR(INDEX('Share classes'!$A$4:$A$203,MATCH(B2368,'Share classes'!$B$4:$B$203,0)),""))</f>
        <v/>
      </c>
      <c r="K2368" s="30">
        <f>IF(A2368="","",IFERROR(INDEX('Holders'!$B$4:$B$1003,MATCH(A2368,'Holders'!$A$4:$A$1003,0)),""))</f>
        <v/>
      </c>
      <c r="L2368" s="30">
        <f>IF(OR(A2368="",B2368="",D2368=""),"",IF(D2368=_xlfn.MAXIFS($D$4:$D$2503,$A$4:$A$2503,A2368,$B$4:$B$2503,B2368),"Yes","No"))</f>
        <v/>
      </c>
      <c r="M2368" s="30">
        <f>IF(B2368="","",IFERROR(INDEX('Share classes'!$F$4:$F$203,MATCH(B2368,'Share classes'!$B$4:$B$203,0)),""))</f>
        <v/>
      </c>
      <c r="N2368" s="30">
        <f>IF(A2368="","",IF(K2368="","Unknown holder ID",IF(J2368="","Unknown class code",IF(OR(C2368="",D2368=""),"Missing shares or date",IF(OR(C2368&lt;0,C2368&lt;&gt;INT(C2368)),"Shares must be a whole number",IF(COUNTIFS($A$4:$A$2503,A2368,$B$4:$B$2503,B2368,$D$4:$D$2503,D2368)&gt;1,"Duplicate row (same date)","OK"))))))</f>
        <v/>
      </c>
    </row>
    <row r="2369">
      <c r="A2369" s="26" t="n"/>
      <c r="B2369" s="26" t="n"/>
      <c r="C2369" s="34" t="n"/>
      <c r="D2369" s="28" t="n"/>
      <c r="E2369" s="26" t="n"/>
      <c r="F2369" s="26" t="n"/>
      <c r="G2369" s="26" t="n"/>
      <c r="H2369" s="38" t="n"/>
      <c r="I2369" s="28" t="n"/>
      <c r="J2369" s="30">
        <f>IF(B2369="","",IFERROR(INDEX('Share classes'!$A$4:$A$203,MATCH(B2369,'Share classes'!$B$4:$B$203,0)),""))</f>
        <v/>
      </c>
      <c r="K2369" s="30">
        <f>IF(A2369="","",IFERROR(INDEX('Holders'!$B$4:$B$1003,MATCH(A2369,'Holders'!$A$4:$A$1003,0)),""))</f>
        <v/>
      </c>
      <c r="L2369" s="30">
        <f>IF(OR(A2369="",B2369="",D2369=""),"",IF(D2369=_xlfn.MAXIFS($D$4:$D$2503,$A$4:$A$2503,A2369,$B$4:$B$2503,B2369),"Yes","No"))</f>
        <v/>
      </c>
      <c r="M2369" s="30">
        <f>IF(B2369="","",IFERROR(INDEX('Share classes'!$F$4:$F$203,MATCH(B2369,'Share classes'!$B$4:$B$203,0)),""))</f>
        <v/>
      </c>
      <c r="N2369" s="30">
        <f>IF(A2369="","",IF(K2369="","Unknown holder ID",IF(J2369="","Unknown class code",IF(OR(C2369="",D2369=""),"Missing shares or date",IF(OR(C2369&lt;0,C2369&lt;&gt;INT(C2369)),"Shares must be a whole number",IF(COUNTIFS($A$4:$A$2503,A2369,$B$4:$B$2503,B2369,$D$4:$D$2503,D2369)&gt;1,"Duplicate row (same date)","OK"))))))</f>
        <v/>
      </c>
    </row>
    <row r="2370">
      <c r="A2370" s="26" t="n"/>
      <c r="B2370" s="26" t="n"/>
      <c r="C2370" s="34" t="n"/>
      <c r="D2370" s="28" t="n"/>
      <c r="E2370" s="26" t="n"/>
      <c r="F2370" s="26" t="n"/>
      <c r="G2370" s="26" t="n"/>
      <c r="H2370" s="38" t="n"/>
      <c r="I2370" s="28" t="n"/>
      <c r="J2370" s="30">
        <f>IF(B2370="","",IFERROR(INDEX('Share classes'!$A$4:$A$203,MATCH(B2370,'Share classes'!$B$4:$B$203,0)),""))</f>
        <v/>
      </c>
      <c r="K2370" s="30">
        <f>IF(A2370="","",IFERROR(INDEX('Holders'!$B$4:$B$1003,MATCH(A2370,'Holders'!$A$4:$A$1003,0)),""))</f>
        <v/>
      </c>
      <c r="L2370" s="30">
        <f>IF(OR(A2370="",B2370="",D2370=""),"",IF(D2370=_xlfn.MAXIFS($D$4:$D$2503,$A$4:$A$2503,A2370,$B$4:$B$2503,B2370),"Yes","No"))</f>
        <v/>
      </c>
      <c r="M2370" s="30">
        <f>IF(B2370="","",IFERROR(INDEX('Share classes'!$F$4:$F$203,MATCH(B2370,'Share classes'!$B$4:$B$203,0)),""))</f>
        <v/>
      </c>
      <c r="N2370" s="30">
        <f>IF(A2370="","",IF(K2370="","Unknown holder ID",IF(J2370="","Unknown class code",IF(OR(C2370="",D2370=""),"Missing shares or date",IF(OR(C2370&lt;0,C2370&lt;&gt;INT(C2370)),"Shares must be a whole number",IF(COUNTIFS($A$4:$A$2503,A2370,$B$4:$B$2503,B2370,$D$4:$D$2503,D2370)&gt;1,"Duplicate row (same date)","OK"))))))</f>
        <v/>
      </c>
    </row>
    <row r="2371">
      <c r="A2371" s="26" t="n"/>
      <c r="B2371" s="26" t="n"/>
      <c r="C2371" s="34" t="n"/>
      <c r="D2371" s="28" t="n"/>
      <c r="E2371" s="26" t="n"/>
      <c r="F2371" s="26" t="n"/>
      <c r="G2371" s="26" t="n"/>
      <c r="H2371" s="38" t="n"/>
      <c r="I2371" s="28" t="n"/>
      <c r="J2371" s="30">
        <f>IF(B2371="","",IFERROR(INDEX('Share classes'!$A$4:$A$203,MATCH(B2371,'Share classes'!$B$4:$B$203,0)),""))</f>
        <v/>
      </c>
      <c r="K2371" s="30">
        <f>IF(A2371="","",IFERROR(INDEX('Holders'!$B$4:$B$1003,MATCH(A2371,'Holders'!$A$4:$A$1003,0)),""))</f>
        <v/>
      </c>
      <c r="L2371" s="30">
        <f>IF(OR(A2371="",B2371="",D2371=""),"",IF(D2371=_xlfn.MAXIFS($D$4:$D$2503,$A$4:$A$2503,A2371,$B$4:$B$2503,B2371),"Yes","No"))</f>
        <v/>
      </c>
      <c r="M2371" s="30">
        <f>IF(B2371="","",IFERROR(INDEX('Share classes'!$F$4:$F$203,MATCH(B2371,'Share classes'!$B$4:$B$203,0)),""))</f>
        <v/>
      </c>
      <c r="N2371" s="30">
        <f>IF(A2371="","",IF(K2371="","Unknown holder ID",IF(J2371="","Unknown class code",IF(OR(C2371="",D2371=""),"Missing shares or date",IF(OR(C2371&lt;0,C2371&lt;&gt;INT(C2371)),"Shares must be a whole number",IF(COUNTIFS($A$4:$A$2503,A2371,$B$4:$B$2503,B2371,$D$4:$D$2503,D2371)&gt;1,"Duplicate row (same date)","OK"))))))</f>
        <v/>
      </c>
    </row>
    <row r="2372">
      <c r="A2372" s="26" t="n"/>
      <c r="B2372" s="26" t="n"/>
      <c r="C2372" s="34" t="n"/>
      <c r="D2372" s="28" t="n"/>
      <c r="E2372" s="26" t="n"/>
      <c r="F2372" s="26" t="n"/>
      <c r="G2372" s="26" t="n"/>
      <c r="H2372" s="38" t="n"/>
      <c r="I2372" s="28" t="n"/>
      <c r="J2372" s="30">
        <f>IF(B2372="","",IFERROR(INDEX('Share classes'!$A$4:$A$203,MATCH(B2372,'Share classes'!$B$4:$B$203,0)),""))</f>
        <v/>
      </c>
      <c r="K2372" s="30">
        <f>IF(A2372="","",IFERROR(INDEX('Holders'!$B$4:$B$1003,MATCH(A2372,'Holders'!$A$4:$A$1003,0)),""))</f>
        <v/>
      </c>
      <c r="L2372" s="30">
        <f>IF(OR(A2372="",B2372="",D2372=""),"",IF(D2372=_xlfn.MAXIFS($D$4:$D$2503,$A$4:$A$2503,A2372,$B$4:$B$2503,B2372),"Yes","No"))</f>
        <v/>
      </c>
      <c r="M2372" s="30">
        <f>IF(B2372="","",IFERROR(INDEX('Share classes'!$F$4:$F$203,MATCH(B2372,'Share classes'!$B$4:$B$203,0)),""))</f>
        <v/>
      </c>
      <c r="N2372" s="30">
        <f>IF(A2372="","",IF(K2372="","Unknown holder ID",IF(J2372="","Unknown class code",IF(OR(C2372="",D2372=""),"Missing shares or date",IF(OR(C2372&lt;0,C2372&lt;&gt;INT(C2372)),"Shares must be a whole number",IF(COUNTIFS($A$4:$A$2503,A2372,$B$4:$B$2503,B2372,$D$4:$D$2503,D2372)&gt;1,"Duplicate row (same date)","OK"))))))</f>
        <v/>
      </c>
    </row>
    <row r="2373">
      <c r="A2373" s="26" t="n"/>
      <c r="B2373" s="26" t="n"/>
      <c r="C2373" s="34" t="n"/>
      <c r="D2373" s="28" t="n"/>
      <c r="E2373" s="26" t="n"/>
      <c r="F2373" s="26" t="n"/>
      <c r="G2373" s="26" t="n"/>
      <c r="H2373" s="38" t="n"/>
      <c r="I2373" s="28" t="n"/>
      <c r="J2373" s="30">
        <f>IF(B2373="","",IFERROR(INDEX('Share classes'!$A$4:$A$203,MATCH(B2373,'Share classes'!$B$4:$B$203,0)),""))</f>
        <v/>
      </c>
      <c r="K2373" s="30">
        <f>IF(A2373="","",IFERROR(INDEX('Holders'!$B$4:$B$1003,MATCH(A2373,'Holders'!$A$4:$A$1003,0)),""))</f>
        <v/>
      </c>
      <c r="L2373" s="30">
        <f>IF(OR(A2373="",B2373="",D2373=""),"",IF(D2373=_xlfn.MAXIFS($D$4:$D$2503,$A$4:$A$2503,A2373,$B$4:$B$2503,B2373),"Yes","No"))</f>
        <v/>
      </c>
      <c r="M2373" s="30">
        <f>IF(B2373="","",IFERROR(INDEX('Share classes'!$F$4:$F$203,MATCH(B2373,'Share classes'!$B$4:$B$203,0)),""))</f>
        <v/>
      </c>
      <c r="N2373" s="30">
        <f>IF(A2373="","",IF(K2373="","Unknown holder ID",IF(J2373="","Unknown class code",IF(OR(C2373="",D2373=""),"Missing shares or date",IF(OR(C2373&lt;0,C2373&lt;&gt;INT(C2373)),"Shares must be a whole number",IF(COUNTIFS($A$4:$A$2503,A2373,$B$4:$B$2503,B2373,$D$4:$D$2503,D2373)&gt;1,"Duplicate row (same date)","OK"))))))</f>
        <v/>
      </c>
    </row>
    <row r="2374">
      <c r="A2374" s="26" t="n"/>
      <c r="B2374" s="26" t="n"/>
      <c r="C2374" s="34" t="n"/>
      <c r="D2374" s="28" t="n"/>
      <c r="E2374" s="26" t="n"/>
      <c r="F2374" s="26" t="n"/>
      <c r="G2374" s="26" t="n"/>
      <c r="H2374" s="38" t="n"/>
      <c r="I2374" s="28" t="n"/>
      <c r="J2374" s="30">
        <f>IF(B2374="","",IFERROR(INDEX('Share classes'!$A$4:$A$203,MATCH(B2374,'Share classes'!$B$4:$B$203,0)),""))</f>
        <v/>
      </c>
      <c r="K2374" s="30">
        <f>IF(A2374="","",IFERROR(INDEX('Holders'!$B$4:$B$1003,MATCH(A2374,'Holders'!$A$4:$A$1003,0)),""))</f>
        <v/>
      </c>
      <c r="L2374" s="30">
        <f>IF(OR(A2374="",B2374="",D2374=""),"",IF(D2374=_xlfn.MAXIFS($D$4:$D$2503,$A$4:$A$2503,A2374,$B$4:$B$2503,B2374),"Yes","No"))</f>
        <v/>
      </c>
      <c r="M2374" s="30">
        <f>IF(B2374="","",IFERROR(INDEX('Share classes'!$F$4:$F$203,MATCH(B2374,'Share classes'!$B$4:$B$203,0)),""))</f>
        <v/>
      </c>
      <c r="N2374" s="30">
        <f>IF(A2374="","",IF(K2374="","Unknown holder ID",IF(J2374="","Unknown class code",IF(OR(C2374="",D2374=""),"Missing shares or date",IF(OR(C2374&lt;0,C2374&lt;&gt;INT(C2374)),"Shares must be a whole number",IF(COUNTIFS($A$4:$A$2503,A2374,$B$4:$B$2503,B2374,$D$4:$D$2503,D2374)&gt;1,"Duplicate row (same date)","OK"))))))</f>
        <v/>
      </c>
    </row>
    <row r="2375">
      <c r="A2375" s="26" t="n"/>
      <c r="B2375" s="26" t="n"/>
      <c r="C2375" s="34" t="n"/>
      <c r="D2375" s="28" t="n"/>
      <c r="E2375" s="26" t="n"/>
      <c r="F2375" s="26" t="n"/>
      <c r="G2375" s="26" t="n"/>
      <c r="H2375" s="38" t="n"/>
      <c r="I2375" s="28" t="n"/>
      <c r="J2375" s="30">
        <f>IF(B2375="","",IFERROR(INDEX('Share classes'!$A$4:$A$203,MATCH(B2375,'Share classes'!$B$4:$B$203,0)),""))</f>
        <v/>
      </c>
      <c r="K2375" s="30">
        <f>IF(A2375="","",IFERROR(INDEX('Holders'!$B$4:$B$1003,MATCH(A2375,'Holders'!$A$4:$A$1003,0)),""))</f>
        <v/>
      </c>
      <c r="L2375" s="30">
        <f>IF(OR(A2375="",B2375="",D2375=""),"",IF(D2375=_xlfn.MAXIFS($D$4:$D$2503,$A$4:$A$2503,A2375,$B$4:$B$2503,B2375),"Yes","No"))</f>
        <v/>
      </c>
      <c r="M2375" s="30">
        <f>IF(B2375="","",IFERROR(INDEX('Share classes'!$F$4:$F$203,MATCH(B2375,'Share classes'!$B$4:$B$203,0)),""))</f>
        <v/>
      </c>
      <c r="N2375" s="30">
        <f>IF(A2375="","",IF(K2375="","Unknown holder ID",IF(J2375="","Unknown class code",IF(OR(C2375="",D2375=""),"Missing shares or date",IF(OR(C2375&lt;0,C2375&lt;&gt;INT(C2375)),"Shares must be a whole number",IF(COUNTIFS($A$4:$A$2503,A2375,$B$4:$B$2503,B2375,$D$4:$D$2503,D2375)&gt;1,"Duplicate row (same date)","OK"))))))</f>
        <v/>
      </c>
    </row>
    <row r="2376">
      <c r="A2376" s="26" t="n"/>
      <c r="B2376" s="26" t="n"/>
      <c r="C2376" s="34" t="n"/>
      <c r="D2376" s="28" t="n"/>
      <c r="E2376" s="26" t="n"/>
      <c r="F2376" s="26" t="n"/>
      <c r="G2376" s="26" t="n"/>
      <c r="H2376" s="38" t="n"/>
      <c r="I2376" s="28" t="n"/>
      <c r="J2376" s="30">
        <f>IF(B2376="","",IFERROR(INDEX('Share classes'!$A$4:$A$203,MATCH(B2376,'Share classes'!$B$4:$B$203,0)),""))</f>
        <v/>
      </c>
      <c r="K2376" s="30">
        <f>IF(A2376="","",IFERROR(INDEX('Holders'!$B$4:$B$1003,MATCH(A2376,'Holders'!$A$4:$A$1003,0)),""))</f>
        <v/>
      </c>
      <c r="L2376" s="30">
        <f>IF(OR(A2376="",B2376="",D2376=""),"",IF(D2376=_xlfn.MAXIFS($D$4:$D$2503,$A$4:$A$2503,A2376,$B$4:$B$2503,B2376),"Yes","No"))</f>
        <v/>
      </c>
      <c r="M2376" s="30">
        <f>IF(B2376="","",IFERROR(INDEX('Share classes'!$F$4:$F$203,MATCH(B2376,'Share classes'!$B$4:$B$203,0)),""))</f>
        <v/>
      </c>
      <c r="N2376" s="30">
        <f>IF(A2376="","",IF(K2376="","Unknown holder ID",IF(J2376="","Unknown class code",IF(OR(C2376="",D2376=""),"Missing shares or date",IF(OR(C2376&lt;0,C2376&lt;&gt;INT(C2376)),"Shares must be a whole number",IF(COUNTIFS($A$4:$A$2503,A2376,$B$4:$B$2503,B2376,$D$4:$D$2503,D2376)&gt;1,"Duplicate row (same date)","OK"))))))</f>
        <v/>
      </c>
    </row>
    <row r="2377">
      <c r="A2377" s="26" t="n"/>
      <c r="B2377" s="26" t="n"/>
      <c r="C2377" s="34" t="n"/>
      <c r="D2377" s="28" t="n"/>
      <c r="E2377" s="26" t="n"/>
      <c r="F2377" s="26" t="n"/>
      <c r="G2377" s="26" t="n"/>
      <c r="H2377" s="38" t="n"/>
      <c r="I2377" s="28" t="n"/>
      <c r="J2377" s="30">
        <f>IF(B2377="","",IFERROR(INDEX('Share classes'!$A$4:$A$203,MATCH(B2377,'Share classes'!$B$4:$B$203,0)),""))</f>
        <v/>
      </c>
      <c r="K2377" s="30">
        <f>IF(A2377="","",IFERROR(INDEX('Holders'!$B$4:$B$1003,MATCH(A2377,'Holders'!$A$4:$A$1003,0)),""))</f>
        <v/>
      </c>
      <c r="L2377" s="30">
        <f>IF(OR(A2377="",B2377="",D2377=""),"",IF(D2377=_xlfn.MAXIFS($D$4:$D$2503,$A$4:$A$2503,A2377,$B$4:$B$2503,B2377),"Yes","No"))</f>
        <v/>
      </c>
      <c r="M2377" s="30">
        <f>IF(B2377="","",IFERROR(INDEX('Share classes'!$F$4:$F$203,MATCH(B2377,'Share classes'!$B$4:$B$203,0)),""))</f>
        <v/>
      </c>
      <c r="N2377" s="30">
        <f>IF(A2377="","",IF(K2377="","Unknown holder ID",IF(J2377="","Unknown class code",IF(OR(C2377="",D2377=""),"Missing shares or date",IF(OR(C2377&lt;0,C2377&lt;&gt;INT(C2377)),"Shares must be a whole number",IF(COUNTIFS($A$4:$A$2503,A2377,$B$4:$B$2503,B2377,$D$4:$D$2503,D2377)&gt;1,"Duplicate row (same date)","OK"))))))</f>
        <v/>
      </c>
    </row>
    <row r="2378">
      <c r="A2378" s="26" t="n"/>
      <c r="B2378" s="26" t="n"/>
      <c r="C2378" s="34" t="n"/>
      <c r="D2378" s="28" t="n"/>
      <c r="E2378" s="26" t="n"/>
      <c r="F2378" s="26" t="n"/>
      <c r="G2378" s="26" t="n"/>
      <c r="H2378" s="38" t="n"/>
      <c r="I2378" s="28" t="n"/>
      <c r="J2378" s="30">
        <f>IF(B2378="","",IFERROR(INDEX('Share classes'!$A$4:$A$203,MATCH(B2378,'Share classes'!$B$4:$B$203,0)),""))</f>
        <v/>
      </c>
      <c r="K2378" s="30">
        <f>IF(A2378="","",IFERROR(INDEX('Holders'!$B$4:$B$1003,MATCH(A2378,'Holders'!$A$4:$A$1003,0)),""))</f>
        <v/>
      </c>
      <c r="L2378" s="30">
        <f>IF(OR(A2378="",B2378="",D2378=""),"",IF(D2378=_xlfn.MAXIFS($D$4:$D$2503,$A$4:$A$2503,A2378,$B$4:$B$2503,B2378),"Yes","No"))</f>
        <v/>
      </c>
      <c r="M2378" s="30">
        <f>IF(B2378="","",IFERROR(INDEX('Share classes'!$F$4:$F$203,MATCH(B2378,'Share classes'!$B$4:$B$203,0)),""))</f>
        <v/>
      </c>
      <c r="N2378" s="30">
        <f>IF(A2378="","",IF(K2378="","Unknown holder ID",IF(J2378="","Unknown class code",IF(OR(C2378="",D2378=""),"Missing shares or date",IF(OR(C2378&lt;0,C2378&lt;&gt;INT(C2378)),"Shares must be a whole number",IF(COUNTIFS($A$4:$A$2503,A2378,$B$4:$B$2503,B2378,$D$4:$D$2503,D2378)&gt;1,"Duplicate row (same date)","OK"))))))</f>
        <v/>
      </c>
    </row>
    <row r="2379">
      <c r="A2379" s="26" t="n"/>
      <c r="B2379" s="26" t="n"/>
      <c r="C2379" s="34" t="n"/>
      <c r="D2379" s="28" t="n"/>
      <c r="E2379" s="26" t="n"/>
      <c r="F2379" s="26" t="n"/>
      <c r="G2379" s="26" t="n"/>
      <c r="H2379" s="38" t="n"/>
      <c r="I2379" s="28" t="n"/>
      <c r="J2379" s="30">
        <f>IF(B2379="","",IFERROR(INDEX('Share classes'!$A$4:$A$203,MATCH(B2379,'Share classes'!$B$4:$B$203,0)),""))</f>
        <v/>
      </c>
      <c r="K2379" s="30">
        <f>IF(A2379="","",IFERROR(INDEX('Holders'!$B$4:$B$1003,MATCH(A2379,'Holders'!$A$4:$A$1003,0)),""))</f>
        <v/>
      </c>
      <c r="L2379" s="30">
        <f>IF(OR(A2379="",B2379="",D2379=""),"",IF(D2379=_xlfn.MAXIFS($D$4:$D$2503,$A$4:$A$2503,A2379,$B$4:$B$2503,B2379),"Yes","No"))</f>
        <v/>
      </c>
      <c r="M2379" s="30">
        <f>IF(B2379="","",IFERROR(INDEX('Share classes'!$F$4:$F$203,MATCH(B2379,'Share classes'!$B$4:$B$203,0)),""))</f>
        <v/>
      </c>
      <c r="N2379" s="30">
        <f>IF(A2379="","",IF(K2379="","Unknown holder ID",IF(J2379="","Unknown class code",IF(OR(C2379="",D2379=""),"Missing shares or date",IF(OR(C2379&lt;0,C2379&lt;&gt;INT(C2379)),"Shares must be a whole number",IF(COUNTIFS($A$4:$A$2503,A2379,$B$4:$B$2503,B2379,$D$4:$D$2503,D2379)&gt;1,"Duplicate row (same date)","OK"))))))</f>
        <v/>
      </c>
    </row>
    <row r="2380">
      <c r="A2380" s="26" t="n"/>
      <c r="B2380" s="26" t="n"/>
      <c r="C2380" s="34" t="n"/>
      <c r="D2380" s="28" t="n"/>
      <c r="E2380" s="26" t="n"/>
      <c r="F2380" s="26" t="n"/>
      <c r="G2380" s="26" t="n"/>
      <c r="H2380" s="38" t="n"/>
      <c r="I2380" s="28" t="n"/>
      <c r="J2380" s="30">
        <f>IF(B2380="","",IFERROR(INDEX('Share classes'!$A$4:$A$203,MATCH(B2380,'Share classes'!$B$4:$B$203,0)),""))</f>
        <v/>
      </c>
      <c r="K2380" s="30">
        <f>IF(A2380="","",IFERROR(INDEX('Holders'!$B$4:$B$1003,MATCH(A2380,'Holders'!$A$4:$A$1003,0)),""))</f>
        <v/>
      </c>
      <c r="L2380" s="30">
        <f>IF(OR(A2380="",B2380="",D2380=""),"",IF(D2380=_xlfn.MAXIFS($D$4:$D$2503,$A$4:$A$2503,A2380,$B$4:$B$2503,B2380),"Yes","No"))</f>
        <v/>
      </c>
      <c r="M2380" s="30">
        <f>IF(B2380="","",IFERROR(INDEX('Share classes'!$F$4:$F$203,MATCH(B2380,'Share classes'!$B$4:$B$203,0)),""))</f>
        <v/>
      </c>
      <c r="N2380" s="30">
        <f>IF(A2380="","",IF(K2380="","Unknown holder ID",IF(J2380="","Unknown class code",IF(OR(C2380="",D2380=""),"Missing shares or date",IF(OR(C2380&lt;0,C2380&lt;&gt;INT(C2380)),"Shares must be a whole number",IF(COUNTIFS($A$4:$A$2503,A2380,$B$4:$B$2503,B2380,$D$4:$D$2503,D2380)&gt;1,"Duplicate row (same date)","OK"))))))</f>
        <v/>
      </c>
    </row>
    <row r="2381">
      <c r="A2381" s="26" t="n"/>
      <c r="B2381" s="26" t="n"/>
      <c r="C2381" s="34" t="n"/>
      <c r="D2381" s="28" t="n"/>
      <c r="E2381" s="26" t="n"/>
      <c r="F2381" s="26" t="n"/>
      <c r="G2381" s="26" t="n"/>
      <c r="H2381" s="38" t="n"/>
      <c r="I2381" s="28" t="n"/>
      <c r="J2381" s="30">
        <f>IF(B2381="","",IFERROR(INDEX('Share classes'!$A$4:$A$203,MATCH(B2381,'Share classes'!$B$4:$B$203,0)),""))</f>
        <v/>
      </c>
      <c r="K2381" s="30">
        <f>IF(A2381="","",IFERROR(INDEX('Holders'!$B$4:$B$1003,MATCH(A2381,'Holders'!$A$4:$A$1003,0)),""))</f>
        <v/>
      </c>
      <c r="L2381" s="30">
        <f>IF(OR(A2381="",B2381="",D2381=""),"",IF(D2381=_xlfn.MAXIFS($D$4:$D$2503,$A$4:$A$2503,A2381,$B$4:$B$2503,B2381),"Yes","No"))</f>
        <v/>
      </c>
      <c r="M2381" s="30">
        <f>IF(B2381="","",IFERROR(INDEX('Share classes'!$F$4:$F$203,MATCH(B2381,'Share classes'!$B$4:$B$203,0)),""))</f>
        <v/>
      </c>
      <c r="N2381" s="30">
        <f>IF(A2381="","",IF(K2381="","Unknown holder ID",IF(J2381="","Unknown class code",IF(OR(C2381="",D2381=""),"Missing shares or date",IF(OR(C2381&lt;0,C2381&lt;&gt;INT(C2381)),"Shares must be a whole number",IF(COUNTIFS($A$4:$A$2503,A2381,$B$4:$B$2503,B2381,$D$4:$D$2503,D2381)&gt;1,"Duplicate row (same date)","OK"))))))</f>
        <v/>
      </c>
    </row>
    <row r="2382">
      <c r="A2382" s="26" t="n"/>
      <c r="B2382" s="26" t="n"/>
      <c r="C2382" s="34" t="n"/>
      <c r="D2382" s="28" t="n"/>
      <c r="E2382" s="26" t="n"/>
      <c r="F2382" s="26" t="n"/>
      <c r="G2382" s="26" t="n"/>
      <c r="H2382" s="38" t="n"/>
      <c r="I2382" s="28" t="n"/>
      <c r="J2382" s="30">
        <f>IF(B2382="","",IFERROR(INDEX('Share classes'!$A$4:$A$203,MATCH(B2382,'Share classes'!$B$4:$B$203,0)),""))</f>
        <v/>
      </c>
      <c r="K2382" s="30">
        <f>IF(A2382="","",IFERROR(INDEX('Holders'!$B$4:$B$1003,MATCH(A2382,'Holders'!$A$4:$A$1003,0)),""))</f>
        <v/>
      </c>
      <c r="L2382" s="30">
        <f>IF(OR(A2382="",B2382="",D2382=""),"",IF(D2382=_xlfn.MAXIFS($D$4:$D$2503,$A$4:$A$2503,A2382,$B$4:$B$2503,B2382),"Yes","No"))</f>
        <v/>
      </c>
      <c r="M2382" s="30">
        <f>IF(B2382="","",IFERROR(INDEX('Share classes'!$F$4:$F$203,MATCH(B2382,'Share classes'!$B$4:$B$203,0)),""))</f>
        <v/>
      </c>
      <c r="N2382" s="30">
        <f>IF(A2382="","",IF(K2382="","Unknown holder ID",IF(J2382="","Unknown class code",IF(OR(C2382="",D2382=""),"Missing shares or date",IF(OR(C2382&lt;0,C2382&lt;&gt;INT(C2382)),"Shares must be a whole number",IF(COUNTIFS($A$4:$A$2503,A2382,$B$4:$B$2503,B2382,$D$4:$D$2503,D2382)&gt;1,"Duplicate row (same date)","OK"))))))</f>
        <v/>
      </c>
    </row>
    <row r="2383">
      <c r="A2383" s="26" t="n"/>
      <c r="B2383" s="26" t="n"/>
      <c r="C2383" s="34" t="n"/>
      <c r="D2383" s="28" t="n"/>
      <c r="E2383" s="26" t="n"/>
      <c r="F2383" s="26" t="n"/>
      <c r="G2383" s="26" t="n"/>
      <c r="H2383" s="38" t="n"/>
      <c r="I2383" s="28" t="n"/>
      <c r="J2383" s="30">
        <f>IF(B2383="","",IFERROR(INDEX('Share classes'!$A$4:$A$203,MATCH(B2383,'Share classes'!$B$4:$B$203,0)),""))</f>
        <v/>
      </c>
      <c r="K2383" s="30">
        <f>IF(A2383="","",IFERROR(INDEX('Holders'!$B$4:$B$1003,MATCH(A2383,'Holders'!$A$4:$A$1003,0)),""))</f>
        <v/>
      </c>
      <c r="L2383" s="30">
        <f>IF(OR(A2383="",B2383="",D2383=""),"",IF(D2383=_xlfn.MAXIFS($D$4:$D$2503,$A$4:$A$2503,A2383,$B$4:$B$2503,B2383),"Yes","No"))</f>
        <v/>
      </c>
      <c r="M2383" s="30">
        <f>IF(B2383="","",IFERROR(INDEX('Share classes'!$F$4:$F$203,MATCH(B2383,'Share classes'!$B$4:$B$203,0)),""))</f>
        <v/>
      </c>
      <c r="N2383" s="30">
        <f>IF(A2383="","",IF(K2383="","Unknown holder ID",IF(J2383="","Unknown class code",IF(OR(C2383="",D2383=""),"Missing shares or date",IF(OR(C2383&lt;0,C2383&lt;&gt;INT(C2383)),"Shares must be a whole number",IF(COUNTIFS($A$4:$A$2503,A2383,$B$4:$B$2503,B2383,$D$4:$D$2503,D2383)&gt;1,"Duplicate row (same date)","OK"))))))</f>
        <v/>
      </c>
    </row>
    <row r="2384">
      <c r="A2384" s="26" t="n"/>
      <c r="B2384" s="26" t="n"/>
      <c r="C2384" s="34" t="n"/>
      <c r="D2384" s="28" t="n"/>
      <c r="E2384" s="26" t="n"/>
      <c r="F2384" s="26" t="n"/>
      <c r="G2384" s="26" t="n"/>
      <c r="H2384" s="38" t="n"/>
      <c r="I2384" s="28" t="n"/>
      <c r="J2384" s="30">
        <f>IF(B2384="","",IFERROR(INDEX('Share classes'!$A$4:$A$203,MATCH(B2384,'Share classes'!$B$4:$B$203,0)),""))</f>
        <v/>
      </c>
      <c r="K2384" s="30">
        <f>IF(A2384="","",IFERROR(INDEX('Holders'!$B$4:$B$1003,MATCH(A2384,'Holders'!$A$4:$A$1003,0)),""))</f>
        <v/>
      </c>
      <c r="L2384" s="30">
        <f>IF(OR(A2384="",B2384="",D2384=""),"",IF(D2384=_xlfn.MAXIFS($D$4:$D$2503,$A$4:$A$2503,A2384,$B$4:$B$2503,B2384),"Yes","No"))</f>
        <v/>
      </c>
      <c r="M2384" s="30">
        <f>IF(B2384="","",IFERROR(INDEX('Share classes'!$F$4:$F$203,MATCH(B2384,'Share classes'!$B$4:$B$203,0)),""))</f>
        <v/>
      </c>
      <c r="N2384" s="30">
        <f>IF(A2384="","",IF(K2384="","Unknown holder ID",IF(J2384="","Unknown class code",IF(OR(C2384="",D2384=""),"Missing shares or date",IF(OR(C2384&lt;0,C2384&lt;&gt;INT(C2384)),"Shares must be a whole number",IF(COUNTIFS($A$4:$A$2503,A2384,$B$4:$B$2503,B2384,$D$4:$D$2503,D2384)&gt;1,"Duplicate row (same date)","OK"))))))</f>
        <v/>
      </c>
    </row>
    <row r="2385">
      <c r="A2385" s="26" t="n"/>
      <c r="B2385" s="26" t="n"/>
      <c r="C2385" s="34" t="n"/>
      <c r="D2385" s="28" t="n"/>
      <c r="E2385" s="26" t="n"/>
      <c r="F2385" s="26" t="n"/>
      <c r="G2385" s="26" t="n"/>
      <c r="H2385" s="38" t="n"/>
      <c r="I2385" s="28" t="n"/>
      <c r="J2385" s="30">
        <f>IF(B2385="","",IFERROR(INDEX('Share classes'!$A$4:$A$203,MATCH(B2385,'Share classes'!$B$4:$B$203,0)),""))</f>
        <v/>
      </c>
      <c r="K2385" s="30">
        <f>IF(A2385="","",IFERROR(INDEX('Holders'!$B$4:$B$1003,MATCH(A2385,'Holders'!$A$4:$A$1003,0)),""))</f>
        <v/>
      </c>
      <c r="L2385" s="30">
        <f>IF(OR(A2385="",B2385="",D2385=""),"",IF(D2385=_xlfn.MAXIFS($D$4:$D$2503,$A$4:$A$2503,A2385,$B$4:$B$2503,B2385),"Yes","No"))</f>
        <v/>
      </c>
      <c r="M2385" s="30">
        <f>IF(B2385="","",IFERROR(INDEX('Share classes'!$F$4:$F$203,MATCH(B2385,'Share classes'!$B$4:$B$203,0)),""))</f>
        <v/>
      </c>
      <c r="N2385" s="30">
        <f>IF(A2385="","",IF(K2385="","Unknown holder ID",IF(J2385="","Unknown class code",IF(OR(C2385="",D2385=""),"Missing shares or date",IF(OR(C2385&lt;0,C2385&lt;&gt;INT(C2385)),"Shares must be a whole number",IF(COUNTIFS($A$4:$A$2503,A2385,$B$4:$B$2503,B2385,$D$4:$D$2503,D2385)&gt;1,"Duplicate row (same date)","OK"))))))</f>
        <v/>
      </c>
    </row>
    <row r="2386">
      <c r="A2386" s="26" t="n"/>
      <c r="B2386" s="26" t="n"/>
      <c r="C2386" s="34" t="n"/>
      <c r="D2386" s="28" t="n"/>
      <c r="E2386" s="26" t="n"/>
      <c r="F2386" s="26" t="n"/>
      <c r="G2386" s="26" t="n"/>
      <c r="H2386" s="38" t="n"/>
      <c r="I2386" s="28" t="n"/>
      <c r="J2386" s="30">
        <f>IF(B2386="","",IFERROR(INDEX('Share classes'!$A$4:$A$203,MATCH(B2386,'Share classes'!$B$4:$B$203,0)),""))</f>
        <v/>
      </c>
      <c r="K2386" s="30">
        <f>IF(A2386="","",IFERROR(INDEX('Holders'!$B$4:$B$1003,MATCH(A2386,'Holders'!$A$4:$A$1003,0)),""))</f>
        <v/>
      </c>
      <c r="L2386" s="30">
        <f>IF(OR(A2386="",B2386="",D2386=""),"",IF(D2386=_xlfn.MAXIFS($D$4:$D$2503,$A$4:$A$2503,A2386,$B$4:$B$2503,B2386),"Yes","No"))</f>
        <v/>
      </c>
      <c r="M2386" s="30">
        <f>IF(B2386="","",IFERROR(INDEX('Share classes'!$F$4:$F$203,MATCH(B2386,'Share classes'!$B$4:$B$203,0)),""))</f>
        <v/>
      </c>
      <c r="N2386" s="30">
        <f>IF(A2386="","",IF(K2386="","Unknown holder ID",IF(J2386="","Unknown class code",IF(OR(C2386="",D2386=""),"Missing shares or date",IF(OR(C2386&lt;0,C2386&lt;&gt;INT(C2386)),"Shares must be a whole number",IF(COUNTIFS($A$4:$A$2503,A2386,$B$4:$B$2503,B2386,$D$4:$D$2503,D2386)&gt;1,"Duplicate row (same date)","OK"))))))</f>
        <v/>
      </c>
    </row>
    <row r="2387">
      <c r="A2387" s="26" t="n"/>
      <c r="B2387" s="26" t="n"/>
      <c r="C2387" s="34" t="n"/>
      <c r="D2387" s="28" t="n"/>
      <c r="E2387" s="26" t="n"/>
      <c r="F2387" s="26" t="n"/>
      <c r="G2387" s="26" t="n"/>
      <c r="H2387" s="38" t="n"/>
      <c r="I2387" s="28" t="n"/>
      <c r="J2387" s="30">
        <f>IF(B2387="","",IFERROR(INDEX('Share classes'!$A$4:$A$203,MATCH(B2387,'Share classes'!$B$4:$B$203,0)),""))</f>
        <v/>
      </c>
      <c r="K2387" s="30">
        <f>IF(A2387="","",IFERROR(INDEX('Holders'!$B$4:$B$1003,MATCH(A2387,'Holders'!$A$4:$A$1003,0)),""))</f>
        <v/>
      </c>
      <c r="L2387" s="30">
        <f>IF(OR(A2387="",B2387="",D2387=""),"",IF(D2387=_xlfn.MAXIFS($D$4:$D$2503,$A$4:$A$2503,A2387,$B$4:$B$2503,B2387),"Yes","No"))</f>
        <v/>
      </c>
      <c r="M2387" s="30">
        <f>IF(B2387="","",IFERROR(INDEX('Share classes'!$F$4:$F$203,MATCH(B2387,'Share classes'!$B$4:$B$203,0)),""))</f>
        <v/>
      </c>
      <c r="N2387" s="30">
        <f>IF(A2387="","",IF(K2387="","Unknown holder ID",IF(J2387="","Unknown class code",IF(OR(C2387="",D2387=""),"Missing shares or date",IF(OR(C2387&lt;0,C2387&lt;&gt;INT(C2387)),"Shares must be a whole number",IF(COUNTIFS($A$4:$A$2503,A2387,$B$4:$B$2503,B2387,$D$4:$D$2503,D2387)&gt;1,"Duplicate row (same date)","OK"))))))</f>
        <v/>
      </c>
    </row>
    <row r="2388">
      <c r="A2388" s="26" t="n"/>
      <c r="B2388" s="26" t="n"/>
      <c r="C2388" s="34" t="n"/>
      <c r="D2388" s="28" t="n"/>
      <c r="E2388" s="26" t="n"/>
      <c r="F2388" s="26" t="n"/>
      <c r="G2388" s="26" t="n"/>
      <c r="H2388" s="38" t="n"/>
      <c r="I2388" s="28" t="n"/>
      <c r="J2388" s="30">
        <f>IF(B2388="","",IFERROR(INDEX('Share classes'!$A$4:$A$203,MATCH(B2388,'Share classes'!$B$4:$B$203,0)),""))</f>
        <v/>
      </c>
      <c r="K2388" s="30">
        <f>IF(A2388="","",IFERROR(INDEX('Holders'!$B$4:$B$1003,MATCH(A2388,'Holders'!$A$4:$A$1003,0)),""))</f>
        <v/>
      </c>
      <c r="L2388" s="30">
        <f>IF(OR(A2388="",B2388="",D2388=""),"",IF(D2388=_xlfn.MAXIFS($D$4:$D$2503,$A$4:$A$2503,A2388,$B$4:$B$2503,B2388),"Yes","No"))</f>
        <v/>
      </c>
      <c r="M2388" s="30">
        <f>IF(B2388="","",IFERROR(INDEX('Share classes'!$F$4:$F$203,MATCH(B2388,'Share classes'!$B$4:$B$203,0)),""))</f>
        <v/>
      </c>
      <c r="N2388" s="30">
        <f>IF(A2388="","",IF(K2388="","Unknown holder ID",IF(J2388="","Unknown class code",IF(OR(C2388="",D2388=""),"Missing shares or date",IF(OR(C2388&lt;0,C2388&lt;&gt;INT(C2388)),"Shares must be a whole number",IF(COUNTIFS($A$4:$A$2503,A2388,$B$4:$B$2503,B2388,$D$4:$D$2503,D2388)&gt;1,"Duplicate row (same date)","OK"))))))</f>
        <v/>
      </c>
    </row>
    <row r="2389">
      <c r="A2389" s="26" t="n"/>
      <c r="B2389" s="26" t="n"/>
      <c r="C2389" s="34" t="n"/>
      <c r="D2389" s="28" t="n"/>
      <c r="E2389" s="26" t="n"/>
      <c r="F2389" s="26" t="n"/>
      <c r="G2389" s="26" t="n"/>
      <c r="H2389" s="38" t="n"/>
      <c r="I2389" s="28" t="n"/>
      <c r="J2389" s="30">
        <f>IF(B2389="","",IFERROR(INDEX('Share classes'!$A$4:$A$203,MATCH(B2389,'Share classes'!$B$4:$B$203,0)),""))</f>
        <v/>
      </c>
      <c r="K2389" s="30">
        <f>IF(A2389="","",IFERROR(INDEX('Holders'!$B$4:$B$1003,MATCH(A2389,'Holders'!$A$4:$A$1003,0)),""))</f>
        <v/>
      </c>
      <c r="L2389" s="30">
        <f>IF(OR(A2389="",B2389="",D2389=""),"",IF(D2389=_xlfn.MAXIFS($D$4:$D$2503,$A$4:$A$2503,A2389,$B$4:$B$2503,B2389),"Yes","No"))</f>
        <v/>
      </c>
      <c r="M2389" s="30">
        <f>IF(B2389="","",IFERROR(INDEX('Share classes'!$F$4:$F$203,MATCH(B2389,'Share classes'!$B$4:$B$203,0)),""))</f>
        <v/>
      </c>
      <c r="N2389" s="30">
        <f>IF(A2389="","",IF(K2389="","Unknown holder ID",IF(J2389="","Unknown class code",IF(OR(C2389="",D2389=""),"Missing shares or date",IF(OR(C2389&lt;0,C2389&lt;&gt;INT(C2389)),"Shares must be a whole number",IF(COUNTIFS($A$4:$A$2503,A2389,$B$4:$B$2503,B2389,$D$4:$D$2503,D2389)&gt;1,"Duplicate row (same date)","OK"))))))</f>
        <v/>
      </c>
    </row>
    <row r="2390">
      <c r="A2390" s="26" t="n"/>
      <c r="B2390" s="26" t="n"/>
      <c r="C2390" s="34" t="n"/>
      <c r="D2390" s="28" t="n"/>
      <c r="E2390" s="26" t="n"/>
      <c r="F2390" s="26" t="n"/>
      <c r="G2390" s="26" t="n"/>
      <c r="H2390" s="38" t="n"/>
      <c r="I2390" s="28" t="n"/>
      <c r="J2390" s="30">
        <f>IF(B2390="","",IFERROR(INDEX('Share classes'!$A$4:$A$203,MATCH(B2390,'Share classes'!$B$4:$B$203,0)),""))</f>
        <v/>
      </c>
      <c r="K2390" s="30">
        <f>IF(A2390="","",IFERROR(INDEX('Holders'!$B$4:$B$1003,MATCH(A2390,'Holders'!$A$4:$A$1003,0)),""))</f>
        <v/>
      </c>
      <c r="L2390" s="30">
        <f>IF(OR(A2390="",B2390="",D2390=""),"",IF(D2390=_xlfn.MAXIFS($D$4:$D$2503,$A$4:$A$2503,A2390,$B$4:$B$2503,B2390),"Yes","No"))</f>
        <v/>
      </c>
      <c r="M2390" s="30">
        <f>IF(B2390="","",IFERROR(INDEX('Share classes'!$F$4:$F$203,MATCH(B2390,'Share classes'!$B$4:$B$203,0)),""))</f>
        <v/>
      </c>
      <c r="N2390" s="30">
        <f>IF(A2390="","",IF(K2390="","Unknown holder ID",IF(J2390="","Unknown class code",IF(OR(C2390="",D2390=""),"Missing shares or date",IF(OR(C2390&lt;0,C2390&lt;&gt;INT(C2390)),"Shares must be a whole number",IF(COUNTIFS($A$4:$A$2503,A2390,$B$4:$B$2503,B2390,$D$4:$D$2503,D2390)&gt;1,"Duplicate row (same date)","OK"))))))</f>
        <v/>
      </c>
    </row>
    <row r="2391">
      <c r="A2391" s="26" t="n"/>
      <c r="B2391" s="26" t="n"/>
      <c r="C2391" s="34" t="n"/>
      <c r="D2391" s="28" t="n"/>
      <c r="E2391" s="26" t="n"/>
      <c r="F2391" s="26" t="n"/>
      <c r="G2391" s="26" t="n"/>
      <c r="H2391" s="38" t="n"/>
      <c r="I2391" s="28" t="n"/>
      <c r="J2391" s="30">
        <f>IF(B2391="","",IFERROR(INDEX('Share classes'!$A$4:$A$203,MATCH(B2391,'Share classes'!$B$4:$B$203,0)),""))</f>
        <v/>
      </c>
      <c r="K2391" s="30">
        <f>IF(A2391="","",IFERROR(INDEX('Holders'!$B$4:$B$1003,MATCH(A2391,'Holders'!$A$4:$A$1003,0)),""))</f>
        <v/>
      </c>
      <c r="L2391" s="30">
        <f>IF(OR(A2391="",B2391="",D2391=""),"",IF(D2391=_xlfn.MAXIFS($D$4:$D$2503,$A$4:$A$2503,A2391,$B$4:$B$2503,B2391),"Yes","No"))</f>
        <v/>
      </c>
      <c r="M2391" s="30">
        <f>IF(B2391="","",IFERROR(INDEX('Share classes'!$F$4:$F$203,MATCH(B2391,'Share classes'!$B$4:$B$203,0)),""))</f>
        <v/>
      </c>
      <c r="N2391" s="30">
        <f>IF(A2391="","",IF(K2391="","Unknown holder ID",IF(J2391="","Unknown class code",IF(OR(C2391="",D2391=""),"Missing shares or date",IF(OR(C2391&lt;0,C2391&lt;&gt;INT(C2391)),"Shares must be a whole number",IF(COUNTIFS($A$4:$A$2503,A2391,$B$4:$B$2503,B2391,$D$4:$D$2503,D2391)&gt;1,"Duplicate row (same date)","OK"))))))</f>
        <v/>
      </c>
    </row>
    <row r="2392">
      <c r="A2392" s="26" t="n"/>
      <c r="B2392" s="26" t="n"/>
      <c r="C2392" s="34" t="n"/>
      <c r="D2392" s="28" t="n"/>
      <c r="E2392" s="26" t="n"/>
      <c r="F2392" s="26" t="n"/>
      <c r="G2392" s="26" t="n"/>
      <c r="H2392" s="38" t="n"/>
      <c r="I2392" s="28" t="n"/>
      <c r="J2392" s="30">
        <f>IF(B2392="","",IFERROR(INDEX('Share classes'!$A$4:$A$203,MATCH(B2392,'Share classes'!$B$4:$B$203,0)),""))</f>
        <v/>
      </c>
      <c r="K2392" s="30">
        <f>IF(A2392="","",IFERROR(INDEX('Holders'!$B$4:$B$1003,MATCH(A2392,'Holders'!$A$4:$A$1003,0)),""))</f>
        <v/>
      </c>
      <c r="L2392" s="30">
        <f>IF(OR(A2392="",B2392="",D2392=""),"",IF(D2392=_xlfn.MAXIFS($D$4:$D$2503,$A$4:$A$2503,A2392,$B$4:$B$2503,B2392),"Yes","No"))</f>
        <v/>
      </c>
      <c r="M2392" s="30">
        <f>IF(B2392="","",IFERROR(INDEX('Share classes'!$F$4:$F$203,MATCH(B2392,'Share classes'!$B$4:$B$203,0)),""))</f>
        <v/>
      </c>
      <c r="N2392" s="30">
        <f>IF(A2392="","",IF(K2392="","Unknown holder ID",IF(J2392="","Unknown class code",IF(OR(C2392="",D2392=""),"Missing shares or date",IF(OR(C2392&lt;0,C2392&lt;&gt;INT(C2392)),"Shares must be a whole number",IF(COUNTIFS($A$4:$A$2503,A2392,$B$4:$B$2503,B2392,$D$4:$D$2503,D2392)&gt;1,"Duplicate row (same date)","OK"))))))</f>
        <v/>
      </c>
    </row>
    <row r="2393">
      <c r="A2393" s="26" t="n"/>
      <c r="B2393" s="26" t="n"/>
      <c r="C2393" s="34" t="n"/>
      <c r="D2393" s="28" t="n"/>
      <c r="E2393" s="26" t="n"/>
      <c r="F2393" s="26" t="n"/>
      <c r="G2393" s="26" t="n"/>
      <c r="H2393" s="38" t="n"/>
      <c r="I2393" s="28" t="n"/>
      <c r="J2393" s="30">
        <f>IF(B2393="","",IFERROR(INDEX('Share classes'!$A$4:$A$203,MATCH(B2393,'Share classes'!$B$4:$B$203,0)),""))</f>
        <v/>
      </c>
      <c r="K2393" s="30">
        <f>IF(A2393="","",IFERROR(INDEX('Holders'!$B$4:$B$1003,MATCH(A2393,'Holders'!$A$4:$A$1003,0)),""))</f>
        <v/>
      </c>
      <c r="L2393" s="30">
        <f>IF(OR(A2393="",B2393="",D2393=""),"",IF(D2393=_xlfn.MAXIFS($D$4:$D$2503,$A$4:$A$2503,A2393,$B$4:$B$2503,B2393),"Yes","No"))</f>
        <v/>
      </c>
      <c r="M2393" s="30">
        <f>IF(B2393="","",IFERROR(INDEX('Share classes'!$F$4:$F$203,MATCH(B2393,'Share classes'!$B$4:$B$203,0)),""))</f>
        <v/>
      </c>
      <c r="N2393" s="30">
        <f>IF(A2393="","",IF(K2393="","Unknown holder ID",IF(J2393="","Unknown class code",IF(OR(C2393="",D2393=""),"Missing shares or date",IF(OR(C2393&lt;0,C2393&lt;&gt;INT(C2393)),"Shares must be a whole number",IF(COUNTIFS($A$4:$A$2503,A2393,$B$4:$B$2503,B2393,$D$4:$D$2503,D2393)&gt;1,"Duplicate row (same date)","OK"))))))</f>
        <v/>
      </c>
    </row>
    <row r="2394">
      <c r="A2394" s="26" t="n"/>
      <c r="B2394" s="26" t="n"/>
      <c r="C2394" s="34" t="n"/>
      <c r="D2394" s="28" t="n"/>
      <c r="E2394" s="26" t="n"/>
      <c r="F2394" s="26" t="n"/>
      <c r="G2394" s="26" t="n"/>
      <c r="H2394" s="38" t="n"/>
      <c r="I2394" s="28" t="n"/>
      <c r="J2394" s="30">
        <f>IF(B2394="","",IFERROR(INDEX('Share classes'!$A$4:$A$203,MATCH(B2394,'Share classes'!$B$4:$B$203,0)),""))</f>
        <v/>
      </c>
      <c r="K2394" s="30">
        <f>IF(A2394="","",IFERROR(INDEX('Holders'!$B$4:$B$1003,MATCH(A2394,'Holders'!$A$4:$A$1003,0)),""))</f>
        <v/>
      </c>
      <c r="L2394" s="30">
        <f>IF(OR(A2394="",B2394="",D2394=""),"",IF(D2394=_xlfn.MAXIFS($D$4:$D$2503,$A$4:$A$2503,A2394,$B$4:$B$2503,B2394),"Yes","No"))</f>
        <v/>
      </c>
      <c r="M2394" s="30">
        <f>IF(B2394="","",IFERROR(INDEX('Share classes'!$F$4:$F$203,MATCH(B2394,'Share classes'!$B$4:$B$203,0)),""))</f>
        <v/>
      </c>
      <c r="N2394" s="30">
        <f>IF(A2394="","",IF(K2394="","Unknown holder ID",IF(J2394="","Unknown class code",IF(OR(C2394="",D2394=""),"Missing shares or date",IF(OR(C2394&lt;0,C2394&lt;&gt;INT(C2394)),"Shares must be a whole number",IF(COUNTIFS($A$4:$A$2503,A2394,$B$4:$B$2503,B2394,$D$4:$D$2503,D2394)&gt;1,"Duplicate row (same date)","OK"))))))</f>
        <v/>
      </c>
    </row>
    <row r="2395">
      <c r="A2395" s="26" t="n"/>
      <c r="B2395" s="26" t="n"/>
      <c r="C2395" s="34" t="n"/>
      <c r="D2395" s="28" t="n"/>
      <c r="E2395" s="26" t="n"/>
      <c r="F2395" s="26" t="n"/>
      <c r="G2395" s="26" t="n"/>
      <c r="H2395" s="38" t="n"/>
      <c r="I2395" s="28" t="n"/>
      <c r="J2395" s="30">
        <f>IF(B2395="","",IFERROR(INDEX('Share classes'!$A$4:$A$203,MATCH(B2395,'Share classes'!$B$4:$B$203,0)),""))</f>
        <v/>
      </c>
      <c r="K2395" s="30">
        <f>IF(A2395="","",IFERROR(INDEX('Holders'!$B$4:$B$1003,MATCH(A2395,'Holders'!$A$4:$A$1003,0)),""))</f>
        <v/>
      </c>
      <c r="L2395" s="30">
        <f>IF(OR(A2395="",B2395="",D2395=""),"",IF(D2395=_xlfn.MAXIFS($D$4:$D$2503,$A$4:$A$2503,A2395,$B$4:$B$2503,B2395),"Yes","No"))</f>
        <v/>
      </c>
      <c r="M2395" s="30">
        <f>IF(B2395="","",IFERROR(INDEX('Share classes'!$F$4:$F$203,MATCH(B2395,'Share classes'!$B$4:$B$203,0)),""))</f>
        <v/>
      </c>
      <c r="N2395" s="30">
        <f>IF(A2395="","",IF(K2395="","Unknown holder ID",IF(J2395="","Unknown class code",IF(OR(C2395="",D2395=""),"Missing shares or date",IF(OR(C2395&lt;0,C2395&lt;&gt;INT(C2395)),"Shares must be a whole number",IF(COUNTIFS($A$4:$A$2503,A2395,$B$4:$B$2503,B2395,$D$4:$D$2503,D2395)&gt;1,"Duplicate row (same date)","OK"))))))</f>
        <v/>
      </c>
    </row>
    <row r="2396">
      <c r="A2396" s="26" t="n"/>
      <c r="B2396" s="26" t="n"/>
      <c r="C2396" s="34" t="n"/>
      <c r="D2396" s="28" t="n"/>
      <c r="E2396" s="26" t="n"/>
      <c r="F2396" s="26" t="n"/>
      <c r="G2396" s="26" t="n"/>
      <c r="H2396" s="38" t="n"/>
      <c r="I2396" s="28" t="n"/>
      <c r="J2396" s="30">
        <f>IF(B2396="","",IFERROR(INDEX('Share classes'!$A$4:$A$203,MATCH(B2396,'Share classes'!$B$4:$B$203,0)),""))</f>
        <v/>
      </c>
      <c r="K2396" s="30">
        <f>IF(A2396="","",IFERROR(INDEX('Holders'!$B$4:$B$1003,MATCH(A2396,'Holders'!$A$4:$A$1003,0)),""))</f>
        <v/>
      </c>
      <c r="L2396" s="30">
        <f>IF(OR(A2396="",B2396="",D2396=""),"",IF(D2396=_xlfn.MAXIFS($D$4:$D$2503,$A$4:$A$2503,A2396,$B$4:$B$2503,B2396),"Yes","No"))</f>
        <v/>
      </c>
      <c r="M2396" s="30">
        <f>IF(B2396="","",IFERROR(INDEX('Share classes'!$F$4:$F$203,MATCH(B2396,'Share classes'!$B$4:$B$203,0)),""))</f>
        <v/>
      </c>
      <c r="N2396" s="30">
        <f>IF(A2396="","",IF(K2396="","Unknown holder ID",IF(J2396="","Unknown class code",IF(OR(C2396="",D2396=""),"Missing shares or date",IF(OR(C2396&lt;0,C2396&lt;&gt;INT(C2396)),"Shares must be a whole number",IF(COUNTIFS($A$4:$A$2503,A2396,$B$4:$B$2503,B2396,$D$4:$D$2503,D2396)&gt;1,"Duplicate row (same date)","OK"))))))</f>
        <v/>
      </c>
    </row>
    <row r="2397">
      <c r="A2397" s="26" t="n"/>
      <c r="B2397" s="26" t="n"/>
      <c r="C2397" s="34" t="n"/>
      <c r="D2397" s="28" t="n"/>
      <c r="E2397" s="26" t="n"/>
      <c r="F2397" s="26" t="n"/>
      <c r="G2397" s="26" t="n"/>
      <c r="H2397" s="38" t="n"/>
      <c r="I2397" s="28" t="n"/>
      <c r="J2397" s="30">
        <f>IF(B2397="","",IFERROR(INDEX('Share classes'!$A$4:$A$203,MATCH(B2397,'Share classes'!$B$4:$B$203,0)),""))</f>
        <v/>
      </c>
      <c r="K2397" s="30">
        <f>IF(A2397="","",IFERROR(INDEX('Holders'!$B$4:$B$1003,MATCH(A2397,'Holders'!$A$4:$A$1003,0)),""))</f>
        <v/>
      </c>
      <c r="L2397" s="30">
        <f>IF(OR(A2397="",B2397="",D2397=""),"",IF(D2397=_xlfn.MAXIFS($D$4:$D$2503,$A$4:$A$2503,A2397,$B$4:$B$2503,B2397),"Yes","No"))</f>
        <v/>
      </c>
      <c r="M2397" s="30">
        <f>IF(B2397="","",IFERROR(INDEX('Share classes'!$F$4:$F$203,MATCH(B2397,'Share classes'!$B$4:$B$203,0)),""))</f>
        <v/>
      </c>
      <c r="N2397" s="30">
        <f>IF(A2397="","",IF(K2397="","Unknown holder ID",IF(J2397="","Unknown class code",IF(OR(C2397="",D2397=""),"Missing shares or date",IF(OR(C2397&lt;0,C2397&lt;&gt;INT(C2397)),"Shares must be a whole number",IF(COUNTIFS($A$4:$A$2503,A2397,$B$4:$B$2503,B2397,$D$4:$D$2503,D2397)&gt;1,"Duplicate row (same date)","OK"))))))</f>
        <v/>
      </c>
    </row>
    <row r="2398">
      <c r="A2398" s="26" t="n"/>
      <c r="B2398" s="26" t="n"/>
      <c r="C2398" s="34" t="n"/>
      <c r="D2398" s="28" t="n"/>
      <c r="E2398" s="26" t="n"/>
      <c r="F2398" s="26" t="n"/>
      <c r="G2398" s="26" t="n"/>
      <c r="H2398" s="38" t="n"/>
      <c r="I2398" s="28" t="n"/>
      <c r="J2398" s="30">
        <f>IF(B2398="","",IFERROR(INDEX('Share classes'!$A$4:$A$203,MATCH(B2398,'Share classes'!$B$4:$B$203,0)),""))</f>
        <v/>
      </c>
      <c r="K2398" s="30">
        <f>IF(A2398="","",IFERROR(INDEX('Holders'!$B$4:$B$1003,MATCH(A2398,'Holders'!$A$4:$A$1003,0)),""))</f>
        <v/>
      </c>
      <c r="L2398" s="30">
        <f>IF(OR(A2398="",B2398="",D2398=""),"",IF(D2398=_xlfn.MAXIFS($D$4:$D$2503,$A$4:$A$2503,A2398,$B$4:$B$2503,B2398),"Yes","No"))</f>
        <v/>
      </c>
      <c r="M2398" s="30">
        <f>IF(B2398="","",IFERROR(INDEX('Share classes'!$F$4:$F$203,MATCH(B2398,'Share classes'!$B$4:$B$203,0)),""))</f>
        <v/>
      </c>
      <c r="N2398" s="30">
        <f>IF(A2398="","",IF(K2398="","Unknown holder ID",IF(J2398="","Unknown class code",IF(OR(C2398="",D2398=""),"Missing shares or date",IF(OR(C2398&lt;0,C2398&lt;&gt;INT(C2398)),"Shares must be a whole number",IF(COUNTIFS($A$4:$A$2503,A2398,$B$4:$B$2503,B2398,$D$4:$D$2503,D2398)&gt;1,"Duplicate row (same date)","OK"))))))</f>
        <v/>
      </c>
    </row>
    <row r="2399">
      <c r="A2399" s="26" t="n"/>
      <c r="B2399" s="26" t="n"/>
      <c r="C2399" s="34" t="n"/>
      <c r="D2399" s="28" t="n"/>
      <c r="E2399" s="26" t="n"/>
      <c r="F2399" s="26" t="n"/>
      <c r="G2399" s="26" t="n"/>
      <c r="H2399" s="38" t="n"/>
      <c r="I2399" s="28" t="n"/>
      <c r="J2399" s="30">
        <f>IF(B2399="","",IFERROR(INDEX('Share classes'!$A$4:$A$203,MATCH(B2399,'Share classes'!$B$4:$B$203,0)),""))</f>
        <v/>
      </c>
      <c r="K2399" s="30">
        <f>IF(A2399="","",IFERROR(INDEX('Holders'!$B$4:$B$1003,MATCH(A2399,'Holders'!$A$4:$A$1003,0)),""))</f>
        <v/>
      </c>
      <c r="L2399" s="30">
        <f>IF(OR(A2399="",B2399="",D2399=""),"",IF(D2399=_xlfn.MAXIFS($D$4:$D$2503,$A$4:$A$2503,A2399,$B$4:$B$2503,B2399),"Yes","No"))</f>
        <v/>
      </c>
      <c r="M2399" s="30">
        <f>IF(B2399="","",IFERROR(INDEX('Share classes'!$F$4:$F$203,MATCH(B2399,'Share classes'!$B$4:$B$203,0)),""))</f>
        <v/>
      </c>
      <c r="N2399" s="30">
        <f>IF(A2399="","",IF(K2399="","Unknown holder ID",IF(J2399="","Unknown class code",IF(OR(C2399="",D2399=""),"Missing shares or date",IF(OR(C2399&lt;0,C2399&lt;&gt;INT(C2399)),"Shares must be a whole number",IF(COUNTIFS($A$4:$A$2503,A2399,$B$4:$B$2503,B2399,$D$4:$D$2503,D2399)&gt;1,"Duplicate row (same date)","OK"))))))</f>
        <v/>
      </c>
    </row>
    <row r="2400">
      <c r="A2400" s="26" t="n"/>
      <c r="B2400" s="26" t="n"/>
      <c r="C2400" s="34" t="n"/>
      <c r="D2400" s="28" t="n"/>
      <c r="E2400" s="26" t="n"/>
      <c r="F2400" s="26" t="n"/>
      <c r="G2400" s="26" t="n"/>
      <c r="H2400" s="38" t="n"/>
      <c r="I2400" s="28" t="n"/>
      <c r="J2400" s="30">
        <f>IF(B2400="","",IFERROR(INDEX('Share classes'!$A$4:$A$203,MATCH(B2400,'Share classes'!$B$4:$B$203,0)),""))</f>
        <v/>
      </c>
      <c r="K2400" s="30">
        <f>IF(A2400="","",IFERROR(INDEX('Holders'!$B$4:$B$1003,MATCH(A2400,'Holders'!$A$4:$A$1003,0)),""))</f>
        <v/>
      </c>
      <c r="L2400" s="30">
        <f>IF(OR(A2400="",B2400="",D2400=""),"",IF(D2400=_xlfn.MAXIFS($D$4:$D$2503,$A$4:$A$2503,A2400,$B$4:$B$2503,B2400),"Yes","No"))</f>
        <v/>
      </c>
      <c r="M2400" s="30">
        <f>IF(B2400="","",IFERROR(INDEX('Share classes'!$F$4:$F$203,MATCH(B2400,'Share classes'!$B$4:$B$203,0)),""))</f>
        <v/>
      </c>
      <c r="N2400" s="30">
        <f>IF(A2400="","",IF(K2400="","Unknown holder ID",IF(J2400="","Unknown class code",IF(OR(C2400="",D2400=""),"Missing shares or date",IF(OR(C2400&lt;0,C2400&lt;&gt;INT(C2400)),"Shares must be a whole number",IF(COUNTIFS($A$4:$A$2503,A2400,$B$4:$B$2503,B2400,$D$4:$D$2503,D2400)&gt;1,"Duplicate row (same date)","OK"))))))</f>
        <v/>
      </c>
    </row>
    <row r="2401">
      <c r="A2401" s="26" t="n"/>
      <c r="B2401" s="26" t="n"/>
      <c r="C2401" s="34" t="n"/>
      <c r="D2401" s="28" t="n"/>
      <c r="E2401" s="26" t="n"/>
      <c r="F2401" s="26" t="n"/>
      <c r="G2401" s="26" t="n"/>
      <c r="H2401" s="38" t="n"/>
      <c r="I2401" s="28" t="n"/>
      <c r="J2401" s="30">
        <f>IF(B2401="","",IFERROR(INDEX('Share classes'!$A$4:$A$203,MATCH(B2401,'Share classes'!$B$4:$B$203,0)),""))</f>
        <v/>
      </c>
      <c r="K2401" s="30">
        <f>IF(A2401="","",IFERROR(INDEX('Holders'!$B$4:$B$1003,MATCH(A2401,'Holders'!$A$4:$A$1003,0)),""))</f>
        <v/>
      </c>
      <c r="L2401" s="30">
        <f>IF(OR(A2401="",B2401="",D2401=""),"",IF(D2401=_xlfn.MAXIFS($D$4:$D$2503,$A$4:$A$2503,A2401,$B$4:$B$2503,B2401),"Yes","No"))</f>
        <v/>
      </c>
      <c r="M2401" s="30">
        <f>IF(B2401="","",IFERROR(INDEX('Share classes'!$F$4:$F$203,MATCH(B2401,'Share classes'!$B$4:$B$203,0)),""))</f>
        <v/>
      </c>
      <c r="N2401" s="30">
        <f>IF(A2401="","",IF(K2401="","Unknown holder ID",IF(J2401="","Unknown class code",IF(OR(C2401="",D2401=""),"Missing shares or date",IF(OR(C2401&lt;0,C2401&lt;&gt;INT(C2401)),"Shares must be a whole number",IF(COUNTIFS($A$4:$A$2503,A2401,$B$4:$B$2503,B2401,$D$4:$D$2503,D2401)&gt;1,"Duplicate row (same date)","OK"))))))</f>
        <v/>
      </c>
    </row>
    <row r="2402">
      <c r="A2402" s="26" t="n"/>
      <c r="B2402" s="26" t="n"/>
      <c r="C2402" s="34" t="n"/>
      <c r="D2402" s="28" t="n"/>
      <c r="E2402" s="26" t="n"/>
      <c r="F2402" s="26" t="n"/>
      <c r="G2402" s="26" t="n"/>
      <c r="H2402" s="38" t="n"/>
      <c r="I2402" s="28" t="n"/>
      <c r="J2402" s="30">
        <f>IF(B2402="","",IFERROR(INDEX('Share classes'!$A$4:$A$203,MATCH(B2402,'Share classes'!$B$4:$B$203,0)),""))</f>
        <v/>
      </c>
      <c r="K2402" s="30">
        <f>IF(A2402="","",IFERROR(INDEX('Holders'!$B$4:$B$1003,MATCH(A2402,'Holders'!$A$4:$A$1003,0)),""))</f>
        <v/>
      </c>
      <c r="L2402" s="30">
        <f>IF(OR(A2402="",B2402="",D2402=""),"",IF(D2402=_xlfn.MAXIFS($D$4:$D$2503,$A$4:$A$2503,A2402,$B$4:$B$2503,B2402),"Yes","No"))</f>
        <v/>
      </c>
      <c r="M2402" s="30">
        <f>IF(B2402="","",IFERROR(INDEX('Share classes'!$F$4:$F$203,MATCH(B2402,'Share classes'!$B$4:$B$203,0)),""))</f>
        <v/>
      </c>
      <c r="N2402" s="30">
        <f>IF(A2402="","",IF(K2402="","Unknown holder ID",IF(J2402="","Unknown class code",IF(OR(C2402="",D2402=""),"Missing shares or date",IF(OR(C2402&lt;0,C2402&lt;&gt;INT(C2402)),"Shares must be a whole number",IF(COUNTIFS($A$4:$A$2503,A2402,$B$4:$B$2503,B2402,$D$4:$D$2503,D2402)&gt;1,"Duplicate row (same date)","OK"))))))</f>
        <v/>
      </c>
    </row>
    <row r="2403">
      <c r="A2403" s="26" t="n"/>
      <c r="B2403" s="26" t="n"/>
      <c r="C2403" s="34" t="n"/>
      <c r="D2403" s="28" t="n"/>
      <c r="E2403" s="26" t="n"/>
      <c r="F2403" s="26" t="n"/>
      <c r="G2403" s="26" t="n"/>
      <c r="H2403" s="38" t="n"/>
      <c r="I2403" s="28" t="n"/>
      <c r="J2403" s="30">
        <f>IF(B2403="","",IFERROR(INDEX('Share classes'!$A$4:$A$203,MATCH(B2403,'Share classes'!$B$4:$B$203,0)),""))</f>
        <v/>
      </c>
      <c r="K2403" s="30">
        <f>IF(A2403="","",IFERROR(INDEX('Holders'!$B$4:$B$1003,MATCH(A2403,'Holders'!$A$4:$A$1003,0)),""))</f>
        <v/>
      </c>
      <c r="L2403" s="30">
        <f>IF(OR(A2403="",B2403="",D2403=""),"",IF(D2403=_xlfn.MAXIFS($D$4:$D$2503,$A$4:$A$2503,A2403,$B$4:$B$2503,B2403),"Yes","No"))</f>
        <v/>
      </c>
      <c r="M2403" s="30">
        <f>IF(B2403="","",IFERROR(INDEX('Share classes'!$F$4:$F$203,MATCH(B2403,'Share classes'!$B$4:$B$203,0)),""))</f>
        <v/>
      </c>
      <c r="N2403" s="30">
        <f>IF(A2403="","",IF(K2403="","Unknown holder ID",IF(J2403="","Unknown class code",IF(OR(C2403="",D2403=""),"Missing shares or date",IF(OR(C2403&lt;0,C2403&lt;&gt;INT(C2403)),"Shares must be a whole number",IF(COUNTIFS($A$4:$A$2503,A2403,$B$4:$B$2503,B2403,$D$4:$D$2503,D2403)&gt;1,"Duplicate row (same date)","OK"))))))</f>
        <v/>
      </c>
    </row>
    <row r="2404">
      <c r="A2404" s="26" t="n"/>
      <c r="B2404" s="26" t="n"/>
      <c r="C2404" s="34" t="n"/>
      <c r="D2404" s="28" t="n"/>
      <c r="E2404" s="26" t="n"/>
      <c r="F2404" s="26" t="n"/>
      <c r="G2404" s="26" t="n"/>
      <c r="H2404" s="38" t="n"/>
      <c r="I2404" s="28" t="n"/>
      <c r="J2404" s="30">
        <f>IF(B2404="","",IFERROR(INDEX('Share classes'!$A$4:$A$203,MATCH(B2404,'Share classes'!$B$4:$B$203,0)),""))</f>
        <v/>
      </c>
      <c r="K2404" s="30">
        <f>IF(A2404="","",IFERROR(INDEX('Holders'!$B$4:$B$1003,MATCH(A2404,'Holders'!$A$4:$A$1003,0)),""))</f>
        <v/>
      </c>
      <c r="L2404" s="30">
        <f>IF(OR(A2404="",B2404="",D2404=""),"",IF(D2404=_xlfn.MAXIFS($D$4:$D$2503,$A$4:$A$2503,A2404,$B$4:$B$2503,B2404),"Yes","No"))</f>
        <v/>
      </c>
      <c r="M2404" s="30">
        <f>IF(B2404="","",IFERROR(INDEX('Share classes'!$F$4:$F$203,MATCH(B2404,'Share classes'!$B$4:$B$203,0)),""))</f>
        <v/>
      </c>
      <c r="N2404" s="30">
        <f>IF(A2404="","",IF(K2404="","Unknown holder ID",IF(J2404="","Unknown class code",IF(OR(C2404="",D2404=""),"Missing shares or date",IF(OR(C2404&lt;0,C2404&lt;&gt;INT(C2404)),"Shares must be a whole number",IF(COUNTIFS($A$4:$A$2503,A2404,$B$4:$B$2503,B2404,$D$4:$D$2503,D2404)&gt;1,"Duplicate row (same date)","OK"))))))</f>
        <v/>
      </c>
    </row>
    <row r="2405">
      <c r="A2405" s="26" t="n"/>
      <c r="B2405" s="26" t="n"/>
      <c r="C2405" s="34" t="n"/>
      <c r="D2405" s="28" t="n"/>
      <c r="E2405" s="26" t="n"/>
      <c r="F2405" s="26" t="n"/>
      <c r="G2405" s="26" t="n"/>
      <c r="H2405" s="38" t="n"/>
      <c r="I2405" s="28" t="n"/>
      <c r="J2405" s="30">
        <f>IF(B2405="","",IFERROR(INDEX('Share classes'!$A$4:$A$203,MATCH(B2405,'Share classes'!$B$4:$B$203,0)),""))</f>
        <v/>
      </c>
      <c r="K2405" s="30">
        <f>IF(A2405="","",IFERROR(INDEX('Holders'!$B$4:$B$1003,MATCH(A2405,'Holders'!$A$4:$A$1003,0)),""))</f>
        <v/>
      </c>
      <c r="L2405" s="30">
        <f>IF(OR(A2405="",B2405="",D2405=""),"",IF(D2405=_xlfn.MAXIFS($D$4:$D$2503,$A$4:$A$2503,A2405,$B$4:$B$2503,B2405),"Yes","No"))</f>
        <v/>
      </c>
      <c r="M2405" s="30">
        <f>IF(B2405="","",IFERROR(INDEX('Share classes'!$F$4:$F$203,MATCH(B2405,'Share classes'!$B$4:$B$203,0)),""))</f>
        <v/>
      </c>
      <c r="N2405" s="30">
        <f>IF(A2405="","",IF(K2405="","Unknown holder ID",IF(J2405="","Unknown class code",IF(OR(C2405="",D2405=""),"Missing shares or date",IF(OR(C2405&lt;0,C2405&lt;&gt;INT(C2405)),"Shares must be a whole number",IF(COUNTIFS($A$4:$A$2503,A2405,$B$4:$B$2503,B2405,$D$4:$D$2503,D2405)&gt;1,"Duplicate row (same date)","OK"))))))</f>
        <v/>
      </c>
    </row>
    <row r="2406">
      <c r="A2406" s="26" t="n"/>
      <c r="B2406" s="26" t="n"/>
      <c r="C2406" s="34" t="n"/>
      <c r="D2406" s="28" t="n"/>
      <c r="E2406" s="26" t="n"/>
      <c r="F2406" s="26" t="n"/>
      <c r="G2406" s="26" t="n"/>
      <c r="H2406" s="38" t="n"/>
      <c r="I2406" s="28" t="n"/>
      <c r="J2406" s="30">
        <f>IF(B2406="","",IFERROR(INDEX('Share classes'!$A$4:$A$203,MATCH(B2406,'Share classes'!$B$4:$B$203,0)),""))</f>
        <v/>
      </c>
      <c r="K2406" s="30">
        <f>IF(A2406="","",IFERROR(INDEX('Holders'!$B$4:$B$1003,MATCH(A2406,'Holders'!$A$4:$A$1003,0)),""))</f>
        <v/>
      </c>
      <c r="L2406" s="30">
        <f>IF(OR(A2406="",B2406="",D2406=""),"",IF(D2406=_xlfn.MAXIFS($D$4:$D$2503,$A$4:$A$2503,A2406,$B$4:$B$2503,B2406),"Yes","No"))</f>
        <v/>
      </c>
      <c r="M2406" s="30">
        <f>IF(B2406="","",IFERROR(INDEX('Share classes'!$F$4:$F$203,MATCH(B2406,'Share classes'!$B$4:$B$203,0)),""))</f>
        <v/>
      </c>
      <c r="N2406" s="30">
        <f>IF(A2406="","",IF(K2406="","Unknown holder ID",IF(J2406="","Unknown class code",IF(OR(C2406="",D2406=""),"Missing shares or date",IF(OR(C2406&lt;0,C2406&lt;&gt;INT(C2406)),"Shares must be a whole number",IF(COUNTIFS($A$4:$A$2503,A2406,$B$4:$B$2503,B2406,$D$4:$D$2503,D2406)&gt;1,"Duplicate row (same date)","OK"))))))</f>
        <v/>
      </c>
    </row>
    <row r="2407">
      <c r="A2407" s="26" t="n"/>
      <c r="B2407" s="26" t="n"/>
      <c r="C2407" s="34" t="n"/>
      <c r="D2407" s="28" t="n"/>
      <c r="E2407" s="26" t="n"/>
      <c r="F2407" s="26" t="n"/>
      <c r="G2407" s="26" t="n"/>
      <c r="H2407" s="38" t="n"/>
      <c r="I2407" s="28" t="n"/>
      <c r="J2407" s="30">
        <f>IF(B2407="","",IFERROR(INDEX('Share classes'!$A$4:$A$203,MATCH(B2407,'Share classes'!$B$4:$B$203,0)),""))</f>
        <v/>
      </c>
      <c r="K2407" s="30">
        <f>IF(A2407="","",IFERROR(INDEX('Holders'!$B$4:$B$1003,MATCH(A2407,'Holders'!$A$4:$A$1003,0)),""))</f>
        <v/>
      </c>
      <c r="L2407" s="30">
        <f>IF(OR(A2407="",B2407="",D2407=""),"",IF(D2407=_xlfn.MAXIFS($D$4:$D$2503,$A$4:$A$2503,A2407,$B$4:$B$2503,B2407),"Yes","No"))</f>
        <v/>
      </c>
      <c r="M2407" s="30">
        <f>IF(B2407="","",IFERROR(INDEX('Share classes'!$F$4:$F$203,MATCH(B2407,'Share classes'!$B$4:$B$203,0)),""))</f>
        <v/>
      </c>
      <c r="N2407" s="30">
        <f>IF(A2407="","",IF(K2407="","Unknown holder ID",IF(J2407="","Unknown class code",IF(OR(C2407="",D2407=""),"Missing shares or date",IF(OR(C2407&lt;0,C2407&lt;&gt;INT(C2407)),"Shares must be a whole number",IF(COUNTIFS($A$4:$A$2503,A2407,$B$4:$B$2503,B2407,$D$4:$D$2503,D2407)&gt;1,"Duplicate row (same date)","OK"))))))</f>
        <v/>
      </c>
    </row>
    <row r="2408">
      <c r="A2408" s="26" t="n"/>
      <c r="B2408" s="26" t="n"/>
      <c r="C2408" s="34" t="n"/>
      <c r="D2408" s="28" t="n"/>
      <c r="E2408" s="26" t="n"/>
      <c r="F2408" s="26" t="n"/>
      <c r="G2408" s="26" t="n"/>
      <c r="H2408" s="38" t="n"/>
      <c r="I2408" s="28" t="n"/>
      <c r="J2408" s="30">
        <f>IF(B2408="","",IFERROR(INDEX('Share classes'!$A$4:$A$203,MATCH(B2408,'Share classes'!$B$4:$B$203,0)),""))</f>
        <v/>
      </c>
      <c r="K2408" s="30">
        <f>IF(A2408="","",IFERROR(INDEX('Holders'!$B$4:$B$1003,MATCH(A2408,'Holders'!$A$4:$A$1003,0)),""))</f>
        <v/>
      </c>
      <c r="L2408" s="30">
        <f>IF(OR(A2408="",B2408="",D2408=""),"",IF(D2408=_xlfn.MAXIFS($D$4:$D$2503,$A$4:$A$2503,A2408,$B$4:$B$2503,B2408),"Yes","No"))</f>
        <v/>
      </c>
      <c r="M2408" s="30">
        <f>IF(B2408="","",IFERROR(INDEX('Share classes'!$F$4:$F$203,MATCH(B2408,'Share classes'!$B$4:$B$203,0)),""))</f>
        <v/>
      </c>
      <c r="N2408" s="30">
        <f>IF(A2408="","",IF(K2408="","Unknown holder ID",IF(J2408="","Unknown class code",IF(OR(C2408="",D2408=""),"Missing shares or date",IF(OR(C2408&lt;0,C2408&lt;&gt;INT(C2408)),"Shares must be a whole number",IF(COUNTIFS($A$4:$A$2503,A2408,$B$4:$B$2503,B2408,$D$4:$D$2503,D2408)&gt;1,"Duplicate row (same date)","OK"))))))</f>
        <v/>
      </c>
    </row>
    <row r="2409">
      <c r="A2409" s="26" t="n"/>
      <c r="B2409" s="26" t="n"/>
      <c r="C2409" s="34" t="n"/>
      <c r="D2409" s="28" t="n"/>
      <c r="E2409" s="26" t="n"/>
      <c r="F2409" s="26" t="n"/>
      <c r="G2409" s="26" t="n"/>
      <c r="H2409" s="38" t="n"/>
      <c r="I2409" s="28" t="n"/>
      <c r="J2409" s="30">
        <f>IF(B2409="","",IFERROR(INDEX('Share classes'!$A$4:$A$203,MATCH(B2409,'Share classes'!$B$4:$B$203,0)),""))</f>
        <v/>
      </c>
      <c r="K2409" s="30">
        <f>IF(A2409="","",IFERROR(INDEX('Holders'!$B$4:$B$1003,MATCH(A2409,'Holders'!$A$4:$A$1003,0)),""))</f>
        <v/>
      </c>
      <c r="L2409" s="30">
        <f>IF(OR(A2409="",B2409="",D2409=""),"",IF(D2409=_xlfn.MAXIFS($D$4:$D$2503,$A$4:$A$2503,A2409,$B$4:$B$2503,B2409),"Yes","No"))</f>
        <v/>
      </c>
      <c r="M2409" s="30">
        <f>IF(B2409="","",IFERROR(INDEX('Share classes'!$F$4:$F$203,MATCH(B2409,'Share classes'!$B$4:$B$203,0)),""))</f>
        <v/>
      </c>
      <c r="N2409" s="30">
        <f>IF(A2409="","",IF(K2409="","Unknown holder ID",IF(J2409="","Unknown class code",IF(OR(C2409="",D2409=""),"Missing shares or date",IF(OR(C2409&lt;0,C2409&lt;&gt;INT(C2409)),"Shares must be a whole number",IF(COUNTIFS($A$4:$A$2503,A2409,$B$4:$B$2503,B2409,$D$4:$D$2503,D2409)&gt;1,"Duplicate row (same date)","OK"))))))</f>
        <v/>
      </c>
    </row>
    <row r="2410">
      <c r="A2410" s="26" t="n"/>
      <c r="B2410" s="26" t="n"/>
      <c r="C2410" s="34" t="n"/>
      <c r="D2410" s="28" t="n"/>
      <c r="E2410" s="26" t="n"/>
      <c r="F2410" s="26" t="n"/>
      <c r="G2410" s="26" t="n"/>
      <c r="H2410" s="38" t="n"/>
      <c r="I2410" s="28" t="n"/>
      <c r="J2410" s="30">
        <f>IF(B2410="","",IFERROR(INDEX('Share classes'!$A$4:$A$203,MATCH(B2410,'Share classes'!$B$4:$B$203,0)),""))</f>
        <v/>
      </c>
      <c r="K2410" s="30">
        <f>IF(A2410="","",IFERROR(INDEX('Holders'!$B$4:$B$1003,MATCH(A2410,'Holders'!$A$4:$A$1003,0)),""))</f>
        <v/>
      </c>
      <c r="L2410" s="30">
        <f>IF(OR(A2410="",B2410="",D2410=""),"",IF(D2410=_xlfn.MAXIFS($D$4:$D$2503,$A$4:$A$2503,A2410,$B$4:$B$2503,B2410),"Yes","No"))</f>
        <v/>
      </c>
      <c r="M2410" s="30">
        <f>IF(B2410="","",IFERROR(INDEX('Share classes'!$F$4:$F$203,MATCH(B2410,'Share classes'!$B$4:$B$203,0)),""))</f>
        <v/>
      </c>
      <c r="N2410" s="30">
        <f>IF(A2410="","",IF(K2410="","Unknown holder ID",IF(J2410="","Unknown class code",IF(OR(C2410="",D2410=""),"Missing shares or date",IF(OR(C2410&lt;0,C2410&lt;&gt;INT(C2410)),"Shares must be a whole number",IF(COUNTIFS($A$4:$A$2503,A2410,$B$4:$B$2503,B2410,$D$4:$D$2503,D2410)&gt;1,"Duplicate row (same date)","OK"))))))</f>
        <v/>
      </c>
    </row>
    <row r="2411">
      <c r="A2411" s="26" t="n"/>
      <c r="B2411" s="26" t="n"/>
      <c r="C2411" s="34" t="n"/>
      <c r="D2411" s="28" t="n"/>
      <c r="E2411" s="26" t="n"/>
      <c r="F2411" s="26" t="n"/>
      <c r="G2411" s="26" t="n"/>
      <c r="H2411" s="38" t="n"/>
      <c r="I2411" s="28" t="n"/>
      <c r="J2411" s="30">
        <f>IF(B2411="","",IFERROR(INDEX('Share classes'!$A$4:$A$203,MATCH(B2411,'Share classes'!$B$4:$B$203,0)),""))</f>
        <v/>
      </c>
      <c r="K2411" s="30">
        <f>IF(A2411="","",IFERROR(INDEX('Holders'!$B$4:$B$1003,MATCH(A2411,'Holders'!$A$4:$A$1003,0)),""))</f>
        <v/>
      </c>
      <c r="L2411" s="30">
        <f>IF(OR(A2411="",B2411="",D2411=""),"",IF(D2411=_xlfn.MAXIFS($D$4:$D$2503,$A$4:$A$2503,A2411,$B$4:$B$2503,B2411),"Yes","No"))</f>
        <v/>
      </c>
      <c r="M2411" s="30">
        <f>IF(B2411="","",IFERROR(INDEX('Share classes'!$F$4:$F$203,MATCH(B2411,'Share classes'!$B$4:$B$203,0)),""))</f>
        <v/>
      </c>
      <c r="N2411" s="30">
        <f>IF(A2411="","",IF(K2411="","Unknown holder ID",IF(J2411="","Unknown class code",IF(OR(C2411="",D2411=""),"Missing shares or date",IF(OR(C2411&lt;0,C2411&lt;&gt;INT(C2411)),"Shares must be a whole number",IF(COUNTIFS($A$4:$A$2503,A2411,$B$4:$B$2503,B2411,$D$4:$D$2503,D2411)&gt;1,"Duplicate row (same date)","OK"))))))</f>
        <v/>
      </c>
    </row>
    <row r="2412">
      <c r="A2412" s="26" t="n"/>
      <c r="B2412" s="26" t="n"/>
      <c r="C2412" s="34" t="n"/>
      <c r="D2412" s="28" t="n"/>
      <c r="E2412" s="26" t="n"/>
      <c r="F2412" s="26" t="n"/>
      <c r="G2412" s="26" t="n"/>
      <c r="H2412" s="38" t="n"/>
      <c r="I2412" s="28" t="n"/>
      <c r="J2412" s="30">
        <f>IF(B2412="","",IFERROR(INDEX('Share classes'!$A$4:$A$203,MATCH(B2412,'Share classes'!$B$4:$B$203,0)),""))</f>
        <v/>
      </c>
      <c r="K2412" s="30">
        <f>IF(A2412="","",IFERROR(INDEX('Holders'!$B$4:$B$1003,MATCH(A2412,'Holders'!$A$4:$A$1003,0)),""))</f>
        <v/>
      </c>
      <c r="L2412" s="30">
        <f>IF(OR(A2412="",B2412="",D2412=""),"",IF(D2412=_xlfn.MAXIFS($D$4:$D$2503,$A$4:$A$2503,A2412,$B$4:$B$2503,B2412),"Yes","No"))</f>
        <v/>
      </c>
      <c r="M2412" s="30">
        <f>IF(B2412="","",IFERROR(INDEX('Share classes'!$F$4:$F$203,MATCH(B2412,'Share classes'!$B$4:$B$203,0)),""))</f>
        <v/>
      </c>
      <c r="N2412" s="30">
        <f>IF(A2412="","",IF(K2412="","Unknown holder ID",IF(J2412="","Unknown class code",IF(OR(C2412="",D2412=""),"Missing shares or date",IF(OR(C2412&lt;0,C2412&lt;&gt;INT(C2412)),"Shares must be a whole number",IF(COUNTIFS($A$4:$A$2503,A2412,$B$4:$B$2503,B2412,$D$4:$D$2503,D2412)&gt;1,"Duplicate row (same date)","OK"))))))</f>
        <v/>
      </c>
    </row>
    <row r="2413">
      <c r="A2413" s="26" t="n"/>
      <c r="B2413" s="26" t="n"/>
      <c r="C2413" s="34" t="n"/>
      <c r="D2413" s="28" t="n"/>
      <c r="E2413" s="26" t="n"/>
      <c r="F2413" s="26" t="n"/>
      <c r="G2413" s="26" t="n"/>
      <c r="H2413" s="38" t="n"/>
      <c r="I2413" s="28" t="n"/>
      <c r="J2413" s="30">
        <f>IF(B2413="","",IFERROR(INDEX('Share classes'!$A$4:$A$203,MATCH(B2413,'Share classes'!$B$4:$B$203,0)),""))</f>
        <v/>
      </c>
      <c r="K2413" s="30">
        <f>IF(A2413="","",IFERROR(INDEX('Holders'!$B$4:$B$1003,MATCH(A2413,'Holders'!$A$4:$A$1003,0)),""))</f>
        <v/>
      </c>
      <c r="L2413" s="30">
        <f>IF(OR(A2413="",B2413="",D2413=""),"",IF(D2413=_xlfn.MAXIFS($D$4:$D$2503,$A$4:$A$2503,A2413,$B$4:$B$2503,B2413),"Yes","No"))</f>
        <v/>
      </c>
      <c r="M2413" s="30">
        <f>IF(B2413="","",IFERROR(INDEX('Share classes'!$F$4:$F$203,MATCH(B2413,'Share classes'!$B$4:$B$203,0)),""))</f>
        <v/>
      </c>
      <c r="N2413" s="30">
        <f>IF(A2413="","",IF(K2413="","Unknown holder ID",IF(J2413="","Unknown class code",IF(OR(C2413="",D2413=""),"Missing shares or date",IF(OR(C2413&lt;0,C2413&lt;&gt;INT(C2413)),"Shares must be a whole number",IF(COUNTIFS($A$4:$A$2503,A2413,$B$4:$B$2503,B2413,$D$4:$D$2503,D2413)&gt;1,"Duplicate row (same date)","OK"))))))</f>
        <v/>
      </c>
    </row>
    <row r="2414">
      <c r="A2414" s="26" t="n"/>
      <c r="B2414" s="26" t="n"/>
      <c r="C2414" s="34" t="n"/>
      <c r="D2414" s="28" t="n"/>
      <c r="E2414" s="26" t="n"/>
      <c r="F2414" s="26" t="n"/>
      <c r="G2414" s="26" t="n"/>
      <c r="H2414" s="38" t="n"/>
      <c r="I2414" s="28" t="n"/>
      <c r="J2414" s="30">
        <f>IF(B2414="","",IFERROR(INDEX('Share classes'!$A$4:$A$203,MATCH(B2414,'Share classes'!$B$4:$B$203,0)),""))</f>
        <v/>
      </c>
      <c r="K2414" s="30">
        <f>IF(A2414="","",IFERROR(INDEX('Holders'!$B$4:$B$1003,MATCH(A2414,'Holders'!$A$4:$A$1003,0)),""))</f>
        <v/>
      </c>
      <c r="L2414" s="30">
        <f>IF(OR(A2414="",B2414="",D2414=""),"",IF(D2414=_xlfn.MAXIFS($D$4:$D$2503,$A$4:$A$2503,A2414,$B$4:$B$2503,B2414),"Yes","No"))</f>
        <v/>
      </c>
      <c r="M2414" s="30">
        <f>IF(B2414="","",IFERROR(INDEX('Share classes'!$F$4:$F$203,MATCH(B2414,'Share classes'!$B$4:$B$203,0)),""))</f>
        <v/>
      </c>
      <c r="N2414" s="30">
        <f>IF(A2414="","",IF(K2414="","Unknown holder ID",IF(J2414="","Unknown class code",IF(OR(C2414="",D2414=""),"Missing shares or date",IF(OR(C2414&lt;0,C2414&lt;&gt;INT(C2414)),"Shares must be a whole number",IF(COUNTIFS($A$4:$A$2503,A2414,$B$4:$B$2503,B2414,$D$4:$D$2503,D2414)&gt;1,"Duplicate row (same date)","OK"))))))</f>
        <v/>
      </c>
    </row>
    <row r="2415">
      <c r="A2415" s="26" t="n"/>
      <c r="B2415" s="26" t="n"/>
      <c r="C2415" s="34" t="n"/>
      <c r="D2415" s="28" t="n"/>
      <c r="E2415" s="26" t="n"/>
      <c r="F2415" s="26" t="n"/>
      <c r="G2415" s="26" t="n"/>
      <c r="H2415" s="38" t="n"/>
      <c r="I2415" s="28" t="n"/>
      <c r="J2415" s="30">
        <f>IF(B2415="","",IFERROR(INDEX('Share classes'!$A$4:$A$203,MATCH(B2415,'Share classes'!$B$4:$B$203,0)),""))</f>
        <v/>
      </c>
      <c r="K2415" s="30">
        <f>IF(A2415="","",IFERROR(INDEX('Holders'!$B$4:$B$1003,MATCH(A2415,'Holders'!$A$4:$A$1003,0)),""))</f>
        <v/>
      </c>
      <c r="L2415" s="30">
        <f>IF(OR(A2415="",B2415="",D2415=""),"",IF(D2415=_xlfn.MAXIFS($D$4:$D$2503,$A$4:$A$2503,A2415,$B$4:$B$2503,B2415),"Yes","No"))</f>
        <v/>
      </c>
      <c r="M2415" s="30">
        <f>IF(B2415="","",IFERROR(INDEX('Share classes'!$F$4:$F$203,MATCH(B2415,'Share classes'!$B$4:$B$203,0)),""))</f>
        <v/>
      </c>
      <c r="N2415" s="30">
        <f>IF(A2415="","",IF(K2415="","Unknown holder ID",IF(J2415="","Unknown class code",IF(OR(C2415="",D2415=""),"Missing shares or date",IF(OR(C2415&lt;0,C2415&lt;&gt;INT(C2415)),"Shares must be a whole number",IF(COUNTIFS($A$4:$A$2503,A2415,$B$4:$B$2503,B2415,$D$4:$D$2503,D2415)&gt;1,"Duplicate row (same date)","OK"))))))</f>
        <v/>
      </c>
    </row>
    <row r="2416">
      <c r="A2416" s="26" t="n"/>
      <c r="B2416" s="26" t="n"/>
      <c r="C2416" s="34" t="n"/>
      <c r="D2416" s="28" t="n"/>
      <c r="E2416" s="26" t="n"/>
      <c r="F2416" s="26" t="n"/>
      <c r="G2416" s="26" t="n"/>
      <c r="H2416" s="38" t="n"/>
      <c r="I2416" s="28" t="n"/>
      <c r="J2416" s="30">
        <f>IF(B2416="","",IFERROR(INDEX('Share classes'!$A$4:$A$203,MATCH(B2416,'Share classes'!$B$4:$B$203,0)),""))</f>
        <v/>
      </c>
      <c r="K2416" s="30">
        <f>IF(A2416="","",IFERROR(INDEX('Holders'!$B$4:$B$1003,MATCH(A2416,'Holders'!$A$4:$A$1003,0)),""))</f>
        <v/>
      </c>
      <c r="L2416" s="30">
        <f>IF(OR(A2416="",B2416="",D2416=""),"",IF(D2416=_xlfn.MAXIFS($D$4:$D$2503,$A$4:$A$2503,A2416,$B$4:$B$2503,B2416),"Yes","No"))</f>
        <v/>
      </c>
      <c r="M2416" s="30">
        <f>IF(B2416="","",IFERROR(INDEX('Share classes'!$F$4:$F$203,MATCH(B2416,'Share classes'!$B$4:$B$203,0)),""))</f>
        <v/>
      </c>
      <c r="N2416" s="30">
        <f>IF(A2416="","",IF(K2416="","Unknown holder ID",IF(J2416="","Unknown class code",IF(OR(C2416="",D2416=""),"Missing shares or date",IF(OR(C2416&lt;0,C2416&lt;&gt;INT(C2416)),"Shares must be a whole number",IF(COUNTIFS($A$4:$A$2503,A2416,$B$4:$B$2503,B2416,$D$4:$D$2503,D2416)&gt;1,"Duplicate row (same date)","OK"))))))</f>
        <v/>
      </c>
    </row>
    <row r="2417">
      <c r="A2417" s="26" t="n"/>
      <c r="B2417" s="26" t="n"/>
      <c r="C2417" s="34" t="n"/>
      <c r="D2417" s="28" t="n"/>
      <c r="E2417" s="26" t="n"/>
      <c r="F2417" s="26" t="n"/>
      <c r="G2417" s="26" t="n"/>
      <c r="H2417" s="38" t="n"/>
      <c r="I2417" s="28" t="n"/>
      <c r="J2417" s="30">
        <f>IF(B2417="","",IFERROR(INDEX('Share classes'!$A$4:$A$203,MATCH(B2417,'Share classes'!$B$4:$B$203,0)),""))</f>
        <v/>
      </c>
      <c r="K2417" s="30">
        <f>IF(A2417="","",IFERROR(INDEX('Holders'!$B$4:$B$1003,MATCH(A2417,'Holders'!$A$4:$A$1003,0)),""))</f>
        <v/>
      </c>
      <c r="L2417" s="30">
        <f>IF(OR(A2417="",B2417="",D2417=""),"",IF(D2417=_xlfn.MAXIFS($D$4:$D$2503,$A$4:$A$2503,A2417,$B$4:$B$2503,B2417),"Yes","No"))</f>
        <v/>
      </c>
      <c r="M2417" s="30">
        <f>IF(B2417="","",IFERROR(INDEX('Share classes'!$F$4:$F$203,MATCH(B2417,'Share classes'!$B$4:$B$203,0)),""))</f>
        <v/>
      </c>
      <c r="N2417" s="30">
        <f>IF(A2417="","",IF(K2417="","Unknown holder ID",IF(J2417="","Unknown class code",IF(OR(C2417="",D2417=""),"Missing shares or date",IF(OR(C2417&lt;0,C2417&lt;&gt;INT(C2417)),"Shares must be a whole number",IF(COUNTIFS($A$4:$A$2503,A2417,$B$4:$B$2503,B2417,$D$4:$D$2503,D2417)&gt;1,"Duplicate row (same date)","OK"))))))</f>
        <v/>
      </c>
    </row>
    <row r="2418">
      <c r="A2418" s="26" t="n"/>
      <c r="B2418" s="26" t="n"/>
      <c r="C2418" s="34" t="n"/>
      <c r="D2418" s="28" t="n"/>
      <c r="E2418" s="26" t="n"/>
      <c r="F2418" s="26" t="n"/>
      <c r="G2418" s="26" t="n"/>
      <c r="H2418" s="38" t="n"/>
      <c r="I2418" s="28" t="n"/>
      <c r="J2418" s="30">
        <f>IF(B2418="","",IFERROR(INDEX('Share classes'!$A$4:$A$203,MATCH(B2418,'Share classes'!$B$4:$B$203,0)),""))</f>
        <v/>
      </c>
      <c r="K2418" s="30">
        <f>IF(A2418="","",IFERROR(INDEX('Holders'!$B$4:$B$1003,MATCH(A2418,'Holders'!$A$4:$A$1003,0)),""))</f>
        <v/>
      </c>
      <c r="L2418" s="30">
        <f>IF(OR(A2418="",B2418="",D2418=""),"",IF(D2418=_xlfn.MAXIFS($D$4:$D$2503,$A$4:$A$2503,A2418,$B$4:$B$2503,B2418),"Yes","No"))</f>
        <v/>
      </c>
      <c r="M2418" s="30">
        <f>IF(B2418="","",IFERROR(INDEX('Share classes'!$F$4:$F$203,MATCH(B2418,'Share classes'!$B$4:$B$203,0)),""))</f>
        <v/>
      </c>
      <c r="N2418" s="30">
        <f>IF(A2418="","",IF(K2418="","Unknown holder ID",IF(J2418="","Unknown class code",IF(OR(C2418="",D2418=""),"Missing shares or date",IF(OR(C2418&lt;0,C2418&lt;&gt;INT(C2418)),"Shares must be a whole number",IF(COUNTIFS($A$4:$A$2503,A2418,$B$4:$B$2503,B2418,$D$4:$D$2503,D2418)&gt;1,"Duplicate row (same date)","OK"))))))</f>
        <v/>
      </c>
    </row>
    <row r="2419">
      <c r="A2419" s="26" t="n"/>
      <c r="B2419" s="26" t="n"/>
      <c r="C2419" s="34" t="n"/>
      <c r="D2419" s="28" t="n"/>
      <c r="E2419" s="26" t="n"/>
      <c r="F2419" s="26" t="n"/>
      <c r="G2419" s="26" t="n"/>
      <c r="H2419" s="38" t="n"/>
      <c r="I2419" s="28" t="n"/>
      <c r="J2419" s="30">
        <f>IF(B2419="","",IFERROR(INDEX('Share classes'!$A$4:$A$203,MATCH(B2419,'Share classes'!$B$4:$B$203,0)),""))</f>
        <v/>
      </c>
      <c r="K2419" s="30">
        <f>IF(A2419="","",IFERROR(INDEX('Holders'!$B$4:$B$1003,MATCH(A2419,'Holders'!$A$4:$A$1003,0)),""))</f>
        <v/>
      </c>
      <c r="L2419" s="30">
        <f>IF(OR(A2419="",B2419="",D2419=""),"",IF(D2419=_xlfn.MAXIFS($D$4:$D$2503,$A$4:$A$2503,A2419,$B$4:$B$2503,B2419),"Yes","No"))</f>
        <v/>
      </c>
      <c r="M2419" s="30">
        <f>IF(B2419="","",IFERROR(INDEX('Share classes'!$F$4:$F$203,MATCH(B2419,'Share classes'!$B$4:$B$203,0)),""))</f>
        <v/>
      </c>
      <c r="N2419" s="30">
        <f>IF(A2419="","",IF(K2419="","Unknown holder ID",IF(J2419="","Unknown class code",IF(OR(C2419="",D2419=""),"Missing shares or date",IF(OR(C2419&lt;0,C2419&lt;&gt;INT(C2419)),"Shares must be a whole number",IF(COUNTIFS($A$4:$A$2503,A2419,$B$4:$B$2503,B2419,$D$4:$D$2503,D2419)&gt;1,"Duplicate row (same date)","OK"))))))</f>
        <v/>
      </c>
    </row>
    <row r="2420">
      <c r="A2420" s="26" t="n"/>
      <c r="B2420" s="26" t="n"/>
      <c r="C2420" s="34" t="n"/>
      <c r="D2420" s="28" t="n"/>
      <c r="E2420" s="26" t="n"/>
      <c r="F2420" s="26" t="n"/>
      <c r="G2420" s="26" t="n"/>
      <c r="H2420" s="38" t="n"/>
      <c r="I2420" s="28" t="n"/>
      <c r="J2420" s="30">
        <f>IF(B2420="","",IFERROR(INDEX('Share classes'!$A$4:$A$203,MATCH(B2420,'Share classes'!$B$4:$B$203,0)),""))</f>
        <v/>
      </c>
      <c r="K2420" s="30">
        <f>IF(A2420="","",IFERROR(INDEX('Holders'!$B$4:$B$1003,MATCH(A2420,'Holders'!$A$4:$A$1003,0)),""))</f>
        <v/>
      </c>
      <c r="L2420" s="30">
        <f>IF(OR(A2420="",B2420="",D2420=""),"",IF(D2420=_xlfn.MAXIFS($D$4:$D$2503,$A$4:$A$2503,A2420,$B$4:$B$2503,B2420),"Yes","No"))</f>
        <v/>
      </c>
      <c r="M2420" s="30">
        <f>IF(B2420="","",IFERROR(INDEX('Share classes'!$F$4:$F$203,MATCH(B2420,'Share classes'!$B$4:$B$203,0)),""))</f>
        <v/>
      </c>
      <c r="N2420" s="30">
        <f>IF(A2420="","",IF(K2420="","Unknown holder ID",IF(J2420="","Unknown class code",IF(OR(C2420="",D2420=""),"Missing shares or date",IF(OR(C2420&lt;0,C2420&lt;&gt;INT(C2420)),"Shares must be a whole number",IF(COUNTIFS($A$4:$A$2503,A2420,$B$4:$B$2503,B2420,$D$4:$D$2503,D2420)&gt;1,"Duplicate row (same date)","OK"))))))</f>
        <v/>
      </c>
    </row>
    <row r="2421">
      <c r="A2421" s="26" t="n"/>
      <c r="B2421" s="26" t="n"/>
      <c r="C2421" s="34" t="n"/>
      <c r="D2421" s="28" t="n"/>
      <c r="E2421" s="26" t="n"/>
      <c r="F2421" s="26" t="n"/>
      <c r="G2421" s="26" t="n"/>
      <c r="H2421" s="38" t="n"/>
      <c r="I2421" s="28" t="n"/>
      <c r="J2421" s="30">
        <f>IF(B2421="","",IFERROR(INDEX('Share classes'!$A$4:$A$203,MATCH(B2421,'Share classes'!$B$4:$B$203,0)),""))</f>
        <v/>
      </c>
      <c r="K2421" s="30">
        <f>IF(A2421="","",IFERROR(INDEX('Holders'!$B$4:$B$1003,MATCH(A2421,'Holders'!$A$4:$A$1003,0)),""))</f>
        <v/>
      </c>
      <c r="L2421" s="30">
        <f>IF(OR(A2421="",B2421="",D2421=""),"",IF(D2421=_xlfn.MAXIFS($D$4:$D$2503,$A$4:$A$2503,A2421,$B$4:$B$2503,B2421),"Yes","No"))</f>
        <v/>
      </c>
      <c r="M2421" s="30">
        <f>IF(B2421="","",IFERROR(INDEX('Share classes'!$F$4:$F$203,MATCH(B2421,'Share classes'!$B$4:$B$203,0)),""))</f>
        <v/>
      </c>
      <c r="N2421" s="30">
        <f>IF(A2421="","",IF(K2421="","Unknown holder ID",IF(J2421="","Unknown class code",IF(OR(C2421="",D2421=""),"Missing shares or date",IF(OR(C2421&lt;0,C2421&lt;&gt;INT(C2421)),"Shares must be a whole number",IF(COUNTIFS($A$4:$A$2503,A2421,$B$4:$B$2503,B2421,$D$4:$D$2503,D2421)&gt;1,"Duplicate row (same date)","OK"))))))</f>
        <v/>
      </c>
    </row>
    <row r="2422">
      <c r="A2422" s="26" t="n"/>
      <c r="B2422" s="26" t="n"/>
      <c r="C2422" s="34" t="n"/>
      <c r="D2422" s="28" t="n"/>
      <c r="E2422" s="26" t="n"/>
      <c r="F2422" s="26" t="n"/>
      <c r="G2422" s="26" t="n"/>
      <c r="H2422" s="38" t="n"/>
      <c r="I2422" s="28" t="n"/>
      <c r="J2422" s="30">
        <f>IF(B2422="","",IFERROR(INDEX('Share classes'!$A$4:$A$203,MATCH(B2422,'Share classes'!$B$4:$B$203,0)),""))</f>
        <v/>
      </c>
      <c r="K2422" s="30">
        <f>IF(A2422="","",IFERROR(INDEX('Holders'!$B$4:$B$1003,MATCH(A2422,'Holders'!$A$4:$A$1003,0)),""))</f>
        <v/>
      </c>
      <c r="L2422" s="30">
        <f>IF(OR(A2422="",B2422="",D2422=""),"",IF(D2422=_xlfn.MAXIFS($D$4:$D$2503,$A$4:$A$2503,A2422,$B$4:$B$2503,B2422),"Yes","No"))</f>
        <v/>
      </c>
      <c r="M2422" s="30">
        <f>IF(B2422="","",IFERROR(INDEX('Share classes'!$F$4:$F$203,MATCH(B2422,'Share classes'!$B$4:$B$203,0)),""))</f>
        <v/>
      </c>
      <c r="N2422" s="30">
        <f>IF(A2422="","",IF(K2422="","Unknown holder ID",IF(J2422="","Unknown class code",IF(OR(C2422="",D2422=""),"Missing shares or date",IF(OR(C2422&lt;0,C2422&lt;&gt;INT(C2422)),"Shares must be a whole number",IF(COUNTIFS($A$4:$A$2503,A2422,$B$4:$B$2503,B2422,$D$4:$D$2503,D2422)&gt;1,"Duplicate row (same date)","OK"))))))</f>
        <v/>
      </c>
    </row>
    <row r="2423">
      <c r="A2423" s="26" t="n"/>
      <c r="B2423" s="26" t="n"/>
      <c r="C2423" s="34" t="n"/>
      <c r="D2423" s="28" t="n"/>
      <c r="E2423" s="26" t="n"/>
      <c r="F2423" s="26" t="n"/>
      <c r="G2423" s="26" t="n"/>
      <c r="H2423" s="38" t="n"/>
      <c r="I2423" s="28" t="n"/>
      <c r="J2423" s="30">
        <f>IF(B2423="","",IFERROR(INDEX('Share classes'!$A$4:$A$203,MATCH(B2423,'Share classes'!$B$4:$B$203,0)),""))</f>
        <v/>
      </c>
      <c r="K2423" s="30">
        <f>IF(A2423="","",IFERROR(INDEX('Holders'!$B$4:$B$1003,MATCH(A2423,'Holders'!$A$4:$A$1003,0)),""))</f>
        <v/>
      </c>
      <c r="L2423" s="30">
        <f>IF(OR(A2423="",B2423="",D2423=""),"",IF(D2423=_xlfn.MAXIFS($D$4:$D$2503,$A$4:$A$2503,A2423,$B$4:$B$2503,B2423),"Yes","No"))</f>
        <v/>
      </c>
      <c r="M2423" s="30">
        <f>IF(B2423="","",IFERROR(INDEX('Share classes'!$F$4:$F$203,MATCH(B2423,'Share classes'!$B$4:$B$203,0)),""))</f>
        <v/>
      </c>
      <c r="N2423" s="30">
        <f>IF(A2423="","",IF(K2423="","Unknown holder ID",IF(J2423="","Unknown class code",IF(OR(C2423="",D2423=""),"Missing shares or date",IF(OR(C2423&lt;0,C2423&lt;&gt;INT(C2423)),"Shares must be a whole number",IF(COUNTIFS($A$4:$A$2503,A2423,$B$4:$B$2503,B2423,$D$4:$D$2503,D2423)&gt;1,"Duplicate row (same date)","OK"))))))</f>
        <v/>
      </c>
    </row>
    <row r="2424">
      <c r="A2424" s="26" t="n"/>
      <c r="B2424" s="26" t="n"/>
      <c r="C2424" s="34" t="n"/>
      <c r="D2424" s="28" t="n"/>
      <c r="E2424" s="26" t="n"/>
      <c r="F2424" s="26" t="n"/>
      <c r="G2424" s="26" t="n"/>
      <c r="H2424" s="38" t="n"/>
      <c r="I2424" s="28" t="n"/>
      <c r="J2424" s="30">
        <f>IF(B2424="","",IFERROR(INDEX('Share classes'!$A$4:$A$203,MATCH(B2424,'Share classes'!$B$4:$B$203,0)),""))</f>
        <v/>
      </c>
      <c r="K2424" s="30">
        <f>IF(A2424="","",IFERROR(INDEX('Holders'!$B$4:$B$1003,MATCH(A2424,'Holders'!$A$4:$A$1003,0)),""))</f>
        <v/>
      </c>
      <c r="L2424" s="30">
        <f>IF(OR(A2424="",B2424="",D2424=""),"",IF(D2424=_xlfn.MAXIFS($D$4:$D$2503,$A$4:$A$2503,A2424,$B$4:$B$2503,B2424),"Yes","No"))</f>
        <v/>
      </c>
      <c r="M2424" s="30">
        <f>IF(B2424="","",IFERROR(INDEX('Share classes'!$F$4:$F$203,MATCH(B2424,'Share classes'!$B$4:$B$203,0)),""))</f>
        <v/>
      </c>
      <c r="N2424" s="30">
        <f>IF(A2424="","",IF(K2424="","Unknown holder ID",IF(J2424="","Unknown class code",IF(OR(C2424="",D2424=""),"Missing shares or date",IF(OR(C2424&lt;0,C2424&lt;&gt;INT(C2424)),"Shares must be a whole number",IF(COUNTIFS($A$4:$A$2503,A2424,$B$4:$B$2503,B2424,$D$4:$D$2503,D2424)&gt;1,"Duplicate row (same date)","OK"))))))</f>
        <v/>
      </c>
    </row>
    <row r="2425">
      <c r="A2425" s="26" t="n"/>
      <c r="B2425" s="26" t="n"/>
      <c r="C2425" s="34" t="n"/>
      <c r="D2425" s="28" t="n"/>
      <c r="E2425" s="26" t="n"/>
      <c r="F2425" s="26" t="n"/>
      <c r="G2425" s="26" t="n"/>
      <c r="H2425" s="38" t="n"/>
      <c r="I2425" s="28" t="n"/>
      <c r="J2425" s="30">
        <f>IF(B2425="","",IFERROR(INDEX('Share classes'!$A$4:$A$203,MATCH(B2425,'Share classes'!$B$4:$B$203,0)),""))</f>
        <v/>
      </c>
      <c r="K2425" s="30">
        <f>IF(A2425="","",IFERROR(INDEX('Holders'!$B$4:$B$1003,MATCH(A2425,'Holders'!$A$4:$A$1003,0)),""))</f>
        <v/>
      </c>
      <c r="L2425" s="30">
        <f>IF(OR(A2425="",B2425="",D2425=""),"",IF(D2425=_xlfn.MAXIFS($D$4:$D$2503,$A$4:$A$2503,A2425,$B$4:$B$2503,B2425),"Yes","No"))</f>
        <v/>
      </c>
      <c r="M2425" s="30">
        <f>IF(B2425="","",IFERROR(INDEX('Share classes'!$F$4:$F$203,MATCH(B2425,'Share classes'!$B$4:$B$203,0)),""))</f>
        <v/>
      </c>
      <c r="N2425" s="30">
        <f>IF(A2425="","",IF(K2425="","Unknown holder ID",IF(J2425="","Unknown class code",IF(OR(C2425="",D2425=""),"Missing shares or date",IF(OR(C2425&lt;0,C2425&lt;&gt;INT(C2425)),"Shares must be a whole number",IF(COUNTIFS($A$4:$A$2503,A2425,$B$4:$B$2503,B2425,$D$4:$D$2503,D2425)&gt;1,"Duplicate row (same date)","OK"))))))</f>
        <v/>
      </c>
    </row>
    <row r="2426">
      <c r="A2426" s="26" t="n"/>
      <c r="B2426" s="26" t="n"/>
      <c r="C2426" s="34" t="n"/>
      <c r="D2426" s="28" t="n"/>
      <c r="E2426" s="26" t="n"/>
      <c r="F2426" s="26" t="n"/>
      <c r="G2426" s="26" t="n"/>
      <c r="H2426" s="38" t="n"/>
      <c r="I2426" s="28" t="n"/>
      <c r="J2426" s="30">
        <f>IF(B2426="","",IFERROR(INDEX('Share classes'!$A$4:$A$203,MATCH(B2426,'Share classes'!$B$4:$B$203,0)),""))</f>
        <v/>
      </c>
      <c r="K2426" s="30">
        <f>IF(A2426="","",IFERROR(INDEX('Holders'!$B$4:$B$1003,MATCH(A2426,'Holders'!$A$4:$A$1003,0)),""))</f>
        <v/>
      </c>
      <c r="L2426" s="30">
        <f>IF(OR(A2426="",B2426="",D2426=""),"",IF(D2426=_xlfn.MAXIFS($D$4:$D$2503,$A$4:$A$2503,A2426,$B$4:$B$2503,B2426),"Yes","No"))</f>
        <v/>
      </c>
      <c r="M2426" s="30">
        <f>IF(B2426="","",IFERROR(INDEX('Share classes'!$F$4:$F$203,MATCH(B2426,'Share classes'!$B$4:$B$203,0)),""))</f>
        <v/>
      </c>
      <c r="N2426" s="30">
        <f>IF(A2426="","",IF(K2426="","Unknown holder ID",IF(J2426="","Unknown class code",IF(OR(C2426="",D2426=""),"Missing shares or date",IF(OR(C2426&lt;0,C2426&lt;&gt;INT(C2426)),"Shares must be a whole number",IF(COUNTIFS($A$4:$A$2503,A2426,$B$4:$B$2503,B2426,$D$4:$D$2503,D2426)&gt;1,"Duplicate row (same date)","OK"))))))</f>
        <v/>
      </c>
    </row>
    <row r="2427">
      <c r="A2427" s="26" t="n"/>
      <c r="B2427" s="26" t="n"/>
      <c r="C2427" s="34" t="n"/>
      <c r="D2427" s="28" t="n"/>
      <c r="E2427" s="26" t="n"/>
      <c r="F2427" s="26" t="n"/>
      <c r="G2427" s="26" t="n"/>
      <c r="H2427" s="38" t="n"/>
      <c r="I2427" s="28" t="n"/>
      <c r="J2427" s="30">
        <f>IF(B2427="","",IFERROR(INDEX('Share classes'!$A$4:$A$203,MATCH(B2427,'Share classes'!$B$4:$B$203,0)),""))</f>
        <v/>
      </c>
      <c r="K2427" s="30">
        <f>IF(A2427="","",IFERROR(INDEX('Holders'!$B$4:$B$1003,MATCH(A2427,'Holders'!$A$4:$A$1003,0)),""))</f>
        <v/>
      </c>
      <c r="L2427" s="30">
        <f>IF(OR(A2427="",B2427="",D2427=""),"",IF(D2427=_xlfn.MAXIFS($D$4:$D$2503,$A$4:$A$2503,A2427,$B$4:$B$2503,B2427),"Yes","No"))</f>
        <v/>
      </c>
      <c r="M2427" s="30">
        <f>IF(B2427="","",IFERROR(INDEX('Share classes'!$F$4:$F$203,MATCH(B2427,'Share classes'!$B$4:$B$203,0)),""))</f>
        <v/>
      </c>
      <c r="N2427" s="30">
        <f>IF(A2427="","",IF(K2427="","Unknown holder ID",IF(J2427="","Unknown class code",IF(OR(C2427="",D2427=""),"Missing shares or date",IF(OR(C2427&lt;0,C2427&lt;&gt;INT(C2427)),"Shares must be a whole number",IF(COUNTIFS($A$4:$A$2503,A2427,$B$4:$B$2503,B2427,$D$4:$D$2503,D2427)&gt;1,"Duplicate row (same date)","OK"))))))</f>
        <v/>
      </c>
    </row>
    <row r="2428">
      <c r="A2428" s="26" t="n"/>
      <c r="B2428" s="26" t="n"/>
      <c r="C2428" s="34" t="n"/>
      <c r="D2428" s="28" t="n"/>
      <c r="E2428" s="26" t="n"/>
      <c r="F2428" s="26" t="n"/>
      <c r="G2428" s="26" t="n"/>
      <c r="H2428" s="38" t="n"/>
      <c r="I2428" s="28" t="n"/>
      <c r="J2428" s="30">
        <f>IF(B2428="","",IFERROR(INDEX('Share classes'!$A$4:$A$203,MATCH(B2428,'Share classes'!$B$4:$B$203,0)),""))</f>
        <v/>
      </c>
      <c r="K2428" s="30">
        <f>IF(A2428="","",IFERROR(INDEX('Holders'!$B$4:$B$1003,MATCH(A2428,'Holders'!$A$4:$A$1003,0)),""))</f>
        <v/>
      </c>
      <c r="L2428" s="30">
        <f>IF(OR(A2428="",B2428="",D2428=""),"",IF(D2428=_xlfn.MAXIFS($D$4:$D$2503,$A$4:$A$2503,A2428,$B$4:$B$2503,B2428),"Yes","No"))</f>
        <v/>
      </c>
      <c r="M2428" s="30">
        <f>IF(B2428="","",IFERROR(INDEX('Share classes'!$F$4:$F$203,MATCH(B2428,'Share classes'!$B$4:$B$203,0)),""))</f>
        <v/>
      </c>
      <c r="N2428" s="30">
        <f>IF(A2428="","",IF(K2428="","Unknown holder ID",IF(J2428="","Unknown class code",IF(OR(C2428="",D2428=""),"Missing shares or date",IF(OR(C2428&lt;0,C2428&lt;&gt;INT(C2428)),"Shares must be a whole number",IF(COUNTIFS($A$4:$A$2503,A2428,$B$4:$B$2503,B2428,$D$4:$D$2503,D2428)&gt;1,"Duplicate row (same date)","OK"))))))</f>
        <v/>
      </c>
    </row>
    <row r="2429">
      <c r="A2429" s="26" t="n"/>
      <c r="B2429" s="26" t="n"/>
      <c r="C2429" s="34" t="n"/>
      <c r="D2429" s="28" t="n"/>
      <c r="E2429" s="26" t="n"/>
      <c r="F2429" s="26" t="n"/>
      <c r="G2429" s="26" t="n"/>
      <c r="H2429" s="38" t="n"/>
      <c r="I2429" s="28" t="n"/>
      <c r="J2429" s="30">
        <f>IF(B2429="","",IFERROR(INDEX('Share classes'!$A$4:$A$203,MATCH(B2429,'Share classes'!$B$4:$B$203,0)),""))</f>
        <v/>
      </c>
      <c r="K2429" s="30">
        <f>IF(A2429="","",IFERROR(INDEX('Holders'!$B$4:$B$1003,MATCH(A2429,'Holders'!$A$4:$A$1003,0)),""))</f>
        <v/>
      </c>
      <c r="L2429" s="30">
        <f>IF(OR(A2429="",B2429="",D2429=""),"",IF(D2429=_xlfn.MAXIFS($D$4:$D$2503,$A$4:$A$2503,A2429,$B$4:$B$2503,B2429),"Yes","No"))</f>
        <v/>
      </c>
      <c r="M2429" s="30">
        <f>IF(B2429="","",IFERROR(INDEX('Share classes'!$F$4:$F$203,MATCH(B2429,'Share classes'!$B$4:$B$203,0)),""))</f>
        <v/>
      </c>
      <c r="N2429" s="30">
        <f>IF(A2429="","",IF(K2429="","Unknown holder ID",IF(J2429="","Unknown class code",IF(OR(C2429="",D2429=""),"Missing shares or date",IF(OR(C2429&lt;0,C2429&lt;&gt;INT(C2429)),"Shares must be a whole number",IF(COUNTIFS($A$4:$A$2503,A2429,$B$4:$B$2503,B2429,$D$4:$D$2503,D2429)&gt;1,"Duplicate row (same date)","OK"))))))</f>
        <v/>
      </c>
    </row>
    <row r="2430">
      <c r="A2430" s="26" t="n"/>
      <c r="B2430" s="26" t="n"/>
      <c r="C2430" s="34" t="n"/>
      <c r="D2430" s="28" t="n"/>
      <c r="E2430" s="26" t="n"/>
      <c r="F2430" s="26" t="n"/>
      <c r="G2430" s="26" t="n"/>
      <c r="H2430" s="38" t="n"/>
      <c r="I2430" s="28" t="n"/>
      <c r="J2430" s="30">
        <f>IF(B2430="","",IFERROR(INDEX('Share classes'!$A$4:$A$203,MATCH(B2430,'Share classes'!$B$4:$B$203,0)),""))</f>
        <v/>
      </c>
      <c r="K2430" s="30">
        <f>IF(A2430="","",IFERROR(INDEX('Holders'!$B$4:$B$1003,MATCH(A2430,'Holders'!$A$4:$A$1003,0)),""))</f>
        <v/>
      </c>
      <c r="L2430" s="30">
        <f>IF(OR(A2430="",B2430="",D2430=""),"",IF(D2430=_xlfn.MAXIFS($D$4:$D$2503,$A$4:$A$2503,A2430,$B$4:$B$2503,B2430),"Yes","No"))</f>
        <v/>
      </c>
      <c r="M2430" s="30">
        <f>IF(B2430="","",IFERROR(INDEX('Share classes'!$F$4:$F$203,MATCH(B2430,'Share classes'!$B$4:$B$203,0)),""))</f>
        <v/>
      </c>
      <c r="N2430" s="30">
        <f>IF(A2430="","",IF(K2430="","Unknown holder ID",IF(J2430="","Unknown class code",IF(OR(C2430="",D2430=""),"Missing shares or date",IF(OR(C2430&lt;0,C2430&lt;&gt;INT(C2430)),"Shares must be a whole number",IF(COUNTIFS($A$4:$A$2503,A2430,$B$4:$B$2503,B2430,$D$4:$D$2503,D2430)&gt;1,"Duplicate row (same date)","OK"))))))</f>
        <v/>
      </c>
    </row>
    <row r="2431">
      <c r="A2431" s="26" t="n"/>
      <c r="B2431" s="26" t="n"/>
      <c r="C2431" s="34" t="n"/>
      <c r="D2431" s="28" t="n"/>
      <c r="E2431" s="26" t="n"/>
      <c r="F2431" s="26" t="n"/>
      <c r="G2431" s="26" t="n"/>
      <c r="H2431" s="38" t="n"/>
      <c r="I2431" s="28" t="n"/>
      <c r="J2431" s="30">
        <f>IF(B2431="","",IFERROR(INDEX('Share classes'!$A$4:$A$203,MATCH(B2431,'Share classes'!$B$4:$B$203,0)),""))</f>
        <v/>
      </c>
      <c r="K2431" s="30">
        <f>IF(A2431="","",IFERROR(INDEX('Holders'!$B$4:$B$1003,MATCH(A2431,'Holders'!$A$4:$A$1003,0)),""))</f>
        <v/>
      </c>
      <c r="L2431" s="30">
        <f>IF(OR(A2431="",B2431="",D2431=""),"",IF(D2431=_xlfn.MAXIFS($D$4:$D$2503,$A$4:$A$2503,A2431,$B$4:$B$2503,B2431),"Yes","No"))</f>
        <v/>
      </c>
      <c r="M2431" s="30">
        <f>IF(B2431="","",IFERROR(INDEX('Share classes'!$F$4:$F$203,MATCH(B2431,'Share classes'!$B$4:$B$203,0)),""))</f>
        <v/>
      </c>
      <c r="N2431" s="30">
        <f>IF(A2431="","",IF(K2431="","Unknown holder ID",IF(J2431="","Unknown class code",IF(OR(C2431="",D2431=""),"Missing shares or date",IF(OR(C2431&lt;0,C2431&lt;&gt;INT(C2431)),"Shares must be a whole number",IF(COUNTIFS($A$4:$A$2503,A2431,$B$4:$B$2503,B2431,$D$4:$D$2503,D2431)&gt;1,"Duplicate row (same date)","OK"))))))</f>
        <v/>
      </c>
    </row>
    <row r="2432">
      <c r="A2432" s="26" t="n"/>
      <c r="B2432" s="26" t="n"/>
      <c r="C2432" s="34" t="n"/>
      <c r="D2432" s="28" t="n"/>
      <c r="E2432" s="26" t="n"/>
      <c r="F2432" s="26" t="n"/>
      <c r="G2432" s="26" t="n"/>
      <c r="H2432" s="38" t="n"/>
      <c r="I2432" s="28" t="n"/>
      <c r="J2432" s="30">
        <f>IF(B2432="","",IFERROR(INDEX('Share classes'!$A$4:$A$203,MATCH(B2432,'Share classes'!$B$4:$B$203,0)),""))</f>
        <v/>
      </c>
      <c r="K2432" s="30">
        <f>IF(A2432="","",IFERROR(INDEX('Holders'!$B$4:$B$1003,MATCH(A2432,'Holders'!$A$4:$A$1003,0)),""))</f>
        <v/>
      </c>
      <c r="L2432" s="30">
        <f>IF(OR(A2432="",B2432="",D2432=""),"",IF(D2432=_xlfn.MAXIFS($D$4:$D$2503,$A$4:$A$2503,A2432,$B$4:$B$2503,B2432),"Yes","No"))</f>
        <v/>
      </c>
      <c r="M2432" s="30">
        <f>IF(B2432="","",IFERROR(INDEX('Share classes'!$F$4:$F$203,MATCH(B2432,'Share classes'!$B$4:$B$203,0)),""))</f>
        <v/>
      </c>
      <c r="N2432" s="30">
        <f>IF(A2432="","",IF(K2432="","Unknown holder ID",IF(J2432="","Unknown class code",IF(OR(C2432="",D2432=""),"Missing shares or date",IF(OR(C2432&lt;0,C2432&lt;&gt;INT(C2432)),"Shares must be a whole number",IF(COUNTIFS($A$4:$A$2503,A2432,$B$4:$B$2503,B2432,$D$4:$D$2503,D2432)&gt;1,"Duplicate row (same date)","OK"))))))</f>
        <v/>
      </c>
    </row>
    <row r="2433">
      <c r="A2433" s="26" t="n"/>
      <c r="B2433" s="26" t="n"/>
      <c r="C2433" s="34" t="n"/>
      <c r="D2433" s="28" t="n"/>
      <c r="E2433" s="26" t="n"/>
      <c r="F2433" s="26" t="n"/>
      <c r="G2433" s="26" t="n"/>
      <c r="H2433" s="38" t="n"/>
      <c r="I2433" s="28" t="n"/>
      <c r="J2433" s="30">
        <f>IF(B2433="","",IFERROR(INDEX('Share classes'!$A$4:$A$203,MATCH(B2433,'Share classes'!$B$4:$B$203,0)),""))</f>
        <v/>
      </c>
      <c r="K2433" s="30">
        <f>IF(A2433="","",IFERROR(INDEX('Holders'!$B$4:$B$1003,MATCH(A2433,'Holders'!$A$4:$A$1003,0)),""))</f>
        <v/>
      </c>
      <c r="L2433" s="30">
        <f>IF(OR(A2433="",B2433="",D2433=""),"",IF(D2433=_xlfn.MAXIFS($D$4:$D$2503,$A$4:$A$2503,A2433,$B$4:$B$2503,B2433),"Yes","No"))</f>
        <v/>
      </c>
      <c r="M2433" s="30">
        <f>IF(B2433="","",IFERROR(INDEX('Share classes'!$F$4:$F$203,MATCH(B2433,'Share classes'!$B$4:$B$203,0)),""))</f>
        <v/>
      </c>
      <c r="N2433" s="30">
        <f>IF(A2433="","",IF(K2433="","Unknown holder ID",IF(J2433="","Unknown class code",IF(OR(C2433="",D2433=""),"Missing shares or date",IF(OR(C2433&lt;0,C2433&lt;&gt;INT(C2433)),"Shares must be a whole number",IF(COUNTIFS($A$4:$A$2503,A2433,$B$4:$B$2503,B2433,$D$4:$D$2503,D2433)&gt;1,"Duplicate row (same date)","OK"))))))</f>
        <v/>
      </c>
    </row>
    <row r="2434">
      <c r="A2434" s="26" t="n"/>
      <c r="B2434" s="26" t="n"/>
      <c r="C2434" s="34" t="n"/>
      <c r="D2434" s="28" t="n"/>
      <c r="E2434" s="26" t="n"/>
      <c r="F2434" s="26" t="n"/>
      <c r="G2434" s="26" t="n"/>
      <c r="H2434" s="38" t="n"/>
      <c r="I2434" s="28" t="n"/>
      <c r="J2434" s="30">
        <f>IF(B2434="","",IFERROR(INDEX('Share classes'!$A$4:$A$203,MATCH(B2434,'Share classes'!$B$4:$B$203,0)),""))</f>
        <v/>
      </c>
      <c r="K2434" s="30">
        <f>IF(A2434="","",IFERROR(INDEX('Holders'!$B$4:$B$1003,MATCH(A2434,'Holders'!$A$4:$A$1003,0)),""))</f>
        <v/>
      </c>
      <c r="L2434" s="30">
        <f>IF(OR(A2434="",B2434="",D2434=""),"",IF(D2434=_xlfn.MAXIFS($D$4:$D$2503,$A$4:$A$2503,A2434,$B$4:$B$2503,B2434),"Yes","No"))</f>
        <v/>
      </c>
      <c r="M2434" s="30">
        <f>IF(B2434="","",IFERROR(INDEX('Share classes'!$F$4:$F$203,MATCH(B2434,'Share classes'!$B$4:$B$203,0)),""))</f>
        <v/>
      </c>
      <c r="N2434" s="30">
        <f>IF(A2434="","",IF(K2434="","Unknown holder ID",IF(J2434="","Unknown class code",IF(OR(C2434="",D2434=""),"Missing shares or date",IF(OR(C2434&lt;0,C2434&lt;&gt;INT(C2434)),"Shares must be a whole number",IF(COUNTIFS($A$4:$A$2503,A2434,$B$4:$B$2503,B2434,$D$4:$D$2503,D2434)&gt;1,"Duplicate row (same date)","OK"))))))</f>
        <v/>
      </c>
    </row>
    <row r="2435">
      <c r="A2435" s="26" t="n"/>
      <c r="B2435" s="26" t="n"/>
      <c r="C2435" s="34" t="n"/>
      <c r="D2435" s="28" t="n"/>
      <c r="E2435" s="26" t="n"/>
      <c r="F2435" s="26" t="n"/>
      <c r="G2435" s="26" t="n"/>
      <c r="H2435" s="38" t="n"/>
      <c r="I2435" s="28" t="n"/>
      <c r="J2435" s="30">
        <f>IF(B2435="","",IFERROR(INDEX('Share classes'!$A$4:$A$203,MATCH(B2435,'Share classes'!$B$4:$B$203,0)),""))</f>
        <v/>
      </c>
      <c r="K2435" s="30">
        <f>IF(A2435="","",IFERROR(INDEX('Holders'!$B$4:$B$1003,MATCH(A2435,'Holders'!$A$4:$A$1003,0)),""))</f>
        <v/>
      </c>
      <c r="L2435" s="30">
        <f>IF(OR(A2435="",B2435="",D2435=""),"",IF(D2435=_xlfn.MAXIFS($D$4:$D$2503,$A$4:$A$2503,A2435,$B$4:$B$2503,B2435),"Yes","No"))</f>
        <v/>
      </c>
      <c r="M2435" s="30">
        <f>IF(B2435="","",IFERROR(INDEX('Share classes'!$F$4:$F$203,MATCH(B2435,'Share classes'!$B$4:$B$203,0)),""))</f>
        <v/>
      </c>
      <c r="N2435" s="30">
        <f>IF(A2435="","",IF(K2435="","Unknown holder ID",IF(J2435="","Unknown class code",IF(OR(C2435="",D2435=""),"Missing shares or date",IF(OR(C2435&lt;0,C2435&lt;&gt;INT(C2435)),"Shares must be a whole number",IF(COUNTIFS($A$4:$A$2503,A2435,$B$4:$B$2503,B2435,$D$4:$D$2503,D2435)&gt;1,"Duplicate row (same date)","OK"))))))</f>
        <v/>
      </c>
    </row>
    <row r="2436">
      <c r="A2436" s="26" t="n"/>
      <c r="B2436" s="26" t="n"/>
      <c r="C2436" s="34" t="n"/>
      <c r="D2436" s="28" t="n"/>
      <c r="E2436" s="26" t="n"/>
      <c r="F2436" s="26" t="n"/>
      <c r="G2436" s="26" t="n"/>
      <c r="H2436" s="38" t="n"/>
      <c r="I2436" s="28" t="n"/>
      <c r="J2436" s="30">
        <f>IF(B2436="","",IFERROR(INDEX('Share classes'!$A$4:$A$203,MATCH(B2436,'Share classes'!$B$4:$B$203,0)),""))</f>
        <v/>
      </c>
      <c r="K2436" s="30">
        <f>IF(A2436="","",IFERROR(INDEX('Holders'!$B$4:$B$1003,MATCH(A2436,'Holders'!$A$4:$A$1003,0)),""))</f>
        <v/>
      </c>
      <c r="L2436" s="30">
        <f>IF(OR(A2436="",B2436="",D2436=""),"",IF(D2436=_xlfn.MAXIFS($D$4:$D$2503,$A$4:$A$2503,A2436,$B$4:$B$2503,B2436),"Yes","No"))</f>
        <v/>
      </c>
      <c r="M2436" s="30">
        <f>IF(B2436="","",IFERROR(INDEX('Share classes'!$F$4:$F$203,MATCH(B2436,'Share classes'!$B$4:$B$203,0)),""))</f>
        <v/>
      </c>
      <c r="N2436" s="30">
        <f>IF(A2436="","",IF(K2436="","Unknown holder ID",IF(J2436="","Unknown class code",IF(OR(C2436="",D2436=""),"Missing shares or date",IF(OR(C2436&lt;0,C2436&lt;&gt;INT(C2436)),"Shares must be a whole number",IF(COUNTIFS($A$4:$A$2503,A2436,$B$4:$B$2503,B2436,$D$4:$D$2503,D2436)&gt;1,"Duplicate row (same date)","OK"))))))</f>
        <v/>
      </c>
    </row>
    <row r="2437">
      <c r="A2437" s="26" t="n"/>
      <c r="B2437" s="26" t="n"/>
      <c r="C2437" s="34" t="n"/>
      <c r="D2437" s="28" t="n"/>
      <c r="E2437" s="26" t="n"/>
      <c r="F2437" s="26" t="n"/>
      <c r="G2437" s="26" t="n"/>
      <c r="H2437" s="38" t="n"/>
      <c r="I2437" s="28" t="n"/>
      <c r="J2437" s="30">
        <f>IF(B2437="","",IFERROR(INDEX('Share classes'!$A$4:$A$203,MATCH(B2437,'Share classes'!$B$4:$B$203,0)),""))</f>
        <v/>
      </c>
      <c r="K2437" s="30">
        <f>IF(A2437="","",IFERROR(INDEX('Holders'!$B$4:$B$1003,MATCH(A2437,'Holders'!$A$4:$A$1003,0)),""))</f>
        <v/>
      </c>
      <c r="L2437" s="30">
        <f>IF(OR(A2437="",B2437="",D2437=""),"",IF(D2437=_xlfn.MAXIFS($D$4:$D$2503,$A$4:$A$2503,A2437,$B$4:$B$2503,B2437),"Yes","No"))</f>
        <v/>
      </c>
      <c r="M2437" s="30">
        <f>IF(B2437="","",IFERROR(INDEX('Share classes'!$F$4:$F$203,MATCH(B2437,'Share classes'!$B$4:$B$203,0)),""))</f>
        <v/>
      </c>
      <c r="N2437" s="30">
        <f>IF(A2437="","",IF(K2437="","Unknown holder ID",IF(J2437="","Unknown class code",IF(OR(C2437="",D2437=""),"Missing shares or date",IF(OR(C2437&lt;0,C2437&lt;&gt;INT(C2437)),"Shares must be a whole number",IF(COUNTIFS($A$4:$A$2503,A2437,$B$4:$B$2503,B2437,$D$4:$D$2503,D2437)&gt;1,"Duplicate row (same date)","OK"))))))</f>
        <v/>
      </c>
    </row>
    <row r="2438">
      <c r="A2438" s="26" t="n"/>
      <c r="B2438" s="26" t="n"/>
      <c r="C2438" s="34" t="n"/>
      <c r="D2438" s="28" t="n"/>
      <c r="E2438" s="26" t="n"/>
      <c r="F2438" s="26" t="n"/>
      <c r="G2438" s="26" t="n"/>
      <c r="H2438" s="38" t="n"/>
      <c r="I2438" s="28" t="n"/>
      <c r="J2438" s="30">
        <f>IF(B2438="","",IFERROR(INDEX('Share classes'!$A$4:$A$203,MATCH(B2438,'Share classes'!$B$4:$B$203,0)),""))</f>
        <v/>
      </c>
      <c r="K2438" s="30">
        <f>IF(A2438="","",IFERROR(INDEX('Holders'!$B$4:$B$1003,MATCH(A2438,'Holders'!$A$4:$A$1003,0)),""))</f>
        <v/>
      </c>
      <c r="L2438" s="30">
        <f>IF(OR(A2438="",B2438="",D2438=""),"",IF(D2438=_xlfn.MAXIFS($D$4:$D$2503,$A$4:$A$2503,A2438,$B$4:$B$2503,B2438),"Yes","No"))</f>
        <v/>
      </c>
      <c r="M2438" s="30">
        <f>IF(B2438="","",IFERROR(INDEX('Share classes'!$F$4:$F$203,MATCH(B2438,'Share classes'!$B$4:$B$203,0)),""))</f>
        <v/>
      </c>
      <c r="N2438" s="30">
        <f>IF(A2438="","",IF(K2438="","Unknown holder ID",IF(J2438="","Unknown class code",IF(OR(C2438="",D2438=""),"Missing shares or date",IF(OR(C2438&lt;0,C2438&lt;&gt;INT(C2438)),"Shares must be a whole number",IF(COUNTIFS($A$4:$A$2503,A2438,$B$4:$B$2503,B2438,$D$4:$D$2503,D2438)&gt;1,"Duplicate row (same date)","OK"))))))</f>
        <v/>
      </c>
    </row>
    <row r="2439">
      <c r="A2439" s="26" t="n"/>
      <c r="B2439" s="26" t="n"/>
      <c r="C2439" s="34" t="n"/>
      <c r="D2439" s="28" t="n"/>
      <c r="E2439" s="26" t="n"/>
      <c r="F2439" s="26" t="n"/>
      <c r="G2439" s="26" t="n"/>
      <c r="H2439" s="38" t="n"/>
      <c r="I2439" s="28" t="n"/>
      <c r="J2439" s="30">
        <f>IF(B2439="","",IFERROR(INDEX('Share classes'!$A$4:$A$203,MATCH(B2439,'Share classes'!$B$4:$B$203,0)),""))</f>
        <v/>
      </c>
      <c r="K2439" s="30">
        <f>IF(A2439="","",IFERROR(INDEX('Holders'!$B$4:$B$1003,MATCH(A2439,'Holders'!$A$4:$A$1003,0)),""))</f>
        <v/>
      </c>
      <c r="L2439" s="30">
        <f>IF(OR(A2439="",B2439="",D2439=""),"",IF(D2439=_xlfn.MAXIFS($D$4:$D$2503,$A$4:$A$2503,A2439,$B$4:$B$2503,B2439),"Yes","No"))</f>
        <v/>
      </c>
      <c r="M2439" s="30">
        <f>IF(B2439="","",IFERROR(INDEX('Share classes'!$F$4:$F$203,MATCH(B2439,'Share classes'!$B$4:$B$203,0)),""))</f>
        <v/>
      </c>
      <c r="N2439" s="30">
        <f>IF(A2439="","",IF(K2439="","Unknown holder ID",IF(J2439="","Unknown class code",IF(OR(C2439="",D2439=""),"Missing shares or date",IF(OR(C2439&lt;0,C2439&lt;&gt;INT(C2439)),"Shares must be a whole number",IF(COUNTIFS($A$4:$A$2503,A2439,$B$4:$B$2503,B2439,$D$4:$D$2503,D2439)&gt;1,"Duplicate row (same date)","OK"))))))</f>
        <v/>
      </c>
    </row>
    <row r="2440">
      <c r="A2440" s="26" t="n"/>
      <c r="B2440" s="26" t="n"/>
      <c r="C2440" s="34" t="n"/>
      <c r="D2440" s="28" t="n"/>
      <c r="E2440" s="26" t="n"/>
      <c r="F2440" s="26" t="n"/>
      <c r="G2440" s="26" t="n"/>
      <c r="H2440" s="38" t="n"/>
      <c r="I2440" s="28" t="n"/>
      <c r="J2440" s="30">
        <f>IF(B2440="","",IFERROR(INDEX('Share classes'!$A$4:$A$203,MATCH(B2440,'Share classes'!$B$4:$B$203,0)),""))</f>
        <v/>
      </c>
      <c r="K2440" s="30">
        <f>IF(A2440="","",IFERROR(INDEX('Holders'!$B$4:$B$1003,MATCH(A2440,'Holders'!$A$4:$A$1003,0)),""))</f>
        <v/>
      </c>
      <c r="L2440" s="30">
        <f>IF(OR(A2440="",B2440="",D2440=""),"",IF(D2440=_xlfn.MAXIFS($D$4:$D$2503,$A$4:$A$2503,A2440,$B$4:$B$2503,B2440),"Yes","No"))</f>
        <v/>
      </c>
      <c r="M2440" s="30">
        <f>IF(B2440="","",IFERROR(INDEX('Share classes'!$F$4:$F$203,MATCH(B2440,'Share classes'!$B$4:$B$203,0)),""))</f>
        <v/>
      </c>
      <c r="N2440" s="30">
        <f>IF(A2440="","",IF(K2440="","Unknown holder ID",IF(J2440="","Unknown class code",IF(OR(C2440="",D2440=""),"Missing shares or date",IF(OR(C2440&lt;0,C2440&lt;&gt;INT(C2440)),"Shares must be a whole number",IF(COUNTIFS($A$4:$A$2503,A2440,$B$4:$B$2503,B2440,$D$4:$D$2503,D2440)&gt;1,"Duplicate row (same date)","OK"))))))</f>
        <v/>
      </c>
    </row>
    <row r="2441">
      <c r="A2441" s="26" t="n"/>
      <c r="B2441" s="26" t="n"/>
      <c r="C2441" s="34" t="n"/>
      <c r="D2441" s="28" t="n"/>
      <c r="E2441" s="26" t="n"/>
      <c r="F2441" s="26" t="n"/>
      <c r="G2441" s="26" t="n"/>
      <c r="H2441" s="38" t="n"/>
      <c r="I2441" s="28" t="n"/>
      <c r="J2441" s="30">
        <f>IF(B2441="","",IFERROR(INDEX('Share classes'!$A$4:$A$203,MATCH(B2441,'Share classes'!$B$4:$B$203,0)),""))</f>
        <v/>
      </c>
      <c r="K2441" s="30">
        <f>IF(A2441="","",IFERROR(INDEX('Holders'!$B$4:$B$1003,MATCH(A2441,'Holders'!$A$4:$A$1003,0)),""))</f>
        <v/>
      </c>
      <c r="L2441" s="30">
        <f>IF(OR(A2441="",B2441="",D2441=""),"",IF(D2441=_xlfn.MAXIFS($D$4:$D$2503,$A$4:$A$2503,A2441,$B$4:$B$2503,B2441),"Yes","No"))</f>
        <v/>
      </c>
      <c r="M2441" s="30">
        <f>IF(B2441="","",IFERROR(INDEX('Share classes'!$F$4:$F$203,MATCH(B2441,'Share classes'!$B$4:$B$203,0)),""))</f>
        <v/>
      </c>
      <c r="N2441" s="30">
        <f>IF(A2441="","",IF(K2441="","Unknown holder ID",IF(J2441="","Unknown class code",IF(OR(C2441="",D2441=""),"Missing shares or date",IF(OR(C2441&lt;0,C2441&lt;&gt;INT(C2441)),"Shares must be a whole number",IF(COUNTIFS($A$4:$A$2503,A2441,$B$4:$B$2503,B2441,$D$4:$D$2503,D2441)&gt;1,"Duplicate row (same date)","OK"))))))</f>
        <v/>
      </c>
    </row>
    <row r="2442">
      <c r="A2442" s="26" t="n"/>
      <c r="B2442" s="26" t="n"/>
      <c r="C2442" s="34" t="n"/>
      <c r="D2442" s="28" t="n"/>
      <c r="E2442" s="26" t="n"/>
      <c r="F2442" s="26" t="n"/>
      <c r="G2442" s="26" t="n"/>
      <c r="H2442" s="38" t="n"/>
      <c r="I2442" s="28" t="n"/>
      <c r="J2442" s="30">
        <f>IF(B2442="","",IFERROR(INDEX('Share classes'!$A$4:$A$203,MATCH(B2442,'Share classes'!$B$4:$B$203,0)),""))</f>
        <v/>
      </c>
      <c r="K2442" s="30">
        <f>IF(A2442="","",IFERROR(INDEX('Holders'!$B$4:$B$1003,MATCH(A2442,'Holders'!$A$4:$A$1003,0)),""))</f>
        <v/>
      </c>
      <c r="L2442" s="30">
        <f>IF(OR(A2442="",B2442="",D2442=""),"",IF(D2442=_xlfn.MAXIFS($D$4:$D$2503,$A$4:$A$2503,A2442,$B$4:$B$2503,B2442),"Yes","No"))</f>
        <v/>
      </c>
      <c r="M2442" s="30">
        <f>IF(B2442="","",IFERROR(INDEX('Share classes'!$F$4:$F$203,MATCH(B2442,'Share classes'!$B$4:$B$203,0)),""))</f>
        <v/>
      </c>
      <c r="N2442" s="30">
        <f>IF(A2442="","",IF(K2442="","Unknown holder ID",IF(J2442="","Unknown class code",IF(OR(C2442="",D2442=""),"Missing shares or date",IF(OR(C2442&lt;0,C2442&lt;&gt;INT(C2442)),"Shares must be a whole number",IF(COUNTIFS($A$4:$A$2503,A2442,$B$4:$B$2503,B2442,$D$4:$D$2503,D2442)&gt;1,"Duplicate row (same date)","OK"))))))</f>
        <v/>
      </c>
    </row>
    <row r="2443">
      <c r="A2443" s="26" t="n"/>
      <c r="B2443" s="26" t="n"/>
      <c r="C2443" s="34" t="n"/>
      <c r="D2443" s="28" t="n"/>
      <c r="E2443" s="26" t="n"/>
      <c r="F2443" s="26" t="n"/>
      <c r="G2443" s="26" t="n"/>
      <c r="H2443" s="38" t="n"/>
      <c r="I2443" s="28" t="n"/>
      <c r="J2443" s="30">
        <f>IF(B2443="","",IFERROR(INDEX('Share classes'!$A$4:$A$203,MATCH(B2443,'Share classes'!$B$4:$B$203,0)),""))</f>
        <v/>
      </c>
      <c r="K2443" s="30">
        <f>IF(A2443="","",IFERROR(INDEX('Holders'!$B$4:$B$1003,MATCH(A2443,'Holders'!$A$4:$A$1003,0)),""))</f>
        <v/>
      </c>
      <c r="L2443" s="30">
        <f>IF(OR(A2443="",B2443="",D2443=""),"",IF(D2443=_xlfn.MAXIFS($D$4:$D$2503,$A$4:$A$2503,A2443,$B$4:$B$2503,B2443),"Yes","No"))</f>
        <v/>
      </c>
      <c r="M2443" s="30">
        <f>IF(B2443="","",IFERROR(INDEX('Share classes'!$F$4:$F$203,MATCH(B2443,'Share classes'!$B$4:$B$203,0)),""))</f>
        <v/>
      </c>
      <c r="N2443" s="30">
        <f>IF(A2443="","",IF(K2443="","Unknown holder ID",IF(J2443="","Unknown class code",IF(OR(C2443="",D2443=""),"Missing shares or date",IF(OR(C2443&lt;0,C2443&lt;&gt;INT(C2443)),"Shares must be a whole number",IF(COUNTIFS($A$4:$A$2503,A2443,$B$4:$B$2503,B2443,$D$4:$D$2503,D2443)&gt;1,"Duplicate row (same date)","OK"))))))</f>
        <v/>
      </c>
    </row>
    <row r="2444">
      <c r="A2444" s="26" t="n"/>
      <c r="B2444" s="26" t="n"/>
      <c r="C2444" s="34" t="n"/>
      <c r="D2444" s="28" t="n"/>
      <c r="E2444" s="26" t="n"/>
      <c r="F2444" s="26" t="n"/>
      <c r="G2444" s="26" t="n"/>
      <c r="H2444" s="38" t="n"/>
      <c r="I2444" s="28" t="n"/>
      <c r="J2444" s="30">
        <f>IF(B2444="","",IFERROR(INDEX('Share classes'!$A$4:$A$203,MATCH(B2444,'Share classes'!$B$4:$B$203,0)),""))</f>
        <v/>
      </c>
      <c r="K2444" s="30">
        <f>IF(A2444="","",IFERROR(INDEX('Holders'!$B$4:$B$1003,MATCH(A2444,'Holders'!$A$4:$A$1003,0)),""))</f>
        <v/>
      </c>
      <c r="L2444" s="30">
        <f>IF(OR(A2444="",B2444="",D2444=""),"",IF(D2444=_xlfn.MAXIFS($D$4:$D$2503,$A$4:$A$2503,A2444,$B$4:$B$2503,B2444),"Yes","No"))</f>
        <v/>
      </c>
      <c r="M2444" s="30">
        <f>IF(B2444="","",IFERROR(INDEX('Share classes'!$F$4:$F$203,MATCH(B2444,'Share classes'!$B$4:$B$203,0)),""))</f>
        <v/>
      </c>
      <c r="N2444" s="30">
        <f>IF(A2444="","",IF(K2444="","Unknown holder ID",IF(J2444="","Unknown class code",IF(OR(C2444="",D2444=""),"Missing shares or date",IF(OR(C2444&lt;0,C2444&lt;&gt;INT(C2444)),"Shares must be a whole number",IF(COUNTIFS($A$4:$A$2503,A2444,$B$4:$B$2503,B2444,$D$4:$D$2503,D2444)&gt;1,"Duplicate row (same date)","OK"))))))</f>
        <v/>
      </c>
    </row>
    <row r="2445">
      <c r="A2445" s="26" t="n"/>
      <c r="B2445" s="26" t="n"/>
      <c r="C2445" s="34" t="n"/>
      <c r="D2445" s="28" t="n"/>
      <c r="E2445" s="26" t="n"/>
      <c r="F2445" s="26" t="n"/>
      <c r="G2445" s="26" t="n"/>
      <c r="H2445" s="38" t="n"/>
      <c r="I2445" s="28" t="n"/>
      <c r="J2445" s="30">
        <f>IF(B2445="","",IFERROR(INDEX('Share classes'!$A$4:$A$203,MATCH(B2445,'Share classes'!$B$4:$B$203,0)),""))</f>
        <v/>
      </c>
      <c r="K2445" s="30">
        <f>IF(A2445="","",IFERROR(INDEX('Holders'!$B$4:$B$1003,MATCH(A2445,'Holders'!$A$4:$A$1003,0)),""))</f>
        <v/>
      </c>
      <c r="L2445" s="30">
        <f>IF(OR(A2445="",B2445="",D2445=""),"",IF(D2445=_xlfn.MAXIFS($D$4:$D$2503,$A$4:$A$2503,A2445,$B$4:$B$2503,B2445),"Yes","No"))</f>
        <v/>
      </c>
      <c r="M2445" s="30">
        <f>IF(B2445="","",IFERROR(INDEX('Share classes'!$F$4:$F$203,MATCH(B2445,'Share classes'!$B$4:$B$203,0)),""))</f>
        <v/>
      </c>
      <c r="N2445" s="30">
        <f>IF(A2445="","",IF(K2445="","Unknown holder ID",IF(J2445="","Unknown class code",IF(OR(C2445="",D2445=""),"Missing shares or date",IF(OR(C2445&lt;0,C2445&lt;&gt;INT(C2445)),"Shares must be a whole number",IF(COUNTIFS($A$4:$A$2503,A2445,$B$4:$B$2503,B2445,$D$4:$D$2503,D2445)&gt;1,"Duplicate row (same date)","OK"))))))</f>
        <v/>
      </c>
    </row>
    <row r="2446">
      <c r="A2446" s="26" t="n"/>
      <c r="B2446" s="26" t="n"/>
      <c r="C2446" s="34" t="n"/>
      <c r="D2446" s="28" t="n"/>
      <c r="E2446" s="26" t="n"/>
      <c r="F2446" s="26" t="n"/>
      <c r="G2446" s="26" t="n"/>
      <c r="H2446" s="38" t="n"/>
      <c r="I2446" s="28" t="n"/>
      <c r="J2446" s="30">
        <f>IF(B2446="","",IFERROR(INDEX('Share classes'!$A$4:$A$203,MATCH(B2446,'Share classes'!$B$4:$B$203,0)),""))</f>
        <v/>
      </c>
      <c r="K2446" s="30">
        <f>IF(A2446="","",IFERROR(INDEX('Holders'!$B$4:$B$1003,MATCH(A2446,'Holders'!$A$4:$A$1003,0)),""))</f>
        <v/>
      </c>
      <c r="L2446" s="30">
        <f>IF(OR(A2446="",B2446="",D2446=""),"",IF(D2446=_xlfn.MAXIFS($D$4:$D$2503,$A$4:$A$2503,A2446,$B$4:$B$2503,B2446),"Yes","No"))</f>
        <v/>
      </c>
      <c r="M2446" s="30">
        <f>IF(B2446="","",IFERROR(INDEX('Share classes'!$F$4:$F$203,MATCH(B2446,'Share classes'!$B$4:$B$203,0)),""))</f>
        <v/>
      </c>
      <c r="N2446" s="30">
        <f>IF(A2446="","",IF(K2446="","Unknown holder ID",IF(J2446="","Unknown class code",IF(OR(C2446="",D2446=""),"Missing shares or date",IF(OR(C2446&lt;0,C2446&lt;&gt;INT(C2446)),"Shares must be a whole number",IF(COUNTIFS($A$4:$A$2503,A2446,$B$4:$B$2503,B2446,$D$4:$D$2503,D2446)&gt;1,"Duplicate row (same date)","OK"))))))</f>
        <v/>
      </c>
    </row>
    <row r="2447">
      <c r="A2447" s="26" t="n"/>
      <c r="B2447" s="26" t="n"/>
      <c r="C2447" s="34" t="n"/>
      <c r="D2447" s="28" t="n"/>
      <c r="E2447" s="26" t="n"/>
      <c r="F2447" s="26" t="n"/>
      <c r="G2447" s="26" t="n"/>
      <c r="H2447" s="38" t="n"/>
      <c r="I2447" s="28" t="n"/>
      <c r="J2447" s="30">
        <f>IF(B2447="","",IFERROR(INDEX('Share classes'!$A$4:$A$203,MATCH(B2447,'Share classes'!$B$4:$B$203,0)),""))</f>
        <v/>
      </c>
      <c r="K2447" s="30">
        <f>IF(A2447="","",IFERROR(INDEX('Holders'!$B$4:$B$1003,MATCH(A2447,'Holders'!$A$4:$A$1003,0)),""))</f>
        <v/>
      </c>
      <c r="L2447" s="30">
        <f>IF(OR(A2447="",B2447="",D2447=""),"",IF(D2447=_xlfn.MAXIFS($D$4:$D$2503,$A$4:$A$2503,A2447,$B$4:$B$2503,B2447),"Yes","No"))</f>
        <v/>
      </c>
      <c r="M2447" s="30">
        <f>IF(B2447="","",IFERROR(INDEX('Share classes'!$F$4:$F$203,MATCH(B2447,'Share classes'!$B$4:$B$203,0)),""))</f>
        <v/>
      </c>
      <c r="N2447" s="30">
        <f>IF(A2447="","",IF(K2447="","Unknown holder ID",IF(J2447="","Unknown class code",IF(OR(C2447="",D2447=""),"Missing shares or date",IF(OR(C2447&lt;0,C2447&lt;&gt;INT(C2447)),"Shares must be a whole number",IF(COUNTIFS($A$4:$A$2503,A2447,$B$4:$B$2503,B2447,$D$4:$D$2503,D2447)&gt;1,"Duplicate row (same date)","OK"))))))</f>
        <v/>
      </c>
    </row>
    <row r="2448">
      <c r="A2448" s="26" t="n"/>
      <c r="B2448" s="26" t="n"/>
      <c r="C2448" s="34" t="n"/>
      <c r="D2448" s="28" t="n"/>
      <c r="E2448" s="26" t="n"/>
      <c r="F2448" s="26" t="n"/>
      <c r="G2448" s="26" t="n"/>
      <c r="H2448" s="38" t="n"/>
      <c r="I2448" s="28" t="n"/>
      <c r="J2448" s="30">
        <f>IF(B2448="","",IFERROR(INDEX('Share classes'!$A$4:$A$203,MATCH(B2448,'Share classes'!$B$4:$B$203,0)),""))</f>
        <v/>
      </c>
      <c r="K2448" s="30">
        <f>IF(A2448="","",IFERROR(INDEX('Holders'!$B$4:$B$1003,MATCH(A2448,'Holders'!$A$4:$A$1003,0)),""))</f>
        <v/>
      </c>
      <c r="L2448" s="30">
        <f>IF(OR(A2448="",B2448="",D2448=""),"",IF(D2448=_xlfn.MAXIFS($D$4:$D$2503,$A$4:$A$2503,A2448,$B$4:$B$2503,B2448),"Yes","No"))</f>
        <v/>
      </c>
      <c r="M2448" s="30">
        <f>IF(B2448="","",IFERROR(INDEX('Share classes'!$F$4:$F$203,MATCH(B2448,'Share classes'!$B$4:$B$203,0)),""))</f>
        <v/>
      </c>
      <c r="N2448" s="30">
        <f>IF(A2448="","",IF(K2448="","Unknown holder ID",IF(J2448="","Unknown class code",IF(OR(C2448="",D2448=""),"Missing shares or date",IF(OR(C2448&lt;0,C2448&lt;&gt;INT(C2448)),"Shares must be a whole number",IF(COUNTIFS($A$4:$A$2503,A2448,$B$4:$B$2503,B2448,$D$4:$D$2503,D2448)&gt;1,"Duplicate row (same date)","OK"))))))</f>
        <v/>
      </c>
    </row>
    <row r="2449">
      <c r="A2449" s="26" t="n"/>
      <c r="B2449" s="26" t="n"/>
      <c r="C2449" s="34" t="n"/>
      <c r="D2449" s="28" t="n"/>
      <c r="E2449" s="26" t="n"/>
      <c r="F2449" s="26" t="n"/>
      <c r="G2449" s="26" t="n"/>
      <c r="H2449" s="38" t="n"/>
      <c r="I2449" s="28" t="n"/>
      <c r="J2449" s="30">
        <f>IF(B2449="","",IFERROR(INDEX('Share classes'!$A$4:$A$203,MATCH(B2449,'Share classes'!$B$4:$B$203,0)),""))</f>
        <v/>
      </c>
      <c r="K2449" s="30">
        <f>IF(A2449="","",IFERROR(INDEX('Holders'!$B$4:$B$1003,MATCH(A2449,'Holders'!$A$4:$A$1003,0)),""))</f>
        <v/>
      </c>
      <c r="L2449" s="30">
        <f>IF(OR(A2449="",B2449="",D2449=""),"",IF(D2449=_xlfn.MAXIFS($D$4:$D$2503,$A$4:$A$2503,A2449,$B$4:$B$2503,B2449),"Yes","No"))</f>
        <v/>
      </c>
      <c r="M2449" s="30">
        <f>IF(B2449="","",IFERROR(INDEX('Share classes'!$F$4:$F$203,MATCH(B2449,'Share classes'!$B$4:$B$203,0)),""))</f>
        <v/>
      </c>
      <c r="N2449" s="30">
        <f>IF(A2449="","",IF(K2449="","Unknown holder ID",IF(J2449="","Unknown class code",IF(OR(C2449="",D2449=""),"Missing shares or date",IF(OR(C2449&lt;0,C2449&lt;&gt;INT(C2449)),"Shares must be a whole number",IF(COUNTIFS($A$4:$A$2503,A2449,$B$4:$B$2503,B2449,$D$4:$D$2503,D2449)&gt;1,"Duplicate row (same date)","OK"))))))</f>
        <v/>
      </c>
    </row>
    <row r="2450">
      <c r="A2450" s="26" t="n"/>
      <c r="B2450" s="26" t="n"/>
      <c r="C2450" s="34" t="n"/>
      <c r="D2450" s="28" t="n"/>
      <c r="E2450" s="26" t="n"/>
      <c r="F2450" s="26" t="n"/>
      <c r="G2450" s="26" t="n"/>
      <c r="H2450" s="38" t="n"/>
      <c r="I2450" s="28" t="n"/>
      <c r="J2450" s="30">
        <f>IF(B2450="","",IFERROR(INDEX('Share classes'!$A$4:$A$203,MATCH(B2450,'Share classes'!$B$4:$B$203,0)),""))</f>
        <v/>
      </c>
      <c r="K2450" s="30">
        <f>IF(A2450="","",IFERROR(INDEX('Holders'!$B$4:$B$1003,MATCH(A2450,'Holders'!$A$4:$A$1003,0)),""))</f>
        <v/>
      </c>
      <c r="L2450" s="30">
        <f>IF(OR(A2450="",B2450="",D2450=""),"",IF(D2450=_xlfn.MAXIFS($D$4:$D$2503,$A$4:$A$2503,A2450,$B$4:$B$2503,B2450),"Yes","No"))</f>
        <v/>
      </c>
      <c r="M2450" s="30">
        <f>IF(B2450="","",IFERROR(INDEX('Share classes'!$F$4:$F$203,MATCH(B2450,'Share classes'!$B$4:$B$203,0)),""))</f>
        <v/>
      </c>
      <c r="N2450" s="30">
        <f>IF(A2450="","",IF(K2450="","Unknown holder ID",IF(J2450="","Unknown class code",IF(OR(C2450="",D2450=""),"Missing shares or date",IF(OR(C2450&lt;0,C2450&lt;&gt;INT(C2450)),"Shares must be a whole number",IF(COUNTIFS($A$4:$A$2503,A2450,$B$4:$B$2503,B2450,$D$4:$D$2503,D2450)&gt;1,"Duplicate row (same date)","OK"))))))</f>
        <v/>
      </c>
    </row>
    <row r="2451">
      <c r="A2451" s="26" t="n"/>
      <c r="B2451" s="26" t="n"/>
      <c r="C2451" s="34" t="n"/>
      <c r="D2451" s="28" t="n"/>
      <c r="E2451" s="26" t="n"/>
      <c r="F2451" s="26" t="n"/>
      <c r="G2451" s="26" t="n"/>
      <c r="H2451" s="38" t="n"/>
      <c r="I2451" s="28" t="n"/>
      <c r="J2451" s="30">
        <f>IF(B2451="","",IFERROR(INDEX('Share classes'!$A$4:$A$203,MATCH(B2451,'Share classes'!$B$4:$B$203,0)),""))</f>
        <v/>
      </c>
      <c r="K2451" s="30">
        <f>IF(A2451="","",IFERROR(INDEX('Holders'!$B$4:$B$1003,MATCH(A2451,'Holders'!$A$4:$A$1003,0)),""))</f>
        <v/>
      </c>
      <c r="L2451" s="30">
        <f>IF(OR(A2451="",B2451="",D2451=""),"",IF(D2451=_xlfn.MAXIFS($D$4:$D$2503,$A$4:$A$2503,A2451,$B$4:$B$2503,B2451),"Yes","No"))</f>
        <v/>
      </c>
      <c r="M2451" s="30">
        <f>IF(B2451="","",IFERROR(INDEX('Share classes'!$F$4:$F$203,MATCH(B2451,'Share classes'!$B$4:$B$203,0)),""))</f>
        <v/>
      </c>
      <c r="N2451" s="30">
        <f>IF(A2451="","",IF(K2451="","Unknown holder ID",IF(J2451="","Unknown class code",IF(OR(C2451="",D2451=""),"Missing shares or date",IF(OR(C2451&lt;0,C2451&lt;&gt;INT(C2451)),"Shares must be a whole number",IF(COUNTIFS($A$4:$A$2503,A2451,$B$4:$B$2503,B2451,$D$4:$D$2503,D2451)&gt;1,"Duplicate row (same date)","OK"))))))</f>
        <v/>
      </c>
    </row>
    <row r="2452">
      <c r="A2452" s="26" t="n"/>
      <c r="B2452" s="26" t="n"/>
      <c r="C2452" s="34" t="n"/>
      <c r="D2452" s="28" t="n"/>
      <c r="E2452" s="26" t="n"/>
      <c r="F2452" s="26" t="n"/>
      <c r="G2452" s="26" t="n"/>
      <c r="H2452" s="38" t="n"/>
      <c r="I2452" s="28" t="n"/>
      <c r="J2452" s="30">
        <f>IF(B2452="","",IFERROR(INDEX('Share classes'!$A$4:$A$203,MATCH(B2452,'Share classes'!$B$4:$B$203,0)),""))</f>
        <v/>
      </c>
      <c r="K2452" s="30">
        <f>IF(A2452="","",IFERROR(INDEX('Holders'!$B$4:$B$1003,MATCH(A2452,'Holders'!$A$4:$A$1003,0)),""))</f>
        <v/>
      </c>
      <c r="L2452" s="30">
        <f>IF(OR(A2452="",B2452="",D2452=""),"",IF(D2452=_xlfn.MAXIFS($D$4:$D$2503,$A$4:$A$2503,A2452,$B$4:$B$2503,B2452),"Yes","No"))</f>
        <v/>
      </c>
      <c r="M2452" s="30">
        <f>IF(B2452="","",IFERROR(INDEX('Share classes'!$F$4:$F$203,MATCH(B2452,'Share classes'!$B$4:$B$203,0)),""))</f>
        <v/>
      </c>
      <c r="N2452" s="30">
        <f>IF(A2452="","",IF(K2452="","Unknown holder ID",IF(J2452="","Unknown class code",IF(OR(C2452="",D2452=""),"Missing shares or date",IF(OR(C2452&lt;0,C2452&lt;&gt;INT(C2452)),"Shares must be a whole number",IF(COUNTIFS($A$4:$A$2503,A2452,$B$4:$B$2503,B2452,$D$4:$D$2503,D2452)&gt;1,"Duplicate row (same date)","OK"))))))</f>
        <v/>
      </c>
    </row>
    <row r="2453">
      <c r="A2453" s="26" t="n"/>
      <c r="B2453" s="26" t="n"/>
      <c r="C2453" s="34" t="n"/>
      <c r="D2453" s="28" t="n"/>
      <c r="E2453" s="26" t="n"/>
      <c r="F2453" s="26" t="n"/>
      <c r="G2453" s="26" t="n"/>
      <c r="H2453" s="38" t="n"/>
      <c r="I2453" s="28" t="n"/>
      <c r="J2453" s="30">
        <f>IF(B2453="","",IFERROR(INDEX('Share classes'!$A$4:$A$203,MATCH(B2453,'Share classes'!$B$4:$B$203,0)),""))</f>
        <v/>
      </c>
      <c r="K2453" s="30">
        <f>IF(A2453="","",IFERROR(INDEX('Holders'!$B$4:$B$1003,MATCH(A2453,'Holders'!$A$4:$A$1003,0)),""))</f>
        <v/>
      </c>
      <c r="L2453" s="30">
        <f>IF(OR(A2453="",B2453="",D2453=""),"",IF(D2453=_xlfn.MAXIFS($D$4:$D$2503,$A$4:$A$2503,A2453,$B$4:$B$2503,B2453),"Yes","No"))</f>
        <v/>
      </c>
      <c r="M2453" s="30">
        <f>IF(B2453="","",IFERROR(INDEX('Share classes'!$F$4:$F$203,MATCH(B2453,'Share classes'!$B$4:$B$203,0)),""))</f>
        <v/>
      </c>
      <c r="N2453" s="30">
        <f>IF(A2453="","",IF(K2453="","Unknown holder ID",IF(J2453="","Unknown class code",IF(OR(C2453="",D2453=""),"Missing shares or date",IF(OR(C2453&lt;0,C2453&lt;&gt;INT(C2453)),"Shares must be a whole number",IF(COUNTIFS($A$4:$A$2503,A2453,$B$4:$B$2503,B2453,$D$4:$D$2503,D2453)&gt;1,"Duplicate row (same date)","OK"))))))</f>
        <v/>
      </c>
    </row>
    <row r="2454">
      <c r="A2454" s="26" t="n"/>
      <c r="B2454" s="26" t="n"/>
      <c r="C2454" s="34" t="n"/>
      <c r="D2454" s="28" t="n"/>
      <c r="E2454" s="26" t="n"/>
      <c r="F2454" s="26" t="n"/>
      <c r="G2454" s="26" t="n"/>
      <c r="H2454" s="38" t="n"/>
      <c r="I2454" s="28" t="n"/>
      <c r="J2454" s="30">
        <f>IF(B2454="","",IFERROR(INDEX('Share classes'!$A$4:$A$203,MATCH(B2454,'Share classes'!$B$4:$B$203,0)),""))</f>
        <v/>
      </c>
      <c r="K2454" s="30">
        <f>IF(A2454="","",IFERROR(INDEX('Holders'!$B$4:$B$1003,MATCH(A2454,'Holders'!$A$4:$A$1003,0)),""))</f>
        <v/>
      </c>
      <c r="L2454" s="30">
        <f>IF(OR(A2454="",B2454="",D2454=""),"",IF(D2454=_xlfn.MAXIFS($D$4:$D$2503,$A$4:$A$2503,A2454,$B$4:$B$2503,B2454),"Yes","No"))</f>
        <v/>
      </c>
      <c r="M2454" s="30">
        <f>IF(B2454="","",IFERROR(INDEX('Share classes'!$F$4:$F$203,MATCH(B2454,'Share classes'!$B$4:$B$203,0)),""))</f>
        <v/>
      </c>
      <c r="N2454" s="30">
        <f>IF(A2454="","",IF(K2454="","Unknown holder ID",IF(J2454="","Unknown class code",IF(OR(C2454="",D2454=""),"Missing shares or date",IF(OR(C2454&lt;0,C2454&lt;&gt;INT(C2454)),"Shares must be a whole number",IF(COUNTIFS($A$4:$A$2503,A2454,$B$4:$B$2503,B2454,$D$4:$D$2503,D2454)&gt;1,"Duplicate row (same date)","OK"))))))</f>
        <v/>
      </c>
    </row>
    <row r="2455">
      <c r="A2455" s="26" t="n"/>
      <c r="B2455" s="26" t="n"/>
      <c r="C2455" s="34" t="n"/>
      <c r="D2455" s="28" t="n"/>
      <c r="E2455" s="26" t="n"/>
      <c r="F2455" s="26" t="n"/>
      <c r="G2455" s="26" t="n"/>
      <c r="H2455" s="38" t="n"/>
      <c r="I2455" s="28" t="n"/>
      <c r="J2455" s="30">
        <f>IF(B2455="","",IFERROR(INDEX('Share classes'!$A$4:$A$203,MATCH(B2455,'Share classes'!$B$4:$B$203,0)),""))</f>
        <v/>
      </c>
      <c r="K2455" s="30">
        <f>IF(A2455="","",IFERROR(INDEX('Holders'!$B$4:$B$1003,MATCH(A2455,'Holders'!$A$4:$A$1003,0)),""))</f>
        <v/>
      </c>
      <c r="L2455" s="30">
        <f>IF(OR(A2455="",B2455="",D2455=""),"",IF(D2455=_xlfn.MAXIFS($D$4:$D$2503,$A$4:$A$2503,A2455,$B$4:$B$2503,B2455),"Yes","No"))</f>
        <v/>
      </c>
      <c r="M2455" s="30">
        <f>IF(B2455="","",IFERROR(INDEX('Share classes'!$F$4:$F$203,MATCH(B2455,'Share classes'!$B$4:$B$203,0)),""))</f>
        <v/>
      </c>
      <c r="N2455" s="30">
        <f>IF(A2455="","",IF(K2455="","Unknown holder ID",IF(J2455="","Unknown class code",IF(OR(C2455="",D2455=""),"Missing shares or date",IF(OR(C2455&lt;0,C2455&lt;&gt;INT(C2455)),"Shares must be a whole number",IF(COUNTIFS($A$4:$A$2503,A2455,$B$4:$B$2503,B2455,$D$4:$D$2503,D2455)&gt;1,"Duplicate row (same date)","OK"))))))</f>
        <v/>
      </c>
    </row>
    <row r="2456">
      <c r="A2456" s="26" t="n"/>
      <c r="B2456" s="26" t="n"/>
      <c r="C2456" s="34" t="n"/>
      <c r="D2456" s="28" t="n"/>
      <c r="E2456" s="26" t="n"/>
      <c r="F2456" s="26" t="n"/>
      <c r="G2456" s="26" t="n"/>
      <c r="H2456" s="38" t="n"/>
      <c r="I2456" s="28" t="n"/>
      <c r="J2456" s="30">
        <f>IF(B2456="","",IFERROR(INDEX('Share classes'!$A$4:$A$203,MATCH(B2456,'Share classes'!$B$4:$B$203,0)),""))</f>
        <v/>
      </c>
      <c r="K2456" s="30">
        <f>IF(A2456="","",IFERROR(INDEX('Holders'!$B$4:$B$1003,MATCH(A2456,'Holders'!$A$4:$A$1003,0)),""))</f>
        <v/>
      </c>
      <c r="L2456" s="30">
        <f>IF(OR(A2456="",B2456="",D2456=""),"",IF(D2456=_xlfn.MAXIFS($D$4:$D$2503,$A$4:$A$2503,A2456,$B$4:$B$2503,B2456),"Yes","No"))</f>
        <v/>
      </c>
      <c r="M2456" s="30">
        <f>IF(B2456="","",IFERROR(INDEX('Share classes'!$F$4:$F$203,MATCH(B2456,'Share classes'!$B$4:$B$203,0)),""))</f>
        <v/>
      </c>
      <c r="N2456" s="30">
        <f>IF(A2456="","",IF(K2456="","Unknown holder ID",IF(J2456="","Unknown class code",IF(OR(C2456="",D2456=""),"Missing shares or date",IF(OR(C2456&lt;0,C2456&lt;&gt;INT(C2456)),"Shares must be a whole number",IF(COUNTIFS($A$4:$A$2503,A2456,$B$4:$B$2503,B2456,$D$4:$D$2503,D2456)&gt;1,"Duplicate row (same date)","OK"))))))</f>
        <v/>
      </c>
    </row>
    <row r="2457">
      <c r="A2457" s="26" t="n"/>
      <c r="B2457" s="26" t="n"/>
      <c r="C2457" s="34" t="n"/>
      <c r="D2457" s="28" t="n"/>
      <c r="E2457" s="26" t="n"/>
      <c r="F2457" s="26" t="n"/>
      <c r="G2457" s="26" t="n"/>
      <c r="H2457" s="38" t="n"/>
      <c r="I2457" s="28" t="n"/>
      <c r="J2457" s="30">
        <f>IF(B2457="","",IFERROR(INDEX('Share classes'!$A$4:$A$203,MATCH(B2457,'Share classes'!$B$4:$B$203,0)),""))</f>
        <v/>
      </c>
      <c r="K2457" s="30">
        <f>IF(A2457="","",IFERROR(INDEX('Holders'!$B$4:$B$1003,MATCH(A2457,'Holders'!$A$4:$A$1003,0)),""))</f>
        <v/>
      </c>
      <c r="L2457" s="30">
        <f>IF(OR(A2457="",B2457="",D2457=""),"",IF(D2457=_xlfn.MAXIFS($D$4:$D$2503,$A$4:$A$2503,A2457,$B$4:$B$2503,B2457),"Yes","No"))</f>
        <v/>
      </c>
      <c r="M2457" s="30">
        <f>IF(B2457="","",IFERROR(INDEX('Share classes'!$F$4:$F$203,MATCH(B2457,'Share classes'!$B$4:$B$203,0)),""))</f>
        <v/>
      </c>
      <c r="N2457" s="30">
        <f>IF(A2457="","",IF(K2457="","Unknown holder ID",IF(J2457="","Unknown class code",IF(OR(C2457="",D2457=""),"Missing shares or date",IF(OR(C2457&lt;0,C2457&lt;&gt;INT(C2457)),"Shares must be a whole number",IF(COUNTIFS($A$4:$A$2503,A2457,$B$4:$B$2503,B2457,$D$4:$D$2503,D2457)&gt;1,"Duplicate row (same date)","OK"))))))</f>
        <v/>
      </c>
    </row>
    <row r="2458">
      <c r="A2458" s="26" t="n"/>
      <c r="B2458" s="26" t="n"/>
      <c r="C2458" s="34" t="n"/>
      <c r="D2458" s="28" t="n"/>
      <c r="E2458" s="26" t="n"/>
      <c r="F2458" s="26" t="n"/>
      <c r="G2458" s="26" t="n"/>
      <c r="H2458" s="38" t="n"/>
      <c r="I2458" s="28" t="n"/>
      <c r="J2458" s="30">
        <f>IF(B2458="","",IFERROR(INDEX('Share classes'!$A$4:$A$203,MATCH(B2458,'Share classes'!$B$4:$B$203,0)),""))</f>
        <v/>
      </c>
      <c r="K2458" s="30">
        <f>IF(A2458="","",IFERROR(INDEX('Holders'!$B$4:$B$1003,MATCH(A2458,'Holders'!$A$4:$A$1003,0)),""))</f>
        <v/>
      </c>
      <c r="L2458" s="30">
        <f>IF(OR(A2458="",B2458="",D2458=""),"",IF(D2458=_xlfn.MAXIFS($D$4:$D$2503,$A$4:$A$2503,A2458,$B$4:$B$2503,B2458),"Yes","No"))</f>
        <v/>
      </c>
      <c r="M2458" s="30">
        <f>IF(B2458="","",IFERROR(INDEX('Share classes'!$F$4:$F$203,MATCH(B2458,'Share classes'!$B$4:$B$203,0)),""))</f>
        <v/>
      </c>
      <c r="N2458" s="30">
        <f>IF(A2458="","",IF(K2458="","Unknown holder ID",IF(J2458="","Unknown class code",IF(OR(C2458="",D2458=""),"Missing shares or date",IF(OR(C2458&lt;0,C2458&lt;&gt;INT(C2458)),"Shares must be a whole number",IF(COUNTIFS($A$4:$A$2503,A2458,$B$4:$B$2503,B2458,$D$4:$D$2503,D2458)&gt;1,"Duplicate row (same date)","OK"))))))</f>
        <v/>
      </c>
    </row>
    <row r="2459">
      <c r="A2459" s="26" t="n"/>
      <c r="B2459" s="26" t="n"/>
      <c r="C2459" s="34" t="n"/>
      <c r="D2459" s="28" t="n"/>
      <c r="E2459" s="26" t="n"/>
      <c r="F2459" s="26" t="n"/>
      <c r="G2459" s="26" t="n"/>
      <c r="H2459" s="38" t="n"/>
      <c r="I2459" s="28" t="n"/>
      <c r="J2459" s="30">
        <f>IF(B2459="","",IFERROR(INDEX('Share classes'!$A$4:$A$203,MATCH(B2459,'Share classes'!$B$4:$B$203,0)),""))</f>
        <v/>
      </c>
      <c r="K2459" s="30">
        <f>IF(A2459="","",IFERROR(INDEX('Holders'!$B$4:$B$1003,MATCH(A2459,'Holders'!$A$4:$A$1003,0)),""))</f>
        <v/>
      </c>
      <c r="L2459" s="30">
        <f>IF(OR(A2459="",B2459="",D2459=""),"",IF(D2459=_xlfn.MAXIFS($D$4:$D$2503,$A$4:$A$2503,A2459,$B$4:$B$2503,B2459),"Yes","No"))</f>
        <v/>
      </c>
      <c r="M2459" s="30">
        <f>IF(B2459="","",IFERROR(INDEX('Share classes'!$F$4:$F$203,MATCH(B2459,'Share classes'!$B$4:$B$203,0)),""))</f>
        <v/>
      </c>
      <c r="N2459" s="30">
        <f>IF(A2459="","",IF(K2459="","Unknown holder ID",IF(J2459="","Unknown class code",IF(OR(C2459="",D2459=""),"Missing shares or date",IF(OR(C2459&lt;0,C2459&lt;&gt;INT(C2459)),"Shares must be a whole number",IF(COUNTIFS($A$4:$A$2503,A2459,$B$4:$B$2503,B2459,$D$4:$D$2503,D2459)&gt;1,"Duplicate row (same date)","OK"))))))</f>
        <v/>
      </c>
    </row>
    <row r="2460">
      <c r="A2460" s="26" t="n"/>
      <c r="B2460" s="26" t="n"/>
      <c r="C2460" s="34" t="n"/>
      <c r="D2460" s="28" t="n"/>
      <c r="E2460" s="26" t="n"/>
      <c r="F2460" s="26" t="n"/>
      <c r="G2460" s="26" t="n"/>
      <c r="H2460" s="38" t="n"/>
      <c r="I2460" s="28" t="n"/>
      <c r="J2460" s="30">
        <f>IF(B2460="","",IFERROR(INDEX('Share classes'!$A$4:$A$203,MATCH(B2460,'Share classes'!$B$4:$B$203,0)),""))</f>
        <v/>
      </c>
      <c r="K2460" s="30">
        <f>IF(A2460="","",IFERROR(INDEX('Holders'!$B$4:$B$1003,MATCH(A2460,'Holders'!$A$4:$A$1003,0)),""))</f>
        <v/>
      </c>
      <c r="L2460" s="30">
        <f>IF(OR(A2460="",B2460="",D2460=""),"",IF(D2460=_xlfn.MAXIFS($D$4:$D$2503,$A$4:$A$2503,A2460,$B$4:$B$2503,B2460),"Yes","No"))</f>
        <v/>
      </c>
      <c r="M2460" s="30">
        <f>IF(B2460="","",IFERROR(INDEX('Share classes'!$F$4:$F$203,MATCH(B2460,'Share classes'!$B$4:$B$203,0)),""))</f>
        <v/>
      </c>
      <c r="N2460" s="30">
        <f>IF(A2460="","",IF(K2460="","Unknown holder ID",IF(J2460="","Unknown class code",IF(OR(C2460="",D2460=""),"Missing shares or date",IF(OR(C2460&lt;0,C2460&lt;&gt;INT(C2460)),"Shares must be a whole number",IF(COUNTIFS($A$4:$A$2503,A2460,$B$4:$B$2503,B2460,$D$4:$D$2503,D2460)&gt;1,"Duplicate row (same date)","OK"))))))</f>
        <v/>
      </c>
    </row>
    <row r="2461">
      <c r="A2461" s="26" t="n"/>
      <c r="B2461" s="26" t="n"/>
      <c r="C2461" s="34" t="n"/>
      <c r="D2461" s="28" t="n"/>
      <c r="E2461" s="26" t="n"/>
      <c r="F2461" s="26" t="n"/>
      <c r="G2461" s="26" t="n"/>
      <c r="H2461" s="38" t="n"/>
      <c r="I2461" s="28" t="n"/>
      <c r="J2461" s="30">
        <f>IF(B2461="","",IFERROR(INDEX('Share classes'!$A$4:$A$203,MATCH(B2461,'Share classes'!$B$4:$B$203,0)),""))</f>
        <v/>
      </c>
      <c r="K2461" s="30">
        <f>IF(A2461="","",IFERROR(INDEX('Holders'!$B$4:$B$1003,MATCH(A2461,'Holders'!$A$4:$A$1003,0)),""))</f>
        <v/>
      </c>
      <c r="L2461" s="30">
        <f>IF(OR(A2461="",B2461="",D2461=""),"",IF(D2461=_xlfn.MAXIFS($D$4:$D$2503,$A$4:$A$2503,A2461,$B$4:$B$2503,B2461),"Yes","No"))</f>
        <v/>
      </c>
      <c r="M2461" s="30">
        <f>IF(B2461="","",IFERROR(INDEX('Share classes'!$F$4:$F$203,MATCH(B2461,'Share classes'!$B$4:$B$203,0)),""))</f>
        <v/>
      </c>
      <c r="N2461" s="30">
        <f>IF(A2461="","",IF(K2461="","Unknown holder ID",IF(J2461="","Unknown class code",IF(OR(C2461="",D2461=""),"Missing shares or date",IF(OR(C2461&lt;0,C2461&lt;&gt;INT(C2461)),"Shares must be a whole number",IF(COUNTIFS($A$4:$A$2503,A2461,$B$4:$B$2503,B2461,$D$4:$D$2503,D2461)&gt;1,"Duplicate row (same date)","OK"))))))</f>
        <v/>
      </c>
    </row>
    <row r="2462">
      <c r="A2462" s="26" t="n"/>
      <c r="B2462" s="26" t="n"/>
      <c r="C2462" s="34" t="n"/>
      <c r="D2462" s="28" t="n"/>
      <c r="E2462" s="26" t="n"/>
      <c r="F2462" s="26" t="n"/>
      <c r="G2462" s="26" t="n"/>
      <c r="H2462" s="38" t="n"/>
      <c r="I2462" s="28" t="n"/>
      <c r="J2462" s="30">
        <f>IF(B2462="","",IFERROR(INDEX('Share classes'!$A$4:$A$203,MATCH(B2462,'Share classes'!$B$4:$B$203,0)),""))</f>
        <v/>
      </c>
      <c r="K2462" s="30">
        <f>IF(A2462="","",IFERROR(INDEX('Holders'!$B$4:$B$1003,MATCH(A2462,'Holders'!$A$4:$A$1003,0)),""))</f>
        <v/>
      </c>
      <c r="L2462" s="30">
        <f>IF(OR(A2462="",B2462="",D2462=""),"",IF(D2462=_xlfn.MAXIFS($D$4:$D$2503,$A$4:$A$2503,A2462,$B$4:$B$2503,B2462),"Yes","No"))</f>
        <v/>
      </c>
      <c r="M2462" s="30">
        <f>IF(B2462="","",IFERROR(INDEX('Share classes'!$F$4:$F$203,MATCH(B2462,'Share classes'!$B$4:$B$203,0)),""))</f>
        <v/>
      </c>
      <c r="N2462" s="30">
        <f>IF(A2462="","",IF(K2462="","Unknown holder ID",IF(J2462="","Unknown class code",IF(OR(C2462="",D2462=""),"Missing shares or date",IF(OR(C2462&lt;0,C2462&lt;&gt;INT(C2462)),"Shares must be a whole number",IF(COUNTIFS($A$4:$A$2503,A2462,$B$4:$B$2503,B2462,$D$4:$D$2503,D2462)&gt;1,"Duplicate row (same date)","OK"))))))</f>
        <v/>
      </c>
    </row>
    <row r="2463">
      <c r="A2463" s="26" t="n"/>
      <c r="B2463" s="26" t="n"/>
      <c r="C2463" s="34" t="n"/>
      <c r="D2463" s="28" t="n"/>
      <c r="E2463" s="26" t="n"/>
      <c r="F2463" s="26" t="n"/>
      <c r="G2463" s="26" t="n"/>
      <c r="H2463" s="38" t="n"/>
      <c r="I2463" s="28" t="n"/>
      <c r="J2463" s="30">
        <f>IF(B2463="","",IFERROR(INDEX('Share classes'!$A$4:$A$203,MATCH(B2463,'Share classes'!$B$4:$B$203,0)),""))</f>
        <v/>
      </c>
      <c r="K2463" s="30">
        <f>IF(A2463="","",IFERROR(INDEX('Holders'!$B$4:$B$1003,MATCH(A2463,'Holders'!$A$4:$A$1003,0)),""))</f>
        <v/>
      </c>
      <c r="L2463" s="30">
        <f>IF(OR(A2463="",B2463="",D2463=""),"",IF(D2463=_xlfn.MAXIFS($D$4:$D$2503,$A$4:$A$2503,A2463,$B$4:$B$2503,B2463),"Yes","No"))</f>
        <v/>
      </c>
      <c r="M2463" s="30">
        <f>IF(B2463="","",IFERROR(INDEX('Share classes'!$F$4:$F$203,MATCH(B2463,'Share classes'!$B$4:$B$203,0)),""))</f>
        <v/>
      </c>
      <c r="N2463" s="30">
        <f>IF(A2463="","",IF(K2463="","Unknown holder ID",IF(J2463="","Unknown class code",IF(OR(C2463="",D2463=""),"Missing shares or date",IF(OR(C2463&lt;0,C2463&lt;&gt;INT(C2463)),"Shares must be a whole number",IF(COUNTIFS($A$4:$A$2503,A2463,$B$4:$B$2503,B2463,$D$4:$D$2503,D2463)&gt;1,"Duplicate row (same date)","OK"))))))</f>
        <v/>
      </c>
    </row>
    <row r="2464">
      <c r="A2464" s="26" t="n"/>
      <c r="B2464" s="26" t="n"/>
      <c r="C2464" s="34" t="n"/>
      <c r="D2464" s="28" t="n"/>
      <c r="E2464" s="26" t="n"/>
      <c r="F2464" s="26" t="n"/>
      <c r="G2464" s="26" t="n"/>
      <c r="H2464" s="38" t="n"/>
      <c r="I2464" s="28" t="n"/>
      <c r="J2464" s="30">
        <f>IF(B2464="","",IFERROR(INDEX('Share classes'!$A$4:$A$203,MATCH(B2464,'Share classes'!$B$4:$B$203,0)),""))</f>
        <v/>
      </c>
      <c r="K2464" s="30">
        <f>IF(A2464="","",IFERROR(INDEX('Holders'!$B$4:$B$1003,MATCH(A2464,'Holders'!$A$4:$A$1003,0)),""))</f>
        <v/>
      </c>
      <c r="L2464" s="30">
        <f>IF(OR(A2464="",B2464="",D2464=""),"",IF(D2464=_xlfn.MAXIFS($D$4:$D$2503,$A$4:$A$2503,A2464,$B$4:$B$2503,B2464),"Yes","No"))</f>
        <v/>
      </c>
      <c r="M2464" s="30">
        <f>IF(B2464="","",IFERROR(INDEX('Share classes'!$F$4:$F$203,MATCH(B2464,'Share classes'!$B$4:$B$203,0)),""))</f>
        <v/>
      </c>
      <c r="N2464" s="30">
        <f>IF(A2464="","",IF(K2464="","Unknown holder ID",IF(J2464="","Unknown class code",IF(OR(C2464="",D2464=""),"Missing shares or date",IF(OR(C2464&lt;0,C2464&lt;&gt;INT(C2464)),"Shares must be a whole number",IF(COUNTIFS($A$4:$A$2503,A2464,$B$4:$B$2503,B2464,$D$4:$D$2503,D2464)&gt;1,"Duplicate row (same date)","OK"))))))</f>
        <v/>
      </c>
    </row>
    <row r="2465">
      <c r="A2465" s="26" t="n"/>
      <c r="B2465" s="26" t="n"/>
      <c r="C2465" s="34" t="n"/>
      <c r="D2465" s="28" t="n"/>
      <c r="E2465" s="26" t="n"/>
      <c r="F2465" s="26" t="n"/>
      <c r="G2465" s="26" t="n"/>
      <c r="H2465" s="38" t="n"/>
      <c r="I2465" s="28" t="n"/>
      <c r="J2465" s="30">
        <f>IF(B2465="","",IFERROR(INDEX('Share classes'!$A$4:$A$203,MATCH(B2465,'Share classes'!$B$4:$B$203,0)),""))</f>
        <v/>
      </c>
      <c r="K2465" s="30">
        <f>IF(A2465="","",IFERROR(INDEX('Holders'!$B$4:$B$1003,MATCH(A2465,'Holders'!$A$4:$A$1003,0)),""))</f>
        <v/>
      </c>
      <c r="L2465" s="30">
        <f>IF(OR(A2465="",B2465="",D2465=""),"",IF(D2465=_xlfn.MAXIFS($D$4:$D$2503,$A$4:$A$2503,A2465,$B$4:$B$2503,B2465),"Yes","No"))</f>
        <v/>
      </c>
      <c r="M2465" s="30">
        <f>IF(B2465="","",IFERROR(INDEX('Share classes'!$F$4:$F$203,MATCH(B2465,'Share classes'!$B$4:$B$203,0)),""))</f>
        <v/>
      </c>
      <c r="N2465" s="30">
        <f>IF(A2465="","",IF(K2465="","Unknown holder ID",IF(J2465="","Unknown class code",IF(OR(C2465="",D2465=""),"Missing shares or date",IF(OR(C2465&lt;0,C2465&lt;&gt;INT(C2465)),"Shares must be a whole number",IF(COUNTIFS($A$4:$A$2503,A2465,$B$4:$B$2503,B2465,$D$4:$D$2503,D2465)&gt;1,"Duplicate row (same date)","OK"))))))</f>
        <v/>
      </c>
    </row>
    <row r="2466">
      <c r="A2466" s="26" t="n"/>
      <c r="B2466" s="26" t="n"/>
      <c r="C2466" s="34" t="n"/>
      <c r="D2466" s="28" t="n"/>
      <c r="E2466" s="26" t="n"/>
      <c r="F2466" s="26" t="n"/>
      <c r="G2466" s="26" t="n"/>
      <c r="H2466" s="38" t="n"/>
      <c r="I2466" s="28" t="n"/>
      <c r="J2466" s="30">
        <f>IF(B2466="","",IFERROR(INDEX('Share classes'!$A$4:$A$203,MATCH(B2466,'Share classes'!$B$4:$B$203,0)),""))</f>
        <v/>
      </c>
      <c r="K2466" s="30">
        <f>IF(A2466="","",IFERROR(INDEX('Holders'!$B$4:$B$1003,MATCH(A2466,'Holders'!$A$4:$A$1003,0)),""))</f>
        <v/>
      </c>
      <c r="L2466" s="30">
        <f>IF(OR(A2466="",B2466="",D2466=""),"",IF(D2466=_xlfn.MAXIFS($D$4:$D$2503,$A$4:$A$2503,A2466,$B$4:$B$2503,B2466),"Yes","No"))</f>
        <v/>
      </c>
      <c r="M2466" s="30">
        <f>IF(B2466="","",IFERROR(INDEX('Share classes'!$F$4:$F$203,MATCH(B2466,'Share classes'!$B$4:$B$203,0)),""))</f>
        <v/>
      </c>
      <c r="N2466" s="30">
        <f>IF(A2466="","",IF(K2466="","Unknown holder ID",IF(J2466="","Unknown class code",IF(OR(C2466="",D2466=""),"Missing shares or date",IF(OR(C2466&lt;0,C2466&lt;&gt;INT(C2466)),"Shares must be a whole number",IF(COUNTIFS($A$4:$A$2503,A2466,$B$4:$B$2503,B2466,$D$4:$D$2503,D2466)&gt;1,"Duplicate row (same date)","OK"))))))</f>
        <v/>
      </c>
    </row>
    <row r="2467">
      <c r="A2467" s="26" t="n"/>
      <c r="B2467" s="26" t="n"/>
      <c r="C2467" s="34" t="n"/>
      <c r="D2467" s="28" t="n"/>
      <c r="E2467" s="26" t="n"/>
      <c r="F2467" s="26" t="n"/>
      <c r="G2467" s="26" t="n"/>
      <c r="H2467" s="38" t="n"/>
      <c r="I2467" s="28" t="n"/>
      <c r="J2467" s="30">
        <f>IF(B2467="","",IFERROR(INDEX('Share classes'!$A$4:$A$203,MATCH(B2467,'Share classes'!$B$4:$B$203,0)),""))</f>
        <v/>
      </c>
      <c r="K2467" s="30">
        <f>IF(A2467="","",IFERROR(INDEX('Holders'!$B$4:$B$1003,MATCH(A2467,'Holders'!$A$4:$A$1003,0)),""))</f>
        <v/>
      </c>
      <c r="L2467" s="30">
        <f>IF(OR(A2467="",B2467="",D2467=""),"",IF(D2467=_xlfn.MAXIFS($D$4:$D$2503,$A$4:$A$2503,A2467,$B$4:$B$2503,B2467),"Yes","No"))</f>
        <v/>
      </c>
      <c r="M2467" s="30">
        <f>IF(B2467="","",IFERROR(INDEX('Share classes'!$F$4:$F$203,MATCH(B2467,'Share classes'!$B$4:$B$203,0)),""))</f>
        <v/>
      </c>
      <c r="N2467" s="30">
        <f>IF(A2467="","",IF(K2467="","Unknown holder ID",IF(J2467="","Unknown class code",IF(OR(C2467="",D2467=""),"Missing shares or date",IF(OR(C2467&lt;0,C2467&lt;&gt;INT(C2467)),"Shares must be a whole number",IF(COUNTIFS($A$4:$A$2503,A2467,$B$4:$B$2503,B2467,$D$4:$D$2503,D2467)&gt;1,"Duplicate row (same date)","OK"))))))</f>
        <v/>
      </c>
    </row>
    <row r="2468">
      <c r="A2468" s="26" t="n"/>
      <c r="B2468" s="26" t="n"/>
      <c r="C2468" s="34" t="n"/>
      <c r="D2468" s="28" t="n"/>
      <c r="E2468" s="26" t="n"/>
      <c r="F2468" s="26" t="n"/>
      <c r="G2468" s="26" t="n"/>
      <c r="H2468" s="38" t="n"/>
      <c r="I2468" s="28" t="n"/>
      <c r="J2468" s="30">
        <f>IF(B2468="","",IFERROR(INDEX('Share classes'!$A$4:$A$203,MATCH(B2468,'Share classes'!$B$4:$B$203,0)),""))</f>
        <v/>
      </c>
      <c r="K2468" s="30">
        <f>IF(A2468="","",IFERROR(INDEX('Holders'!$B$4:$B$1003,MATCH(A2468,'Holders'!$A$4:$A$1003,0)),""))</f>
        <v/>
      </c>
      <c r="L2468" s="30">
        <f>IF(OR(A2468="",B2468="",D2468=""),"",IF(D2468=_xlfn.MAXIFS($D$4:$D$2503,$A$4:$A$2503,A2468,$B$4:$B$2503,B2468),"Yes","No"))</f>
        <v/>
      </c>
      <c r="M2468" s="30">
        <f>IF(B2468="","",IFERROR(INDEX('Share classes'!$F$4:$F$203,MATCH(B2468,'Share classes'!$B$4:$B$203,0)),""))</f>
        <v/>
      </c>
      <c r="N2468" s="30">
        <f>IF(A2468="","",IF(K2468="","Unknown holder ID",IF(J2468="","Unknown class code",IF(OR(C2468="",D2468=""),"Missing shares or date",IF(OR(C2468&lt;0,C2468&lt;&gt;INT(C2468)),"Shares must be a whole number",IF(COUNTIFS($A$4:$A$2503,A2468,$B$4:$B$2503,B2468,$D$4:$D$2503,D2468)&gt;1,"Duplicate row (same date)","OK"))))))</f>
        <v/>
      </c>
    </row>
    <row r="2469">
      <c r="A2469" s="26" t="n"/>
      <c r="B2469" s="26" t="n"/>
      <c r="C2469" s="34" t="n"/>
      <c r="D2469" s="28" t="n"/>
      <c r="E2469" s="26" t="n"/>
      <c r="F2469" s="26" t="n"/>
      <c r="G2469" s="26" t="n"/>
      <c r="H2469" s="38" t="n"/>
      <c r="I2469" s="28" t="n"/>
      <c r="J2469" s="30">
        <f>IF(B2469="","",IFERROR(INDEX('Share classes'!$A$4:$A$203,MATCH(B2469,'Share classes'!$B$4:$B$203,0)),""))</f>
        <v/>
      </c>
      <c r="K2469" s="30">
        <f>IF(A2469="","",IFERROR(INDEX('Holders'!$B$4:$B$1003,MATCH(A2469,'Holders'!$A$4:$A$1003,0)),""))</f>
        <v/>
      </c>
      <c r="L2469" s="30">
        <f>IF(OR(A2469="",B2469="",D2469=""),"",IF(D2469=_xlfn.MAXIFS($D$4:$D$2503,$A$4:$A$2503,A2469,$B$4:$B$2503,B2469),"Yes","No"))</f>
        <v/>
      </c>
      <c r="M2469" s="30">
        <f>IF(B2469="","",IFERROR(INDEX('Share classes'!$F$4:$F$203,MATCH(B2469,'Share classes'!$B$4:$B$203,0)),""))</f>
        <v/>
      </c>
      <c r="N2469" s="30">
        <f>IF(A2469="","",IF(K2469="","Unknown holder ID",IF(J2469="","Unknown class code",IF(OR(C2469="",D2469=""),"Missing shares or date",IF(OR(C2469&lt;0,C2469&lt;&gt;INT(C2469)),"Shares must be a whole number",IF(COUNTIFS($A$4:$A$2503,A2469,$B$4:$B$2503,B2469,$D$4:$D$2503,D2469)&gt;1,"Duplicate row (same date)","OK"))))))</f>
        <v/>
      </c>
    </row>
    <row r="2470">
      <c r="A2470" s="26" t="n"/>
      <c r="B2470" s="26" t="n"/>
      <c r="C2470" s="34" t="n"/>
      <c r="D2470" s="28" t="n"/>
      <c r="E2470" s="26" t="n"/>
      <c r="F2470" s="26" t="n"/>
      <c r="G2470" s="26" t="n"/>
      <c r="H2470" s="38" t="n"/>
      <c r="I2470" s="28" t="n"/>
      <c r="J2470" s="30">
        <f>IF(B2470="","",IFERROR(INDEX('Share classes'!$A$4:$A$203,MATCH(B2470,'Share classes'!$B$4:$B$203,0)),""))</f>
        <v/>
      </c>
      <c r="K2470" s="30">
        <f>IF(A2470="","",IFERROR(INDEX('Holders'!$B$4:$B$1003,MATCH(A2470,'Holders'!$A$4:$A$1003,0)),""))</f>
        <v/>
      </c>
      <c r="L2470" s="30">
        <f>IF(OR(A2470="",B2470="",D2470=""),"",IF(D2470=_xlfn.MAXIFS($D$4:$D$2503,$A$4:$A$2503,A2470,$B$4:$B$2503,B2470),"Yes","No"))</f>
        <v/>
      </c>
      <c r="M2470" s="30">
        <f>IF(B2470="","",IFERROR(INDEX('Share classes'!$F$4:$F$203,MATCH(B2470,'Share classes'!$B$4:$B$203,0)),""))</f>
        <v/>
      </c>
      <c r="N2470" s="30">
        <f>IF(A2470="","",IF(K2470="","Unknown holder ID",IF(J2470="","Unknown class code",IF(OR(C2470="",D2470=""),"Missing shares or date",IF(OR(C2470&lt;0,C2470&lt;&gt;INT(C2470)),"Shares must be a whole number",IF(COUNTIFS($A$4:$A$2503,A2470,$B$4:$B$2503,B2470,$D$4:$D$2503,D2470)&gt;1,"Duplicate row (same date)","OK"))))))</f>
        <v/>
      </c>
    </row>
    <row r="2471">
      <c r="A2471" s="26" t="n"/>
      <c r="B2471" s="26" t="n"/>
      <c r="C2471" s="34" t="n"/>
      <c r="D2471" s="28" t="n"/>
      <c r="E2471" s="26" t="n"/>
      <c r="F2471" s="26" t="n"/>
      <c r="G2471" s="26" t="n"/>
      <c r="H2471" s="38" t="n"/>
      <c r="I2471" s="28" t="n"/>
      <c r="J2471" s="30">
        <f>IF(B2471="","",IFERROR(INDEX('Share classes'!$A$4:$A$203,MATCH(B2471,'Share classes'!$B$4:$B$203,0)),""))</f>
        <v/>
      </c>
      <c r="K2471" s="30">
        <f>IF(A2471="","",IFERROR(INDEX('Holders'!$B$4:$B$1003,MATCH(A2471,'Holders'!$A$4:$A$1003,0)),""))</f>
        <v/>
      </c>
      <c r="L2471" s="30">
        <f>IF(OR(A2471="",B2471="",D2471=""),"",IF(D2471=_xlfn.MAXIFS($D$4:$D$2503,$A$4:$A$2503,A2471,$B$4:$B$2503,B2471),"Yes","No"))</f>
        <v/>
      </c>
      <c r="M2471" s="30">
        <f>IF(B2471="","",IFERROR(INDEX('Share classes'!$F$4:$F$203,MATCH(B2471,'Share classes'!$B$4:$B$203,0)),""))</f>
        <v/>
      </c>
      <c r="N2471" s="30">
        <f>IF(A2471="","",IF(K2471="","Unknown holder ID",IF(J2471="","Unknown class code",IF(OR(C2471="",D2471=""),"Missing shares or date",IF(OR(C2471&lt;0,C2471&lt;&gt;INT(C2471)),"Shares must be a whole number",IF(COUNTIFS($A$4:$A$2503,A2471,$B$4:$B$2503,B2471,$D$4:$D$2503,D2471)&gt;1,"Duplicate row (same date)","OK"))))))</f>
        <v/>
      </c>
    </row>
    <row r="2472">
      <c r="A2472" s="26" t="n"/>
      <c r="B2472" s="26" t="n"/>
      <c r="C2472" s="34" t="n"/>
      <c r="D2472" s="28" t="n"/>
      <c r="E2472" s="26" t="n"/>
      <c r="F2472" s="26" t="n"/>
      <c r="G2472" s="26" t="n"/>
      <c r="H2472" s="38" t="n"/>
      <c r="I2472" s="28" t="n"/>
      <c r="J2472" s="30">
        <f>IF(B2472="","",IFERROR(INDEX('Share classes'!$A$4:$A$203,MATCH(B2472,'Share classes'!$B$4:$B$203,0)),""))</f>
        <v/>
      </c>
      <c r="K2472" s="30">
        <f>IF(A2472="","",IFERROR(INDEX('Holders'!$B$4:$B$1003,MATCH(A2472,'Holders'!$A$4:$A$1003,0)),""))</f>
        <v/>
      </c>
      <c r="L2472" s="30">
        <f>IF(OR(A2472="",B2472="",D2472=""),"",IF(D2472=_xlfn.MAXIFS($D$4:$D$2503,$A$4:$A$2503,A2472,$B$4:$B$2503,B2472),"Yes","No"))</f>
        <v/>
      </c>
      <c r="M2472" s="30">
        <f>IF(B2472="","",IFERROR(INDEX('Share classes'!$F$4:$F$203,MATCH(B2472,'Share classes'!$B$4:$B$203,0)),""))</f>
        <v/>
      </c>
      <c r="N2472" s="30">
        <f>IF(A2472="","",IF(K2472="","Unknown holder ID",IF(J2472="","Unknown class code",IF(OR(C2472="",D2472=""),"Missing shares or date",IF(OR(C2472&lt;0,C2472&lt;&gt;INT(C2472)),"Shares must be a whole number",IF(COUNTIFS($A$4:$A$2503,A2472,$B$4:$B$2503,B2472,$D$4:$D$2503,D2472)&gt;1,"Duplicate row (same date)","OK"))))))</f>
        <v/>
      </c>
    </row>
    <row r="2473">
      <c r="A2473" s="26" t="n"/>
      <c r="B2473" s="26" t="n"/>
      <c r="C2473" s="34" t="n"/>
      <c r="D2473" s="28" t="n"/>
      <c r="E2473" s="26" t="n"/>
      <c r="F2473" s="26" t="n"/>
      <c r="G2473" s="26" t="n"/>
      <c r="H2473" s="38" t="n"/>
      <c r="I2473" s="28" t="n"/>
      <c r="J2473" s="30">
        <f>IF(B2473="","",IFERROR(INDEX('Share classes'!$A$4:$A$203,MATCH(B2473,'Share classes'!$B$4:$B$203,0)),""))</f>
        <v/>
      </c>
      <c r="K2473" s="30">
        <f>IF(A2473="","",IFERROR(INDEX('Holders'!$B$4:$B$1003,MATCH(A2473,'Holders'!$A$4:$A$1003,0)),""))</f>
        <v/>
      </c>
      <c r="L2473" s="30">
        <f>IF(OR(A2473="",B2473="",D2473=""),"",IF(D2473=_xlfn.MAXIFS($D$4:$D$2503,$A$4:$A$2503,A2473,$B$4:$B$2503,B2473),"Yes","No"))</f>
        <v/>
      </c>
      <c r="M2473" s="30">
        <f>IF(B2473="","",IFERROR(INDEX('Share classes'!$F$4:$F$203,MATCH(B2473,'Share classes'!$B$4:$B$203,0)),""))</f>
        <v/>
      </c>
      <c r="N2473" s="30">
        <f>IF(A2473="","",IF(K2473="","Unknown holder ID",IF(J2473="","Unknown class code",IF(OR(C2473="",D2473=""),"Missing shares or date",IF(OR(C2473&lt;0,C2473&lt;&gt;INT(C2473)),"Shares must be a whole number",IF(COUNTIFS($A$4:$A$2503,A2473,$B$4:$B$2503,B2473,$D$4:$D$2503,D2473)&gt;1,"Duplicate row (same date)","OK"))))))</f>
        <v/>
      </c>
    </row>
    <row r="2474">
      <c r="A2474" s="26" t="n"/>
      <c r="B2474" s="26" t="n"/>
      <c r="C2474" s="34" t="n"/>
      <c r="D2474" s="28" t="n"/>
      <c r="E2474" s="26" t="n"/>
      <c r="F2474" s="26" t="n"/>
      <c r="G2474" s="26" t="n"/>
      <c r="H2474" s="38" t="n"/>
      <c r="I2474" s="28" t="n"/>
      <c r="J2474" s="30">
        <f>IF(B2474="","",IFERROR(INDEX('Share classes'!$A$4:$A$203,MATCH(B2474,'Share classes'!$B$4:$B$203,0)),""))</f>
        <v/>
      </c>
      <c r="K2474" s="30">
        <f>IF(A2474="","",IFERROR(INDEX('Holders'!$B$4:$B$1003,MATCH(A2474,'Holders'!$A$4:$A$1003,0)),""))</f>
        <v/>
      </c>
      <c r="L2474" s="30">
        <f>IF(OR(A2474="",B2474="",D2474=""),"",IF(D2474=_xlfn.MAXIFS($D$4:$D$2503,$A$4:$A$2503,A2474,$B$4:$B$2503,B2474),"Yes","No"))</f>
        <v/>
      </c>
      <c r="M2474" s="30">
        <f>IF(B2474="","",IFERROR(INDEX('Share classes'!$F$4:$F$203,MATCH(B2474,'Share classes'!$B$4:$B$203,0)),""))</f>
        <v/>
      </c>
      <c r="N2474" s="30">
        <f>IF(A2474="","",IF(K2474="","Unknown holder ID",IF(J2474="","Unknown class code",IF(OR(C2474="",D2474=""),"Missing shares or date",IF(OR(C2474&lt;0,C2474&lt;&gt;INT(C2474)),"Shares must be a whole number",IF(COUNTIFS($A$4:$A$2503,A2474,$B$4:$B$2503,B2474,$D$4:$D$2503,D2474)&gt;1,"Duplicate row (same date)","OK"))))))</f>
        <v/>
      </c>
    </row>
    <row r="2475">
      <c r="A2475" s="26" t="n"/>
      <c r="B2475" s="26" t="n"/>
      <c r="C2475" s="34" t="n"/>
      <c r="D2475" s="28" t="n"/>
      <c r="E2475" s="26" t="n"/>
      <c r="F2475" s="26" t="n"/>
      <c r="G2475" s="26" t="n"/>
      <c r="H2475" s="38" t="n"/>
      <c r="I2475" s="28" t="n"/>
      <c r="J2475" s="30">
        <f>IF(B2475="","",IFERROR(INDEX('Share classes'!$A$4:$A$203,MATCH(B2475,'Share classes'!$B$4:$B$203,0)),""))</f>
        <v/>
      </c>
      <c r="K2475" s="30">
        <f>IF(A2475="","",IFERROR(INDEX('Holders'!$B$4:$B$1003,MATCH(A2475,'Holders'!$A$4:$A$1003,0)),""))</f>
        <v/>
      </c>
      <c r="L2475" s="30">
        <f>IF(OR(A2475="",B2475="",D2475=""),"",IF(D2475=_xlfn.MAXIFS($D$4:$D$2503,$A$4:$A$2503,A2475,$B$4:$B$2503,B2475),"Yes","No"))</f>
        <v/>
      </c>
      <c r="M2475" s="30">
        <f>IF(B2475="","",IFERROR(INDEX('Share classes'!$F$4:$F$203,MATCH(B2475,'Share classes'!$B$4:$B$203,0)),""))</f>
        <v/>
      </c>
      <c r="N2475" s="30">
        <f>IF(A2475="","",IF(K2475="","Unknown holder ID",IF(J2475="","Unknown class code",IF(OR(C2475="",D2475=""),"Missing shares or date",IF(OR(C2475&lt;0,C2475&lt;&gt;INT(C2475)),"Shares must be a whole number",IF(COUNTIFS($A$4:$A$2503,A2475,$B$4:$B$2503,B2475,$D$4:$D$2503,D2475)&gt;1,"Duplicate row (same date)","OK"))))))</f>
        <v/>
      </c>
    </row>
    <row r="2476">
      <c r="A2476" s="26" t="n"/>
      <c r="B2476" s="26" t="n"/>
      <c r="C2476" s="34" t="n"/>
      <c r="D2476" s="28" t="n"/>
      <c r="E2476" s="26" t="n"/>
      <c r="F2476" s="26" t="n"/>
      <c r="G2476" s="26" t="n"/>
      <c r="H2476" s="38" t="n"/>
      <c r="I2476" s="28" t="n"/>
      <c r="J2476" s="30">
        <f>IF(B2476="","",IFERROR(INDEX('Share classes'!$A$4:$A$203,MATCH(B2476,'Share classes'!$B$4:$B$203,0)),""))</f>
        <v/>
      </c>
      <c r="K2476" s="30">
        <f>IF(A2476="","",IFERROR(INDEX('Holders'!$B$4:$B$1003,MATCH(A2476,'Holders'!$A$4:$A$1003,0)),""))</f>
        <v/>
      </c>
      <c r="L2476" s="30">
        <f>IF(OR(A2476="",B2476="",D2476=""),"",IF(D2476=_xlfn.MAXIFS($D$4:$D$2503,$A$4:$A$2503,A2476,$B$4:$B$2503,B2476),"Yes","No"))</f>
        <v/>
      </c>
      <c r="M2476" s="30">
        <f>IF(B2476="","",IFERROR(INDEX('Share classes'!$F$4:$F$203,MATCH(B2476,'Share classes'!$B$4:$B$203,0)),""))</f>
        <v/>
      </c>
      <c r="N2476" s="30">
        <f>IF(A2476="","",IF(K2476="","Unknown holder ID",IF(J2476="","Unknown class code",IF(OR(C2476="",D2476=""),"Missing shares or date",IF(OR(C2476&lt;0,C2476&lt;&gt;INT(C2476)),"Shares must be a whole number",IF(COUNTIFS($A$4:$A$2503,A2476,$B$4:$B$2503,B2476,$D$4:$D$2503,D2476)&gt;1,"Duplicate row (same date)","OK"))))))</f>
        <v/>
      </c>
    </row>
    <row r="2477">
      <c r="A2477" s="26" t="n"/>
      <c r="B2477" s="26" t="n"/>
      <c r="C2477" s="34" t="n"/>
      <c r="D2477" s="28" t="n"/>
      <c r="E2477" s="26" t="n"/>
      <c r="F2477" s="26" t="n"/>
      <c r="G2477" s="26" t="n"/>
      <c r="H2477" s="38" t="n"/>
      <c r="I2477" s="28" t="n"/>
      <c r="J2477" s="30">
        <f>IF(B2477="","",IFERROR(INDEX('Share classes'!$A$4:$A$203,MATCH(B2477,'Share classes'!$B$4:$B$203,0)),""))</f>
        <v/>
      </c>
      <c r="K2477" s="30">
        <f>IF(A2477="","",IFERROR(INDEX('Holders'!$B$4:$B$1003,MATCH(A2477,'Holders'!$A$4:$A$1003,0)),""))</f>
        <v/>
      </c>
      <c r="L2477" s="30">
        <f>IF(OR(A2477="",B2477="",D2477=""),"",IF(D2477=_xlfn.MAXIFS($D$4:$D$2503,$A$4:$A$2503,A2477,$B$4:$B$2503,B2477),"Yes","No"))</f>
        <v/>
      </c>
      <c r="M2477" s="30">
        <f>IF(B2477="","",IFERROR(INDEX('Share classes'!$F$4:$F$203,MATCH(B2477,'Share classes'!$B$4:$B$203,0)),""))</f>
        <v/>
      </c>
      <c r="N2477" s="30">
        <f>IF(A2477="","",IF(K2477="","Unknown holder ID",IF(J2477="","Unknown class code",IF(OR(C2477="",D2477=""),"Missing shares or date",IF(OR(C2477&lt;0,C2477&lt;&gt;INT(C2477)),"Shares must be a whole number",IF(COUNTIFS($A$4:$A$2503,A2477,$B$4:$B$2503,B2477,$D$4:$D$2503,D2477)&gt;1,"Duplicate row (same date)","OK"))))))</f>
        <v/>
      </c>
    </row>
    <row r="2478">
      <c r="A2478" s="26" t="n"/>
      <c r="B2478" s="26" t="n"/>
      <c r="C2478" s="34" t="n"/>
      <c r="D2478" s="28" t="n"/>
      <c r="E2478" s="26" t="n"/>
      <c r="F2478" s="26" t="n"/>
      <c r="G2478" s="26" t="n"/>
      <c r="H2478" s="38" t="n"/>
      <c r="I2478" s="28" t="n"/>
      <c r="J2478" s="30">
        <f>IF(B2478="","",IFERROR(INDEX('Share classes'!$A$4:$A$203,MATCH(B2478,'Share classes'!$B$4:$B$203,0)),""))</f>
        <v/>
      </c>
      <c r="K2478" s="30">
        <f>IF(A2478="","",IFERROR(INDEX('Holders'!$B$4:$B$1003,MATCH(A2478,'Holders'!$A$4:$A$1003,0)),""))</f>
        <v/>
      </c>
      <c r="L2478" s="30">
        <f>IF(OR(A2478="",B2478="",D2478=""),"",IF(D2478=_xlfn.MAXIFS($D$4:$D$2503,$A$4:$A$2503,A2478,$B$4:$B$2503,B2478),"Yes","No"))</f>
        <v/>
      </c>
      <c r="M2478" s="30">
        <f>IF(B2478="","",IFERROR(INDEX('Share classes'!$F$4:$F$203,MATCH(B2478,'Share classes'!$B$4:$B$203,0)),""))</f>
        <v/>
      </c>
      <c r="N2478" s="30">
        <f>IF(A2478="","",IF(K2478="","Unknown holder ID",IF(J2478="","Unknown class code",IF(OR(C2478="",D2478=""),"Missing shares or date",IF(OR(C2478&lt;0,C2478&lt;&gt;INT(C2478)),"Shares must be a whole number",IF(COUNTIFS($A$4:$A$2503,A2478,$B$4:$B$2503,B2478,$D$4:$D$2503,D2478)&gt;1,"Duplicate row (same date)","OK"))))))</f>
        <v/>
      </c>
    </row>
    <row r="2479">
      <c r="A2479" s="26" t="n"/>
      <c r="B2479" s="26" t="n"/>
      <c r="C2479" s="34" t="n"/>
      <c r="D2479" s="28" t="n"/>
      <c r="E2479" s="26" t="n"/>
      <c r="F2479" s="26" t="n"/>
      <c r="G2479" s="26" t="n"/>
      <c r="H2479" s="38" t="n"/>
      <c r="I2479" s="28" t="n"/>
      <c r="J2479" s="30">
        <f>IF(B2479="","",IFERROR(INDEX('Share classes'!$A$4:$A$203,MATCH(B2479,'Share classes'!$B$4:$B$203,0)),""))</f>
        <v/>
      </c>
      <c r="K2479" s="30">
        <f>IF(A2479="","",IFERROR(INDEX('Holders'!$B$4:$B$1003,MATCH(A2479,'Holders'!$A$4:$A$1003,0)),""))</f>
        <v/>
      </c>
      <c r="L2479" s="30">
        <f>IF(OR(A2479="",B2479="",D2479=""),"",IF(D2479=_xlfn.MAXIFS($D$4:$D$2503,$A$4:$A$2503,A2479,$B$4:$B$2503,B2479),"Yes","No"))</f>
        <v/>
      </c>
      <c r="M2479" s="30">
        <f>IF(B2479="","",IFERROR(INDEX('Share classes'!$F$4:$F$203,MATCH(B2479,'Share classes'!$B$4:$B$203,0)),""))</f>
        <v/>
      </c>
      <c r="N2479" s="30">
        <f>IF(A2479="","",IF(K2479="","Unknown holder ID",IF(J2479="","Unknown class code",IF(OR(C2479="",D2479=""),"Missing shares or date",IF(OR(C2479&lt;0,C2479&lt;&gt;INT(C2479)),"Shares must be a whole number",IF(COUNTIFS($A$4:$A$2503,A2479,$B$4:$B$2503,B2479,$D$4:$D$2503,D2479)&gt;1,"Duplicate row (same date)","OK"))))))</f>
        <v/>
      </c>
    </row>
    <row r="2480">
      <c r="A2480" s="26" t="n"/>
      <c r="B2480" s="26" t="n"/>
      <c r="C2480" s="34" t="n"/>
      <c r="D2480" s="28" t="n"/>
      <c r="E2480" s="26" t="n"/>
      <c r="F2480" s="26" t="n"/>
      <c r="G2480" s="26" t="n"/>
      <c r="H2480" s="38" t="n"/>
      <c r="I2480" s="28" t="n"/>
      <c r="J2480" s="30">
        <f>IF(B2480="","",IFERROR(INDEX('Share classes'!$A$4:$A$203,MATCH(B2480,'Share classes'!$B$4:$B$203,0)),""))</f>
        <v/>
      </c>
      <c r="K2480" s="30">
        <f>IF(A2480="","",IFERROR(INDEX('Holders'!$B$4:$B$1003,MATCH(A2480,'Holders'!$A$4:$A$1003,0)),""))</f>
        <v/>
      </c>
      <c r="L2480" s="30">
        <f>IF(OR(A2480="",B2480="",D2480=""),"",IF(D2480=_xlfn.MAXIFS($D$4:$D$2503,$A$4:$A$2503,A2480,$B$4:$B$2503,B2480),"Yes","No"))</f>
        <v/>
      </c>
      <c r="M2480" s="30">
        <f>IF(B2480="","",IFERROR(INDEX('Share classes'!$F$4:$F$203,MATCH(B2480,'Share classes'!$B$4:$B$203,0)),""))</f>
        <v/>
      </c>
      <c r="N2480" s="30">
        <f>IF(A2480="","",IF(K2480="","Unknown holder ID",IF(J2480="","Unknown class code",IF(OR(C2480="",D2480=""),"Missing shares or date",IF(OR(C2480&lt;0,C2480&lt;&gt;INT(C2480)),"Shares must be a whole number",IF(COUNTIFS($A$4:$A$2503,A2480,$B$4:$B$2503,B2480,$D$4:$D$2503,D2480)&gt;1,"Duplicate row (same date)","OK"))))))</f>
        <v/>
      </c>
    </row>
    <row r="2481">
      <c r="A2481" s="26" t="n"/>
      <c r="B2481" s="26" t="n"/>
      <c r="C2481" s="34" t="n"/>
      <c r="D2481" s="28" t="n"/>
      <c r="E2481" s="26" t="n"/>
      <c r="F2481" s="26" t="n"/>
      <c r="G2481" s="26" t="n"/>
      <c r="H2481" s="38" t="n"/>
      <c r="I2481" s="28" t="n"/>
      <c r="J2481" s="30">
        <f>IF(B2481="","",IFERROR(INDEX('Share classes'!$A$4:$A$203,MATCH(B2481,'Share classes'!$B$4:$B$203,0)),""))</f>
        <v/>
      </c>
      <c r="K2481" s="30">
        <f>IF(A2481="","",IFERROR(INDEX('Holders'!$B$4:$B$1003,MATCH(A2481,'Holders'!$A$4:$A$1003,0)),""))</f>
        <v/>
      </c>
      <c r="L2481" s="30">
        <f>IF(OR(A2481="",B2481="",D2481=""),"",IF(D2481=_xlfn.MAXIFS($D$4:$D$2503,$A$4:$A$2503,A2481,$B$4:$B$2503,B2481),"Yes","No"))</f>
        <v/>
      </c>
      <c r="M2481" s="30">
        <f>IF(B2481="","",IFERROR(INDEX('Share classes'!$F$4:$F$203,MATCH(B2481,'Share classes'!$B$4:$B$203,0)),""))</f>
        <v/>
      </c>
      <c r="N2481" s="30">
        <f>IF(A2481="","",IF(K2481="","Unknown holder ID",IF(J2481="","Unknown class code",IF(OR(C2481="",D2481=""),"Missing shares or date",IF(OR(C2481&lt;0,C2481&lt;&gt;INT(C2481)),"Shares must be a whole number",IF(COUNTIFS($A$4:$A$2503,A2481,$B$4:$B$2503,B2481,$D$4:$D$2503,D2481)&gt;1,"Duplicate row (same date)","OK"))))))</f>
        <v/>
      </c>
    </row>
    <row r="2482">
      <c r="A2482" s="26" t="n"/>
      <c r="B2482" s="26" t="n"/>
      <c r="C2482" s="34" t="n"/>
      <c r="D2482" s="28" t="n"/>
      <c r="E2482" s="26" t="n"/>
      <c r="F2482" s="26" t="n"/>
      <c r="G2482" s="26" t="n"/>
      <c r="H2482" s="38" t="n"/>
      <c r="I2482" s="28" t="n"/>
      <c r="J2482" s="30">
        <f>IF(B2482="","",IFERROR(INDEX('Share classes'!$A$4:$A$203,MATCH(B2482,'Share classes'!$B$4:$B$203,0)),""))</f>
        <v/>
      </c>
      <c r="K2482" s="30">
        <f>IF(A2482="","",IFERROR(INDEX('Holders'!$B$4:$B$1003,MATCH(A2482,'Holders'!$A$4:$A$1003,0)),""))</f>
        <v/>
      </c>
      <c r="L2482" s="30">
        <f>IF(OR(A2482="",B2482="",D2482=""),"",IF(D2482=_xlfn.MAXIFS($D$4:$D$2503,$A$4:$A$2503,A2482,$B$4:$B$2503,B2482),"Yes","No"))</f>
        <v/>
      </c>
      <c r="M2482" s="30">
        <f>IF(B2482="","",IFERROR(INDEX('Share classes'!$F$4:$F$203,MATCH(B2482,'Share classes'!$B$4:$B$203,0)),""))</f>
        <v/>
      </c>
      <c r="N2482" s="30">
        <f>IF(A2482="","",IF(K2482="","Unknown holder ID",IF(J2482="","Unknown class code",IF(OR(C2482="",D2482=""),"Missing shares or date",IF(OR(C2482&lt;0,C2482&lt;&gt;INT(C2482)),"Shares must be a whole number",IF(COUNTIFS($A$4:$A$2503,A2482,$B$4:$B$2503,B2482,$D$4:$D$2503,D2482)&gt;1,"Duplicate row (same date)","OK"))))))</f>
        <v/>
      </c>
    </row>
    <row r="2483">
      <c r="A2483" s="26" t="n"/>
      <c r="B2483" s="26" t="n"/>
      <c r="C2483" s="34" t="n"/>
      <c r="D2483" s="28" t="n"/>
      <c r="E2483" s="26" t="n"/>
      <c r="F2483" s="26" t="n"/>
      <c r="G2483" s="26" t="n"/>
      <c r="H2483" s="38" t="n"/>
      <c r="I2483" s="28" t="n"/>
      <c r="J2483" s="30">
        <f>IF(B2483="","",IFERROR(INDEX('Share classes'!$A$4:$A$203,MATCH(B2483,'Share classes'!$B$4:$B$203,0)),""))</f>
        <v/>
      </c>
      <c r="K2483" s="30">
        <f>IF(A2483="","",IFERROR(INDEX('Holders'!$B$4:$B$1003,MATCH(A2483,'Holders'!$A$4:$A$1003,0)),""))</f>
        <v/>
      </c>
      <c r="L2483" s="30">
        <f>IF(OR(A2483="",B2483="",D2483=""),"",IF(D2483=_xlfn.MAXIFS($D$4:$D$2503,$A$4:$A$2503,A2483,$B$4:$B$2503,B2483),"Yes","No"))</f>
        <v/>
      </c>
      <c r="M2483" s="30">
        <f>IF(B2483="","",IFERROR(INDEX('Share classes'!$F$4:$F$203,MATCH(B2483,'Share classes'!$B$4:$B$203,0)),""))</f>
        <v/>
      </c>
      <c r="N2483" s="30">
        <f>IF(A2483="","",IF(K2483="","Unknown holder ID",IF(J2483="","Unknown class code",IF(OR(C2483="",D2483=""),"Missing shares or date",IF(OR(C2483&lt;0,C2483&lt;&gt;INT(C2483)),"Shares must be a whole number",IF(COUNTIFS($A$4:$A$2503,A2483,$B$4:$B$2503,B2483,$D$4:$D$2503,D2483)&gt;1,"Duplicate row (same date)","OK"))))))</f>
        <v/>
      </c>
    </row>
    <row r="2484">
      <c r="A2484" s="26" t="n"/>
      <c r="B2484" s="26" t="n"/>
      <c r="C2484" s="34" t="n"/>
      <c r="D2484" s="28" t="n"/>
      <c r="E2484" s="26" t="n"/>
      <c r="F2484" s="26" t="n"/>
      <c r="G2484" s="26" t="n"/>
      <c r="H2484" s="38" t="n"/>
      <c r="I2484" s="28" t="n"/>
      <c r="J2484" s="30">
        <f>IF(B2484="","",IFERROR(INDEX('Share classes'!$A$4:$A$203,MATCH(B2484,'Share classes'!$B$4:$B$203,0)),""))</f>
        <v/>
      </c>
      <c r="K2484" s="30">
        <f>IF(A2484="","",IFERROR(INDEX('Holders'!$B$4:$B$1003,MATCH(A2484,'Holders'!$A$4:$A$1003,0)),""))</f>
        <v/>
      </c>
      <c r="L2484" s="30">
        <f>IF(OR(A2484="",B2484="",D2484=""),"",IF(D2484=_xlfn.MAXIFS($D$4:$D$2503,$A$4:$A$2503,A2484,$B$4:$B$2503,B2484),"Yes","No"))</f>
        <v/>
      </c>
      <c r="M2484" s="30">
        <f>IF(B2484="","",IFERROR(INDEX('Share classes'!$F$4:$F$203,MATCH(B2484,'Share classes'!$B$4:$B$203,0)),""))</f>
        <v/>
      </c>
      <c r="N2484" s="30">
        <f>IF(A2484="","",IF(K2484="","Unknown holder ID",IF(J2484="","Unknown class code",IF(OR(C2484="",D2484=""),"Missing shares or date",IF(OR(C2484&lt;0,C2484&lt;&gt;INT(C2484)),"Shares must be a whole number",IF(COUNTIFS($A$4:$A$2503,A2484,$B$4:$B$2503,B2484,$D$4:$D$2503,D2484)&gt;1,"Duplicate row (same date)","OK"))))))</f>
        <v/>
      </c>
    </row>
    <row r="2485">
      <c r="A2485" s="26" t="n"/>
      <c r="B2485" s="26" t="n"/>
      <c r="C2485" s="34" t="n"/>
      <c r="D2485" s="28" t="n"/>
      <c r="E2485" s="26" t="n"/>
      <c r="F2485" s="26" t="n"/>
      <c r="G2485" s="26" t="n"/>
      <c r="H2485" s="38" t="n"/>
      <c r="I2485" s="28" t="n"/>
      <c r="J2485" s="30">
        <f>IF(B2485="","",IFERROR(INDEX('Share classes'!$A$4:$A$203,MATCH(B2485,'Share classes'!$B$4:$B$203,0)),""))</f>
        <v/>
      </c>
      <c r="K2485" s="30">
        <f>IF(A2485="","",IFERROR(INDEX('Holders'!$B$4:$B$1003,MATCH(A2485,'Holders'!$A$4:$A$1003,0)),""))</f>
        <v/>
      </c>
      <c r="L2485" s="30">
        <f>IF(OR(A2485="",B2485="",D2485=""),"",IF(D2485=_xlfn.MAXIFS($D$4:$D$2503,$A$4:$A$2503,A2485,$B$4:$B$2503,B2485),"Yes","No"))</f>
        <v/>
      </c>
      <c r="M2485" s="30">
        <f>IF(B2485="","",IFERROR(INDEX('Share classes'!$F$4:$F$203,MATCH(B2485,'Share classes'!$B$4:$B$203,0)),""))</f>
        <v/>
      </c>
      <c r="N2485" s="30">
        <f>IF(A2485="","",IF(K2485="","Unknown holder ID",IF(J2485="","Unknown class code",IF(OR(C2485="",D2485=""),"Missing shares or date",IF(OR(C2485&lt;0,C2485&lt;&gt;INT(C2485)),"Shares must be a whole number",IF(COUNTIFS($A$4:$A$2503,A2485,$B$4:$B$2503,B2485,$D$4:$D$2503,D2485)&gt;1,"Duplicate row (same date)","OK"))))))</f>
        <v/>
      </c>
    </row>
    <row r="2486">
      <c r="A2486" s="26" t="n"/>
      <c r="B2486" s="26" t="n"/>
      <c r="C2486" s="34" t="n"/>
      <c r="D2486" s="28" t="n"/>
      <c r="E2486" s="26" t="n"/>
      <c r="F2486" s="26" t="n"/>
      <c r="G2486" s="26" t="n"/>
      <c r="H2486" s="38" t="n"/>
      <c r="I2486" s="28" t="n"/>
      <c r="J2486" s="30">
        <f>IF(B2486="","",IFERROR(INDEX('Share classes'!$A$4:$A$203,MATCH(B2486,'Share classes'!$B$4:$B$203,0)),""))</f>
        <v/>
      </c>
      <c r="K2486" s="30">
        <f>IF(A2486="","",IFERROR(INDEX('Holders'!$B$4:$B$1003,MATCH(A2486,'Holders'!$A$4:$A$1003,0)),""))</f>
        <v/>
      </c>
      <c r="L2486" s="30">
        <f>IF(OR(A2486="",B2486="",D2486=""),"",IF(D2486=_xlfn.MAXIFS($D$4:$D$2503,$A$4:$A$2503,A2486,$B$4:$B$2503,B2486),"Yes","No"))</f>
        <v/>
      </c>
      <c r="M2486" s="30">
        <f>IF(B2486="","",IFERROR(INDEX('Share classes'!$F$4:$F$203,MATCH(B2486,'Share classes'!$B$4:$B$203,0)),""))</f>
        <v/>
      </c>
      <c r="N2486" s="30">
        <f>IF(A2486="","",IF(K2486="","Unknown holder ID",IF(J2486="","Unknown class code",IF(OR(C2486="",D2486=""),"Missing shares or date",IF(OR(C2486&lt;0,C2486&lt;&gt;INT(C2486)),"Shares must be a whole number",IF(COUNTIFS($A$4:$A$2503,A2486,$B$4:$B$2503,B2486,$D$4:$D$2503,D2486)&gt;1,"Duplicate row (same date)","OK"))))))</f>
        <v/>
      </c>
    </row>
    <row r="2487">
      <c r="A2487" s="26" t="n"/>
      <c r="B2487" s="26" t="n"/>
      <c r="C2487" s="34" t="n"/>
      <c r="D2487" s="28" t="n"/>
      <c r="E2487" s="26" t="n"/>
      <c r="F2487" s="26" t="n"/>
      <c r="G2487" s="26" t="n"/>
      <c r="H2487" s="38" t="n"/>
      <c r="I2487" s="28" t="n"/>
      <c r="J2487" s="30">
        <f>IF(B2487="","",IFERROR(INDEX('Share classes'!$A$4:$A$203,MATCH(B2487,'Share classes'!$B$4:$B$203,0)),""))</f>
        <v/>
      </c>
      <c r="K2487" s="30">
        <f>IF(A2487="","",IFERROR(INDEX('Holders'!$B$4:$B$1003,MATCH(A2487,'Holders'!$A$4:$A$1003,0)),""))</f>
        <v/>
      </c>
      <c r="L2487" s="30">
        <f>IF(OR(A2487="",B2487="",D2487=""),"",IF(D2487=_xlfn.MAXIFS($D$4:$D$2503,$A$4:$A$2503,A2487,$B$4:$B$2503,B2487),"Yes","No"))</f>
        <v/>
      </c>
      <c r="M2487" s="30">
        <f>IF(B2487="","",IFERROR(INDEX('Share classes'!$F$4:$F$203,MATCH(B2487,'Share classes'!$B$4:$B$203,0)),""))</f>
        <v/>
      </c>
      <c r="N2487" s="30">
        <f>IF(A2487="","",IF(K2487="","Unknown holder ID",IF(J2487="","Unknown class code",IF(OR(C2487="",D2487=""),"Missing shares or date",IF(OR(C2487&lt;0,C2487&lt;&gt;INT(C2487)),"Shares must be a whole number",IF(COUNTIFS($A$4:$A$2503,A2487,$B$4:$B$2503,B2487,$D$4:$D$2503,D2487)&gt;1,"Duplicate row (same date)","OK"))))))</f>
        <v/>
      </c>
    </row>
    <row r="2488">
      <c r="A2488" s="26" t="n"/>
      <c r="B2488" s="26" t="n"/>
      <c r="C2488" s="34" t="n"/>
      <c r="D2488" s="28" t="n"/>
      <c r="E2488" s="26" t="n"/>
      <c r="F2488" s="26" t="n"/>
      <c r="G2488" s="26" t="n"/>
      <c r="H2488" s="38" t="n"/>
      <c r="I2488" s="28" t="n"/>
      <c r="J2488" s="30">
        <f>IF(B2488="","",IFERROR(INDEX('Share classes'!$A$4:$A$203,MATCH(B2488,'Share classes'!$B$4:$B$203,0)),""))</f>
        <v/>
      </c>
      <c r="K2488" s="30">
        <f>IF(A2488="","",IFERROR(INDEX('Holders'!$B$4:$B$1003,MATCH(A2488,'Holders'!$A$4:$A$1003,0)),""))</f>
        <v/>
      </c>
      <c r="L2488" s="30">
        <f>IF(OR(A2488="",B2488="",D2488=""),"",IF(D2488=_xlfn.MAXIFS($D$4:$D$2503,$A$4:$A$2503,A2488,$B$4:$B$2503,B2488),"Yes","No"))</f>
        <v/>
      </c>
      <c r="M2488" s="30">
        <f>IF(B2488="","",IFERROR(INDEX('Share classes'!$F$4:$F$203,MATCH(B2488,'Share classes'!$B$4:$B$203,0)),""))</f>
        <v/>
      </c>
      <c r="N2488" s="30">
        <f>IF(A2488="","",IF(K2488="","Unknown holder ID",IF(J2488="","Unknown class code",IF(OR(C2488="",D2488=""),"Missing shares or date",IF(OR(C2488&lt;0,C2488&lt;&gt;INT(C2488)),"Shares must be a whole number",IF(COUNTIFS($A$4:$A$2503,A2488,$B$4:$B$2503,B2488,$D$4:$D$2503,D2488)&gt;1,"Duplicate row (same date)","OK"))))))</f>
        <v/>
      </c>
    </row>
    <row r="2489">
      <c r="A2489" s="26" t="n"/>
      <c r="B2489" s="26" t="n"/>
      <c r="C2489" s="34" t="n"/>
      <c r="D2489" s="28" t="n"/>
      <c r="E2489" s="26" t="n"/>
      <c r="F2489" s="26" t="n"/>
      <c r="G2489" s="26" t="n"/>
      <c r="H2489" s="38" t="n"/>
      <c r="I2489" s="28" t="n"/>
      <c r="J2489" s="30">
        <f>IF(B2489="","",IFERROR(INDEX('Share classes'!$A$4:$A$203,MATCH(B2489,'Share classes'!$B$4:$B$203,0)),""))</f>
        <v/>
      </c>
      <c r="K2489" s="30">
        <f>IF(A2489="","",IFERROR(INDEX('Holders'!$B$4:$B$1003,MATCH(A2489,'Holders'!$A$4:$A$1003,0)),""))</f>
        <v/>
      </c>
      <c r="L2489" s="30">
        <f>IF(OR(A2489="",B2489="",D2489=""),"",IF(D2489=_xlfn.MAXIFS($D$4:$D$2503,$A$4:$A$2503,A2489,$B$4:$B$2503,B2489),"Yes","No"))</f>
        <v/>
      </c>
      <c r="M2489" s="30">
        <f>IF(B2489="","",IFERROR(INDEX('Share classes'!$F$4:$F$203,MATCH(B2489,'Share classes'!$B$4:$B$203,0)),""))</f>
        <v/>
      </c>
      <c r="N2489" s="30">
        <f>IF(A2489="","",IF(K2489="","Unknown holder ID",IF(J2489="","Unknown class code",IF(OR(C2489="",D2489=""),"Missing shares or date",IF(OR(C2489&lt;0,C2489&lt;&gt;INT(C2489)),"Shares must be a whole number",IF(COUNTIFS($A$4:$A$2503,A2489,$B$4:$B$2503,B2489,$D$4:$D$2503,D2489)&gt;1,"Duplicate row (same date)","OK"))))))</f>
        <v/>
      </c>
    </row>
    <row r="2490">
      <c r="A2490" s="26" t="n"/>
      <c r="B2490" s="26" t="n"/>
      <c r="C2490" s="34" t="n"/>
      <c r="D2490" s="28" t="n"/>
      <c r="E2490" s="26" t="n"/>
      <c r="F2490" s="26" t="n"/>
      <c r="G2490" s="26" t="n"/>
      <c r="H2490" s="38" t="n"/>
      <c r="I2490" s="28" t="n"/>
      <c r="J2490" s="30">
        <f>IF(B2490="","",IFERROR(INDEX('Share classes'!$A$4:$A$203,MATCH(B2490,'Share classes'!$B$4:$B$203,0)),""))</f>
        <v/>
      </c>
      <c r="K2490" s="30">
        <f>IF(A2490="","",IFERROR(INDEX('Holders'!$B$4:$B$1003,MATCH(A2490,'Holders'!$A$4:$A$1003,0)),""))</f>
        <v/>
      </c>
      <c r="L2490" s="30">
        <f>IF(OR(A2490="",B2490="",D2490=""),"",IF(D2490=_xlfn.MAXIFS($D$4:$D$2503,$A$4:$A$2503,A2490,$B$4:$B$2503,B2490),"Yes","No"))</f>
        <v/>
      </c>
      <c r="M2490" s="30">
        <f>IF(B2490="","",IFERROR(INDEX('Share classes'!$F$4:$F$203,MATCH(B2490,'Share classes'!$B$4:$B$203,0)),""))</f>
        <v/>
      </c>
      <c r="N2490" s="30">
        <f>IF(A2490="","",IF(K2490="","Unknown holder ID",IF(J2490="","Unknown class code",IF(OR(C2490="",D2490=""),"Missing shares or date",IF(OR(C2490&lt;0,C2490&lt;&gt;INT(C2490)),"Shares must be a whole number",IF(COUNTIFS($A$4:$A$2503,A2490,$B$4:$B$2503,B2490,$D$4:$D$2503,D2490)&gt;1,"Duplicate row (same date)","OK"))))))</f>
        <v/>
      </c>
    </row>
    <row r="2491">
      <c r="A2491" s="26" t="n"/>
      <c r="B2491" s="26" t="n"/>
      <c r="C2491" s="34" t="n"/>
      <c r="D2491" s="28" t="n"/>
      <c r="E2491" s="26" t="n"/>
      <c r="F2491" s="26" t="n"/>
      <c r="G2491" s="26" t="n"/>
      <c r="H2491" s="38" t="n"/>
      <c r="I2491" s="28" t="n"/>
      <c r="J2491" s="30">
        <f>IF(B2491="","",IFERROR(INDEX('Share classes'!$A$4:$A$203,MATCH(B2491,'Share classes'!$B$4:$B$203,0)),""))</f>
        <v/>
      </c>
      <c r="K2491" s="30">
        <f>IF(A2491="","",IFERROR(INDEX('Holders'!$B$4:$B$1003,MATCH(A2491,'Holders'!$A$4:$A$1003,0)),""))</f>
        <v/>
      </c>
      <c r="L2491" s="30">
        <f>IF(OR(A2491="",B2491="",D2491=""),"",IF(D2491=_xlfn.MAXIFS($D$4:$D$2503,$A$4:$A$2503,A2491,$B$4:$B$2503,B2491),"Yes","No"))</f>
        <v/>
      </c>
      <c r="M2491" s="30">
        <f>IF(B2491="","",IFERROR(INDEX('Share classes'!$F$4:$F$203,MATCH(B2491,'Share classes'!$B$4:$B$203,0)),""))</f>
        <v/>
      </c>
      <c r="N2491" s="30">
        <f>IF(A2491="","",IF(K2491="","Unknown holder ID",IF(J2491="","Unknown class code",IF(OR(C2491="",D2491=""),"Missing shares or date",IF(OR(C2491&lt;0,C2491&lt;&gt;INT(C2491)),"Shares must be a whole number",IF(COUNTIFS($A$4:$A$2503,A2491,$B$4:$B$2503,B2491,$D$4:$D$2503,D2491)&gt;1,"Duplicate row (same date)","OK"))))))</f>
        <v/>
      </c>
    </row>
    <row r="2492">
      <c r="A2492" s="26" t="n"/>
      <c r="B2492" s="26" t="n"/>
      <c r="C2492" s="34" t="n"/>
      <c r="D2492" s="28" t="n"/>
      <c r="E2492" s="26" t="n"/>
      <c r="F2492" s="26" t="n"/>
      <c r="G2492" s="26" t="n"/>
      <c r="H2492" s="38" t="n"/>
      <c r="I2492" s="28" t="n"/>
      <c r="J2492" s="30">
        <f>IF(B2492="","",IFERROR(INDEX('Share classes'!$A$4:$A$203,MATCH(B2492,'Share classes'!$B$4:$B$203,0)),""))</f>
        <v/>
      </c>
      <c r="K2492" s="30">
        <f>IF(A2492="","",IFERROR(INDEX('Holders'!$B$4:$B$1003,MATCH(A2492,'Holders'!$A$4:$A$1003,0)),""))</f>
        <v/>
      </c>
      <c r="L2492" s="30">
        <f>IF(OR(A2492="",B2492="",D2492=""),"",IF(D2492=_xlfn.MAXIFS($D$4:$D$2503,$A$4:$A$2503,A2492,$B$4:$B$2503,B2492),"Yes","No"))</f>
        <v/>
      </c>
      <c r="M2492" s="30">
        <f>IF(B2492="","",IFERROR(INDEX('Share classes'!$F$4:$F$203,MATCH(B2492,'Share classes'!$B$4:$B$203,0)),""))</f>
        <v/>
      </c>
      <c r="N2492" s="30">
        <f>IF(A2492="","",IF(K2492="","Unknown holder ID",IF(J2492="","Unknown class code",IF(OR(C2492="",D2492=""),"Missing shares or date",IF(OR(C2492&lt;0,C2492&lt;&gt;INT(C2492)),"Shares must be a whole number",IF(COUNTIFS($A$4:$A$2503,A2492,$B$4:$B$2503,B2492,$D$4:$D$2503,D2492)&gt;1,"Duplicate row (same date)","OK"))))))</f>
        <v/>
      </c>
    </row>
    <row r="2493">
      <c r="A2493" s="26" t="n"/>
      <c r="B2493" s="26" t="n"/>
      <c r="C2493" s="34" t="n"/>
      <c r="D2493" s="28" t="n"/>
      <c r="E2493" s="26" t="n"/>
      <c r="F2493" s="26" t="n"/>
      <c r="G2493" s="26" t="n"/>
      <c r="H2493" s="38" t="n"/>
      <c r="I2493" s="28" t="n"/>
      <c r="J2493" s="30">
        <f>IF(B2493="","",IFERROR(INDEX('Share classes'!$A$4:$A$203,MATCH(B2493,'Share classes'!$B$4:$B$203,0)),""))</f>
        <v/>
      </c>
      <c r="K2493" s="30">
        <f>IF(A2493="","",IFERROR(INDEX('Holders'!$B$4:$B$1003,MATCH(A2493,'Holders'!$A$4:$A$1003,0)),""))</f>
        <v/>
      </c>
      <c r="L2493" s="30">
        <f>IF(OR(A2493="",B2493="",D2493=""),"",IF(D2493=_xlfn.MAXIFS($D$4:$D$2503,$A$4:$A$2503,A2493,$B$4:$B$2503,B2493),"Yes","No"))</f>
        <v/>
      </c>
      <c r="M2493" s="30">
        <f>IF(B2493="","",IFERROR(INDEX('Share classes'!$F$4:$F$203,MATCH(B2493,'Share classes'!$B$4:$B$203,0)),""))</f>
        <v/>
      </c>
      <c r="N2493" s="30">
        <f>IF(A2493="","",IF(K2493="","Unknown holder ID",IF(J2493="","Unknown class code",IF(OR(C2493="",D2493=""),"Missing shares or date",IF(OR(C2493&lt;0,C2493&lt;&gt;INT(C2493)),"Shares must be a whole number",IF(COUNTIFS($A$4:$A$2503,A2493,$B$4:$B$2503,B2493,$D$4:$D$2503,D2493)&gt;1,"Duplicate row (same date)","OK"))))))</f>
        <v/>
      </c>
    </row>
    <row r="2494">
      <c r="A2494" s="26" t="n"/>
      <c r="B2494" s="26" t="n"/>
      <c r="C2494" s="34" t="n"/>
      <c r="D2494" s="28" t="n"/>
      <c r="E2494" s="26" t="n"/>
      <c r="F2494" s="26" t="n"/>
      <c r="G2494" s="26" t="n"/>
      <c r="H2494" s="38" t="n"/>
      <c r="I2494" s="28" t="n"/>
      <c r="J2494" s="30">
        <f>IF(B2494="","",IFERROR(INDEX('Share classes'!$A$4:$A$203,MATCH(B2494,'Share classes'!$B$4:$B$203,0)),""))</f>
        <v/>
      </c>
      <c r="K2494" s="30">
        <f>IF(A2494="","",IFERROR(INDEX('Holders'!$B$4:$B$1003,MATCH(A2494,'Holders'!$A$4:$A$1003,0)),""))</f>
        <v/>
      </c>
      <c r="L2494" s="30">
        <f>IF(OR(A2494="",B2494="",D2494=""),"",IF(D2494=_xlfn.MAXIFS($D$4:$D$2503,$A$4:$A$2503,A2494,$B$4:$B$2503,B2494),"Yes","No"))</f>
        <v/>
      </c>
      <c r="M2494" s="30">
        <f>IF(B2494="","",IFERROR(INDEX('Share classes'!$F$4:$F$203,MATCH(B2494,'Share classes'!$B$4:$B$203,0)),""))</f>
        <v/>
      </c>
      <c r="N2494" s="30">
        <f>IF(A2494="","",IF(K2494="","Unknown holder ID",IF(J2494="","Unknown class code",IF(OR(C2494="",D2494=""),"Missing shares or date",IF(OR(C2494&lt;0,C2494&lt;&gt;INT(C2494)),"Shares must be a whole number",IF(COUNTIFS($A$4:$A$2503,A2494,$B$4:$B$2503,B2494,$D$4:$D$2503,D2494)&gt;1,"Duplicate row (same date)","OK"))))))</f>
        <v/>
      </c>
    </row>
    <row r="2495">
      <c r="A2495" s="26" t="n"/>
      <c r="B2495" s="26" t="n"/>
      <c r="C2495" s="34" t="n"/>
      <c r="D2495" s="28" t="n"/>
      <c r="E2495" s="26" t="n"/>
      <c r="F2495" s="26" t="n"/>
      <c r="G2495" s="26" t="n"/>
      <c r="H2495" s="38" t="n"/>
      <c r="I2495" s="28" t="n"/>
      <c r="J2495" s="30">
        <f>IF(B2495="","",IFERROR(INDEX('Share classes'!$A$4:$A$203,MATCH(B2495,'Share classes'!$B$4:$B$203,0)),""))</f>
        <v/>
      </c>
      <c r="K2495" s="30">
        <f>IF(A2495="","",IFERROR(INDEX('Holders'!$B$4:$B$1003,MATCH(A2495,'Holders'!$A$4:$A$1003,0)),""))</f>
        <v/>
      </c>
      <c r="L2495" s="30">
        <f>IF(OR(A2495="",B2495="",D2495=""),"",IF(D2495=_xlfn.MAXIFS($D$4:$D$2503,$A$4:$A$2503,A2495,$B$4:$B$2503,B2495),"Yes","No"))</f>
        <v/>
      </c>
      <c r="M2495" s="30">
        <f>IF(B2495="","",IFERROR(INDEX('Share classes'!$F$4:$F$203,MATCH(B2495,'Share classes'!$B$4:$B$203,0)),""))</f>
        <v/>
      </c>
      <c r="N2495" s="30">
        <f>IF(A2495="","",IF(K2495="","Unknown holder ID",IF(J2495="","Unknown class code",IF(OR(C2495="",D2495=""),"Missing shares or date",IF(OR(C2495&lt;0,C2495&lt;&gt;INT(C2495)),"Shares must be a whole number",IF(COUNTIFS($A$4:$A$2503,A2495,$B$4:$B$2503,B2495,$D$4:$D$2503,D2495)&gt;1,"Duplicate row (same date)","OK"))))))</f>
        <v/>
      </c>
    </row>
    <row r="2496">
      <c r="A2496" s="26" t="n"/>
      <c r="B2496" s="26" t="n"/>
      <c r="C2496" s="34" t="n"/>
      <c r="D2496" s="28" t="n"/>
      <c r="E2496" s="26" t="n"/>
      <c r="F2496" s="26" t="n"/>
      <c r="G2496" s="26" t="n"/>
      <c r="H2496" s="38" t="n"/>
      <c r="I2496" s="28" t="n"/>
      <c r="J2496" s="30">
        <f>IF(B2496="","",IFERROR(INDEX('Share classes'!$A$4:$A$203,MATCH(B2496,'Share classes'!$B$4:$B$203,0)),""))</f>
        <v/>
      </c>
      <c r="K2496" s="30">
        <f>IF(A2496="","",IFERROR(INDEX('Holders'!$B$4:$B$1003,MATCH(A2496,'Holders'!$A$4:$A$1003,0)),""))</f>
        <v/>
      </c>
      <c r="L2496" s="30">
        <f>IF(OR(A2496="",B2496="",D2496=""),"",IF(D2496=_xlfn.MAXIFS($D$4:$D$2503,$A$4:$A$2503,A2496,$B$4:$B$2503,B2496),"Yes","No"))</f>
        <v/>
      </c>
      <c r="M2496" s="30">
        <f>IF(B2496="","",IFERROR(INDEX('Share classes'!$F$4:$F$203,MATCH(B2496,'Share classes'!$B$4:$B$203,0)),""))</f>
        <v/>
      </c>
      <c r="N2496" s="30">
        <f>IF(A2496="","",IF(K2496="","Unknown holder ID",IF(J2496="","Unknown class code",IF(OR(C2496="",D2496=""),"Missing shares or date",IF(OR(C2496&lt;0,C2496&lt;&gt;INT(C2496)),"Shares must be a whole number",IF(COUNTIFS($A$4:$A$2503,A2496,$B$4:$B$2503,B2496,$D$4:$D$2503,D2496)&gt;1,"Duplicate row (same date)","OK"))))))</f>
        <v/>
      </c>
    </row>
    <row r="2497">
      <c r="A2497" s="26" t="n"/>
      <c r="B2497" s="26" t="n"/>
      <c r="C2497" s="34" t="n"/>
      <c r="D2497" s="28" t="n"/>
      <c r="E2497" s="26" t="n"/>
      <c r="F2497" s="26" t="n"/>
      <c r="G2497" s="26" t="n"/>
      <c r="H2497" s="38" t="n"/>
      <c r="I2497" s="28" t="n"/>
      <c r="J2497" s="30">
        <f>IF(B2497="","",IFERROR(INDEX('Share classes'!$A$4:$A$203,MATCH(B2497,'Share classes'!$B$4:$B$203,0)),""))</f>
        <v/>
      </c>
      <c r="K2497" s="30">
        <f>IF(A2497="","",IFERROR(INDEX('Holders'!$B$4:$B$1003,MATCH(A2497,'Holders'!$A$4:$A$1003,0)),""))</f>
        <v/>
      </c>
      <c r="L2497" s="30">
        <f>IF(OR(A2497="",B2497="",D2497=""),"",IF(D2497=_xlfn.MAXIFS($D$4:$D$2503,$A$4:$A$2503,A2497,$B$4:$B$2503,B2497),"Yes","No"))</f>
        <v/>
      </c>
      <c r="M2497" s="30">
        <f>IF(B2497="","",IFERROR(INDEX('Share classes'!$F$4:$F$203,MATCH(B2497,'Share classes'!$B$4:$B$203,0)),""))</f>
        <v/>
      </c>
      <c r="N2497" s="30">
        <f>IF(A2497="","",IF(K2497="","Unknown holder ID",IF(J2497="","Unknown class code",IF(OR(C2497="",D2497=""),"Missing shares or date",IF(OR(C2497&lt;0,C2497&lt;&gt;INT(C2497)),"Shares must be a whole number",IF(COUNTIFS($A$4:$A$2503,A2497,$B$4:$B$2503,B2497,$D$4:$D$2503,D2497)&gt;1,"Duplicate row (same date)","OK"))))))</f>
        <v/>
      </c>
    </row>
    <row r="2498">
      <c r="A2498" s="26" t="n"/>
      <c r="B2498" s="26" t="n"/>
      <c r="C2498" s="34" t="n"/>
      <c r="D2498" s="28" t="n"/>
      <c r="E2498" s="26" t="n"/>
      <c r="F2498" s="26" t="n"/>
      <c r="G2498" s="26" t="n"/>
      <c r="H2498" s="38" t="n"/>
      <c r="I2498" s="28" t="n"/>
      <c r="J2498" s="30">
        <f>IF(B2498="","",IFERROR(INDEX('Share classes'!$A$4:$A$203,MATCH(B2498,'Share classes'!$B$4:$B$203,0)),""))</f>
        <v/>
      </c>
      <c r="K2498" s="30">
        <f>IF(A2498="","",IFERROR(INDEX('Holders'!$B$4:$B$1003,MATCH(A2498,'Holders'!$A$4:$A$1003,0)),""))</f>
        <v/>
      </c>
      <c r="L2498" s="30">
        <f>IF(OR(A2498="",B2498="",D2498=""),"",IF(D2498=_xlfn.MAXIFS($D$4:$D$2503,$A$4:$A$2503,A2498,$B$4:$B$2503,B2498),"Yes","No"))</f>
        <v/>
      </c>
      <c r="M2498" s="30">
        <f>IF(B2498="","",IFERROR(INDEX('Share classes'!$F$4:$F$203,MATCH(B2498,'Share classes'!$B$4:$B$203,0)),""))</f>
        <v/>
      </c>
      <c r="N2498" s="30">
        <f>IF(A2498="","",IF(K2498="","Unknown holder ID",IF(J2498="","Unknown class code",IF(OR(C2498="",D2498=""),"Missing shares or date",IF(OR(C2498&lt;0,C2498&lt;&gt;INT(C2498)),"Shares must be a whole number",IF(COUNTIFS($A$4:$A$2503,A2498,$B$4:$B$2503,B2498,$D$4:$D$2503,D2498)&gt;1,"Duplicate row (same date)","OK"))))))</f>
        <v/>
      </c>
    </row>
    <row r="2499">
      <c r="A2499" s="26" t="n"/>
      <c r="B2499" s="26" t="n"/>
      <c r="C2499" s="34" t="n"/>
      <c r="D2499" s="28" t="n"/>
      <c r="E2499" s="26" t="n"/>
      <c r="F2499" s="26" t="n"/>
      <c r="G2499" s="26" t="n"/>
      <c r="H2499" s="38" t="n"/>
      <c r="I2499" s="28" t="n"/>
      <c r="J2499" s="30">
        <f>IF(B2499="","",IFERROR(INDEX('Share classes'!$A$4:$A$203,MATCH(B2499,'Share classes'!$B$4:$B$203,0)),""))</f>
        <v/>
      </c>
      <c r="K2499" s="30">
        <f>IF(A2499="","",IFERROR(INDEX('Holders'!$B$4:$B$1003,MATCH(A2499,'Holders'!$A$4:$A$1003,0)),""))</f>
        <v/>
      </c>
      <c r="L2499" s="30">
        <f>IF(OR(A2499="",B2499="",D2499=""),"",IF(D2499=_xlfn.MAXIFS($D$4:$D$2503,$A$4:$A$2503,A2499,$B$4:$B$2503,B2499),"Yes","No"))</f>
        <v/>
      </c>
      <c r="M2499" s="30">
        <f>IF(B2499="","",IFERROR(INDEX('Share classes'!$F$4:$F$203,MATCH(B2499,'Share classes'!$B$4:$B$203,0)),""))</f>
        <v/>
      </c>
      <c r="N2499" s="30">
        <f>IF(A2499="","",IF(K2499="","Unknown holder ID",IF(J2499="","Unknown class code",IF(OR(C2499="",D2499=""),"Missing shares or date",IF(OR(C2499&lt;0,C2499&lt;&gt;INT(C2499)),"Shares must be a whole number",IF(COUNTIFS($A$4:$A$2503,A2499,$B$4:$B$2503,B2499,$D$4:$D$2503,D2499)&gt;1,"Duplicate row (same date)","OK"))))))</f>
        <v/>
      </c>
    </row>
    <row r="2500">
      <c r="A2500" s="26" t="n"/>
      <c r="B2500" s="26" t="n"/>
      <c r="C2500" s="34" t="n"/>
      <c r="D2500" s="28" t="n"/>
      <c r="E2500" s="26" t="n"/>
      <c r="F2500" s="26" t="n"/>
      <c r="G2500" s="26" t="n"/>
      <c r="H2500" s="38" t="n"/>
      <c r="I2500" s="28" t="n"/>
      <c r="J2500" s="30">
        <f>IF(B2500="","",IFERROR(INDEX('Share classes'!$A$4:$A$203,MATCH(B2500,'Share classes'!$B$4:$B$203,0)),""))</f>
        <v/>
      </c>
      <c r="K2500" s="30">
        <f>IF(A2500="","",IFERROR(INDEX('Holders'!$B$4:$B$1003,MATCH(A2500,'Holders'!$A$4:$A$1003,0)),""))</f>
        <v/>
      </c>
      <c r="L2500" s="30">
        <f>IF(OR(A2500="",B2500="",D2500=""),"",IF(D2500=_xlfn.MAXIFS($D$4:$D$2503,$A$4:$A$2503,A2500,$B$4:$B$2503,B2500),"Yes","No"))</f>
        <v/>
      </c>
      <c r="M2500" s="30">
        <f>IF(B2500="","",IFERROR(INDEX('Share classes'!$F$4:$F$203,MATCH(B2500,'Share classes'!$B$4:$B$203,0)),""))</f>
        <v/>
      </c>
      <c r="N2500" s="30">
        <f>IF(A2500="","",IF(K2500="","Unknown holder ID",IF(J2500="","Unknown class code",IF(OR(C2500="",D2500=""),"Missing shares or date",IF(OR(C2500&lt;0,C2500&lt;&gt;INT(C2500)),"Shares must be a whole number",IF(COUNTIFS($A$4:$A$2503,A2500,$B$4:$B$2503,B2500,$D$4:$D$2503,D2500)&gt;1,"Duplicate row (same date)","OK"))))))</f>
        <v/>
      </c>
    </row>
    <row r="2501">
      <c r="A2501" s="26" t="n"/>
      <c r="B2501" s="26" t="n"/>
      <c r="C2501" s="34" t="n"/>
      <c r="D2501" s="28" t="n"/>
      <c r="E2501" s="26" t="n"/>
      <c r="F2501" s="26" t="n"/>
      <c r="G2501" s="26" t="n"/>
      <c r="H2501" s="38" t="n"/>
      <c r="I2501" s="28" t="n"/>
      <c r="J2501" s="30">
        <f>IF(B2501="","",IFERROR(INDEX('Share classes'!$A$4:$A$203,MATCH(B2501,'Share classes'!$B$4:$B$203,0)),""))</f>
        <v/>
      </c>
      <c r="K2501" s="30">
        <f>IF(A2501="","",IFERROR(INDEX('Holders'!$B$4:$B$1003,MATCH(A2501,'Holders'!$A$4:$A$1003,0)),""))</f>
        <v/>
      </c>
      <c r="L2501" s="30">
        <f>IF(OR(A2501="",B2501="",D2501=""),"",IF(D2501=_xlfn.MAXIFS($D$4:$D$2503,$A$4:$A$2503,A2501,$B$4:$B$2503,B2501),"Yes","No"))</f>
        <v/>
      </c>
      <c r="M2501" s="30">
        <f>IF(B2501="","",IFERROR(INDEX('Share classes'!$F$4:$F$203,MATCH(B2501,'Share classes'!$B$4:$B$203,0)),""))</f>
        <v/>
      </c>
      <c r="N2501" s="30">
        <f>IF(A2501="","",IF(K2501="","Unknown holder ID",IF(J2501="","Unknown class code",IF(OR(C2501="",D2501=""),"Missing shares or date",IF(OR(C2501&lt;0,C2501&lt;&gt;INT(C2501)),"Shares must be a whole number",IF(COUNTIFS($A$4:$A$2503,A2501,$B$4:$B$2503,B2501,$D$4:$D$2503,D2501)&gt;1,"Duplicate row (same date)","OK"))))))</f>
        <v/>
      </c>
    </row>
    <row r="2502">
      <c r="A2502" s="26" t="n"/>
      <c r="B2502" s="26" t="n"/>
      <c r="C2502" s="34" t="n"/>
      <c r="D2502" s="28" t="n"/>
      <c r="E2502" s="26" t="n"/>
      <c r="F2502" s="26" t="n"/>
      <c r="G2502" s="26" t="n"/>
      <c r="H2502" s="38" t="n"/>
      <c r="I2502" s="28" t="n"/>
      <c r="J2502" s="30">
        <f>IF(B2502="","",IFERROR(INDEX('Share classes'!$A$4:$A$203,MATCH(B2502,'Share classes'!$B$4:$B$203,0)),""))</f>
        <v/>
      </c>
      <c r="K2502" s="30">
        <f>IF(A2502="","",IFERROR(INDEX('Holders'!$B$4:$B$1003,MATCH(A2502,'Holders'!$A$4:$A$1003,0)),""))</f>
        <v/>
      </c>
      <c r="L2502" s="30">
        <f>IF(OR(A2502="",B2502="",D2502=""),"",IF(D2502=_xlfn.MAXIFS($D$4:$D$2503,$A$4:$A$2503,A2502,$B$4:$B$2503,B2502),"Yes","No"))</f>
        <v/>
      </c>
      <c r="M2502" s="30">
        <f>IF(B2502="","",IFERROR(INDEX('Share classes'!$F$4:$F$203,MATCH(B2502,'Share classes'!$B$4:$B$203,0)),""))</f>
        <v/>
      </c>
      <c r="N2502" s="30">
        <f>IF(A2502="","",IF(K2502="","Unknown holder ID",IF(J2502="","Unknown class code",IF(OR(C2502="",D2502=""),"Missing shares or date",IF(OR(C2502&lt;0,C2502&lt;&gt;INT(C2502)),"Shares must be a whole number",IF(COUNTIFS($A$4:$A$2503,A2502,$B$4:$B$2503,B2502,$D$4:$D$2503,D2502)&gt;1,"Duplicate row (same date)","OK"))))))</f>
        <v/>
      </c>
    </row>
    <row r="2503">
      <c r="A2503" s="26" t="n"/>
      <c r="B2503" s="26" t="n"/>
      <c r="C2503" s="34" t="n"/>
      <c r="D2503" s="28" t="n"/>
      <c r="E2503" s="26" t="n"/>
      <c r="F2503" s="26" t="n"/>
      <c r="G2503" s="26" t="n"/>
      <c r="H2503" s="38" t="n"/>
      <c r="I2503" s="28" t="n"/>
      <c r="J2503" s="30">
        <f>IF(B2503="","",IFERROR(INDEX('Share classes'!$A$4:$A$203,MATCH(B2503,'Share classes'!$B$4:$B$203,0)),""))</f>
        <v/>
      </c>
      <c r="K2503" s="30">
        <f>IF(A2503="","",IFERROR(INDEX('Holders'!$B$4:$B$1003,MATCH(A2503,'Holders'!$A$4:$A$1003,0)),""))</f>
        <v/>
      </c>
      <c r="L2503" s="30">
        <f>IF(OR(A2503="",B2503="",D2503=""),"",IF(D2503=_xlfn.MAXIFS($D$4:$D$2503,$A$4:$A$2503,A2503,$B$4:$B$2503,B2503),"Yes","No"))</f>
        <v/>
      </c>
      <c r="M2503" s="30">
        <f>IF(B2503="","",IFERROR(INDEX('Share classes'!$F$4:$F$203,MATCH(B2503,'Share classes'!$B$4:$B$203,0)),""))</f>
        <v/>
      </c>
      <c r="N2503" s="30">
        <f>IF(A2503="","",IF(K2503="","Unknown holder ID",IF(J2503="","Unknown class code",IF(OR(C2503="",D2503=""),"Missing shares or date",IF(OR(C2503&lt;0,C2503&lt;&gt;INT(C2503)),"Shares must be a whole number",IF(COUNTIFS($A$4:$A$2503,A2503,$B$4:$B$2503,B2503,$D$4:$D$2503,D2503)&gt;1,"Duplicate row (same date)","OK"))))))</f>
        <v/>
      </c>
    </row>
  </sheetData>
  <autoFilter ref="A2:N2503"/>
  <conditionalFormatting sqref="N4:N2503">
    <cfRule type="expression" priority="1" dxfId="0">
      <formula>AND(N4&lt;&gt;"",N4&lt;&gt;"OK")</formula>
    </cfRule>
  </conditionalFormatting>
  <dataValidations count="1">
    <dataValidation sqref="F4:F2503" showDropDown="0" showInputMessage="0" showErrorMessage="1" allowBlank="1" errorTitle="Choose from the list" error="Pick one of: Share register, Registry CSV, Old portal (WordPress), Manual" type="list">
      <formula1>=Lists!$J$2:$J$5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2" customWidth="1" min="4" max="4"/>
    <col width="12" customWidth="1" min="5" max="5"/>
    <col width="26" customWidth="1" min="6" max="6"/>
    <col width="24" customWidth="1" min="7" max="7"/>
  </cols>
  <sheetData>
    <row r="1">
      <c r="A1" s="9" t="inlineStr">
        <is>
          <t>Boards and company admins</t>
        </is>
      </c>
      <c r="C1" s="10" t="inlineStr">
        <is>
          <t>Directors and officers per company (including Lakeba Group). Gives board access to that company only.</t>
        </is>
      </c>
    </row>
    <row r="2" ht="32" customHeight="1">
      <c r="A2" s="20" t="inlineStr">
        <is>
          <t>Company code *</t>
        </is>
      </c>
      <c r="B2" s="20" t="inlineStr">
        <is>
          <t>Email *</t>
        </is>
      </c>
      <c r="C2" s="20" t="inlineStr">
        <is>
          <t>Position *</t>
        </is>
      </c>
      <c r="D2" s="20" t="inlineStr">
        <is>
          <t>From</t>
        </is>
      </c>
      <c r="E2" s="20" t="inlineStr">
        <is>
          <t>To</t>
        </is>
      </c>
      <c r="F2" s="20" t="inlineStr">
        <is>
          <t>Notes</t>
        </is>
      </c>
      <c r="G2" s="21" t="inlineStr">
        <is>
          <t>Check</t>
        </is>
      </c>
    </row>
    <row r="3">
      <c r="A3" s="22" t="inlineStr">
        <is>
          <t>EZF</t>
        </is>
      </c>
      <c r="B3" s="22" t="inlineStr">
        <is>
          <t>jane@example.com</t>
        </is>
      </c>
      <c r="C3" s="22" t="inlineStr">
        <is>
          <t>Director</t>
        </is>
      </c>
      <c r="D3" s="24" t="n">
        <v>45292</v>
      </c>
      <c r="E3" s="24" t="n"/>
      <c r="F3" s="22" t="inlineStr"/>
      <c r="H3" s="10" t="inlineStr">
        <is>
          <t>← example row, not imported</t>
        </is>
      </c>
    </row>
    <row r="4">
      <c r="A4" s="26" t="n"/>
      <c r="B4" s="26" t="n"/>
      <c r="C4" s="26" t="n"/>
      <c r="D4" s="28" t="n"/>
      <c r="E4" s="28" t="n"/>
      <c r="F4" s="26" t="n"/>
      <c r="G4" s="30">
        <f>IF(A4="","",IF(COUNTIF('Companies'!$A$4:$A$63,A4)=0,"Unknown company",IF(COUNTIF('People'!$A$4:$A$1003,B4)=0,"Email not on People",IF(C4="","Missing position","OK"))))</f>
        <v/>
      </c>
    </row>
    <row r="5">
      <c r="A5" s="26" t="n"/>
      <c r="B5" s="26" t="n"/>
      <c r="C5" s="26" t="n"/>
      <c r="D5" s="28" t="n"/>
      <c r="E5" s="28" t="n"/>
      <c r="F5" s="26" t="n"/>
      <c r="G5" s="30">
        <f>IF(A5="","",IF(COUNTIF('Companies'!$A$4:$A$63,A5)=0,"Unknown company",IF(COUNTIF('People'!$A$4:$A$1003,B5)=0,"Email not on People",IF(C5="","Missing position","OK"))))</f>
        <v/>
      </c>
    </row>
    <row r="6">
      <c r="A6" s="26" t="n"/>
      <c r="B6" s="26" t="n"/>
      <c r="C6" s="26" t="n"/>
      <c r="D6" s="28" t="n"/>
      <c r="E6" s="28" t="n"/>
      <c r="F6" s="26" t="n"/>
      <c r="G6" s="30">
        <f>IF(A6="","",IF(COUNTIF('Companies'!$A$4:$A$63,A6)=0,"Unknown company",IF(COUNTIF('People'!$A$4:$A$1003,B6)=0,"Email not on People",IF(C6="","Missing position","OK"))))</f>
        <v/>
      </c>
    </row>
    <row r="7">
      <c r="A7" s="26" t="n"/>
      <c r="B7" s="26" t="n"/>
      <c r="C7" s="26" t="n"/>
      <c r="D7" s="28" t="n"/>
      <c r="E7" s="28" t="n"/>
      <c r="F7" s="26" t="n"/>
      <c r="G7" s="30">
        <f>IF(A7="","",IF(COUNTIF('Companies'!$A$4:$A$63,A7)=0,"Unknown company",IF(COUNTIF('People'!$A$4:$A$1003,B7)=0,"Email not on People",IF(C7="","Missing position","OK"))))</f>
        <v/>
      </c>
    </row>
    <row r="8">
      <c r="A8" s="26" t="n"/>
      <c r="B8" s="26" t="n"/>
      <c r="C8" s="26" t="n"/>
      <c r="D8" s="28" t="n"/>
      <c r="E8" s="28" t="n"/>
      <c r="F8" s="26" t="n"/>
      <c r="G8" s="30">
        <f>IF(A8="","",IF(COUNTIF('Companies'!$A$4:$A$63,A8)=0,"Unknown company",IF(COUNTIF('People'!$A$4:$A$1003,B8)=0,"Email not on People",IF(C8="","Missing position","OK"))))</f>
        <v/>
      </c>
    </row>
    <row r="9">
      <c r="A9" s="26" t="n"/>
      <c r="B9" s="26" t="n"/>
      <c r="C9" s="26" t="n"/>
      <c r="D9" s="28" t="n"/>
      <c r="E9" s="28" t="n"/>
      <c r="F9" s="26" t="n"/>
      <c r="G9" s="30">
        <f>IF(A9="","",IF(COUNTIF('Companies'!$A$4:$A$63,A9)=0,"Unknown company",IF(COUNTIF('People'!$A$4:$A$1003,B9)=0,"Email not on People",IF(C9="","Missing position","OK"))))</f>
        <v/>
      </c>
    </row>
    <row r="10">
      <c r="A10" s="26" t="n"/>
      <c r="B10" s="26" t="n"/>
      <c r="C10" s="26" t="n"/>
      <c r="D10" s="28" t="n"/>
      <c r="E10" s="28" t="n"/>
      <c r="F10" s="26" t="n"/>
      <c r="G10" s="30">
        <f>IF(A10="","",IF(COUNTIF('Companies'!$A$4:$A$63,A10)=0,"Unknown company",IF(COUNTIF('People'!$A$4:$A$1003,B10)=0,"Email not on People",IF(C10="","Missing position","OK"))))</f>
        <v/>
      </c>
    </row>
    <row r="11">
      <c r="A11" s="26" t="n"/>
      <c r="B11" s="26" t="n"/>
      <c r="C11" s="26" t="n"/>
      <c r="D11" s="28" t="n"/>
      <c r="E11" s="28" t="n"/>
      <c r="F11" s="26" t="n"/>
      <c r="G11" s="30">
        <f>IF(A11="","",IF(COUNTIF('Companies'!$A$4:$A$63,A11)=0,"Unknown company",IF(COUNTIF('People'!$A$4:$A$1003,B11)=0,"Email not on People",IF(C11="","Missing position","OK"))))</f>
        <v/>
      </c>
    </row>
    <row r="12">
      <c r="A12" s="26" t="n"/>
      <c r="B12" s="26" t="n"/>
      <c r="C12" s="26" t="n"/>
      <c r="D12" s="28" t="n"/>
      <c r="E12" s="28" t="n"/>
      <c r="F12" s="26" t="n"/>
      <c r="G12" s="30">
        <f>IF(A12="","",IF(COUNTIF('Companies'!$A$4:$A$63,A12)=0,"Unknown company",IF(COUNTIF('People'!$A$4:$A$1003,B12)=0,"Email not on People",IF(C12="","Missing position","OK"))))</f>
        <v/>
      </c>
    </row>
    <row r="13">
      <c r="A13" s="26" t="n"/>
      <c r="B13" s="26" t="n"/>
      <c r="C13" s="26" t="n"/>
      <c r="D13" s="28" t="n"/>
      <c r="E13" s="28" t="n"/>
      <c r="F13" s="26" t="n"/>
      <c r="G13" s="30">
        <f>IF(A13="","",IF(COUNTIF('Companies'!$A$4:$A$63,A13)=0,"Unknown company",IF(COUNTIF('People'!$A$4:$A$1003,B13)=0,"Email not on People",IF(C13="","Missing position","OK"))))</f>
        <v/>
      </c>
    </row>
    <row r="14">
      <c r="A14" s="26" t="n"/>
      <c r="B14" s="26" t="n"/>
      <c r="C14" s="26" t="n"/>
      <c r="D14" s="28" t="n"/>
      <c r="E14" s="28" t="n"/>
      <c r="F14" s="26" t="n"/>
      <c r="G14" s="30">
        <f>IF(A14="","",IF(COUNTIF('Companies'!$A$4:$A$63,A14)=0,"Unknown company",IF(COUNTIF('People'!$A$4:$A$1003,B14)=0,"Email not on People",IF(C14="","Missing position","OK"))))</f>
        <v/>
      </c>
    </row>
    <row r="15">
      <c r="A15" s="26" t="n"/>
      <c r="B15" s="26" t="n"/>
      <c r="C15" s="26" t="n"/>
      <c r="D15" s="28" t="n"/>
      <c r="E15" s="28" t="n"/>
      <c r="F15" s="26" t="n"/>
      <c r="G15" s="30">
        <f>IF(A15="","",IF(COUNTIF('Companies'!$A$4:$A$63,A15)=0,"Unknown company",IF(COUNTIF('People'!$A$4:$A$1003,B15)=0,"Email not on People",IF(C15="","Missing position","OK"))))</f>
        <v/>
      </c>
    </row>
    <row r="16">
      <c r="A16" s="26" t="n"/>
      <c r="B16" s="26" t="n"/>
      <c r="C16" s="26" t="n"/>
      <c r="D16" s="28" t="n"/>
      <c r="E16" s="28" t="n"/>
      <c r="F16" s="26" t="n"/>
      <c r="G16" s="30">
        <f>IF(A16="","",IF(COUNTIF('Companies'!$A$4:$A$63,A16)=0,"Unknown company",IF(COUNTIF('People'!$A$4:$A$1003,B16)=0,"Email not on People",IF(C16="","Missing position","OK"))))</f>
        <v/>
      </c>
    </row>
    <row r="17">
      <c r="A17" s="26" t="n"/>
      <c r="B17" s="26" t="n"/>
      <c r="C17" s="26" t="n"/>
      <c r="D17" s="28" t="n"/>
      <c r="E17" s="28" t="n"/>
      <c r="F17" s="26" t="n"/>
      <c r="G17" s="30">
        <f>IF(A17="","",IF(COUNTIF('Companies'!$A$4:$A$63,A17)=0,"Unknown company",IF(COUNTIF('People'!$A$4:$A$1003,B17)=0,"Email not on People",IF(C17="","Missing position","OK"))))</f>
        <v/>
      </c>
    </row>
    <row r="18">
      <c r="A18" s="26" t="n"/>
      <c r="B18" s="26" t="n"/>
      <c r="C18" s="26" t="n"/>
      <c r="D18" s="28" t="n"/>
      <c r="E18" s="28" t="n"/>
      <c r="F18" s="26" t="n"/>
      <c r="G18" s="30">
        <f>IF(A18="","",IF(COUNTIF('Companies'!$A$4:$A$63,A18)=0,"Unknown company",IF(COUNTIF('People'!$A$4:$A$1003,B18)=0,"Email not on People",IF(C18="","Missing position","OK"))))</f>
        <v/>
      </c>
    </row>
    <row r="19">
      <c r="A19" s="26" t="n"/>
      <c r="B19" s="26" t="n"/>
      <c r="C19" s="26" t="n"/>
      <c r="D19" s="28" t="n"/>
      <c r="E19" s="28" t="n"/>
      <c r="F19" s="26" t="n"/>
      <c r="G19" s="30">
        <f>IF(A19="","",IF(COUNTIF('Companies'!$A$4:$A$63,A19)=0,"Unknown company",IF(COUNTIF('People'!$A$4:$A$1003,B19)=0,"Email not on People",IF(C19="","Missing position","OK"))))</f>
        <v/>
      </c>
    </row>
    <row r="20">
      <c r="A20" s="26" t="n"/>
      <c r="B20" s="26" t="n"/>
      <c r="C20" s="26" t="n"/>
      <c r="D20" s="28" t="n"/>
      <c r="E20" s="28" t="n"/>
      <c r="F20" s="26" t="n"/>
      <c r="G20" s="30">
        <f>IF(A20="","",IF(COUNTIF('Companies'!$A$4:$A$63,A20)=0,"Unknown company",IF(COUNTIF('People'!$A$4:$A$1003,B20)=0,"Email not on People",IF(C20="","Missing position","OK"))))</f>
        <v/>
      </c>
    </row>
    <row r="21">
      <c r="A21" s="26" t="n"/>
      <c r="B21" s="26" t="n"/>
      <c r="C21" s="26" t="n"/>
      <c r="D21" s="28" t="n"/>
      <c r="E21" s="28" t="n"/>
      <c r="F21" s="26" t="n"/>
      <c r="G21" s="30">
        <f>IF(A21="","",IF(COUNTIF('Companies'!$A$4:$A$63,A21)=0,"Unknown company",IF(COUNTIF('People'!$A$4:$A$1003,B21)=0,"Email not on People",IF(C21="","Missing position","OK"))))</f>
        <v/>
      </c>
    </row>
    <row r="22">
      <c r="A22" s="26" t="n"/>
      <c r="B22" s="26" t="n"/>
      <c r="C22" s="26" t="n"/>
      <c r="D22" s="28" t="n"/>
      <c r="E22" s="28" t="n"/>
      <c r="F22" s="26" t="n"/>
      <c r="G22" s="30">
        <f>IF(A22="","",IF(COUNTIF('Companies'!$A$4:$A$63,A22)=0,"Unknown company",IF(COUNTIF('People'!$A$4:$A$1003,B22)=0,"Email not on People",IF(C22="","Missing position","OK"))))</f>
        <v/>
      </c>
    </row>
    <row r="23">
      <c r="A23" s="26" t="n"/>
      <c r="B23" s="26" t="n"/>
      <c r="C23" s="26" t="n"/>
      <c r="D23" s="28" t="n"/>
      <c r="E23" s="28" t="n"/>
      <c r="F23" s="26" t="n"/>
      <c r="G23" s="30">
        <f>IF(A23="","",IF(COUNTIF('Companies'!$A$4:$A$63,A23)=0,"Unknown company",IF(COUNTIF('People'!$A$4:$A$1003,B23)=0,"Email not on People",IF(C23="","Missing position","OK"))))</f>
        <v/>
      </c>
    </row>
    <row r="24">
      <c r="A24" s="26" t="n"/>
      <c r="B24" s="26" t="n"/>
      <c r="C24" s="26" t="n"/>
      <c r="D24" s="28" t="n"/>
      <c r="E24" s="28" t="n"/>
      <c r="F24" s="26" t="n"/>
      <c r="G24" s="30">
        <f>IF(A24="","",IF(COUNTIF('Companies'!$A$4:$A$63,A24)=0,"Unknown company",IF(COUNTIF('People'!$A$4:$A$1003,B24)=0,"Email not on People",IF(C24="","Missing position","OK"))))</f>
        <v/>
      </c>
    </row>
    <row r="25">
      <c r="A25" s="26" t="n"/>
      <c r="B25" s="26" t="n"/>
      <c r="C25" s="26" t="n"/>
      <c r="D25" s="28" t="n"/>
      <c r="E25" s="28" t="n"/>
      <c r="F25" s="26" t="n"/>
      <c r="G25" s="30">
        <f>IF(A25="","",IF(COUNTIF('Companies'!$A$4:$A$63,A25)=0,"Unknown company",IF(COUNTIF('People'!$A$4:$A$1003,B25)=0,"Email not on People",IF(C25="","Missing position","OK"))))</f>
        <v/>
      </c>
    </row>
    <row r="26">
      <c r="A26" s="26" t="n"/>
      <c r="B26" s="26" t="n"/>
      <c r="C26" s="26" t="n"/>
      <c r="D26" s="28" t="n"/>
      <c r="E26" s="28" t="n"/>
      <c r="F26" s="26" t="n"/>
      <c r="G26" s="30">
        <f>IF(A26="","",IF(COUNTIF('Companies'!$A$4:$A$63,A26)=0,"Unknown company",IF(COUNTIF('People'!$A$4:$A$1003,B26)=0,"Email not on People",IF(C26="","Missing position","OK"))))</f>
        <v/>
      </c>
    </row>
    <row r="27">
      <c r="A27" s="26" t="n"/>
      <c r="B27" s="26" t="n"/>
      <c r="C27" s="26" t="n"/>
      <c r="D27" s="28" t="n"/>
      <c r="E27" s="28" t="n"/>
      <c r="F27" s="26" t="n"/>
      <c r="G27" s="30">
        <f>IF(A27="","",IF(COUNTIF('Companies'!$A$4:$A$63,A27)=0,"Unknown company",IF(COUNTIF('People'!$A$4:$A$1003,B27)=0,"Email not on People",IF(C27="","Missing position","OK"))))</f>
        <v/>
      </c>
    </row>
    <row r="28">
      <c r="A28" s="26" t="n"/>
      <c r="B28" s="26" t="n"/>
      <c r="C28" s="26" t="n"/>
      <c r="D28" s="28" t="n"/>
      <c r="E28" s="28" t="n"/>
      <c r="F28" s="26" t="n"/>
      <c r="G28" s="30">
        <f>IF(A28="","",IF(COUNTIF('Companies'!$A$4:$A$63,A28)=0,"Unknown company",IF(COUNTIF('People'!$A$4:$A$1003,B28)=0,"Email not on People",IF(C28="","Missing position","OK"))))</f>
        <v/>
      </c>
    </row>
    <row r="29">
      <c r="A29" s="26" t="n"/>
      <c r="B29" s="26" t="n"/>
      <c r="C29" s="26" t="n"/>
      <c r="D29" s="28" t="n"/>
      <c r="E29" s="28" t="n"/>
      <c r="F29" s="26" t="n"/>
      <c r="G29" s="30">
        <f>IF(A29="","",IF(COUNTIF('Companies'!$A$4:$A$63,A29)=0,"Unknown company",IF(COUNTIF('People'!$A$4:$A$1003,B29)=0,"Email not on People",IF(C29="","Missing position","OK"))))</f>
        <v/>
      </c>
    </row>
    <row r="30">
      <c r="A30" s="26" t="n"/>
      <c r="B30" s="26" t="n"/>
      <c r="C30" s="26" t="n"/>
      <c r="D30" s="28" t="n"/>
      <c r="E30" s="28" t="n"/>
      <c r="F30" s="26" t="n"/>
      <c r="G30" s="30">
        <f>IF(A30="","",IF(COUNTIF('Companies'!$A$4:$A$63,A30)=0,"Unknown company",IF(COUNTIF('People'!$A$4:$A$1003,B30)=0,"Email not on People",IF(C30="","Missing position","OK"))))</f>
        <v/>
      </c>
    </row>
    <row r="31">
      <c r="A31" s="26" t="n"/>
      <c r="B31" s="26" t="n"/>
      <c r="C31" s="26" t="n"/>
      <c r="D31" s="28" t="n"/>
      <c r="E31" s="28" t="n"/>
      <c r="F31" s="26" t="n"/>
      <c r="G31" s="30">
        <f>IF(A31="","",IF(COUNTIF('Companies'!$A$4:$A$63,A31)=0,"Unknown company",IF(COUNTIF('People'!$A$4:$A$1003,B31)=0,"Email not on People",IF(C31="","Missing position","OK"))))</f>
        <v/>
      </c>
    </row>
    <row r="32">
      <c r="A32" s="26" t="n"/>
      <c r="B32" s="26" t="n"/>
      <c r="C32" s="26" t="n"/>
      <c r="D32" s="28" t="n"/>
      <c r="E32" s="28" t="n"/>
      <c r="F32" s="26" t="n"/>
      <c r="G32" s="30">
        <f>IF(A32="","",IF(COUNTIF('Companies'!$A$4:$A$63,A32)=0,"Unknown company",IF(COUNTIF('People'!$A$4:$A$1003,B32)=0,"Email not on People",IF(C32="","Missing position","OK"))))</f>
        <v/>
      </c>
    </row>
    <row r="33">
      <c r="A33" s="26" t="n"/>
      <c r="B33" s="26" t="n"/>
      <c r="C33" s="26" t="n"/>
      <c r="D33" s="28" t="n"/>
      <c r="E33" s="28" t="n"/>
      <c r="F33" s="26" t="n"/>
      <c r="G33" s="30">
        <f>IF(A33="","",IF(COUNTIF('Companies'!$A$4:$A$63,A33)=0,"Unknown company",IF(COUNTIF('People'!$A$4:$A$1003,B33)=0,"Email not on People",IF(C33="","Missing position","OK"))))</f>
        <v/>
      </c>
    </row>
    <row r="34">
      <c r="A34" s="26" t="n"/>
      <c r="B34" s="26" t="n"/>
      <c r="C34" s="26" t="n"/>
      <c r="D34" s="28" t="n"/>
      <c r="E34" s="28" t="n"/>
      <c r="F34" s="26" t="n"/>
      <c r="G34" s="30">
        <f>IF(A34="","",IF(COUNTIF('Companies'!$A$4:$A$63,A34)=0,"Unknown company",IF(COUNTIF('People'!$A$4:$A$1003,B34)=0,"Email not on People",IF(C34="","Missing position","OK"))))</f>
        <v/>
      </c>
    </row>
    <row r="35">
      <c r="A35" s="26" t="n"/>
      <c r="B35" s="26" t="n"/>
      <c r="C35" s="26" t="n"/>
      <c r="D35" s="28" t="n"/>
      <c r="E35" s="28" t="n"/>
      <c r="F35" s="26" t="n"/>
      <c r="G35" s="30">
        <f>IF(A35="","",IF(COUNTIF('Companies'!$A$4:$A$63,A35)=0,"Unknown company",IF(COUNTIF('People'!$A$4:$A$1003,B35)=0,"Email not on People",IF(C35="","Missing position","OK"))))</f>
        <v/>
      </c>
    </row>
    <row r="36">
      <c r="A36" s="26" t="n"/>
      <c r="B36" s="26" t="n"/>
      <c r="C36" s="26" t="n"/>
      <c r="D36" s="28" t="n"/>
      <c r="E36" s="28" t="n"/>
      <c r="F36" s="26" t="n"/>
      <c r="G36" s="30">
        <f>IF(A36="","",IF(COUNTIF('Companies'!$A$4:$A$63,A36)=0,"Unknown company",IF(COUNTIF('People'!$A$4:$A$1003,B36)=0,"Email not on People",IF(C36="","Missing position","OK"))))</f>
        <v/>
      </c>
    </row>
    <row r="37">
      <c r="A37" s="26" t="n"/>
      <c r="B37" s="26" t="n"/>
      <c r="C37" s="26" t="n"/>
      <c r="D37" s="28" t="n"/>
      <c r="E37" s="28" t="n"/>
      <c r="F37" s="26" t="n"/>
      <c r="G37" s="30">
        <f>IF(A37="","",IF(COUNTIF('Companies'!$A$4:$A$63,A37)=0,"Unknown company",IF(COUNTIF('People'!$A$4:$A$1003,B37)=0,"Email not on People",IF(C37="","Missing position","OK"))))</f>
        <v/>
      </c>
    </row>
    <row r="38">
      <c r="A38" s="26" t="n"/>
      <c r="B38" s="26" t="n"/>
      <c r="C38" s="26" t="n"/>
      <c r="D38" s="28" t="n"/>
      <c r="E38" s="28" t="n"/>
      <c r="F38" s="26" t="n"/>
      <c r="G38" s="30">
        <f>IF(A38="","",IF(COUNTIF('Companies'!$A$4:$A$63,A38)=0,"Unknown company",IF(COUNTIF('People'!$A$4:$A$1003,B38)=0,"Email not on People",IF(C38="","Missing position","OK"))))</f>
        <v/>
      </c>
    </row>
    <row r="39">
      <c r="A39" s="26" t="n"/>
      <c r="B39" s="26" t="n"/>
      <c r="C39" s="26" t="n"/>
      <c r="D39" s="28" t="n"/>
      <c r="E39" s="28" t="n"/>
      <c r="F39" s="26" t="n"/>
      <c r="G39" s="30">
        <f>IF(A39="","",IF(COUNTIF('Companies'!$A$4:$A$63,A39)=0,"Unknown company",IF(COUNTIF('People'!$A$4:$A$1003,B39)=0,"Email not on People",IF(C39="","Missing position","OK"))))</f>
        <v/>
      </c>
    </row>
    <row r="40">
      <c r="A40" s="26" t="n"/>
      <c r="B40" s="26" t="n"/>
      <c r="C40" s="26" t="n"/>
      <c r="D40" s="28" t="n"/>
      <c r="E40" s="28" t="n"/>
      <c r="F40" s="26" t="n"/>
      <c r="G40" s="30">
        <f>IF(A40="","",IF(COUNTIF('Companies'!$A$4:$A$63,A40)=0,"Unknown company",IF(COUNTIF('People'!$A$4:$A$1003,B40)=0,"Email not on People",IF(C40="","Missing position","OK"))))</f>
        <v/>
      </c>
    </row>
    <row r="41">
      <c r="A41" s="26" t="n"/>
      <c r="B41" s="26" t="n"/>
      <c r="C41" s="26" t="n"/>
      <c r="D41" s="28" t="n"/>
      <c r="E41" s="28" t="n"/>
      <c r="F41" s="26" t="n"/>
      <c r="G41" s="30">
        <f>IF(A41="","",IF(COUNTIF('Companies'!$A$4:$A$63,A41)=0,"Unknown company",IF(COUNTIF('People'!$A$4:$A$1003,B41)=0,"Email not on People",IF(C41="","Missing position","OK"))))</f>
        <v/>
      </c>
    </row>
    <row r="42">
      <c r="A42" s="26" t="n"/>
      <c r="B42" s="26" t="n"/>
      <c r="C42" s="26" t="n"/>
      <c r="D42" s="28" t="n"/>
      <c r="E42" s="28" t="n"/>
      <c r="F42" s="26" t="n"/>
      <c r="G42" s="30">
        <f>IF(A42="","",IF(COUNTIF('Companies'!$A$4:$A$63,A42)=0,"Unknown company",IF(COUNTIF('People'!$A$4:$A$1003,B42)=0,"Email not on People",IF(C42="","Missing position","OK"))))</f>
        <v/>
      </c>
    </row>
    <row r="43">
      <c r="A43" s="26" t="n"/>
      <c r="B43" s="26" t="n"/>
      <c r="C43" s="26" t="n"/>
      <c r="D43" s="28" t="n"/>
      <c r="E43" s="28" t="n"/>
      <c r="F43" s="26" t="n"/>
      <c r="G43" s="30">
        <f>IF(A43="","",IF(COUNTIF('Companies'!$A$4:$A$63,A43)=0,"Unknown company",IF(COUNTIF('People'!$A$4:$A$1003,B43)=0,"Email not on People",IF(C43="","Missing position","OK"))))</f>
        <v/>
      </c>
    </row>
    <row r="44">
      <c r="A44" s="26" t="n"/>
      <c r="B44" s="26" t="n"/>
      <c r="C44" s="26" t="n"/>
      <c r="D44" s="28" t="n"/>
      <c r="E44" s="28" t="n"/>
      <c r="F44" s="26" t="n"/>
      <c r="G44" s="30">
        <f>IF(A44="","",IF(COUNTIF('Companies'!$A$4:$A$63,A44)=0,"Unknown company",IF(COUNTIF('People'!$A$4:$A$1003,B44)=0,"Email not on People",IF(C44="","Missing position","OK"))))</f>
        <v/>
      </c>
    </row>
    <row r="45">
      <c r="A45" s="26" t="n"/>
      <c r="B45" s="26" t="n"/>
      <c r="C45" s="26" t="n"/>
      <c r="D45" s="28" t="n"/>
      <c r="E45" s="28" t="n"/>
      <c r="F45" s="26" t="n"/>
      <c r="G45" s="30">
        <f>IF(A45="","",IF(COUNTIF('Companies'!$A$4:$A$63,A45)=0,"Unknown company",IF(COUNTIF('People'!$A$4:$A$1003,B45)=0,"Email not on People",IF(C45="","Missing position","OK"))))</f>
        <v/>
      </c>
    </row>
    <row r="46">
      <c r="A46" s="26" t="n"/>
      <c r="B46" s="26" t="n"/>
      <c r="C46" s="26" t="n"/>
      <c r="D46" s="28" t="n"/>
      <c r="E46" s="28" t="n"/>
      <c r="F46" s="26" t="n"/>
      <c r="G46" s="30">
        <f>IF(A46="","",IF(COUNTIF('Companies'!$A$4:$A$63,A46)=0,"Unknown company",IF(COUNTIF('People'!$A$4:$A$1003,B46)=0,"Email not on People",IF(C46="","Missing position","OK"))))</f>
        <v/>
      </c>
    </row>
    <row r="47">
      <c r="A47" s="26" t="n"/>
      <c r="B47" s="26" t="n"/>
      <c r="C47" s="26" t="n"/>
      <c r="D47" s="28" t="n"/>
      <c r="E47" s="28" t="n"/>
      <c r="F47" s="26" t="n"/>
      <c r="G47" s="30">
        <f>IF(A47="","",IF(COUNTIF('Companies'!$A$4:$A$63,A47)=0,"Unknown company",IF(COUNTIF('People'!$A$4:$A$1003,B47)=0,"Email not on People",IF(C47="","Missing position","OK"))))</f>
        <v/>
      </c>
    </row>
    <row r="48">
      <c r="A48" s="26" t="n"/>
      <c r="B48" s="26" t="n"/>
      <c r="C48" s="26" t="n"/>
      <c r="D48" s="28" t="n"/>
      <c r="E48" s="28" t="n"/>
      <c r="F48" s="26" t="n"/>
      <c r="G48" s="30">
        <f>IF(A48="","",IF(COUNTIF('Companies'!$A$4:$A$63,A48)=0,"Unknown company",IF(COUNTIF('People'!$A$4:$A$1003,B48)=0,"Email not on People",IF(C48="","Missing position","OK"))))</f>
        <v/>
      </c>
    </row>
    <row r="49">
      <c r="A49" s="26" t="n"/>
      <c r="B49" s="26" t="n"/>
      <c r="C49" s="26" t="n"/>
      <c r="D49" s="28" t="n"/>
      <c r="E49" s="28" t="n"/>
      <c r="F49" s="26" t="n"/>
      <c r="G49" s="30">
        <f>IF(A49="","",IF(COUNTIF('Companies'!$A$4:$A$63,A49)=0,"Unknown company",IF(COUNTIF('People'!$A$4:$A$1003,B49)=0,"Email not on People",IF(C49="","Missing position","OK"))))</f>
        <v/>
      </c>
    </row>
    <row r="50">
      <c r="A50" s="26" t="n"/>
      <c r="B50" s="26" t="n"/>
      <c r="C50" s="26" t="n"/>
      <c r="D50" s="28" t="n"/>
      <c r="E50" s="28" t="n"/>
      <c r="F50" s="26" t="n"/>
      <c r="G50" s="30">
        <f>IF(A50="","",IF(COUNTIF('Companies'!$A$4:$A$63,A50)=0,"Unknown company",IF(COUNTIF('People'!$A$4:$A$1003,B50)=0,"Email not on People",IF(C50="","Missing position","OK"))))</f>
        <v/>
      </c>
    </row>
    <row r="51">
      <c r="A51" s="26" t="n"/>
      <c r="B51" s="26" t="n"/>
      <c r="C51" s="26" t="n"/>
      <c r="D51" s="28" t="n"/>
      <c r="E51" s="28" t="n"/>
      <c r="F51" s="26" t="n"/>
      <c r="G51" s="30">
        <f>IF(A51="","",IF(COUNTIF('Companies'!$A$4:$A$63,A51)=0,"Unknown company",IF(COUNTIF('People'!$A$4:$A$1003,B51)=0,"Email not on People",IF(C51="","Missing position","OK"))))</f>
        <v/>
      </c>
    </row>
    <row r="52">
      <c r="A52" s="26" t="n"/>
      <c r="B52" s="26" t="n"/>
      <c r="C52" s="26" t="n"/>
      <c r="D52" s="28" t="n"/>
      <c r="E52" s="28" t="n"/>
      <c r="F52" s="26" t="n"/>
      <c r="G52" s="30">
        <f>IF(A52="","",IF(COUNTIF('Companies'!$A$4:$A$63,A52)=0,"Unknown company",IF(COUNTIF('People'!$A$4:$A$1003,B52)=0,"Email not on People",IF(C52="","Missing position","OK"))))</f>
        <v/>
      </c>
    </row>
    <row r="53">
      <c r="A53" s="26" t="n"/>
      <c r="B53" s="26" t="n"/>
      <c r="C53" s="26" t="n"/>
      <c r="D53" s="28" t="n"/>
      <c r="E53" s="28" t="n"/>
      <c r="F53" s="26" t="n"/>
      <c r="G53" s="30">
        <f>IF(A53="","",IF(COUNTIF('Companies'!$A$4:$A$63,A53)=0,"Unknown company",IF(COUNTIF('People'!$A$4:$A$1003,B53)=0,"Email not on People",IF(C53="","Missing position","OK"))))</f>
        <v/>
      </c>
    </row>
    <row r="54">
      <c r="A54" s="26" t="n"/>
      <c r="B54" s="26" t="n"/>
      <c r="C54" s="26" t="n"/>
      <c r="D54" s="28" t="n"/>
      <c r="E54" s="28" t="n"/>
      <c r="F54" s="26" t="n"/>
      <c r="G54" s="30">
        <f>IF(A54="","",IF(COUNTIF('Companies'!$A$4:$A$63,A54)=0,"Unknown company",IF(COUNTIF('People'!$A$4:$A$1003,B54)=0,"Email not on People",IF(C54="","Missing position","OK"))))</f>
        <v/>
      </c>
    </row>
    <row r="55">
      <c r="A55" s="26" t="n"/>
      <c r="B55" s="26" t="n"/>
      <c r="C55" s="26" t="n"/>
      <c r="D55" s="28" t="n"/>
      <c r="E55" s="28" t="n"/>
      <c r="F55" s="26" t="n"/>
      <c r="G55" s="30">
        <f>IF(A55="","",IF(COUNTIF('Companies'!$A$4:$A$63,A55)=0,"Unknown company",IF(COUNTIF('People'!$A$4:$A$1003,B55)=0,"Email not on People",IF(C55="","Missing position","OK"))))</f>
        <v/>
      </c>
    </row>
    <row r="56">
      <c r="A56" s="26" t="n"/>
      <c r="B56" s="26" t="n"/>
      <c r="C56" s="26" t="n"/>
      <c r="D56" s="28" t="n"/>
      <c r="E56" s="28" t="n"/>
      <c r="F56" s="26" t="n"/>
      <c r="G56" s="30">
        <f>IF(A56="","",IF(COUNTIF('Companies'!$A$4:$A$63,A56)=0,"Unknown company",IF(COUNTIF('People'!$A$4:$A$1003,B56)=0,"Email not on People",IF(C56="","Missing position","OK"))))</f>
        <v/>
      </c>
    </row>
    <row r="57">
      <c r="A57" s="26" t="n"/>
      <c r="B57" s="26" t="n"/>
      <c r="C57" s="26" t="n"/>
      <c r="D57" s="28" t="n"/>
      <c r="E57" s="28" t="n"/>
      <c r="F57" s="26" t="n"/>
      <c r="G57" s="30">
        <f>IF(A57="","",IF(COUNTIF('Companies'!$A$4:$A$63,A57)=0,"Unknown company",IF(COUNTIF('People'!$A$4:$A$1003,B57)=0,"Email not on People",IF(C57="","Missing position","OK"))))</f>
        <v/>
      </c>
    </row>
    <row r="58">
      <c r="A58" s="26" t="n"/>
      <c r="B58" s="26" t="n"/>
      <c r="C58" s="26" t="n"/>
      <c r="D58" s="28" t="n"/>
      <c r="E58" s="28" t="n"/>
      <c r="F58" s="26" t="n"/>
      <c r="G58" s="30">
        <f>IF(A58="","",IF(COUNTIF('Companies'!$A$4:$A$63,A58)=0,"Unknown company",IF(COUNTIF('People'!$A$4:$A$1003,B58)=0,"Email not on People",IF(C58="","Missing position","OK"))))</f>
        <v/>
      </c>
    </row>
    <row r="59">
      <c r="A59" s="26" t="n"/>
      <c r="B59" s="26" t="n"/>
      <c r="C59" s="26" t="n"/>
      <c r="D59" s="28" t="n"/>
      <c r="E59" s="28" t="n"/>
      <c r="F59" s="26" t="n"/>
      <c r="G59" s="30">
        <f>IF(A59="","",IF(COUNTIF('Companies'!$A$4:$A$63,A59)=0,"Unknown company",IF(COUNTIF('People'!$A$4:$A$1003,B59)=0,"Email not on People",IF(C59="","Missing position","OK"))))</f>
        <v/>
      </c>
    </row>
    <row r="60">
      <c r="A60" s="26" t="n"/>
      <c r="B60" s="26" t="n"/>
      <c r="C60" s="26" t="n"/>
      <c r="D60" s="28" t="n"/>
      <c r="E60" s="28" t="n"/>
      <c r="F60" s="26" t="n"/>
      <c r="G60" s="30">
        <f>IF(A60="","",IF(COUNTIF('Companies'!$A$4:$A$63,A60)=0,"Unknown company",IF(COUNTIF('People'!$A$4:$A$1003,B60)=0,"Email not on People",IF(C60="","Missing position","OK"))))</f>
        <v/>
      </c>
    </row>
    <row r="61">
      <c r="A61" s="26" t="n"/>
      <c r="B61" s="26" t="n"/>
      <c r="C61" s="26" t="n"/>
      <c r="D61" s="28" t="n"/>
      <c r="E61" s="28" t="n"/>
      <c r="F61" s="26" t="n"/>
      <c r="G61" s="30">
        <f>IF(A61="","",IF(COUNTIF('Companies'!$A$4:$A$63,A61)=0,"Unknown company",IF(COUNTIF('People'!$A$4:$A$1003,B61)=0,"Email not on People",IF(C61="","Missing position","OK"))))</f>
        <v/>
      </c>
    </row>
    <row r="62">
      <c r="A62" s="26" t="n"/>
      <c r="B62" s="26" t="n"/>
      <c r="C62" s="26" t="n"/>
      <c r="D62" s="28" t="n"/>
      <c r="E62" s="28" t="n"/>
      <c r="F62" s="26" t="n"/>
      <c r="G62" s="30">
        <f>IF(A62="","",IF(COUNTIF('Companies'!$A$4:$A$63,A62)=0,"Unknown company",IF(COUNTIF('People'!$A$4:$A$1003,B62)=0,"Email not on People",IF(C62="","Missing position","OK"))))</f>
        <v/>
      </c>
    </row>
    <row r="63">
      <c r="A63" s="26" t="n"/>
      <c r="B63" s="26" t="n"/>
      <c r="C63" s="26" t="n"/>
      <c r="D63" s="28" t="n"/>
      <c r="E63" s="28" t="n"/>
      <c r="F63" s="26" t="n"/>
      <c r="G63" s="30">
        <f>IF(A63="","",IF(COUNTIF('Companies'!$A$4:$A$63,A63)=0,"Unknown company",IF(COUNTIF('People'!$A$4:$A$1003,B63)=0,"Email not on People",IF(C63="","Missing position","OK"))))</f>
        <v/>
      </c>
    </row>
    <row r="64">
      <c r="A64" s="26" t="n"/>
      <c r="B64" s="26" t="n"/>
      <c r="C64" s="26" t="n"/>
      <c r="D64" s="28" t="n"/>
      <c r="E64" s="28" t="n"/>
      <c r="F64" s="26" t="n"/>
      <c r="G64" s="30">
        <f>IF(A64="","",IF(COUNTIF('Companies'!$A$4:$A$63,A64)=0,"Unknown company",IF(COUNTIF('People'!$A$4:$A$1003,B64)=0,"Email not on People",IF(C64="","Missing position","OK"))))</f>
        <v/>
      </c>
    </row>
    <row r="65">
      <c r="A65" s="26" t="n"/>
      <c r="B65" s="26" t="n"/>
      <c r="C65" s="26" t="n"/>
      <c r="D65" s="28" t="n"/>
      <c r="E65" s="28" t="n"/>
      <c r="F65" s="26" t="n"/>
      <c r="G65" s="30">
        <f>IF(A65="","",IF(COUNTIF('Companies'!$A$4:$A$63,A65)=0,"Unknown company",IF(COUNTIF('People'!$A$4:$A$1003,B65)=0,"Email not on People",IF(C65="","Missing position","OK"))))</f>
        <v/>
      </c>
    </row>
    <row r="66">
      <c r="A66" s="26" t="n"/>
      <c r="B66" s="26" t="n"/>
      <c r="C66" s="26" t="n"/>
      <c r="D66" s="28" t="n"/>
      <c r="E66" s="28" t="n"/>
      <c r="F66" s="26" t="n"/>
      <c r="G66" s="30">
        <f>IF(A66="","",IF(COUNTIF('Companies'!$A$4:$A$63,A66)=0,"Unknown company",IF(COUNTIF('People'!$A$4:$A$1003,B66)=0,"Email not on People",IF(C66="","Missing position","OK"))))</f>
        <v/>
      </c>
    </row>
    <row r="67">
      <c r="A67" s="26" t="n"/>
      <c r="B67" s="26" t="n"/>
      <c r="C67" s="26" t="n"/>
      <c r="D67" s="28" t="n"/>
      <c r="E67" s="28" t="n"/>
      <c r="F67" s="26" t="n"/>
      <c r="G67" s="30">
        <f>IF(A67="","",IF(COUNTIF('Companies'!$A$4:$A$63,A67)=0,"Unknown company",IF(COUNTIF('People'!$A$4:$A$1003,B67)=0,"Email not on People",IF(C67="","Missing position","OK"))))</f>
        <v/>
      </c>
    </row>
    <row r="68">
      <c r="A68" s="26" t="n"/>
      <c r="B68" s="26" t="n"/>
      <c r="C68" s="26" t="n"/>
      <c r="D68" s="28" t="n"/>
      <c r="E68" s="28" t="n"/>
      <c r="F68" s="26" t="n"/>
      <c r="G68" s="30">
        <f>IF(A68="","",IF(COUNTIF('Companies'!$A$4:$A$63,A68)=0,"Unknown company",IF(COUNTIF('People'!$A$4:$A$1003,B68)=0,"Email not on People",IF(C68="","Missing position","OK"))))</f>
        <v/>
      </c>
    </row>
    <row r="69">
      <c r="A69" s="26" t="n"/>
      <c r="B69" s="26" t="n"/>
      <c r="C69" s="26" t="n"/>
      <c r="D69" s="28" t="n"/>
      <c r="E69" s="28" t="n"/>
      <c r="F69" s="26" t="n"/>
      <c r="G69" s="30">
        <f>IF(A69="","",IF(COUNTIF('Companies'!$A$4:$A$63,A69)=0,"Unknown company",IF(COUNTIF('People'!$A$4:$A$1003,B69)=0,"Email not on People",IF(C69="","Missing position","OK"))))</f>
        <v/>
      </c>
    </row>
    <row r="70">
      <c r="A70" s="26" t="n"/>
      <c r="B70" s="26" t="n"/>
      <c r="C70" s="26" t="n"/>
      <c r="D70" s="28" t="n"/>
      <c r="E70" s="28" t="n"/>
      <c r="F70" s="26" t="n"/>
      <c r="G70" s="30">
        <f>IF(A70="","",IF(COUNTIF('Companies'!$A$4:$A$63,A70)=0,"Unknown company",IF(COUNTIF('People'!$A$4:$A$1003,B70)=0,"Email not on People",IF(C70="","Missing position","OK"))))</f>
        <v/>
      </c>
    </row>
    <row r="71">
      <c r="A71" s="26" t="n"/>
      <c r="B71" s="26" t="n"/>
      <c r="C71" s="26" t="n"/>
      <c r="D71" s="28" t="n"/>
      <c r="E71" s="28" t="n"/>
      <c r="F71" s="26" t="n"/>
      <c r="G71" s="30">
        <f>IF(A71="","",IF(COUNTIF('Companies'!$A$4:$A$63,A71)=0,"Unknown company",IF(COUNTIF('People'!$A$4:$A$1003,B71)=0,"Email not on People",IF(C71="","Missing position","OK"))))</f>
        <v/>
      </c>
    </row>
    <row r="72">
      <c r="A72" s="26" t="n"/>
      <c r="B72" s="26" t="n"/>
      <c r="C72" s="26" t="n"/>
      <c r="D72" s="28" t="n"/>
      <c r="E72" s="28" t="n"/>
      <c r="F72" s="26" t="n"/>
      <c r="G72" s="30">
        <f>IF(A72="","",IF(COUNTIF('Companies'!$A$4:$A$63,A72)=0,"Unknown company",IF(COUNTIF('People'!$A$4:$A$1003,B72)=0,"Email not on People",IF(C72="","Missing position","OK"))))</f>
        <v/>
      </c>
    </row>
    <row r="73">
      <c r="A73" s="26" t="n"/>
      <c r="B73" s="26" t="n"/>
      <c r="C73" s="26" t="n"/>
      <c r="D73" s="28" t="n"/>
      <c r="E73" s="28" t="n"/>
      <c r="F73" s="26" t="n"/>
      <c r="G73" s="30">
        <f>IF(A73="","",IF(COUNTIF('Companies'!$A$4:$A$63,A73)=0,"Unknown company",IF(COUNTIF('People'!$A$4:$A$1003,B73)=0,"Email not on People",IF(C73="","Missing position","OK"))))</f>
        <v/>
      </c>
    </row>
    <row r="74">
      <c r="A74" s="26" t="n"/>
      <c r="B74" s="26" t="n"/>
      <c r="C74" s="26" t="n"/>
      <c r="D74" s="28" t="n"/>
      <c r="E74" s="28" t="n"/>
      <c r="F74" s="26" t="n"/>
      <c r="G74" s="30">
        <f>IF(A74="","",IF(COUNTIF('Companies'!$A$4:$A$63,A74)=0,"Unknown company",IF(COUNTIF('People'!$A$4:$A$1003,B74)=0,"Email not on People",IF(C74="","Missing position","OK"))))</f>
        <v/>
      </c>
    </row>
    <row r="75">
      <c r="A75" s="26" t="n"/>
      <c r="B75" s="26" t="n"/>
      <c r="C75" s="26" t="n"/>
      <c r="D75" s="28" t="n"/>
      <c r="E75" s="28" t="n"/>
      <c r="F75" s="26" t="n"/>
      <c r="G75" s="30">
        <f>IF(A75="","",IF(COUNTIF('Companies'!$A$4:$A$63,A75)=0,"Unknown company",IF(COUNTIF('People'!$A$4:$A$1003,B75)=0,"Email not on People",IF(C75="","Missing position","OK"))))</f>
        <v/>
      </c>
    </row>
    <row r="76">
      <c r="A76" s="26" t="n"/>
      <c r="B76" s="26" t="n"/>
      <c r="C76" s="26" t="n"/>
      <c r="D76" s="28" t="n"/>
      <c r="E76" s="28" t="n"/>
      <c r="F76" s="26" t="n"/>
      <c r="G76" s="30">
        <f>IF(A76="","",IF(COUNTIF('Companies'!$A$4:$A$63,A76)=0,"Unknown company",IF(COUNTIF('People'!$A$4:$A$1003,B76)=0,"Email not on People",IF(C76="","Missing position","OK"))))</f>
        <v/>
      </c>
    </row>
    <row r="77">
      <c r="A77" s="26" t="n"/>
      <c r="B77" s="26" t="n"/>
      <c r="C77" s="26" t="n"/>
      <c r="D77" s="28" t="n"/>
      <c r="E77" s="28" t="n"/>
      <c r="F77" s="26" t="n"/>
      <c r="G77" s="30">
        <f>IF(A77="","",IF(COUNTIF('Companies'!$A$4:$A$63,A77)=0,"Unknown company",IF(COUNTIF('People'!$A$4:$A$1003,B77)=0,"Email not on People",IF(C77="","Missing position","OK"))))</f>
        <v/>
      </c>
    </row>
    <row r="78">
      <c r="A78" s="26" t="n"/>
      <c r="B78" s="26" t="n"/>
      <c r="C78" s="26" t="n"/>
      <c r="D78" s="28" t="n"/>
      <c r="E78" s="28" t="n"/>
      <c r="F78" s="26" t="n"/>
      <c r="G78" s="30">
        <f>IF(A78="","",IF(COUNTIF('Companies'!$A$4:$A$63,A78)=0,"Unknown company",IF(COUNTIF('People'!$A$4:$A$1003,B78)=0,"Email not on People",IF(C78="","Missing position","OK"))))</f>
        <v/>
      </c>
    </row>
    <row r="79">
      <c r="A79" s="26" t="n"/>
      <c r="B79" s="26" t="n"/>
      <c r="C79" s="26" t="n"/>
      <c r="D79" s="28" t="n"/>
      <c r="E79" s="28" t="n"/>
      <c r="F79" s="26" t="n"/>
      <c r="G79" s="30">
        <f>IF(A79="","",IF(COUNTIF('Companies'!$A$4:$A$63,A79)=0,"Unknown company",IF(COUNTIF('People'!$A$4:$A$1003,B79)=0,"Email not on People",IF(C79="","Missing position","OK"))))</f>
        <v/>
      </c>
    </row>
    <row r="80">
      <c r="A80" s="26" t="n"/>
      <c r="B80" s="26" t="n"/>
      <c r="C80" s="26" t="n"/>
      <c r="D80" s="28" t="n"/>
      <c r="E80" s="28" t="n"/>
      <c r="F80" s="26" t="n"/>
      <c r="G80" s="30">
        <f>IF(A80="","",IF(COUNTIF('Companies'!$A$4:$A$63,A80)=0,"Unknown company",IF(COUNTIF('People'!$A$4:$A$1003,B80)=0,"Email not on People",IF(C80="","Missing position","OK"))))</f>
        <v/>
      </c>
    </row>
    <row r="81">
      <c r="A81" s="26" t="n"/>
      <c r="B81" s="26" t="n"/>
      <c r="C81" s="26" t="n"/>
      <c r="D81" s="28" t="n"/>
      <c r="E81" s="28" t="n"/>
      <c r="F81" s="26" t="n"/>
      <c r="G81" s="30">
        <f>IF(A81="","",IF(COUNTIF('Companies'!$A$4:$A$63,A81)=0,"Unknown company",IF(COUNTIF('People'!$A$4:$A$1003,B81)=0,"Email not on People",IF(C81="","Missing position","OK"))))</f>
        <v/>
      </c>
    </row>
    <row r="82">
      <c r="A82" s="26" t="n"/>
      <c r="B82" s="26" t="n"/>
      <c r="C82" s="26" t="n"/>
      <c r="D82" s="28" t="n"/>
      <c r="E82" s="28" t="n"/>
      <c r="F82" s="26" t="n"/>
      <c r="G82" s="30">
        <f>IF(A82="","",IF(COUNTIF('Companies'!$A$4:$A$63,A82)=0,"Unknown company",IF(COUNTIF('People'!$A$4:$A$1003,B82)=0,"Email not on People",IF(C82="","Missing position","OK"))))</f>
        <v/>
      </c>
    </row>
    <row r="83">
      <c r="A83" s="26" t="n"/>
      <c r="B83" s="26" t="n"/>
      <c r="C83" s="26" t="n"/>
      <c r="D83" s="28" t="n"/>
      <c r="E83" s="28" t="n"/>
      <c r="F83" s="26" t="n"/>
      <c r="G83" s="30">
        <f>IF(A83="","",IF(COUNTIF('Companies'!$A$4:$A$63,A83)=0,"Unknown company",IF(COUNTIF('People'!$A$4:$A$1003,B83)=0,"Email not on People",IF(C83="","Missing position","OK"))))</f>
        <v/>
      </c>
    </row>
    <row r="84">
      <c r="A84" s="26" t="n"/>
      <c r="B84" s="26" t="n"/>
      <c r="C84" s="26" t="n"/>
      <c r="D84" s="28" t="n"/>
      <c r="E84" s="28" t="n"/>
      <c r="F84" s="26" t="n"/>
      <c r="G84" s="30">
        <f>IF(A84="","",IF(COUNTIF('Companies'!$A$4:$A$63,A84)=0,"Unknown company",IF(COUNTIF('People'!$A$4:$A$1003,B84)=0,"Email not on People",IF(C84="","Missing position","OK"))))</f>
        <v/>
      </c>
    </row>
    <row r="85">
      <c r="A85" s="26" t="n"/>
      <c r="B85" s="26" t="n"/>
      <c r="C85" s="26" t="n"/>
      <c r="D85" s="28" t="n"/>
      <c r="E85" s="28" t="n"/>
      <c r="F85" s="26" t="n"/>
      <c r="G85" s="30">
        <f>IF(A85="","",IF(COUNTIF('Companies'!$A$4:$A$63,A85)=0,"Unknown company",IF(COUNTIF('People'!$A$4:$A$1003,B85)=0,"Email not on People",IF(C85="","Missing position","OK"))))</f>
        <v/>
      </c>
    </row>
    <row r="86">
      <c r="A86" s="26" t="n"/>
      <c r="B86" s="26" t="n"/>
      <c r="C86" s="26" t="n"/>
      <c r="D86" s="28" t="n"/>
      <c r="E86" s="28" t="n"/>
      <c r="F86" s="26" t="n"/>
      <c r="G86" s="30">
        <f>IF(A86="","",IF(COUNTIF('Companies'!$A$4:$A$63,A86)=0,"Unknown company",IF(COUNTIF('People'!$A$4:$A$1003,B86)=0,"Email not on People",IF(C86="","Missing position","OK"))))</f>
        <v/>
      </c>
    </row>
    <row r="87">
      <c r="A87" s="26" t="n"/>
      <c r="B87" s="26" t="n"/>
      <c r="C87" s="26" t="n"/>
      <c r="D87" s="28" t="n"/>
      <c r="E87" s="28" t="n"/>
      <c r="F87" s="26" t="n"/>
      <c r="G87" s="30">
        <f>IF(A87="","",IF(COUNTIF('Companies'!$A$4:$A$63,A87)=0,"Unknown company",IF(COUNTIF('People'!$A$4:$A$1003,B87)=0,"Email not on People",IF(C87="","Missing position","OK"))))</f>
        <v/>
      </c>
    </row>
    <row r="88">
      <c r="A88" s="26" t="n"/>
      <c r="B88" s="26" t="n"/>
      <c r="C88" s="26" t="n"/>
      <c r="D88" s="28" t="n"/>
      <c r="E88" s="28" t="n"/>
      <c r="F88" s="26" t="n"/>
      <c r="G88" s="30">
        <f>IF(A88="","",IF(COUNTIF('Companies'!$A$4:$A$63,A88)=0,"Unknown company",IF(COUNTIF('People'!$A$4:$A$1003,B88)=0,"Email not on People",IF(C88="","Missing position","OK"))))</f>
        <v/>
      </c>
    </row>
    <row r="89">
      <c r="A89" s="26" t="n"/>
      <c r="B89" s="26" t="n"/>
      <c r="C89" s="26" t="n"/>
      <c r="D89" s="28" t="n"/>
      <c r="E89" s="28" t="n"/>
      <c r="F89" s="26" t="n"/>
      <c r="G89" s="30">
        <f>IF(A89="","",IF(COUNTIF('Companies'!$A$4:$A$63,A89)=0,"Unknown company",IF(COUNTIF('People'!$A$4:$A$1003,B89)=0,"Email not on People",IF(C89="","Missing position","OK"))))</f>
        <v/>
      </c>
    </row>
    <row r="90">
      <c r="A90" s="26" t="n"/>
      <c r="B90" s="26" t="n"/>
      <c r="C90" s="26" t="n"/>
      <c r="D90" s="28" t="n"/>
      <c r="E90" s="28" t="n"/>
      <c r="F90" s="26" t="n"/>
      <c r="G90" s="30">
        <f>IF(A90="","",IF(COUNTIF('Companies'!$A$4:$A$63,A90)=0,"Unknown company",IF(COUNTIF('People'!$A$4:$A$1003,B90)=0,"Email not on People",IF(C90="","Missing position","OK"))))</f>
        <v/>
      </c>
    </row>
    <row r="91">
      <c r="A91" s="26" t="n"/>
      <c r="B91" s="26" t="n"/>
      <c r="C91" s="26" t="n"/>
      <c r="D91" s="28" t="n"/>
      <c r="E91" s="28" t="n"/>
      <c r="F91" s="26" t="n"/>
      <c r="G91" s="30">
        <f>IF(A91="","",IF(COUNTIF('Companies'!$A$4:$A$63,A91)=0,"Unknown company",IF(COUNTIF('People'!$A$4:$A$1003,B91)=0,"Email not on People",IF(C91="","Missing position","OK"))))</f>
        <v/>
      </c>
    </row>
    <row r="92">
      <c r="A92" s="26" t="n"/>
      <c r="B92" s="26" t="n"/>
      <c r="C92" s="26" t="n"/>
      <c r="D92" s="28" t="n"/>
      <c r="E92" s="28" t="n"/>
      <c r="F92" s="26" t="n"/>
      <c r="G92" s="30">
        <f>IF(A92="","",IF(COUNTIF('Companies'!$A$4:$A$63,A92)=0,"Unknown company",IF(COUNTIF('People'!$A$4:$A$1003,B92)=0,"Email not on People",IF(C92="","Missing position","OK"))))</f>
        <v/>
      </c>
    </row>
    <row r="93">
      <c r="A93" s="26" t="n"/>
      <c r="B93" s="26" t="n"/>
      <c r="C93" s="26" t="n"/>
      <c r="D93" s="28" t="n"/>
      <c r="E93" s="28" t="n"/>
      <c r="F93" s="26" t="n"/>
      <c r="G93" s="30">
        <f>IF(A93="","",IF(COUNTIF('Companies'!$A$4:$A$63,A93)=0,"Unknown company",IF(COUNTIF('People'!$A$4:$A$1003,B93)=0,"Email not on People",IF(C93="","Missing position","OK"))))</f>
        <v/>
      </c>
    </row>
    <row r="94">
      <c r="A94" s="26" t="n"/>
      <c r="B94" s="26" t="n"/>
      <c r="C94" s="26" t="n"/>
      <c r="D94" s="28" t="n"/>
      <c r="E94" s="28" t="n"/>
      <c r="F94" s="26" t="n"/>
      <c r="G94" s="30">
        <f>IF(A94="","",IF(COUNTIF('Companies'!$A$4:$A$63,A94)=0,"Unknown company",IF(COUNTIF('People'!$A$4:$A$1003,B94)=0,"Email not on People",IF(C94="","Missing position","OK"))))</f>
        <v/>
      </c>
    </row>
    <row r="95">
      <c r="A95" s="26" t="n"/>
      <c r="B95" s="26" t="n"/>
      <c r="C95" s="26" t="n"/>
      <c r="D95" s="28" t="n"/>
      <c r="E95" s="28" t="n"/>
      <c r="F95" s="26" t="n"/>
      <c r="G95" s="30">
        <f>IF(A95="","",IF(COUNTIF('Companies'!$A$4:$A$63,A95)=0,"Unknown company",IF(COUNTIF('People'!$A$4:$A$1003,B95)=0,"Email not on People",IF(C95="","Missing position","OK"))))</f>
        <v/>
      </c>
    </row>
    <row r="96">
      <c r="A96" s="26" t="n"/>
      <c r="B96" s="26" t="n"/>
      <c r="C96" s="26" t="n"/>
      <c r="D96" s="28" t="n"/>
      <c r="E96" s="28" t="n"/>
      <c r="F96" s="26" t="n"/>
      <c r="G96" s="30">
        <f>IF(A96="","",IF(COUNTIF('Companies'!$A$4:$A$63,A96)=0,"Unknown company",IF(COUNTIF('People'!$A$4:$A$1003,B96)=0,"Email not on People",IF(C96="","Missing position","OK"))))</f>
        <v/>
      </c>
    </row>
    <row r="97">
      <c r="A97" s="26" t="n"/>
      <c r="B97" s="26" t="n"/>
      <c r="C97" s="26" t="n"/>
      <c r="D97" s="28" t="n"/>
      <c r="E97" s="28" t="n"/>
      <c r="F97" s="26" t="n"/>
      <c r="G97" s="30">
        <f>IF(A97="","",IF(COUNTIF('Companies'!$A$4:$A$63,A97)=0,"Unknown company",IF(COUNTIF('People'!$A$4:$A$1003,B97)=0,"Email not on People",IF(C97="","Missing position","OK"))))</f>
        <v/>
      </c>
    </row>
    <row r="98">
      <c r="A98" s="26" t="n"/>
      <c r="B98" s="26" t="n"/>
      <c r="C98" s="26" t="n"/>
      <c r="D98" s="28" t="n"/>
      <c r="E98" s="28" t="n"/>
      <c r="F98" s="26" t="n"/>
      <c r="G98" s="30">
        <f>IF(A98="","",IF(COUNTIF('Companies'!$A$4:$A$63,A98)=0,"Unknown company",IF(COUNTIF('People'!$A$4:$A$1003,B98)=0,"Email not on People",IF(C98="","Missing position","OK"))))</f>
        <v/>
      </c>
    </row>
    <row r="99">
      <c r="A99" s="26" t="n"/>
      <c r="B99" s="26" t="n"/>
      <c r="C99" s="26" t="n"/>
      <c r="D99" s="28" t="n"/>
      <c r="E99" s="28" t="n"/>
      <c r="F99" s="26" t="n"/>
      <c r="G99" s="30">
        <f>IF(A99="","",IF(COUNTIF('Companies'!$A$4:$A$63,A99)=0,"Unknown company",IF(COUNTIF('People'!$A$4:$A$1003,B99)=0,"Email not on People",IF(C99="","Missing position","OK"))))</f>
        <v/>
      </c>
    </row>
    <row r="100">
      <c r="A100" s="26" t="n"/>
      <c r="B100" s="26" t="n"/>
      <c r="C100" s="26" t="n"/>
      <c r="D100" s="28" t="n"/>
      <c r="E100" s="28" t="n"/>
      <c r="F100" s="26" t="n"/>
      <c r="G100" s="30">
        <f>IF(A100="","",IF(COUNTIF('Companies'!$A$4:$A$63,A100)=0,"Unknown company",IF(COUNTIF('People'!$A$4:$A$1003,B100)=0,"Email not on People",IF(C100="","Missing position","OK"))))</f>
        <v/>
      </c>
    </row>
    <row r="101">
      <c r="A101" s="26" t="n"/>
      <c r="B101" s="26" t="n"/>
      <c r="C101" s="26" t="n"/>
      <c r="D101" s="28" t="n"/>
      <c r="E101" s="28" t="n"/>
      <c r="F101" s="26" t="n"/>
      <c r="G101" s="30">
        <f>IF(A101="","",IF(COUNTIF('Companies'!$A$4:$A$63,A101)=0,"Unknown company",IF(COUNTIF('People'!$A$4:$A$1003,B101)=0,"Email not on People",IF(C101="","Missing position","OK"))))</f>
        <v/>
      </c>
    </row>
    <row r="102">
      <c r="A102" s="26" t="n"/>
      <c r="B102" s="26" t="n"/>
      <c r="C102" s="26" t="n"/>
      <c r="D102" s="28" t="n"/>
      <c r="E102" s="28" t="n"/>
      <c r="F102" s="26" t="n"/>
      <c r="G102" s="30">
        <f>IF(A102="","",IF(COUNTIF('Companies'!$A$4:$A$63,A102)=0,"Unknown company",IF(COUNTIF('People'!$A$4:$A$1003,B102)=0,"Email not on People",IF(C102="","Missing position","OK"))))</f>
        <v/>
      </c>
    </row>
    <row r="103">
      <c r="A103" s="26" t="n"/>
      <c r="B103" s="26" t="n"/>
      <c r="C103" s="26" t="n"/>
      <c r="D103" s="28" t="n"/>
      <c r="E103" s="28" t="n"/>
      <c r="F103" s="26" t="n"/>
      <c r="G103" s="30">
        <f>IF(A103="","",IF(COUNTIF('Companies'!$A$4:$A$63,A103)=0,"Unknown company",IF(COUNTIF('People'!$A$4:$A$1003,B103)=0,"Email not on People",IF(C103="","Missing position","OK"))))</f>
        <v/>
      </c>
    </row>
    <row r="104">
      <c r="A104" s="26" t="n"/>
      <c r="B104" s="26" t="n"/>
      <c r="C104" s="26" t="n"/>
      <c r="D104" s="28" t="n"/>
      <c r="E104" s="28" t="n"/>
      <c r="F104" s="26" t="n"/>
      <c r="G104" s="30">
        <f>IF(A104="","",IF(COUNTIF('Companies'!$A$4:$A$63,A104)=0,"Unknown company",IF(COUNTIF('People'!$A$4:$A$1003,B104)=0,"Email not on People",IF(C104="","Missing position","OK"))))</f>
        <v/>
      </c>
    </row>
    <row r="105">
      <c r="A105" s="26" t="n"/>
      <c r="B105" s="26" t="n"/>
      <c r="C105" s="26" t="n"/>
      <c r="D105" s="28" t="n"/>
      <c r="E105" s="28" t="n"/>
      <c r="F105" s="26" t="n"/>
      <c r="G105" s="30">
        <f>IF(A105="","",IF(COUNTIF('Companies'!$A$4:$A$63,A105)=0,"Unknown company",IF(COUNTIF('People'!$A$4:$A$1003,B105)=0,"Email not on People",IF(C105="","Missing position","OK"))))</f>
        <v/>
      </c>
    </row>
    <row r="106">
      <c r="A106" s="26" t="n"/>
      <c r="B106" s="26" t="n"/>
      <c r="C106" s="26" t="n"/>
      <c r="D106" s="28" t="n"/>
      <c r="E106" s="28" t="n"/>
      <c r="F106" s="26" t="n"/>
      <c r="G106" s="30">
        <f>IF(A106="","",IF(COUNTIF('Companies'!$A$4:$A$63,A106)=0,"Unknown company",IF(COUNTIF('People'!$A$4:$A$1003,B106)=0,"Email not on People",IF(C106="","Missing position","OK"))))</f>
        <v/>
      </c>
    </row>
    <row r="107">
      <c r="A107" s="26" t="n"/>
      <c r="B107" s="26" t="n"/>
      <c r="C107" s="26" t="n"/>
      <c r="D107" s="28" t="n"/>
      <c r="E107" s="28" t="n"/>
      <c r="F107" s="26" t="n"/>
      <c r="G107" s="30">
        <f>IF(A107="","",IF(COUNTIF('Companies'!$A$4:$A$63,A107)=0,"Unknown company",IF(COUNTIF('People'!$A$4:$A$1003,B107)=0,"Email not on People",IF(C107="","Missing position","OK"))))</f>
        <v/>
      </c>
    </row>
    <row r="108">
      <c r="A108" s="26" t="n"/>
      <c r="B108" s="26" t="n"/>
      <c r="C108" s="26" t="n"/>
      <c r="D108" s="28" t="n"/>
      <c r="E108" s="28" t="n"/>
      <c r="F108" s="26" t="n"/>
      <c r="G108" s="30">
        <f>IF(A108="","",IF(COUNTIF('Companies'!$A$4:$A$63,A108)=0,"Unknown company",IF(COUNTIF('People'!$A$4:$A$1003,B108)=0,"Email not on People",IF(C108="","Missing position","OK"))))</f>
        <v/>
      </c>
    </row>
    <row r="109">
      <c r="A109" s="26" t="n"/>
      <c r="B109" s="26" t="n"/>
      <c r="C109" s="26" t="n"/>
      <c r="D109" s="28" t="n"/>
      <c r="E109" s="28" t="n"/>
      <c r="F109" s="26" t="n"/>
      <c r="G109" s="30">
        <f>IF(A109="","",IF(COUNTIF('Companies'!$A$4:$A$63,A109)=0,"Unknown company",IF(COUNTIF('People'!$A$4:$A$1003,B109)=0,"Email not on People",IF(C109="","Missing position","OK"))))</f>
        <v/>
      </c>
    </row>
    <row r="110">
      <c r="A110" s="26" t="n"/>
      <c r="B110" s="26" t="n"/>
      <c r="C110" s="26" t="n"/>
      <c r="D110" s="28" t="n"/>
      <c r="E110" s="28" t="n"/>
      <c r="F110" s="26" t="n"/>
      <c r="G110" s="30">
        <f>IF(A110="","",IF(COUNTIF('Companies'!$A$4:$A$63,A110)=0,"Unknown company",IF(COUNTIF('People'!$A$4:$A$1003,B110)=0,"Email not on People",IF(C110="","Missing position","OK"))))</f>
        <v/>
      </c>
    </row>
    <row r="111">
      <c r="A111" s="26" t="n"/>
      <c r="B111" s="26" t="n"/>
      <c r="C111" s="26" t="n"/>
      <c r="D111" s="28" t="n"/>
      <c r="E111" s="28" t="n"/>
      <c r="F111" s="26" t="n"/>
      <c r="G111" s="30">
        <f>IF(A111="","",IF(COUNTIF('Companies'!$A$4:$A$63,A111)=0,"Unknown company",IF(COUNTIF('People'!$A$4:$A$1003,B111)=0,"Email not on People",IF(C111="","Missing position","OK"))))</f>
        <v/>
      </c>
    </row>
    <row r="112">
      <c r="A112" s="26" t="n"/>
      <c r="B112" s="26" t="n"/>
      <c r="C112" s="26" t="n"/>
      <c r="D112" s="28" t="n"/>
      <c r="E112" s="28" t="n"/>
      <c r="F112" s="26" t="n"/>
      <c r="G112" s="30">
        <f>IF(A112="","",IF(COUNTIF('Companies'!$A$4:$A$63,A112)=0,"Unknown company",IF(COUNTIF('People'!$A$4:$A$1003,B112)=0,"Email not on People",IF(C112="","Missing position","OK"))))</f>
        <v/>
      </c>
    </row>
    <row r="113">
      <c r="A113" s="26" t="n"/>
      <c r="B113" s="26" t="n"/>
      <c r="C113" s="26" t="n"/>
      <c r="D113" s="28" t="n"/>
      <c r="E113" s="28" t="n"/>
      <c r="F113" s="26" t="n"/>
      <c r="G113" s="30">
        <f>IF(A113="","",IF(COUNTIF('Companies'!$A$4:$A$63,A113)=0,"Unknown company",IF(COUNTIF('People'!$A$4:$A$1003,B113)=0,"Email not on People",IF(C113="","Missing position","OK"))))</f>
        <v/>
      </c>
    </row>
    <row r="114">
      <c r="A114" s="26" t="n"/>
      <c r="B114" s="26" t="n"/>
      <c r="C114" s="26" t="n"/>
      <c r="D114" s="28" t="n"/>
      <c r="E114" s="28" t="n"/>
      <c r="F114" s="26" t="n"/>
      <c r="G114" s="30">
        <f>IF(A114="","",IF(COUNTIF('Companies'!$A$4:$A$63,A114)=0,"Unknown company",IF(COUNTIF('People'!$A$4:$A$1003,B114)=0,"Email not on People",IF(C114="","Missing position","OK"))))</f>
        <v/>
      </c>
    </row>
    <row r="115">
      <c r="A115" s="26" t="n"/>
      <c r="B115" s="26" t="n"/>
      <c r="C115" s="26" t="n"/>
      <c r="D115" s="28" t="n"/>
      <c r="E115" s="28" t="n"/>
      <c r="F115" s="26" t="n"/>
      <c r="G115" s="30">
        <f>IF(A115="","",IF(COUNTIF('Companies'!$A$4:$A$63,A115)=0,"Unknown company",IF(COUNTIF('People'!$A$4:$A$1003,B115)=0,"Email not on People",IF(C115="","Missing position","OK"))))</f>
        <v/>
      </c>
    </row>
    <row r="116">
      <c r="A116" s="26" t="n"/>
      <c r="B116" s="26" t="n"/>
      <c r="C116" s="26" t="n"/>
      <c r="D116" s="28" t="n"/>
      <c r="E116" s="28" t="n"/>
      <c r="F116" s="26" t="n"/>
      <c r="G116" s="30">
        <f>IF(A116="","",IF(COUNTIF('Companies'!$A$4:$A$63,A116)=0,"Unknown company",IF(COUNTIF('People'!$A$4:$A$1003,B116)=0,"Email not on People",IF(C116="","Missing position","OK"))))</f>
        <v/>
      </c>
    </row>
    <row r="117">
      <c r="A117" s="26" t="n"/>
      <c r="B117" s="26" t="n"/>
      <c r="C117" s="26" t="n"/>
      <c r="D117" s="28" t="n"/>
      <c r="E117" s="28" t="n"/>
      <c r="F117" s="26" t="n"/>
      <c r="G117" s="30">
        <f>IF(A117="","",IF(COUNTIF('Companies'!$A$4:$A$63,A117)=0,"Unknown company",IF(COUNTIF('People'!$A$4:$A$1003,B117)=0,"Email not on People",IF(C117="","Missing position","OK"))))</f>
        <v/>
      </c>
    </row>
    <row r="118">
      <c r="A118" s="26" t="n"/>
      <c r="B118" s="26" t="n"/>
      <c r="C118" s="26" t="n"/>
      <c r="D118" s="28" t="n"/>
      <c r="E118" s="28" t="n"/>
      <c r="F118" s="26" t="n"/>
      <c r="G118" s="30">
        <f>IF(A118="","",IF(COUNTIF('Companies'!$A$4:$A$63,A118)=0,"Unknown company",IF(COUNTIF('People'!$A$4:$A$1003,B118)=0,"Email not on People",IF(C118="","Missing position","OK"))))</f>
        <v/>
      </c>
    </row>
    <row r="119">
      <c r="A119" s="26" t="n"/>
      <c r="B119" s="26" t="n"/>
      <c r="C119" s="26" t="n"/>
      <c r="D119" s="28" t="n"/>
      <c r="E119" s="28" t="n"/>
      <c r="F119" s="26" t="n"/>
      <c r="G119" s="30">
        <f>IF(A119="","",IF(COUNTIF('Companies'!$A$4:$A$63,A119)=0,"Unknown company",IF(COUNTIF('People'!$A$4:$A$1003,B119)=0,"Email not on People",IF(C119="","Missing position","OK"))))</f>
        <v/>
      </c>
    </row>
    <row r="120">
      <c r="A120" s="26" t="n"/>
      <c r="B120" s="26" t="n"/>
      <c r="C120" s="26" t="n"/>
      <c r="D120" s="28" t="n"/>
      <c r="E120" s="28" t="n"/>
      <c r="F120" s="26" t="n"/>
      <c r="G120" s="30">
        <f>IF(A120="","",IF(COUNTIF('Companies'!$A$4:$A$63,A120)=0,"Unknown company",IF(COUNTIF('People'!$A$4:$A$1003,B120)=0,"Email not on People",IF(C120="","Missing position","OK"))))</f>
        <v/>
      </c>
    </row>
    <row r="121">
      <c r="A121" s="26" t="n"/>
      <c r="B121" s="26" t="n"/>
      <c r="C121" s="26" t="n"/>
      <c r="D121" s="28" t="n"/>
      <c r="E121" s="28" t="n"/>
      <c r="F121" s="26" t="n"/>
      <c r="G121" s="30">
        <f>IF(A121="","",IF(COUNTIF('Companies'!$A$4:$A$63,A121)=0,"Unknown company",IF(COUNTIF('People'!$A$4:$A$1003,B121)=0,"Email not on People",IF(C121="","Missing position","OK"))))</f>
        <v/>
      </c>
    </row>
    <row r="122">
      <c r="A122" s="26" t="n"/>
      <c r="B122" s="26" t="n"/>
      <c r="C122" s="26" t="n"/>
      <c r="D122" s="28" t="n"/>
      <c r="E122" s="28" t="n"/>
      <c r="F122" s="26" t="n"/>
      <c r="G122" s="30">
        <f>IF(A122="","",IF(COUNTIF('Companies'!$A$4:$A$63,A122)=0,"Unknown company",IF(COUNTIF('People'!$A$4:$A$1003,B122)=0,"Email not on People",IF(C122="","Missing position","OK"))))</f>
        <v/>
      </c>
    </row>
    <row r="123">
      <c r="A123" s="26" t="n"/>
      <c r="B123" s="26" t="n"/>
      <c r="C123" s="26" t="n"/>
      <c r="D123" s="28" t="n"/>
      <c r="E123" s="28" t="n"/>
      <c r="F123" s="26" t="n"/>
      <c r="G123" s="30">
        <f>IF(A123="","",IF(COUNTIF('Companies'!$A$4:$A$63,A123)=0,"Unknown company",IF(COUNTIF('People'!$A$4:$A$1003,B123)=0,"Email not on People",IF(C123="","Missing position","OK"))))</f>
        <v/>
      </c>
    </row>
    <row r="124">
      <c r="A124" s="26" t="n"/>
      <c r="B124" s="26" t="n"/>
      <c r="C124" s="26" t="n"/>
      <c r="D124" s="28" t="n"/>
      <c r="E124" s="28" t="n"/>
      <c r="F124" s="26" t="n"/>
      <c r="G124" s="30">
        <f>IF(A124="","",IF(COUNTIF('Companies'!$A$4:$A$63,A124)=0,"Unknown company",IF(COUNTIF('People'!$A$4:$A$1003,B124)=0,"Email not on People",IF(C124="","Missing position","OK"))))</f>
        <v/>
      </c>
    </row>
    <row r="125">
      <c r="A125" s="26" t="n"/>
      <c r="B125" s="26" t="n"/>
      <c r="C125" s="26" t="n"/>
      <c r="D125" s="28" t="n"/>
      <c r="E125" s="28" t="n"/>
      <c r="F125" s="26" t="n"/>
      <c r="G125" s="30">
        <f>IF(A125="","",IF(COUNTIF('Companies'!$A$4:$A$63,A125)=0,"Unknown company",IF(COUNTIF('People'!$A$4:$A$1003,B125)=0,"Email not on People",IF(C125="","Missing position","OK"))))</f>
        <v/>
      </c>
    </row>
    <row r="126">
      <c r="A126" s="26" t="n"/>
      <c r="B126" s="26" t="n"/>
      <c r="C126" s="26" t="n"/>
      <c r="D126" s="28" t="n"/>
      <c r="E126" s="28" t="n"/>
      <c r="F126" s="26" t="n"/>
      <c r="G126" s="30">
        <f>IF(A126="","",IF(COUNTIF('Companies'!$A$4:$A$63,A126)=0,"Unknown company",IF(COUNTIF('People'!$A$4:$A$1003,B126)=0,"Email not on People",IF(C126="","Missing position","OK"))))</f>
        <v/>
      </c>
    </row>
    <row r="127">
      <c r="A127" s="26" t="n"/>
      <c r="B127" s="26" t="n"/>
      <c r="C127" s="26" t="n"/>
      <c r="D127" s="28" t="n"/>
      <c r="E127" s="28" t="n"/>
      <c r="F127" s="26" t="n"/>
      <c r="G127" s="30">
        <f>IF(A127="","",IF(COUNTIF('Companies'!$A$4:$A$63,A127)=0,"Unknown company",IF(COUNTIF('People'!$A$4:$A$1003,B127)=0,"Email not on People",IF(C127="","Missing position","OK"))))</f>
        <v/>
      </c>
    </row>
    <row r="128">
      <c r="A128" s="26" t="n"/>
      <c r="B128" s="26" t="n"/>
      <c r="C128" s="26" t="n"/>
      <c r="D128" s="28" t="n"/>
      <c r="E128" s="28" t="n"/>
      <c r="F128" s="26" t="n"/>
      <c r="G128" s="30">
        <f>IF(A128="","",IF(COUNTIF('Companies'!$A$4:$A$63,A128)=0,"Unknown company",IF(COUNTIF('People'!$A$4:$A$1003,B128)=0,"Email not on People",IF(C128="","Missing position","OK"))))</f>
        <v/>
      </c>
    </row>
    <row r="129">
      <c r="A129" s="26" t="n"/>
      <c r="B129" s="26" t="n"/>
      <c r="C129" s="26" t="n"/>
      <c r="D129" s="28" t="n"/>
      <c r="E129" s="28" t="n"/>
      <c r="F129" s="26" t="n"/>
      <c r="G129" s="30">
        <f>IF(A129="","",IF(COUNTIF('Companies'!$A$4:$A$63,A129)=0,"Unknown company",IF(COUNTIF('People'!$A$4:$A$1003,B129)=0,"Email not on People",IF(C129="","Missing position","OK"))))</f>
        <v/>
      </c>
    </row>
    <row r="130">
      <c r="A130" s="26" t="n"/>
      <c r="B130" s="26" t="n"/>
      <c r="C130" s="26" t="n"/>
      <c r="D130" s="28" t="n"/>
      <c r="E130" s="28" t="n"/>
      <c r="F130" s="26" t="n"/>
      <c r="G130" s="30">
        <f>IF(A130="","",IF(COUNTIF('Companies'!$A$4:$A$63,A130)=0,"Unknown company",IF(COUNTIF('People'!$A$4:$A$1003,B130)=0,"Email not on People",IF(C130="","Missing position","OK"))))</f>
        <v/>
      </c>
    </row>
    <row r="131">
      <c r="A131" s="26" t="n"/>
      <c r="B131" s="26" t="n"/>
      <c r="C131" s="26" t="n"/>
      <c r="D131" s="28" t="n"/>
      <c r="E131" s="28" t="n"/>
      <c r="F131" s="26" t="n"/>
      <c r="G131" s="30">
        <f>IF(A131="","",IF(COUNTIF('Companies'!$A$4:$A$63,A131)=0,"Unknown company",IF(COUNTIF('People'!$A$4:$A$1003,B131)=0,"Email not on People",IF(C131="","Missing position","OK"))))</f>
        <v/>
      </c>
    </row>
    <row r="132">
      <c r="A132" s="26" t="n"/>
      <c r="B132" s="26" t="n"/>
      <c r="C132" s="26" t="n"/>
      <c r="D132" s="28" t="n"/>
      <c r="E132" s="28" t="n"/>
      <c r="F132" s="26" t="n"/>
      <c r="G132" s="30">
        <f>IF(A132="","",IF(COUNTIF('Companies'!$A$4:$A$63,A132)=0,"Unknown company",IF(COUNTIF('People'!$A$4:$A$1003,B132)=0,"Email not on People",IF(C132="","Missing position","OK"))))</f>
        <v/>
      </c>
    </row>
    <row r="133">
      <c r="A133" s="26" t="n"/>
      <c r="B133" s="26" t="n"/>
      <c r="C133" s="26" t="n"/>
      <c r="D133" s="28" t="n"/>
      <c r="E133" s="28" t="n"/>
      <c r="F133" s="26" t="n"/>
      <c r="G133" s="30">
        <f>IF(A133="","",IF(COUNTIF('Companies'!$A$4:$A$63,A133)=0,"Unknown company",IF(COUNTIF('People'!$A$4:$A$1003,B133)=0,"Email not on People",IF(C133="","Missing position","OK"))))</f>
        <v/>
      </c>
    </row>
    <row r="134">
      <c r="A134" s="26" t="n"/>
      <c r="B134" s="26" t="n"/>
      <c r="C134" s="26" t="n"/>
      <c r="D134" s="28" t="n"/>
      <c r="E134" s="28" t="n"/>
      <c r="F134" s="26" t="n"/>
      <c r="G134" s="30">
        <f>IF(A134="","",IF(COUNTIF('Companies'!$A$4:$A$63,A134)=0,"Unknown company",IF(COUNTIF('People'!$A$4:$A$1003,B134)=0,"Email not on People",IF(C134="","Missing position","OK"))))</f>
        <v/>
      </c>
    </row>
    <row r="135">
      <c r="A135" s="26" t="n"/>
      <c r="B135" s="26" t="n"/>
      <c r="C135" s="26" t="n"/>
      <c r="D135" s="28" t="n"/>
      <c r="E135" s="28" t="n"/>
      <c r="F135" s="26" t="n"/>
      <c r="G135" s="30">
        <f>IF(A135="","",IF(COUNTIF('Companies'!$A$4:$A$63,A135)=0,"Unknown company",IF(COUNTIF('People'!$A$4:$A$1003,B135)=0,"Email not on People",IF(C135="","Missing position","OK"))))</f>
        <v/>
      </c>
    </row>
    <row r="136">
      <c r="A136" s="26" t="n"/>
      <c r="B136" s="26" t="n"/>
      <c r="C136" s="26" t="n"/>
      <c r="D136" s="28" t="n"/>
      <c r="E136" s="28" t="n"/>
      <c r="F136" s="26" t="n"/>
      <c r="G136" s="30">
        <f>IF(A136="","",IF(COUNTIF('Companies'!$A$4:$A$63,A136)=0,"Unknown company",IF(COUNTIF('People'!$A$4:$A$1003,B136)=0,"Email not on People",IF(C136="","Missing position","OK"))))</f>
        <v/>
      </c>
    </row>
    <row r="137">
      <c r="A137" s="26" t="n"/>
      <c r="B137" s="26" t="n"/>
      <c r="C137" s="26" t="n"/>
      <c r="D137" s="28" t="n"/>
      <c r="E137" s="28" t="n"/>
      <c r="F137" s="26" t="n"/>
      <c r="G137" s="30">
        <f>IF(A137="","",IF(COUNTIF('Companies'!$A$4:$A$63,A137)=0,"Unknown company",IF(COUNTIF('People'!$A$4:$A$1003,B137)=0,"Email not on People",IF(C137="","Missing position","OK"))))</f>
        <v/>
      </c>
    </row>
    <row r="138">
      <c r="A138" s="26" t="n"/>
      <c r="B138" s="26" t="n"/>
      <c r="C138" s="26" t="n"/>
      <c r="D138" s="28" t="n"/>
      <c r="E138" s="28" t="n"/>
      <c r="F138" s="26" t="n"/>
      <c r="G138" s="30">
        <f>IF(A138="","",IF(COUNTIF('Companies'!$A$4:$A$63,A138)=0,"Unknown company",IF(COUNTIF('People'!$A$4:$A$1003,B138)=0,"Email not on People",IF(C138="","Missing position","OK"))))</f>
        <v/>
      </c>
    </row>
    <row r="139">
      <c r="A139" s="26" t="n"/>
      <c r="B139" s="26" t="n"/>
      <c r="C139" s="26" t="n"/>
      <c r="D139" s="28" t="n"/>
      <c r="E139" s="28" t="n"/>
      <c r="F139" s="26" t="n"/>
      <c r="G139" s="30">
        <f>IF(A139="","",IF(COUNTIF('Companies'!$A$4:$A$63,A139)=0,"Unknown company",IF(COUNTIF('People'!$A$4:$A$1003,B139)=0,"Email not on People",IF(C139="","Missing position","OK"))))</f>
        <v/>
      </c>
    </row>
    <row r="140">
      <c r="A140" s="26" t="n"/>
      <c r="B140" s="26" t="n"/>
      <c r="C140" s="26" t="n"/>
      <c r="D140" s="28" t="n"/>
      <c r="E140" s="28" t="n"/>
      <c r="F140" s="26" t="n"/>
      <c r="G140" s="30">
        <f>IF(A140="","",IF(COUNTIF('Companies'!$A$4:$A$63,A140)=0,"Unknown company",IF(COUNTIF('People'!$A$4:$A$1003,B140)=0,"Email not on People",IF(C140="","Missing position","OK"))))</f>
        <v/>
      </c>
    </row>
    <row r="141">
      <c r="A141" s="26" t="n"/>
      <c r="B141" s="26" t="n"/>
      <c r="C141" s="26" t="n"/>
      <c r="D141" s="28" t="n"/>
      <c r="E141" s="28" t="n"/>
      <c r="F141" s="26" t="n"/>
      <c r="G141" s="30">
        <f>IF(A141="","",IF(COUNTIF('Companies'!$A$4:$A$63,A141)=0,"Unknown company",IF(COUNTIF('People'!$A$4:$A$1003,B141)=0,"Email not on People",IF(C141="","Missing position","OK"))))</f>
        <v/>
      </c>
    </row>
    <row r="142">
      <c r="A142" s="26" t="n"/>
      <c r="B142" s="26" t="n"/>
      <c r="C142" s="26" t="n"/>
      <c r="D142" s="28" t="n"/>
      <c r="E142" s="28" t="n"/>
      <c r="F142" s="26" t="n"/>
      <c r="G142" s="30">
        <f>IF(A142="","",IF(COUNTIF('Companies'!$A$4:$A$63,A142)=0,"Unknown company",IF(COUNTIF('People'!$A$4:$A$1003,B142)=0,"Email not on People",IF(C142="","Missing position","OK"))))</f>
        <v/>
      </c>
    </row>
    <row r="143">
      <c r="A143" s="26" t="n"/>
      <c r="B143" s="26" t="n"/>
      <c r="C143" s="26" t="n"/>
      <c r="D143" s="28" t="n"/>
      <c r="E143" s="28" t="n"/>
      <c r="F143" s="26" t="n"/>
      <c r="G143" s="30">
        <f>IF(A143="","",IF(COUNTIF('Companies'!$A$4:$A$63,A143)=0,"Unknown company",IF(COUNTIF('People'!$A$4:$A$1003,B143)=0,"Email not on People",IF(C143="","Missing position","OK"))))</f>
        <v/>
      </c>
    </row>
    <row r="144">
      <c r="A144" s="26" t="n"/>
      <c r="B144" s="26" t="n"/>
      <c r="C144" s="26" t="n"/>
      <c r="D144" s="28" t="n"/>
      <c r="E144" s="28" t="n"/>
      <c r="F144" s="26" t="n"/>
      <c r="G144" s="30">
        <f>IF(A144="","",IF(COUNTIF('Companies'!$A$4:$A$63,A144)=0,"Unknown company",IF(COUNTIF('People'!$A$4:$A$1003,B144)=0,"Email not on People",IF(C144="","Missing position","OK"))))</f>
        <v/>
      </c>
    </row>
    <row r="145">
      <c r="A145" s="26" t="n"/>
      <c r="B145" s="26" t="n"/>
      <c r="C145" s="26" t="n"/>
      <c r="D145" s="28" t="n"/>
      <c r="E145" s="28" t="n"/>
      <c r="F145" s="26" t="n"/>
      <c r="G145" s="30">
        <f>IF(A145="","",IF(COUNTIF('Companies'!$A$4:$A$63,A145)=0,"Unknown company",IF(COUNTIF('People'!$A$4:$A$1003,B145)=0,"Email not on People",IF(C145="","Missing position","OK"))))</f>
        <v/>
      </c>
    </row>
    <row r="146">
      <c r="A146" s="26" t="n"/>
      <c r="B146" s="26" t="n"/>
      <c r="C146" s="26" t="n"/>
      <c r="D146" s="28" t="n"/>
      <c r="E146" s="28" t="n"/>
      <c r="F146" s="26" t="n"/>
      <c r="G146" s="30">
        <f>IF(A146="","",IF(COUNTIF('Companies'!$A$4:$A$63,A146)=0,"Unknown company",IF(COUNTIF('People'!$A$4:$A$1003,B146)=0,"Email not on People",IF(C146="","Missing position","OK"))))</f>
        <v/>
      </c>
    </row>
    <row r="147">
      <c r="A147" s="26" t="n"/>
      <c r="B147" s="26" t="n"/>
      <c r="C147" s="26" t="n"/>
      <c r="D147" s="28" t="n"/>
      <c r="E147" s="28" t="n"/>
      <c r="F147" s="26" t="n"/>
      <c r="G147" s="30">
        <f>IF(A147="","",IF(COUNTIF('Companies'!$A$4:$A$63,A147)=0,"Unknown company",IF(COUNTIF('People'!$A$4:$A$1003,B147)=0,"Email not on People",IF(C147="","Missing position","OK"))))</f>
        <v/>
      </c>
    </row>
    <row r="148">
      <c r="A148" s="26" t="n"/>
      <c r="B148" s="26" t="n"/>
      <c r="C148" s="26" t="n"/>
      <c r="D148" s="28" t="n"/>
      <c r="E148" s="28" t="n"/>
      <c r="F148" s="26" t="n"/>
      <c r="G148" s="30">
        <f>IF(A148="","",IF(COUNTIF('Companies'!$A$4:$A$63,A148)=0,"Unknown company",IF(COUNTIF('People'!$A$4:$A$1003,B148)=0,"Email not on People",IF(C148="","Missing position","OK"))))</f>
        <v/>
      </c>
    </row>
    <row r="149">
      <c r="A149" s="26" t="n"/>
      <c r="B149" s="26" t="n"/>
      <c r="C149" s="26" t="n"/>
      <c r="D149" s="28" t="n"/>
      <c r="E149" s="28" t="n"/>
      <c r="F149" s="26" t="n"/>
      <c r="G149" s="30">
        <f>IF(A149="","",IF(COUNTIF('Companies'!$A$4:$A$63,A149)=0,"Unknown company",IF(COUNTIF('People'!$A$4:$A$1003,B149)=0,"Email not on People",IF(C149="","Missing position","OK"))))</f>
        <v/>
      </c>
    </row>
    <row r="150">
      <c r="A150" s="26" t="n"/>
      <c r="B150" s="26" t="n"/>
      <c r="C150" s="26" t="n"/>
      <c r="D150" s="28" t="n"/>
      <c r="E150" s="28" t="n"/>
      <c r="F150" s="26" t="n"/>
      <c r="G150" s="30">
        <f>IF(A150="","",IF(COUNTIF('Companies'!$A$4:$A$63,A150)=0,"Unknown company",IF(COUNTIF('People'!$A$4:$A$1003,B150)=0,"Email not on People",IF(C150="","Missing position","OK"))))</f>
        <v/>
      </c>
    </row>
    <row r="151">
      <c r="A151" s="26" t="n"/>
      <c r="B151" s="26" t="n"/>
      <c r="C151" s="26" t="n"/>
      <c r="D151" s="28" t="n"/>
      <c r="E151" s="28" t="n"/>
      <c r="F151" s="26" t="n"/>
      <c r="G151" s="30">
        <f>IF(A151="","",IF(COUNTIF('Companies'!$A$4:$A$63,A151)=0,"Unknown company",IF(COUNTIF('People'!$A$4:$A$1003,B151)=0,"Email not on People",IF(C151="","Missing position","OK"))))</f>
        <v/>
      </c>
    </row>
    <row r="152">
      <c r="A152" s="26" t="n"/>
      <c r="B152" s="26" t="n"/>
      <c r="C152" s="26" t="n"/>
      <c r="D152" s="28" t="n"/>
      <c r="E152" s="28" t="n"/>
      <c r="F152" s="26" t="n"/>
      <c r="G152" s="30">
        <f>IF(A152="","",IF(COUNTIF('Companies'!$A$4:$A$63,A152)=0,"Unknown company",IF(COUNTIF('People'!$A$4:$A$1003,B152)=0,"Email not on People",IF(C152="","Missing position","OK"))))</f>
        <v/>
      </c>
    </row>
    <row r="153">
      <c r="A153" s="26" t="n"/>
      <c r="B153" s="26" t="n"/>
      <c r="C153" s="26" t="n"/>
      <c r="D153" s="28" t="n"/>
      <c r="E153" s="28" t="n"/>
      <c r="F153" s="26" t="n"/>
      <c r="G153" s="30">
        <f>IF(A153="","",IF(COUNTIF('Companies'!$A$4:$A$63,A153)=0,"Unknown company",IF(COUNTIF('People'!$A$4:$A$1003,B153)=0,"Email not on People",IF(C153="","Missing position","OK"))))</f>
        <v/>
      </c>
    </row>
    <row r="154">
      <c r="A154" s="26" t="n"/>
      <c r="B154" s="26" t="n"/>
      <c r="C154" s="26" t="n"/>
      <c r="D154" s="28" t="n"/>
      <c r="E154" s="28" t="n"/>
      <c r="F154" s="26" t="n"/>
      <c r="G154" s="30">
        <f>IF(A154="","",IF(COUNTIF('Companies'!$A$4:$A$63,A154)=0,"Unknown company",IF(COUNTIF('People'!$A$4:$A$1003,B154)=0,"Email not on People",IF(C154="","Missing position","OK"))))</f>
        <v/>
      </c>
    </row>
    <row r="155">
      <c r="A155" s="26" t="n"/>
      <c r="B155" s="26" t="n"/>
      <c r="C155" s="26" t="n"/>
      <c r="D155" s="28" t="n"/>
      <c r="E155" s="28" t="n"/>
      <c r="F155" s="26" t="n"/>
      <c r="G155" s="30">
        <f>IF(A155="","",IF(COUNTIF('Companies'!$A$4:$A$63,A155)=0,"Unknown company",IF(COUNTIF('People'!$A$4:$A$1003,B155)=0,"Email not on People",IF(C155="","Missing position","OK"))))</f>
        <v/>
      </c>
    </row>
    <row r="156">
      <c r="A156" s="26" t="n"/>
      <c r="B156" s="26" t="n"/>
      <c r="C156" s="26" t="n"/>
      <c r="D156" s="28" t="n"/>
      <c r="E156" s="28" t="n"/>
      <c r="F156" s="26" t="n"/>
      <c r="G156" s="30">
        <f>IF(A156="","",IF(COUNTIF('Companies'!$A$4:$A$63,A156)=0,"Unknown company",IF(COUNTIF('People'!$A$4:$A$1003,B156)=0,"Email not on People",IF(C156="","Missing position","OK"))))</f>
        <v/>
      </c>
    </row>
    <row r="157">
      <c r="A157" s="26" t="n"/>
      <c r="B157" s="26" t="n"/>
      <c r="C157" s="26" t="n"/>
      <c r="D157" s="28" t="n"/>
      <c r="E157" s="28" t="n"/>
      <c r="F157" s="26" t="n"/>
      <c r="G157" s="30">
        <f>IF(A157="","",IF(COUNTIF('Companies'!$A$4:$A$63,A157)=0,"Unknown company",IF(COUNTIF('People'!$A$4:$A$1003,B157)=0,"Email not on People",IF(C157="","Missing position","OK"))))</f>
        <v/>
      </c>
    </row>
    <row r="158">
      <c r="A158" s="26" t="n"/>
      <c r="B158" s="26" t="n"/>
      <c r="C158" s="26" t="n"/>
      <c r="D158" s="28" t="n"/>
      <c r="E158" s="28" t="n"/>
      <c r="F158" s="26" t="n"/>
      <c r="G158" s="30">
        <f>IF(A158="","",IF(COUNTIF('Companies'!$A$4:$A$63,A158)=0,"Unknown company",IF(COUNTIF('People'!$A$4:$A$1003,B158)=0,"Email not on People",IF(C158="","Missing position","OK"))))</f>
        <v/>
      </c>
    </row>
    <row r="159">
      <c r="A159" s="26" t="n"/>
      <c r="B159" s="26" t="n"/>
      <c r="C159" s="26" t="n"/>
      <c r="D159" s="28" t="n"/>
      <c r="E159" s="28" t="n"/>
      <c r="F159" s="26" t="n"/>
      <c r="G159" s="30">
        <f>IF(A159="","",IF(COUNTIF('Companies'!$A$4:$A$63,A159)=0,"Unknown company",IF(COUNTIF('People'!$A$4:$A$1003,B159)=0,"Email not on People",IF(C159="","Missing position","OK"))))</f>
        <v/>
      </c>
    </row>
    <row r="160">
      <c r="A160" s="26" t="n"/>
      <c r="B160" s="26" t="n"/>
      <c r="C160" s="26" t="n"/>
      <c r="D160" s="28" t="n"/>
      <c r="E160" s="28" t="n"/>
      <c r="F160" s="26" t="n"/>
      <c r="G160" s="30">
        <f>IF(A160="","",IF(COUNTIF('Companies'!$A$4:$A$63,A160)=0,"Unknown company",IF(COUNTIF('People'!$A$4:$A$1003,B160)=0,"Email not on People",IF(C160="","Missing position","OK"))))</f>
        <v/>
      </c>
    </row>
    <row r="161">
      <c r="A161" s="26" t="n"/>
      <c r="B161" s="26" t="n"/>
      <c r="C161" s="26" t="n"/>
      <c r="D161" s="28" t="n"/>
      <c r="E161" s="28" t="n"/>
      <c r="F161" s="26" t="n"/>
      <c r="G161" s="30">
        <f>IF(A161="","",IF(COUNTIF('Companies'!$A$4:$A$63,A161)=0,"Unknown company",IF(COUNTIF('People'!$A$4:$A$1003,B161)=0,"Email not on People",IF(C161="","Missing position","OK"))))</f>
        <v/>
      </c>
    </row>
    <row r="162">
      <c r="A162" s="26" t="n"/>
      <c r="B162" s="26" t="n"/>
      <c r="C162" s="26" t="n"/>
      <c r="D162" s="28" t="n"/>
      <c r="E162" s="28" t="n"/>
      <c r="F162" s="26" t="n"/>
      <c r="G162" s="30">
        <f>IF(A162="","",IF(COUNTIF('Companies'!$A$4:$A$63,A162)=0,"Unknown company",IF(COUNTIF('People'!$A$4:$A$1003,B162)=0,"Email not on People",IF(C162="","Missing position","OK"))))</f>
        <v/>
      </c>
    </row>
    <row r="163">
      <c r="A163" s="26" t="n"/>
      <c r="B163" s="26" t="n"/>
      <c r="C163" s="26" t="n"/>
      <c r="D163" s="28" t="n"/>
      <c r="E163" s="28" t="n"/>
      <c r="F163" s="26" t="n"/>
      <c r="G163" s="30">
        <f>IF(A163="","",IF(COUNTIF('Companies'!$A$4:$A$63,A163)=0,"Unknown company",IF(COUNTIF('People'!$A$4:$A$1003,B163)=0,"Email not on People",IF(C163="","Missing position","OK"))))</f>
        <v/>
      </c>
    </row>
    <row r="164">
      <c r="A164" s="26" t="n"/>
      <c r="B164" s="26" t="n"/>
      <c r="C164" s="26" t="n"/>
      <c r="D164" s="28" t="n"/>
      <c r="E164" s="28" t="n"/>
      <c r="F164" s="26" t="n"/>
      <c r="G164" s="30">
        <f>IF(A164="","",IF(COUNTIF('Companies'!$A$4:$A$63,A164)=0,"Unknown company",IF(COUNTIF('People'!$A$4:$A$1003,B164)=0,"Email not on People",IF(C164="","Missing position","OK"))))</f>
        <v/>
      </c>
    </row>
    <row r="165">
      <c r="A165" s="26" t="n"/>
      <c r="B165" s="26" t="n"/>
      <c r="C165" s="26" t="n"/>
      <c r="D165" s="28" t="n"/>
      <c r="E165" s="28" t="n"/>
      <c r="F165" s="26" t="n"/>
      <c r="G165" s="30">
        <f>IF(A165="","",IF(COUNTIF('Companies'!$A$4:$A$63,A165)=0,"Unknown company",IF(COUNTIF('People'!$A$4:$A$1003,B165)=0,"Email not on People",IF(C165="","Missing position","OK"))))</f>
        <v/>
      </c>
    </row>
    <row r="166">
      <c r="A166" s="26" t="n"/>
      <c r="B166" s="26" t="n"/>
      <c r="C166" s="26" t="n"/>
      <c r="D166" s="28" t="n"/>
      <c r="E166" s="28" t="n"/>
      <c r="F166" s="26" t="n"/>
      <c r="G166" s="30">
        <f>IF(A166="","",IF(COUNTIF('Companies'!$A$4:$A$63,A166)=0,"Unknown company",IF(COUNTIF('People'!$A$4:$A$1003,B166)=0,"Email not on People",IF(C166="","Missing position","OK"))))</f>
        <v/>
      </c>
    </row>
    <row r="167">
      <c r="A167" s="26" t="n"/>
      <c r="B167" s="26" t="n"/>
      <c r="C167" s="26" t="n"/>
      <c r="D167" s="28" t="n"/>
      <c r="E167" s="28" t="n"/>
      <c r="F167" s="26" t="n"/>
      <c r="G167" s="30">
        <f>IF(A167="","",IF(COUNTIF('Companies'!$A$4:$A$63,A167)=0,"Unknown company",IF(COUNTIF('People'!$A$4:$A$1003,B167)=0,"Email not on People",IF(C167="","Missing position","OK"))))</f>
        <v/>
      </c>
    </row>
    <row r="168">
      <c r="A168" s="26" t="n"/>
      <c r="B168" s="26" t="n"/>
      <c r="C168" s="26" t="n"/>
      <c r="D168" s="28" t="n"/>
      <c r="E168" s="28" t="n"/>
      <c r="F168" s="26" t="n"/>
      <c r="G168" s="30">
        <f>IF(A168="","",IF(COUNTIF('Companies'!$A$4:$A$63,A168)=0,"Unknown company",IF(COUNTIF('People'!$A$4:$A$1003,B168)=0,"Email not on People",IF(C168="","Missing position","OK"))))</f>
        <v/>
      </c>
    </row>
    <row r="169">
      <c r="A169" s="26" t="n"/>
      <c r="B169" s="26" t="n"/>
      <c r="C169" s="26" t="n"/>
      <c r="D169" s="28" t="n"/>
      <c r="E169" s="28" t="n"/>
      <c r="F169" s="26" t="n"/>
      <c r="G169" s="30">
        <f>IF(A169="","",IF(COUNTIF('Companies'!$A$4:$A$63,A169)=0,"Unknown company",IF(COUNTIF('People'!$A$4:$A$1003,B169)=0,"Email not on People",IF(C169="","Missing position","OK"))))</f>
        <v/>
      </c>
    </row>
    <row r="170">
      <c r="A170" s="26" t="n"/>
      <c r="B170" s="26" t="n"/>
      <c r="C170" s="26" t="n"/>
      <c r="D170" s="28" t="n"/>
      <c r="E170" s="28" t="n"/>
      <c r="F170" s="26" t="n"/>
      <c r="G170" s="30">
        <f>IF(A170="","",IF(COUNTIF('Companies'!$A$4:$A$63,A170)=0,"Unknown company",IF(COUNTIF('People'!$A$4:$A$1003,B170)=0,"Email not on People",IF(C170="","Missing position","OK"))))</f>
        <v/>
      </c>
    </row>
    <row r="171">
      <c r="A171" s="26" t="n"/>
      <c r="B171" s="26" t="n"/>
      <c r="C171" s="26" t="n"/>
      <c r="D171" s="28" t="n"/>
      <c r="E171" s="28" t="n"/>
      <c r="F171" s="26" t="n"/>
      <c r="G171" s="30">
        <f>IF(A171="","",IF(COUNTIF('Companies'!$A$4:$A$63,A171)=0,"Unknown company",IF(COUNTIF('People'!$A$4:$A$1003,B171)=0,"Email not on People",IF(C171="","Missing position","OK"))))</f>
        <v/>
      </c>
    </row>
    <row r="172">
      <c r="A172" s="26" t="n"/>
      <c r="B172" s="26" t="n"/>
      <c r="C172" s="26" t="n"/>
      <c r="D172" s="28" t="n"/>
      <c r="E172" s="28" t="n"/>
      <c r="F172" s="26" t="n"/>
      <c r="G172" s="30">
        <f>IF(A172="","",IF(COUNTIF('Companies'!$A$4:$A$63,A172)=0,"Unknown company",IF(COUNTIF('People'!$A$4:$A$1003,B172)=0,"Email not on People",IF(C172="","Missing position","OK"))))</f>
        <v/>
      </c>
    </row>
    <row r="173">
      <c r="A173" s="26" t="n"/>
      <c r="B173" s="26" t="n"/>
      <c r="C173" s="26" t="n"/>
      <c r="D173" s="28" t="n"/>
      <c r="E173" s="28" t="n"/>
      <c r="F173" s="26" t="n"/>
      <c r="G173" s="30">
        <f>IF(A173="","",IF(COUNTIF('Companies'!$A$4:$A$63,A173)=0,"Unknown company",IF(COUNTIF('People'!$A$4:$A$1003,B173)=0,"Email not on People",IF(C173="","Missing position","OK"))))</f>
        <v/>
      </c>
    </row>
    <row r="174">
      <c r="A174" s="26" t="n"/>
      <c r="B174" s="26" t="n"/>
      <c r="C174" s="26" t="n"/>
      <c r="D174" s="28" t="n"/>
      <c r="E174" s="28" t="n"/>
      <c r="F174" s="26" t="n"/>
      <c r="G174" s="30">
        <f>IF(A174="","",IF(COUNTIF('Companies'!$A$4:$A$63,A174)=0,"Unknown company",IF(COUNTIF('People'!$A$4:$A$1003,B174)=0,"Email not on People",IF(C174="","Missing position","OK"))))</f>
        <v/>
      </c>
    </row>
    <row r="175">
      <c r="A175" s="26" t="n"/>
      <c r="B175" s="26" t="n"/>
      <c r="C175" s="26" t="n"/>
      <c r="D175" s="28" t="n"/>
      <c r="E175" s="28" t="n"/>
      <c r="F175" s="26" t="n"/>
      <c r="G175" s="30">
        <f>IF(A175="","",IF(COUNTIF('Companies'!$A$4:$A$63,A175)=0,"Unknown company",IF(COUNTIF('People'!$A$4:$A$1003,B175)=0,"Email not on People",IF(C175="","Missing position","OK"))))</f>
        <v/>
      </c>
    </row>
    <row r="176">
      <c r="A176" s="26" t="n"/>
      <c r="B176" s="26" t="n"/>
      <c r="C176" s="26" t="n"/>
      <c r="D176" s="28" t="n"/>
      <c r="E176" s="28" t="n"/>
      <c r="F176" s="26" t="n"/>
      <c r="G176" s="30">
        <f>IF(A176="","",IF(COUNTIF('Companies'!$A$4:$A$63,A176)=0,"Unknown company",IF(COUNTIF('People'!$A$4:$A$1003,B176)=0,"Email not on People",IF(C176="","Missing position","OK"))))</f>
        <v/>
      </c>
    </row>
    <row r="177">
      <c r="A177" s="26" t="n"/>
      <c r="B177" s="26" t="n"/>
      <c r="C177" s="26" t="n"/>
      <c r="D177" s="28" t="n"/>
      <c r="E177" s="28" t="n"/>
      <c r="F177" s="26" t="n"/>
      <c r="G177" s="30">
        <f>IF(A177="","",IF(COUNTIF('Companies'!$A$4:$A$63,A177)=0,"Unknown company",IF(COUNTIF('People'!$A$4:$A$1003,B177)=0,"Email not on People",IF(C177="","Missing position","OK"))))</f>
        <v/>
      </c>
    </row>
    <row r="178">
      <c r="A178" s="26" t="n"/>
      <c r="B178" s="26" t="n"/>
      <c r="C178" s="26" t="n"/>
      <c r="D178" s="28" t="n"/>
      <c r="E178" s="28" t="n"/>
      <c r="F178" s="26" t="n"/>
      <c r="G178" s="30">
        <f>IF(A178="","",IF(COUNTIF('Companies'!$A$4:$A$63,A178)=0,"Unknown company",IF(COUNTIF('People'!$A$4:$A$1003,B178)=0,"Email not on People",IF(C178="","Missing position","OK"))))</f>
        <v/>
      </c>
    </row>
    <row r="179">
      <c r="A179" s="26" t="n"/>
      <c r="B179" s="26" t="n"/>
      <c r="C179" s="26" t="n"/>
      <c r="D179" s="28" t="n"/>
      <c r="E179" s="28" t="n"/>
      <c r="F179" s="26" t="n"/>
      <c r="G179" s="30">
        <f>IF(A179="","",IF(COUNTIF('Companies'!$A$4:$A$63,A179)=0,"Unknown company",IF(COUNTIF('People'!$A$4:$A$1003,B179)=0,"Email not on People",IF(C179="","Missing position","OK"))))</f>
        <v/>
      </c>
    </row>
    <row r="180">
      <c r="A180" s="26" t="n"/>
      <c r="B180" s="26" t="n"/>
      <c r="C180" s="26" t="n"/>
      <c r="D180" s="28" t="n"/>
      <c r="E180" s="28" t="n"/>
      <c r="F180" s="26" t="n"/>
      <c r="G180" s="30">
        <f>IF(A180="","",IF(COUNTIF('Companies'!$A$4:$A$63,A180)=0,"Unknown company",IF(COUNTIF('People'!$A$4:$A$1003,B180)=0,"Email not on People",IF(C180="","Missing position","OK"))))</f>
        <v/>
      </c>
    </row>
    <row r="181">
      <c r="A181" s="26" t="n"/>
      <c r="B181" s="26" t="n"/>
      <c r="C181" s="26" t="n"/>
      <c r="D181" s="28" t="n"/>
      <c r="E181" s="28" t="n"/>
      <c r="F181" s="26" t="n"/>
      <c r="G181" s="30">
        <f>IF(A181="","",IF(COUNTIF('Companies'!$A$4:$A$63,A181)=0,"Unknown company",IF(COUNTIF('People'!$A$4:$A$1003,B181)=0,"Email not on People",IF(C181="","Missing position","OK"))))</f>
        <v/>
      </c>
    </row>
    <row r="182">
      <c r="A182" s="26" t="n"/>
      <c r="B182" s="26" t="n"/>
      <c r="C182" s="26" t="n"/>
      <c r="D182" s="28" t="n"/>
      <c r="E182" s="28" t="n"/>
      <c r="F182" s="26" t="n"/>
      <c r="G182" s="30">
        <f>IF(A182="","",IF(COUNTIF('Companies'!$A$4:$A$63,A182)=0,"Unknown company",IF(COUNTIF('People'!$A$4:$A$1003,B182)=0,"Email not on People",IF(C182="","Missing position","OK"))))</f>
        <v/>
      </c>
    </row>
    <row r="183">
      <c r="A183" s="26" t="n"/>
      <c r="B183" s="26" t="n"/>
      <c r="C183" s="26" t="n"/>
      <c r="D183" s="28" t="n"/>
      <c r="E183" s="28" t="n"/>
      <c r="F183" s="26" t="n"/>
      <c r="G183" s="30">
        <f>IF(A183="","",IF(COUNTIF('Companies'!$A$4:$A$63,A183)=0,"Unknown company",IF(COUNTIF('People'!$A$4:$A$1003,B183)=0,"Email not on People",IF(C183="","Missing position","OK"))))</f>
        <v/>
      </c>
    </row>
    <row r="184">
      <c r="A184" s="26" t="n"/>
      <c r="B184" s="26" t="n"/>
      <c r="C184" s="26" t="n"/>
      <c r="D184" s="28" t="n"/>
      <c r="E184" s="28" t="n"/>
      <c r="F184" s="26" t="n"/>
      <c r="G184" s="30">
        <f>IF(A184="","",IF(COUNTIF('Companies'!$A$4:$A$63,A184)=0,"Unknown company",IF(COUNTIF('People'!$A$4:$A$1003,B184)=0,"Email not on People",IF(C184="","Missing position","OK"))))</f>
        <v/>
      </c>
    </row>
    <row r="185">
      <c r="A185" s="26" t="n"/>
      <c r="B185" s="26" t="n"/>
      <c r="C185" s="26" t="n"/>
      <c r="D185" s="28" t="n"/>
      <c r="E185" s="28" t="n"/>
      <c r="F185" s="26" t="n"/>
      <c r="G185" s="30">
        <f>IF(A185="","",IF(COUNTIF('Companies'!$A$4:$A$63,A185)=0,"Unknown company",IF(COUNTIF('People'!$A$4:$A$1003,B185)=0,"Email not on People",IF(C185="","Missing position","OK"))))</f>
        <v/>
      </c>
    </row>
    <row r="186">
      <c r="A186" s="26" t="n"/>
      <c r="B186" s="26" t="n"/>
      <c r="C186" s="26" t="n"/>
      <c r="D186" s="28" t="n"/>
      <c r="E186" s="28" t="n"/>
      <c r="F186" s="26" t="n"/>
      <c r="G186" s="30">
        <f>IF(A186="","",IF(COUNTIF('Companies'!$A$4:$A$63,A186)=0,"Unknown company",IF(COUNTIF('People'!$A$4:$A$1003,B186)=0,"Email not on People",IF(C186="","Missing position","OK"))))</f>
        <v/>
      </c>
    </row>
    <row r="187">
      <c r="A187" s="26" t="n"/>
      <c r="B187" s="26" t="n"/>
      <c r="C187" s="26" t="n"/>
      <c r="D187" s="28" t="n"/>
      <c r="E187" s="28" t="n"/>
      <c r="F187" s="26" t="n"/>
      <c r="G187" s="30">
        <f>IF(A187="","",IF(COUNTIF('Companies'!$A$4:$A$63,A187)=0,"Unknown company",IF(COUNTIF('People'!$A$4:$A$1003,B187)=0,"Email not on People",IF(C187="","Missing position","OK"))))</f>
        <v/>
      </c>
    </row>
    <row r="188">
      <c r="A188" s="26" t="n"/>
      <c r="B188" s="26" t="n"/>
      <c r="C188" s="26" t="n"/>
      <c r="D188" s="28" t="n"/>
      <c r="E188" s="28" t="n"/>
      <c r="F188" s="26" t="n"/>
      <c r="G188" s="30">
        <f>IF(A188="","",IF(COUNTIF('Companies'!$A$4:$A$63,A188)=0,"Unknown company",IF(COUNTIF('People'!$A$4:$A$1003,B188)=0,"Email not on People",IF(C188="","Missing position","OK"))))</f>
        <v/>
      </c>
    </row>
    <row r="189">
      <c r="A189" s="26" t="n"/>
      <c r="B189" s="26" t="n"/>
      <c r="C189" s="26" t="n"/>
      <c r="D189" s="28" t="n"/>
      <c r="E189" s="28" t="n"/>
      <c r="F189" s="26" t="n"/>
      <c r="G189" s="30">
        <f>IF(A189="","",IF(COUNTIF('Companies'!$A$4:$A$63,A189)=0,"Unknown company",IF(COUNTIF('People'!$A$4:$A$1003,B189)=0,"Email not on People",IF(C189="","Missing position","OK"))))</f>
        <v/>
      </c>
    </row>
    <row r="190">
      <c r="A190" s="26" t="n"/>
      <c r="B190" s="26" t="n"/>
      <c r="C190" s="26" t="n"/>
      <c r="D190" s="28" t="n"/>
      <c r="E190" s="28" t="n"/>
      <c r="F190" s="26" t="n"/>
      <c r="G190" s="30">
        <f>IF(A190="","",IF(COUNTIF('Companies'!$A$4:$A$63,A190)=0,"Unknown company",IF(COUNTIF('People'!$A$4:$A$1003,B190)=0,"Email not on People",IF(C190="","Missing position","OK"))))</f>
        <v/>
      </c>
    </row>
    <row r="191">
      <c r="A191" s="26" t="n"/>
      <c r="B191" s="26" t="n"/>
      <c r="C191" s="26" t="n"/>
      <c r="D191" s="28" t="n"/>
      <c r="E191" s="28" t="n"/>
      <c r="F191" s="26" t="n"/>
      <c r="G191" s="30">
        <f>IF(A191="","",IF(COUNTIF('Companies'!$A$4:$A$63,A191)=0,"Unknown company",IF(COUNTIF('People'!$A$4:$A$1003,B191)=0,"Email not on People",IF(C191="","Missing position","OK"))))</f>
        <v/>
      </c>
    </row>
    <row r="192">
      <c r="A192" s="26" t="n"/>
      <c r="B192" s="26" t="n"/>
      <c r="C192" s="26" t="n"/>
      <c r="D192" s="28" t="n"/>
      <c r="E192" s="28" t="n"/>
      <c r="F192" s="26" t="n"/>
      <c r="G192" s="30">
        <f>IF(A192="","",IF(COUNTIF('Companies'!$A$4:$A$63,A192)=0,"Unknown company",IF(COUNTIF('People'!$A$4:$A$1003,B192)=0,"Email not on People",IF(C192="","Missing position","OK"))))</f>
        <v/>
      </c>
    </row>
    <row r="193">
      <c r="A193" s="26" t="n"/>
      <c r="B193" s="26" t="n"/>
      <c r="C193" s="26" t="n"/>
      <c r="D193" s="28" t="n"/>
      <c r="E193" s="28" t="n"/>
      <c r="F193" s="26" t="n"/>
      <c r="G193" s="30">
        <f>IF(A193="","",IF(COUNTIF('Companies'!$A$4:$A$63,A193)=0,"Unknown company",IF(COUNTIF('People'!$A$4:$A$1003,B193)=0,"Email not on People",IF(C193="","Missing position","OK"))))</f>
        <v/>
      </c>
    </row>
    <row r="194">
      <c r="A194" s="26" t="n"/>
      <c r="B194" s="26" t="n"/>
      <c r="C194" s="26" t="n"/>
      <c r="D194" s="28" t="n"/>
      <c r="E194" s="28" t="n"/>
      <c r="F194" s="26" t="n"/>
      <c r="G194" s="30">
        <f>IF(A194="","",IF(COUNTIF('Companies'!$A$4:$A$63,A194)=0,"Unknown company",IF(COUNTIF('People'!$A$4:$A$1003,B194)=0,"Email not on People",IF(C194="","Missing position","OK"))))</f>
        <v/>
      </c>
    </row>
    <row r="195">
      <c r="A195" s="26" t="n"/>
      <c r="B195" s="26" t="n"/>
      <c r="C195" s="26" t="n"/>
      <c r="D195" s="28" t="n"/>
      <c r="E195" s="28" t="n"/>
      <c r="F195" s="26" t="n"/>
      <c r="G195" s="30">
        <f>IF(A195="","",IF(COUNTIF('Companies'!$A$4:$A$63,A195)=0,"Unknown company",IF(COUNTIF('People'!$A$4:$A$1003,B195)=0,"Email not on People",IF(C195="","Missing position","OK"))))</f>
        <v/>
      </c>
    </row>
    <row r="196">
      <c r="A196" s="26" t="n"/>
      <c r="B196" s="26" t="n"/>
      <c r="C196" s="26" t="n"/>
      <c r="D196" s="28" t="n"/>
      <c r="E196" s="28" t="n"/>
      <c r="F196" s="26" t="n"/>
      <c r="G196" s="30">
        <f>IF(A196="","",IF(COUNTIF('Companies'!$A$4:$A$63,A196)=0,"Unknown company",IF(COUNTIF('People'!$A$4:$A$1003,B196)=0,"Email not on People",IF(C196="","Missing position","OK"))))</f>
        <v/>
      </c>
    </row>
    <row r="197">
      <c r="A197" s="26" t="n"/>
      <c r="B197" s="26" t="n"/>
      <c r="C197" s="26" t="n"/>
      <c r="D197" s="28" t="n"/>
      <c r="E197" s="28" t="n"/>
      <c r="F197" s="26" t="n"/>
      <c r="G197" s="30">
        <f>IF(A197="","",IF(COUNTIF('Companies'!$A$4:$A$63,A197)=0,"Unknown company",IF(COUNTIF('People'!$A$4:$A$1003,B197)=0,"Email not on People",IF(C197="","Missing position","OK"))))</f>
        <v/>
      </c>
    </row>
    <row r="198">
      <c r="A198" s="26" t="n"/>
      <c r="B198" s="26" t="n"/>
      <c r="C198" s="26" t="n"/>
      <c r="D198" s="28" t="n"/>
      <c r="E198" s="28" t="n"/>
      <c r="F198" s="26" t="n"/>
      <c r="G198" s="30">
        <f>IF(A198="","",IF(COUNTIF('Companies'!$A$4:$A$63,A198)=0,"Unknown company",IF(COUNTIF('People'!$A$4:$A$1003,B198)=0,"Email not on People",IF(C198="","Missing position","OK"))))</f>
        <v/>
      </c>
    </row>
    <row r="199">
      <c r="A199" s="26" t="n"/>
      <c r="B199" s="26" t="n"/>
      <c r="C199" s="26" t="n"/>
      <c r="D199" s="28" t="n"/>
      <c r="E199" s="28" t="n"/>
      <c r="F199" s="26" t="n"/>
      <c r="G199" s="30">
        <f>IF(A199="","",IF(COUNTIF('Companies'!$A$4:$A$63,A199)=0,"Unknown company",IF(COUNTIF('People'!$A$4:$A$1003,B199)=0,"Email not on People",IF(C199="","Missing position","OK"))))</f>
        <v/>
      </c>
    </row>
    <row r="200">
      <c r="A200" s="26" t="n"/>
      <c r="B200" s="26" t="n"/>
      <c r="C200" s="26" t="n"/>
      <c r="D200" s="28" t="n"/>
      <c r="E200" s="28" t="n"/>
      <c r="F200" s="26" t="n"/>
      <c r="G200" s="30">
        <f>IF(A200="","",IF(COUNTIF('Companies'!$A$4:$A$63,A200)=0,"Unknown company",IF(COUNTIF('People'!$A$4:$A$1003,B200)=0,"Email not on People",IF(C200="","Missing position","OK"))))</f>
        <v/>
      </c>
    </row>
    <row r="201">
      <c r="A201" s="26" t="n"/>
      <c r="B201" s="26" t="n"/>
      <c r="C201" s="26" t="n"/>
      <c r="D201" s="28" t="n"/>
      <c r="E201" s="28" t="n"/>
      <c r="F201" s="26" t="n"/>
      <c r="G201" s="30">
        <f>IF(A201="","",IF(COUNTIF('Companies'!$A$4:$A$63,A201)=0,"Unknown company",IF(COUNTIF('People'!$A$4:$A$1003,B201)=0,"Email not on People",IF(C201="","Missing position","OK"))))</f>
        <v/>
      </c>
    </row>
    <row r="202">
      <c r="A202" s="26" t="n"/>
      <c r="B202" s="26" t="n"/>
      <c r="C202" s="26" t="n"/>
      <c r="D202" s="28" t="n"/>
      <c r="E202" s="28" t="n"/>
      <c r="F202" s="26" t="n"/>
      <c r="G202" s="30">
        <f>IF(A202="","",IF(COUNTIF('Companies'!$A$4:$A$63,A202)=0,"Unknown company",IF(COUNTIF('People'!$A$4:$A$1003,B202)=0,"Email not on People",IF(C202="","Missing position","OK"))))</f>
        <v/>
      </c>
    </row>
    <row r="203">
      <c r="A203" s="26" t="n"/>
      <c r="B203" s="26" t="n"/>
      <c r="C203" s="26" t="n"/>
      <c r="D203" s="28" t="n"/>
      <c r="E203" s="28" t="n"/>
      <c r="F203" s="26" t="n"/>
      <c r="G203" s="30">
        <f>IF(A203="","",IF(COUNTIF('Companies'!$A$4:$A$63,A203)=0,"Unknown company",IF(COUNTIF('People'!$A$4:$A$1003,B203)=0,"Email not on People",IF(C203="","Missing position","OK"))))</f>
        <v/>
      </c>
    </row>
    <row r="204">
      <c r="A204" s="26" t="n"/>
      <c r="B204" s="26" t="n"/>
      <c r="C204" s="26" t="n"/>
      <c r="D204" s="28" t="n"/>
      <c r="E204" s="28" t="n"/>
      <c r="F204" s="26" t="n"/>
      <c r="G204" s="30">
        <f>IF(A204="","",IF(COUNTIF('Companies'!$A$4:$A$63,A204)=0,"Unknown company",IF(COUNTIF('People'!$A$4:$A$1003,B204)=0,"Email not on People",IF(C204="","Missing position","OK"))))</f>
        <v/>
      </c>
    </row>
    <row r="205">
      <c r="A205" s="26" t="n"/>
      <c r="B205" s="26" t="n"/>
      <c r="C205" s="26" t="n"/>
      <c r="D205" s="28" t="n"/>
      <c r="E205" s="28" t="n"/>
      <c r="F205" s="26" t="n"/>
      <c r="G205" s="30">
        <f>IF(A205="","",IF(COUNTIF('Companies'!$A$4:$A$63,A205)=0,"Unknown company",IF(COUNTIF('People'!$A$4:$A$1003,B205)=0,"Email not on People",IF(C205="","Missing position","OK"))))</f>
        <v/>
      </c>
    </row>
    <row r="206">
      <c r="A206" s="26" t="n"/>
      <c r="B206" s="26" t="n"/>
      <c r="C206" s="26" t="n"/>
      <c r="D206" s="28" t="n"/>
      <c r="E206" s="28" t="n"/>
      <c r="F206" s="26" t="n"/>
      <c r="G206" s="30">
        <f>IF(A206="","",IF(COUNTIF('Companies'!$A$4:$A$63,A206)=0,"Unknown company",IF(COUNTIF('People'!$A$4:$A$1003,B206)=0,"Email not on People",IF(C206="","Missing position","OK"))))</f>
        <v/>
      </c>
    </row>
    <row r="207">
      <c r="A207" s="26" t="n"/>
      <c r="B207" s="26" t="n"/>
      <c r="C207" s="26" t="n"/>
      <c r="D207" s="28" t="n"/>
      <c r="E207" s="28" t="n"/>
      <c r="F207" s="26" t="n"/>
      <c r="G207" s="30">
        <f>IF(A207="","",IF(COUNTIF('Companies'!$A$4:$A$63,A207)=0,"Unknown company",IF(COUNTIF('People'!$A$4:$A$1003,B207)=0,"Email not on People",IF(C207="","Missing position","OK"))))</f>
        <v/>
      </c>
    </row>
    <row r="208">
      <c r="A208" s="26" t="n"/>
      <c r="B208" s="26" t="n"/>
      <c r="C208" s="26" t="n"/>
      <c r="D208" s="28" t="n"/>
      <c r="E208" s="28" t="n"/>
      <c r="F208" s="26" t="n"/>
      <c r="G208" s="30">
        <f>IF(A208="","",IF(COUNTIF('Companies'!$A$4:$A$63,A208)=0,"Unknown company",IF(COUNTIF('People'!$A$4:$A$1003,B208)=0,"Email not on People",IF(C208="","Missing position","OK"))))</f>
        <v/>
      </c>
    </row>
    <row r="209">
      <c r="A209" s="26" t="n"/>
      <c r="B209" s="26" t="n"/>
      <c r="C209" s="26" t="n"/>
      <c r="D209" s="28" t="n"/>
      <c r="E209" s="28" t="n"/>
      <c r="F209" s="26" t="n"/>
      <c r="G209" s="30">
        <f>IF(A209="","",IF(COUNTIF('Companies'!$A$4:$A$63,A209)=0,"Unknown company",IF(COUNTIF('People'!$A$4:$A$1003,B209)=0,"Email not on People",IF(C209="","Missing position","OK"))))</f>
        <v/>
      </c>
    </row>
    <row r="210">
      <c r="A210" s="26" t="n"/>
      <c r="B210" s="26" t="n"/>
      <c r="C210" s="26" t="n"/>
      <c r="D210" s="28" t="n"/>
      <c r="E210" s="28" t="n"/>
      <c r="F210" s="26" t="n"/>
      <c r="G210" s="30">
        <f>IF(A210="","",IF(COUNTIF('Companies'!$A$4:$A$63,A210)=0,"Unknown company",IF(COUNTIF('People'!$A$4:$A$1003,B210)=0,"Email not on People",IF(C210="","Missing position","OK"))))</f>
        <v/>
      </c>
    </row>
    <row r="211">
      <c r="A211" s="26" t="n"/>
      <c r="B211" s="26" t="n"/>
      <c r="C211" s="26" t="n"/>
      <c r="D211" s="28" t="n"/>
      <c r="E211" s="28" t="n"/>
      <c r="F211" s="26" t="n"/>
      <c r="G211" s="30">
        <f>IF(A211="","",IF(COUNTIF('Companies'!$A$4:$A$63,A211)=0,"Unknown company",IF(COUNTIF('People'!$A$4:$A$1003,B211)=0,"Email not on People",IF(C211="","Missing position","OK"))))</f>
        <v/>
      </c>
    </row>
    <row r="212">
      <c r="A212" s="26" t="n"/>
      <c r="B212" s="26" t="n"/>
      <c r="C212" s="26" t="n"/>
      <c r="D212" s="28" t="n"/>
      <c r="E212" s="28" t="n"/>
      <c r="F212" s="26" t="n"/>
      <c r="G212" s="30">
        <f>IF(A212="","",IF(COUNTIF('Companies'!$A$4:$A$63,A212)=0,"Unknown company",IF(COUNTIF('People'!$A$4:$A$1003,B212)=0,"Email not on People",IF(C212="","Missing position","OK"))))</f>
        <v/>
      </c>
    </row>
    <row r="213">
      <c r="A213" s="26" t="n"/>
      <c r="B213" s="26" t="n"/>
      <c r="C213" s="26" t="n"/>
      <c r="D213" s="28" t="n"/>
      <c r="E213" s="28" t="n"/>
      <c r="F213" s="26" t="n"/>
      <c r="G213" s="30">
        <f>IF(A213="","",IF(COUNTIF('Companies'!$A$4:$A$63,A213)=0,"Unknown company",IF(COUNTIF('People'!$A$4:$A$1003,B213)=0,"Email not on People",IF(C213="","Missing position","OK"))))</f>
        <v/>
      </c>
    </row>
    <row r="214">
      <c r="A214" s="26" t="n"/>
      <c r="B214" s="26" t="n"/>
      <c r="C214" s="26" t="n"/>
      <c r="D214" s="28" t="n"/>
      <c r="E214" s="28" t="n"/>
      <c r="F214" s="26" t="n"/>
      <c r="G214" s="30">
        <f>IF(A214="","",IF(COUNTIF('Companies'!$A$4:$A$63,A214)=0,"Unknown company",IF(COUNTIF('People'!$A$4:$A$1003,B214)=0,"Email not on People",IF(C214="","Missing position","OK"))))</f>
        <v/>
      </c>
    </row>
    <row r="215">
      <c r="A215" s="26" t="n"/>
      <c r="B215" s="26" t="n"/>
      <c r="C215" s="26" t="n"/>
      <c r="D215" s="28" t="n"/>
      <c r="E215" s="28" t="n"/>
      <c r="F215" s="26" t="n"/>
      <c r="G215" s="30">
        <f>IF(A215="","",IF(COUNTIF('Companies'!$A$4:$A$63,A215)=0,"Unknown company",IF(COUNTIF('People'!$A$4:$A$1003,B215)=0,"Email not on People",IF(C215="","Missing position","OK"))))</f>
        <v/>
      </c>
    </row>
    <row r="216">
      <c r="A216" s="26" t="n"/>
      <c r="B216" s="26" t="n"/>
      <c r="C216" s="26" t="n"/>
      <c r="D216" s="28" t="n"/>
      <c r="E216" s="28" t="n"/>
      <c r="F216" s="26" t="n"/>
      <c r="G216" s="30">
        <f>IF(A216="","",IF(COUNTIF('Companies'!$A$4:$A$63,A216)=0,"Unknown company",IF(COUNTIF('People'!$A$4:$A$1003,B216)=0,"Email not on People",IF(C216="","Missing position","OK"))))</f>
        <v/>
      </c>
    </row>
    <row r="217">
      <c r="A217" s="26" t="n"/>
      <c r="B217" s="26" t="n"/>
      <c r="C217" s="26" t="n"/>
      <c r="D217" s="28" t="n"/>
      <c r="E217" s="28" t="n"/>
      <c r="F217" s="26" t="n"/>
      <c r="G217" s="30">
        <f>IF(A217="","",IF(COUNTIF('Companies'!$A$4:$A$63,A217)=0,"Unknown company",IF(COUNTIF('People'!$A$4:$A$1003,B217)=0,"Email not on People",IF(C217="","Missing position","OK"))))</f>
        <v/>
      </c>
    </row>
    <row r="218">
      <c r="A218" s="26" t="n"/>
      <c r="B218" s="26" t="n"/>
      <c r="C218" s="26" t="n"/>
      <c r="D218" s="28" t="n"/>
      <c r="E218" s="28" t="n"/>
      <c r="F218" s="26" t="n"/>
      <c r="G218" s="30">
        <f>IF(A218="","",IF(COUNTIF('Companies'!$A$4:$A$63,A218)=0,"Unknown company",IF(COUNTIF('People'!$A$4:$A$1003,B218)=0,"Email not on People",IF(C218="","Missing position","OK"))))</f>
        <v/>
      </c>
    </row>
    <row r="219">
      <c r="A219" s="26" t="n"/>
      <c r="B219" s="26" t="n"/>
      <c r="C219" s="26" t="n"/>
      <c r="D219" s="28" t="n"/>
      <c r="E219" s="28" t="n"/>
      <c r="F219" s="26" t="n"/>
      <c r="G219" s="30">
        <f>IF(A219="","",IF(COUNTIF('Companies'!$A$4:$A$63,A219)=0,"Unknown company",IF(COUNTIF('People'!$A$4:$A$1003,B219)=0,"Email not on People",IF(C219="","Missing position","OK"))))</f>
        <v/>
      </c>
    </row>
    <row r="220">
      <c r="A220" s="26" t="n"/>
      <c r="B220" s="26" t="n"/>
      <c r="C220" s="26" t="n"/>
      <c r="D220" s="28" t="n"/>
      <c r="E220" s="28" t="n"/>
      <c r="F220" s="26" t="n"/>
      <c r="G220" s="30">
        <f>IF(A220="","",IF(COUNTIF('Companies'!$A$4:$A$63,A220)=0,"Unknown company",IF(COUNTIF('People'!$A$4:$A$1003,B220)=0,"Email not on People",IF(C220="","Missing position","OK"))))</f>
        <v/>
      </c>
    </row>
    <row r="221">
      <c r="A221" s="26" t="n"/>
      <c r="B221" s="26" t="n"/>
      <c r="C221" s="26" t="n"/>
      <c r="D221" s="28" t="n"/>
      <c r="E221" s="28" t="n"/>
      <c r="F221" s="26" t="n"/>
      <c r="G221" s="30">
        <f>IF(A221="","",IF(COUNTIF('Companies'!$A$4:$A$63,A221)=0,"Unknown company",IF(COUNTIF('People'!$A$4:$A$1003,B221)=0,"Email not on People",IF(C221="","Missing position","OK"))))</f>
        <v/>
      </c>
    </row>
    <row r="222">
      <c r="A222" s="26" t="n"/>
      <c r="B222" s="26" t="n"/>
      <c r="C222" s="26" t="n"/>
      <c r="D222" s="28" t="n"/>
      <c r="E222" s="28" t="n"/>
      <c r="F222" s="26" t="n"/>
      <c r="G222" s="30">
        <f>IF(A222="","",IF(COUNTIF('Companies'!$A$4:$A$63,A222)=0,"Unknown company",IF(COUNTIF('People'!$A$4:$A$1003,B222)=0,"Email not on People",IF(C222="","Missing position","OK"))))</f>
        <v/>
      </c>
    </row>
    <row r="223">
      <c r="A223" s="26" t="n"/>
      <c r="B223" s="26" t="n"/>
      <c r="C223" s="26" t="n"/>
      <c r="D223" s="28" t="n"/>
      <c r="E223" s="28" t="n"/>
      <c r="F223" s="26" t="n"/>
      <c r="G223" s="30">
        <f>IF(A223="","",IF(COUNTIF('Companies'!$A$4:$A$63,A223)=0,"Unknown company",IF(COUNTIF('People'!$A$4:$A$1003,B223)=0,"Email not on People",IF(C223="","Missing position","OK"))))</f>
        <v/>
      </c>
    </row>
    <row r="224">
      <c r="A224" s="26" t="n"/>
      <c r="B224" s="26" t="n"/>
      <c r="C224" s="26" t="n"/>
      <c r="D224" s="28" t="n"/>
      <c r="E224" s="28" t="n"/>
      <c r="F224" s="26" t="n"/>
      <c r="G224" s="30">
        <f>IF(A224="","",IF(COUNTIF('Companies'!$A$4:$A$63,A224)=0,"Unknown company",IF(COUNTIF('People'!$A$4:$A$1003,B224)=0,"Email not on People",IF(C224="","Missing position","OK"))))</f>
        <v/>
      </c>
    </row>
    <row r="225">
      <c r="A225" s="26" t="n"/>
      <c r="B225" s="26" t="n"/>
      <c r="C225" s="26" t="n"/>
      <c r="D225" s="28" t="n"/>
      <c r="E225" s="28" t="n"/>
      <c r="F225" s="26" t="n"/>
      <c r="G225" s="30">
        <f>IF(A225="","",IF(COUNTIF('Companies'!$A$4:$A$63,A225)=0,"Unknown company",IF(COUNTIF('People'!$A$4:$A$1003,B225)=0,"Email not on People",IF(C225="","Missing position","OK"))))</f>
        <v/>
      </c>
    </row>
    <row r="226">
      <c r="A226" s="26" t="n"/>
      <c r="B226" s="26" t="n"/>
      <c r="C226" s="26" t="n"/>
      <c r="D226" s="28" t="n"/>
      <c r="E226" s="28" t="n"/>
      <c r="F226" s="26" t="n"/>
      <c r="G226" s="30">
        <f>IF(A226="","",IF(COUNTIF('Companies'!$A$4:$A$63,A226)=0,"Unknown company",IF(COUNTIF('People'!$A$4:$A$1003,B226)=0,"Email not on People",IF(C226="","Missing position","OK"))))</f>
        <v/>
      </c>
    </row>
    <row r="227">
      <c r="A227" s="26" t="n"/>
      <c r="B227" s="26" t="n"/>
      <c r="C227" s="26" t="n"/>
      <c r="D227" s="28" t="n"/>
      <c r="E227" s="28" t="n"/>
      <c r="F227" s="26" t="n"/>
      <c r="G227" s="30">
        <f>IF(A227="","",IF(COUNTIF('Companies'!$A$4:$A$63,A227)=0,"Unknown company",IF(COUNTIF('People'!$A$4:$A$1003,B227)=0,"Email not on People",IF(C227="","Missing position","OK"))))</f>
        <v/>
      </c>
    </row>
    <row r="228">
      <c r="A228" s="26" t="n"/>
      <c r="B228" s="26" t="n"/>
      <c r="C228" s="26" t="n"/>
      <c r="D228" s="28" t="n"/>
      <c r="E228" s="28" t="n"/>
      <c r="F228" s="26" t="n"/>
      <c r="G228" s="30">
        <f>IF(A228="","",IF(COUNTIF('Companies'!$A$4:$A$63,A228)=0,"Unknown company",IF(COUNTIF('People'!$A$4:$A$1003,B228)=0,"Email not on People",IF(C228="","Missing position","OK"))))</f>
        <v/>
      </c>
    </row>
    <row r="229">
      <c r="A229" s="26" t="n"/>
      <c r="B229" s="26" t="n"/>
      <c r="C229" s="26" t="n"/>
      <c r="D229" s="28" t="n"/>
      <c r="E229" s="28" t="n"/>
      <c r="F229" s="26" t="n"/>
      <c r="G229" s="30">
        <f>IF(A229="","",IF(COUNTIF('Companies'!$A$4:$A$63,A229)=0,"Unknown company",IF(COUNTIF('People'!$A$4:$A$1003,B229)=0,"Email not on People",IF(C229="","Missing position","OK"))))</f>
        <v/>
      </c>
    </row>
    <row r="230">
      <c r="A230" s="26" t="n"/>
      <c r="B230" s="26" t="n"/>
      <c r="C230" s="26" t="n"/>
      <c r="D230" s="28" t="n"/>
      <c r="E230" s="28" t="n"/>
      <c r="F230" s="26" t="n"/>
      <c r="G230" s="30">
        <f>IF(A230="","",IF(COUNTIF('Companies'!$A$4:$A$63,A230)=0,"Unknown company",IF(COUNTIF('People'!$A$4:$A$1003,B230)=0,"Email not on People",IF(C230="","Missing position","OK"))))</f>
        <v/>
      </c>
    </row>
    <row r="231">
      <c r="A231" s="26" t="n"/>
      <c r="B231" s="26" t="n"/>
      <c r="C231" s="26" t="n"/>
      <c r="D231" s="28" t="n"/>
      <c r="E231" s="28" t="n"/>
      <c r="F231" s="26" t="n"/>
      <c r="G231" s="30">
        <f>IF(A231="","",IF(COUNTIF('Companies'!$A$4:$A$63,A231)=0,"Unknown company",IF(COUNTIF('People'!$A$4:$A$1003,B231)=0,"Email not on People",IF(C231="","Missing position","OK"))))</f>
        <v/>
      </c>
    </row>
    <row r="232">
      <c r="A232" s="26" t="n"/>
      <c r="B232" s="26" t="n"/>
      <c r="C232" s="26" t="n"/>
      <c r="D232" s="28" t="n"/>
      <c r="E232" s="28" t="n"/>
      <c r="F232" s="26" t="n"/>
      <c r="G232" s="30">
        <f>IF(A232="","",IF(COUNTIF('Companies'!$A$4:$A$63,A232)=0,"Unknown company",IF(COUNTIF('People'!$A$4:$A$1003,B232)=0,"Email not on People",IF(C232="","Missing position","OK"))))</f>
        <v/>
      </c>
    </row>
    <row r="233">
      <c r="A233" s="26" t="n"/>
      <c r="B233" s="26" t="n"/>
      <c r="C233" s="26" t="n"/>
      <c r="D233" s="28" t="n"/>
      <c r="E233" s="28" t="n"/>
      <c r="F233" s="26" t="n"/>
      <c r="G233" s="30">
        <f>IF(A233="","",IF(COUNTIF('Companies'!$A$4:$A$63,A233)=0,"Unknown company",IF(COUNTIF('People'!$A$4:$A$1003,B233)=0,"Email not on People",IF(C233="","Missing position","OK"))))</f>
        <v/>
      </c>
    </row>
    <row r="234">
      <c r="A234" s="26" t="n"/>
      <c r="B234" s="26" t="n"/>
      <c r="C234" s="26" t="n"/>
      <c r="D234" s="28" t="n"/>
      <c r="E234" s="28" t="n"/>
      <c r="F234" s="26" t="n"/>
      <c r="G234" s="30">
        <f>IF(A234="","",IF(COUNTIF('Companies'!$A$4:$A$63,A234)=0,"Unknown company",IF(COUNTIF('People'!$A$4:$A$1003,B234)=0,"Email not on People",IF(C234="","Missing position","OK"))))</f>
        <v/>
      </c>
    </row>
    <row r="235">
      <c r="A235" s="26" t="n"/>
      <c r="B235" s="26" t="n"/>
      <c r="C235" s="26" t="n"/>
      <c r="D235" s="28" t="n"/>
      <c r="E235" s="28" t="n"/>
      <c r="F235" s="26" t="n"/>
      <c r="G235" s="30">
        <f>IF(A235="","",IF(COUNTIF('Companies'!$A$4:$A$63,A235)=0,"Unknown company",IF(COUNTIF('People'!$A$4:$A$1003,B235)=0,"Email not on People",IF(C235="","Missing position","OK"))))</f>
        <v/>
      </c>
    </row>
    <row r="236">
      <c r="A236" s="26" t="n"/>
      <c r="B236" s="26" t="n"/>
      <c r="C236" s="26" t="n"/>
      <c r="D236" s="28" t="n"/>
      <c r="E236" s="28" t="n"/>
      <c r="F236" s="26" t="n"/>
      <c r="G236" s="30">
        <f>IF(A236="","",IF(COUNTIF('Companies'!$A$4:$A$63,A236)=0,"Unknown company",IF(COUNTIF('People'!$A$4:$A$1003,B236)=0,"Email not on People",IF(C236="","Missing position","OK"))))</f>
        <v/>
      </c>
    </row>
    <row r="237">
      <c r="A237" s="26" t="n"/>
      <c r="B237" s="26" t="n"/>
      <c r="C237" s="26" t="n"/>
      <c r="D237" s="28" t="n"/>
      <c r="E237" s="28" t="n"/>
      <c r="F237" s="26" t="n"/>
      <c r="G237" s="30">
        <f>IF(A237="","",IF(COUNTIF('Companies'!$A$4:$A$63,A237)=0,"Unknown company",IF(COUNTIF('People'!$A$4:$A$1003,B237)=0,"Email not on People",IF(C237="","Missing position","OK"))))</f>
        <v/>
      </c>
    </row>
    <row r="238">
      <c r="A238" s="26" t="n"/>
      <c r="B238" s="26" t="n"/>
      <c r="C238" s="26" t="n"/>
      <c r="D238" s="28" t="n"/>
      <c r="E238" s="28" t="n"/>
      <c r="F238" s="26" t="n"/>
      <c r="G238" s="30">
        <f>IF(A238="","",IF(COUNTIF('Companies'!$A$4:$A$63,A238)=0,"Unknown company",IF(COUNTIF('People'!$A$4:$A$1003,B238)=0,"Email not on People",IF(C238="","Missing position","OK"))))</f>
        <v/>
      </c>
    </row>
    <row r="239">
      <c r="A239" s="26" t="n"/>
      <c r="B239" s="26" t="n"/>
      <c r="C239" s="26" t="n"/>
      <c r="D239" s="28" t="n"/>
      <c r="E239" s="28" t="n"/>
      <c r="F239" s="26" t="n"/>
      <c r="G239" s="30">
        <f>IF(A239="","",IF(COUNTIF('Companies'!$A$4:$A$63,A239)=0,"Unknown company",IF(COUNTIF('People'!$A$4:$A$1003,B239)=0,"Email not on People",IF(C239="","Missing position","OK"))))</f>
        <v/>
      </c>
    </row>
    <row r="240">
      <c r="A240" s="26" t="n"/>
      <c r="B240" s="26" t="n"/>
      <c r="C240" s="26" t="n"/>
      <c r="D240" s="28" t="n"/>
      <c r="E240" s="28" t="n"/>
      <c r="F240" s="26" t="n"/>
      <c r="G240" s="30">
        <f>IF(A240="","",IF(COUNTIF('Companies'!$A$4:$A$63,A240)=0,"Unknown company",IF(COUNTIF('People'!$A$4:$A$1003,B240)=0,"Email not on People",IF(C240="","Missing position","OK"))))</f>
        <v/>
      </c>
    </row>
    <row r="241">
      <c r="A241" s="26" t="n"/>
      <c r="B241" s="26" t="n"/>
      <c r="C241" s="26" t="n"/>
      <c r="D241" s="28" t="n"/>
      <c r="E241" s="28" t="n"/>
      <c r="F241" s="26" t="n"/>
      <c r="G241" s="30">
        <f>IF(A241="","",IF(COUNTIF('Companies'!$A$4:$A$63,A241)=0,"Unknown company",IF(COUNTIF('People'!$A$4:$A$1003,B241)=0,"Email not on People",IF(C241="","Missing position","OK"))))</f>
        <v/>
      </c>
    </row>
    <row r="242">
      <c r="A242" s="26" t="n"/>
      <c r="B242" s="26" t="n"/>
      <c r="C242" s="26" t="n"/>
      <c r="D242" s="28" t="n"/>
      <c r="E242" s="28" t="n"/>
      <c r="F242" s="26" t="n"/>
      <c r="G242" s="30">
        <f>IF(A242="","",IF(COUNTIF('Companies'!$A$4:$A$63,A242)=0,"Unknown company",IF(COUNTIF('People'!$A$4:$A$1003,B242)=0,"Email not on People",IF(C242="","Missing position","OK"))))</f>
        <v/>
      </c>
    </row>
    <row r="243">
      <c r="A243" s="26" t="n"/>
      <c r="B243" s="26" t="n"/>
      <c r="C243" s="26" t="n"/>
      <c r="D243" s="28" t="n"/>
      <c r="E243" s="28" t="n"/>
      <c r="F243" s="26" t="n"/>
      <c r="G243" s="30">
        <f>IF(A243="","",IF(COUNTIF('Companies'!$A$4:$A$63,A243)=0,"Unknown company",IF(COUNTIF('People'!$A$4:$A$1003,B243)=0,"Email not on People",IF(C243="","Missing position","OK"))))</f>
        <v/>
      </c>
    </row>
    <row r="244">
      <c r="A244" s="26" t="n"/>
      <c r="B244" s="26" t="n"/>
      <c r="C244" s="26" t="n"/>
      <c r="D244" s="28" t="n"/>
      <c r="E244" s="28" t="n"/>
      <c r="F244" s="26" t="n"/>
      <c r="G244" s="30">
        <f>IF(A244="","",IF(COUNTIF('Companies'!$A$4:$A$63,A244)=0,"Unknown company",IF(COUNTIF('People'!$A$4:$A$1003,B244)=0,"Email not on People",IF(C244="","Missing position","OK"))))</f>
        <v/>
      </c>
    </row>
    <row r="245">
      <c r="A245" s="26" t="n"/>
      <c r="B245" s="26" t="n"/>
      <c r="C245" s="26" t="n"/>
      <c r="D245" s="28" t="n"/>
      <c r="E245" s="28" t="n"/>
      <c r="F245" s="26" t="n"/>
      <c r="G245" s="30">
        <f>IF(A245="","",IF(COUNTIF('Companies'!$A$4:$A$63,A245)=0,"Unknown company",IF(COUNTIF('People'!$A$4:$A$1003,B245)=0,"Email not on People",IF(C245="","Missing position","OK"))))</f>
        <v/>
      </c>
    </row>
    <row r="246">
      <c r="A246" s="26" t="n"/>
      <c r="B246" s="26" t="n"/>
      <c r="C246" s="26" t="n"/>
      <c r="D246" s="28" t="n"/>
      <c r="E246" s="28" t="n"/>
      <c r="F246" s="26" t="n"/>
      <c r="G246" s="30">
        <f>IF(A246="","",IF(COUNTIF('Companies'!$A$4:$A$63,A246)=0,"Unknown company",IF(COUNTIF('People'!$A$4:$A$1003,B246)=0,"Email not on People",IF(C246="","Missing position","OK"))))</f>
        <v/>
      </c>
    </row>
    <row r="247">
      <c r="A247" s="26" t="n"/>
      <c r="B247" s="26" t="n"/>
      <c r="C247" s="26" t="n"/>
      <c r="D247" s="28" t="n"/>
      <c r="E247" s="28" t="n"/>
      <c r="F247" s="26" t="n"/>
      <c r="G247" s="30">
        <f>IF(A247="","",IF(COUNTIF('Companies'!$A$4:$A$63,A247)=0,"Unknown company",IF(COUNTIF('People'!$A$4:$A$1003,B247)=0,"Email not on People",IF(C247="","Missing position","OK"))))</f>
        <v/>
      </c>
    </row>
    <row r="248">
      <c r="A248" s="26" t="n"/>
      <c r="B248" s="26" t="n"/>
      <c r="C248" s="26" t="n"/>
      <c r="D248" s="28" t="n"/>
      <c r="E248" s="28" t="n"/>
      <c r="F248" s="26" t="n"/>
      <c r="G248" s="30">
        <f>IF(A248="","",IF(COUNTIF('Companies'!$A$4:$A$63,A248)=0,"Unknown company",IF(COUNTIF('People'!$A$4:$A$1003,B248)=0,"Email not on People",IF(C248="","Missing position","OK"))))</f>
        <v/>
      </c>
    </row>
    <row r="249">
      <c r="A249" s="26" t="n"/>
      <c r="B249" s="26" t="n"/>
      <c r="C249" s="26" t="n"/>
      <c r="D249" s="28" t="n"/>
      <c r="E249" s="28" t="n"/>
      <c r="F249" s="26" t="n"/>
      <c r="G249" s="30">
        <f>IF(A249="","",IF(COUNTIF('Companies'!$A$4:$A$63,A249)=0,"Unknown company",IF(COUNTIF('People'!$A$4:$A$1003,B249)=0,"Email not on People",IF(C249="","Missing position","OK"))))</f>
        <v/>
      </c>
    </row>
    <row r="250">
      <c r="A250" s="26" t="n"/>
      <c r="B250" s="26" t="n"/>
      <c r="C250" s="26" t="n"/>
      <c r="D250" s="28" t="n"/>
      <c r="E250" s="28" t="n"/>
      <c r="F250" s="26" t="n"/>
      <c r="G250" s="30">
        <f>IF(A250="","",IF(COUNTIF('Companies'!$A$4:$A$63,A250)=0,"Unknown company",IF(COUNTIF('People'!$A$4:$A$1003,B250)=0,"Email not on People",IF(C250="","Missing position","OK"))))</f>
        <v/>
      </c>
    </row>
    <row r="251">
      <c r="A251" s="26" t="n"/>
      <c r="B251" s="26" t="n"/>
      <c r="C251" s="26" t="n"/>
      <c r="D251" s="28" t="n"/>
      <c r="E251" s="28" t="n"/>
      <c r="F251" s="26" t="n"/>
      <c r="G251" s="30">
        <f>IF(A251="","",IF(COUNTIF('Companies'!$A$4:$A$63,A251)=0,"Unknown company",IF(COUNTIF('People'!$A$4:$A$1003,B251)=0,"Email not on People",IF(C251="","Missing position","OK"))))</f>
        <v/>
      </c>
    </row>
    <row r="252">
      <c r="A252" s="26" t="n"/>
      <c r="B252" s="26" t="n"/>
      <c r="C252" s="26" t="n"/>
      <c r="D252" s="28" t="n"/>
      <c r="E252" s="28" t="n"/>
      <c r="F252" s="26" t="n"/>
      <c r="G252" s="30">
        <f>IF(A252="","",IF(COUNTIF('Companies'!$A$4:$A$63,A252)=0,"Unknown company",IF(COUNTIF('People'!$A$4:$A$1003,B252)=0,"Email not on People",IF(C252="","Missing position","OK"))))</f>
        <v/>
      </c>
    </row>
    <row r="253">
      <c r="A253" s="26" t="n"/>
      <c r="B253" s="26" t="n"/>
      <c r="C253" s="26" t="n"/>
      <c r="D253" s="28" t="n"/>
      <c r="E253" s="28" t="n"/>
      <c r="F253" s="26" t="n"/>
      <c r="G253" s="30">
        <f>IF(A253="","",IF(COUNTIF('Companies'!$A$4:$A$63,A253)=0,"Unknown company",IF(COUNTIF('People'!$A$4:$A$1003,B253)=0,"Email not on People",IF(C253="","Missing position","OK"))))</f>
        <v/>
      </c>
    </row>
    <row r="254">
      <c r="A254" s="26" t="n"/>
      <c r="B254" s="26" t="n"/>
      <c r="C254" s="26" t="n"/>
      <c r="D254" s="28" t="n"/>
      <c r="E254" s="28" t="n"/>
      <c r="F254" s="26" t="n"/>
      <c r="G254" s="30">
        <f>IF(A254="","",IF(COUNTIF('Companies'!$A$4:$A$63,A254)=0,"Unknown company",IF(COUNTIF('People'!$A$4:$A$1003,B254)=0,"Email not on People",IF(C254="","Missing position","OK"))))</f>
        <v/>
      </c>
    </row>
    <row r="255">
      <c r="A255" s="26" t="n"/>
      <c r="B255" s="26" t="n"/>
      <c r="C255" s="26" t="n"/>
      <c r="D255" s="28" t="n"/>
      <c r="E255" s="28" t="n"/>
      <c r="F255" s="26" t="n"/>
      <c r="G255" s="30">
        <f>IF(A255="","",IF(COUNTIF('Companies'!$A$4:$A$63,A255)=0,"Unknown company",IF(COUNTIF('People'!$A$4:$A$1003,B255)=0,"Email not on People",IF(C255="","Missing position","OK"))))</f>
        <v/>
      </c>
    </row>
    <row r="256">
      <c r="A256" s="26" t="n"/>
      <c r="B256" s="26" t="n"/>
      <c r="C256" s="26" t="n"/>
      <c r="D256" s="28" t="n"/>
      <c r="E256" s="28" t="n"/>
      <c r="F256" s="26" t="n"/>
      <c r="G256" s="30">
        <f>IF(A256="","",IF(COUNTIF('Companies'!$A$4:$A$63,A256)=0,"Unknown company",IF(COUNTIF('People'!$A$4:$A$1003,B256)=0,"Email not on People",IF(C256="","Missing position","OK"))))</f>
        <v/>
      </c>
    </row>
    <row r="257">
      <c r="A257" s="26" t="n"/>
      <c r="B257" s="26" t="n"/>
      <c r="C257" s="26" t="n"/>
      <c r="D257" s="28" t="n"/>
      <c r="E257" s="28" t="n"/>
      <c r="F257" s="26" t="n"/>
      <c r="G257" s="30">
        <f>IF(A257="","",IF(COUNTIF('Companies'!$A$4:$A$63,A257)=0,"Unknown company",IF(COUNTIF('People'!$A$4:$A$1003,B257)=0,"Email not on People",IF(C257="","Missing position","OK"))))</f>
        <v/>
      </c>
    </row>
    <row r="258">
      <c r="A258" s="26" t="n"/>
      <c r="B258" s="26" t="n"/>
      <c r="C258" s="26" t="n"/>
      <c r="D258" s="28" t="n"/>
      <c r="E258" s="28" t="n"/>
      <c r="F258" s="26" t="n"/>
      <c r="G258" s="30">
        <f>IF(A258="","",IF(COUNTIF('Companies'!$A$4:$A$63,A258)=0,"Unknown company",IF(COUNTIF('People'!$A$4:$A$1003,B258)=0,"Email not on People",IF(C258="","Missing position","OK"))))</f>
        <v/>
      </c>
    </row>
    <row r="259">
      <c r="A259" s="26" t="n"/>
      <c r="B259" s="26" t="n"/>
      <c r="C259" s="26" t="n"/>
      <c r="D259" s="28" t="n"/>
      <c r="E259" s="28" t="n"/>
      <c r="F259" s="26" t="n"/>
      <c r="G259" s="30">
        <f>IF(A259="","",IF(COUNTIF('Companies'!$A$4:$A$63,A259)=0,"Unknown company",IF(COUNTIF('People'!$A$4:$A$1003,B259)=0,"Email not on People",IF(C259="","Missing position","OK"))))</f>
        <v/>
      </c>
    </row>
    <row r="260">
      <c r="A260" s="26" t="n"/>
      <c r="B260" s="26" t="n"/>
      <c r="C260" s="26" t="n"/>
      <c r="D260" s="28" t="n"/>
      <c r="E260" s="28" t="n"/>
      <c r="F260" s="26" t="n"/>
      <c r="G260" s="30">
        <f>IF(A260="","",IF(COUNTIF('Companies'!$A$4:$A$63,A260)=0,"Unknown company",IF(COUNTIF('People'!$A$4:$A$1003,B260)=0,"Email not on People",IF(C260="","Missing position","OK"))))</f>
        <v/>
      </c>
    </row>
    <row r="261">
      <c r="A261" s="26" t="n"/>
      <c r="B261" s="26" t="n"/>
      <c r="C261" s="26" t="n"/>
      <c r="D261" s="28" t="n"/>
      <c r="E261" s="28" t="n"/>
      <c r="F261" s="26" t="n"/>
      <c r="G261" s="30">
        <f>IF(A261="","",IF(COUNTIF('Companies'!$A$4:$A$63,A261)=0,"Unknown company",IF(COUNTIF('People'!$A$4:$A$1003,B261)=0,"Email not on People",IF(C261="","Missing position","OK"))))</f>
        <v/>
      </c>
    </row>
    <row r="262">
      <c r="A262" s="26" t="n"/>
      <c r="B262" s="26" t="n"/>
      <c r="C262" s="26" t="n"/>
      <c r="D262" s="28" t="n"/>
      <c r="E262" s="28" t="n"/>
      <c r="F262" s="26" t="n"/>
      <c r="G262" s="30">
        <f>IF(A262="","",IF(COUNTIF('Companies'!$A$4:$A$63,A262)=0,"Unknown company",IF(COUNTIF('People'!$A$4:$A$1003,B262)=0,"Email not on People",IF(C262="","Missing position","OK"))))</f>
        <v/>
      </c>
    </row>
    <row r="263">
      <c r="A263" s="26" t="n"/>
      <c r="B263" s="26" t="n"/>
      <c r="C263" s="26" t="n"/>
      <c r="D263" s="28" t="n"/>
      <c r="E263" s="28" t="n"/>
      <c r="F263" s="26" t="n"/>
      <c r="G263" s="30">
        <f>IF(A263="","",IF(COUNTIF('Companies'!$A$4:$A$63,A263)=0,"Unknown company",IF(COUNTIF('People'!$A$4:$A$1003,B263)=0,"Email not on People",IF(C263="","Missing position","OK"))))</f>
        <v/>
      </c>
    </row>
    <row r="264">
      <c r="A264" s="26" t="n"/>
      <c r="B264" s="26" t="n"/>
      <c r="C264" s="26" t="n"/>
      <c r="D264" s="28" t="n"/>
      <c r="E264" s="28" t="n"/>
      <c r="F264" s="26" t="n"/>
      <c r="G264" s="30">
        <f>IF(A264="","",IF(COUNTIF('Companies'!$A$4:$A$63,A264)=0,"Unknown company",IF(COUNTIF('People'!$A$4:$A$1003,B264)=0,"Email not on People",IF(C264="","Missing position","OK"))))</f>
        <v/>
      </c>
    </row>
    <row r="265">
      <c r="A265" s="26" t="n"/>
      <c r="B265" s="26" t="n"/>
      <c r="C265" s="26" t="n"/>
      <c r="D265" s="28" t="n"/>
      <c r="E265" s="28" t="n"/>
      <c r="F265" s="26" t="n"/>
      <c r="G265" s="30">
        <f>IF(A265="","",IF(COUNTIF('Companies'!$A$4:$A$63,A265)=0,"Unknown company",IF(COUNTIF('People'!$A$4:$A$1003,B265)=0,"Email not on People",IF(C265="","Missing position","OK"))))</f>
        <v/>
      </c>
    </row>
    <row r="266">
      <c r="A266" s="26" t="n"/>
      <c r="B266" s="26" t="n"/>
      <c r="C266" s="26" t="n"/>
      <c r="D266" s="28" t="n"/>
      <c r="E266" s="28" t="n"/>
      <c r="F266" s="26" t="n"/>
      <c r="G266" s="30">
        <f>IF(A266="","",IF(COUNTIF('Companies'!$A$4:$A$63,A266)=0,"Unknown company",IF(COUNTIF('People'!$A$4:$A$1003,B266)=0,"Email not on People",IF(C266="","Missing position","OK"))))</f>
        <v/>
      </c>
    </row>
    <row r="267">
      <c r="A267" s="26" t="n"/>
      <c r="B267" s="26" t="n"/>
      <c r="C267" s="26" t="n"/>
      <c r="D267" s="28" t="n"/>
      <c r="E267" s="28" t="n"/>
      <c r="F267" s="26" t="n"/>
      <c r="G267" s="30">
        <f>IF(A267="","",IF(COUNTIF('Companies'!$A$4:$A$63,A267)=0,"Unknown company",IF(COUNTIF('People'!$A$4:$A$1003,B267)=0,"Email not on People",IF(C267="","Missing position","OK"))))</f>
        <v/>
      </c>
    </row>
    <row r="268">
      <c r="A268" s="26" t="n"/>
      <c r="B268" s="26" t="n"/>
      <c r="C268" s="26" t="n"/>
      <c r="D268" s="28" t="n"/>
      <c r="E268" s="28" t="n"/>
      <c r="F268" s="26" t="n"/>
      <c r="G268" s="30">
        <f>IF(A268="","",IF(COUNTIF('Companies'!$A$4:$A$63,A268)=0,"Unknown company",IF(COUNTIF('People'!$A$4:$A$1003,B268)=0,"Email not on People",IF(C268="","Missing position","OK"))))</f>
        <v/>
      </c>
    </row>
    <row r="269">
      <c r="A269" s="26" t="n"/>
      <c r="B269" s="26" t="n"/>
      <c r="C269" s="26" t="n"/>
      <c r="D269" s="28" t="n"/>
      <c r="E269" s="28" t="n"/>
      <c r="F269" s="26" t="n"/>
      <c r="G269" s="30">
        <f>IF(A269="","",IF(COUNTIF('Companies'!$A$4:$A$63,A269)=0,"Unknown company",IF(COUNTIF('People'!$A$4:$A$1003,B269)=0,"Email not on People",IF(C269="","Missing position","OK"))))</f>
        <v/>
      </c>
    </row>
    <row r="270">
      <c r="A270" s="26" t="n"/>
      <c r="B270" s="26" t="n"/>
      <c r="C270" s="26" t="n"/>
      <c r="D270" s="28" t="n"/>
      <c r="E270" s="28" t="n"/>
      <c r="F270" s="26" t="n"/>
      <c r="G270" s="30">
        <f>IF(A270="","",IF(COUNTIF('Companies'!$A$4:$A$63,A270)=0,"Unknown company",IF(COUNTIF('People'!$A$4:$A$1003,B270)=0,"Email not on People",IF(C270="","Missing position","OK"))))</f>
        <v/>
      </c>
    </row>
    <row r="271">
      <c r="A271" s="26" t="n"/>
      <c r="B271" s="26" t="n"/>
      <c r="C271" s="26" t="n"/>
      <c r="D271" s="28" t="n"/>
      <c r="E271" s="28" t="n"/>
      <c r="F271" s="26" t="n"/>
      <c r="G271" s="30">
        <f>IF(A271="","",IF(COUNTIF('Companies'!$A$4:$A$63,A271)=0,"Unknown company",IF(COUNTIF('People'!$A$4:$A$1003,B271)=0,"Email not on People",IF(C271="","Missing position","OK"))))</f>
        <v/>
      </c>
    </row>
    <row r="272">
      <c r="A272" s="26" t="n"/>
      <c r="B272" s="26" t="n"/>
      <c r="C272" s="26" t="n"/>
      <c r="D272" s="28" t="n"/>
      <c r="E272" s="28" t="n"/>
      <c r="F272" s="26" t="n"/>
      <c r="G272" s="30">
        <f>IF(A272="","",IF(COUNTIF('Companies'!$A$4:$A$63,A272)=0,"Unknown company",IF(COUNTIF('People'!$A$4:$A$1003,B272)=0,"Email not on People",IF(C272="","Missing position","OK"))))</f>
        <v/>
      </c>
    </row>
    <row r="273">
      <c r="A273" s="26" t="n"/>
      <c r="B273" s="26" t="n"/>
      <c r="C273" s="26" t="n"/>
      <c r="D273" s="28" t="n"/>
      <c r="E273" s="28" t="n"/>
      <c r="F273" s="26" t="n"/>
      <c r="G273" s="30">
        <f>IF(A273="","",IF(COUNTIF('Companies'!$A$4:$A$63,A273)=0,"Unknown company",IF(COUNTIF('People'!$A$4:$A$1003,B273)=0,"Email not on People",IF(C273="","Missing position","OK"))))</f>
        <v/>
      </c>
    </row>
    <row r="274">
      <c r="A274" s="26" t="n"/>
      <c r="B274" s="26" t="n"/>
      <c r="C274" s="26" t="n"/>
      <c r="D274" s="28" t="n"/>
      <c r="E274" s="28" t="n"/>
      <c r="F274" s="26" t="n"/>
      <c r="G274" s="30">
        <f>IF(A274="","",IF(COUNTIF('Companies'!$A$4:$A$63,A274)=0,"Unknown company",IF(COUNTIF('People'!$A$4:$A$1003,B274)=0,"Email not on People",IF(C274="","Missing position","OK"))))</f>
        <v/>
      </c>
    </row>
    <row r="275">
      <c r="A275" s="26" t="n"/>
      <c r="B275" s="26" t="n"/>
      <c r="C275" s="26" t="n"/>
      <c r="D275" s="28" t="n"/>
      <c r="E275" s="28" t="n"/>
      <c r="F275" s="26" t="n"/>
      <c r="G275" s="30">
        <f>IF(A275="","",IF(COUNTIF('Companies'!$A$4:$A$63,A275)=0,"Unknown company",IF(COUNTIF('People'!$A$4:$A$1003,B275)=0,"Email not on People",IF(C275="","Missing position","OK"))))</f>
        <v/>
      </c>
    </row>
    <row r="276">
      <c r="A276" s="26" t="n"/>
      <c r="B276" s="26" t="n"/>
      <c r="C276" s="26" t="n"/>
      <c r="D276" s="28" t="n"/>
      <c r="E276" s="28" t="n"/>
      <c r="F276" s="26" t="n"/>
      <c r="G276" s="30">
        <f>IF(A276="","",IF(COUNTIF('Companies'!$A$4:$A$63,A276)=0,"Unknown company",IF(COUNTIF('People'!$A$4:$A$1003,B276)=0,"Email not on People",IF(C276="","Missing position","OK"))))</f>
        <v/>
      </c>
    </row>
    <row r="277">
      <c r="A277" s="26" t="n"/>
      <c r="B277" s="26" t="n"/>
      <c r="C277" s="26" t="n"/>
      <c r="D277" s="28" t="n"/>
      <c r="E277" s="28" t="n"/>
      <c r="F277" s="26" t="n"/>
      <c r="G277" s="30">
        <f>IF(A277="","",IF(COUNTIF('Companies'!$A$4:$A$63,A277)=0,"Unknown company",IF(COUNTIF('People'!$A$4:$A$1003,B277)=0,"Email not on People",IF(C277="","Missing position","OK"))))</f>
        <v/>
      </c>
    </row>
    <row r="278">
      <c r="A278" s="26" t="n"/>
      <c r="B278" s="26" t="n"/>
      <c r="C278" s="26" t="n"/>
      <c r="D278" s="28" t="n"/>
      <c r="E278" s="28" t="n"/>
      <c r="F278" s="26" t="n"/>
      <c r="G278" s="30">
        <f>IF(A278="","",IF(COUNTIF('Companies'!$A$4:$A$63,A278)=0,"Unknown company",IF(COUNTIF('People'!$A$4:$A$1003,B278)=0,"Email not on People",IF(C278="","Missing position","OK"))))</f>
        <v/>
      </c>
    </row>
    <row r="279">
      <c r="A279" s="26" t="n"/>
      <c r="B279" s="26" t="n"/>
      <c r="C279" s="26" t="n"/>
      <c r="D279" s="28" t="n"/>
      <c r="E279" s="28" t="n"/>
      <c r="F279" s="26" t="n"/>
      <c r="G279" s="30">
        <f>IF(A279="","",IF(COUNTIF('Companies'!$A$4:$A$63,A279)=0,"Unknown company",IF(COUNTIF('People'!$A$4:$A$1003,B279)=0,"Email not on People",IF(C279="","Missing position","OK"))))</f>
        <v/>
      </c>
    </row>
    <row r="280">
      <c r="A280" s="26" t="n"/>
      <c r="B280" s="26" t="n"/>
      <c r="C280" s="26" t="n"/>
      <c r="D280" s="28" t="n"/>
      <c r="E280" s="28" t="n"/>
      <c r="F280" s="26" t="n"/>
      <c r="G280" s="30">
        <f>IF(A280="","",IF(COUNTIF('Companies'!$A$4:$A$63,A280)=0,"Unknown company",IF(COUNTIF('People'!$A$4:$A$1003,B280)=0,"Email not on People",IF(C280="","Missing position","OK"))))</f>
        <v/>
      </c>
    </row>
    <row r="281">
      <c r="A281" s="26" t="n"/>
      <c r="B281" s="26" t="n"/>
      <c r="C281" s="26" t="n"/>
      <c r="D281" s="28" t="n"/>
      <c r="E281" s="28" t="n"/>
      <c r="F281" s="26" t="n"/>
      <c r="G281" s="30">
        <f>IF(A281="","",IF(COUNTIF('Companies'!$A$4:$A$63,A281)=0,"Unknown company",IF(COUNTIF('People'!$A$4:$A$1003,B281)=0,"Email not on People",IF(C281="","Missing position","OK"))))</f>
        <v/>
      </c>
    </row>
    <row r="282">
      <c r="A282" s="26" t="n"/>
      <c r="B282" s="26" t="n"/>
      <c r="C282" s="26" t="n"/>
      <c r="D282" s="28" t="n"/>
      <c r="E282" s="28" t="n"/>
      <c r="F282" s="26" t="n"/>
      <c r="G282" s="30">
        <f>IF(A282="","",IF(COUNTIF('Companies'!$A$4:$A$63,A282)=0,"Unknown company",IF(COUNTIF('People'!$A$4:$A$1003,B282)=0,"Email not on People",IF(C282="","Missing position","OK"))))</f>
        <v/>
      </c>
    </row>
    <row r="283">
      <c r="A283" s="26" t="n"/>
      <c r="B283" s="26" t="n"/>
      <c r="C283" s="26" t="n"/>
      <c r="D283" s="28" t="n"/>
      <c r="E283" s="28" t="n"/>
      <c r="F283" s="26" t="n"/>
      <c r="G283" s="30">
        <f>IF(A283="","",IF(COUNTIF('Companies'!$A$4:$A$63,A283)=0,"Unknown company",IF(COUNTIF('People'!$A$4:$A$1003,B283)=0,"Email not on People",IF(C283="","Missing position","OK"))))</f>
        <v/>
      </c>
    </row>
    <row r="284">
      <c r="A284" s="26" t="n"/>
      <c r="B284" s="26" t="n"/>
      <c r="C284" s="26" t="n"/>
      <c r="D284" s="28" t="n"/>
      <c r="E284" s="28" t="n"/>
      <c r="F284" s="26" t="n"/>
      <c r="G284" s="30">
        <f>IF(A284="","",IF(COUNTIF('Companies'!$A$4:$A$63,A284)=0,"Unknown company",IF(COUNTIF('People'!$A$4:$A$1003,B284)=0,"Email not on People",IF(C284="","Missing position","OK"))))</f>
        <v/>
      </c>
    </row>
    <row r="285">
      <c r="A285" s="26" t="n"/>
      <c r="B285" s="26" t="n"/>
      <c r="C285" s="26" t="n"/>
      <c r="D285" s="28" t="n"/>
      <c r="E285" s="28" t="n"/>
      <c r="F285" s="26" t="n"/>
      <c r="G285" s="30">
        <f>IF(A285="","",IF(COUNTIF('Companies'!$A$4:$A$63,A285)=0,"Unknown company",IF(COUNTIF('People'!$A$4:$A$1003,B285)=0,"Email not on People",IF(C285="","Missing position","OK"))))</f>
        <v/>
      </c>
    </row>
    <row r="286">
      <c r="A286" s="26" t="n"/>
      <c r="B286" s="26" t="n"/>
      <c r="C286" s="26" t="n"/>
      <c r="D286" s="28" t="n"/>
      <c r="E286" s="28" t="n"/>
      <c r="F286" s="26" t="n"/>
      <c r="G286" s="30">
        <f>IF(A286="","",IF(COUNTIF('Companies'!$A$4:$A$63,A286)=0,"Unknown company",IF(COUNTIF('People'!$A$4:$A$1003,B286)=0,"Email not on People",IF(C286="","Missing position","OK"))))</f>
        <v/>
      </c>
    </row>
    <row r="287">
      <c r="A287" s="26" t="n"/>
      <c r="B287" s="26" t="n"/>
      <c r="C287" s="26" t="n"/>
      <c r="D287" s="28" t="n"/>
      <c r="E287" s="28" t="n"/>
      <c r="F287" s="26" t="n"/>
      <c r="G287" s="30">
        <f>IF(A287="","",IF(COUNTIF('Companies'!$A$4:$A$63,A287)=0,"Unknown company",IF(COUNTIF('People'!$A$4:$A$1003,B287)=0,"Email not on People",IF(C287="","Missing position","OK"))))</f>
        <v/>
      </c>
    </row>
    <row r="288">
      <c r="A288" s="26" t="n"/>
      <c r="B288" s="26" t="n"/>
      <c r="C288" s="26" t="n"/>
      <c r="D288" s="28" t="n"/>
      <c r="E288" s="28" t="n"/>
      <c r="F288" s="26" t="n"/>
      <c r="G288" s="30">
        <f>IF(A288="","",IF(COUNTIF('Companies'!$A$4:$A$63,A288)=0,"Unknown company",IF(COUNTIF('People'!$A$4:$A$1003,B288)=0,"Email not on People",IF(C288="","Missing position","OK"))))</f>
        <v/>
      </c>
    </row>
    <row r="289">
      <c r="A289" s="26" t="n"/>
      <c r="B289" s="26" t="n"/>
      <c r="C289" s="26" t="n"/>
      <c r="D289" s="28" t="n"/>
      <c r="E289" s="28" t="n"/>
      <c r="F289" s="26" t="n"/>
      <c r="G289" s="30">
        <f>IF(A289="","",IF(COUNTIF('Companies'!$A$4:$A$63,A289)=0,"Unknown company",IF(COUNTIF('People'!$A$4:$A$1003,B289)=0,"Email not on People",IF(C289="","Missing position","OK"))))</f>
        <v/>
      </c>
    </row>
    <row r="290">
      <c r="A290" s="26" t="n"/>
      <c r="B290" s="26" t="n"/>
      <c r="C290" s="26" t="n"/>
      <c r="D290" s="28" t="n"/>
      <c r="E290" s="28" t="n"/>
      <c r="F290" s="26" t="n"/>
      <c r="G290" s="30">
        <f>IF(A290="","",IF(COUNTIF('Companies'!$A$4:$A$63,A290)=0,"Unknown company",IF(COUNTIF('People'!$A$4:$A$1003,B290)=0,"Email not on People",IF(C290="","Missing position","OK"))))</f>
        <v/>
      </c>
    </row>
    <row r="291">
      <c r="A291" s="26" t="n"/>
      <c r="B291" s="26" t="n"/>
      <c r="C291" s="26" t="n"/>
      <c r="D291" s="28" t="n"/>
      <c r="E291" s="28" t="n"/>
      <c r="F291" s="26" t="n"/>
      <c r="G291" s="30">
        <f>IF(A291="","",IF(COUNTIF('Companies'!$A$4:$A$63,A291)=0,"Unknown company",IF(COUNTIF('People'!$A$4:$A$1003,B291)=0,"Email not on People",IF(C291="","Missing position","OK"))))</f>
        <v/>
      </c>
    </row>
    <row r="292">
      <c r="A292" s="26" t="n"/>
      <c r="B292" s="26" t="n"/>
      <c r="C292" s="26" t="n"/>
      <c r="D292" s="28" t="n"/>
      <c r="E292" s="28" t="n"/>
      <c r="F292" s="26" t="n"/>
      <c r="G292" s="30">
        <f>IF(A292="","",IF(COUNTIF('Companies'!$A$4:$A$63,A292)=0,"Unknown company",IF(COUNTIF('People'!$A$4:$A$1003,B292)=0,"Email not on People",IF(C292="","Missing position","OK"))))</f>
        <v/>
      </c>
    </row>
    <row r="293">
      <c r="A293" s="26" t="n"/>
      <c r="B293" s="26" t="n"/>
      <c r="C293" s="26" t="n"/>
      <c r="D293" s="28" t="n"/>
      <c r="E293" s="28" t="n"/>
      <c r="F293" s="26" t="n"/>
      <c r="G293" s="30">
        <f>IF(A293="","",IF(COUNTIF('Companies'!$A$4:$A$63,A293)=0,"Unknown company",IF(COUNTIF('People'!$A$4:$A$1003,B293)=0,"Email not on People",IF(C293="","Missing position","OK"))))</f>
        <v/>
      </c>
    </row>
    <row r="294">
      <c r="A294" s="26" t="n"/>
      <c r="B294" s="26" t="n"/>
      <c r="C294" s="26" t="n"/>
      <c r="D294" s="28" t="n"/>
      <c r="E294" s="28" t="n"/>
      <c r="F294" s="26" t="n"/>
      <c r="G294" s="30">
        <f>IF(A294="","",IF(COUNTIF('Companies'!$A$4:$A$63,A294)=0,"Unknown company",IF(COUNTIF('People'!$A$4:$A$1003,B294)=0,"Email not on People",IF(C294="","Missing position","OK"))))</f>
        <v/>
      </c>
    </row>
    <row r="295">
      <c r="A295" s="26" t="n"/>
      <c r="B295" s="26" t="n"/>
      <c r="C295" s="26" t="n"/>
      <c r="D295" s="28" t="n"/>
      <c r="E295" s="28" t="n"/>
      <c r="F295" s="26" t="n"/>
      <c r="G295" s="30">
        <f>IF(A295="","",IF(COUNTIF('Companies'!$A$4:$A$63,A295)=0,"Unknown company",IF(COUNTIF('People'!$A$4:$A$1003,B295)=0,"Email not on People",IF(C295="","Missing position","OK"))))</f>
        <v/>
      </c>
    </row>
    <row r="296">
      <c r="A296" s="26" t="n"/>
      <c r="B296" s="26" t="n"/>
      <c r="C296" s="26" t="n"/>
      <c r="D296" s="28" t="n"/>
      <c r="E296" s="28" t="n"/>
      <c r="F296" s="26" t="n"/>
      <c r="G296" s="30">
        <f>IF(A296="","",IF(COUNTIF('Companies'!$A$4:$A$63,A296)=0,"Unknown company",IF(COUNTIF('People'!$A$4:$A$1003,B296)=0,"Email not on People",IF(C296="","Missing position","OK"))))</f>
        <v/>
      </c>
    </row>
    <row r="297">
      <c r="A297" s="26" t="n"/>
      <c r="B297" s="26" t="n"/>
      <c r="C297" s="26" t="n"/>
      <c r="D297" s="28" t="n"/>
      <c r="E297" s="28" t="n"/>
      <c r="F297" s="26" t="n"/>
      <c r="G297" s="30">
        <f>IF(A297="","",IF(COUNTIF('Companies'!$A$4:$A$63,A297)=0,"Unknown company",IF(COUNTIF('People'!$A$4:$A$1003,B297)=0,"Email not on People",IF(C297="","Missing position","OK"))))</f>
        <v/>
      </c>
    </row>
    <row r="298">
      <c r="A298" s="26" t="n"/>
      <c r="B298" s="26" t="n"/>
      <c r="C298" s="26" t="n"/>
      <c r="D298" s="28" t="n"/>
      <c r="E298" s="28" t="n"/>
      <c r="F298" s="26" t="n"/>
      <c r="G298" s="30">
        <f>IF(A298="","",IF(COUNTIF('Companies'!$A$4:$A$63,A298)=0,"Unknown company",IF(COUNTIF('People'!$A$4:$A$1003,B298)=0,"Email not on People",IF(C298="","Missing position","OK"))))</f>
        <v/>
      </c>
    </row>
    <row r="299">
      <c r="A299" s="26" t="n"/>
      <c r="B299" s="26" t="n"/>
      <c r="C299" s="26" t="n"/>
      <c r="D299" s="28" t="n"/>
      <c r="E299" s="28" t="n"/>
      <c r="F299" s="26" t="n"/>
      <c r="G299" s="30">
        <f>IF(A299="","",IF(COUNTIF('Companies'!$A$4:$A$63,A299)=0,"Unknown company",IF(COUNTIF('People'!$A$4:$A$1003,B299)=0,"Email not on People",IF(C299="","Missing position","OK"))))</f>
        <v/>
      </c>
    </row>
    <row r="300">
      <c r="A300" s="26" t="n"/>
      <c r="B300" s="26" t="n"/>
      <c r="C300" s="26" t="n"/>
      <c r="D300" s="28" t="n"/>
      <c r="E300" s="28" t="n"/>
      <c r="F300" s="26" t="n"/>
      <c r="G300" s="30">
        <f>IF(A300="","",IF(COUNTIF('Companies'!$A$4:$A$63,A300)=0,"Unknown company",IF(COUNTIF('People'!$A$4:$A$1003,B300)=0,"Email not on People",IF(C300="","Missing position","OK"))))</f>
        <v/>
      </c>
    </row>
    <row r="301">
      <c r="A301" s="26" t="n"/>
      <c r="B301" s="26" t="n"/>
      <c r="C301" s="26" t="n"/>
      <c r="D301" s="28" t="n"/>
      <c r="E301" s="28" t="n"/>
      <c r="F301" s="26" t="n"/>
      <c r="G301" s="30">
        <f>IF(A301="","",IF(COUNTIF('Companies'!$A$4:$A$63,A301)=0,"Unknown company",IF(COUNTIF('People'!$A$4:$A$1003,B301)=0,"Email not on People",IF(C301="","Missing position","OK"))))</f>
        <v/>
      </c>
    </row>
    <row r="302">
      <c r="A302" s="26" t="n"/>
      <c r="B302" s="26" t="n"/>
      <c r="C302" s="26" t="n"/>
      <c r="D302" s="28" t="n"/>
      <c r="E302" s="28" t="n"/>
      <c r="F302" s="26" t="n"/>
      <c r="G302" s="30">
        <f>IF(A302="","",IF(COUNTIF('Companies'!$A$4:$A$63,A302)=0,"Unknown company",IF(COUNTIF('People'!$A$4:$A$1003,B302)=0,"Email not on People",IF(C302="","Missing position","OK"))))</f>
        <v/>
      </c>
    </row>
    <row r="303">
      <c r="A303" s="26" t="n"/>
      <c r="B303" s="26" t="n"/>
      <c r="C303" s="26" t="n"/>
      <c r="D303" s="28" t="n"/>
      <c r="E303" s="28" t="n"/>
      <c r="F303" s="26" t="n"/>
      <c r="G303" s="30">
        <f>IF(A303="","",IF(COUNTIF('Companies'!$A$4:$A$63,A303)=0,"Unknown company",IF(COUNTIF('People'!$A$4:$A$1003,B303)=0,"Email not on People",IF(C303="","Missing position","OK"))))</f>
        <v/>
      </c>
    </row>
  </sheetData>
  <autoFilter ref="A2:G303"/>
  <conditionalFormatting sqref="G4:G303">
    <cfRule type="expression" priority="1" dxfId="0">
      <formula>AND(G4&lt;&gt;"",G4&lt;&gt;"OK")</formula>
    </cfRule>
  </conditionalFormatting>
  <dataValidations count="1">
    <dataValidation sqref="C4:C303" showDropDown="0" showInputMessage="0" showErrorMessage="1" allowBlank="0" errorTitle="Choose from the list" error="Pick one of: Director, Chair, Company secretary, Observer, Company admin" type="list">
      <formula1>=Lists!$H$2:$H$6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9" customWidth="1" min="3" max="3"/>
    <col width="12" customWidth="1" min="4" max="4"/>
    <col width="20" customWidth="1" min="5" max="5"/>
    <col width="34" customWidth="1" min="6" max="6"/>
    <col width="24" customWidth="1" min="7" max="7"/>
  </cols>
  <sheetData>
    <row r="1">
      <c r="A1" s="9" t="inlineStr">
        <is>
          <t>Reference prices</t>
        </is>
      </c>
      <c r="C1" s="10" t="inlineStr">
        <is>
          <t>Indicative price per share, used for indicative values. One row per class and date.</t>
        </is>
      </c>
    </row>
    <row r="2" ht="32" customHeight="1">
      <c r="A2" s="20" t="inlineStr">
        <is>
          <t>Class code *</t>
        </is>
      </c>
      <c r="B2" s="20" t="inlineStr">
        <is>
          <t>Price per share *</t>
        </is>
      </c>
      <c r="C2" s="20" t="inlineStr">
        <is>
          <t>Currency</t>
        </is>
      </c>
      <c r="D2" s="20" t="inlineStr">
        <is>
          <t>Priced on *</t>
        </is>
      </c>
      <c r="E2" s="20" t="inlineStr">
        <is>
          <t>Source *</t>
        </is>
      </c>
      <c r="F2" s="20" t="inlineStr">
        <is>
          <t>Note</t>
        </is>
      </c>
      <c r="G2" s="21" t="inlineStr">
        <is>
          <t>Check</t>
        </is>
      </c>
    </row>
    <row r="3">
      <c r="A3" s="22" t="inlineStr">
        <is>
          <t>EZF-ORD</t>
        </is>
      </c>
      <c r="B3" s="37" t="n">
        <v>1.2</v>
      </c>
      <c r="C3" s="22" t="inlineStr">
        <is>
          <t>AUD</t>
        </is>
      </c>
      <c r="D3" s="24" t="n">
        <v>46112</v>
      </c>
      <c r="E3" s="22" t="inlineStr">
        <is>
          <t>Capital raise</t>
        </is>
      </c>
      <c r="F3" s="22" t="inlineStr">
        <is>
          <t>Seed round</t>
        </is>
      </c>
      <c r="H3" s="10" t="inlineStr">
        <is>
          <t>← example row, not imported</t>
        </is>
      </c>
    </row>
    <row r="4">
      <c r="A4" s="26" t="n"/>
      <c r="B4" s="38" t="n"/>
      <c r="C4" s="26" t="n"/>
      <c r="D4" s="28" t="n"/>
      <c r="E4" s="26" t="n"/>
      <c r="F4" s="26" t="n"/>
      <c r="G4" s="30">
        <f>IF(A4="","",IF(COUNTIF('Share classes'!$B$4:$B$203,A4)=0,"Unknown class code",IF(OR(B4="",D4="",E4=""),"Missing required field",IF(COUNTIFS($A$4:$A$503,A4,$D$4:$D$503,D4,$E$4:$E$503,E4)&gt;1,"Duplicate price","OK"))))</f>
        <v/>
      </c>
    </row>
    <row r="5">
      <c r="A5" s="26" t="n"/>
      <c r="B5" s="38" t="n"/>
      <c r="C5" s="26" t="n"/>
      <c r="D5" s="28" t="n"/>
      <c r="E5" s="26" t="n"/>
      <c r="F5" s="26" t="n"/>
      <c r="G5" s="30">
        <f>IF(A5="","",IF(COUNTIF('Share classes'!$B$4:$B$203,A5)=0,"Unknown class code",IF(OR(B5="",D5="",E5=""),"Missing required field",IF(COUNTIFS($A$4:$A$503,A5,$D$4:$D$503,D5,$E$4:$E$503,E5)&gt;1,"Duplicate price","OK"))))</f>
        <v/>
      </c>
    </row>
    <row r="6">
      <c r="A6" s="26" t="n"/>
      <c r="B6" s="38" t="n"/>
      <c r="C6" s="26" t="n"/>
      <c r="D6" s="28" t="n"/>
      <c r="E6" s="26" t="n"/>
      <c r="F6" s="26" t="n"/>
      <c r="G6" s="30">
        <f>IF(A6="","",IF(COUNTIF('Share classes'!$B$4:$B$203,A6)=0,"Unknown class code",IF(OR(B6="",D6="",E6=""),"Missing required field",IF(COUNTIFS($A$4:$A$503,A6,$D$4:$D$503,D6,$E$4:$E$503,E6)&gt;1,"Duplicate price","OK"))))</f>
        <v/>
      </c>
    </row>
    <row r="7">
      <c r="A7" s="26" t="n"/>
      <c r="B7" s="38" t="n"/>
      <c r="C7" s="26" t="n"/>
      <c r="D7" s="28" t="n"/>
      <c r="E7" s="26" t="n"/>
      <c r="F7" s="26" t="n"/>
      <c r="G7" s="30">
        <f>IF(A7="","",IF(COUNTIF('Share classes'!$B$4:$B$203,A7)=0,"Unknown class code",IF(OR(B7="",D7="",E7=""),"Missing required field",IF(COUNTIFS($A$4:$A$503,A7,$D$4:$D$503,D7,$E$4:$E$503,E7)&gt;1,"Duplicate price","OK"))))</f>
        <v/>
      </c>
    </row>
    <row r="8">
      <c r="A8" s="26" t="n"/>
      <c r="B8" s="38" t="n"/>
      <c r="C8" s="26" t="n"/>
      <c r="D8" s="28" t="n"/>
      <c r="E8" s="26" t="n"/>
      <c r="F8" s="26" t="n"/>
      <c r="G8" s="30">
        <f>IF(A8="","",IF(COUNTIF('Share classes'!$B$4:$B$203,A8)=0,"Unknown class code",IF(OR(B8="",D8="",E8=""),"Missing required field",IF(COUNTIFS($A$4:$A$503,A8,$D$4:$D$503,D8,$E$4:$E$503,E8)&gt;1,"Duplicate price","OK"))))</f>
        <v/>
      </c>
    </row>
    <row r="9">
      <c r="A9" s="26" t="n"/>
      <c r="B9" s="38" t="n"/>
      <c r="C9" s="26" t="n"/>
      <c r="D9" s="28" t="n"/>
      <c r="E9" s="26" t="n"/>
      <c r="F9" s="26" t="n"/>
      <c r="G9" s="30">
        <f>IF(A9="","",IF(COUNTIF('Share classes'!$B$4:$B$203,A9)=0,"Unknown class code",IF(OR(B9="",D9="",E9=""),"Missing required field",IF(COUNTIFS($A$4:$A$503,A9,$D$4:$D$503,D9,$E$4:$E$503,E9)&gt;1,"Duplicate price","OK"))))</f>
        <v/>
      </c>
    </row>
    <row r="10">
      <c r="A10" s="26" t="n"/>
      <c r="B10" s="38" t="n"/>
      <c r="C10" s="26" t="n"/>
      <c r="D10" s="28" t="n"/>
      <c r="E10" s="26" t="n"/>
      <c r="F10" s="26" t="n"/>
      <c r="G10" s="30">
        <f>IF(A10="","",IF(COUNTIF('Share classes'!$B$4:$B$203,A10)=0,"Unknown class code",IF(OR(B10="",D10="",E10=""),"Missing required field",IF(COUNTIFS($A$4:$A$503,A10,$D$4:$D$503,D10,$E$4:$E$503,E10)&gt;1,"Duplicate price","OK"))))</f>
        <v/>
      </c>
    </row>
    <row r="11">
      <c r="A11" s="26" t="n"/>
      <c r="B11" s="38" t="n"/>
      <c r="C11" s="26" t="n"/>
      <c r="D11" s="28" t="n"/>
      <c r="E11" s="26" t="n"/>
      <c r="F11" s="26" t="n"/>
      <c r="G11" s="30">
        <f>IF(A11="","",IF(COUNTIF('Share classes'!$B$4:$B$203,A11)=0,"Unknown class code",IF(OR(B11="",D11="",E11=""),"Missing required field",IF(COUNTIFS($A$4:$A$503,A11,$D$4:$D$503,D11,$E$4:$E$503,E11)&gt;1,"Duplicate price","OK"))))</f>
        <v/>
      </c>
    </row>
    <row r="12">
      <c r="A12" s="26" t="n"/>
      <c r="B12" s="38" t="n"/>
      <c r="C12" s="26" t="n"/>
      <c r="D12" s="28" t="n"/>
      <c r="E12" s="26" t="n"/>
      <c r="F12" s="26" t="n"/>
      <c r="G12" s="30">
        <f>IF(A12="","",IF(COUNTIF('Share classes'!$B$4:$B$203,A12)=0,"Unknown class code",IF(OR(B12="",D12="",E12=""),"Missing required field",IF(COUNTIFS($A$4:$A$503,A12,$D$4:$D$503,D12,$E$4:$E$503,E12)&gt;1,"Duplicate price","OK"))))</f>
        <v/>
      </c>
    </row>
    <row r="13">
      <c r="A13" s="26" t="n"/>
      <c r="B13" s="38" t="n"/>
      <c r="C13" s="26" t="n"/>
      <c r="D13" s="28" t="n"/>
      <c r="E13" s="26" t="n"/>
      <c r="F13" s="26" t="n"/>
      <c r="G13" s="30">
        <f>IF(A13="","",IF(COUNTIF('Share classes'!$B$4:$B$203,A13)=0,"Unknown class code",IF(OR(B13="",D13="",E13=""),"Missing required field",IF(COUNTIFS($A$4:$A$503,A13,$D$4:$D$503,D13,$E$4:$E$503,E13)&gt;1,"Duplicate price","OK"))))</f>
        <v/>
      </c>
    </row>
    <row r="14">
      <c r="A14" s="26" t="n"/>
      <c r="B14" s="38" t="n"/>
      <c r="C14" s="26" t="n"/>
      <c r="D14" s="28" t="n"/>
      <c r="E14" s="26" t="n"/>
      <c r="F14" s="26" t="n"/>
      <c r="G14" s="30">
        <f>IF(A14="","",IF(COUNTIF('Share classes'!$B$4:$B$203,A14)=0,"Unknown class code",IF(OR(B14="",D14="",E14=""),"Missing required field",IF(COUNTIFS($A$4:$A$503,A14,$D$4:$D$503,D14,$E$4:$E$503,E14)&gt;1,"Duplicate price","OK"))))</f>
        <v/>
      </c>
    </row>
    <row r="15">
      <c r="A15" s="26" t="n"/>
      <c r="B15" s="38" t="n"/>
      <c r="C15" s="26" t="n"/>
      <c r="D15" s="28" t="n"/>
      <c r="E15" s="26" t="n"/>
      <c r="F15" s="26" t="n"/>
      <c r="G15" s="30">
        <f>IF(A15="","",IF(COUNTIF('Share classes'!$B$4:$B$203,A15)=0,"Unknown class code",IF(OR(B15="",D15="",E15=""),"Missing required field",IF(COUNTIFS($A$4:$A$503,A15,$D$4:$D$503,D15,$E$4:$E$503,E15)&gt;1,"Duplicate price","OK"))))</f>
        <v/>
      </c>
    </row>
    <row r="16">
      <c r="A16" s="26" t="n"/>
      <c r="B16" s="38" t="n"/>
      <c r="C16" s="26" t="n"/>
      <c r="D16" s="28" t="n"/>
      <c r="E16" s="26" t="n"/>
      <c r="F16" s="26" t="n"/>
      <c r="G16" s="30">
        <f>IF(A16="","",IF(COUNTIF('Share classes'!$B$4:$B$203,A16)=0,"Unknown class code",IF(OR(B16="",D16="",E16=""),"Missing required field",IF(COUNTIFS($A$4:$A$503,A16,$D$4:$D$503,D16,$E$4:$E$503,E16)&gt;1,"Duplicate price","OK"))))</f>
        <v/>
      </c>
    </row>
    <row r="17">
      <c r="A17" s="26" t="n"/>
      <c r="B17" s="38" t="n"/>
      <c r="C17" s="26" t="n"/>
      <c r="D17" s="28" t="n"/>
      <c r="E17" s="26" t="n"/>
      <c r="F17" s="26" t="n"/>
      <c r="G17" s="30">
        <f>IF(A17="","",IF(COUNTIF('Share classes'!$B$4:$B$203,A17)=0,"Unknown class code",IF(OR(B17="",D17="",E17=""),"Missing required field",IF(COUNTIFS($A$4:$A$503,A17,$D$4:$D$503,D17,$E$4:$E$503,E17)&gt;1,"Duplicate price","OK"))))</f>
        <v/>
      </c>
    </row>
    <row r="18">
      <c r="A18" s="26" t="n"/>
      <c r="B18" s="38" t="n"/>
      <c r="C18" s="26" t="n"/>
      <c r="D18" s="28" t="n"/>
      <c r="E18" s="26" t="n"/>
      <c r="F18" s="26" t="n"/>
      <c r="G18" s="30">
        <f>IF(A18="","",IF(COUNTIF('Share classes'!$B$4:$B$203,A18)=0,"Unknown class code",IF(OR(B18="",D18="",E18=""),"Missing required field",IF(COUNTIFS($A$4:$A$503,A18,$D$4:$D$503,D18,$E$4:$E$503,E18)&gt;1,"Duplicate price","OK"))))</f>
        <v/>
      </c>
    </row>
    <row r="19">
      <c r="A19" s="26" t="n"/>
      <c r="B19" s="38" t="n"/>
      <c r="C19" s="26" t="n"/>
      <c r="D19" s="28" t="n"/>
      <c r="E19" s="26" t="n"/>
      <c r="F19" s="26" t="n"/>
      <c r="G19" s="30">
        <f>IF(A19="","",IF(COUNTIF('Share classes'!$B$4:$B$203,A19)=0,"Unknown class code",IF(OR(B19="",D19="",E19=""),"Missing required field",IF(COUNTIFS($A$4:$A$503,A19,$D$4:$D$503,D19,$E$4:$E$503,E19)&gt;1,"Duplicate price","OK"))))</f>
        <v/>
      </c>
    </row>
    <row r="20">
      <c r="A20" s="26" t="n"/>
      <c r="B20" s="38" t="n"/>
      <c r="C20" s="26" t="n"/>
      <c r="D20" s="28" t="n"/>
      <c r="E20" s="26" t="n"/>
      <c r="F20" s="26" t="n"/>
      <c r="G20" s="30">
        <f>IF(A20="","",IF(COUNTIF('Share classes'!$B$4:$B$203,A20)=0,"Unknown class code",IF(OR(B20="",D20="",E20=""),"Missing required field",IF(COUNTIFS($A$4:$A$503,A20,$D$4:$D$503,D20,$E$4:$E$503,E20)&gt;1,"Duplicate price","OK"))))</f>
        <v/>
      </c>
    </row>
    <row r="21">
      <c r="A21" s="26" t="n"/>
      <c r="B21" s="38" t="n"/>
      <c r="C21" s="26" t="n"/>
      <c r="D21" s="28" t="n"/>
      <c r="E21" s="26" t="n"/>
      <c r="F21" s="26" t="n"/>
      <c r="G21" s="30">
        <f>IF(A21="","",IF(COUNTIF('Share classes'!$B$4:$B$203,A21)=0,"Unknown class code",IF(OR(B21="",D21="",E21=""),"Missing required field",IF(COUNTIFS($A$4:$A$503,A21,$D$4:$D$503,D21,$E$4:$E$503,E21)&gt;1,"Duplicate price","OK"))))</f>
        <v/>
      </c>
    </row>
    <row r="22">
      <c r="A22" s="26" t="n"/>
      <c r="B22" s="38" t="n"/>
      <c r="C22" s="26" t="n"/>
      <c r="D22" s="28" t="n"/>
      <c r="E22" s="26" t="n"/>
      <c r="F22" s="26" t="n"/>
      <c r="G22" s="30">
        <f>IF(A22="","",IF(COUNTIF('Share classes'!$B$4:$B$203,A22)=0,"Unknown class code",IF(OR(B22="",D22="",E22=""),"Missing required field",IF(COUNTIFS($A$4:$A$503,A22,$D$4:$D$503,D22,$E$4:$E$503,E22)&gt;1,"Duplicate price","OK"))))</f>
        <v/>
      </c>
    </row>
    <row r="23">
      <c r="A23" s="26" t="n"/>
      <c r="B23" s="38" t="n"/>
      <c r="C23" s="26" t="n"/>
      <c r="D23" s="28" t="n"/>
      <c r="E23" s="26" t="n"/>
      <c r="F23" s="26" t="n"/>
      <c r="G23" s="30">
        <f>IF(A23="","",IF(COUNTIF('Share classes'!$B$4:$B$203,A23)=0,"Unknown class code",IF(OR(B23="",D23="",E23=""),"Missing required field",IF(COUNTIFS($A$4:$A$503,A23,$D$4:$D$503,D23,$E$4:$E$503,E23)&gt;1,"Duplicate price","OK"))))</f>
        <v/>
      </c>
    </row>
    <row r="24">
      <c r="A24" s="26" t="n"/>
      <c r="B24" s="38" t="n"/>
      <c r="C24" s="26" t="n"/>
      <c r="D24" s="28" t="n"/>
      <c r="E24" s="26" t="n"/>
      <c r="F24" s="26" t="n"/>
      <c r="G24" s="30">
        <f>IF(A24="","",IF(COUNTIF('Share classes'!$B$4:$B$203,A24)=0,"Unknown class code",IF(OR(B24="",D24="",E24=""),"Missing required field",IF(COUNTIFS($A$4:$A$503,A24,$D$4:$D$503,D24,$E$4:$E$503,E24)&gt;1,"Duplicate price","OK"))))</f>
        <v/>
      </c>
    </row>
    <row r="25">
      <c r="A25" s="26" t="n"/>
      <c r="B25" s="38" t="n"/>
      <c r="C25" s="26" t="n"/>
      <c r="D25" s="28" t="n"/>
      <c r="E25" s="26" t="n"/>
      <c r="F25" s="26" t="n"/>
      <c r="G25" s="30">
        <f>IF(A25="","",IF(COUNTIF('Share classes'!$B$4:$B$203,A25)=0,"Unknown class code",IF(OR(B25="",D25="",E25=""),"Missing required field",IF(COUNTIFS($A$4:$A$503,A25,$D$4:$D$503,D25,$E$4:$E$503,E25)&gt;1,"Duplicate price","OK"))))</f>
        <v/>
      </c>
    </row>
    <row r="26">
      <c r="A26" s="26" t="n"/>
      <c r="B26" s="38" t="n"/>
      <c r="C26" s="26" t="n"/>
      <c r="D26" s="28" t="n"/>
      <c r="E26" s="26" t="n"/>
      <c r="F26" s="26" t="n"/>
      <c r="G26" s="30">
        <f>IF(A26="","",IF(COUNTIF('Share classes'!$B$4:$B$203,A26)=0,"Unknown class code",IF(OR(B26="",D26="",E26=""),"Missing required field",IF(COUNTIFS($A$4:$A$503,A26,$D$4:$D$503,D26,$E$4:$E$503,E26)&gt;1,"Duplicate price","OK"))))</f>
        <v/>
      </c>
    </row>
    <row r="27">
      <c r="A27" s="26" t="n"/>
      <c r="B27" s="38" t="n"/>
      <c r="C27" s="26" t="n"/>
      <c r="D27" s="28" t="n"/>
      <c r="E27" s="26" t="n"/>
      <c r="F27" s="26" t="n"/>
      <c r="G27" s="30">
        <f>IF(A27="","",IF(COUNTIF('Share classes'!$B$4:$B$203,A27)=0,"Unknown class code",IF(OR(B27="",D27="",E27=""),"Missing required field",IF(COUNTIFS($A$4:$A$503,A27,$D$4:$D$503,D27,$E$4:$E$503,E27)&gt;1,"Duplicate price","OK"))))</f>
        <v/>
      </c>
    </row>
    <row r="28">
      <c r="A28" s="26" t="n"/>
      <c r="B28" s="38" t="n"/>
      <c r="C28" s="26" t="n"/>
      <c r="D28" s="28" t="n"/>
      <c r="E28" s="26" t="n"/>
      <c r="F28" s="26" t="n"/>
      <c r="G28" s="30">
        <f>IF(A28="","",IF(COUNTIF('Share classes'!$B$4:$B$203,A28)=0,"Unknown class code",IF(OR(B28="",D28="",E28=""),"Missing required field",IF(COUNTIFS($A$4:$A$503,A28,$D$4:$D$503,D28,$E$4:$E$503,E28)&gt;1,"Duplicate price","OK"))))</f>
        <v/>
      </c>
    </row>
    <row r="29">
      <c r="A29" s="26" t="n"/>
      <c r="B29" s="38" t="n"/>
      <c r="C29" s="26" t="n"/>
      <c r="D29" s="28" t="n"/>
      <c r="E29" s="26" t="n"/>
      <c r="F29" s="26" t="n"/>
      <c r="G29" s="30">
        <f>IF(A29="","",IF(COUNTIF('Share classes'!$B$4:$B$203,A29)=0,"Unknown class code",IF(OR(B29="",D29="",E29=""),"Missing required field",IF(COUNTIFS($A$4:$A$503,A29,$D$4:$D$503,D29,$E$4:$E$503,E29)&gt;1,"Duplicate price","OK"))))</f>
        <v/>
      </c>
    </row>
    <row r="30">
      <c r="A30" s="26" t="n"/>
      <c r="B30" s="38" t="n"/>
      <c r="C30" s="26" t="n"/>
      <c r="D30" s="28" t="n"/>
      <c r="E30" s="26" t="n"/>
      <c r="F30" s="26" t="n"/>
      <c r="G30" s="30">
        <f>IF(A30="","",IF(COUNTIF('Share classes'!$B$4:$B$203,A30)=0,"Unknown class code",IF(OR(B30="",D30="",E30=""),"Missing required field",IF(COUNTIFS($A$4:$A$503,A30,$D$4:$D$503,D30,$E$4:$E$503,E30)&gt;1,"Duplicate price","OK"))))</f>
        <v/>
      </c>
    </row>
    <row r="31">
      <c r="A31" s="26" t="n"/>
      <c r="B31" s="38" t="n"/>
      <c r="C31" s="26" t="n"/>
      <c r="D31" s="28" t="n"/>
      <c r="E31" s="26" t="n"/>
      <c r="F31" s="26" t="n"/>
      <c r="G31" s="30">
        <f>IF(A31="","",IF(COUNTIF('Share classes'!$B$4:$B$203,A31)=0,"Unknown class code",IF(OR(B31="",D31="",E31=""),"Missing required field",IF(COUNTIFS($A$4:$A$503,A31,$D$4:$D$503,D31,$E$4:$E$503,E31)&gt;1,"Duplicate price","OK"))))</f>
        <v/>
      </c>
    </row>
    <row r="32">
      <c r="A32" s="26" t="n"/>
      <c r="B32" s="38" t="n"/>
      <c r="C32" s="26" t="n"/>
      <c r="D32" s="28" t="n"/>
      <c r="E32" s="26" t="n"/>
      <c r="F32" s="26" t="n"/>
      <c r="G32" s="30">
        <f>IF(A32="","",IF(COUNTIF('Share classes'!$B$4:$B$203,A32)=0,"Unknown class code",IF(OR(B32="",D32="",E32=""),"Missing required field",IF(COUNTIFS($A$4:$A$503,A32,$D$4:$D$503,D32,$E$4:$E$503,E32)&gt;1,"Duplicate price","OK"))))</f>
        <v/>
      </c>
    </row>
    <row r="33">
      <c r="A33" s="26" t="n"/>
      <c r="B33" s="38" t="n"/>
      <c r="C33" s="26" t="n"/>
      <c r="D33" s="28" t="n"/>
      <c r="E33" s="26" t="n"/>
      <c r="F33" s="26" t="n"/>
      <c r="G33" s="30">
        <f>IF(A33="","",IF(COUNTIF('Share classes'!$B$4:$B$203,A33)=0,"Unknown class code",IF(OR(B33="",D33="",E33=""),"Missing required field",IF(COUNTIFS($A$4:$A$503,A33,$D$4:$D$503,D33,$E$4:$E$503,E33)&gt;1,"Duplicate price","OK"))))</f>
        <v/>
      </c>
    </row>
    <row r="34">
      <c r="A34" s="26" t="n"/>
      <c r="B34" s="38" t="n"/>
      <c r="C34" s="26" t="n"/>
      <c r="D34" s="28" t="n"/>
      <c r="E34" s="26" t="n"/>
      <c r="F34" s="26" t="n"/>
      <c r="G34" s="30">
        <f>IF(A34="","",IF(COUNTIF('Share classes'!$B$4:$B$203,A34)=0,"Unknown class code",IF(OR(B34="",D34="",E34=""),"Missing required field",IF(COUNTIFS($A$4:$A$503,A34,$D$4:$D$503,D34,$E$4:$E$503,E34)&gt;1,"Duplicate price","OK"))))</f>
        <v/>
      </c>
    </row>
    <row r="35">
      <c r="A35" s="26" t="n"/>
      <c r="B35" s="38" t="n"/>
      <c r="C35" s="26" t="n"/>
      <c r="D35" s="28" t="n"/>
      <c r="E35" s="26" t="n"/>
      <c r="F35" s="26" t="n"/>
      <c r="G35" s="30">
        <f>IF(A35="","",IF(COUNTIF('Share classes'!$B$4:$B$203,A35)=0,"Unknown class code",IF(OR(B35="",D35="",E35=""),"Missing required field",IF(COUNTIFS($A$4:$A$503,A35,$D$4:$D$503,D35,$E$4:$E$503,E35)&gt;1,"Duplicate price","OK"))))</f>
        <v/>
      </c>
    </row>
    <row r="36">
      <c r="A36" s="26" t="n"/>
      <c r="B36" s="38" t="n"/>
      <c r="C36" s="26" t="n"/>
      <c r="D36" s="28" t="n"/>
      <c r="E36" s="26" t="n"/>
      <c r="F36" s="26" t="n"/>
      <c r="G36" s="30">
        <f>IF(A36="","",IF(COUNTIF('Share classes'!$B$4:$B$203,A36)=0,"Unknown class code",IF(OR(B36="",D36="",E36=""),"Missing required field",IF(COUNTIFS($A$4:$A$503,A36,$D$4:$D$503,D36,$E$4:$E$503,E36)&gt;1,"Duplicate price","OK"))))</f>
        <v/>
      </c>
    </row>
    <row r="37">
      <c r="A37" s="26" t="n"/>
      <c r="B37" s="38" t="n"/>
      <c r="C37" s="26" t="n"/>
      <c r="D37" s="28" t="n"/>
      <c r="E37" s="26" t="n"/>
      <c r="F37" s="26" t="n"/>
      <c r="G37" s="30">
        <f>IF(A37="","",IF(COUNTIF('Share classes'!$B$4:$B$203,A37)=0,"Unknown class code",IF(OR(B37="",D37="",E37=""),"Missing required field",IF(COUNTIFS($A$4:$A$503,A37,$D$4:$D$503,D37,$E$4:$E$503,E37)&gt;1,"Duplicate price","OK"))))</f>
        <v/>
      </c>
    </row>
    <row r="38">
      <c r="A38" s="26" t="n"/>
      <c r="B38" s="38" t="n"/>
      <c r="C38" s="26" t="n"/>
      <c r="D38" s="28" t="n"/>
      <c r="E38" s="26" t="n"/>
      <c r="F38" s="26" t="n"/>
      <c r="G38" s="30">
        <f>IF(A38="","",IF(COUNTIF('Share classes'!$B$4:$B$203,A38)=0,"Unknown class code",IF(OR(B38="",D38="",E38=""),"Missing required field",IF(COUNTIFS($A$4:$A$503,A38,$D$4:$D$503,D38,$E$4:$E$503,E38)&gt;1,"Duplicate price","OK"))))</f>
        <v/>
      </c>
    </row>
    <row r="39">
      <c r="A39" s="26" t="n"/>
      <c r="B39" s="38" t="n"/>
      <c r="C39" s="26" t="n"/>
      <c r="D39" s="28" t="n"/>
      <c r="E39" s="26" t="n"/>
      <c r="F39" s="26" t="n"/>
      <c r="G39" s="30">
        <f>IF(A39="","",IF(COUNTIF('Share classes'!$B$4:$B$203,A39)=0,"Unknown class code",IF(OR(B39="",D39="",E39=""),"Missing required field",IF(COUNTIFS($A$4:$A$503,A39,$D$4:$D$503,D39,$E$4:$E$503,E39)&gt;1,"Duplicate price","OK"))))</f>
        <v/>
      </c>
    </row>
    <row r="40">
      <c r="A40" s="26" t="n"/>
      <c r="B40" s="38" t="n"/>
      <c r="C40" s="26" t="n"/>
      <c r="D40" s="28" t="n"/>
      <c r="E40" s="26" t="n"/>
      <c r="F40" s="26" t="n"/>
      <c r="G40" s="30">
        <f>IF(A40="","",IF(COUNTIF('Share classes'!$B$4:$B$203,A40)=0,"Unknown class code",IF(OR(B40="",D40="",E40=""),"Missing required field",IF(COUNTIFS($A$4:$A$503,A40,$D$4:$D$503,D40,$E$4:$E$503,E40)&gt;1,"Duplicate price","OK"))))</f>
        <v/>
      </c>
    </row>
    <row r="41">
      <c r="A41" s="26" t="n"/>
      <c r="B41" s="38" t="n"/>
      <c r="C41" s="26" t="n"/>
      <c r="D41" s="28" t="n"/>
      <c r="E41" s="26" t="n"/>
      <c r="F41" s="26" t="n"/>
      <c r="G41" s="30">
        <f>IF(A41="","",IF(COUNTIF('Share classes'!$B$4:$B$203,A41)=0,"Unknown class code",IF(OR(B41="",D41="",E41=""),"Missing required field",IF(COUNTIFS($A$4:$A$503,A41,$D$4:$D$503,D41,$E$4:$E$503,E41)&gt;1,"Duplicate price","OK"))))</f>
        <v/>
      </c>
    </row>
    <row r="42">
      <c r="A42" s="26" t="n"/>
      <c r="B42" s="38" t="n"/>
      <c r="C42" s="26" t="n"/>
      <c r="D42" s="28" t="n"/>
      <c r="E42" s="26" t="n"/>
      <c r="F42" s="26" t="n"/>
      <c r="G42" s="30">
        <f>IF(A42="","",IF(COUNTIF('Share classes'!$B$4:$B$203,A42)=0,"Unknown class code",IF(OR(B42="",D42="",E42=""),"Missing required field",IF(COUNTIFS($A$4:$A$503,A42,$D$4:$D$503,D42,$E$4:$E$503,E42)&gt;1,"Duplicate price","OK"))))</f>
        <v/>
      </c>
    </row>
    <row r="43">
      <c r="A43" s="26" t="n"/>
      <c r="B43" s="38" t="n"/>
      <c r="C43" s="26" t="n"/>
      <c r="D43" s="28" t="n"/>
      <c r="E43" s="26" t="n"/>
      <c r="F43" s="26" t="n"/>
      <c r="G43" s="30">
        <f>IF(A43="","",IF(COUNTIF('Share classes'!$B$4:$B$203,A43)=0,"Unknown class code",IF(OR(B43="",D43="",E43=""),"Missing required field",IF(COUNTIFS($A$4:$A$503,A43,$D$4:$D$503,D43,$E$4:$E$503,E43)&gt;1,"Duplicate price","OK"))))</f>
        <v/>
      </c>
    </row>
    <row r="44">
      <c r="A44" s="26" t="n"/>
      <c r="B44" s="38" t="n"/>
      <c r="C44" s="26" t="n"/>
      <c r="D44" s="28" t="n"/>
      <c r="E44" s="26" t="n"/>
      <c r="F44" s="26" t="n"/>
      <c r="G44" s="30">
        <f>IF(A44="","",IF(COUNTIF('Share classes'!$B$4:$B$203,A44)=0,"Unknown class code",IF(OR(B44="",D44="",E44=""),"Missing required field",IF(COUNTIFS($A$4:$A$503,A44,$D$4:$D$503,D44,$E$4:$E$503,E44)&gt;1,"Duplicate price","OK"))))</f>
        <v/>
      </c>
    </row>
    <row r="45">
      <c r="A45" s="26" t="n"/>
      <c r="B45" s="38" t="n"/>
      <c r="C45" s="26" t="n"/>
      <c r="D45" s="28" t="n"/>
      <c r="E45" s="26" t="n"/>
      <c r="F45" s="26" t="n"/>
      <c r="G45" s="30">
        <f>IF(A45="","",IF(COUNTIF('Share classes'!$B$4:$B$203,A45)=0,"Unknown class code",IF(OR(B45="",D45="",E45=""),"Missing required field",IF(COUNTIFS($A$4:$A$503,A45,$D$4:$D$503,D45,$E$4:$E$503,E45)&gt;1,"Duplicate price","OK"))))</f>
        <v/>
      </c>
    </row>
    <row r="46">
      <c r="A46" s="26" t="n"/>
      <c r="B46" s="38" t="n"/>
      <c r="C46" s="26" t="n"/>
      <c r="D46" s="28" t="n"/>
      <c r="E46" s="26" t="n"/>
      <c r="F46" s="26" t="n"/>
      <c r="G46" s="30">
        <f>IF(A46="","",IF(COUNTIF('Share classes'!$B$4:$B$203,A46)=0,"Unknown class code",IF(OR(B46="",D46="",E46=""),"Missing required field",IF(COUNTIFS($A$4:$A$503,A46,$D$4:$D$503,D46,$E$4:$E$503,E46)&gt;1,"Duplicate price","OK"))))</f>
        <v/>
      </c>
    </row>
    <row r="47">
      <c r="A47" s="26" t="n"/>
      <c r="B47" s="38" t="n"/>
      <c r="C47" s="26" t="n"/>
      <c r="D47" s="28" t="n"/>
      <c r="E47" s="26" t="n"/>
      <c r="F47" s="26" t="n"/>
      <c r="G47" s="30">
        <f>IF(A47="","",IF(COUNTIF('Share classes'!$B$4:$B$203,A47)=0,"Unknown class code",IF(OR(B47="",D47="",E47=""),"Missing required field",IF(COUNTIFS($A$4:$A$503,A47,$D$4:$D$503,D47,$E$4:$E$503,E47)&gt;1,"Duplicate price","OK"))))</f>
        <v/>
      </c>
    </row>
    <row r="48">
      <c r="A48" s="26" t="n"/>
      <c r="B48" s="38" t="n"/>
      <c r="C48" s="26" t="n"/>
      <c r="D48" s="28" t="n"/>
      <c r="E48" s="26" t="n"/>
      <c r="F48" s="26" t="n"/>
      <c r="G48" s="30">
        <f>IF(A48="","",IF(COUNTIF('Share classes'!$B$4:$B$203,A48)=0,"Unknown class code",IF(OR(B48="",D48="",E48=""),"Missing required field",IF(COUNTIFS($A$4:$A$503,A48,$D$4:$D$503,D48,$E$4:$E$503,E48)&gt;1,"Duplicate price","OK"))))</f>
        <v/>
      </c>
    </row>
    <row r="49">
      <c r="A49" s="26" t="n"/>
      <c r="B49" s="38" t="n"/>
      <c r="C49" s="26" t="n"/>
      <c r="D49" s="28" t="n"/>
      <c r="E49" s="26" t="n"/>
      <c r="F49" s="26" t="n"/>
      <c r="G49" s="30">
        <f>IF(A49="","",IF(COUNTIF('Share classes'!$B$4:$B$203,A49)=0,"Unknown class code",IF(OR(B49="",D49="",E49=""),"Missing required field",IF(COUNTIFS($A$4:$A$503,A49,$D$4:$D$503,D49,$E$4:$E$503,E49)&gt;1,"Duplicate price","OK"))))</f>
        <v/>
      </c>
    </row>
    <row r="50">
      <c r="A50" s="26" t="n"/>
      <c r="B50" s="38" t="n"/>
      <c r="C50" s="26" t="n"/>
      <c r="D50" s="28" t="n"/>
      <c r="E50" s="26" t="n"/>
      <c r="F50" s="26" t="n"/>
      <c r="G50" s="30">
        <f>IF(A50="","",IF(COUNTIF('Share classes'!$B$4:$B$203,A50)=0,"Unknown class code",IF(OR(B50="",D50="",E50=""),"Missing required field",IF(COUNTIFS($A$4:$A$503,A50,$D$4:$D$503,D50,$E$4:$E$503,E50)&gt;1,"Duplicate price","OK"))))</f>
        <v/>
      </c>
    </row>
    <row r="51">
      <c r="A51" s="26" t="n"/>
      <c r="B51" s="38" t="n"/>
      <c r="C51" s="26" t="n"/>
      <c r="D51" s="28" t="n"/>
      <c r="E51" s="26" t="n"/>
      <c r="F51" s="26" t="n"/>
      <c r="G51" s="30">
        <f>IF(A51="","",IF(COUNTIF('Share classes'!$B$4:$B$203,A51)=0,"Unknown class code",IF(OR(B51="",D51="",E51=""),"Missing required field",IF(COUNTIFS($A$4:$A$503,A51,$D$4:$D$503,D51,$E$4:$E$503,E51)&gt;1,"Duplicate price","OK"))))</f>
        <v/>
      </c>
    </row>
    <row r="52">
      <c r="A52" s="26" t="n"/>
      <c r="B52" s="38" t="n"/>
      <c r="C52" s="26" t="n"/>
      <c r="D52" s="28" t="n"/>
      <c r="E52" s="26" t="n"/>
      <c r="F52" s="26" t="n"/>
      <c r="G52" s="30">
        <f>IF(A52="","",IF(COUNTIF('Share classes'!$B$4:$B$203,A52)=0,"Unknown class code",IF(OR(B52="",D52="",E52=""),"Missing required field",IF(COUNTIFS($A$4:$A$503,A52,$D$4:$D$503,D52,$E$4:$E$503,E52)&gt;1,"Duplicate price","OK"))))</f>
        <v/>
      </c>
    </row>
    <row r="53">
      <c r="A53" s="26" t="n"/>
      <c r="B53" s="38" t="n"/>
      <c r="C53" s="26" t="n"/>
      <c r="D53" s="28" t="n"/>
      <c r="E53" s="26" t="n"/>
      <c r="F53" s="26" t="n"/>
      <c r="G53" s="30">
        <f>IF(A53="","",IF(COUNTIF('Share classes'!$B$4:$B$203,A53)=0,"Unknown class code",IF(OR(B53="",D53="",E53=""),"Missing required field",IF(COUNTIFS($A$4:$A$503,A53,$D$4:$D$503,D53,$E$4:$E$503,E53)&gt;1,"Duplicate price","OK"))))</f>
        <v/>
      </c>
    </row>
    <row r="54">
      <c r="A54" s="26" t="n"/>
      <c r="B54" s="38" t="n"/>
      <c r="C54" s="26" t="n"/>
      <c r="D54" s="28" t="n"/>
      <c r="E54" s="26" t="n"/>
      <c r="F54" s="26" t="n"/>
      <c r="G54" s="30">
        <f>IF(A54="","",IF(COUNTIF('Share classes'!$B$4:$B$203,A54)=0,"Unknown class code",IF(OR(B54="",D54="",E54=""),"Missing required field",IF(COUNTIFS($A$4:$A$503,A54,$D$4:$D$503,D54,$E$4:$E$503,E54)&gt;1,"Duplicate price","OK"))))</f>
        <v/>
      </c>
    </row>
    <row r="55">
      <c r="A55" s="26" t="n"/>
      <c r="B55" s="38" t="n"/>
      <c r="C55" s="26" t="n"/>
      <c r="D55" s="28" t="n"/>
      <c r="E55" s="26" t="n"/>
      <c r="F55" s="26" t="n"/>
      <c r="G55" s="30">
        <f>IF(A55="","",IF(COUNTIF('Share classes'!$B$4:$B$203,A55)=0,"Unknown class code",IF(OR(B55="",D55="",E55=""),"Missing required field",IF(COUNTIFS($A$4:$A$503,A55,$D$4:$D$503,D55,$E$4:$E$503,E55)&gt;1,"Duplicate price","OK"))))</f>
        <v/>
      </c>
    </row>
    <row r="56">
      <c r="A56" s="26" t="n"/>
      <c r="B56" s="38" t="n"/>
      <c r="C56" s="26" t="n"/>
      <c r="D56" s="28" t="n"/>
      <c r="E56" s="26" t="n"/>
      <c r="F56" s="26" t="n"/>
      <c r="G56" s="30">
        <f>IF(A56="","",IF(COUNTIF('Share classes'!$B$4:$B$203,A56)=0,"Unknown class code",IF(OR(B56="",D56="",E56=""),"Missing required field",IF(COUNTIFS($A$4:$A$503,A56,$D$4:$D$503,D56,$E$4:$E$503,E56)&gt;1,"Duplicate price","OK"))))</f>
        <v/>
      </c>
    </row>
    <row r="57">
      <c r="A57" s="26" t="n"/>
      <c r="B57" s="38" t="n"/>
      <c r="C57" s="26" t="n"/>
      <c r="D57" s="28" t="n"/>
      <c r="E57" s="26" t="n"/>
      <c r="F57" s="26" t="n"/>
      <c r="G57" s="30">
        <f>IF(A57="","",IF(COUNTIF('Share classes'!$B$4:$B$203,A57)=0,"Unknown class code",IF(OR(B57="",D57="",E57=""),"Missing required field",IF(COUNTIFS($A$4:$A$503,A57,$D$4:$D$503,D57,$E$4:$E$503,E57)&gt;1,"Duplicate price","OK"))))</f>
        <v/>
      </c>
    </row>
    <row r="58">
      <c r="A58" s="26" t="n"/>
      <c r="B58" s="38" t="n"/>
      <c r="C58" s="26" t="n"/>
      <c r="D58" s="28" t="n"/>
      <c r="E58" s="26" t="n"/>
      <c r="F58" s="26" t="n"/>
      <c r="G58" s="30">
        <f>IF(A58="","",IF(COUNTIF('Share classes'!$B$4:$B$203,A58)=0,"Unknown class code",IF(OR(B58="",D58="",E58=""),"Missing required field",IF(COUNTIFS($A$4:$A$503,A58,$D$4:$D$503,D58,$E$4:$E$503,E58)&gt;1,"Duplicate price","OK"))))</f>
        <v/>
      </c>
    </row>
    <row r="59">
      <c r="A59" s="26" t="n"/>
      <c r="B59" s="38" t="n"/>
      <c r="C59" s="26" t="n"/>
      <c r="D59" s="28" t="n"/>
      <c r="E59" s="26" t="n"/>
      <c r="F59" s="26" t="n"/>
      <c r="G59" s="30">
        <f>IF(A59="","",IF(COUNTIF('Share classes'!$B$4:$B$203,A59)=0,"Unknown class code",IF(OR(B59="",D59="",E59=""),"Missing required field",IF(COUNTIFS($A$4:$A$503,A59,$D$4:$D$503,D59,$E$4:$E$503,E59)&gt;1,"Duplicate price","OK"))))</f>
        <v/>
      </c>
    </row>
    <row r="60">
      <c r="A60" s="26" t="n"/>
      <c r="B60" s="38" t="n"/>
      <c r="C60" s="26" t="n"/>
      <c r="D60" s="28" t="n"/>
      <c r="E60" s="26" t="n"/>
      <c r="F60" s="26" t="n"/>
      <c r="G60" s="30">
        <f>IF(A60="","",IF(COUNTIF('Share classes'!$B$4:$B$203,A60)=0,"Unknown class code",IF(OR(B60="",D60="",E60=""),"Missing required field",IF(COUNTIFS($A$4:$A$503,A60,$D$4:$D$503,D60,$E$4:$E$503,E60)&gt;1,"Duplicate price","OK"))))</f>
        <v/>
      </c>
    </row>
    <row r="61">
      <c r="A61" s="26" t="n"/>
      <c r="B61" s="38" t="n"/>
      <c r="C61" s="26" t="n"/>
      <c r="D61" s="28" t="n"/>
      <c r="E61" s="26" t="n"/>
      <c r="F61" s="26" t="n"/>
      <c r="G61" s="30">
        <f>IF(A61="","",IF(COUNTIF('Share classes'!$B$4:$B$203,A61)=0,"Unknown class code",IF(OR(B61="",D61="",E61=""),"Missing required field",IF(COUNTIFS($A$4:$A$503,A61,$D$4:$D$503,D61,$E$4:$E$503,E61)&gt;1,"Duplicate price","OK"))))</f>
        <v/>
      </c>
    </row>
    <row r="62">
      <c r="A62" s="26" t="n"/>
      <c r="B62" s="38" t="n"/>
      <c r="C62" s="26" t="n"/>
      <c r="D62" s="28" t="n"/>
      <c r="E62" s="26" t="n"/>
      <c r="F62" s="26" t="n"/>
      <c r="G62" s="30">
        <f>IF(A62="","",IF(COUNTIF('Share classes'!$B$4:$B$203,A62)=0,"Unknown class code",IF(OR(B62="",D62="",E62=""),"Missing required field",IF(COUNTIFS($A$4:$A$503,A62,$D$4:$D$503,D62,$E$4:$E$503,E62)&gt;1,"Duplicate price","OK"))))</f>
        <v/>
      </c>
    </row>
    <row r="63">
      <c r="A63" s="26" t="n"/>
      <c r="B63" s="38" t="n"/>
      <c r="C63" s="26" t="n"/>
      <c r="D63" s="28" t="n"/>
      <c r="E63" s="26" t="n"/>
      <c r="F63" s="26" t="n"/>
      <c r="G63" s="30">
        <f>IF(A63="","",IF(COUNTIF('Share classes'!$B$4:$B$203,A63)=0,"Unknown class code",IF(OR(B63="",D63="",E63=""),"Missing required field",IF(COUNTIFS($A$4:$A$503,A63,$D$4:$D$503,D63,$E$4:$E$503,E63)&gt;1,"Duplicate price","OK"))))</f>
        <v/>
      </c>
    </row>
    <row r="64">
      <c r="A64" s="26" t="n"/>
      <c r="B64" s="38" t="n"/>
      <c r="C64" s="26" t="n"/>
      <c r="D64" s="28" t="n"/>
      <c r="E64" s="26" t="n"/>
      <c r="F64" s="26" t="n"/>
      <c r="G64" s="30">
        <f>IF(A64="","",IF(COUNTIF('Share classes'!$B$4:$B$203,A64)=0,"Unknown class code",IF(OR(B64="",D64="",E64=""),"Missing required field",IF(COUNTIFS($A$4:$A$503,A64,$D$4:$D$503,D64,$E$4:$E$503,E64)&gt;1,"Duplicate price","OK"))))</f>
        <v/>
      </c>
    </row>
    <row r="65">
      <c r="A65" s="26" t="n"/>
      <c r="B65" s="38" t="n"/>
      <c r="C65" s="26" t="n"/>
      <c r="D65" s="28" t="n"/>
      <c r="E65" s="26" t="n"/>
      <c r="F65" s="26" t="n"/>
      <c r="G65" s="30">
        <f>IF(A65="","",IF(COUNTIF('Share classes'!$B$4:$B$203,A65)=0,"Unknown class code",IF(OR(B65="",D65="",E65=""),"Missing required field",IF(COUNTIFS($A$4:$A$503,A65,$D$4:$D$503,D65,$E$4:$E$503,E65)&gt;1,"Duplicate price","OK"))))</f>
        <v/>
      </c>
    </row>
    <row r="66">
      <c r="A66" s="26" t="n"/>
      <c r="B66" s="38" t="n"/>
      <c r="C66" s="26" t="n"/>
      <c r="D66" s="28" t="n"/>
      <c r="E66" s="26" t="n"/>
      <c r="F66" s="26" t="n"/>
      <c r="G66" s="30">
        <f>IF(A66="","",IF(COUNTIF('Share classes'!$B$4:$B$203,A66)=0,"Unknown class code",IF(OR(B66="",D66="",E66=""),"Missing required field",IF(COUNTIFS($A$4:$A$503,A66,$D$4:$D$503,D66,$E$4:$E$503,E66)&gt;1,"Duplicate price","OK"))))</f>
        <v/>
      </c>
    </row>
    <row r="67">
      <c r="A67" s="26" t="n"/>
      <c r="B67" s="38" t="n"/>
      <c r="C67" s="26" t="n"/>
      <c r="D67" s="28" t="n"/>
      <c r="E67" s="26" t="n"/>
      <c r="F67" s="26" t="n"/>
      <c r="G67" s="30">
        <f>IF(A67="","",IF(COUNTIF('Share classes'!$B$4:$B$203,A67)=0,"Unknown class code",IF(OR(B67="",D67="",E67=""),"Missing required field",IF(COUNTIFS($A$4:$A$503,A67,$D$4:$D$503,D67,$E$4:$E$503,E67)&gt;1,"Duplicate price","OK"))))</f>
        <v/>
      </c>
    </row>
    <row r="68">
      <c r="A68" s="26" t="n"/>
      <c r="B68" s="38" t="n"/>
      <c r="C68" s="26" t="n"/>
      <c r="D68" s="28" t="n"/>
      <c r="E68" s="26" t="n"/>
      <c r="F68" s="26" t="n"/>
      <c r="G68" s="30">
        <f>IF(A68="","",IF(COUNTIF('Share classes'!$B$4:$B$203,A68)=0,"Unknown class code",IF(OR(B68="",D68="",E68=""),"Missing required field",IF(COUNTIFS($A$4:$A$503,A68,$D$4:$D$503,D68,$E$4:$E$503,E68)&gt;1,"Duplicate price","OK"))))</f>
        <v/>
      </c>
    </row>
    <row r="69">
      <c r="A69" s="26" t="n"/>
      <c r="B69" s="38" t="n"/>
      <c r="C69" s="26" t="n"/>
      <c r="D69" s="28" t="n"/>
      <c r="E69" s="26" t="n"/>
      <c r="F69" s="26" t="n"/>
      <c r="G69" s="30">
        <f>IF(A69="","",IF(COUNTIF('Share classes'!$B$4:$B$203,A69)=0,"Unknown class code",IF(OR(B69="",D69="",E69=""),"Missing required field",IF(COUNTIFS($A$4:$A$503,A69,$D$4:$D$503,D69,$E$4:$E$503,E69)&gt;1,"Duplicate price","OK"))))</f>
        <v/>
      </c>
    </row>
    <row r="70">
      <c r="A70" s="26" t="n"/>
      <c r="B70" s="38" t="n"/>
      <c r="C70" s="26" t="n"/>
      <c r="D70" s="28" t="n"/>
      <c r="E70" s="26" t="n"/>
      <c r="F70" s="26" t="n"/>
      <c r="G70" s="30">
        <f>IF(A70="","",IF(COUNTIF('Share classes'!$B$4:$B$203,A70)=0,"Unknown class code",IF(OR(B70="",D70="",E70=""),"Missing required field",IF(COUNTIFS($A$4:$A$503,A70,$D$4:$D$503,D70,$E$4:$E$503,E70)&gt;1,"Duplicate price","OK"))))</f>
        <v/>
      </c>
    </row>
    <row r="71">
      <c r="A71" s="26" t="n"/>
      <c r="B71" s="38" t="n"/>
      <c r="C71" s="26" t="n"/>
      <c r="D71" s="28" t="n"/>
      <c r="E71" s="26" t="n"/>
      <c r="F71" s="26" t="n"/>
      <c r="G71" s="30">
        <f>IF(A71="","",IF(COUNTIF('Share classes'!$B$4:$B$203,A71)=0,"Unknown class code",IF(OR(B71="",D71="",E71=""),"Missing required field",IF(COUNTIFS($A$4:$A$503,A71,$D$4:$D$503,D71,$E$4:$E$503,E71)&gt;1,"Duplicate price","OK"))))</f>
        <v/>
      </c>
    </row>
    <row r="72">
      <c r="A72" s="26" t="n"/>
      <c r="B72" s="38" t="n"/>
      <c r="C72" s="26" t="n"/>
      <c r="D72" s="28" t="n"/>
      <c r="E72" s="26" t="n"/>
      <c r="F72" s="26" t="n"/>
      <c r="G72" s="30">
        <f>IF(A72="","",IF(COUNTIF('Share classes'!$B$4:$B$203,A72)=0,"Unknown class code",IF(OR(B72="",D72="",E72=""),"Missing required field",IF(COUNTIFS($A$4:$A$503,A72,$D$4:$D$503,D72,$E$4:$E$503,E72)&gt;1,"Duplicate price","OK"))))</f>
        <v/>
      </c>
    </row>
    <row r="73">
      <c r="A73" s="26" t="n"/>
      <c r="B73" s="38" t="n"/>
      <c r="C73" s="26" t="n"/>
      <c r="D73" s="28" t="n"/>
      <c r="E73" s="26" t="n"/>
      <c r="F73" s="26" t="n"/>
      <c r="G73" s="30">
        <f>IF(A73="","",IF(COUNTIF('Share classes'!$B$4:$B$203,A73)=0,"Unknown class code",IF(OR(B73="",D73="",E73=""),"Missing required field",IF(COUNTIFS($A$4:$A$503,A73,$D$4:$D$503,D73,$E$4:$E$503,E73)&gt;1,"Duplicate price","OK"))))</f>
        <v/>
      </c>
    </row>
    <row r="74">
      <c r="A74" s="26" t="n"/>
      <c r="B74" s="38" t="n"/>
      <c r="C74" s="26" t="n"/>
      <c r="D74" s="28" t="n"/>
      <c r="E74" s="26" t="n"/>
      <c r="F74" s="26" t="n"/>
      <c r="G74" s="30">
        <f>IF(A74="","",IF(COUNTIF('Share classes'!$B$4:$B$203,A74)=0,"Unknown class code",IF(OR(B74="",D74="",E74=""),"Missing required field",IF(COUNTIFS($A$4:$A$503,A74,$D$4:$D$503,D74,$E$4:$E$503,E74)&gt;1,"Duplicate price","OK"))))</f>
        <v/>
      </c>
    </row>
    <row r="75">
      <c r="A75" s="26" t="n"/>
      <c r="B75" s="38" t="n"/>
      <c r="C75" s="26" t="n"/>
      <c r="D75" s="28" t="n"/>
      <c r="E75" s="26" t="n"/>
      <c r="F75" s="26" t="n"/>
      <c r="G75" s="30">
        <f>IF(A75="","",IF(COUNTIF('Share classes'!$B$4:$B$203,A75)=0,"Unknown class code",IF(OR(B75="",D75="",E75=""),"Missing required field",IF(COUNTIFS($A$4:$A$503,A75,$D$4:$D$503,D75,$E$4:$E$503,E75)&gt;1,"Duplicate price","OK"))))</f>
        <v/>
      </c>
    </row>
    <row r="76">
      <c r="A76" s="26" t="n"/>
      <c r="B76" s="38" t="n"/>
      <c r="C76" s="26" t="n"/>
      <c r="D76" s="28" t="n"/>
      <c r="E76" s="26" t="n"/>
      <c r="F76" s="26" t="n"/>
      <c r="G76" s="30">
        <f>IF(A76="","",IF(COUNTIF('Share classes'!$B$4:$B$203,A76)=0,"Unknown class code",IF(OR(B76="",D76="",E76=""),"Missing required field",IF(COUNTIFS($A$4:$A$503,A76,$D$4:$D$503,D76,$E$4:$E$503,E76)&gt;1,"Duplicate price","OK"))))</f>
        <v/>
      </c>
    </row>
    <row r="77">
      <c r="A77" s="26" t="n"/>
      <c r="B77" s="38" t="n"/>
      <c r="C77" s="26" t="n"/>
      <c r="D77" s="28" t="n"/>
      <c r="E77" s="26" t="n"/>
      <c r="F77" s="26" t="n"/>
      <c r="G77" s="30">
        <f>IF(A77="","",IF(COUNTIF('Share classes'!$B$4:$B$203,A77)=0,"Unknown class code",IF(OR(B77="",D77="",E77=""),"Missing required field",IF(COUNTIFS($A$4:$A$503,A77,$D$4:$D$503,D77,$E$4:$E$503,E77)&gt;1,"Duplicate price","OK"))))</f>
        <v/>
      </c>
    </row>
    <row r="78">
      <c r="A78" s="26" t="n"/>
      <c r="B78" s="38" t="n"/>
      <c r="C78" s="26" t="n"/>
      <c r="D78" s="28" t="n"/>
      <c r="E78" s="26" t="n"/>
      <c r="F78" s="26" t="n"/>
      <c r="G78" s="30">
        <f>IF(A78="","",IF(COUNTIF('Share classes'!$B$4:$B$203,A78)=0,"Unknown class code",IF(OR(B78="",D78="",E78=""),"Missing required field",IF(COUNTIFS($A$4:$A$503,A78,$D$4:$D$503,D78,$E$4:$E$503,E78)&gt;1,"Duplicate price","OK"))))</f>
        <v/>
      </c>
    </row>
    <row r="79">
      <c r="A79" s="26" t="n"/>
      <c r="B79" s="38" t="n"/>
      <c r="C79" s="26" t="n"/>
      <c r="D79" s="28" t="n"/>
      <c r="E79" s="26" t="n"/>
      <c r="F79" s="26" t="n"/>
      <c r="G79" s="30">
        <f>IF(A79="","",IF(COUNTIF('Share classes'!$B$4:$B$203,A79)=0,"Unknown class code",IF(OR(B79="",D79="",E79=""),"Missing required field",IF(COUNTIFS($A$4:$A$503,A79,$D$4:$D$503,D79,$E$4:$E$503,E79)&gt;1,"Duplicate price","OK"))))</f>
        <v/>
      </c>
    </row>
    <row r="80">
      <c r="A80" s="26" t="n"/>
      <c r="B80" s="38" t="n"/>
      <c r="C80" s="26" t="n"/>
      <c r="D80" s="28" t="n"/>
      <c r="E80" s="26" t="n"/>
      <c r="F80" s="26" t="n"/>
      <c r="G80" s="30">
        <f>IF(A80="","",IF(COUNTIF('Share classes'!$B$4:$B$203,A80)=0,"Unknown class code",IF(OR(B80="",D80="",E80=""),"Missing required field",IF(COUNTIFS($A$4:$A$503,A80,$D$4:$D$503,D80,$E$4:$E$503,E80)&gt;1,"Duplicate price","OK"))))</f>
        <v/>
      </c>
    </row>
    <row r="81">
      <c r="A81" s="26" t="n"/>
      <c r="B81" s="38" t="n"/>
      <c r="C81" s="26" t="n"/>
      <c r="D81" s="28" t="n"/>
      <c r="E81" s="26" t="n"/>
      <c r="F81" s="26" t="n"/>
      <c r="G81" s="30">
        <f>IF(A81="","",IF(COUNTIF('Share classes'!$B$4:$B$203,A81)=0,"Unknown class code",IF(OR(B81="",D81="",E81=""),"Missing required field",IF(COUNTIFS($A$4:$A$503,A81,$D$4:$D$503,D81,$E$4:$E$503,E81)&gt;1,"Duplicate price","OK"))))</f>
        <v/>
      </c>
    </row>
    <row r="82">
      <c r="A82" s="26" t="n"/>
      <c r="B82" s="38" t="n"/>
      <c r="C82" s="26" t="n"/>
      <c r="D82" s="28" t="n"/>
      <c r="E82" s="26" t="n"/>
      <c r="F82" s="26" t="n"/>
      <c r="G82" s="30">
        <f>IF(A82="","",IF(COUNTIF('Share classes'!$B$4:$B$203,A82)=0,"Unknown class code",IF(OR(B82="",D82="",E82=""),"Missing required field",IF(COUNTIFS($A$4:$A$503,A82,$D$4:$D$503,D82,$E$4:$E$503,E82)&gt;1,"Duplicate price","OK"))))</f>
        <v/>
      </c>
    </row>
    <row r="83">
      <c r="A83" s="26" t="n"/>
      <c r="B83" s="38" t="n"/>
      <c r="C83" s="26" t="n"/>
      <c r="D83" s="28" t="n"/>
      <c r="E83" s="26" t="n"/>
      <c r="F83" s="26" t="n"/>
      <c r="G83" s="30">
        <f>IF(A83="","",IF(COUNTIF('Share classes'!$B$4:$B$203,A83)=0,"Unknown class code",IF(OR(B83="",D83="",E83=""),"Missing required field",IF(COUNTIFS($A$4:$A$503,A83,$D$4:$D$503,D83,$E$4:$E$503,E83)&gt;1,"Duplicate price","OK"))))</f>
        <v/>
      </c>
    </row>
    <row r="84">
      <c r="A84" s="26" t="n"/>
      <c r="B84" s="38" t="n"/>
      <c r="C84" s="26" t="n"/>
      <c r="D84" s="28" t="n"/>
      <c r="E84" s="26" t="n"/>
      <c r="F84" s="26" t="n"/>
      <c r="G84" s="30">
        <f>IF(A84="","",IF(COUNTIF('Share classes'!$B$4:$B$203,A84)=0,"Unknown class code",IF(OR(B84="",D84="",E84=""),"Missing required field",IF(COUNTIFS($A$4:$A$503,A84,$D$4:$D$503,D84,$E$4:$E$503,E84)&gt;1,"Duplicate price","OK"))))</f>
        <v/>
      </c>
    </row>
    <row r="85">
      <c r="A85" s="26" t="n"/>
      <c r="B85" s="38" t="n"/>
      <c r="C85" s="26" t="n"/>
      <c r="D85" s="28" t="n"/>
      <c r="E85" s="26" t="n"/>
      <c r="F85" s="26" t="n"/>
      <c r="G85" s="30">
        <f>IF(A85="","",IF(COUNTIF('Share classes'!$B$4:$B$203,A85)=0,"Unknown class code",IF(OR(B85="",D85="",E85=""),"Missing required field",IF(COUNTIFS($A$4:$A$503,A85,$D$4:$D$503,D85,$E$4:$E$503,E85)&gt;1,"Duplicate price","OK"))))</f>
        <v/>
      </c>
    </row>
    <row r="86">
      <c r="A86" s="26" t="n"/>
      <c r="B86" s="38" t="n"/>
      <c r="C86" s="26" t="n"/>
      <c r="D86" s="28" t="n"/>
      <c r="E86" s="26" t="n"/>
      <c r="F86" s="26" t="n"/>
      <c r="G86" s="30">
        <f>IF(A86="","",IF(COUNTIF('Share classes'!$B$4:$B$203,A86)=0,"Unknown class code",IF(OR(B86="",D86="",E86=""),"Missing required field",IF(COUNTIFS($A$4:$A$503,A86,$D$4:$D$503,D86,$E$4:$E$503,E86)&gt;1,"Duplicate price","OK"))))</f>
        <v/>
      </c>
    </row>
    <row r="87">
      <c r="A87" s="26" t="n"/>
      <c r="B87" s="38" t="n"/>
      <c r="C87" s="26" t="n"/>
      <c r="D87" s="28" t="n"/>
      <c r="E87" s="26" t="n"/>
      <c r="F87" s="26" t="n"/>
      <c r="G87" s="30">
        <f>IF(A87="","",IF(COUNTIF('Share classes'!$B$4:$B$203,A87)=0,"Unknown class code",IF(OR(B87="",D87="",E87=""),"Missing required field",IF(COUNTIFS($A$4:$A$503,A87,$D$4:$D$503,D87,$E$4:$E$503,E87)&gt;1,"Duplicate price","OK"))))</f>
        <v/>
      </c>
    </row>
    <row r="88">
      <c r="A88" s="26" t="n"/>
      <c r="B88" s="38" t="n"/>
      <c r="C88" s="26" t="n"/>
      <c r="D88" s="28" t="n"/>
      <c r="E88" s="26" t="n"/>
      <c r="F88" s="26" t="n"/>
      <c r="G88" s="30">
        <f>IF(A88="","",IF(COUNTIF('Share classes'!$B$4:$B$203,A88)=0,"Unknown class code",IF(OR(B88="",D88="",E88=""),"Missing required field",IF(COUNTIFS($A$4:$A$503,A88,$D$4:$D$503,D88,$E$4:$E$503,E88)&gt;1,"Duplicate price","OK"))))</f>
        <v/>
      </c>
    </row>
    <row r="89">
      <c r="A89" s="26" t="n"/>
      <c r="B89" s="38" t="n"/>
      <c r="C89" s="26" t="n"/>
      <c r="D89" s="28" t="n"/>
      <c r="E89" s="26" t="n"/>
      <c r="F89" s="26" t="n"/>
      <c r="G89" s="30">
        <f>IF(A89="","",IF(COUNTIF('Share classes'!$B$4:$B$203,A89)=0,"Unknown class code",IF(OR(B89="",D89="",E89=""),"Missing required field",IF(COUNTIFS($A$4:$A$503,A89,$D$4:$D$503,D89,$E$4:$E$503,E89)&gt;1,"Duplicate price","OK"))))</f>
        <v/>
      </c>
    </row>
    <row r="90">
      <c r="A90" s="26" t="n"/>
      <c r="B90" s="38" t="n"/>
      <c r="C90" s="26" t="n"/>
      <c r="D90" s="28" t="n"/>
      <c r="E90" s="26" t="n"/>
      <c r="F90" s="26" t="n"/>
      <c r="G90" s="30">
        <f>IF(A90="","",IF(COUNTIF('Share classes'!$B$4:$B$203,A90)=0,"Unknown class code",IF(OR(B90="",D90="",E90=""),"Missing required field",IF(COUNTIFS($A$4:$A$503,A90,$D$4:$D$503,D90,$E$4:$E$503,E90)&gt;1,"Duplicate price","OK"))))</f>
        <v/>
      </c>
    </row>
    <row r="91">
      <c r="A91" s="26" t="n"/>
      <c r="B91" s="38" t="n"/>
      <c r="C91" s="26" t="n"/>
      <c r="D91" s="28" t="n"/>
      <c r="E91" s="26" t="n"/>
      <c r="F91" s="26" t="n"/>
      <c r="G91" s="30">
        <f>IF(A91="","",IF(COUNTIF('Share classes'!$B$4:$B$203,A91)=0,"Unknown class code",IF(OR(B91="",D91="",E91=""),"Missing required field",IF(COUNTIFS($A$4:$A$503,A91,$D$4:$D$503,D91,$E$4:$E$503,E91)&gt;1,"Duplicate price","OK"))))</f>
        <v/>
      </c>
    </row>
    <row r="92">
      <c r="A92" s="26" t="n"/>
      <c r="B92" s="38" t="n"/>
      <c r="C92" s="26" t="n"/>
      <c r="D92" s="28" t="n"/>
      <c r="E92" s="26" t="n"/>
      <c r="F92" s="26" t="n"/>
      <c r="G92" s="30">
        <f>IF(A92="","",IF(COUNTIF('Share classes'!$B$4:$B$203,A92)=0,"Unknown class code",IF(OR(B92="",D92="",E92=""),"Missing required field",IF(COUNTIFS($A$4:$A$503,A92,$D$4:$D$503,D92,$E$4:$E$503,E92)&gt;1,"Duplicate price","OK"))))</f>
        <v/>
      </c>
    </row>
    <row r="93">
      <c r="A93" s="26" t="n"/>
      <c r="B93" s="38" t="n"/>
      <c r="C93" s="26" t="n"/>
      <c r="D93" s="28" t="n"/>
      <c r="E93" s="26" t="n"/>
      <c r="F93" s="26" t="n"/>
      <c r="G93" s="30">
        <f>IF(A93="","",IF(COUNTIF('Share classes'!$B$4:$B$203,A93)=0,"Unknown class code",IF(OR(B93="",D93="",E93=""),"Missing required field",IF(COUNTIFS($A$4:$A$503,A93,$D$4:$D$503,D93,$E$4:$E$503,E93)&gt;1,"Duplicate price","OK"))))</f>
        <v/>
      </c>
    </row>
    <row r="94">
      <c r="A94" s="26" t="n"/>
      <c r="B94" s="38" t="n"/>
      <c r="C94" s="26" t="n"/>
      <c r="D94" s="28" t="n"/>
      <c r="E94" s="26" t="n"/>
      <c r="F94" s="26" t="n"/>
      <c r="G94" s="30">
        <f>IF(A94="","",IF(COUNTIF('Share classes'!$B$4:$B$203,A94)=0,"Unknown class code",IF(OR(B94="",D94="",E94=""),"Missing required field",IF(COUNTIFS($A$4:$A$503,A94,$D$4:$D$503,D94,$E$4:$E$503,E94)&gt;1,"Duplicate price","OK"))))</f>
        <v/>
      </c>
    </row>
    <row r="95">
      <c r="A95" s="26" t="n"/>
      <c r="B95" s="38" t="n"/>
      <c r="C95" s="26" t="n"/>
      <c r="D95" s="28" t="n"/>
      <c r="E95" s="26" t="n"/>
      <c r="F95" s="26" t="n"/>
      <c r="G95" s="30">
        <f>IF(A95="","",IF(COUNTIF('Share classes'!$B$4:$B$203,A95)=0,"Unknown class code",IF(OR(B95="",D95="",E95=""),"Missing required field",IF(COUNTIFS($A$4:$A$503,A95,$D$4:$D$503,D95,$E$4:$E$503,E95)&gt;1,"Duplicate price","OK"))))</f>
        <v/>
      </c>
    </row>
    <row r="96">
      <c r="A96" s="26" t="n"/>
      <c r="B96" s="38" t="n"/>
      <c r="C96" s="26" t="n"/>
      <c r="D96" s="28" t="n"/>
      <c r="E96" s="26" t="n"/>
      <c r="F96" s="26" t="n"/>
      <c r="G96" s="30">
        <f>IF(A96="","",IF(COUNTIF('Share classes'!$B$4:$B$203,A96)=0,"Unknown class code",IF(OR(B96="",D96="",E96=""),"Missing required field",IF(COUNTIFS($A$4:$A$503,A96,$D$4:$D$503,D96,$E$4:$E$503,E96)&gt;1,"Duplicate price","OK"))))</f>
        <v/>
      </c>
    </row>
    <row r="97">
      <c r="A97" s="26" t="n"/>
      <c r="B97" s="38" t="n"/>
      <c r="C97" s="26" t="n"/>
      <c r="D97" s="28" t="n"/>
      <c r="E97" s="26" t="n"/>
      <c r="F97" s="26" t="n"/>
      <c r="G97" s="30">
        <f>IF(A97="","",IF(COUNTIF('Share classes'!$B$4:$B$203,A97)=0,"Unknown class code",IF(OR(B97="",D97="",E97=""),"Missing required field",IF(COUNTIFS($A$4:$A$503,A97,$D$4:$D$503,D97,$E$4:$E$503,E97)&gt;1,"Duplicate price","OK"))))</f>
        <v/>
      </c>
    </row>
    <row r="98">
      <c r="A98" s="26" t="n"/>
      <c r="B98" s="38" t="n"/>
      <c r="C98" s="26" t="n"/>
      <c r="D98" s="28" t="n"/>
      <c r="E98" s="26" t="n"/>
      <c r="F98" s="26" t="n"/>
      <c r="G98" s="30">
        <f>IF(A98="","",IF(COUNTIF('Share classes'!$B$4:$B$203,A98)=0,"Unknown class code",IF(OR(B98="",D98="",E98=""),"Missing required field",IF(COUNTIFS($A$4:$A$503,A98,$D$4:$D$503,D98,$E$4:$E$503,E98)&gt;1,"Duplicate price","OK"))))</f>
        <v/>
      </c>
    </row>
    <row r="99">
      <c r="A99" s="26" t="n"/>
      <c r="B99" s="38" t="n"/>
      <c r="C99" s="26" t="n"/>
      <c r="D99" s="28" t="n"/>
      <c r="E99" s="26" t="n"/>
      <c r="F99" s="26" t="n"/>
      <c r="G99" s="30">
        <f>IF(A99="","",IF(COUNTIF('Share classes'!$B$4:$B$203,A99)=0,"Unknown class code",IF(OR(B99="",D99="",E99=""),"Missing required field",IF(COUNTIFS($A$4:$A$503,A99,$D$4:$D$503,D99,$E$4:$E$503,E99)&gt;1,"Duplicate price","OK"))))</f>
        <v/>
      </c>
    </row>
    <row r="100">
      <c r="A100" s="26" t="n"/>
      <c r="B100" s="38" t="n"/>
      <c r="C100" s="26" t="n"/>
      <c r="D100" s="28" t="n"/>
      <c r="E100" s="26" t="n"/>
      <c r="F100" s="26" t="n"/>
      <c r="G100" s="30">
        <f>IF(A100="","",IF(COUNTIF('Share classes'!$B$4:$B$203,A100)=0,"Unknown class code",IF(OR(B100="",D100="",E100=""),"Missing required field",IF(COUNTIFS($A$4:$A$503,A100,$D$4:$D$503,D100,$E$4:$E$503,E100)&gt;1,"Duplicate price","OK"))))</f>
        <v/>
      </c>
    </row>
    <row r="101">
      <c r="A101" s="26" t="n"/>
      <c r="B101" s="38" t="n"/>
      <c r="C101" s="26" t="n"/>
      <c r="D101" s="28" t="n"/>
      <c r="E101" s="26" t="n"/>
      <c r="F101" s="26" t="n"/>
      <c r="G101" s="30">
        <f>IF(A101="","",IF(COUNTIF('Share classes'!$B$4:$B$203,A101)=0,"Unknown class code",IF(OR(B101="",D101="",E101=""),"Missing required field",IF(COUNTIFS($A$4:$A$503,A101,$D$4:$D$503,D101,$E$4:$E$503,E101)&gt;1,"Duplicate price","OK"))))</f>
        <v/>
      </c>
    </row>
    <row r="102">
      <c r="A102" s="26" t="n"/>
      <c r="B102" s="38" t="n"/>
      <c r="C102" s="26" t="n"/>
      <c r="D102" s="28" t="n"/>
      <c r="E102" s="26" t="n"/>
      <c r="F102" s="26" t="n"/>
      <c r="G102" s="30">
        <f>IF(A102="","",IF(COUNTIF('Share classes'!$B$4:$B$203,A102)=0,"Unknown class code",IF(OR(B102="",D102="",E102=""),"Missing required field",IF(COUNTIFS($A$4:$A$503,A102,$D$4:$D$503,D102,$E$4:$E$503,E102)&gt;1,"Duplicate price","OK"))))</f>
        <v/>
      </c>
    </row>
    <row r="103">
      <c r="A103" s="26" t="n"/>
      <c r="B103" s="38" t="n"/>
      <c r="C103" s="26" t="n"/>
      <c r="D103" s="28" t="n"/>
      <c r="E103" s="26" t="n"/>
      <c r="F103" s="26" t="n"/>
      <c r="G103" s="30">
        <f>IF(A103="","",IF(COUNTIF('Share classes'!$B$4:$B$203,A103)=0,"Unknown class code",IF(OR(B103="",D103="",E103=""),"Missing required field",IF(COUNTIFS($A$4:$A$503,A103,$D$4:$D$503,D103,$E$4:$E$503,E103)&gt;1,"Duplicate price","OK"))))</f>
        <v/>
      </c>
    </row>
    <row r="104">
      <c r="A104" s="26" t="n"/>
      <c r="B104" s="38" t="n"/>
      <c r="C104" s="26" t="n"/>
      <c r="D104" s="28" t="n"/>
      <c r="E104" s="26" t="n"/>
      <c r="F104" s="26" t="n"/>
      <c r="G104" s="30">
        <f>IF(A104="","",IF(COUNTIF('Share classes'!$B$4:$B$203,A104)=0,"Unknown class code",IF(OR(B104="",D104="",E104=""),"Missing required field",IF(COUNTIFS($A$4:$A$503,A104,$D$4:$D$503,D104,$E$4:$E$503,E104)&gt;1,"Duplicate price","OK"))))</f>
        <v/>
      </c>
    </row>
    <row r="105">
      <c r="A105" s="26" t="n"/>
      <c r="B105" s="38" t="n"/>
      <c r="C105" s="26" t="n"/>
      <c r="D105" s="28" t="n"/>
      <c r="E105" s="26" t="n"/>
      <c r="F105" s="26" t="n"/>
      <c r="G105" s="30">
        <f>IF(A105="","",IF(COUNTIF('Share classes'!$B$4:$B$203,A105)=0,"Unknown class code",IF(OR(B105="",D105="",E105=""),"Missing required field",IF(COUNTIFS($A$4:$A$503,A105,$D$4:$D$503,D105,$E$4:$E$503,E105)&gt;1,"Duplicate price","OK"))))</f>
        <v/>
      </c>
    </row>
    <row r="106">
      <c r="A106" s="26" t="n"/>
      <c r="B106" s="38" t="n"/>
      <c r="C106" s="26" t="n"/>
      <c r="D106" s="28" t="n"/>
      <c r="E106" s="26" t="n"/>
      <c r="F106" s="26" t="n"/>
      <c r="G106" s="30">
        <f>IF(A106="","",IF(COUNTIF('Share classes'!$B$4:$B$203,A106)=0,"Unknown class code",IF(OR(B106="",D106="",E106=""),"Missing required field",IF(COUNTIFS($A$4:$A$503,A106,$D$4:$D$503,D106,$E$4:$E$503,E106)&gt;1,"Duplicate price","OK"))))</f>
        <v/>
      </c>
    </row>
    <row r="107">
      <c r="A107" s="26" t="n"/>
      <c r="B107" s="38" t="n"/>
      <c r="C107" s="26" t="n"/>
      <c r="D107" s="28" t="n"/>
      <c r="E107" s="26" t="n"/>
      <c r="F107" s="26" t="n"/>
      <c r="G107" s="30">
        <f>IF(A107="","",IF(COUNTIF('Share classes'!$B$4:$B$203,A107)=0,"Unknown class code",IF(OR(B107="",D107="",E107=""),"Missing required field",IF(COUNTIFS($A$4:$A$503,A107,$D$4:$D$503,D107,$E$4:$E$503,E107)&gt;1,"Duplicate price","OK"))))</f>
        <v/>
      </c>
    </row>
    <row r="108">
      <c r="A108" s="26" t="n"/>
      <c r="B108" s="38" t="n"/>
      <c r="C108" s="26" t="n"/>
      <c r="D108" s="28" t="n"/>
      <c r="E108" s="26" t="n"/>
      <c r="F108" s="26" t="n"/>
      <c r="G108" s="30">
        <f>IF(A108="","",IF(COUNTIF('Share classes'!$B$4:$B$203,A108)=0,"Unknown class code",IF(OR(B108="",D108="",E108=""),"Missing required field",IF(COUNTIFS($A$4:$A$503,A108,$D$4:$D$503,D108,$E$4:$E$503,E108)&gt;1,"Duplicate price","OK"))))</f>
        <v/>
      </c>
    </row>
    <row r="109">
      <c r="A109" s="26" t="n"/>
      <c r="B109" s="38" t="n"/>
      <c r="C109" s="26" t="n"/>
      <c r="D109" s="28" t="n"/>
      <c r="E109" s="26" t="n"/>
      <c r="F109" s="26" t="n"/>
      <c r="G109" s="30">
        <f>IF(A109="","",IF(COUNTIF('Share classes'!$B$4:$B$203,A109)=0,"Unknown class code",IF(OR(B109="",D109="",E109=""),"Missing required field",IF(COUNTIFS($A$4:$A$503,A109,$D$4:$D$503,D109,$E$4:$E$503,E109)&gt;1,"Duplicate price","OK"))))</f>
        <v/>
      </c>
    </row>
    <row r="110">
      <c r="A110" s="26" t="n"/>
      <c r="B110" s="38" t="n"/>
      <c r="C110" s="26" t="n"/>
      <c r="D110" s="28" t="n"/>
      <c r="E110" s="26" t="n"/>
      <c r="F110" s="26" t="n"/>
      <c r="G110" s="30">
        <f>IF(A110="","",IF(COUNTIF('Share classes'!$B$4:$B$203,A110)=0,"Unknown class code",IF(OR(B110="",D110="",E110=""),"Missing required field",IF(COUNTIFS($A$4:$A$503,A110,$D$4:$D$503,D110,$E$4:$E$503,E110)&gt;1,"Duplicate price","OK"))))</f>
        <v/>
      </c>
    </row>
    <row r="111">
      <c r="A111" s="26" t="n"/>
      <c r="B111" s="38" t="n"/>
      <c r="C111" s="26" t="n"/>
      <c r="D111" s="28" t="n"/>
      <c r="E111" s="26" t="n"/>
      <c r="F111" s="26" t="n"/>
      <c r="G111" s="30">
        <f>IF(A111="","",IF(COUNTIF('Share classes'!$B$4:$B$203,A111)=0,"Unknown class code",IF(OR(B111="",D111="",E111=""),"Missing required field",IF(COUNTIFS($A$4:$A$503,A111,$D$4:$D$503,D111,$E$4:$E$503,E111)&gt;1,"Duplicate price","OK"))))</f>
        <v/>
      </c>
    </row>
    <row r="112">
      <c r="A112" s="26" t="n"/>
      <c r="B112" s="38" t="n"/>
      <c r="C112" s="26" t="n"/>
      <c r="D112" s="28" t="n"/>
      <c r="E112" s="26" t="n"/>
      <c r="F112" s="26" t="n"/>
      <c r="G112" s="30">
        <f>IF(A112="","",IF(COUNTIF('Share classes'!$B$4:$B$203,A112)=0,"Unknown class code",IF(OR(B112="",D112="",E112=""),"Missing required field",IF(COUNTIFS($A$4:$A$503,A112,$D$4:$D$503,D112,$E$4:$E$503,E112)&gt;1,"Duplicate price","OK"))))</f>
        <v/>
      </c>
    </row>
    <row r="113">
      <c r="A113" s="26" t="n"/>
      <c r="B113" s="38" t="n"/>
      <c r="C113" s="26" t="n"/>
      <c r="D113" s="28" t="n"/>
      <c r="E113" s="26" t="n"/>
      <c r="F113" s="26" t="n"/>
      <c r="G113" s="30">
        <f>IF(A113="","",IF(COUNTIF('Share classes'!$B$4:$B$203,A113)=0,"Unknown class code",IF(OR(B113="",D113="",E113=""),"Missing required field",IF(COUNTIFS($A$4:$A$503,A113,$D$4:$D$503,D113,$E$4:$E$503,E113)&gt;1,"Duplicate price","OK"))))</f>
        <v/>
      </c>
    </row>
    <row r="114">
      <c r="A114" s="26" t="n"/>
      <c r="B114" s="38" t="n"/>
      <c r="C114" s="26" t="n"/>
      <c r="D114" s="28" t="n"/>
      <c r="E114" s="26" t="n"/>
      <c r="F114" s="26" t="n"/>
      <c r="G114" s="30">
        <f>IF(A114="","",IF(COUNTIF('Share classes'!$B$4:$B$203,A114)=0,"Unknown class code",IF(OR(B114="",D114="",E114=""),"Missing required field",IF(COUNTIFS($A$4:$A$503,A114,$D$4:$D$503,D114,$E$4:$E$503,E114)&gt;1,"Duplicate price","OK"))))</f>
        <v/>
      </c>
    </row>
    <row r="115">
      <c r="A115" s="26" t="n"/>
      <c r="B115" s="38" t="n"/>
      <c r="C115" s="26" t="n"/>
      <c r="D115" s="28" t="n"/>
      <c r="E115" s="26" t="n"/>
      <c r="F115" s="26" t="n"/>
      <c r="G115" s="30">
        <f>IF(A115="","",IF(COUNTIF('Share classes'!$B$4:$B$203,A115)=0,"Unknown class code",IF(OR(B115="",D115="",E115=""),"Missing required field",IF(COUNTIFS($A$4:$A$503,A115,$D$4:$D$503,D115,$E$4:$E$503,E115)&gt;1,"Duplicate price","OK"))))</f>
        <v/>
      </c>
    </row>
    <row r="116">
      <c r="A116" s="26" t="n"/>
      <c r="B116" s="38" t="n"/>
      <c r="C116" s="26" t="n"/>
      <c r="D116" s="28" t="n"/>
      <c r="E116" s="26" t="n"/>
      <c r="F116" s="26" t="n"/>
      <c r="G116" s="30">
        <f>IF(A116="","",IF(COUNTIF('Share classes'!$B$4:$B$203,A116)=0,"Unknown class code",IF(OR(B116="",D116="",E116=""),"Missing required field",IF(COUNTIFS($A$4:$A$503,A116,$D$4:$D$503,D116,$E$4:$E$503,E116)&gt;1,"Duplicate price","OK"))))</f>
        <v/>
      </c>
    </row>
    <row r="117">
      <c r="A117" s="26" t="n"/>
      <c r="B117" s="38" t="n"/>
      <c r="C117" s="26" t="n"/>
      <c r="D117" s="28" t="n"/>
      <c r="E117" s="26" t="n"/>
      <c r="F117" s="26" t="n"/>
      <c r="G117" s="30">
        <f>IF(A117="","",IF(COUNTIF('Share classes'!$B$4:$B$203,A117)=0,"Unknown class code",IF(OR(B117="",D117="",E117=""),"Missing required field",IF(COUNTIFS($A$4:$A$503,A117,$D$4:$D$503,D117,$E$4:$E$503,E117)&gt;1,"Duplicate price","OK"))))</f>
        <v/>
      </c>
    </row>
    <row r="118">
      <c r="A118" s="26" t="n"/>
      <c r="B118" s="38" t="n"/>
      <c r="C118" s="26" t="n"/>
      <c r="D118" s="28" t="n"/>
      <c r="E118" s="26" t="n"/>
      <c r="F118" s="26" t="n"/>
      <c r="G118" s="30">
        <f>IF(A118="","",IF(COUNTIF('Share classes'!$B$4:$B$203,A118)=0,"Unknown class code",IF(OR(B118="",D118="",E118=""),"Missing required field",IF(COUNTIFS($A$4:$A$503,A118,$D$4:$D$503,D118,$E$4:$E$503,E118)&gt;1,"Duplicate price","OK"))))</f>
        <v/>
      </c>
    </row>
    <row r="119">
      <c r="A119" s="26" t="n"/>
      <c r="B119" s="38" t="n"/>
      <c r="C119" s="26" t="n"/>
      <c r="D119" s="28" t="n"/>
      <c r="E119" s="26" t="n"/>
      <c r="F119" s="26" t="n"/>
      <c r="G119" s="30">
        <f>IF(A119="","",IF(COUNTIF('Share classes'!$B$4:$B$203,A119)=0,"Unknown class code",IF(OR(B119="",D119="",E119=""),"Missing required field",IF(COUNTIFS($A$4:$A$503,A119,$D$4:$D$503,D119,$E$4:$E$503,E119)&gt;1,"Duplicate price","OK"))))</f>
        <v/>
      </c>
    </row>
    <row r="120">
      <c r="A120" s="26" t="n"/>
      <c r="B120" s="38" t="n"/>
      <c r="C120" s="26" t="n"/>
      <c r="D120" s="28" t="n"/>
      <c r="E120" s="26" t="n"/>
      <c r="F120" s="26" t="n"/>
      <c r="G120" s="30">
        <f>IF(A120="","",IF(COUNTIF('Share classes'!$B$4:$B$203,A120)=0,"Unknown class code",IF(OR(B120="",D120="",E120=""),"Missing required field",IF(COUNTIFS($A$4:$A$503,A120,$D$4:$D$503,D120,$E$4:$E$503,E120)&gt;1,"Duplicate price","OK"))))</f>
        <v/>
      </c>
    </row>
    <row r="121">
      <c r="A121" s="26" t="n"/>
      <c r="B121" s="38" t="n"/>
      <c r="C121" s="26" t="n"/>
      <c r="D121" s="28" t="n"/>
      <c r="E121" s="26" t="n"/>
      <c r="F121" s="26" t="n"/>
      <c r="G121" s="30">
        <f>IF(A121="","",IF(COUNTIF('Share classes'!$B$4:$B$203,A121)=0,"Unknown class code",IF(OR(B121="",D121="",E121=""),"Missing required field",IF(COUNTIFS($A$4:$A$503,A121,$D$4:$D$503,D121,$E$4:$E$503,E121)&gt;1,"Duplicate price","OK"))))</f>
        <v/>
      </c>
    </row>
    <row r="122">
      <c r="A122" s="26" t="n"/>
      <c r="B122" s="38" t="n"/>
      <c r="C122" s="26" t="n"/>
      <c r="D122" s="28" t="n"/>
      <c r="E122" s="26" t="n"/>
      <c r="F122" s="26" t="n"/>
      <c r="G122" s="30">
        <f>IF(A122="","",IF(COUNTIF('Share classes'!$B$4:$B$203,A122)=0,"Unknown class code",IF(OR(B122="",D122="",E122=""),"Missing required field",IF(COUNTIFS($A$4:$A$503,A122,$D$4:$D$503,D122,$E$4:$E$503,E122)&gt;1,"Duplicate price","OK"))))</f>
        <v/>
      </c>
    </row>
    <row r="123">
      <c r="A123" s="26" t="n"/>
      <c r="B123" s="38" t="n"/>
      <c r="C123" s="26" t="n"/>
      <c r="D123" s="28" t="n"/>
      <c r="E123" s="26" t="n"/>
      <c r="F123" s="26" t="n"/>
      <c r="G123" s="30">
        <f>IF(A123="","",IF(COUNTIF('Share classes'!$B$4:$B$203,A123)=0,"Unknown class code",IF(OR(B123="",D123="",E123=""),"Missing required field",IF(COUNTIFS($A$4:$A$503,A123,$D$4:$D$503,D123,$E$4:$E$503,E123)&gt;1,"Duplicate price","OK"))))</f>
        <v/>
      </c>
    </row>
    <row r="124">
      <c r="A124" s="26" t="n"/>
      <c r="B124" s="38" t="n"/>
      <c r="C124" s="26" t="n"/>
      <c r="D124" s="28" t="n"/>
      <c r="E124" s="26" t="n"/>
      <c r="F124" s="26" t="n"/>
      <c r="G124" s="30">
        <f>IF(A124="","",IF(COUNTIF('Share classes'!$B$4:$B$203,A124)=0,"Unknown class code",IF(OR(B124="",D124="",E124=""),"Missing required field",IF(COUNTIFS($A$4:$A$503,A124,$D$4:$D$503,D124,$E$4:$E$503,E124)&gt;1,"Duplicate price","OK"))))</f>
        <v/>
      </c>
    </row>
    <row r="125">
      <c r="A125" s="26" t="n"/>
      <c r="B125" s="38" t="n"/>
      <c r="C125" s="26" t="n"/>
      <c r="D125" s="28" t="n"/>
      <c r="E125" s="26" t="n"/>
      <c r="F125" s="26" t="n"/>
      <c r="G125" s="30">
        <f>IF(A125="","",IF(COUNTIF('Share classes'!$B$4:$B$203,A125)=0,"Unknown class code",IF(OR(B125="",D125="",E125=""),"Missing required field",IF(COUNTIFS($A$4:$A$503,A125,$D$4:$D$503,D125,$E$4:$E$503,E125)&gt;1,"Duplicate price","OK"))))</f>
        <v/>
      </c>
    </row>
    <row r="126">
      <c r="A126" s="26" t="n"/>
      <c r="B126" s="38" t="n"/>
      <c r="C126" s="26" t="n"/>
      <c r="D126" s="28" t="n"/>
      <c r="E126" s="26" t="n"/>
      <c r="F126" s="26" t="n"/>
      <c r="G126" s="30">
        <f>IF(A126="","",IF(COUNTIF('Share classes'!$B$4:$B$203,A126)=0,"Unknown class code",IF(OR(B126="",D126="",E126=""),"Missing required field",IF(COUNTIFS($A$4:$A$503,A126,$D$4:$D$503,D126,$E$4:$E$503,E126)&gt;1,"Duplicate price","OK"))))</f>
        <v/>
      </c>
    </row>
    <row r="127">
      <c r="A127" s="26" t="n"/>
      <c r="B127" s="38" t="n"/>
      <c r="C127" s="26" t="n"/>
      <c r="D127" s="28" t="n"/>
      <c r="E127" s="26" t="n"/>
      <c r="F127" s="26" t="n"/>
      <c r="G127" s="30">
        <f>IF(A127="","",IF(COUNTIF('Share classes'!$B$4:$B$203,A127)=0,"Unknown class code",IF(OR(B127="",D127="",E127=""),"Missing required field",IF(COUNTIFS($A$4:$A$503,A127,$D$4:$D$503,D127,$E$4:$E$503,E127)&gt;1,"Duplicate price","OK"))))</f>
        <v/>
      </c>
    </row>
    <row r="128">
      <c r="A128" s="26" t="n"/>
      <c r="B128" s="38" t="n"/>
      <c r="C128" s="26" t="n"/>
      <c r="D128" s="28" t="n"/>
      <c r="E128" s="26" t="n"/>
      <c r="F128" s="26" t="n"/>
      <c r="G128" s="30">
        <f>IF(A128="","",IF(COUNTIF('Share classes'!$B$4:$B$203,A128)=0,"Unknown class code",IF(OR(B128="",D128="",E128=""),"Missing required field",IF(COUNTIFS($A$4:$A$503,A128,$D$4:$D$503,D128,$E$4:$E$503,E128)&gt;1,"Duplicate price","OK"))))</f>
        <v/>
      </c>
    </row>
    <row r="129">
      <c r="A129" s="26" t="n"/>
      <c r="B129" s="38" t="n"/>
      <c r="C129" s="26" t="n"/>
      <c r="D129" s="28" t="n"/>
      <c r="E129" s="26" t="n"/>
      <c r="F129" s="26" t="n"/>
      <c r="G129" s="30">
        <f>IF(A129="","",IF(COUNTIF('Share classes'!$B$4:$B$203,A129)=0,"Unknown class code",IF(OR(B129="",D129="",E129=""),"Missing required field",IF(COUNTIFS($A$4:$A$503,A129,$D$4:$D$503,D129,$E$4:$E$503,E129)&gt;1,"Duplicate price","OK"))))</f>
        <v/>
      </c>
    </row>
    <row r="130">
      <c r="A130" s="26" t="n"/>
      <c r="B130" s="38" t="n"/>
      <c r="C130" s="26" t="n"/>
      <c r="D130" s="28" t="n"/>
      <c r="E130" s="26" t="n"/>
      <c r="F130" s="26" t="n"/>
      <c r="G130" s="30">
        <f>IF(A130="","",IF(COUNTIF('Share classes'!$B$4:$B$203,A130)=0,"Unknown class code",IF(OR(B130="",D130="",E130=""),"Missing required field",IF(COUNTIFS($A$4:$A$503,A130,$D$4:$D$503,D130,$E$4:$E$503,E130)&gt;1,"Duplicate price","OK"))))</f>
        <v/>
      </c>
    </row>
    <row r="131">
      <c r="A131" s="26" t="n"/>
      <c r="B131" s="38" t="n"/>
      <c r="C131" s="26" t="n"/>
      <c r="D131" s="28" t="n"/>
      <c r="E131" s="26" t="n"/>
      <c r="F131" s="26" t="n"/>
      <c r="G131" s="30">
        <f>IF(A131="","",IF(COUNTIF('Share classes'!$B$4:$B$203,A131)=0,"Unknown class code",IF(OR(B131="",D131="",E131=""),"Missing required field",IF(COUNTIFS($A$4:$A$503,A131,$D$4:$D$503,D131,$E$4:$E$503,E131)&gt;1,"Duplicate price","OK"))))</f>
        <v/>
      </c>
    </row>
    <row r="132">
      <c r="A132" s="26" t="n"/>
      <c r="B132" s="38" t="n"/>
      <c r="C132" s="26" t="n"/>
      <c r="D132" s="28" t="n"/>
      <c r="E132" s="26" t="n"/>
      <c r="F132" s="26" t="n"/>
      <c r="G132" s="30">
        <f>IF(A132="","",IF(COUNTIF('Share classes'!$B$4:$B$203,A132)=0,"Unknown class code",IF(OR(B132="",D132="",E132=""),"Missing required field",IF(COUNTIFS($A$4:$A$503,A132,$D$4:$D$503,D132,$E$4:$E$503,E132)&gt;1,"Duplicate price","OK"))))</f>
        <v/>
      </c>
    </row>
    <row r="133">
      <c r="A133" s="26" t="n"/>
      <c r="B133" s="38" t="n"/>
      <c r="C133" s="26" t="n"/>
      <c r="D133" s="28" t="n"/>
      <c r="E133" s="26" t="n"/>
      <c r="F133" s="26" t="n"/>
      <c r="G133" s="30">
        <f>IF(A133="","",IF(COUNTIF('Share classes'!$B$4:$B$203,A133)=0,"Unknown class code",IF(OR(B133="",D133="",E133=""),"Missing required field",IF(COUNTIFS($A$4:$A$503,A133,$D$4:$D$503,D133,$E$4:$E$503,E133)&gt;1,"Duplicate price","OK"))))</f>
        <v/>
      </c>
    </row>
    <row r="134">
      <c r="A134" s="26" t="n"/>
      <c r="B134" s="38" t="n"/>
      <c r="C134" s="26" t="n"/>
      <c r="D134" s="28" t="n"/>
      <c r="E134" s="26" t="n"/>
      <c r="F134" s="26" t="n"/>
      <c r="G134" s="30">
        <f>IF(A134="","",IF(COUNTIF('Share classes'!$B$4:$B$203,A134)=0,"Unknown class code",IF(OR(B134="",D134="",E134=""),"Missing required field",IF(COUNTIFS($A$4:$A$503,A134,$D$4:$D$503,D134,$E$4:$E$503,E134)&gt;1,"Duplicate price","OK"))))</f>
        <v/>
      </c>
    </row>
    <row r="135">
      <c r="A135" s="26" t="n"/>
      <c r="B135" s="38" t="n"/>
      <c r="C135" s="26" t="n"/>
      <c r="D135" s="28" t="n"/>
      <c r="E135" s="26" t="n"/>
      <c r="F135" s="26" t="n"/>
      <c r="G135" s="30">
        <f>IF(A135="","",IF(COUNTIF('Share classes'!$B$4:$B$203,A135)=0,"Unknown class code",IF(OR(B135="",D135="",E135=""),"Missing required field",IF(COUNTIFS($A$4:$A$503,A135,$D$4:$D$503,D135,$E$4:$E$503,E135)&gt;1,"Duplicate price","OK"))))</f>
        <v/>
      </c>
    </row>
    <row r="136">
      <c r="A136" s="26" t="n"/>
      <c r="B136" s="38" t="n"/>
      <c r="C136" s="26" t="n"/>
      <c r="D136" s="28" t="n"/>
      <c r="E136" s="26" t="n"/>
      <c r="F136" s="26" t="n"/>
      <c r="G136" s="30">
        <f>IF(A136="","",IF(COUNTIF('Share classes'!$B$4:$B$203,A136)=0,"Unknown class code",IF(OR(B136="",D136="",E136=""),"Missing required field",IF(COUNTIFS($A$4:$A$503,A136,$D$4:$D$503,D136,$E$4:$E$503,E136)&gt;1,"Duplicate price","OK"))))</f>
        <v/>
      </c>
    </row>
    <row r="137">
      <c r="A137" s="26" t="n"/>
      <c r="B137" s="38" t="n"/>
      <c r="C137" s="26" t="n"/>
      <c r="D137" s="28" t="n"/>
      <c r="E137" s="26" t="n"/>
      <c r="F137" s="26" t="n"/>
      <c r="G137" s="30">
        <f>IF(A137="","",IF(COUNTIF('Share classes'!$B$4:$B$203,A137)=0,"Unknown class code",IF(OR(B137="",D137="",E137=""),"Missing required field",IF(COUNTIFS($A$4:$A$503,A137,$D$4:$D$503,D137,$E$4:$E$503,E137)&gt;1,"Duplicate price","OK"))))</f>
        <v/>
      </c>
    </row>
    <row r="138">
      <c r="A138" s="26" t="n"/>
      <c r="B138" s="38" t="n"/>
      <c r="C138" s="26" t="n"/>
      <c r="D138" s="28" t="n"/>
      <c r="E138" s="26" t="n"/>
      <c r="F138" s="26" t="n"/>
      <c r="G138" s="30">
        <f>IF(A138="","",IF(COUNTIF('Share classes'!$B$4:$B$203,A138)=0,"Unknown class code",IF(OR(B138="",D138="",E138=""),"Missing required field",IF(COUNTIFS($A$4:$A$503,A138,$D$4:$D$503,D138,$E$4:$E$503,E138)&gt;1,"Duplicate price","OK"))))</f>
        <v/>
      </c>
    </row>
    <row r="139">
      <c r="A139" s="26" t="n"/>
      <c r="B139" s="38" t="n"/>
      <c r="C139" s="26" t="n"/>
      <c r="D139" s="28" t="n"/>
      <c r="E139" s="26" t="n"/>
      <c r="F139" s="26" t="n"/>
      <c r="G139" s="30">
        <f>IF(A139="","",IF(COUNTIF('Share classes'!$B$4:$B$203,A139)=0,"Unknown class code",IF(OR(B139="",D139="",E139=""),"Missing required field",IF(COUNTIFS($A$4:$A$503,A139,$D$4:$D$503,D139,$E$4:$E$503,E139)&gt;1,"Duplicate price","OK"))))</f>
        <v/>
      </c>
    </row>
    <row r="140">
      <c r="A140" s="26" t="n"/>
      <c r="B140" s="38" t="n"/>
      <c r="C140" s="26" t="n"/>
      <c r="D140" s="28" t="n"/>
      <c r="E140" s="26" t="n"/>
      <c r="F140" s="26" t="n"/>
      <c r="G140" s="30">
        <f>IF(A140="","",IF(COUNTIF('Share classes'!$B$4:$B$203,A140)=0,"Unknown class code",IF(OR(B140="",D140="",E140=""),"Missing required field",IF(COUNTIFS($A$4:$A$503,A140,$D$4:$D$503,D140,$E$4:$E$503,E140)&gt;1,"Duplicate price","OK"))))</f>
        <v/>
      </c>
    </row>
    <row r="141">
      <c r="A141" s="26" t="n"/>
      <c r="B141" s="38" t="n"/>
      <c r="C141" s="26" t="n"/>
      <c r="D141" s="28" t="n"/>
      <c r="E141" s="26" t="n"/>
      <c r="F141" s="26" t="n"/>
      <c r="G141" s="30">
        <f>IF(A141="","",IF(COUNTIF('Share classes'!$B$4:$B$203,A141)=0,"Unknown class code",IF(OR(B141="",D141="",E141=""),"Missing required field",IF(COUNTIFS($A$4:$A$503,A141,$D$4:$D$503,D141,$E$4:$E$503,E141)&gt;1,"Duplicate price","OK"))))</f>
        <v/>
      </c>
    </row>
    <row r="142">
      <c r="A142" s="26" t="n"/>
      <c r="B142" s="38" t="n"/>
      <c r="C142" s="26" t="n"/>
      <c r="D142" s="28" t="n"/>
      <c r="E142" s="26" t="n"/>
      <c r="F142" s="26" t="n"/>
      <c r="G142" s="30">
        <f>IF(A142="","",IF(COUNTIF('Share classes'!$B$4:$B$203,A142)=0,"Unknown class code",IF(OR(B142="",D142="",E142=""),"Missing required field",IF(COUNTIFS($A$4:$A$503,A142,$D$4:$D$503,D142,$E$4:$E$503,E142)&gt;1,"Duplicate price","OK"))))</f>
        <v/>
      </c>
    </row>
    <row r="143">
      <c r="A143" s="26" t="n"/>
      <c r="B143" s="38" t="n"/>
      <c r="C143" s="26" t="n"/>
      <c r="D143" s="28" t="n"/>
      <c r="E143" s="26" t="n"/>
      <c r="F143" s="26" t="n"/>
      <c r="G143" s="30">
        <f>IF(A143="","",IF(COUNTIF('Share classes'!$B$4:$B$203,A143)=0,"Unknown class code",IF(OR(B143="",D143="",E143=""),"Missing required field",IF(COUNTIFS($A$4:$A$503,A143,$D$4:$D$503,D143,$E$4:$E$503,E143)&gt;1,"Duplicate price","OK"))))</f>
        <v/>
      </c>
    </row>
    <row r="144">
      <c r="A144" s="26" t="n"/>
      <c r="B144" s="38" t="n"/>
      <c r="C144" s="26" t="n"/>
      <c r="D144" s="28" t="n"/>
      <c r="E144" s="26" t="n"/>
      <c r="F144" s="26" t="n"/>
      <c r="G144" s="30">
        <f>IF(A144="","",IF(COUNTIF('Share classes'!$B$4:$B$203,A144)=0,"Unknown class code",IF(OR(B144="",D144="",E144=""),"Missing required field",IF(COUNTIFS($A$4:$A$503,A144,$D$4:$D$503,D144,$E$4:$E$503,E144)&gt;1,"Duplicate price","OK"))))</f>
        <v/>
      </c>
    </row>
    <row r="145">
      <c r="A145" s="26" t="n"/>
      <c r="B145" s="38" t="n"/>
      <c r="C145" s="26" t="n"/>
      <c r="D145" s="28" t="n"/>
      <c r="E145" s="26" t="n"/>
      <c r="F145" s="26" t="n"/>
      <c r="G145" s="30">
        <f>IF(A145="","",IF(COUNTIF('Share classes'!$B$4:$B$203,A145)=0,"Unknown class code",IF(OR(B145="",D145="",E145=""),"Missing required field",IF(COUNTIFS($A$4:$A$503,A145,$D$4:$D$503,D145,$E$4:$E$503,E145)&gt;1,"Duplicate price","OK"))))</f>
        <v/>
      </c>
    </row>
    <row r="146">
      <c r="A146" s="26" t="n"/>
      <c r="B146" s="38" t="n"/>
      <c r="C146" s="26" t="n"/>
      <c r="D146" s="28" t="n"/>
      <c r="E146" s="26" t="n"/>
      <c r="F146" s="26" t="n"/>
      <c r="G146" s="30">
        <f>IF(A146="","",IF(COUNTIF('Share classes'!$B$4:$B$203,A146)=0,"Unknown class code",IF(OR(B146="",D146="",E146=""),"Missing required field",IF(COUNTIFS($A$4:$A$503,A146,$D$4:$D$503,D146,$E$4:$E$503,E146)&gt;1,"Duplicate price","OK"))))</f>
        <v/>
      </c>
    </row>
    <row r="147">
      <c r="A147" s="26" t="n"/>
      <c r="B147" s="38" t="n"/>
      <c r="C147" s="26" t="n"/>
      <c r="D147" s="28" t="n"/>
      <c r="E147" s="26" t="n"/>
      <c r="F147" s="26" t="n"/>
      <c r="G147" s="30">
        <f>IF(A147="","",IF(COUNTIF('Share classes'!$B$4:$B$203,A147)=0,"Unknown class code",IF(OR(B147="",D147="",E147=""),"Missing required field",IF(COUNTIFS($A$4:$A$503,A147,$D$4:$D$503,D147,$E$4:$E$503,E147)&gt;1,"Duplicate price","OK"))))</f>
        <v/>
      </c>
    </row>
    <row r="148">
      <c r="A148" s="26" t="n"/>
      <c r="B148" s="38" t="n"/>
      <c r="C148" s="26" t="n"/>
      <c r="D148" s="28" t="n"/>
      <c r="E148" s="26" t="n"/>
      <c r="F148" s="26" t="n"/>
      <c r="G148" s="30">
        <f>IF(A148="","",IF(COUNTIF('Share classes'!$B$4:$B$203,A148)=0,"Unknown class code",IF(OR(B148="",D148="",E148=""),"Missing required field",IF(COUNTIFS($A$4:$A$503,A148,$D$4:$D$503,D148,$E$4:$E$503,E148)&gt;1,"Duplicate price","OK"))))</f>
        <v/>
      </c>
    </row>
    <row r="149">
      <c r="A149" s="26" t="n"/>
      <c r="B149" s="38" t="n"/>
      <c r="C149" s="26" t="n"/>
      <c r="D149" s="28" t="n"/>
      <c r="E149" s="26" t="n"/>
      <c r="F149" s="26" t="n"/>
      <c r="G149" s="30">
        <f>IF(A149="","",IF(COUNTIF('Share classes'!$B$4:$B$203,A149)=0,"Unknown class code",IF(OR(B149="",D149="",E149=""),"Missing required field",IF(COUNTIFS($A$4:$A$503,A149,$D$4:$D$503,D149,$E$4:$E$503,E149)&gt;1,"Duplicate price","OK"))))</f>
        <v/>
      </c>
    </row>
    <row r="150">
      <c r="A150" s="26" t="n"/>
      <c r="B150" s="38" t="n"/>
      <c r="C150" s="26" t="n"/>
      <c r="D150" s="28" t="n"/>
      <c r="E150" s="26" t="n"/>
      <c r="F150" s="26" t="n"/>
      <c r="G150" s="30">
        <f>IF(A150="","",IF(COUNTIF('Share classes'!$B$4:$B$203,A150)=0,"Unknown class code",IF(OR(B150="",D150="",E150=""),"Missing required field",IF(COUNTIFS($A$4:$A$503,A150,$D$4:$D$503,D150,$E$4:$E$503,E150)&gt;1,"Duplicate price","OK"))))</f>
        <v/>
      </c>
    </row>
    <row r="151">
      <c r="A151" s="26" t="n"/>
      <c r="B151" s="38" t="n"/>
      <c r="C151" s="26" t="n"/>
      <c r="D151" s="28" t="n"/>
      <c r="E151" s="26" t="n"/>
      <c r="F151" s="26" t="n"/>
      <c r="G151" s="30">
        <f>IF(A151="","",IF(COUNTIF('Share classes'!$B$4:$B$203,A151)=0,"Unknown class code",IF(OR(B151="",D151="",E151=""),"Missing required field",IF(COUNTIFS($A$4:$A$503,A151,$D$4:$D$503,D151,$E$4:$E$503,E151)&gt;1,"Duplicate price","OK"))))</f>
        <v/>
      </c>
    </row>
    <row r="152">
      <c r="A152" s="26" t="n"/>
      <c r="B152" s="38" t="n"/>
      <c r="C152" s="26" t="n"/>
      <c r="D152" s="28" t="n"/>
      <c r="E152" s="26" t="n"/>
      <c r="F152" s="26" t="n"/>
      <c r="G152" s="30">
        <f>IF(A152="","",IF(COUNTIF('Share classes'!$B$4:$B$203,A152)=0,"Unknown class code",IF(OR(B152="",D152="",E152=""),"Missing required field",IF(COUNTIFS($A$4:$A$503,A152,$D$4:$D$503,D152,$E$4:$E$503,E152)&gt;1,"Duplicate price","OK"))))</f>
        <v/>
      </c>
    </row>
    <row r="153">
      <c r="A153" s="26" t="n"/>
      <c r="B153" s="38" t="n"/>
      <c r="C153" s="26" t="n"/>
      <c r="D153" s="28" t="n"/>
      <c r="E153" s="26" t="n"/>
      <c r="F153" s="26" t="n"/>
      <c r="G153" s="30">
        <f>IF(A153="","",IF(COUNTIF('Share classes'!$B$4:$B$203,A153)=0,"Unknown class code",IF(OR(B153="",D153="",E153=""),"Missing required field",IF(COUNTIFS($A$4:$A$503,A153,$D$4:$D$503,D153,$E$4:$E$503,E153)&gt;1,"Duplicate price","OK"))))</f>
        <v/>
      </c>
    </row>
    <row r="154">
      <c r="A154" s="26" t="n"/>
      <c r="B154" s="38" t="n"/>
      <c r="C154" s="26" t="n"/>
      <c r="D154" s="28" t="n"/>
      <c r="E154" s="26" t="n"/>
      <c r="F154" s="26" t="n"/>
      <c r="G154" s="30">
        <f>IF(A154="","",IF(COUNTIF('Share classes'!$B$4:$B$203,A154)=0,"Unknown class code",IF(OR(B154="",D154="",E154=""),"Missing required field",IF(COUNTIFS($A$4:$A$503,A154,$D$4:$D$503,D154,$E$4:$E$503,E154)&gt;1,"Duplicate price","OK"))))</f>
        <v/>
      </c>
    </row>
    <row r="155">
      <c r="A155" s="26" t="n"/>
      <c r="B155" s="38" t="n"/>
      <c r="C155" s="26" t="n"/>
      <c r="D155" s="28" t="n"/>
      <c r="E155" s="26" t="n"/>
      <c r="F155" s="26" t="n"/>
      <c r="G155" s="30">
        <f>IF(A155="","",IF(COUNTIF('Share classes'!$B$4:$B$203,A155)=0,"Unknown class code",IF(OR(B155="",D155="",E155=""),"Missing required field",IF(COUNTIFS($A$4:$A$503,A155,$D$4:$D$503,D155,$E$4:$E$503,E155)&gt;1,"Duplicate price","OK"))))</f>
        <v/>
      </c>
    </row>
    <row r="156">
      <c r="A156" s="26" t="n"/>
      <c r="B156" s="38" t="n"/>
      <c r="C156" s="26" t="n"/>
      <c r="D156" s="28" t="n"/>
      <c r="E156" s="26" t="n"/>
      <c r="F156" s="26" t="n"/>
      <c r="G156" s="30">
        <f>IF(A156="","",IF(COUNTIF('Share classes'!$B$4:$B$203,A156)=0,"Unknown class code",IF(OR(B156="",D156="",E156=""),"Missing required field",IF(COUNTIFS($A$4:$A$503,A156,$D$4:$D$503,D156,$E$4:$E$503,E156)&gt;1,"Duplicate price","OK"))))</f>
        <v/>
      </c>
    </row>
    <row r="157">
      <c r="A157" s="26" t="n"/>
      <c r="B157" s="38" t="n"/>
      <c r="C157" s="26" t="n"/>
      <c r="D157" s="28" t="n"/>
      <c r="E157" s="26" t="n"/>
      <c r="F157" s="26" t="n"/>
      <c r="G157" s="30">
        <f>IF(A157="","",IF(COUNTIF('Share classes'!$B$4:$B$203,A157)=0,"Unknown class code",IF(OR(B157="",D157="",E157=""),"Missing required field",IF(COUNTIFS($A$4:$A$503,A157,$D$4:$D$503,D157,$E$4:$E$503,E157)&gt;1,"Duplicate price","OK"))))</f>
        <v/>
      </c>
    </row>
    <row r="158">
      <c r="A158" s="26" t="n"/>
      <c r="B158" s="38" t="n"/>
      <c r="C158" s="26" t="n"/>
      <c r="D158" s="28" t="n"/>
      <c r="E158" s="26" t="n"/>
      <c r="F158" s="26" t="n"/>
      <c r="G158" s="30">
        <f>IF(A158="","",IF(COUNTIF('Share classes'!$B$4:$B$203,A158)=0,"Unknown class code",IF(OR(B158="",D158="",E158=""),"Missing required field",IF(COUNTIFS($A$4:$A$503,A158,$D$4:$D$503,D158,$E$4:$E$503,E158)&gt;1,"Duplicate price","OK"))))</f>
        <v/>
      </c>
    </row>
    <row r="159">
      <c r="A159" s="26" t="n"/>
      <c r="B159" s="38" t="n"/>
      <c r="C159" s="26" t="n"/>
      <c r="D159" s="28" t="n"/>
      <c r="E159" s="26" t="n"/>
      <c r="F159" s="26" t="n"/>
      <c r="G159" s="30">
        <f>IF(A159="","",IF(COUNTIF('Share classes'!$B$4:$B$203,A159)=0,"Unknown class code",IF(OR(B159="",D159="",E159=""),"Missing required field",IF(COUNTIFS($A$4:$A$503,A159,$D$4:$D$503,D159,$E$4:$E$503,E159)&gt;1,"Duplicate price","OK"))))</f>
        <v/>
      </c>
    </row>
    <row r="160">
      <c r="A160" s="26" t="n"/>
      <c r="B160" s="38" t="n"/>
      <c r="C160" s="26" t="n"/>
      <c r="D160" s="28" t="n"/>
      <c r="E160" s="26" t="n"/>
      <c r="F160" s="26" t="n"/>
      <c r="G160" s="30">
        <f>IF(A160="","",IF(COUNTIF('Share classes'!$B$4:$B$203,A160)=0,"Unknown class code",IF(OR(B160="",D160="",E160=""),"Missing required field",IF(COUNTIFS($A$4:$A$503,A160,$D$4:$D$503,D160,$E$4:$E$503,E160)&gt;1,"Duplicate price","OK"))))</f>
        <v/>
      </c>
    </row>
    <row r="161">
      <c r="A161" s="26" t="n"/>
      <c r="B161" s="38" t="n"/>
      <c r="C161" s="26" t="n"/>
      <c r="D161" s="28" t="n"/>
      <c r="E161" s="26" t="n"/>
      <c r="F161" s="26" t="n"/>
      <c r="G161" s="30">
        <f>IF(A161="","",IF(COUNTIF('Share classes'!$B$4:$B$203,A161)=0,"Unknown class code",IF(OR(B161="",D161="",E161=""),"Missing required field",IF(COUNTIFS($A$4:$A$503,A161,$D$4:$D$503,D161,$E$4:$E$503,E161)&gt;1,"Duplicate price","OK"))))</f>
        <v/>
      </c>
    </row>
    <row r="162">
      <c r="A162" s="26" t="n"/>
      <c r="B162" s="38" t="n"/>
      <c r="C162" s="26" t="n"/>
      <c r="D162" s="28" t="n"/>
      <c r="E162" s="26" t="n"/>
      <c r="F162" s="26" t="n"/>
      <c r="G162" s="30">
        <f>IF(A162="","",IF(COUNTIF('Share classes'!$B$4:$B$203,A162)=0,"Unknown class code",IF(OR(B162="",D162="",E162=""),"Missing required field",IF(COUNTIFS($A$4:$A$503,A162,$D$4:$D$503,D162,$E$4:$E$503,E162)&gt;1,"Duplicate price","OK"))))</f>
        <v/>
      </c>
    </row>
    <row r="163">
      <c r="A163" s="26" t="n"/>
      <c r="B163" s="38" t="n"/>
      <c r="C163" s="26" t="n"/>
      <c r="D163" s="28" t="n"/>
      <c r="E163" s="26" t="n"/>
      <c r="F163" s="26" t="n"/>
      <c r="G163" s="30">
        <f>IF(A163="","",IF(COUNTIF('Share classes'!$B$4:$B$203,A163)=0,"Unknown class code",IF(OR(B163="",D163="",E163=""),"Missing required field",IF(COUNTIFS($A$4:$A$503,A163,$D$4:$D$503,D163,$E$4:$E$503,E163)&gt;1,"Duplicate price","OK"))))</f>
        <v/>
      </c>
    </row>
    <row r="164">
      <c r="A164" s="26" t="n"/>
      <c r="B164" s="38" t="n"/>
      <c r="C164" s="26" t="n"/>
      <c r="D164" s="28" t="n"/>
      <c r="E164" s="26" t="n"/>
      <c r="F164" s="26" t="n"/>
      <c r="G164" s="30">
        <f>IF(A164="","",IF(COUNTIF('Share classes'!$B$4:$B$203,A164)=0,"Unknown class code",IF(OR(B164="",D164="",E164=""),"Missing required field",IF(COUNTIFS($A$4:$A$503,A164,$D$4:$D$503,D164,$E$4:$E$503,E164)&gt;1,"Duplicate price","OK"))))</f>
        <v/>
      </c>
    </row>
    <row r="165">
      <c r="A165" s="26" t="n"/>
      <c r="B165" s="38" t="n"/>
      <c r="C165" s="26" t="n"/>
      <c r="D165" s="28" t="n"/>
      <c r="E165" s="26" t="n"/>
      <c r="F165" s="26" t="n"/>
      <c r="G165" s="30">
        <f>IF(A165="","",IF(COUNTIF('Share classes'!$B$4:$B$203,A165)=0,"Unknown class code",IF(OR(B165="",D165="",E165=""),"Missing required field",IF(COUNTIFS($A$4:$A$503,A165,$D$4:$D$503,D165,$E$4:$E$503,E165)&gt;1,"Duplicate price","OK"))))</f>
        <v/>
      </c>
    </row>
    <row r="166">
      <c r="A166" s="26" t="n"/>
      <c r="B166" s="38" t="n"/>
      <c r="C166" s="26" t="n"/>
      <c r="D166" s="28" t="n"/>
      <c r="E166" s="26" t="n"/>
      <c r="F166" s="26" t="n"/>
      <c r="G166" s="30">
        <f>IF(A166="","",IF(COUNTIF('Share classes'!$B$4:$B$203,A166)=0,"Unknown class code",IF(OR(B166="",D166="",E166=""),"Missing required field",IF(COUNTIFS($A$4:$A$503,A166,$D$4:$D$503,D166,$E$4:$E$503,E166)&gt;1,"Duplicate price","OK"))))</f>
        <v/>
      </c>
    </row>
    <row r="167">
      <c r="A167" s="26" t="n"/>
      <c r="B167" s="38" t="n"/>
      <c r="C167" s="26" t="n"/>
      <c r="D167" s="28" t="n"/>
      <c r="E167" s="26" t="n"/>
      <c r="F167" s="26" t="n"/>
      <c r="G167" s="30">
        <f>IF(A167="","",IF(COUNTIF('Share classes'!$B$4:$B$203,A167)=0,"Unknown class code",IF(OR(B167="",D167="",E167=""),"Missing required field",IF(COUNTIFS($A$4:$A$503,A167,$D$4:$D$503,D167,$E$4:$E$503,E167)&gt;1,"Duplicate price","OK"))))</f>
        <v/>
      </c>
    </row>
    <row r="168">
      <c r="A168" s="26" t="n"/>
      <c r="B168" s="38" t="n"/>
      <c r="C168" s="26" t="n"/>
      <c r="D168" s="28" t="n"/>
      <c r="E168" s="26" t="n"/>
      <c r="F168" s="26" t="n"/>
      <c r="G168" s="30">
        <f>IF(A168="","",IF(COUNTIF('Share classes'!$B$4:$B$203,A168)=0,"Unknown class code",IF(OR(B168="",D168="",E168=""),"Missing required field",IF(COUNTIFS($A$4:$A$503,A168,$D$4:$D$503,D168,$E$4:$E$503,E168)&gt;1,"Duplicate price","OK"))))</f>
        <v/>
      </c>
    </row>
    <row r="169">
      <c r="A169" s="26" t="n"/>
      <c r="B169" s="38" t="n"/>
      <c r="C169" s="26" t="n"/>
      <c r="D169" s="28" t="n"/>
      <c r="E169" s="26" t="n"/>
      <c r="F169" s="26" t="n"/>
      <c r="G169" s="30">
        <f>IF(A169="","",IF(COUNTIF('Share classes'!$B$4:$B$203,A169)=0,"Unknown class code",IF(OR(B169="",D169="",E169=""),"Missing required field",IF(COUNTIFS($A$4:$A$503,A169,$D$4:$D$503,D169,$E$4:$E$503,E169)&gt;1,"Duplicate price","OK"))))</f>
        <v/>
      </c>
    </row>
    <row r="170">
      <c r="A170" s="26" t="n"/>
      <c r="B170" s="38" t="n"/>
      <c r="C170" s="26" t="n"/>
      <c r="D170" s="28" t="n"/>
      <c r="E170" s="26" t="n"/>
      <c r="F170" s="26" t="n"/>
      <c r="G170" s="30">
        <f>IF(A170="","",IF(COUNTIF('Share classes'!$B$4:$B$203,A170)=0,"Unknown class code",IF(OR(B170="",D170="",E170=""),"Missing required field",IF(COUNTIFS($A$4:$A$503,A170,$D$4:$D$503,D170,$E$4:$E$503,E170)&gt;1,"Duplicate price","OK"))))</f>
        <v/>
      </c>
    </row>
    <row r="171">
      <c r="A171" s="26" t="n"/>
      <c r="B171" s="38" t="n"/>
      <c r="C171" s="26" t="n"/>
      <c r="D171" s="28" t="n"/>
      <c r="E171" s="26" t="n"/>
      <c r="F171" s="26" t="n"/>
      <c r="G171" s="30">
        <f>IF(A171="","",IF(COUNTIF('Share classes'!$B$4:$B$203,A171)=0,"Unknown class code",IF(OR(B171="",D171="",E171=""),"Missing required field",IF(COUNTIFS($A$4:$A$503,A171,$D$4:$D$503,D171,$E$4:$E$503,E171)&gt;1,"Duplicate price","OK"))))</f>
        <v/>
      </c>
    </row>
    <row r="172">
      <c r="A172" s="26" t="n"/>
      <c r="B172" s="38" t="n"/>
      <c r="C172" s="26" t="n"/>
      <c r="D172" s="28" t="n"/>
      <c r="E172" s="26" t="n"/>
      <c r="F172" s="26" t="n"/>
      <c r="G172" s="30">
        <f>IF(A172="","",IF(COUNTIF('Share classes'!$B$4:$B$203,A172)=0,"Unknown class code",IF(OR(B172="",D172="",E172=""),"Missing required field",IF(COUNTIFS($A$4:$A$503,A172,$D$4:$D$503,D172,$E$4:$E$503,E172)&gt;1,"Duplicate price","OK"))))</f>
        <v/>
      </c>
    </row>
    <row r="173">
      <c r="A173" s="26" t="n"/>
      <c r="B173" s="38" t="n"/>
      <c r="C173" s="26" t="n"/>
      <c r="D173" s="28" t="n"/>
      <c r="E173" s="26" t="n"/>
      <c r="F173" s="26" t="n"/>
      <c r="G173" s="30">
        <f>IF(A173="","",IF(COUNTIF('Share classes'!$B$4:$B$203,A173)=0,"Unknown class code",IF(OR(B173="",D173="",E173=""),"Missing required field",IF(COUNTIFS($A$4:$A$503,A173,$D$4:$D$503,D173,$E$4:$E$503,E173)&gt;1,"Duplicate price","OK"))))</f>
        <v/>
      </c>
    </row>
    <row r="174">
      <c r="A174" s="26" t="n"/>
      <c r="B174" s="38" t="n"/>
      <c r="C174" s="26" t="n"/>
      <c r="D174" s="28" t="n"/>
      <c r="E174" s="26" t="n"/>
      <c r="F174" s="26" t="n"/>
      <c r="G174" s="30">
        <f>IF(A174="","",IF(COUNTIF('Share classes'!$B$4:$B$203,A174)=0,"Unknown class code",IF(OR(B174="",D174="",E174=""),"Missing required field",IF(COUNTIFS($A$4:$A$503,A174,$D$4:$D$503,D174,$E$4:$E$503,E174)&gt;1,"Duplicate price","OK"))))</f>
        <v/>
      </c>
    </row>
    <row r="175">
      <c r="A175" s="26" t="n"/>
      <c r="B175" s="38" t="n"/>
      <c r="C175" s="26" t="n"/>
      <c r="D175" s="28" t="n"/>
      <c r="E175" s="26" t="n"/>
      <c r="F175" s="26" t="n"/>
      <c r="G175" s="30">
        <f>IF(A175="","",IF(COUNTIF('Share classes'!$B$4:$B$203,A175)=0,"Unknown class code",IF(OR(B175="",D175="",E175=""),"Missing required field",IF(COUNTIFS($A$4:$A$503,A175,$D$4:$D$503,D175,$E$4:$E$503,E175)&gt;1,"Duplicate price","OK"))))</f>
        <v/>
      </c>
    </row>
    <row r="176">
      <c r="A176" s="26" t="n"/>
      <c r="B176" s="38" t="n"/>
      <c r="C176" s="26" t="n"/>
      <c r="D176" s="28" t="n"/>
      <c r="E176" s="26" t="n"/>
      <c r="F176" s="26" t="n"/>
      <c r="G176" s="30">
        <f>IF(A176="","",IF(COUNTIF('Share classes'!$B$4:$B$203,A176)=0,"Unknown class code",IF(OR(B176="",D176="",E176=""),"Missing required field",IF(COUNTIFS($A$4:$A$503,A176,$D$4:$D$503,D176,$E$4:$E$503,E176)&gt;1,"Duplicate price","OK"))))</f>
        <v/>
      </c>
    </row>
    <row r="177">
      <c r="A177" s="26" t="n"/>
      <c r="B177" s="38" t="n"/>
      <c r="C177" s="26" t="n"/>
      <c r="D177" s="28" t="n"/>
      <c r="E177" s="26" t="n"/>
      <c r="F177" s="26" t="n"/>
      <c r="G177" s="30">
        <f>IF(A177="","",IF(COUNTIF('Share classes'!$B$4:$B$203,A177)=0,"Unknown class code",IF(OR(B177="",D177="",E177=""),"Missing required field",IF(COUNTIFS($A$4:$A$503,A177,$D$4:$D$503,D177,$E$4:$E$503,E177)&gt;1,"Duplicate price","OK"))))</f>
        <v/>
      </c>
    </row>
    <row r="178">
      <c r="A178" s="26" t="n"/>
      <c r="B178" s="38" t="n"/>
      <c r="C178" s="26" t="n"/>
      <c r="D178" s="28" t="n"/>
      <c r="E178" s="26" t="n"/>
      <c r="F178" s="26" t="n"/>
      <c r="G178" s="30">
        <f>IF(A178="","",IF(COUNTIF('Share classes'!$B$4:$B$203,A178)=0,"Unknown class code",IF(OR(B178="",D178="",E178=""),"Missing required field",IF(COUNTIFS($A$4:$A$503,A178,$D$4:$D$503,D178,$E$4:$E$503,E178)&gt;1,"Duplicate price","OK"))))</f>
        <v/>
      </c>
    </row>
    <row r="179">
      <c r="A179" s="26" t="n"/>
      <c r="B179" s="38" t="n"/>
      <c r="C179" s="26" t="n"/>
      <c r="D179" s="28" t="n"/>
      <c r="E179" s="26" t="n"/>
      <c r="F179" s="26" t="n"/>
      <c r="G179" s="30">
        <f>IF(A179="","",IF(COUNTIF('Share classes'!$B$4:$B$203,A179)=0,"Unknown class code",IF(OR(B179="",D179="",E179=""),"Missing required field",IF(COUNTIFS($A$4:$A$503,A179,$D$4:$D$503,D179,$E$4:$E$503,E179)&gt;1,"Duplicate price","OK"))))</f>
        <v/>
      </c>
    </row>
    <row r="180">
      <c r="A180" s="26" t="n"/>
      <c r="B180" s="38" t="n"/>
      <c r="C180" s="26" t="n"/>
      <c r="D180" s="28" t="n"/>
      <c r="E180" s="26" t="n"/>
      <c r="F180" s="26" t="n"/>
      <c r="G180" s="30">
        <f>IF(A180="","",IF(COUNTIF('Share classes'!$B$4:$B$203,A180)=0,"Unknown class code",IF(OR(B180="",D180="",E180=""),"Missing required field",IF(COUNTIFS($A$4:$A$503,A180,$D$4:$D$503,D180,$E$4:$E$503,E180)&gt;1,"Duplicate price","OK"))))</f>
        <v/>
      </c>
    </row>
    <row r="181">
      <c r="A181" s="26" t="n"/>
      <c r="B181" s="38" t="n"/>
      <c r="C181" s="26" t="n"/>
      <c r="D181" s="28" t="n"/>
      <c r="E181" s="26" t="n"/>
      <c r="F181" s="26" t="n"/>
      <c r="G181" s="30">
        <f>IF(A181="","",IF(COUNTIF('Share classes'!$B$4:$B$203,A181)=0,"Unknown class code",IF(OR(B181="",D181="",E181=""),"Missing required field",IF(COUNTIFS($A$4:$A$503,A181,$D$4:$D$503,D181,$E$4:$E$503,E181)&gt;1,"Duplicate price","OK"))))</f>
        <v/>
      </c>
    </row>
    <row r="182">
      <c r="A182" s="26" t="n"/>
      <c r="B182" s="38" t="n"/>
      <c r="C182" s="26" t="n"/>
      <c r="D182" s="28" t="n"/>
      <c r="E182" s="26" t="n"/>
      <c r="F182" s="26" t="n"/>
      <c r="G182" s="30">
        <f>IF(A182="","",IF(COUNTIF('Share classes'!$B$4:$B$203,A182)=0,"Unknown class code",IF(OR(B182="",D182="",E182=""),"Missing required field",IF(COUNTIFS($A$4:$A$503,A182,$D$4:$D$503,D182,$E$4:$E$503,E182)&gt;1,"Duplicate price","OK"))))</f>
        <v/>
      </c>
    </row>
    <row r="183">
      <c r="A183" s="26" t="n"/>
      <c r="B183" s="38" t="n"/>
      <c r="C183" s="26" t="n"/>
      <c r="D183" s="28" t="n"/>
      <c r="E183" s="26" t="n"/>
      <c r="F183" s="26" t="n"/>
      <c r="G183" s="30">
        <f>IF(A183="","",IF(COUNTIF('Share classes'!$B$4:$B$203,A183)=0,"Unknown class code",IF(OR(B183="",D183="",E183=""),"Missing required field",IF(COUNTIFS($A$4:$A$503,A183,$D$4:$D$503,D183,$E$4:$E$503,E183)&gt;1,"Duplicate price","OK"))))</f>
        <v/>
      </c>
    </row>
    <row r="184">
      <c r="A184" s="26" t="n"/>
      <c r="B184" s="38" t="n"/>
      <c r="C184" s="26" t="n"/>
      <c r="D184" s="28" t="n"/>
      <c r="E184" s="26" t="n"/>
      <c r="F184" s="26" t="n"/>
      <c r="G184" s="30">
        <f>IF(A184="","",IF(COUNTIF('Share classes'!$B$4:$B$203,A184)=0,"Unknown class code",IF(OR(B184="",D184="",E184=""),"Missing required field",IF(COUNTIFS($A$4:$A$503,A184,$D$4:$D$503,D184,$E$4:$E$503,E184)&gt;1,"Duplicate price","OK"))))</f>
        <v/>
      </c>
    </row>
    <row r="185">
      <c r="A185" s="26" t="n"/>
      <c r="B185" s="38" t="n"/>
      <c r="C185" s="26" t="n"/>
      <c r="D185" s="28" t="n"/>
      <c r="E185" s="26" t="n"/>
      <c r="F185" s="26" t="n"/>
      <c r="G185" s="30">
        <f>IF(A185="","",IF(COUNTIF('Share classes'!$B$4:$B$203,A185)=0,"Unknown class code",IF(OR(B185="",D185="",E185=""),"Missing required field",IF(COUNTIFS($A$4:$A$503,A185,$D$4:$D$503,D185,$E$4:$E$503,E185)&gt;1,"Duplicate price","OK"))))</f>
        <v/>
      </c>
    </row>
    <row r="186">
      <c r="A186" s="26" t="n"/>
      <c r="B186" s="38" t="n"/>
      <c r="C186" s="26" t="n"/>
      <c r="D186" s="28" t="n"/>
      <c r="E186" s="26" t="n"/>
      <c r="F186" s="26" t="n"/>
      <c r="G186" s="30">
        <f>IF(A186="","",IF(COUNTIF('Share classes'!$B$4:$B$203,A186)=0,"Unknown class code",IF(OR(B186="",D186="",E186=""),"Missing required field",IF(COUNTIFS($A$4:$A$503,A186,$D$4:$D$503,D186,$E$4:$E$503,E186)&gt;1,"Duplicate price","OK"))))</f>
        <v/>
      </c>
    </row>
    <row r="187">
      <c r="A187" s="26" t="n"/>
      <c r="B187" s="38" t="n"/>
      <c r="C187" s="26" t="n"/>
      <c r="D187" s="28" t="n"/>
      <c r="E187" s="26" t="n"/>
      <c r="F187" s="26" t="n"/>
      <c r="G187" s="30">
        <f>IF(A187="","",IF(COUNTIF('Share classes'!$B$4:$B$203,A187)=0,"Unknown class code",IF(OR(B187="",D187="",E187=""),"Missing required field",IF(COUNTIFS($A$4:$A$503,A187,$D$4:$D$503,D187,$E$4:$E$503,E187)&gt;1,"Duplicate price","OK"))))</f>
        <v/>
      </c>
    </row>
    <row r="188">
      <c r="A188" s="26" t="n"/>
      <c r="B188" s="38" t="n"/>
      <c r="C188" s="26" t="n"/>
      <c r="D188" s="28" t="n"/>
      <c r="E188" s="26" t="n"/>
      <c r="F188" s="26" t="n"/>
      <c r="G188" s="30">
        <f>IF(A188="","",IF(COUNTIF('Share classes'!$B$4:$B$203,A188)=0,"Unknown class code",IF(OR(B188="",D188="",E188=""),"Missing required field",IF(COUNTIFS($A$4:$A$503,A188,$D$4:$D$503,D188,$E$4:$E$503,E188)&gt;1,"Duplicate price","OK"))))</f>
        <v/>
      </c>
    </row>
    <row r="189">
      <c r="A189" s="26" t="n"/>
      <c r="B189" s="38" t="n"/>
      <c r="C189" s="26" t="n"/>
      <c r="D189" s="28" t="n"/>
      <c r="E189" s="26" t="n"/>
      <c r="F189" s="26" t="n"/>
      <c r="G189" s="30">
        <f>IF(A189="","",IF(COUNTIF('Share classes'!$B$4:$B$203,A189)=0,"Unknown class code",IF(OR(B189="",D189="",E189=""),"Missing required field",IF(COUNTIFS($A$4:$A$503,A189,$D$4:$D$503,D189,$E$4:$E$503,E189)&gt;1,"Duplicate price","OK"))))</f>
        <v/>
      </c>
    </row>
    <row r="190">
      <c r="A190" s="26" t="n"/>
      <c r="B190" s="38" t="n"/>
      <c r="C190" s="26" t="n"/>
      <c r="D190" s="28" t="n"/>
      <c r="E190" s="26" t="n"/>
      <c r="F190" s="26" t="n"/>
      <c r="G190" s="30">
        <f>IF(A190="","",IF(COUNTIF('Share classes'!$B$4:$B$203,A190)=0,"Unknown class code",IF(OR(B190="",D190="",E190=""),"Missing required field",IF(COUNTIFS($A$4:$A$503,A190,$D$4:$D$503,D190,$E$4:$E$503,E190)&gt;1,"Duplicate price","OK"))))</f>
        <v/>
      </c>
    </row>
    <row r="191">
      <c r="A191" s="26" t="n"/>
      <c r="B191" s="38" t="n"/>
      <c r="C191" s="26" t="n"/>
      <c r="D191" s="28" t="n"/>
      <c r="E191" s="26" t="n"/>
      <c r="F191" s="26" t="n"/>
      <c r="G191" s="30">
        <f>IF(A191="","",IF(COUNTIF('Share classes'!$B$4:$B$203,A191)=0,"Unknown class code",IF(OR(B191="",D191="",E191=""),"Missing required field",IF(COUNTIFS($A$4:$A$503,A191,$D$4:$D$503,D191,$E$4:$E$503,E191)&gt;1,"Duplicate price","OK"))))</f>
        <v/>
      </c>
    </row>
    <row r="192">
      <c r="A192" s="26" t="n"/>
      <c r="B192" s="38" t="n"/>
      <c r="C192" s="26" t="n"/>
      <c r="D192" s="28" t="n"/>
      <c r="E192" s="26" t="n"/>
      <c r="F192" s="26" t="n"/>
      <c r="G192" s="30">
        <f>IF(A192="","",IF(COUNTIF('Share classes'!$B$4:$B$203,A192)=0,"Unknown class code",IF(OR(B192="",D192="",E192=""),"Missing required field",IF(COUNTIFS($A$4:$A$503,A192,$D$4:$D$503,D192,$E$4:$E$503,E192)&gt;1,"Duplicate price","OK"))))</f>
        <v/>
      </c>
    </row>
    <row r="193">
      <c r="A193" s="26" t="n"/>
      <c r="B193" s="38" t="n"/>
      <c r="C193" s="26" t="n"/>
      <c r="D193" s="28" t="n"/>
      <c r="E193" s="26" t="n"/>
      <c r="F193" s="26" t="n"/>
      <c r="G193" s="30">
        <f>IF(A193="","",IF(COUNTIF('Share classes'!$B$4:$B$203,A193)=0,"Unknown class code",IF(OR(B193="",D193="",E193=""),"Missing required field",IF(COUNTIFS($A$4:$A$503,A193,$D$4:$D$503,D193,$E$4:$E$503,E193)&gt;1,"Duplicate price","OK"))))</f>
        <v/>
      </c>
    </row>
    <row r="194">
      <c r="A194" s="26" t="n"/>
      <c r="B194" s="38" t="n"/>
      <c r="C194" s="26" t="n"/>
      <c r="D194" s="28" t="n"/>
      <c r="E194" s="26" t="n"/>
      <c r="F194" s="26" t="n"/>
      <c r="G194" s="30">
        <f>IF(A194="","",IF(COUNTIF('Share classes'!$B$4:$B$203,A194)=0,"Unknown class code",IF(OR(B194="",D194="",E194=""),"Missing required field",IF(COUNTIFS($A$4:$A$503,A194,$D$4:$D$503,D194,$E$4:$E$503,E194)&gt;1,"Duplicate price","OK"))))</f>
        <v/>
      </c>
    </row>
    <row r="195">
      <c r="A195" s="26" t="n"/>
      <c r="B195" s="38" t="n"/>
      <c r="C195" s="26" t="n"/>
      <c r="D195" s="28" t="n"/>
      <c r="E195" s="26" t="n"/>
      <c r="F195" s="26" t="n"/>
      <c r="G195" s="30">
        <f>IF(A195="","",IF(COUNTIF('Share classes'!$B$4:$B$203,A195)=0,"Unknown class code",IF(OR(B195="",D195="",E195=""),"Missing required field",IF(COUNTIFS($A$4:$A$503,A195,$D$4:$D$503,D195,$E$4:$E$503,E195)&gt;1,"Duplicate price","OK"))))</f>
        <v/>
      </c>
    </row>
    <row r="196">
      <c r="A196" s="26" t="n"/>
      <c r="B196" s="38" t="n"/>
      <c r="C196" s="26" t="n"/>
      <c r="D196" s="28" t="n"/>
      <c r="E196" s="26" t="n"/>
      <c r="F196" s="26" t="n"/>
      <c r="G196" s="30">
        <f>IF(A196="","",IF(COUNTIF('Share classes'!$B$4:$B$203,A196)=0,"Unknown class code",IF(OR(B196="",D196="",E196=""),"Missing required field",IF(COUNTIFS($A$4:$A$503,A196,$D$4:$D$503,D196,$E$4:$E$503,E196)&gt;1,"Duplicate price","OK"))))</f>
        <v/>
      </c>
    </row>
    <row r="197">
      <c r="A197" s="26" t="n"/>
      <c r="B197" s="38" t="n"/>
      <c r="C197" s="26" t="n"/>
      <c r="D197" s="28" t="n"/>
      <c r="E197" s="26" t="n"/>
      <c r="F197" s="26" t="n"/>
      <c r="G197" s="30">
        <f>IF(A197="","",IF(COUNTIF('Share classes'!$B$4:$B$203,A197)=0,"Unknown class code",IF(OR(B197="",D197="",E197=""),"Missing required field",IF(COUNTIFS($A$4:$A$503,A197,$D$4:$D$503,D197,$E$4:$E$503,E197)&gt;1,"Duplicate price","OK"))))</f>
        <v/>
      </c>
    </row>
    <row r="198">
      <c r="A198" s="26" t="n"/>
      <c r="B198" s="38" t="n"/>
      <c r="C198" s="26" t="n"/>
      <c r="D198" s="28" t="n"/>
      <c r="E198" s="26" t="n"/>
      <c r="F198" s="26" t="n"/>
      <c r="G198" s="30">
        <f>IF(A198="","",IF(COUNTIF('Share classes'!$B$4:$B$203,A198)=0,"Unknown class code",IF(OR(B198="",D198="",E198=""),"Missing required field",IF(COUNTIFS($A$4:$A$503,A198,$D$4:$D$503,D198,$E$4:$E$503,E198)&gt;1,"Duplicate price","OK"))))</f>
        <v/>
      </c>
    </row>
    <row r="199">
      <c r="A199" s="26" t="n"/>
      <c r="B199" s="38" t="n"/>
      <c r="C199" s="26" t="n"/>
      <c r="D199" s="28" t="n"/>
      <c r="E199" s="26" t="n"/>
      <c r="F199" s="26" t="n"/>
      <c r="G199" s="30">
        <f>IF(A199="","",IF(COUNTIF('Share classes'!$B$4:$B$203,A199)=0,"Unknown class code",IF(OR(B199="",D199="",E199=""),"Missing required field",IF(COUNTIFS($A$4:$A$503,A199,$D$4:$D$503,D199,$E$4:$E$503,E199)&gt;1,"Duplicate price","OK"))))</f>
        <v/>
      </c>
    </row>
    <row r="200">
      <c r="A200" s="26" t="n"/>
      <c r="B200" s="38" t="n"/>
      <c r="C200" s="26" t="n"/>
      <c r="D200" s="28" t="n"/>
      <c r="E200" s="26" t="n"/>
      <c r="F200" s="26" t="n"/>
      <c r="G200" s="30">
        <f>IF(A200="","",IF(COUNTIF('Share classes'!$B$4:$B$203,A200)=0,"Unknown class code",IF(OR(B200="",D200="",E200=""),"Missing required field",IF(COUNTIFS($A$4:$A$503,A200,$D$4:$D$503,D200,$E$4:$E$503,E200)&gt;1,"Duplicate price","OK"))))</f>
        <v/>
      </c>
    </row>
    <row r="201">
      <c r="A201" s="26" t="n"/>
      <c r="B201" s="38" t="n"/>
      <c r="C201" s="26" t="n"/>
      <c r="D201" s="28" t="n"/>
      <c r="E201" s="26" t="n"/>
      <c r="F201" s="26" t="n"/>
      <c r="G201" s="30">
        <f>IF(A201="","",IF(COUNTIF('Share classes'!$B$4:$B$203,A201)=0,"Unknown class code",IF(OR(B201="",D201="",E201=""),"Missing required field",IF(COUNTIFS($A$4:$A$503,A201,$D$4:$D$503,D201,$E$4:$E$503,E201)&gt;1,"Duplicate price","OK"))))</f>
        <v/>
      </c>
    </row>
    <row r="202">
      <c r="A202" s="26" t="n"/>
      <c r="B202" s="38" t="n"/>
      <c r="C202" s="26" t="n"/>
      <c r="D202" s="28" t="n"/>
      <c r="E202" s="26" t="n"/>
      <c r="F202" s="26" t="n"/>
      <c r="G202" s="30">
        <f>IF(A202="","",IF(COUNTIF('Share classes'!$B$4:$B$203,A202)=0,"Unknown class code",IF(OR(B202="",D202="",E202=""),"Missing required field",IF(COUNTIFS($A$4:$A$503,A202,$D$4:$D$503,D202,$E$4:$E$503,E202)&gt;1,"Duplicate price","OK"))))</f>
        <v/>
      </c>
    </row>
    <row r="203">
      <c r="A203" s="26" t="n"/>
      <c r="B203" s="38" t="n"/>
      <c r="C203" s="26" t="n"/>
      <c r="D203" s="28" t="n"/>
      <c r="E203" s="26" t="n"/>
      <c r="F203" s="26" t="n"/>
      <c r="G203" s="30">
        <f>IF(A203="","",IF(COUNTIF('Share classes'!$B$4:$B$203,A203)=0,"Unknown class code",IF(OR(B203="",D203="",E203=""),"Missing required field",IF(COUNTIFS($A$4:$A$503,A203,$D$4:$D$503,D203,$E$4:$E$503,E203)&gt;1,"Duplicate price","OK"))))</f>
        <v/>
      </c>
    </row>
    <row r="204">
      <c r="A204" s="26" t="n"/>
      <c r="B204" s="38" t="n"/>
      <c r="C204" s="26" t="n"/>
      <c r="D204" s="28" t="n"/>
      <c r="E204" s="26" t="n"/>
      <c r="F204" s="26" t="n"/>
      <c r="G204" s="30">
        <f>IF(A204="","",IF(COUNTIF('Share classes'!$B$4:$B$203,A204)=0,"Unknown class code",IF(OR(B204="",D204="",E204=""),"Missing required field",IF(COUNTIFS($A$4:$A$503,A204,$D$4:$D$503,D204,$E$4:$E$503,E204)&gt;1,"Duplicate price","OK"))))</f>
        <v/>
      </c>
    </row>
    <row r="205">
      <c r="A205" s="26" t="n"/>
      <c r="B205" s="38" t="n"/>
      <c r="C205" s="26" t="n"/>
      <c r="D205" s="28" t="n"/>
      <c r="E205" s="26" t="n"/>
      <c r="F205" s="26" t="n"/>
      <c r="G205" s="30">
        <f>IF(A205="","",IF(COUNTIF('Share classes'!$B$4:$B$203,A205)=0,"Unknown class code",IF(OR(B205="",D205="",E205=""),"Missing required field",IF(COUNTIFS($A$4:$A$503,A205,$D$4:$D$503,D205,$E$4:$E$503,E205)&gt;1,"Duplicate price","OK"))))</f>
        <v/>
      </c>
    </row>
    <row r="206">
      <c r="A206" s="26" t="n"/>
      <c r="B206" s="38" t="n"/>
      <c r="C206" s="26" t="n"/>
      <c r="D206" s="28" t="n"/>
      <c r="E206" s="26" t="n"/>
      <c r="F206" s="26" t="n"/>
      <c r="G206" s="30">
        <f>IF(A206="","",IF(COUNTIF('Share classes'!$B$4:$B$203,A206)=0,"Unknown class code",IF(OR(B206="",D206="",E206=""),"Missing required field",IF(COUNTIFS($A$4:$A$503,A206,$D$4:$D$503,D206,$E$4:$E$503,E206)&gt;1,"Duplicate price","OK"))))</f>
        <v/>
      </c>
    </row>
    <row r="207">
      <c r="A207" s="26" t="n"/>
      <c r="B207" s="38" t="n"/>
      <c r="C207" s="26" t="n"/>
      <c r="D207" s="28" t="n"/>
      <c r="E207" s="26" t="n"/>
      <c r="F207" s="26" t="n"/>
      <c r="G207" s="30">
        <f>IF(A207="","",IF(COUNTIF('Share classes'!$B$4:$B$203,A207)=0,"Unknown class code",IF(OR(B207="",D207="",E207=""),"Missing required field",IF(COUNTIFS($A$4:$A$503,A207,$D$4:$D$503,D207,$E$4:$E$503,E207)&gt;1,"Duplicate price","OK"))))</f>
        <v/>
      </c>
    </row>
    <row r="208">
      <c r="A208" s="26" t="n"/>
      <c r="B208" s="38" t="n"/>
      <c r="C208" s="26" t="n"/>
      <c r="D208" s="28" t="n"/>
      <c r="E208" s="26" t="n"/>
      <c r="F208" s="26" t="n"/>
      <c r="G208" s="30">
        <f>IF(A208="","",IF(COUNTIF('Share classes'!$B$4:$B$203,A208)=0,"Unknown class code",IF(OR(B208="",D208="",E208=""),"Missing required field",IF(COUNTIFS($A$4:$A$503,A208,$D$4:$D$503,D208,$E$4:$E$503,E208)&gt;1,"Duplicate price","OK"))))</f>
        <v/>
      </c>
    </row>
    <row r="209">
      <c r="A209" s="26" t="n"/>
      <c r="B209" s="38" t="n"/>
      <c r="C209" s="26" t="n"/>
      <c r="D209" s="28" t="n"/>
      <c r="E209" s="26" t="n"/>
      <c r="F209" s="26" t="n"/>
      <c r="G209" s="30">
        <f>IF(A209="","",IF(COUNTIF('Share classes'!$B$4:$B$203,A209)=0,"Unknown class code",IF(OR(B209="",D209="",E209=""),"Missing required field",IF(COUNTIFS($A$4:$A$503,A209,$D$4:$D$503,D209,$E$4:$E$503,E209)&gt;1,"Duplicate price","OK"))))</f>
        <v/>
      </c>
    </row>
    <row r="210">
      <c r="A210" s="26" t="n"/>
      <c r="B210" s="38" t="n"/>
      <c r="C210" s="26" t="n"/>
      <c r="D210" s="28" t="n"/>
      <c r="E210" s="26" t="n"/>
      <c r="F210" s="26" t="n"/>
      <c r="G210" s="30">
        <f>IF(A210="","",IF(COUNTIF('Share classes'!$B$4:$B$203,A210)=0,"Unknown class code",IF(OR(B210="",D210="",E210=""),"Missing required field",IF(COUNTIFS($A$4:$A$503,A210,$D$4:$D$503,D210,$E$4:$E$503,E210)&gt;1,"Duplicate price","OK"))))</f>
        <v/>
      </c>
    </row>
    <row r="211">
      <c r="A211" s="26" t="n"/>
      <c r="B211" s="38" t="n"/>
      <c r="C211" s="26" t="n"/>
      <c r="D211" s="28" t="n"/>
      <c r="E211" s="26" t="n"/>
      <c r="F211" s="26" t="n"/>
      <c r="G211" s="30">
        <f>IF(A211="","",IF(COUNTIF('Share classes'!$B$4:$B$203,A211)=0,"Unknown class code",IF(OR(B211="",D211="",E211=""),"Missing required field",IF(COUNTIFS($A$4:$A$503,A211,$D$4:$D$503,D211,$E$4:$E$503,E211)&gt;1,"Duplicate price","OK"))))</f>
        <v/>
      </c>
    </row>
    <row r="212">
      <c r="A212" s="26" t="n"/>
      <c r="B212" s="38" t="n"/>
      <c r="C212" s="26" t="n"/>
      <c r="D212" s="28" t="n"/>
      <c r="E212" s="26" t="n"/>
      <c r="F212" s="26" t="n"/>
      <c r="G212" s="30">
        <f>IF(A212="","",IF(COUNTIF('Share classes'!$B$4:$B$203,A212)=0,"Unknown class code",IF(OR(B212="",D212="",E212=""),"Missing required field",IF(COUNTIFS($A$4:$A$503,A212,$D$4:$D$503,D212,$E$4:$E$503,E212)&gt;1,"Duplicate price","OK"))))</f>
        <v/>
      </c>
    </row>
    <row r="213">
      <c r="A213" s="26" t="n"/>
      <c r="B213" s="38" t="n"/>
      <c r="C213" s="26" t="n"/>
      <c r="D213" s="28" t="n"/>
      <c r="E213" s="26" t="n"/>
      <c r="F213" s="26" t="n"/>
      <c r="G213" s="30">
        <f>IF(A213="","",IF(COUNTIF('Share classes'!$B$4:$B$203,A213)=0,"Unknown class code",IF(OR(B213="",D213="",E213=""),"Missing required field",IF(COUNTIFS($A$4:$A$503,A213,$D$4:$D$503,D213,$E$4:$E$503,E213)&gt;1,"Duplicate price","OK"))))</f>
        <v/>
      </c>
    </row>
    <row r="214">
      <c r="A214" s="26" t="n"/>
      <c r="B214" s="38" t="n"/>
      <c r="C214" s="26" t="n"/>
      <c r="D214" s="28" t="n"/>
      <c r="E214" s="26" t="n"/>
      <c r="F214" s="26" t="n"/>
      <c r="G214" s="30">
        <f>IF(A214="","",IF(COUNTIF('Share classes'!$B$4:$B$203,A214)=0,"Unknown class code",IF(OR(B214="",D214="",E214=""),"Missing required field",IF(COUNTIFS($A$4:$A$503,A214,$D$4:$D$503,D214,$E$4:$E$503,E214)&gt;1,"Duplicate price","OK"))))</f>
        <v/>
      </c>
    </row>
    <row r="215">
      <c r="A215" s="26" t="n"/>
      <c r="B215" s="38" t="n"/>
      <c r="C215" s="26" t="n"/>
      <c r="D215" s="28" t="n"/>
      <c r="E215" s="26" t="n"/>
      <c r="F215" s="26" t="n"/>
      <c r="G215" s="30">
        <f>IF(A215="","",IF(COUNTIF('Share classes'!$B$4:$B$203,A215)=0,"Unknown class code",IF(OR(B215="",D215="",E215=""),"Missing required field",IF(COUNTIFS($A$4:$A$503,A215,$D$4:$D$503,D215,$E$4:$E$503,E215)&gt;1,"Duplicate price","OK"))))</f>
        <v/>
      </c>
    </row>
    <row r="216">
      <c r="A216" s="26" t="n"/>
      <c r="B216" s="38" t="n"/>
      <c r="C216" s="26" t="n"/>
      <c r="D216" s="28" t="n"/>
      <c r="E216" s="26" t="n"/>
      <c r="F216" s="26" t="n"/>
      <c r="G216" s="30">
        <f>IF(A216="","",IF(COUNTIF('Share classes'!$B$4:$B$203,A216)=0,"Unknown class code",IF(OR(B216="",D216="",E216=""),"Missing required field",IF(COUNTIFS($A$4:$A$503,A216,$D$4:$D$503,D216,$E$4:$E$503,E216)&gt;1,"Duplicate price","OK"))))</f>
        <v/>
      </c>
    </row>
    <row r="217">
      <c r="A217" s="26" t="n"/>
      <c r="B217" s="38" t="n"/>
      <c r="C217" s="26" t="n"/>
      <c r="D217" s="28" t="n"/>
      <c r="E217" s="26" t="n"/>
      <c r="F217" s="26" t="n"/>
      <c r="G217" s="30">
        <f>IF(A217="","",IF(COUNTIF('Share classes'!$B$4:$B$203,A217)=0,"Unknown class code",IF(OR(B217="",D217="",E217=""),"Missing required field",IF(COUNTIFS($A$4:$A$503,A217,$D$4:$D$503,D217,$E$4:$E$503,E217)&gt;1,"Duplicate price","OK"))))</f>
        <v/>
      </c>
    </row>
    <row r="218">
      <c r="A218" s="26" t="n"/>
      <c r="B218" s="38" t="n"/>
      <c r="C218" s="26" t="n"/>
      <c r="D218" s="28" t="n"/>
      <c r="E218" s="26" t="n"/>
      <c r="F218" s="26" t="n"/>
      <c r="G218" s="30">
        <f>IF(A218="","",IF(COUNTIF('Share classes'!$B$4:$B$203,A218)=0,"Unknown class code",IF(OR(B218="",D218="",E218=""),"Missing required field",IF(COUNTIFS($A$4:$A$503,A218,$D$4:$D$503,D218,$E$4:$E$503,E218)&gt;1,"Duplicate price","OK"))))</f>
        <v/>
      </c>
    </row>
    <row r="219">
      <c r="A219" s="26" t="n"/>
      <c r="B219" s="38" t="n"/>
      <c r="C219" s="26" t="n"/>
      <c r="D219" s="28" t="n"/>
      <c r="E219" s="26" t="n"/>
      <c r="F219" s="26" t="n"/>
      <c r="G219" s="30">
        <f>IF(A219="","",IF(COUNTIF('Share classes'!$B$4:$B$203,A219)=0,"Unknown class code",IF(OR(B219="",D219="",E219=""),"Missing required field",IF(COUNTIFS($A$4:$A$503,A219,$D$4:$D$503,D219,$E$4:$E$503,E219)&gt;1,"Duplicate price","OK"))))</f>
        <v/>
      </c>
    </row>
    <row r="220">
      <c r="A220" s="26" t="n"/>
      <c r="B220" s="38" t="n"/>
      <c r="C220" s="26" t="n"/>
      <c r="D220" s="28" t="n"/>
      <c r="E220" s="26" t="n"/>
      <c r="F220" s="26" t="n"/>
      <c r="G220" s="30">
        <f>IF(A220="","",IF(COUNTIF('Share classes'!$B$4:$B$203,A220)=0,"Unknown class code",IF(OR(B220="",D220="",E220=""),"Missing required field",IF(COUNTIFS($A$4:$A$503,A220,$D$4:$D$503,D220,$E$4:$E$503,E220)&gt;1,"Duplicate price","OK"))))</f>
        <v/>
      </c>
    </row>
    <row r="221">
      <c r="A221" s="26" t="n"/>
      <c r="B221" s="38" t="n"/>
      <c r="C221" s="26" t="n"/>
      <c r="D221" s="28" t="n"/>
      <c r="E221" s="26" t="n"/>
      <c r="F221" s="26" t="n"/>
      <c r="G221" s="30">
        <f>IF(A221="","",IF(COUNTIF('Share classes'!$B$4:$B$203,A221)=0,"Unknown class code",IF(OR(B221="",D221="",E221=""),"Missing required field",IF(COUNTIFS($A$4:$A$503,A221,$D$4:$D$503,D221,$E$4:$E$503,E221)&gt;1,"Duplicate price","OK"))))</f>
        <v/>
      </c>
    </row>
    <row r="222">
      <c r="A222" s="26" t="n"/>
      <c r="B222" s="38" t="n"/>
      <c r="C222" s="26" t="n"/>
      <c r="D222" s="28" t="n"/>
      <c r="E222" s="26" t="n"/>
      <c r="F222" s="26" t="n"/>
      <c r="G222" s="30">
        <f>IF(A222="","",IF(COUNTIF('Share classes'!$B$4:$B$203,A222)=0,"Unknown class code",IF(OR(B222="",D222="",E222=""),"Missing required field",IF(COUNTIFS($A$4:$A$503,A222,$D$4:$D$503,D222,$E$4:$E$503,E222)&gt;1,"Duplicate price","OK"))))</f>
        <v/>
      </c>
    </row>
    <row r="223">
      <c r="A223" s="26" t="n"/>
      <c r="B223" s="38" t="n"/>
      <c r="C223" s="26" t="n"/>
      <c r="D223" s="28" t="n"/>
      <c r="E223" s="26" t="n"/>
      <c r="F223" s="26" t="n"/>
      <c r="G223" s="30">
        <f>IF(A223="","",IF(COUNTIF('Share classes'!$B$4:$B$203,A223)=0,"Unknown class code",IF(OR(B223="",D223="",E223=""),"Missing required field",IF(COUNTIFS($A$4:$A$503,A223,$D$4:$D$503,D223,$E$4:$E$503,E223)&gt;1,"Duplicate price","OK"))))</f>
        <v/>
      </c>
    </row>
    <row r="224">
      <c r="A224" s="26" t="n"/>
      <c r="B224" s="38" t="n"/>
      <c r="C224" s="26" t="n"/>
      <c r="D224" s="28" t="n"/>
      <c r="E224" s="26" t="n"/>
      <c r="F224" s="26" t="n"/>
      <c r="G224" s="30">
        <f>IF(A224="","",IF(COUNTIF('Share classes'!$B$4:$B$203,A224)=0,"Unknown class code",IF(OR(B224="",D224="",E224=""),"Missing required field",IF(COUNTIFS($A$4:$A$503,A224,$D$4:$D$503,D224,$E$4:$E$503,E224)&gt;1,"Duplicate price","OK"))))</f>
        <v/>
      </c>
    </row>
    <row r="225">
      <c r="A225" s="26" t="n"/>
      <c r="B225" s="38" t="n"/>
      <c r="C225" s="26" t="n"/>
      <c r="D225" s="28" t="n"/>
      <c r="E225" s="26" t="n"/>
      <c r="F225" s="26" t="n"/>
      <c r="G225" s="30">
        <f>IF(A225="","",IF(COUNTIF('Share classes'!$B$4:$B$203,A225)=0,"Unknown class code",IF(OR(B225="",D225="",E225=""),"Missing required field",IF(COUNTIFS($A$4:$A$503,A225,$D$4:$D$503,D225,$E$4:$E$503,E225)&gt;1,"Duplicate price","OK"))))</f>
        <v/>
      </c>
    </row>
    <row r="226">
      <c r="A226" s="26" t="n"/>
      <c r="B226" s="38" t="n"/>
      <c r="C226" s="26" t="n"/>
      <c r="D226" s="28" t="n"/>
      <c r="E226" s="26" t="n"/>
      <c r="F226" s="26" t="n"/>
      <c r="G226" s="30">
        <f>IF(A226="","",IF(COUNTIF('Share classes'!$B$4:$B$203,A226)=0,"Unknown class code",IF(OR(B226="",D226="",E226=""),"Missing required field",IF(COUNTIFS($A$4:$A$503,A226,$D$4:$D$503,D226,$E$4:$E$503,E226)&gt;1,"Duplicate price","OK"))))</f>
        <v/>
      </c>
    </row>
    <row r="227">
      <c r="A227" s="26" t="n"/>
      <c r="B227" s="38" t="n"/>
      <c r="C227" s="26" t="n"/>
      <c r="D227" s="28" t="n"/>
      <c r="E227" s="26" t="n"/>
      <c r="F227" s="26" t="n"/>
      <c r="G227" s="30">
        <f>IF(A227="","",IF(COUNTIF('Share classes'!$B$4:$B$203,A227)=0,"Unknown class code",IF(OR(B227="",D227="",E227=""),"Missing required field",IF(COUNTIFS($A$4:$A$503,A227,$D$4:$D$503,D227,$E$4:$E$503,E227)&gt;1,"Duplicate price","OK"))))</f>
        <v/>
      </c>
    </row>
    <row r="228">
      <c r="A228" s="26" t="n"/>
      <c r="B228" s="38" t="n"/>
      <c r="C228" s="26" t="n"/>
      <c r="D228" s="28" t="n"/>
      <c r="E228" s="26" t="n"/>
      <c r="F228" s="26" t="n"/>
      <c r="G228" s="30">
        <f>IF(A228="","",IF(COUNTIF('Share classes'!$B$4:$B$203,A228)=0,"Unknown class code",IF(OR(B228="",D228="",E228=""),"Missing required field",IF(COUNTIFS($A$4:$A$503,A228,$D$4:$D$503,D228,$E$4:$E$503,E228)&gt;1,"Duplicate price","OK"))))</f>
        <v/>
      </c>
    </row>
    <row r="229">
      <c r="A229" s="26" t="n"/>
      <c r="B229" s="38" t="n"/>
      <c r="C229" s="26" t="n"/>
      <c r="D229" s="28" t="n"/>
      <c r="E229" s="26" t="n"/>
      <c r="F229" s="26" t="n"/>
      <c r="G229" s="30">
        <f>IF(A229="","",IF(COUNTIF('Share classes'!$B$4:$B$203,A229)=0,"Unknown class code",IF(OR(B229="",D229="",E229=""),"Missing required field",IF(COUNTIFS($A$4:$A$503,A229,$D$4:$D$503,D229,$E$4:$E$503,E229)&gt;1,"Duplicate price","OK"))))</f>
        <v/>
      </c>
    </row>
    <row r="230">
      <c r="A230" s="26" t="n"/>
      <c r="B230" s="38" t="n"/>
      <c r="C230" s="26" t="n"/>
      <c r="D230" s="28" t="n"/>
      <c r="E230" s="26" t="n"/>
      <c r="F230" s="26" t="n"/>
      <c r="G230" s="30">
        <f>IF(A230="","",IF(COUNTIF('Share classes'!$B$4:$B$203,A230)=0,"Unknown class code",IF(OR(B230="",D230="",E230=""),"Missing required field",IF(COUNTIFS($A$4:$A$503,A230,$D$4:$D$503,D230,$E$4:$E$503,E230)&gt;1,"Duplicate price","OK"))))</f>
        <v/>
      </c>
    </row>
    <row r="231">
      <c r="A231" s="26" t="n"/>
      <c r="B231" s="38" t="n"/>
      <c r="C231" s="26" t="n"/>
      <c r="D231" s="28" t="n"/>
      <c r="E231" s="26" t="n"/>
      <c r="F231" s="26" t="n"/>
      <c r="G231" s="30">
        <f>IF(A231="","",IF(COUNTIF('Share classes'!$B$4:$B$203,A231)=0,"Unknown class code",IF(OR(B231="",D231="",E231=""),"Missing required field",IF(COUNTIFS($A$4:$A$503,A231,$D$4:$D$503,D231,$E$4:$E$503,E231)&gt;1,"Duplicate price","OK"))))</f>
        <v/>
      </c>
    </row>
    <row r="232">
      <c r="A232" s="26" t="n"/>
      <c r="B232" s="38" t="n"/>
      <c r="C232" s="26" t="n"/>
      <c r="D232" s="28" t="n"/>
      <c r="E232" s="26" t="n"/>
      <c r="F232" s="26" t="n"/>
      <c r="G232" s="30">
        <f>IF(A232="","",IF(COUNTIF('Share classes'!$B$4:$B$203,A232)=0,"Unknown class code",IF(OR(B232="",D232="",E232=""),"Missing required field",IF(COUNTIFS($A$4:$A$503,A232,$D$4:$D$503,D232,$E$4:$E$503,E232)&gt;1,"Duplicate price","OK"))))</f>
        <v/>
      </c>
    </row>
    <row r="233">
      <c r="A233" s="26" t="n"/>
      <c r="B233" s="38" t="n"/>
      <c r="C233" s="26" t="n"/>
      <c r="D233" s="28" t="n"/>
      <c r="E233" s="26" t="n"/>
      <c r="F233" s="26" t="n"/>
      <c r="G233" s="30">
        <f>IF(A233="","",IF(COUNTIF('Share classes'!$B$4:$B$203,A233)=0,"Unknown class code",IF(OR(B233="",D233="",E233=""),"Missing required field",IF(COUNTIFS($A$4:$A$503,A233,$D$4:$D$503,D233,$E$4:$E$503,E233)&gt;1,"Duplicate price","OK"))))</f>
        <v/>
      </c>
    </row>
    <row r="234">
      <c r="A234" s="26" t="n"/>
      <c r="B234" s="38" t="n"/>
      <c r="C234" s="26" t="n"/>
      <c r="D234" s="28" t="n"/>
      <c r="E234" s="26" t="n"/>
      <c r="F234" s="26" t="n"/>
      <c r="G234" s="30">
        <f>IF(A234="","",IF(COUNTIF('Share classes'!$B$4:$B$203,A234)=0,"Unknown class code",IF(OR(B234="",D234="",E234=""),"Missing required field",IF(COUNTIFS($A$4:$A$503,A234,$D$4:$D$503,D234,$E$4:$E$503,E234)&gt;1,"Duplicate price","OK"))))</f>
        <v/>
      </c>
    </row>
    <row r="235">
      <c r="A235" s="26" t="n"/>
      <c r="B235" s="38" t="n"/>
      <c r="C235" s="26" t="n"/>
      <c r="D235" s="28" t="n"/>
      <c r="E235" s="26" t="n"/>
      <c r="F235" s="26" t="n"/>
      <c r="G235" s="30">
        <f>IF(A235="","",IF(COUNTIF('Share classes'!$B$4:$B$203,A235)=0,"Unknown class code",IF(OR(B235="",D235="",E235=""),"Missing required field",IF(COUNTIFS($A$4:$A$503,A235,$D$4:$D$503,D235,$E$4:$E$503,E235)&gt;1,"Duplicate price","OK"))))</f>
        <v/>
      </c>
    </row>
    <row r="236">
      <c r="A236" s="26" t="n"/>
      <c r="B236" s="38" t="n"/>
      <c r="C236" s="26" t="n"/>
      <c r="D236" s="28" t="n"/>
      <c r="E236" s="26" t="n"/>
      <c r="F236" s="26" t="n"/>
      <c r="G236" s="30">
        <f>IF(A236="","",IF(COUNTIF('Share classes'!$B$4:$B$203,A236)=0,"Unknown class code",IF(OR(B236="",D236="",E236=""),"Missing required field",IF(COUNTIFS($A$4:$A$503,A236,$D$4:$D$503,D236,$E$4:$E$503,E236)&gt;1,"Duplicate price","OK"))))</f>
        <v/>
      </c>
    </row>
    <row r="237">
      <c r="A237" s="26" t="n"/>
      <c r="B237" s="38" t="n"/>
      <c r="C237" s="26" t="n"/>
      <c r="D237" s="28" t="n"/>
      <c r="E237" s="26" t="n"/>
      <c r="F237" s="26" t="n"/>
      <c r="G237" s="30">
        <f>IF(A237="","",IF(COUNTIF('Share classes'!$B$4:$B$203,A237)=0,"Unknown class code",IF(OR(B237="",D237="",E237=""),"Missing required field",IF(COUNTIFS($A$4:$A$503,A237,$D$4:$D$503,D237,$E$4:$E$503,E237)&gt;1,"Duplicate price","OK"))))</f>
        <v/>
      </c>
    </row>
    <row r="238">
      <c r="A238" s="26" t="n"/>
      <c r="B238" s="38" t="n"/>
      <c r="C238" s="26" t="n"/>
      <c r="D238" s="28" t="n"/>
      <c r="E238" s="26" t="n"/>
      <c r="F238" s="26" t="n"/>
      <c r="G238" s="30">
        <f>IF(A238="","",IF(COUNTIF('Share classes'!$B$4:$B$203,A238)=0,"Unknown class code",IF(OR(B238="",D238="",E238=""),"Missing required field",IF(COUNTIFS($A$4:$A$503,A238,$D$4:$D$503,D238,$E$4:$E$503,E238)&gt;1,"Duplicate price","OK"))))</f>
        <v/>
      </c>
    </row>
    <row r="239">
      <c r="A239" s="26" t="n"/>
      <c r="B239" s="38" t="n"/>
      <c r="C239" s="26" t="n"/>
      <c r="D239" s="28" t="n"/>
      <c r="E239" s="26" t="n"/>
      <c r="F239" s="26" t="n"/>
      <c r="G239" s="30">
        <f>IF(A239="","",IF(COUNTIF('Share classes'!$B$4:$B$203,A239)=0,"Unknown class code",IF(OR(B239="",D239="",E239=""),"Missing required field",IF(COUNTIFS($A$4:$A$503,A239,$D$4:$D$503,D239,$E$4:$E$503,E239)&gt;1,"Duplicate price","OK"))))</f>
        <v/>
      </c>
    </row>
    <row r="240">
      <c r="A240" s="26" t="n"/>
      <c r="B240" s="38" t="n"/>
      <c r="C240" s="26" t="n"/>
      <c r="D240" s="28" t="n"/>
      <c r="E240" s="26" t="n"/>
      <c r="F240" s="26" t="n"/>
      <c r="G240" s="30">
        <f>IF(A240="","",IF(COUNTIF('Share classes'!$B$4:$B$203,A240)=0,"Unknown class code",IF(OR(B240="",D240="",E240=""),"Missing required field",IF(COUNTIFS($A$4:$A$503,A240,$D$4:$D$503,D240,$E$4:$E$503,E240)&gt;1,"Duplicate price","OK"))))</f>
        <v/>
      </c>
    </row>
    <row r="241">
      <c r="A241" s="26" t="n"/>
      <c r="B241" s="38" t="n"/>
      <c r="C241" s="26" t="n"/>
      <c r="D241" s="28" t="n"/>
      <c r="E241" s="26" t="n"/>
      <c r="F241" s="26" t="n"/>
      <c r="G241" s="30">
        <f>IF(A241="","",IF(COUNTIF('Share classes'!$B$4:$B$203,A241)=0,"Unknown class code",IF(OR(B241="",D241="",E241=""),"Missing required field",IF(COUNTIFS($A$4:$A$503,A241,$D$4:$D$503,D241,$E$4:$E$503,E241)&gt;1,"Duplicate price","OK"))))</f>
        <v/>
      </c>
    </row>
    <row r="242">
      <c r="A242" s="26" t="n"/>
      <c r="B242" s="38" t="n"/>
      <c r="C242" s="26" t="n"/>
      <c r="D242" s="28" t="n"/>
      <c r="E242" s="26" t="n"/>
      <c r="F242" s="26" t="n"/>
      <c r="G242" s="30">
        <f>IF(A242="","",IF(COUNTIF('Share classes'!$B$4:$B$203,A242)=0,"Unknown class code",IF(OR(B242="",D242="",E242=""),"Missing required field",IF(COUNTIFS($A$4:$A$503,A242,$D$4:$D$503,D242,$E$4:$E$503,E242)&gt;1,"Duplicate price","OK"))))</f>
        <v/>
      </c>
    </row>
    <row r="243">
      <c r="A243" s="26" t="n"/>
      <c r="B243" s="38" t="n"/>
      <c r="C243" s="26" t="n"/>
      <c r="D243" s="28" t="n"/>
      <c r="E243" s="26" t="n"/>
      <c r="F243" s="26" t="n"/>
      <c r="G243" s="30">
        <f>IF(A243="","",IF(COUNTIF('Share classes'!$B$4:$B$203,A243)=0,"Unknown class code",IF(OR(B243="",D243="",E243=""),"Missing required field",IF(COUNTIFS($A$4:$A$503,A243,$D$4:$D$503,D243,$E$4:$E$503,E243)&gt;1,"Duplicate price","OK"))))</f>
        <v/>
      </c>
    </row>
    <row r="244">
      <c r="A244" s="26" t="n"/>
      <c r="B244" s="38" t="n"/>
      <c r="C244" s="26" t="n"/>
      <c r="D244" s="28" t="n"/>
      <c r="E244" s="26" t="n"/>
      <c r="F244" s="26" t="n"/>
      <c r="G244" s="30">
        <f>IF(A244="","",IF(COUNTIF('Share classes'!$B$4:$B$203,A244)=0,"Unknown class code",IF(OR(B244="",D244="",E244=""),"Missing required field",IF(COUNTIFS($A$4:$A$503,A244,$D$4:$D$503,D244,$E$4:$E$503,E244)&gt;1,"Duplicate price","OK"))))</f>
        <v/>
      </c>
    </row>
    <row r="245">
      <c r="A245" s="26" t="n"/>
      <c r="B245" s="38" t="n"/>
      <c r="C245" s="26" t="n"/>
      <c r="D245" s="28" t="n"/>
      <c r="E245" s="26" t="n"/>
      <c r="F245" s="26" t="n"/>
      <c r="G245" s="30">
        <f>IF(A245="","",IF(COUNTIF('Share classes'!$B$4:$B$203,A245)=0,"Unknown class code",IF(OR(B245="",D245="",E245=""),"Missing required field",IF(COUNTIFS($A$4:$A$503,A245,$D$4:$D$503,D245,$E$4:$E$503,E245)&gt;1,"Duplicate price","OK"))))</f>
        <v/>
      </c>
    </row>
    <row r="246">
      <c r="A246" s="26" t="n"/>
      <c r="B246" s="38" t="n"/>
      <c r="C246" s="26" t="n"/>
      <c r="D246" s="28" t="n"/>
      <c r="E246" s="26" t="n"/>
      <c r="F246" s="26" t="n"/>
      <c r="G246" s="30">
        <f>IF(A246="","",IF(COUNTIF('Share classes'!$B$4:$B$203,A246)=0,"Unknown class code",IF(OR(B246="",D246="",E246=""),"Missing required field",IF(COUNTIFS($A$4:$A$503,A246,$D$4:$D$503,D246,$E$4:$E$503,E246)&gt;1,"Duplicate price","OK"))))</f>
        <v/>
      </c>
    </row>
    <row r="247">
      <c r="A247" s="26" t="n"/>
      <c r="B247" s="38" t="n"/>
      <c r="C247" s="26" t="n"/>
      <c r="D247" s="28" t="n"/>
      <c r="E247" s="26" t="n"/>
      <c r="F247" s="26" t="n"/>
      <c r="G247" s="30">
        <f>IF(A247="","",IF(COUNTIF('Share classes'!$B$4:$B$203,A247)=0,"Unknown class code",IF(OR(B247="",D247="",E247=""),"Missing required field",IF(COUNTIFS($A$4:$A$503,A247,$D$4:$D$503,D247,$E$4:$E$503,E247)&gt;1,"Duplicate price","OK"))))</f>
        <v/>
      </c>
    </row>
    <row r="248">
      <c r="A248" s="26" t="n"/>
      <c r="B248" s="38" t="n"/>
      <c r="C248" s="26" t="n"/>
      <c r="D248" s="28" t="n"/>
      <c r="E248" s="26" t="n"/>
      <c r="F248" s="26" t="n"/>
      <c r="G248" s="30">
        <f>IF(A248="","",IF(COUNTIF('Share classes'!$B$4:$B$203,A248)=0,"Unknown class code",IF(OR(B248="",D248="",E248=""),"Missing required field",IF(COUNTIFS($A$4:$A$503,A248,$D$4:$D$503,D248,$E$4:$E$503,E248)&gt;1,"Duplicate price","OK"))))</f>
        <v/>
      </c>
    </row>
    <row r="249">
      <c r="A249" s="26" t="n"/>
      <c r="B249" s="38" t="n"/>
      <c r="C249" s="26" t="n"/>
      <c r="D249" s="28" t="n"/>
      <c r="E249" s="26" t="n"/>
      <c r="F249" s="26" t="n"/>
      <c r="G249" s="30">
        <f>IF(A249="","",IF(COUNTIF('Share classes'!$B$4:$B$203,A249)=0,"Unknown class code",IF(OR(B249="",D249="",E249=""),"Missing required field",IF(COUNTIFS($A$4:$A$503,A249,$D$4:$D$503,D249,$E$4:$E$503,E249)&gt;1,"Duplicate price","OK"))))</f>
        <v/>
      </c>
    </row>
    <row r="250">
      <c r="A250" s="26" t="n"/>
      <c r="B250" s="38" t="n"/>
      <c r="C250" s="26" t="n"/>
      <c r="D250" s="28" t="n"/>
      <c r="E250" s="26" t="n"/>
      <c r="F250" s="26" t="n"/>
      <c r="G250" s="30">
        <f>IF(A250="","",IF(COUNTIF('Share classes'!$B$4:$B$203,A250)=0,"Unknown class code",IF(OR(B250="",D250="",E250=""),"Missing required field",IF(COUNTIFS($A$4:$A$503,A250,$D$4:$D$503,D250,$E$4:$E$503,E250)&gt;1,"Duplicate price","OK"))))</f>
        <v/>
      </c>
    </row>
    <row r="251">
      <c r="A251" s="26" t="n"/>
      <c r="B251" s="38" t="n"/>
      <c r="C251" s="26" t="n"/>
      <c r="D251" s="28" t="n"/>
      <c r="E251" s="26" t="n"/>
      <c r="F251" s="26" t="n"/>
      <c r="G251" s="30">
        <f>IF(A251="","",IF(COUNTIF('Share classes'!$B$4:$B$203,A251)=0,"Unknown class code",IF(OR(B251="",D251="",E251=""),"Missing required field",IF(COUNTIFS($A$4:$A$503,A251,$D$4:$D$503,D251,$E$4:$E$503,E251)&gt;1,"Duplicate price","OK"))))</f>
        <v/>
      </c>
    </row>
    <row r="252">
      <c r="A252" s="26" t="n"/>
      <c r="B252" s="38" t="n"/>
      <c r="C252" s="26" t="n"/>
      <c r="D252" s="28" t="n"/>
      <c r="E252" s="26" t="n"/>
      <c r="F252" s="26" t="n"/>
      <c r="G252" s="30">
        <f>IF(A252="","",IF(COUNTIF('Share classes'!$B$4:$B$203,A252)=0,"Unknown class code",IF(OR(B252="",D252="",E252=""),"Missing required field",IF(COUNTIFS($A$4:$A$503,A252,$D$4:$D$503,D252,$E$4:$E$503,E252)&gt;1,"Duplicate price","OK"))))</f>
        <v/>
      </c>
    </row>
    <row r="253">
      <c r="A253" s="26" t="n"/>
      <c r="B253" s="38" t="n"/>
      <c r="C253" s="26" t="n"/>
      <c r="D253" s="28" t="n"/>
      <c r="E253" s="26" t="n"/>
      <c r="F253" s="26" t="n"/>
      <c r="G253" s="30">
        <f>IF(A253="","",IF(COUNTIF('Share classes'!$B$4:$B$203,A253)=0,"Unknown class code",IF(OR(B253="",D253="",E253=""),"Missing required field",IF(COUNTIFS($A$4:$A$503,A253,$D$4:$D$503,D253,$E$4:$E$503,E253)&gt;1,"Duplicate price","OK"))))</f>
        <v/>
      </c>
    </row>
    <row r="254">
      <c r="A254" s="26" t="n"/>
      <c r="B254" s="38" t="n"/>
      <c r="C254" s="26" t="n"/>
      <c r="D254" s="28" t="n"/>
      <c r="E254" s="26" t="n"/>
      <c r="F254" s="26" t="n"/>
      <c r="G254" s="30">
        <f>IF(A254="","",IF(COUNTIF('Share classes'!$B$4:$B$203,A254)=0,"Unknown class code",IF(OR(B254="",D254="",E254=""),"Missing required field",IF(COUNTIFS($A$4:$A$503,A254,$D$4:$D$503,D254,$E$4:$E$503,E254)&gt;1,"Duplicate price","OK"))))</f>
        <v/>
      </c>
    </row>
    <row r="255">
      <c r="A255" s="26" t="n"/>
      <c r="B255" s="38" t="n"/>
      <c r="C255" s="26" t="n"/>
      <c r="D255" s="28" t="n"/>
      <c r="E255" s="26" t="n"/>
      <c r="F255" s="26" t="n"/>
      <c r="G255" s="30">
        <f>IF(A255="","",IF(COUNTIF('Share classes'!$B$4:$B$203,A255)=0,"Unknown class code",IF(OR(B255="",D255="",E255=""),"Missing required field",IF(COUNTIFS($A$4:$A$503,A255,$D$4:$D$503,D255,$E$4:$E$503,E255)&gt;1,"Duplicate price","OK"))))</f>
        <v/>
      </c>
    </row>
    <row r="256">
      <c r="A256" s="26" t="n"/>
      <c r="B256" s="38" t="n"/>
      <c r="C256" s="26" t="n"/>
      <c r="D256" s="28" t="n"/>
      <c r="E256" s="26" t="n"/>
      <c r="F256" s="26" t="n"/>
      <c r="G256" s="30">
        <f>IF(A256="","",IF(COUNTIF('Share classes'!$B$4:$B$203,A256)=0,"Unknown class code",IF(OR(B256="",D256="",E256=""),"Missing required field",IF(COUNTIFS($A$4:$A$503,A256,$D$4:$D$503,D256,$E$4:$E$503,E256)&gt;1,"Duplicate price","OK"))))</f>
        <v/>
      </c>
    </row>
    <row r="257">
      <c r="A257" s="26" t="n"/>
      <c r="B257" s="38" t="n"/>
      <c r="C257" s="26" t="n"/>
      <c r="D257" s="28" t="n"/>
      <c r="E257" s="26" t="n"/>
      <c r="F257" s="26" t="n"/>
      <c r="G257" s="30">
        <f>IF(A257="","",IF(COUNTIF('Share classes'!$B$4:$B$203,A257)=0,"Unknown class code",IF(OR(B257="",D257="",E257=""),"Missing required field",IF(COUNTIFS($A$4:$A$503,A257,$D$4:$D$503,D257,$E$4:$E$503,E257)&gt;1,"Duplicate price","OK"))))</f>
        <v/>
      </c>
    </row>
    <row r="258">
      <c r="A258" s="26" t="n"/>
      <c r="B258" s="38" t="n"/>
      <c r="C258" s="26" t="n"/>
      <c r="D258" s="28" t="n"/>
      <c r="E258" s="26" t="n"/>
      <c r="F258" s="26" t="n"/>
      <c r="G258" s="30">
        <f>IF(A258="","",IF(COUNTIF('Share classes'!$B$4:$B$203,A258)=0,"Unknown class code",IF(OR(B258="",D258="",E258=""),"Missing required field",IF(COUNTIFS($A$4:$A$503,A258,$D$4:$D$503,D258,$E$4:$E$503,E258)&gt;1,"Duplicate price","OK"))))</f>
        <v/>
      </c>
    </row>
    <row r="259">
      <c r="A259" s="26" t="n"/>
      <c r="B259" s="38" t="n"/>
      <c r="C259" s="26" t="n"/>
      <c r="D259" s="28" t="n"/>
      <c r="E259" s="26" t="n"/>
      <c r="F259" s="26" t="n"/>
      <c r="G259" s="30">
        <f>IF(A259="","",IF(COUNTIF('Share classes'!$B$4:$B$203,A259)=0,"Unknown class code",IF(OR(B259="",D259="",E259=""),"Missing required field",IF(COUNTIFS($A$4:$A$503,A259,$D$4:$D$503,D259,$E$4:$E$503,E259)&gt;1,"Duplicate price","OK"))))</f>
        <v/>
      </c>
    </row>
    <row r="260">
      <c r="A260" s="26" t="n"/>
      <c r="B260" s="38" t="n"/>
      <c r="C260" s="26" t="n"/>
      <c r="D260" s="28" t="n"/>
      <c r="E260" s="26" t="n"/>
      <c r="F260" s="26" t="n"/>
      <c r="G260" s="30">
        <f>IF(A260="","",IF(COUNTIF('Share classes'!$B$4:$B$203,A260)=0,"Unknown class code",IF(OR(B260="",D260="",E260=""),"Missing required field",IF(COUNTIFS($A$4:$A$503,A260,$D$4:$D$503,D260,$E$4:$E$503,E260)&gt;1,"Duplicate price","OK"))))</f>
        <v/>
      </c>
    </row>
    <row r="261">
      <c r="A261" s="26" t="n"/>
      <c r="B261" s="38" t="n"/>
      <c r="C261" s="26" t="n"/>
      <c r="D261" s="28" t="n"/>
      <c r="E261" s="26" t="n"/>
      <c r="F261" s="26" t="n"/>
      <c r="G261" s="30">
        <f>IF(A261="","",IF(COUNTIF('Share classes'!$B$4:$B$203,A261)=0,"Unknown class code",IF(OR(B261="",D261="",E261=""),"Missing required field",IF(COUNTIFS($A$4:$A$503,A261,$D$4:$D$503,D261,$E$4:$E$503,E261)&gt;1,"Duplicate price","OK"))))</f>
        <v/>
      </c>
    </row>
    <row r="262">
      <c r="A262" s="26" t="n"/>
      <c r="B262" s="38" t="n"/>
      <c r="C262" s="26" t="n"/>
      <c r="D262" s="28" t="n"/>
      <c r="E262" s="26" t="n"/>
      <c r="F262" s="26" t="n"/>
      <c r="G262" s="30">
        <f>IF(A262="","",IF(COUNTIF('Share classes'!$B$4:$B$203,A262)=0,"Unknown class code",IF(OR(B262="",D262="",E262=""),"Missing required field",IF(COUNTIFS($A$4:$A$503,A262,$D$4:$D$503,D262,$E$4:$E$503,E262)&gt;1,"Duplicate price","OK"))))</f>
        <v/>
      </c>
    </row>
    <row r="263">
      <c r="A263" s="26" t="n"/>
      <c r="B263" s="38" t="n"/>
      <c r="C263" s="26" t="n"/>
      <c r="D263" s="28" t="n"/>
      <c r="E263" s="26" t="n"/>
      <c r="F263" s="26" t="n"/>
      <c r="G263" s="30">
        <f>IF(A263="","",IF(COUNTIF('Share classes'!$B$4:$B$203,A263)=0,"Unknown class code",IF(OR(B263="",D263="",E263=""),"Missing required field",IF(COUNTIFS($A$4:$A$503,A263,$D$4:$D$503,D263,$E$4:$E$503,E263)&gt;1,"Duplicate price","OK"))))</f>
        <v/>
      </c>
    </row>
    <row r="264">
      <c r="A264" s="26" t="n"/>
      <c r="B264" s="38" t="n"/>
      <c r="C264" s="26" t="n"/>
      <c r="D264" s="28" t="n"/>
      <c r="E264" s="26" t="n"/>
      <c r="F264" s="26" t="n"/>
      <c r="G264" s="30">
        <f>IF(A264="","",IF(COUNTIF('Share classes'!$B$4:$B$203,A264)=0,"Unknown class code",IF(OR(B264="",D264="",E264=""),"Missing required field",IF(COUNTIFS($A$4:$A$503,A264,$D$4:$D$503,D264,$E$4:$E$503,E264)&gt;1,"Duplicate price","OK"))))</f>
        <v/>
      </c>
    </row>
    <row r="265">
      <c r="A265" s="26" t="n"/>
      <c r="B265" s="38" t="n"/>
      <c r="C265" s="26" t="n"/>
      <c r="D265" s="28" t="n"/>
      <c r="E265" s="26" t="n"/>
      <c r="F265" s="26" t="n"/>
      <c r="G265" s="30">
        <f>IF(A265="","",IF(COUNTIF('Share classes'!$B$4:$B$203,A265)=0,"Unknown class code",IF(OR(B265="",D265="",E265=""),"Missing required field",IF(COUNTIFS($A$4:$A$503,A265,$D$4:$D$503,D265,$E$4:$E$503,E265)&gt;1,"Duplicate price","OK"))))</f>
        <v/>
      </c>
    </row>
    <row r="266">
      <c r="A266" s="26" t="n"/>
      <c r="B266" s="38" t="n"/>
      <c r="C266" s="26" t="n"/>
      <c r="D266" s="28" t="n"/>
      <c r="E266" s="26" t="n"/>
      <c r="F266" s="26" t="n"/>
      <c r="G266" s="30">
        <f>IF(A266="","",IF(COUNTIF('Share classes'!$B$4:$B$203,A266)=0,"Unknown class code",IF(OR(B266="",D266="",E266=""),"Missing required field",IF(COUNTIFS($A$4:$A$503,A266,$D$4:$D$503,D266,$E$4:$E$503,E266)&gt;1,"Duplicate price","OK"))))</f>
        <v/>
      </c>
    </row>
    <row r="267">
      <c r="A267" s="26" t="n"/>
      <c r="B267" s="38" t="n"/>
      <c r="C267" s="26" t="n"/>
      <c r="D267" s="28" t="n"/>
      <c r="E267" s="26" t="n"/>
      <c r="F267" s="26" t="n"/>
      <c r="G267" s="30">
        <f>IF(A267="","",IF(COUNTIF('Share classes'!$B$4:$B$203,A267)=0,"Unknown class code",IF(OR(B267="",D267="",E267=""),"Missing required field",IF(COUNTIFS($A$4:$A$503,A267,$D$4:$D$503,D267,$E$4:$E$503,E267)&gt;1,"Duplicate price","OK"))))</f>
        <v/>
      </c>
    </row>
    <row r="268">
      <c r="A268" s="26" t="n"/>
      <c r="B268" s="38" t="n"/>
      <c r="C268" s="26" t="n"/>
      <c r="D268" s="28" t="n"/>
      <c r="E268" s="26" t="n"/>
      <c r="F268" s="26" t="n"/>
      <c r="G268" s="30">
        <f>IF(A268="","",IF(COUNTIF('Share classes'!$B$4:$B$203,A268)=0,"Unknown class code",IF(OR(B268="",D268="",E268=""),"Missing required field",IF(COUNTIFS($A$4:$A$503,A268,$D$4:$D$503,D268,$E$4:$E$503,E268)&gt;1,"Duplicate price","OK"))))</f>
        <v/>
      </c>
    </row>
    <row r="269">
      <c r="A269" s="26" t="n"/>
      <c r="B269" s="38" t="n"/>
      <c r="C269" s="26" t="n"/>
      <c r="D269" s="28" t="n"/>
      <c r="E269" s="26" t="n"/>
      <c r="F269" s="26" t="n"/>
      <c r="G269" s="30">
        <f>IF(A269="","",IF(COUNTIF('Share classes'!$B$4:$B$203,A269)=0,"Unknown class code",IF(OR(B269="",D269="",E269=""),"Missing required field",IF(COUNTIFS($A$4:$A$503,A269,$D$4:$D$503,D269,$E$4:$E$503,E269)&gt;1,"Duplicate price","OK"))))</f>
        <v/>
      </c>
    </row>
    <row r="270">
      <c r="A270" s="26" t="n"/>
      <c r="B270" s="38" t="n"/>
      <c r="C270" s="26" t="n"/>
      <c r="D270" s="28" t="n"/>
      <c r="E270" s="26" t="n"/>
      <c r="F270" s="26" t="n"/>
      <c r="G270" s="30">
        <f>IF(A270="","",IF(COUNTIF('Share classes'!$B$4:$B$203,A270)=0,"Unknown class code",IF(OR(B270="",D270="",E270=""),"Missing required field",IF(COUNTIFS($A$4:$A$503,A270,$D$4:$D$503,D270,$E$4:$E$503,E270)&gt;1,"Duplicate price","OK"))))</f>
        <v/>
      </c>
    </row>
    <row r="271">
      <c r="A271" s="26" t="n"/>
      <c r="B271" s="38" t="n"/>
      <c r="C271" s="26" t="n"/>
      <c r="D271" s="28" t="n"/>
      <c r="E271" s="26" t="n"/>
      <c r="F271" s="26" t="n"/>
      <c r="G271" s="30">
        <f>IF(A271="","",IF(COUNTIF('Share classes'!$B$4:$B$203,A271)=0,"Unknown class code",IF(OR(B271="",D271="",E271=""),"Missing required field",IF(COUNTIFS($A$4:$A$503,A271,$D$4:$D$503,D271,$E$4:$E$503,E271)&gt;1,"Duplicate price","OK"))))</f>
        <v/>
      </c>
    </row>
    <row r="272">
      <c r="A272" s="26" t="n"/>
      <c r="B272" s="38" t="n"/>
      <c r="C272" s="26" t="n"/>
      <c r="D272" s="28" t="n"/>
      <c r="E272" s="26" t="n"/>
      <c r="F272" s="26" t="n"/>
      <c r="G272" s="30">
        <f>IF(A272="","",IF(COUNTIF('Share classes'!$B$4:$B$203,A272)=0,"Unknown class code",IF(OR(B272="",D272="",E272=""),"Missing required field",IF(COUNTIFS($A$4:$A$503,A272,$D$4:$D$503,D272,$E$4:$E$503,E272)&gt;1,"Duplicate price","OK"))))</f>
        <v/>
      </c>
    </row>
    <row r="273">
      <c r="A273" s="26" t="n"/>
      <c r="B273" s="38" t="n"/>
      <c r="C273" s="26" t="n"/>
      <c r="D273" s="28" t="n"/>
      <c r="E273" s="26" t="n"/>
      <c r="F273" s="26" t="n"/>
      <c r="G273" s="30">
        <f>IF(A273="","",IF(COUNTIF('Share classes'!$B$4:$B$203,A273)=0,"Unknown class code",IF(OR(B273="",D273="",E273=""),"Missing required field",IF(COUNTIFS($A$4:$A$503,A273,$D$4:$D$503,D273,$E$4:$E$503,E273)&gt;1,"Duplicate price","OK"))))</f>
        <v/>
      </c>
    </row>
    <row r="274">
      <c r="A274" s="26" t="n"/>
      <c r="B274" s="38" t="n"/>
      <c r="C274" s="26" t="n"/>
      <c r="D274" s="28" t="n"/>
      <c r="E274" s="26" t="n"/>
      <c r="F274" s="26" t="n"/>
      <c r="G274" s="30">
        <f>IF(A274="","",IF(COUNTIF('Share classes'!$B$4:$B$203,A274)=0,"Unknown class code",IF(OR(B274="",D274="",E274=""),"Missing required field",IF(COUNTIFS($A$4:$A$503,A274,$D$4:$D$503,D274,$E$4:$E$503,E274)&gt;1,"Duplicate price","OK"))))</f>
        <v/>
      </c>
    </row>
    <row r="275">
      <c r="A275" s="26" t="n"/>
      <c r="B275" s="38" t="n"/>
      <c r="C275" s="26" t="n"/>
      <c r="D275" s="28" t="n"/>
      <c r="E275" s="26" t="n"/>
      <c r="F275" s="26" t="n"/>
      <c r="G275" s="30">
        <f>IF(A275="","",IF(COUNTIF('Share classes'!$B$4:$B$203,A275)=0,"Unknown class code",IF(OR(B275="",D275="",E275=""),"Missing required field",IF(COUNTIFS($A$4:$A$503,A275,$D$4:$D$503,D275,$E$4:$E$503,E275)&gt;1,"Duplicate price","OK"))))</f>
        <v/>
      </c>
    </row>
    <row r="276">
      <c r="A276" s="26" t="n"/>
      <c r="B276" s="38" t="n"/>
      <c r="C276" s="26" t="n"/>
      <c r="D276" s="28" t="n"/>
      <c r="E276" s="26" t="n"/>
      <c r="F276" s="26" t="n"/>
      <c r="G276" s="30">
        <f>IF(A276="","",IF(COUNTIF('Share classes'!$B$4:$B$203,A276)=0,"Unknown class code",IF(OR(B276="",D276="",E276=""),"Missing required field",IF(COUNTIFS($A$4:$A$503,A276,$D$4:$D$503,D276,$E$4:$E$503,E276)&gt;1,"Duplicate price","OK"))))</f>
        <v/>
      </c>
    </row>
    <row r="277">
      <c r="A277" s="26" t="n"/>
      <c r="B277" s="38" t="n"/>
      <c r="C277" s="26" t="n"/>
      <c r="D277" s="28" t="n"/>
      <c r="E277" s="26" t="n"/>
      <c r="F277" s="26" t="n"/>
      <c r="G277" s="30">
        <f>IF(A277="","",IF(COUNTIF('Share classes'!$B$4:$B$203,A277)=0,"Unknown class code",IF(OR(B277="",D277="",E277=""),"Missing required field",IF(COUNTIFS($A$4:$A$503,A277,$D$4:$D$503,D277,$E$4:$E$503,E277)&gt;1,"Duplicate price","OK"))))</f>
        <v/>
      </c>
    </row>
    <row r="278">
      <c r="A278" s="26" t="n"/>
      <c r="B278" s="38" t="n"/>
      <c r="C278" s="26" t="n"/>
      <c r="D278" s="28" t="n"/>
      <c r="E278" s="26" t="n"/>
      <c r="F278" s="26" t="n"/>
      <c r="G278" s="30">
        <f>IF(A278="","",IF(COUNTIF('Share classes'!$B$4:$B$203,A278)=0,"Unknown class code",IF(OR(B278="",D278="",E278=""),"Missing required field",IF(COUNTIFS($A$4:$A$503,A278,$D$4:$D$503,D278,$E$4:$E$503,E278)&gt;1,"Duplicate price","OK"))))</f>
        <v/>
      </c>
    </row>
    <row r="279">
      <c r="A279" s="26" t="n"/>
      <c r="B279" s="38" t="n"/>
      <c r="C279" s="26" t="n"/>
      <c r="D279" s="28" t="n"/>
      <c r="E279" s="26" t="n"/>
      <c r="F279" s="26" t="n"/>
      <c r="G279" s="30">
        <f>IF(A279="","",IF(COUNTIF('Share classes'!$B$4:$B$203,A279)=0,"Unknown class code",IF(OR(B279="",D279="",E279=""),"Missing required field",IF(COUNTIFS($A$4:$A$503,A279,$D$4:$D$503,D279,$E$4:$E$503,E279)&gt;1,"Duplicate price","OK"))))</f>
        <v/>
      </c>
    </row>
    <row r="280">
      <c r="A280" s="26" t="n"/>
      <c r="B280" s="38" t="n"/>
      <c r="C280" s="26" t="n"/>
      <c r="D280" s="28" t="n"/>
      <c r="E280" s="26" t="n"/>
      <c r="F280" s="26" t="n"/>
      <c r="G280" s="30">
        <f>IF(A280="","",IF(COUNTIF('Share classes'!$B$4:$B$203,A280)=0,"Unknown class code",IF(OR(B280="",D280="",E280=""),"Missing required field",IF(COUNTIFS($A$4:$A$503,A280,$D$4:$D$503,D280,$E$4:$E$503,E280)&gt;1,"Duplicate price","OK"))))</f>
        <v/>
      </c>
    </row>
    <row r="281">
      <c r="A281" s="26" t="n"/>
      <c r="B281" s="38" t="n"/>
      <c r="C281" s="26" t="n"/>
      <c r="D281" s="28" t="n"/>
      <c r="E281" s="26" t="n"/>
      <c r="F281" s="26" t="n"/>
      <c r="G281" s="30">
        <f>IF(A281="","",IF(COUNTIF('Share classes'!$B$4:$B$203,A281)=0,"Unknown class code",IF(OR(B281="",D281="",E281=""),"Missing required field",IF(COUNTIFS($A$4:$A$503,A281,$D$4:$D$503,D281,$E$4:$E$503,E281)&gt;1,"Duplicate price","OK"))))</f>
        <v/>
      </c>
    </row>
    <row r="282">
      <c r="A282" s="26" t="n"/>
      <c r="B282" s="38" t="n"/>
      <c r="C282" s="26" t="n"/>
      <c r="D282" s="28" t="n"/>
      <c r="E282" s="26" t="n"/>
      <c r="F282" s="26" t="n"/>
      <c r="G282" s="30">
        <f>IF(A282="","",IF(COUNTIF('Share classes'!$B$4:$B$203,A282)=0,"Unknown class code",IF(OR(B282="",D282="",E282=""),"Missing required field",IF(COUNTIFS($A$4:$A$503,A282,$D$4:$D$503,D282,$E$4:$E$503,E282)&gt;1,"Duplicate price","OK"))))</f>
        <v/>
      </c>
    </row>
    <row r="283">
      <c r="A283" s="26" t="n"/>
      <c r="B283" s="38" t="n"/>
      <c r="C283" s="26" t="n"/>
      <c r="D283" s="28" t="n"/>
      <c r="E283" s="26" t="n"/>
      <c r="F283" s="26" t="n"/>
      <c r="G283" s="30">
        <f>IF(A283="","",IF(COUNTIF('Share classes'!$B$4:$B$203,A283)=0,"Unknown class code",IF(OR(B283="",D283="",E283=""),"Missing required field",IF(COUNTIFS($A$4:$A$503,A283,$D$4:$D$503,D283,$E$4:$E$503,E283)&gt;1,"Duplicate price","OK"))))</f>
        <v/>
      </c>
    </row>
    <row r="284">
      <c r="A284" s="26" t="n"/>
      <c r="B284" s="38" t="n"/>
      <c r="C284" s="26" t="n"/>
      <c r="D284" s="28" t="n"/>
      <c r="E284" s="26" t="n"/>
      <c r="F284" s="26" t="n"/>
      <c r="G284" s="30">
        <f>IF(A284="","",IF(COUNTIF('Share classes'!$B$4:$B$203,A284)=0,"Unknown class code",IF(OR(B284="",D284="",E284=""),"Missing required field",IF(COUNTIFS($A$4:$A$503,A284,$D$4:$D$503,D284,$E$4:$E$503,E284)&gt;1,"Duplicate price","OK"))))</f>
        <v/>
      </c>
    </row>
    <row r="285">
      <c r="A285" s="26" t="n"/>
      <c r="B285" s="38" t="n"/>
      <c r="C285" s="26" t="n"/>
      <c r="D285" s="28" t="n"/>
      <c r="E285" s="26" t="n"/>
      <c r="F285" s="26" t="n"/>
      <c r="G285" s="30">
        <f>IF(A285="","",IF(COUNTIF('Share classes'!$B$4:$B$203,A285)=0,"Unknown class code",IF(OR(B285="",D285="",E285=""),"Missing required field",IF(COUNTIFS($A$4:$A$503,A285,$D$4:$D$503,D285,$E$4:$E$503,E285)&gt;1,"Duplicate price","OK"))))</f>
        <v/>
      </c>
    </row>
    <row r="286">
      <c r="A286" s="26" t="n"/>
      <c r="B286" s="38" t="n"/>
      <c r="C286" s="26" t="n"/>
      <c r="D286" s="28" t="n"/>
      <c r="E286" s="26" t="n"/>
      <c r="F286" s="26" t="n"/>
      <c r="G286" s="30">
        <f>IF(A286="","",IF(COUNTIF('Share classes'!$B$4:$B$203,A286)=0,"Unknown class code",IF(OR(B286="",D286="",E286=""),"Missing required field",IF(COUNTIFS($A$4:$A$503,A286,$D$4:$D$503,D286,$E$4:$E$503,E286)&gt;1,"Duplicate price","OK"))))</f>
        <v/>
      </c>
    </row>
    <row r="287">
      <c r="A287" s="26" t="n"/>
      <c r="B287" s="38" t="n"/>
      <c r="C287" s="26" t="n"/>
      <c r="D287" s="28" t="n"/>
      <c r="E287" s="26" t="n"/>
      <c r="F287" s="26" t="n"/>
      <c r="G287" s="30">
        <f>IF(A287="","",IF(COUNTIF('Share classes'!$B$4:$B$203,A287)=0,"Unknown class code",IF(OR(B287="",D287="",E287=""),"Missing required field",IF(COUNTIFS($A$4:$A$503,A287,$D$4:$D$503,D287,$E$4:$E$503,E287)&gt;1,"Duplicate price","OK"))))</f>
        <v/>
      </c>
    </row>
    <row r="288">
      <c r="A288" s="26" t="n"/>
      <c r="B288" s="38" t="n"/>
      <c r="C288" s="26" t="n"/>
      <c r="D288" s="28" t="n"/>
      <c r="E288" s="26" t="n"/>
      <c r="F288" s="26" t="n"/>
      <c r="G288" s="30">
        <f>IF(A288="","",IF(COUNTIF('Share classes'!$B$4:$B$203,A288)=0,"Unknown class code",IF(OR(B288="",D288="",E288=""),"Missing required field",IF(COUNTIFS($A$4:$A$503,A288,$D$4:$D$503,D288,$E$4:$E$503,E288)&gt;1,"Duplicate price","OK"))))</f>
        <v/>
      </c>
    </row>
    <row r="289">
      <c r="A289" s="26" t="n"/>
      <c r="B289" s="38" t="n"/>
      <c r="C289" s="26" t="n"/>
      <c r="D289" s="28" t="n"/>
      <c r="E289" s="26" t="n"/>
      <c r="F289" s="26" t="n"/>
      <c r="G289" s="30">
        <f>IF(A289="","",IF(COUNTIF('Share classes'!$B$4:$B$203,A289)=0,"Unknown class code",IF(OR(B289="",D289="",E289=""),"Missing required field",IF(COUNTIFS($A$4:$A$503,A289,$D$4:$D$503,D289,$E$4:$E$503,E289)&gt;1,"Duplicate price","OK"))))</f>
        <v/>
      </c>
    </row>
    <row r="290">
      <c r="A290" s="26" t="n"/>
      <c r="B290" s="38" t="n"/>
      <c r="C290" s="26" t="n"/>
      <c r="D290" s="28" t="n"/>
      <c r="E290" s="26" t="n"/>
      <c r="F290" s="26" t="n"/>
      <c r="G290" s="30">
        <f>IF(A290="","",IF(COUNTIF('Share classes'!$B$4:$B$203,A290)=0,"Unknown class code",IF(OR(B290="",D290="",E290=""),"Missing required field",IF(COUNTIFS($A$4:$A$503,A290,$D$4:$D$503,D290,$E$4:$E$503,E290)&gt;1,"Duplicate price","OK"))))</f>
        <v/>
      </c>
    </row>
    <row r="291">
      <c r="A291" s="26" t="n"/>
      <c r="B291" s="38" t="n"/>
      <c r="C291" s="26" t="n"/>
      <c r="D291" s="28" t="n"/>
      <c r="E291" s="26" t="n"/>
      <c r="F291" s="26" t="n"/>
      <c r="G291" s="30">
        <f>IF(A291="","",IF(COUNTIF('Share classes'!$B$4:$B$203,A291)=0,"Unknown class code",IF(OR(B291="",D291="",E291=""),"Missing required field",IF(COUNTIFS($A$4:$A$503,A291,$D$4:$D$503,D291,$E$4:$E$503,E291)&gt;1,"Duplicate price","OK"))))</f>
        <v/>
      </c>
    </row>
    <row r="292">
      <c r="A292" s="26" t="n"/>
      <c r="B292" s="38" t="n"/>
      <c r="C292" s="26" t="n"/>
      <c r="D292" s="28" t="n"/>
      <c r="E292" s="26" t="n"/>
      <c r="F292" s="26" t="n"/>
      <c r="G292" s="30">
        <f>IF(A292="","",IF(COUNTIF('Share classes'!$B$4:$B$203,A292)=0,"Unknown class code",IF(OR(B292="",D292="",E292=""),"Missing required field",IF(COUNTIFS($A$4:$A$503,A292,$D$4:$D$503,D292,$E$4:$E$503,E292)&gt;1,"Duplicate price","OK"))))</f>
        <v/>
      </c>
    </row>
    <row r="293">
      <c r="A293" s="26" t="n"/>
      <c r="B293" s="38" t="n"/>
      <c r="C293" s="26" t="n"/>
      <c r="D293" s="28" t="n"/>
      <c r="E293" s="26" t="n"/>
      <c r="F293" s="26" t="n"/>
      <c r="G293" s="30">
        <f>IF(A293="","",IF(COUNTIF('Share classes'!$B$4:$B$203,A293)=0,"Unknown class code",IF(OR(B293="",D293="",E293=""),"Missing required field",IF(COUNTIFS($A$4:$A$503,A293,$D$4:$D$503,D293,$E$4:$E$503,E293)&gt;1,"Duplicate price","OK"))))</f>
        <v/>
      </c>
    </row>
    <row r="294">
      <c r="A294" s="26" t="n"/>
      <c r="B294" s="38" t="n"/>
      <c r="C294" s="26" t="n"/>
      <c r="D294" s="28" t="n"/>
      <c r="E294" s="26" t="n"/>
      <c r="F294" s="26" t="n"/>
      <c r="G294" s="30">
        <f>IF(A294="","",IF(COUNTIF('Share classes'!$B$4:$B$203,A294)=0,"Unknown class code",IF(OR(B294="",D294="",E294=""),"Missing required field",IF(COUNTIFS($A$4:$A$503,A294,$D$4:$D$503,D294,$E$4:$E$503,E294)&gt;1,"Duplicate price","OK"))))</f>
        <v/>
      </c>
    </row>
    <row r="295">
      <c r="A295" s="26" t="n"/>
      <c r="B295" s="38" t="n"/>
      <c r="C295" s="26" t="n"/>
      <c r="D295" s="28" t="n"/>
      <c r="E295" s="26" t="n"/>
      <c r="F295" s="26" t="n"/>
      <c r="G295" s="30">
        <f>IF(A295="","",IF(COUNTIF('Share classes'!$B$4:$B$203,A295)=0,"Unknown class code",IF(OR(B295="",D295="",E295=""),"Missing required field",IF(COUNTIFS($A$4:$A$503,A295,$D$4:$D$503,D295,$E$4:$E$503,E295)&gt;1,"Duplicate price","OK"))))</f>
        <v/>
      </c>
    </row>
    <row r="296">
      <c r="A296" s="26" t="n"/>
      <c r="B296" s="38" t="n"/>
      <c r="C296" s="26" t="n"/>
      <c r="D296" s="28" t="n"/>
      <c r="E296" s="26" t="n"/>
      <c r="F296" s="26" t="n"/>
      <c r="G296" s="30">
        <f>IF(A296="","",IF(COUNTIF('Share classes'!$B$4:$B$203,A296)=0,"Unknown class code",IF(OR(B296="",D296="",E296=""),"Missing required field",IF(COUNTIFS($A$4:$A$503,A296,$D$4:$D$503,D296,$E$4:$E$503,E296)&gt;1,"Duplicate price","OK"))))</f>
        <v/>
      </c>
    </row>
    <row r="297">
      <c r="A297" s="26" t="n"/>
      <c r="B297" s="38" t="n"/>
      <c r="C297" s="26" t="n"/>
      <c r="D297" s="28" t="n"/>
      <c r="E297" s="26" t="n"/>
      <c r="F297" s="26" t="n"/>
      <c r="G297" s="30">
        <f>IF(A297="","",IF(COUNTIF('Share classes'!$B$4:$B$203,A297)=0,"Unknown class code",IF(OR(B297="",D297="",E297=""),"Missing required field",IF(COUNTIFS($A$4:$A$503,A297,$D$4:$D$503,D297,$E$4:$E$503,E297)&gt;1,"Duplicate price","OK"))))</f>
        <v/>
      </c>
    </row>
    <row r="298">
      <c r="A298" s="26" t="n"/>
      <c r="B298" s="38" t="n"/>
      <c r="C298" s="26" t="n"/>
      <c r="D298" s="28" t="n"/>
      <c r="E298" s="26" t="n"/>
      <c r="F298" s="26" t="n"/>
      <c r="G298" s="30">
        <f>IF(A298="","",IF(COUNTIF('Share classes'!$B$4:$B$203,A298)=0,"Unknown class code",IF(OR(B298="",D298="",E298=""),"Missing required field",IF(COUNTIFS($A$4:$A$503,A298,$D$4:$D$503,D298,$E$4:$E$503,E298)&gt;1,"Duplicate price","OK"))))</f>
        <v/>
      </c>
    </row>
    <row r="299">
      <c r="A299" s="26" t="n"/>
      <c r="B299" s="38" t="n"/>
      <c r="C299" s="26" t="n"/>
      <c r="D299" s="28" t="n"/>
      <c r="E299" s="26" t="n"/>
      <c r="F299" s="26" t="n"/>
      <c r="G299" s="30">
        <f>IF(A299="","",IF(COUNTIF('Share classes'!$B$4:$B$203,A299)=0,"Unknown class code",IF(OR(B299="",D299="",E299=""),"Missing required field",IF(COUNTIFS($A$4:$A$503,A299,$D$4:$D$503,D299,$E$4:$E$503,E299)&gt;1,"Duplicate price","OK"))))</f>
        <v/>
      </c>
    </row>
    <row r="300">
      <c r="A300" s="26" t="n"/>
      <c r="B300" s="38" t="n"/>
      <c r="C300" s="26" t="n"/>
      <c r="D300" s="28" t="n"/>
      <c r="E300" s="26" t="n"/>
      <c r="F300" s="26" t="n"/>
      <c r="G300" s="30">
        <f>IF(A300="","",IF(COUNTIF('Share classes'!$B$4:$B$203,A300)=0,"Unknown class code",IF(OR(B300="",D300="",E300=""),"Missing required field",IF(COUNTIFS($A$4:$A$503,A300,$D$4:$D$503,D300,$E$4:$E$503,E300)&gt;1,"Duplicate price","OK"))))</f>
        <v/>
      </c>
    </row>
    <row r="301">
      <c r="A301" s="26" t="n"/>
      <c r="B301" s="38" t="n"/>
      <c r="C301" s="26" t="n"/>
      <c r="D301" s="28" t="n"/>
      <c r="E301" s="26" t="n"/>
      <c r="F301" s="26" t="n"/>
      <c r="G301" s="30">
        <f>IF(A301="","",IF(COUNTIF('Share classes'!$B$4:$B$203,A301)=0,"Unknown class code",IF(OR(B301="",D301="",E301=""),"Missing required field",IF(COUNTIFS($A$4:$A$503,A301,$D$4:$D$503,D301,$E$4:$E$503,E301)&gt;1,"Duplicate price","OK"))))</f>
        <v/>
      </c>
    </row>
    <row r="302">
      <c r="A302" s="26" t="n"/>
      <c r="B302" s="38" t="n"/>
      <c r="C302" s="26" t="n"/>
      <c r="D302" s="28" t="n"/>
      <c r="E302" s="26" t="n"/>
      <c r="F302" s="26" t="n"/>
      <c r="G302" s="30">
        <f>IF(A302="","",IF(COUNTIF('Share classes'!$B$4:$B$203,A302)=0,"Unknown class code",IF(OR(B302="",D302="",E302=""),"Missing required field",IF(COUNTIFS($A$4:$A$503,A302,$D$4:$D$503,D302,$E$4:$E$503,E302)&gt;1,"Duplicate price","OK"))))</f>
        <v/>
      </c>
    </row>
    <row r="303">
      <c r="A303" s="26" t="n"/>
      <c r="B303" s="38" t="n"/>
      <c r="C303" s="26" t="n"/>
      <c r="D303" s="28" t="n"/>
      <c r="E303" s="26" t="n"/>
      <c r="F303" s="26" t="n"/>
      <c r="G303" s="30">
        <f>IF(A303="","",IF(COUNTIF('Share classes'!$B$4:$B$203,A303)=0,"Unknown class code",IF(OR(B303="",D303="",E303=""),"Missing required field",IF(COUNTIFS($A$4:$A$503,A303,$D$4:$D$503,D303,$E$4:$E$503,E303)&gt;1,"Duplicate price","OK"))))</f>
        <v/>
      </c>
    </row>
    <row r="304">
      <c r="A304" s="26" t="n"/>
      <c r="B304" s="38" t="n"/>
      <c r="C304" s="26" t="n"/>
      <c r="D304" s="28" t="n"/>
      <c r="E304" s="26" t="n"/>
      <c r="F304" s="26" t="n"/>
      <c r="G304" s="30">
        <f>IF(A304="","",IF(COUNTIF('Share classes'!$B$4:$B$203,A304)=0,"Unknown class code",IF(OR(B304="",D304="",E304=""),"Missing required field",IF(COUNTIFS($A$4:$A$503,A304,$D$4:$D$503,D304,$E$4:$E$503,E304)&gt;1,"Duplicate price","OK"))))</f>
        <v/>
      </c>
    </row>
    <row r="305">
      <c r="A305" s="26" t="n"/>
      <c r="B305" s="38" t="n"/>
      <c r="C305" s="26" t="n"/>
      <c r="D305" s="28" t="n"/>
      <c r="E305" s="26" t="n"/>
      <c r="F305" s="26" t="n"/>
      <c r="G305" s="30">
        <f>IF(A305="","",IF(COUNTIF('Share classes'!$B$4:$B$203,A305)=0,"Unknown class code",IF(OR(B305="",D305="",E305=""),"Missing required field",IF(COUNTIFS($A$4:$A$503,A305,$D$4:$D$503,D305,$E$4:$E$503,E305)&gt;1,"Duplicate price","OK"))))</f>
        <v/>
      </c>
    </row>
    <row r="306">
      <c r="A306" s="26" t="n"/>
      <c r="B306" s="38" t="n"/>
      <c r="C306" s="26" t="n"/>
      <c r="D306" s="28" t="n"/>
      <c r="E306" s="26" t="n"/>
      <c r="F306" s="26" t="n"/>
      <c r="G306" s="30">
        <f>IF(A306="","",IF(COUNTIF('Share classes'!$B$4:$B$203,A306)=0,"Unknown class code",IF(OR(B306="",D306="",E306=""),"Missing required field",IF(COUNTIFS($A$4:$A$503,A306,$D$4:$D$503,D306,$E$4:$E$503,E306)&gt;1,"Duplicate price","OK"))))</f>
        <v/>
      </c>
    </row>
    <row r="307">
      <c r="A307" s="26" t="n"/>
      <c r="B307" s="38" t="n"/>
      <c r="C307" s="26" t="n"/>
      <c r="D307" s="28" t="n"/>
      <c r="E307" s="26" t="n"/>
      <c r="F307" s="26" t="n"/>
      <c r="G307" s="30">
        <f>IF(A307="","",IF(COUNTIF('Share classes'!$B$4:$B$203,A307)=0,"Unknown class code",IF(OR(B307="",D307="",E307=""),"Missing required field",IF(COUNTIFS($A$4:$A$503,A307,$D$4:$D$503,D307,$E$4:$E$503,E307)&gt;1,"Duplicate price","OK"))))</f>
        <v/>
      </c>
    </row>
    <row r="308">
      <c r="A308" s="26" t="n"/>
      <c r="B308" s="38" t="n"/>
      <c r="C308" s="26" t="n"/>
      <c r="D308" s="28" t="n"/>
      <c r="E308" s="26" t="n"/>
      <c r="F308" s="26" t="n"/>
      <c r="G308" s="30">
        <f>IF(A308="","",IF(COUNTIF('Share classes'!$B$4:$B$203,A308)=0,"Unknown class code",IF(OR(B308="",D308="",E308=""),"Missing required field",IF(COUNTIFS($A$4:$A$503,A308,$D$4:$D$503,D308,$E$4:$E$503,E308)&gt;1,"Duplicate price","OK"))))</f>
        <v/>
      </c>
    </row>
    <row r="309">
      <c r="A309" s="26" t="n"/>
      <c r="B309" s="38" t="n"/>
      <c r="C309" s="26" t="n"/>
      <c r="D309" s="28" t="n"/>
      <c r="E309" s="26" t="n"/>
      <c r="F309" s="26" t="n"/>
      <c r="G309" s="30">
        <f>IF(A309="","",IF(COUNTIF('Share classes'!$B$4:$B$203,A309)=0,"Unknown class code",IF(OR(B309="",D309="",E309=""),"Missing required field",IF(COUNTIFS($A$4:$A$503,A309,$D$4:$D$503,D309,$E$4:$E$503,E309)&gt;1,"Duplicate price","OK"))))</f>
        <v/>
      </c>
    </row>
    <row r="310">
      <c r="A310" s="26" t="n"/>
      <c r="B310" s="38" t="n"/>
      <c r="C310" s="26" t="n"/>
      <c r="D310" s="28" t="n"/>
      <c r="E310" s="26" t="n"/>
      <c r="F310" s="26" t="n"/>
      <c r="G310" s="30">
        <f>IF(A310="","",IF(COUNTIF('Share classes'!$B$4:$B$203,A310)=0,"Unknown class code",IF(OR(B310="",D310="",E310=""),"Missing required field",IF(COUNTIFS($A$4:$A$503,A310,$D$4:$D$503,D310,$E$4:$E$503,E310)&gt;1,"Duplicate price","OK"))))</f>
        <v/>
      </c>
    </row>
    <row r="311">
      <c r="A311" s="26" t="n"/>
      <c r="B311" s="38" t="n"/>
      <c r="C311" s="26" t="n"/>
      <c r="D311" s="28" t="n"/>
      <c r="E311" s="26" t="n"/>
      <c r="F311" s="26" t="n"/>
      <c r="G311" s="30">
        <f>IF(A311="","",IF(COUNTIF('Share classes'!$B$4:$B$203,A311)=0,"Unknown class code",IF(OR(B311="",D311="",E311=""),"Missing required field",IF(COUNTIFS($A$4:$A$503,A311,$D$4:$D$503,D311,$E$4:$E$503,E311)&gt;1,"Duplicate price","OK"))))</f>
        <v/>
      </c>
    </row>
    <row r="312">
      <c r="A312" s="26" t="n"/>
      <c r="B312" s="38" t="n"/>
      <c r="C312" s="26" t="n"/>
      <c r="D312" s="28" t="n"/>
      <c r="E312" s="26" t="n"/>
      <c r="F312" s="26" t="n"/>
      <c r="G312" s="30">
        <f>IF(A312="","",IF(COUNTIF('Share classes'!$B$4:$B$203,A312)=0,"Unknown class code",IF(OR(B312="",D312="",E312=""),"Missing required field",IF(COUNTIFS($A$4:$A$503,A312,$D$4:$D$503,D312,$E$4:$E$503,E312)&gt;1,"Duplicate price","OK"))))</f>
        <v/>
      </c>
    </row>
    <row r="313">
      <c r="A313" s="26" t="n"/>
      <c r="B313" s="38" t="n"/>
      <c r="C313" s="26" t="n"/>
      <c r="D313" s="28" t="n"/>
      <c r="E313" s="26" t="n"/>
      <c r="F313" s="26" t="n"/>
      <c r="G313" s="30">
        <f>IF(A313="","",IF(COUNTIF('Share classes'!$B$4:$B$203,A313)=0,"Unknown class code",IF(OR(B313="",D313="",E313=""),"Missing required field",IF(COUNTIFS($A$4:$A$503,A313,$D$4:$D$503,D313,$E$4:$E$503,E313)&gt;1,"Duplicate price","OK"))))</f>
        <v/>
      </c>
    </row>
    <row r="314">
      <c r="A314" s="26" t="n"/>
      <c r="B314" s="38" t="n"/>
      <c r="C314" s="26" t="n"/>
      <c r="D314" s="28" t="n"/>
      <c r="E314" s="26" t="n"/>
      <c r="F314" s="26" t="n"/>
      <c r="G314" s="30">
        <f>IF(A314="","",IF(COUNTIF('Share classes'!$B$4:$B$203,A314)=0,"Unknown class code",IF(OR(B314="",D314="",E314=""),"Missing required field",IF(COUNTIFS($A$4:$A$503,A314,$D$4:$D$503,D314,$E$4:$E$503,E314)&gt;1,"Duplicate price","OK"))))</f>
        <v/>
      </c>
    </row>
    <row r="315">
      <c r="A315" s="26" t="n"/>
      <c r="B315" s="38" t="n"/>
      <c r="C315" s="26" t="n"/>
      <c r="D315" s="28" t="n"/>
      <c r="E315" s="26" t="n"/>
      <c r="F315" s="26" t="n"/>
      <c r="G315" s="30">
        <f>IF(A315="","",IF(COUNTIF('Share classes'!$B$4:$B$203,A315)=0,"Unknown class code",IF(OR(B315="",D315="",E315=""),"Missing required field",IF(COUNTIFS($A$4:$A$503,A315,$D$4:$D$503,D315,$E$4:$E$503,E315)&gt;1,"Duplicate price","OK"))))</f>
        <v/>
      </c>
    </row>
    <row r="316">
      <c r="A316" s="26" t="n"/>
      <c r="B316" s="38" t="n"/>
      <c r="C316" s="26" t="n"/>
      <c r="D316" s="28" t="n"/>
      <c r="E316" s="26" t="n"/>
      <c r="F316" s="26" t="n"/>
      <c r="G316" s="30">
        <f>IF(A316="","",IF(COUNTIF('Share classes'!$B$4:$B$203,A316)=0,"Unknown class code",IF(OR(B316="",D316="",E316=""),"Missing required field",IF(COUNTIFS($A$4:$A$503,A316,$D$4:$D$503,D316,$E$4:$E$503,E316)&gt;1,"Duplicate price","OK"))))</f>
        <v/>
      </c>
    </row>
    <row r="317">
      <c r="A317" s="26" t="n"/>
      <c r="B317" s="38" t="n"/>
      <c r="C317" s="26" t="n"/>
      <c r="D317" s="28" t="n"/>
      <c r="E317" s="26" t="n"/>
      <c r="F317" s="26" t="n"/>
      <c r="G317" s="30">
        <f>IF(A317="","",IF(COUNTIF('Share classes'!$B$4:$B$203,A317)=0,"Unknown class code",IF(OR(B317="",D317="",E317=""),"Missing required field",IF(COUNTIFS($A$4:$A$503,A317,$D$4:$D$503,D317,$E$4:$E$503,E317)&gt;1,"Duplicate price","OK"))))</f>
        <v/>
      </c>
    </row>
    <row r="318">
      <c r="A318" s="26" t="n"/>
      <c r="B318" s="38" t="n"/>
      <c r="C318" s="26" t="n"/>
      <c r="D318" s="28" t="n"/>
      <c r="E318" s="26" t="n"/>
      <c r="F318" s="26" t="n"/>
      <c r="G318" s="30">
        <f>IF(A318="","",IF(COUNTIF('Share classes'!$B$4:$B$203,A318)=0,"Unknown class code",IF(OR(B318="",D318="",E318=""),"Missing required field",IF(COUNTIFS($A$4:$A$503,A318,$D$4:$D$503,D318,$E$4:$E$503,E318)&gt;1,"Duplicate price","OK"))))</f>
        <v/>
      </c>
    </row>
    <row r="319">
      <c r="A319" s="26" t="n"/>
      <c r="B319" s="38" t="n"/>
      <c r="C319" s="26" t="n"/>
      <c r="D319" s="28" t="n"/>
      <c r="E319" s="26" t="n"/>
      <c r="F319" s="26" t="n"/>
      <c r="G319" s="30">
        <f>IF(A319="","",IF(COUNTIF('Share classes'!$B$4:$B$203,A319)=0,"Unknown class code",IF(OR(B319="",D319="",E319=""),"Missing required field",IF(COUNTIFS($A$4:$A$503,A319,$D$4:$D$503,D319,$E$4:$E$503,E319)&gt;1,"Duplicate price","OK"))))</f>
        <v/>
      </c>
    </row>
    <row r="320">
      <c r="A320" s="26" t="n"/>
      <c r="B320" s="38" t="n"/>
      <c r="C320" s="26" t="n"/>
      <c r="D320" s="28" t="n"/>
      <c r="E320" s="26" t="n"/>
      <c r="F320" s="26" t="n"/>
      <c r="G320" s="30">
        <f>IF(A320="","",IF(COUNTIF('Share classes'!$B$4:$B$203,A320)=0,"Unknown class code",IF(OR(B320="",D320="",E320=""),"Missing required field",IF(COUNTIFS($A$4:$A$503,A320,$D$4:$D$503,D320,$E$4:$E$503,E320)&gt;1,"Duplicate price","OK"))))</f>
        <v/>
      </c>
    </row>
    <row r="321">
      <c r="A321" s="26" t="n"/>
      <c r="B321" s="38" t="n"/>
      <c r="C321" s="26" t="n"/>
      <c r="D321" s="28" t="n"/>
      <c r="E321" s="26" t="n"/>
      <c r="F321" s="26" t="n"/>
      <c r="G321" s="30">
        <f>IF(A321="","",IF(COUNTIF('Share classes'!$B$4:$B$203,A321)=0,"Unknown class code",IF(OR(B321="",D321="",E321=""),"Missing required field",IF(COUNTIFS($A$4:$A$503,A321,$D$4:$D$503,D321,$E$4:$E$503,E321)&gt;1,"Duplicate price","OK"))))</f>
        <v/>
      </c>
    </row>
    <row r="322">
      <c r="A322" s="26" t="n"/>
      <c r="B322" s="38" t="n"/>
      <c r="C322" s="26" t="n"/>
      <c r="D322" s="28" t="n"/>
      <c r="E322" s="26" t="n"/>
      <c r="F322" s="26" t="n"/>
      <c r="G322" s="30">
        <f>IF(A322="","",IF(COUNTIF('Share classes'!$B$4:$B$203,A322)=0,"Unknown class code",IF(OR(B322="",D322="",E322=""),"Missing required field",IF(COUNTIFS($A$4:$A$503,A322,$D$4:$D$503,D322,$E$4:$E$503,E322)&gt;1,"Duplicate price","OK"))))</f>
        <v/>
      </c>
    </row>
    <row r="323">
      <c r="A323" s="26" t="n"/>
      <c r="B323" s="38" t="n"/>
      <c r="C323" s="26" t="n"/>
      <c r="D323" s="28" t="n"/>
      <c r="E323" s="26" t="n"/>
      <c r="F323" s="26" t="n"/>
      <c r="G323" s="30">
        <f>IF(A323="","",IF(COUNTIF('Share classes'!$B$4:$B$203,A323)=0,"Unknown class code",IF(OR(B323="",D323="",E323=""),"Missing required field",IF(COUNTIFS($A$4:$A$503,A323,$D$4:$D$503,D323,$E$4:$E$503,E323)&gt;1,"Duplicate price","OK"))))</f>
        <v/>
      </c>
    </row>
    <row r="324">
      <c r="A324" s="26" t="n"/>
      <c r="B324" s="38" t="n"/>
      <c r="C324" s="26" t="n"/>
      <c r="D324" s="28" t="n"/>
      <c r="E324" s="26" t="n"/>
      <c r="F324" s="26" t="n"/>
      <c r="G324" s="30">
        <f>IF(A324="","",IF(COUNTIF('Share classes'!$B$4:$B$203,A324)=0,"Unknown class code",IF(OR(B324="",D324="",E324=""),"Missing required field",IF(COUNTIFS($A$4:$A$503,A324,$D$4:$D$503,D324,$E$4:$E$503,E324)&gt;1,"Duplicate price","OK"))))</f>
        <v/>
      </c>
    </row>
    <row r="325">
      <c r="A325" s="26" t="n"/>
      <c r="B325" s="38" t="n"/>
      <c r="C325" s="26" t="n"/>
      <c r="D325" s="28" t="n"/>
      <c r="E325" s="26" t="n"/>
      <c r="F325" s="26" t="n"/>
      <c r="G325" s="30">
        <f>IF(A325="","",IF(COUNTIF('Share classes'!$B$4:$B$203,A325)=0,"Unknown class code",IF(OR(B325="",D325="",E325=""),"Missing required field",IF(COUNTIFS($A$4:$A$503,A325,$D$4:$D$503,D325,$E$4:$E$503,E325)&gt;1,"Duplicate price","OK"))))</f>
        <v/>
      </c>
    </row>
    <row r="326">
      <c r="A326" s="26" t="n"/>
      <c r="B326" s="38" t="n"/>
      <c r="C326" s="26" t="n"/>
      <c r="D326" s="28" t="n"/>
      <c r="E326" s="26" t="n"/>
      <c r="F326" s="26" t="n"/>
      <c r="G326" s="30">
        <f>IF(A326="","",IF(COUNTIF('Share classes'!$B$4:$B$203,A326)=0,"Unknown class code",IF(OR(B326="",D326="",E326=""),"Missing required field",IF(COUNTIFS($A$4:$A$503,A326,$D$4:$D$503,D326,$E$4:$E$503,E326)&gt;1,"Duplicate price","OK"))))</f>
        <v/>
      </c>
    </row>
    <row r="327">
      <c r="A327" s="26" t="n"/>
      <c r="B327" s="38" t="n"/>
      <c r="C327" s="26" t="n"/>
      <c r="D327" s="28" t="n"/>
      <c r="E327" s="26" t="n"/>
      <c r="F327" s="26" t="n"/>
      <c r="G327" s="30">
        <f>IF(A327="","",IF(COUNTIF('Share classes'!$B$4:$B$203,A327)=0,"Unknown class code",IF(OR(B327="",D327="",E327=""),"Missing required field",IF(COUNTIFS($A$4:$A$503,A327,$D$4:$D$503,D327,$E$4:$E$503,E327)&gt;1,"Duplicate price","OK"))))</f>
        <v/>
      </c>
    </row>
    <row r="328">
      <c r="A328" s="26" t="n"/>
      <c r="B328" s="38" t="n"/>
      <c r="C328" s="26" t="n"/>
      <c r="D328" s="28" t="n"/>
      <c r="E328" s="26" t="n"/>
      <c r="F328" s="26" t="n"/>
      <c r="G328" s="30">
        <f>IF(A328="","",IF(COUNTIF('Share classes'!$B$4:$B$203,A328)=0,"Unknown class code",IF(OR(B328="",D328="",E328=""),"Missing required field",IF(COUNTIFS($A$4:$A$503,A328,$D$4:$D$503,D328,$E$4:$E$503,E328)&gt;1,"Duplicate price","OK"))))</f>
        <v/>
      </c>
    </row>
    <row r="329">
      <c r="A329" s="26" t="n"/>
      <c r="B329" s="38" t="n"/>
      <c r="C329" s="26" t="n"/>
      <c r="D329" s="28" t="n"/>
      <c r="E329" s="26" t="n"/>
      <c r="F329" s="26" t="n"/>
      <c r="G329" s="30">
        <f>IF(A329="","",IF(COUNTIF('Share classes'!$B$4:$B$203,A329)=0,"Unknown class code",IF(OR(B329="",D329="",E329=""),"Missing required field",IF(COUNTIFS($A$4:$A$503,A329,$D$4:$D$503,D329,$E$4:$E$503,E329)&gt;1,"Duplicate price","OK"))))</f>
        <v/>
      </c>
    </row>
    <row r="330">
      <c r="A330" s="26" t="n"/>
      <c r="B330" s="38" t="n"/>
      <c r="C330" s="26" t="n"/>
      <c r="D330" s="28" t="n"/>
      <c r="E330" s="26" t="n"/>
      <c r="F330" s="26" t="n"/>
      <c r="G330" s="30">
        <f>IF(A330="","",IF(COUNTIF('Share classes'!$B$4:$B$203,A330)=0,"Unknown class code",IF(OR(B330="",D330="",E330=""),"Missing required field",IF(COUNTIFS($A$4:$A$503,A330,$D$4:$D$503,D330,$E$4:$E$503,E330)&gt;1,"Duplicate price","OK"))))</f>
        <v/>
      </c>
    </row>
    <row r="331">
      <c r="A331" s="26" t="n"/>
      <c r="B331" s="38" t="n"/>
      <c r="C331" s="26" t="n"/>
      <c r="D331" s="28" t="n"/>
      <c r="E331" s="26" t="n"/>
      <c r="F331" s="26" t="n"/>
      <c r="G331" s="30">
        <f>IF(A331="","",IF(COUNTIF('Share classes'!$B$4:$B$203,A331)=0,"Unknown class code",IF(OR(B331="",D331="",E331=""),"Missing required field",IF(COUNTIFS($A$4:$A$503,A331,$D$4:$D$503,D331,$E$4:$E$503,E331)&gt;1,"Duplicate price","OK"))))</f>
        <v/>
      </c>
    </row>
    <row r="332">
      <c r="A332" s="26" t="n"/>
      <c r="B332" s="38" t="n"/>
      <c r="C332" s="26" t="n"/>
      <c r="D332" s="28" t="n"/>
      <c r="E332" s="26" t="n"/>
      <c r="F332" s="26" t="n"/>
      <c r="G332" s="30">
        <f>IF(A332="","",IF(COUNTIF('Share classes'!$B$4:$B$203,A332)=0,"Unknown class code",IF(OR(B332="",D332="",E332=""),"Missing required field",IF(COUNTIFS($A$4:$A$503,A332,$D$4:$D$503,D332,$E$4:$E$503,E332)&gt;1,"Duplicate price","OK"))))</f>
        <v/>
      </c>
    </row>
    <row r="333">
      <c r="A333" s="26" t="n"/>
      <c r="B333" s="38" t="n"/>
      <c r="C333" s="26" t="n"/>
      <c r="D333" s="28" t="n"/>
      <c r="E333" s="26" t="n"/>
      <c r="F333" s="26" t="n"/>
      <c r="G333" s="30">
        <f>IF(A333="","",IF(COUNTIF('Share classes'!$B$4:$B$203,A333)=0,"Unknown class code",IF(OR(B333="",D333="",E333=""),"Missing required field",IF(COUNTIFS($A$4:$A$503,A333,$D$4:$D$503,D333,$E$4:$E$503,E333)&gt;1,"Duplicate price","OK"))))</f>
        <v/>
      </c>
    </row>
    <row r="334">
      <c r="A334" s="26" t="n"/>
      <c r="B334" s="38" t="n"/>
      <c r="C334" s="26" t="n"/>
      <c r="D334" s="28" t="n"/>
      <c r="E334" s="26" t="n"/>
      <c r="F334" s="26" t="n"/>
      <c r="G334" s="30">
        <f>IF(A334="","",IF(COUNTIF('Share classes'!$B$4:$B$203,A334)=0,"Unknown class code",IF(OR(B334="",D334="",E334=""),"Missing required field",IF(COUNTIFS($A$4:$A$503,A334,$D$4:$D$503,D334,$E$4:$E$503,E334)&gt;1,"Duplicate price","OK"))))</f>
        <v/>
      </c>
    </row>
    <row r="335">
      <c r="A335" s="26" t="n"/>
      <c r="B335" s="38" t="n"/>
      <c r="C335" s="26" t="n"/>
      <c r="D335" s="28" t="n"/>
      <c r="E335" s="26" t="n"/>
      <c r="F335" s="26" t="n"/>
      <c r="G335" s="30">
        <f>IF(A335="","",IF(COUNTIF('Share classes'!$B$4:$B$203,A335)=0,"Unknown class code",IF(OR(B335="",D335="",E335=""),"Missing required field",IF(COUNTIFS($A$4:$A$503,A335,$D$4:$D$503,D335,$E$4:$E$503,E335)&gt;1,"Duplicate price","OK"))))</f>
        <v/>
      </c>
    </row>
    <row r="336">
      <c r="A336" s="26" t="n"/>
      <c r="B336" s="38" t="n"/>
      <c r="C336" s="26" t="n"/>
      <c r="D336" s="28" t="n"/>
      <c r="E336" s="26" t="n"/>
      <c r="F336" s="26" t="n"/>
      <c r="G336" s="30">
        <f>IF(A336="","",IF(COUNTIF('Share classes'!$B$4:$B$203,A336)=0,"Unknown class code",IF(OR(B336="",D336="",E336=""),"Missing required field",IF(COUNTIFS($A$4:$A$503,A336,$D$4:$D$503,D336,$E$4:$E$503,E336)&gt;1,"Duplicate price","OK"))))</f>
        <v/>
      </c>
    </row>
    <row r="337">
      <c r="A337" s="26" t="n"/>
      <c r="B337" s="38" t="n"/>
      <c r="C337" s="26" t="n"/>
      <c r="D337" s="28" t="n"/>
      <c r="E337" s="26" t="n"/>
      <c r="F337" s="26" t="n"/>
      <c r="G337" s="30">
        <f>IF(A337="","",IF(COUNTIF('Share classes'!$B$4:$B$203,A337)=0,"Unknown class code",IF(OR(B337="",D337="",E337=""),"Missing required field",IF(COUNTIFS($A$4:$A$503,A337,$D$4:$D$503,D337,$E$4:$E$503,E337)&gt;1,"Duplicate price","OK"))))</f>
        <v/>
      </c>
    </row>
    <row r="338">
      <c r="A338" s="26" t="n"/>
      <c r="B338" s="38" t="n"/>
      <c r="C338" s="26" t="n"/>
      <c r="D338" s="28" t="n"/>
      <c r="E338" s="26" t="n"/>
      <c r="F338" s="26" t="n"/>
      <c r="G338" s="30">
        <f>IF(A338="","",IF(COUNTIF('Share classes'!$B$4:$B$203,A338)=0,"Unknown class code",IF(OR(B338="",D338="",E338=""),"Missing required field",IF(COUNTIFS($A$4:$A$503,A338,$D$4:$D$503,D338,$E$4:$E$503,E338)&gt;1,"Duplicate price","OK"))))</f>
        <v/>
      </c>
    </row>
    <row r="339">
      <c r="A339" s="26" t="n"/>
      <c r="B339" s="38" t="n"/>
      <c r="C339" s="26" t="n"/>
      <c r="D339" s="28" t="n"/>
      <c r="E339" s="26" t="n"/>
      <c r="F339" s="26" t="n"/>
      <c r="G339" s="30">
        <f>IF(A339="","",IF(COUNTIF('Share classes'!$B$4:$B$203,A339)=0,"Unknown class code",IF(OR(B339="",D339="",E339=""),"Missing required field",IF(COUNTIFS($A$4:$A$503,A339,$D$4:$D$503,D339,$E$4:$E$503,E339)&gt;1,"Duplicate price","OK"))))</f>
        <v/>
      </c>
    </row>
    <row r="340">
      <c r="A340" s="26" t="n"/>
      <c r="B340" s="38" t="n"/>
      <c r="C340" s="26" t="n"/>
      <c r="D340" s="28" t="n"/>
      <c r="E340" s="26" t="n"/>
      <c r="F340" s="26" t="n"/>
      <c r="G340" s="30">
        <f>IF(A340="","",IF(COUNTIF('Share classes'!$B$4:$B$203,A340)=0,"Unknown class code",IF(OR(B340="",D340="",E340=""),"Missing required field",IF(COUNTIFS($A$4:$A$503,A340,$D$4:$D$503,D340,$E$4:$E$503,E340)&gt;1,"Duplicate price","OK"))))</f>
        <v/>
      </c>
    </row>
    <row r="341">
      <c r="A341" s="26" t="n"/>
      <c r="B341" s="38" t="n"/>
      <c r="C341" s="26" t="n"/>
      <c r="D341" s="28" t="n"/>
      <c r="E341" s="26" t="n"/>
      <c r="F341" s="26" t="n"/>
      <c r="G341" s="30">
        <f>IF(A341="","",IF(COUNTIF('Share classes'!$B$4:$B$203,A341)=0,"Unknown class code",IF(OR(B341="",D341="",E341=""),"Missing required field",IF(COUNTIFS($A$4:$A$503,A341,$D$4:$D$503,D341,$E$4:$E$503,E341)&gt;1,"Duplicate price","OK"))))</f>
        <v/>
      </c>
    </row>
    <row r="342">
      <c r="A342" s="26" t="n"/>
      <c r="B342" s="38" t="n"/>
      <c r="C342" s="26" t="n"/>
      <c r="D342" s="28" t="n"/>
      <c r="E342" s="26" t="n"/>
      <c r="F342" s="26" t="n"/>
      <c r="G342" s="30">
        <f>IF(A342="","",IF(COUNTIF('Share classes'!$B$4:$B$203,A342)=0,"Unknown class code",IF(OR(B342="",D342="",E342=""),"Missing required field",IF(COUNTIFS($A$4:$A$503,A342,$D$4:$D$503,D342,$E$4:$E$503,E342)&gt;1,"Duplicate price","OK"))))</f>
        <v/>
      </c>
    </row>
    <row r="343">
      <c r="A343" s="26" t="n"/>
      <c r="B343" s="38" t="n"/>
      <c r="C343" s="26" t="n"/>
      <c r="D343" s="28" t="n"/>
      <c r="E343" s="26" t="n"/>
      <c r="F343" s="26" t="n"/>
      <c r="G343" s="30">
        <f>IF(A343="","",IF(COUNTIF('Share classes'!$B$4:$B$203,A343)=0,"Unknown class code",IF(OR(B343="",D343="",E343=""),"Missing required field",IF(COUNTIFS($A$4:$A$503,A343,$D$4:$D$503,D343,$E$4:$E$503,E343)&gt;1,"Duplicate price","OK"))))</f>
        <v/>
      </c>
    </row>
    <row r="344">
      <c r="A344" s="26" t="n"/>
      <c r="B344" s="38" t="n"/>
      <c r="C344" s="26" t="n"/>
      <c r="D344" s="28" t="n"/>
      <c r="E344" s="26" t="n"/>
      <c r="F344" s="26" t="n"/>
      <c r="G344" s="30">
        <f>IF(A344="","",IF(COUNTIF('Share classes'!$B$4:$B$203,A344)=0,"Unknown class code",IF(OR(B344="",D344="",E344=""),"Missing required field",IF(COUNTIFS($A$4:$A$503,A344,$D$4:$D$503,D344,$E$4:$E$503,E344)&gt;1,"Duplicate price","OK"))))</f>
        <v/>
      </c>
    </row>
    <row r="345">
      <c r="A345" s="26" t="n"/>
      <c r="B345" s="38" t="n"/>
      <c r="C345" s="26" t="n"/>
      <c r="D345" s="28" t="n"/>
      <c r="E345" s="26" t="n"/>
      <c r="F345" s="26" t="n"/>
      <c r="G345" s="30">
        <f>IF(A345="","",IF(COUNTIF('Share classes'!$B$4:$B$203,A345)=0,"Unknown class code",IF(OR(B345="",D345="",E345=""),"Missing required field",IF(COUNTIFS($A$4:$A$503,A345,$D$4:$D$503,D345,$E$4:$E$503,E345)&gt;1,"Duplicate price","OK"))))</f>
        <v/>
      </c>
    </row>
    <row r="346">
      <c r="A346" s="26" t="n"/>
      <c r="B346" s="38" t="n"/>
      <c r="C346" s="26" t="n"/>
      <c r="D346" s="28" t="n"/>
      <c r="E346" s="26" t="n"/>
      <c r="F346" s="26" t="n"/>
      <c r="G346" s="30">
        <f>IF(A346="","",IF(COUNTIF('Share classes'!$B$4:$B$203,A346)=0,"Unknown class code",IF(OR(B346="",D346="",E346=""),"Missing required field",IF(COUNTIFS($A$4:$A$503,A346,$D$4:$D$503,D346,$E$4:$E$503,E346)&gt;1,"Duplicate price","OK"))))</f>
        <v/>
      </c>
    </row>
    <row r="347">
      <c r="A347" s="26" t="n"/>
      <c r="B347" s="38" t="n"/>
      <c r="C347" s="26" t="n"/>
      <c r="D347" s="28" t="n"/>
      <c r="E347" s="26" t="n"/>
      <c r="F347" s="26" t="n"/>
      <c r="G347" s="30">
        <f>IF(A347="","",IF(COUNTIF('Share classes'!$B$4:$B$203,A347)=0,"Unknown class code",IF(OR(B347="",D347="",E347=""),"Missing required field",IF(COUNTIFS($A$4:$A$503,A347,$D$4:$D$503,D347,$E$4:$E$503,E347)&gt;1,"Duplicate price","OK"))))</f>
        <v/>
      </c>
    </row>
    <row r="348">
      <c r="A348" s="26" t="n"/>
      <c r="B348" s="38" t="n"/>
      <c r="C348" s="26" t="n"/>
      <c r="D348" s="28" t="n"/>
      <c r="E348" s="26" t="n"/>
      <c r="F348" s="26" t="n"/>
      <c r="G348" s="30">
        <f>IF(A348="","",IF(COUNTIF('Share classes'!$B$4:$B$203,A348)=0,"Unknown class code",IF(OR(B348="",D348="",E348=""),"Missing required field",IF(COUNTIFS($A$4:$A$503,A348,$D$4:$D$503,D348,$E$4:$E$503,E348)&gt;1,"Duplicate price","OK"))))</f>
        <v/>
      </c>
    </row>
    <row r="349">
      <c r="A349" s="26" t="n"/>
      <c r="B349" s="38" t="n"/>
      <c r="C349" s="26" t="n"/>
      <c r="D349" s="28" t="n"/>
      <c r="E349" s="26" t="n"/>
      <c r="F349" s="26" t="n"/>
      <c r="G349" s="30">
        <f>IF(A349="","",IF(COUNTIF('Share classes'!$B$4:$B$203,A349)=0,"Unknown class code",IF(OR(B349="",D349="",E349=""),"Missing required field",IF(COUNTIFS($A$4:$A$503,A349,$D$4:$D$503,D349,$E$4:$E$503,E349)&gt;1,"Duplicate price","OK"))))</f>
        <v/>
      </c>
    </row>
    <row r="350">
      <c r="A350" s="26" t="n"/>
      <c r="B350" s="38" t="n"/>
      <c r="C350" s="26" t="n"/>
      <c r="D350" s="28" t="n"/>
      <c r="E350" s="26" t="n"/>
      <c r="F350" s="26" t="n"/>
      <c r="G350" s="30">
        <f>IF(A350="","",IF(COUNTIF('Share classes'!$B$4:$B$203,A350)=0,"Unknown class code",IF(OR(B350="",D350="",E350=""),"Missing required field",IF(COUNTIFS($A$4:$A$503,A350,$D$4:$D$503,D350,$E$4:$E$503,E350)&gt;1,"Duplicate price","OK"))))</f>
        <v/>
      </c>
    </row>
    <row r="351">
      <c r="A351" s="26" t="n"/>
      <c r="B351" s="38" t="n"/>
      <c r="C351" s="26" t="n"/>
      <c r="D351" s="28" t="n"/>
      <c r="E351" s="26" t="n"/>
      <c r="F351" s="26" t="n"/>
      <c r="G351" s="30">
        <f>IF(A351="","",IF(COUNTIF('Share classes'!$B$4:$B$203,A351)=0,"Unknown class code",IF(OR(B351="",D351="",E351=""),"Missing required field",IF(COUNTIFS($A$4:$A$503,A351,$D$4:$D$503,D351,$E$4:$E$503,E351)&gt;1,"Duplicate price","OK"))))</f>
        <v/>
      </c>
    </row>
    <row r="352">
      <c r="A352" s="26" t="n"/>
      <c r="B352" s="38" t="n"/>
      <c r="C352" s="26" t="n"/>
      <c r="D352" s="28" t="n"/>
      <c r="E352" s="26" t="n"/>
      <c r="F352" s="26" t="n"/>
      <c r="G352" s="30">
        <f>IF(A352="","",IF(COUNTIF('Share classes'!$B$4:$B$203,A352)=0,"Unknown class code",IF(OR(B352="",D352="",E352=""),"Missing required field",IF(COUNTIFS($A$4:$A$503,A352,$D$4:$D$503,D352,$E$4:$E$503,E352)&gt;1,"Duplicate price","OK"))))</f>
        <v/>
      </c>
    </row>
    <row r="353">
      <c r="A353" s="26" t="n"/>
      <c r="B353" s="38" t="n"/>
      <c r="C353" s="26" t="n"/>
      <c r="D353" s="28" t="n"/>
      <c r="E353" s="26" t="n"/>
      <c r="F353" s="26" t="n"/>
      <c r="G353" s="30">
        <f>IF(A353="","",IF(COUNTIF('Share classes'!$B$4:$B$203,A353)=0,"Unknown class code",IF(OR(B353="",D353="",E353=""),"Missing required field",IF(COUNTIFS($A$4:$A$503,A353,$D$4:$D$503,D353,$E$4:$E$503,E353)&gt;1,"Duplicate price","OK"))))</f>
        <v/>
      </c>
    </row>
    <row r="354">
      <c r="A354" s="26" t="n"/>
      <c r="B354" s="38" t="n"/>
      <c r="C354" s="26" t="n"/>
      <c r="D354" s="28" t="n"/>
      <c r="E354" s="26" t="n"/>
      <c r="F354" s="26" t="n"/>
      <c r="G354" s="30">
        <f>IF(A354="","",IF(COUNTIF('Share classes'!$B$4:$B$203,A354)=0,"Unknown class code",IF(OR(B354="",D354="",E354=""),"Missing required field",IF(COUNTIFS($A$4:$A$503,A354,$D$4:$D$503,D354,$E$4:$E$503,E354)&gt;1,"Duplicate price","OK"))))</f>
        <v/>
      </c>
    </row>
    <row r="355">
      <c r="A355" s="26" t="n"/>
      <c r="B355" s="38" t="n"/>
      <c r="C355" s="26" t="n"/>
      <c r="D355" s="28" t="n"/>
      <c r="E355" s="26" t="n"/>
      <c r="F355" s="26" t="n"/>
      <c r="G355" s="30">
        <f>IF(A355="","",IF(COUNTIF('Share classes'!$B$4:$B$203,A355)=0,"Unknown class code",IF(OR(B355="",D355="",E355=""),"Missing required field",IF(COUNTIFS($A$4:$A$503,A355,$D$4:$D$503,D355,$E$4:$E$503,E355)&gt;1,"Duplicate price","OK"))))</f>
        <v/>
      </c>
    </row>
    <row r="356">
      <c r="A356" s="26" t="n"/>
      <c r="B356" s="38" t="n"/>
      <c r="C356" s="26" t="n"/>
      <c r="D356" s="28" t="n"/>
      <c r="E356" s="26" t="n"/>
      <c r="F356" s="26" t="n"/>
      <c r="G356" s="30">
        <f>IF(A356="","",IF(COUNTIF('Share classes'!$B$4:$B$203,A356)=0,"Unknown class code",IF(OR(B356="",D356="",E356=""),"Missing required field",IF(COUNTIFS($A$4:$A$503,A356,$D$4:$D$503,D356,$E$4:$E$503,E356)&gt;1,"Duplicate price","OK"))))</f>
        <v/>
      </c>
    </row>
    <row r="357">
      <c r="A357" s="26" t="n"/>
      <c r="B357" s="38" t="n"/>
      <c r="C357" s="26" t="n"/>
      <c r="D357" s="28" t="n"/>
      <c r="E357" s="26" t="n"/>
      <c r="F357" s="26" t="n"/>
      <c r="G357" s="30">
        <f>IF(A357="","",IF(COUNTIF('Share classes'!$B$4:$B$203,A357)=0,"Unknown class code",IF(OR(B357="",D357="",E357=""),"Missing required field",IF(COUNTIFS($A$4:$A$503,A357,$D$4:$D$503,D357,$E$4:$E$503,E357)&gt;1,"Duplicate price","OK"))))</f>
        <v/>
      </c>
    </row>
    <row r="358">
      <c r="A358" s="26" t="n"/>
      <c r="B358" s="38" t="n"/>
      <c r="C358" s="26" t="n"/>
      <c r="D358" s="28" t="n"/>
      <c r="E358" s="26" t="n"/>
      <c r="F358" s="26" t="n"/>
      <c r="G358" s="30">
        <f>IF(A358="","",IF(COUNTIF('Share classes'!$B$4:$B$203,A358)=0,"Unknown class code",IF(OR(B358="",D358="",E358=""),"Missing required field",IF(COUNTIFS($A$4:$A$503,A358,$D$4:$D$503,D358,$E$4:$E$503,E358)&gt;1,"Duplicate price","OK"))))</f>
        <v/>
      </c>
    </row>
    <row r="359">
      <c r="A359" s="26" t="n"/>
      <c r="B359" s="38" t="n"/>
      <c r="C359" s="26" t="n"/>
      <c r="D359" s="28" t="n"/>
      <c r="E359" s="26" t="n"/>
      <c r="F359" s="26" t="n"/>
      <c r="G359" s="30">
        <f>IF(A359="","",IF(COUNTIF('Share classes'!$B$4:$B$203,A359)=0,"Unknown class code",IF(OR(B359="",D359="",E359=""),"Missing required field",IF(COUNTIFS($A$4:$A$503,A359,$D$4:$D$503,D359,$E$4:$E$503,E359)&gt;1,"Duplicate price","OK"))))</f>
        <v/>
      </c>
    </row>
    <row r="360">
      <c r="A360" s="26" t="n"/>
      <c r="B360" s="38" t="n"/>
      <c r="C360" s="26" t="n"/>
      <c r="D360" s="28" t="n"/>
      <c r="E360" s="26" t="n"/>
      <c r="F360" s="26" t="n"/>
      <c r="G360" s="30">
        <f>IF(A360="","",IF(COUNTIF('Share classes'!$B$4:$B$203,A360)=0,"Unknown class code",IF(OR(B360="",D360="",E360=""),"Missing required field",IF(COUNTIFS($A$4:$A$503,A360,$D$4:$D$503,D360,$E$4:$E$503,E360)&gt;1,"Duplicate price","OK"))))</f>
        <v/>
      </c>
    </row>
    <row r="361">
      <c r="A361" s="26" t="n"/>
      <c r="B361" s="38" t="n"/>
      <c r="C361" s="26" t="n"/>
      <c r="D361" s="28" t="n"/>
      <c r="E361" s="26" t="n"/>
      <c r="F361" s="26" t="n"/>
      <c r="G361" s="30">
        <f>IF(A361="","",IF(COUNTIF('Share classes'!$B$4:$B$203,A361)=0,"Unknown class code",IF(OR(B361="",D361="",E361=""),"Missing required field",IF(COUNTIFS($A$4:$A$503,A361,$D$4:$D$503,D361,$E$4:$E$503,E361)&gt;1,"Duplicate price","OK"))))</f>
        <v/>
      </c>
    </row>
    <row r="362">
      <c r="A362" s="26" t="n"/>
      <c r="B362" s="38" t="n"/>
      <c r="C362" s="26" t="n"/>
      <c r="D362" s="28" t="n"/>
      <c r="E362" s="26" t="n"/>
      <c r="F362" s="26" t="n"/>
      <c r="G362" s="30">
        <f>IF(A362="","",IF(COUNTIF('Share classes'!$B$4:$B$203,A362)=0,"Unknown class code",IF(OR(B362="",D362="",E362=""),"Missing required field",IF(COUNTIFS($A$4:$A$503,A362,$D$4:$D$503,D362,$E$4:$E$503,E362)&gt;1,"Duplicate price","OK"))))</f>
        <v/>
      </c>
    </row>
    <row r="363">
      <c r="A363" s="26" t="n"/>
      <c r="B363" s="38" t="n"/>
      <c r="C363" s="26" t="n"/>
      <c r="D363" s="28" t="n"/>
      <c r="E363" s="26" t="n"/>
      <c r="F363" s="26" t="n"/>
      <c r="G363" s="30">
        <f>IF(A363="","",IF(COUNTIF('Share classes'!$B$4:$B$203,A363)=0,"Unknown class code",IF(OR(B363="",D363="",E363=""),"Missing required field",IF(COUNTIFS($A$4:$A$503,A363,$D$4:$D$503,D363,$E$4:$E$503,E363)&gt;1,"Duplicate price","OK"))))</f>
        <v/>
      </c>
    </row>
    <row r="364">
      <c r="A364" s="26" t="n"/>
      <c r="B364" s="38" t="n"/>
      <c r="C364" s="26" t="n"/>
      <c r="D364" s="28" t="n"/>
      <c r="E364" s="26" t="n"/>
      <c r="F364" s="26" t="n"/>
      <c r="G364" s="30">
        <f>IF(A364="","",IF(COUNTIF('Share classes'!$B$4:$B$203,A364)=0,"Unknown class code",IF(OR(B364="",D364="",E364=""),"Missing required field",IF(COUNTIFS($A$4:$A$503,A364,$D$4:$D$503,D364,$E$4:$E$503,E364)&gt;1,"Duplicate price","OK"))))</f>
        <v/>
      </c>
    </row>
    <row r="365">
      <c r="A365" s="26" t="n"/>
      <c r="B365" s="38" t="n"/>
      <c r="C365" s="26" t="n"/>
      <c r="D365" s="28" t="n"/>
      <c r="E365" s="26" t="n"/>
      <c r="F365" s="26" t="n"/>
      <c r="G365" s="30">
        <f>IF(A365="","",IF(COUNTIF('Share classes'!$B$4:$B$203,A365)=0,"Unknown class code",IF(OR(B365="",D365="",E365=""),"Missing required field",IF(COUNTIFS($A$4:$A$503,A365,$D$4:$D$503,D365,$E$4:$E$503,E365)&gt;1,"Duplicate price","OK"))))</f>
        <v/>
      </c>
    </row>
    <row r="366">
      <c r="A366" s="26" t="n"/>
      <c r="B366" s="38" t="n"/>
      <c r="C366" s="26" t="n"/>
      <c r="D366" s="28" t="n"/>
      <c r="E366" s="26" t="n"/>
      <c r="F366" s="26" t="n"/>
      <c r="G366" s="30">
        <f>IF(A366="","",IF(COUNTIF('Share classes'!$B$4:$B$203,A366)=0,"Unknown class code",IF(OR(B366="",D366="",E366=""),"Missing required field",IF(COUNTIFS($A$4:$A$503,A366,$D$4:$D$503,D366,$E$4:$E$503,E366)&gt;1,"Duplicate price","OK"))))</f>
        <v/>
      </c>
    </row>
    <row r="367">
      <c r="A367" s="26" t="n"/>
      <c r="B367" s="38" t="n"/>
      <c r="C367" s="26" t="n"/>
      <c r="D367" s="28" t="n"/>
      <c r="E367" s="26" t="n"/>
      <c r="F367" s="26" t="n"/>
      <c r="G367" s="30">
        <f>IF(A367="","",IF(COUNTIF('Share classes'!$B$4:$B$203,A367)=0,"Unknown class code",IF(OR(B367="",D367="",E367=""),"Missing required field",IF(COUNTIFS($A$4:$A$503,A367,$D$4:$D$503,D367,$E$4:$E$503,E367)&gt;1,"Duplicate price","OK"))))</f>
        <v/>
      </c>
    </row>
    <row r="368">
      <c r="A368" s="26" t="n"/>
      <c r="B368" s="38" t="n"/>
      <c r="C368" s="26" t="n"/>
      <c r="D368" s="28" t="n"/>
      <c r="E368" s="26" t="n"/>
      <c r="F368" s="26" t="n"/>
      <c r="G368" s="30">
        <f>IF(A368="","",IF(COUNTIF('Share classes'!$B$4:$B$203,A368)=0,"Unknown class code",IF(OR(B368="",D368="",E368=""),"Missing required field",IF(COUNTIFS($A$4:$A$503,A368,$D$4:$D$503,D368,$E$4:$E$503,E368)&gt;1,"Duplicate price","OK"))))</f>
        <v/>
      </c>
    </row>
    <row r="369">
      <c r="A369" s="26" t="n"/>
      <c r="B369" s="38" t="n"/>
      <c r="C369" s="26" t="n"/>
      <c r="D369" s="28" t="n"/>
      <c r="E369" s="26" t="n"/>
      <c r="F369" s="26" t="n"/>
      <c r="G369" s="30">
        <f>IF(A369="","",IF(COUNTIF('Share classes'!$B$4:$B$203,A369)=0,"Unknown class code",IF(OR(B369="",D369="",E369=""),"Missing required field",IF(COUNTIFS($A$4:$A$503,A369,$D$4:$D$503,D369,$E$4:$E$503,E369)&gt;1,"Duplicate price","OK"))))</f>
        <v/>
      </c>
    </row>
    <row r="370">
      <c r="A370" s="26" t="n"/>
      <c r="B370" s="38" t="n"/>
      <c r="C370" s="26" t="n"/>
      <c r="D370" s="28" t="n"/>
      <c r="E370" s="26" t="n"/>
      <c r="F370" s="26" t="n"/>
      <c r="G370" s="30">
        <f>IF(A370="","",IF(COUNTIF('Share classes'!$B$4:$B$203,A370)=0,"Unknown class code",IF(OR(B370="",D370="",E370=""),"Missing required field",IF(COUNTIFS($A$4:$A$503,A370,$D$4:$D$503,D370,$E$4:$E$503,E370)&gt;1,"Duplicate price","OK"))))</f>
        <v/>
      </c>
    </row>
    <row r="371">
      <c r="A371" s="26" t="n"/>
      <c r="B371" s="38" t="n"/>
      <c r="C371" s="26" t="n"/>
      <c r="D371" s="28" t="n"/>
      <c r="E371" s="26" t="n"/>
      <c r="F371" s="26" t="n"/>
      <c r="G371" s="30">
        <f>IF(A371="","",IF(COUNTIF('Share classes'!$B$4:$B$203,A371)=0,"Unknown class code",IF(OR(B371="",D371="",E371=""),"Missing required field",IF(COUNTIFS($A$4:$A$503,A371,$D$4:$D$503,D371,$E$4:$E$503,E371)&gt;1,"Duplicate price","OK"))))</f>
        <v/>
      </c>
    </row>
    <row r="372">
      <c r="A372" s="26" t="n"/>
      <c r="B372" s="38" t="n"/>
      <c r="C372" s="26" t="n"/>
      <c r="D372" s="28" t="n"/>
      <c r="E372" s="26" t="n"/>
      <c r="F372" s="26" t="n"/>
      <c r="G372" s="30">
        <f>IF(A372="","",IF(COUNTIF('Share classes'!$B$4:$B$203,A372)=0,"Unknown class code",IF(OR(B372="",D372="",E372=""),"Missing required field",IF(COUNTIFS($A$4:$A$503,A372,$D$4:$D$503,D372,$E$4:$E$503,E372)&gt;1,"Duplicate price","OK"))))</f>
        <v/>
      </c>
    </row>
    <row r="373">
      <c r="A373" s="26" t="n"/>
      <c r="B373" s="38" t="n"/>
      <c r="C373" s="26" t="n"/>
      <c r="D373" s="28" t="n"/>
      <c r="E373" s="26" t="n"/>
      <c r="F373" s="26" t="n"/>
      <c r="G373" s="30">
        <f>IF(A373="","",IF(COUNTIF('Share classes'!$B$4:$B$203,A373)=0,"Unknown class code",IF(OR(B373="",D373="",E373=""),"Missing required field",IF(COUNTIFS($A$4:$A$503,A373,$D$4:$D$503,D373,$E$4:$E$503,E373)&gt;1,"Duplicate price","OK"))))</f>
        <v/>
      </c>
    </row>
    <row r="374">
      <c r="A374" s="26" t="n"/>
      <c r="B374" s="38" t="n"/>
      <c r="C374" s="26" t="n"/>
      <c r="D374" s="28" t="n"/>
      <c r="E374" s="26" t="n"/>
      <c r="F374" s="26" t="n"/>
      <c r="G374" s="30">
        <f>IF(A374="","",IF(COUNTIF('Share classes'!$B$4:$B$203,A374)=0,"Unknown class code",IF(OR(B374="",D374="",E374=""),"Missing required field",IF(COUNTIFS($A$4:$A$503,A374,$D$4:$D$503,D374,$E$4:$E$503,E374)&gt;1,"Duplicate price","OK"))))</f>
        <v/>
      </c>
    </row>
    <row r="375">
      <c r="A375" s="26" t="n"/>
      <c r="B375" s="38" t="n"/>
      <c r="C375" s="26" t="n"/>
      <c r="D375" s="28" t="n"/>
      <c r="E375" s="26" t="n"/>
      <c r="F375" s="26" t="n"/>
      <c r="G375" s="30">
        <f>IF(A375="","",IF(COUNTIF('Share classes'!$B$4:$B$203,A375)=0,"Unknown class code",IF(OR(B375="",D375="",E375=""),"Missing required field",IF(COUNTIFS($A$4:$A$503,A375,$D$4:$D$503,D375,$E$4:$E$503,E375)&gt;1,"Duplicate price","OK"))))</f>
        <v/>
      </c>
    </row>
    <row r="376">
      <c r="A376" s="26" t="n"/>
      <c r="B376" s="38" t="n"/>
      <c r="C376" s="26" t="n"/>
      <c r="D376" s="28" t="n"/>
      <c r="E376" s="26" t="n"/>
      <c r="F376" s="26" t="n"/>
      <c r="G376" s="30">
        <f>IF(A376="","",IF(COUNTIF('Share classes'!$B$4:$B$203,A376)=0,"Unknown class code",IF(OR(B376="",D376="",E376=""),"Missing required field",IF(COUNTIFS($A$4:$A$503,A376,$D$4:$D$503,D376,$E$4:$E$503,E376)&gt;1,"Duplicate price","OK"))))</f>
        <v/>
      </c>
    </row>
    <row r="377">
      <c r="A377" s="26" t="n"/>
      <c r="B377" s="38" t="n"/>
      <c r="C377" s="26" t="n"/>
      <c r="D377" s="28" t="n"/>
      <c r="E377" s="26" t="n"/>
      <c r="F377" s="26" t="n"/>
      <c r="G377" s="30">
        <f>IF(A377="","",IF(COUNTIF('Share classes'!$B$4:$B$203,A377)=0,"Unknown class code",IF(OR(B377="",D377="",E377=""),"Missing required field",IF(COUNTIFS($A$4:$A$503,A377,$D$4:$D$503,D377,$E$4:$E$503,E377)&gt;1,"Duplicate price","OK"))))</f>
        <v/>
      </c>
    </row>
    <row r="378">
      <c r="A378" s="26" t="n"/>
      <c r="B378" s="38" t="n"/>
      <c r="C378" s="26" t="n"/>
      <c r="D378" s="28" t="n"/>
      <c r="E378" s="26" t="n"/>
      <c r="F378" s="26" t="n"/>
      <c r="G378" s="30">
        <f>IF(A378="","",IF(COUNTIF('Share classes'!$B$4:$B$203,A378)=0,"Unknown class code",IF(OR(B378="",D378="",E378=""),"Missing required field",IF(COUNTIFS($A$4:$A$503,A378,$D$4:$D$503,D378,$E$4:$E$503,E378)&gt;1,"Duplicate price","OK"))))</f>
        <v/>
      </c>
    </row>
    <row r="379">
      <c r="A379" s="26" t="n"/>
      <c r="B379" s="38" t="n"/>
      <c r="C379" s="26" t="n"/>
      <c r="D379" s="28" t="n"/>
      <c r="E379" s="26" t="n"/>
      <c r="F379" s="26" t="n"/>
      <c r="G379" s="30">
        <f>IF(A379="","",IF(COUNTIF('Share classes'!$B$4:$B$203,A379)=0,"Unknown class code",IF(OR(B379="",D379="",E379=""),"Missing required field",IF(COUNTIFS($A$4:$A$503,A379,$D$4:$D$503,D379,$E$4:$E$503,E379)&gt;1,"Duplicate price","OK"))))</f>
        <v/>
      </c>
    </row>
    <row r="380">
      <c r="A380" s="26" t="n"/>
      <c r="B380" s="38" t="n"/>
      <c r="C380" s="26" t="n"/>
      <c r="D380" s="28" t="n"/>
      <c r="E380" s="26" t="n"/>
      <c r="F380" s="26" t="n"/>
      <c r="G380" s="30">
        <f>IF(A380="","",IF(COUNTIF('Share classes'!$B$4:$B$203,A380)=0,"Unknown class code",IF(OR(B380="",D380="",E380=""),"Missing required field",IF(COUNTIFS($A$4:$A$503,A380,$D$4:$D$503,D380,$E$4:$E$503,E380)&gt;1,"Duplicate price","OK"))))</f>
        <v/>
      </c>
    </row>
    <row r="381">
      <c r="A381" s="26" t="n"/>
      <c r="B381" s="38" t="n"/>
      <c r="C381" s="26" t="n"/>
      <c r="D381" s="28" t="n"/>
      <c r="E381" s="26" t="n"/>
      <c r="F381" s="26" t="n"/>
      <c r="G381" s="30">
        <f>IF(A381="","",IF(COUNTIF('Share classes'!$B$4:$B$203,A381)=0,"Unknown class code",IF(OR(B381="",D381="",E381=""),"Missing required field",IF(COUNTIFS($A$4:$A$503,A381,$D$4:$D$503,D381,$E$4:$E$503,E381)&gt;1,"Duplicate price","OK"))))</f>
        <v/>
      </c>
    </row>
    <row r="382">
      <c r="A382" s="26" t="n"/>
      <c r="B382" s="38" t="n"/>
      <c r="C382" s="26" t="n"/>
      <c r="D382" s="28" t="n"/>
      <c r="E382" s="26" t="n"/>
      <c r="F382" s="26" t="n"/>
      <c r="G382" s="30">
        <f>IF(A382="","",IF(COUNTIF('Share classes'!$B$4:$B$203,A382)=0,"Unknown class code",IF(OR(B382="",D382="",E382=""),"Missing required field",IF(COUNTIFS($A$4:$A$503,A382,$D$4:$D$503,D382,$E$4:$E$503,E382)&gt;1,"Duplicate price","OK"))))</f>
        <v/>
      </c>
    </row>
    <row r="383">
      <c r="A383" s="26" t="n"/>
      <c r="B383" s="38" t="n"/>
      <c r="C383" s="26" t="n"/>
      <c r="D383" s="28" t="n"/>
      <c r="E383" s="26" t="n"/>
      <c r="F383" s="26" t="n"/>
      <c r="G383" s="30">
        <f>IF(A383="","",IF(COUNTIF('Share classes'!$B$4:$B$203,A383)=0,"Unknown class code",IF(OR(B383="",D383="",E383=""),"Missing required field",IF(COUNTIFS($A$4:$A$503,A383,$D$4:$D$503,D383,$E$4:$E$503,E383)&gt;1,"Duplicate price","OK"))))</f>
        <v/>
      </c>
    </row>
    <row r="384">
      <c r="A384" s="26" t="n"/>
      <c r="B384" s="38" t="n"/>
      <c r="C384" s="26" t="n"/>
      <c r="D384" s="28" t="n"/>
      <c r="E384" s="26" t="n"/>
      <c r="F384" s="26" t="n"/>
      <c r="G384" s="30">
        <f>IF(A384="","",IF(COUNTIF('Share classes'!$B$4:$B$203,A384)=0,"Unknown class code",IF(OR(B384="",D384="",E384=""),"Missing required field",IF(COUNTIFS($A$4:$A$503,A384,$D$4:$D$503,D384,$E$4:$E$503,E384)&gt;1,"Duplicate price","OK"))))</f>
        <v/>
      </c>
    </row>
    <row r="385">
      <c r="A385" s="26" t="n"/>
      <c r="B385" s="38" t="n"/>
      <c r="C385" s="26" t="n"/>
      <c r="D385" s="28" t="n"/>
      <c r="E385" s="26" t="n"/>
      <c r="F385" s="26" t="n"/>
      <c r="G385" s="30">
        <f>IF(A385="","",IF(COUNTIF('Share classes'!$B$4:$B$203,A385)=0,"Unknown class code",IF(OR(B385="",D385="",E385=""),"Missing required field",IF(COUNTIFS($A$4:$A$503,A385,$D$4:$D$503,D385,$E$4:$E$503,E385)&gt;1,"Duplicate price","OK"))))</f>
        <v/>
      </c>
    </row>
    <row r="386">
      <c r="A386" s="26" t="n"/>
      <c r="B386" s="38" t="n"/>
      <c r="C386" s="26" t="n"/>
      <c r="D386" s="28" t="n"/>
      <c r="E386" s="26" t="n"/>
      <c r="F386" s="26" t="n"/>
      <c r="G386" s="30">
        <f>IF(A386="","",IF(COUNTIF('Share classes'!$B$4:$B$203,A386)=0,"Unknown class code",IF(OR(B386="",D386="",E386=""),"Missing required field",IF(COUNTIFS($A$4:$A$503,A386,$D$4:$D$503,D386,$E$4:$E$503,E386)&gt;1,"Duplicate price","OK"))))</f>
        <v/>
      </c>
    </row>
    <row r="387">
      <c r="A387" s="26" t="n"/>
      <c r="B387" s="38" t="n"/>
      <c r="C387" s="26" t="n"/>
      <c r="D387" s="28" t="n"/>
      <c r="E387" s="26" t="n"/>
      <c r="F387" s="26" t="n"/>
      <c r="G387" s="30">
        <f>IF(A387="","",IF(COUNTIF('Share classes'!$B$4:$B$203,A387)=0,"Unknown class code",IF(OR(B387="",D387="",E387=""),"Missing required field",IF(COUNTIFS($A$4:$A$503,A387,$D$4:$D$503,D387,$E$4:$E$503,E387)&gt;1,"Duplicate price","OK"))))</f>
        <v/>
      </c>
    </row>
    <row r="388">
      <c r="A388" s="26" t="n"/>
      <c r="B388" s="38" t="n"/>
      <c r="C388" s="26" t="n"/>
      <c r="D388" s="28" t="n"/>
      <c r="E388" s="26" t="n"/>
      <c r="F388" s="26" t="n"/>
      <c r="G388" s="30">
        <f>IF(A388="","",IF(COUNTIF('Share classes'!$B$4:$B$203,A388)=0,"Unknown class code",IF(OR(B388="",D388="",E388=""),"Missing required field",IF(COUNTIFS($A$4:$A$503,A388,$D$4:$D$503,D388,$E$4:$E$503,E388)&gt;1,"Duplicate price","OK"))))</f>
        <v/>
      </c>
    </row>
    <row r="389">
      <c r="A389" s="26" t="n"/>
      <c r="B389" s="38" t="n"/>
      <c r="C389" s="26" t="n"/>
      <c r="D389" s="28" t="n"/>
      <c r="E389" s="26" t="n"/>
      <c r="F389" s="26" t="n"/>
      <c r="G389" s="30">
        <f>IF(A389="","",IF(COUNTIF('Share classes'!$B$4:$B$203,A389)=0,"Unknown class code",IF(OR(B389="",D389="",E389=""),"Missing required field",IF(COUNTIFS($A$4:$A$503,A389,$D$4:$D$503,D389,$E$4:$E$503,E389)&gt;1,"Duplicate price","OK"))))</f>
        <v/>
      </c>
    </row>
    <row r="390">
      <c r="A390" s="26" t="n"/>
      <c r="B390" s="38" t="n"/>
      <c r="C390" s="26" t="n"/>
      <c r="D390" s="28" t="n"/>
      <c r="E390" s="26" t="n"/>
      <c r="F390" s="26" t="n"/>
      <c r="G390" s="30">
        <f>IF(A390="","",IF(COUNTIF('Share classes'!$B$4:$B$203,A390)=0,"Unknown class code",IF(OR(B390="",D390="",E390=""),"Missing required field",IF(COUNTIFS($A$4:$A$503,A390,$D$4:$D$503,D390,$E$4:$E$503,E390)&gt;1,"Duplicate price","OK"))))</f>
        <v/>
      </c>
    </row>
    <row r="391">
      <c r="A391" s="26" t="n"/>
      <c r="B391" s="38" t="n"/>
      <c r="C391" s="26" t="n"/>
      <c r="D391" s="28" t="n"/>
      <c r="E391" s="26" t="n"/>
      <c r="F391" s="26" t="n"/>
      <c r="G391" s="30">
        <f>IF(A391="","",IF(COUNTIF('Share classes'!$B$4:$B$203,A391)=0,"Unknown class code",IF(OR(B391="",D391="",E391=""),"Missing required field",IF(COUNTIFS($A$4:$A$503,A391,$D$4:$D$503,D391,$E$4:$E$503,E391)&gt;1,"Duplicate price","OK"))))</f>
        <v/>
      </c>
    </row>
    <row r="392">
      <c r="A392" s="26" t="n"/>
      <c r="B392" s="38" t="n"/>
      <c r="C392" s="26" t="n"/>
      <c r="D392" s="28" t="n"/>
      <c r="E392" s="26" t="n"/>
      <c r="F392" s="26" t="n"/>
      <c r="G392" s="30">
        <f>IF(A392="","",IF(COUNTIF('Share classes'!$B$4:$B$203,A392)=0,"Unknown class code",IF(OR(B392="",D392="",E392=""),"Missing required field",IF(COUNTIFS($A$4:$A$503,A392,$D$4:$D$503,D392,$E$4:$E$503,E392)&gt;1,"Duplicate price","OK"))))</f>
        <v/>
      </c>
    </row>
    <row r="393">
      <c r="A393" s="26" t="n"/>
      <c r="B393" s="38" t="n"/>
      <c r="C393" s="26" t="n"/>
      <c r="D393" s="28" t="n"/>
      <c r="E393" s="26" t="n"/>
      <c r="F393" s="26" t="n"/>
      <c r="G393" s="30">
        <f>IF(A393="","",IF(COUNTIF('Share classes'!$B$4:$B$203,A393)=0,"Unknown class code",IF(OR(B393="",D393="",E393=""),"Missing required field",IF(COUNTIFS($A$4:$A$503,A393,$D$4:$D$503,D393,$E$4:$E$503,E393)&gt;1,"Duplicate price","OK"))))</f>
        <v/>
      </c>
    </row>
    <row r="394">
      <c r="A394" s="26" t="n"/>
      <c r="B394" s="38" t="n"/>
      <c r="C394" s="26" t="n"/>
      <c r="D394" s="28" t="n"/>
      <c r="E394" s="26" t="n"/>
      <c r="F394" s="26" t="n"/>
      <c r="G394" s="30">
        <f>IF(A394="","",IF(COUNTIF('Share classes'!$B$4:$B$203,A394)=0,"Unknown class code",IF(OR(B394="",D394="",E394=""),"Missing required field",IF(COUNTIFS($A$4:$A$503,A394,$D$4:$D$503,D394,$E$4:$E$503,E394)&gt;1,"Duplicate price","OK"))))</f>
        <v/>
      </c>
    </row>
    <row r="395">
      <c r="A395" s="26" t="n"/>
      <c r="B395" s="38" t="n"/>
      <c r="C395" s="26" t="n"/>
      <c r="D395" s="28" t="n"/>
      <c r="E395" s="26" t="n"/>
      <c r="F395" s="26" t="n"/>
      <c r="G395" s="30">
        <f>IF(A395="","",IF(COUNTIF('Share classes'!$B$4:$B$203,A395)=0,"Unknown class code",IF(OR(B395="",D395="",E395=""),"Missing required field",IF(COUNTIFS($A$4:$A$503,A395,$D$4:$D$503,D395,$E$4:$E$503,E395)&gt;1,"Duplicate price","OK"))))</f>
        <v/>
      </c>
    </row>
    <row r="396">
      <c r="A396" s="26" t="n"/>
      <c r="B396" s="38" t="n"/>
      <c r="C396" s="26" t="n"/>
      <c r="D396" s="28" t="n"/>
      <c r="E396" s="26" t="n"/>
      <c r="F396" s="26" t="n"/>
      <c r="G396" s="30">
        <f>IF(A396="","",IF(COUNTIF('Share classes'!$B$4:$B$203,A396)=0,"Unknown class code",IF(OR(B396="",D396="",E396=""),"Missing required field",IF(COUNTIFS($A$4:$A$503,A396,$D$4:$D$503,D396,$E$4:$E$503,E396)&gt;1,"Duplicate price","OK"))))</f>
        <v/>
      </c>
    </row>
    <row r="397">
      <c r="A397" s="26" t="n"/>
      <c r="B397" s="38" t="n"/>
      <c r="C397" s="26" t="n"/>
      <c r="D397" s="28" t="n"/>
      <c r="E397" s="26" t="n"/>
      <c r="F397" s="26" t="n"/>
      <c r="G397" s="30">
        <f>IF(A397="","",IF(COUNTIF('Share classes'!$B$4:$B$203,A397)=0,"Unknown class code",IF(OR(B397="",D397="",E397=""),"Missing required field",IF(COUNTIFS($A$4:$A$503,A397,$D$4:$D$503,D397,$E$4:$E$503,E397)&gt;1,"Duplicate price","OK"))))</f>
        <v/>
      </c>
    </row>
    <row r="398">
      <c r="A398" s="26" t="n"/>
      <c r="B398" s="38" t="n"/>
      <c r="C398" s="26" t="n"/>
      <c r="D398" s="28" t="n"/>
      <c r="E398" s="26" t="n"/>
      <c r="F398" s="26" t="n"/>
      <c r="G398" s="30">
        <f>IF(A398="","",IF(COUNTIF('Share classes'!$B$4:$B$203,A398)=0,"Unknown class code",IF(OR(B398="",D398="",E398=""),"Missing required field",IF(COUNTIFS($A$4:$A$503,A398,$D$4:$D$503,D398,$E$4:$E$503,E398)&gt;1,"Duplicate price","OK"))))</f>
        <v/>
      </c>
    </row>
    <row r="399">
      <c r="A399" s="26" t="n"/>
      <c r="B399" s="38" t="n"/>
      <c r="C399" s="26" t="n"/>
      <c r="D399" s="28" t="n"/>
      <c r="E399" s="26" t="n"/>
      <c r="F399" s="26" t="n"/>
      <c r="G399" s="30">
        <f>IF(A399="","",IF(COUNTIF('Share classes'!$B$4:$B$203,A399)=0,"Unknown class code",IF(OR(B399="",D399="",E399=""),"Missing required field",IF(COUNTIFS($A$4:$A$503,A399,$D$4:$D$503,D399,$E$4:$E$503,E399)&gt;1,"Duplicate price","OK"))))</f>
        <v/>
      </c>
    </row>
    <row r="400">
      <c r="A400" s="26" t="n"/>
      <c r="B400" s="38" t="n"/>
      <c r="C400" s="26" t="n"/>
      <c r="D400" s="28" t="n"/>
      <c r="E400" s="26" t="n"/>
      <c r="F400" s="26" t="n"/>
      <c r="G400" s="30">
        <f>IF(A400="","",IF(COUNTIF('Share classes'!$B$4:$B$203,A400)=0,"Unknown class code",IF(OR(B400="",D400="",E400=""),"Missing required field",IF(COUNTIFS($A$4:$A$503,A400,$D$4:$D$503,D400,$E$4:$E$503,E400)&gt;1,"Duplicate price","OK"))))</f>
        <v/>
      </c>
    </row>
    <row r="401">
      <c r="A401" s="26" t="n"/>
      <c r="B401" s="38" t="n"/>
      <c r="C401" s="26" t="n"/>
      <c r="D401" s="28" t="n"/>
      <c r="E401" s="26" t="n"/>
      <c r="F401" s="26" t="n"/>
      <c r="G401" s="30">
        <f>IF(A401="","",IF(COUNTIF('Share classes'!$B$4:$B$203,A401)=0,"Unknown class code",IF(OR(B401="",D401="",E401=""),"Missing required field",IF(COUNTIFS($A$4:$A$503,A401,$D$4:$D$503,D401,$E$4:$E$503,E401)&gt;1,"Duplicate price","OK"))))</f>
        <v/>
      </c>
    </row>
    <row r="402">
      <c r="A402" s="26" t="n"/>
      <c r="B402" s="38" t="n"/>
      <c r="C402" s="26" t="n"/>
      <c r="D402" s="28" t="n"/>
      <c r="E402" s="26" t="n"/>
      <c r="F402" s="26" t="n"/>
      <c r="G402" s="30">
        <f>IF(A402="","",IF(COUNTIF('Share classes'!$B$4:$B$203,A402)=0,"Unknown class code",IF(OR(B402="",D402="",E402=""),"Missing required field",IF(COUNTIFS($A$4:$A$503,A402,$D$4:$D$503,D402,$E$4:$E$503,E402)&gt;1,"Duplicate price","OK"))))</f>
        <v/>
      </c>
    </row>
    <row r="403">
      <c r="A403" s="26" t="n"/>
      <c r="B403" s="38" t="n"/>
      <c r="C403" s="26" t="n"/>
      <c r="D403" s="28" t="n"/>
      <c r="E403" s="26" t="n"/>
      <c r="F403" s="26" t="n"/>
      <c r="G403" s="30">
        <f>IF(A403="","",IF(COUNTIF('Share classes'!$B$4:$B$203,A403)=0,"Unknown class code",IF(OR(B403="",D403="",E403=""),"Missing required field",IF(COUNTIFS($A$4:$A$503,A403,$D$4:$D$503,D403,$E$4:$E$503,E403)&gt;1,"Duplicate price","OK"))))</f>
        <v/>
      </c>
    </row>
    <row r="404">
      <c r="A404" s="26" t="n"/>
      <c r="B404" s="38" t="n"/>
      <c r="C404" s="26" t="n"/>
      <c r="D404" s="28" t="n"/>
      <c r="E404" s="26" t="n"/>
      <c r="F404" s="26" t="n"/>
      <c r="G404" s="30">
        <f>IF(A404="","",IF(COUNTIF('Share classes'!$B$4:$B$203,A404)=0,"Unknown class code",IF(OR(B404="",D404="",E404=""),"Missing required field",IF(COUNTIFS($A$4:$A$503,A404,$D$4:$D$503,D404,$E$4:$E$503,E404)&gt;1,"Duplicate price","OK"))))</f>
        <v/>
      </c>
    </row>
    <row r="405">
      <c r="A405" s="26" t="n"/>
      <c r="B405" s="38" t="n"/>
      <c r="C405" s="26" t="n"/>
      <c r="D405" s="28" t="n"/>
      <c r="E405" s="26" t="n"/>
      <c r="F405" s="26" t="n"/>
      <c r="G405" s="30">
        <f>IF(A405="","",IF(COUNTIF('Share classes'!$B$4:$B$203,A405)=0,"Unknown class code",IF(OR(B405="",D405="",E405=""),"Missing required field",IF(COUNTIFS($A$4:$A$503,A405,$D$4:$D$503,D405,$E$4:$E$503,E405)&gt;1,"Duplicate price","OK"))))</f>
        <v/>
      </c>
    </row>
    <row r="406">
      <c r="A406" s="26" t="n"/>
      <c r="B406" s="38" t="n"/>
      <c r="C406" s="26" t="n"/>
      <c r="D406" s="28" t="n"/>
      <c r="E406" s="26" t="n"/>
      <c r="F406" s="26" t="n"/>
      <c r="G406" s="30">
        <f>IF(A406="","",IF(COUNTIF('Share classes'!$B$4:$B$203,A406)=0,"Unknown class code",IF(OR(B406="",D406="",E406=""),"Missing required field",IF(COUNTIFS($A$4:$A$503,A406,$D$4:$D$503,D406,$E$4:$E$503,E406)&gt;1,"Duplicate price","OK"))))</f>
        <v/>
      </c>
    </row>
    <row r="407">
      <c r="A407" s="26" t="n"/>
      <c r="B407" s="38" t="n"/>
      <c r="C407" s="26" t="n"/>
      <c r="D407" s="28" t="n"/>
      <c r="E407" s="26" t="n"/>
      <c r="F407" s="26" t="n"/>
      <c r="G407" s="30">
        <f>IF(A407="","",IF(COUNTIF('Share classes'!$B$4:$B$203,A407)=0,"Unknown class code",IF(OR(B407="",D407="",E407=""),"Missing required field",IF(COUNTIFS($A$4:$A$503,A407,$D$4:$D$503,D407,$E$4:$E$503,E407)&gt;1,"Duplicate price","OK"))))</f>
        <v/>
      </c>
    </row>
    <row r="408">
      <c r="A408" s="26" t="n"/>
      <c r="B408" s="38" t="n"/>
      <c r="C408" s="26" t="n"/>
      <c r="D408" s="28" t="n"/>
      <c r="E408" s="26" t="n"/>
      <c r="F408" s="26" t="n"/>
      <c r="G408" s="30">
        <f>IF(A408="","",IF(COUNTIF('Share classes'!$B$4:$B$203,A408)=0,"Unknown class code",IF(OR(B408="",D408="",E408=""),"Missing required field",IF(COUNTIFS($A$4:$A$503,A408,$D$4:$D$503,D408,$E$4:$E$503,E408)&gt;1,"Duplicate price","OK"))))</f>
        <v/>
      </c>
    </row>
    <row r="409">
      <c r="A409" s="26" t="n"/>
      <c r="B409" s="38" t="n"/>
      <c r="C409" s="26" t="n"/>
      <c r="D409" s="28" t="n"/>
      <c r="E409" s="26" t="n"/>
      <c r="F409" s="26" t="n"/>
      <c r="G409" s="30">
        <f>IF(A409="","",IF(COUNTIF('Share classes'!$B$4:$B$203,A409)=0,"Unknown class code",IF(OR(B409="",D409="",E409=""),"Missing required field",IF(COUNTIFS($A$4:$A$503,A409,$D$4:$D$503,D409,$E$4:$E$503,E409)&gt;1,"Duplicate price","OK"))))</f>
        <v/>
      </c>
    </row>
    <row r="410">
      <c r="A410" s="26" t="n"/>
      <c r="B410" s="38" t="n"/>
      <c r="C410" s="26" t="n"/>
      <c r="D410" s="28" t="n"/>
      <c r="E410" s="26" t="n"/>
      <c r="F410" s="26" t="n"/>
      <c r="G410" s="30">
        <f>IF(A410="","",IF(COUNTIF('Share classes'!$B$4:$B$203,A410)=0,"Unknown class code",IF(OR(B410="",D410="",E410=""),"Missing required field",IF(COUNTIFS($A$4:$A$503,A410,$D$4:$D$503,D410,$E$4:$E$503,E410)&gt;1,"Duplicate price","OK"))))</f>
        <v/>
      </c>
    </row>
    <row r="411">
      <c r="A411" s="26" t="n"/>
      <c r="B411" s="38" t="n"/>
      <c r="C411" s="26" t="n"/>
      <c r="D411" s="28" t="n"/>
      <c r="E411" s="26" t="n"/>
      <c r="F411" s="26" t="n"/>
      <c r="G411" s="30">
        <f>IF(A411="","",IF(COUNTIF('Share classes'!$B$4:$B$203,A411)=0,"Unknown class code",IF(OR(B411="",D411="",E411=""),"Missing required field",IF(COUNTIFS($A$4:$A$503,A411,$D$4:$D$503,D411,$E$4:$E$503,E411)&gt;1,"Duplicate price","OK"))))</f>
        <v/>
      </c>
    </row>
    <row r="412">
      <c r="A412" s="26" t="n"/>
      <c r="B412" s="38" t="n"/>
      <c r="C412" s="26" t="n"/>
      <c r="D412" s="28" t="n"/>
      <c r="E412" s="26" t="n"/>
      <c r="F412" s="26" t="n"/>
      <c r="G412" s="30">
        <f>IF(A412="","",IF(COUNTIF('Share classes'!$B$4:$B$203,A412)=0,"Unknown class code",IF(OR(B412="",D412="",E412=""),"Missing required field",IF(COUNTIFS($A$4:$A$503,A412,$D$4:$D$503,D412,$E$4:$E$503,E412)&gt;1,"Duplicate price","OK"))))</f>
        <v/>
      </c>
    </row>
    <row r="413">
      <c r="A413" s="26" t="n"/>
      <c r="B413" s="38" t="n"/>
      <c r="C413" s="26" t="n"/>
      <c r="D413" s="28" t="n"/>
      <c r="E413" s="26" t="n"/>
      <c r="F413" s="26" t="n"/>
      <c r="G413" s="30">
        <f>IF(A413="","",IF(COUNTIF('Share classes'!$B$4:$B$203,A413)=0,"Unknown class code",IF(OR(B413="",D413="",E413=""),"Missing required field",IF(COUNTIFS($A$4:$A$503,A413,$D$4:$D$503,D413,$E$4:$E$503,E413)&gt;1,"Duplicate price","OK"))))</f>
        <v/>
      </c>
    </row>
    <row r="414">
      <c r="A414" s="26" t="n"/>
      <c r="B414" s="38" t="n"/>
      <c r="C414" s="26" t="n"/>
      <c r="D414" s="28" t="n"/>
      <c r="E414" s="26" t="n"/>
      <c r="F414" s="26" t="n"/>
      <c r="G414" s="30">
        <f>IF(A414="","",IF(COUNTIF('Share classes'!$B$4:$B$203,A414)=0,"Unknown class code",IF(OR(B414="",D414="",E414=""),"Missing required field",IF(COUNTIFS($A$4:$A$503,A414,$D$4:$D$503,D414,$E$4:$E$503,E414)&gt;1,"Duplicate price","OK"))))</f>
        <v/>
      </c>
    </row>
    <row r="415">
      <c r="A415" s="26" t="n"/>
      <c r="B415" s="38" t="n"/>
      <c r="C415" s="26" t="n"/>
      <c r="D415" s="28" t="n"/>
      <c r="E415" s="26" t="n"/>
      <c r="F415" s="26" t="n"/>
      <c r="G415" s="30">
        <f>IF(A415="","",IF(COUNTIF('Share classes'!$B$4:$B$203,A415)=0,"Unknown class code",IF(OR(B415="",D415="",E415=""),"Missing required field",IF(COUNTIFS($A$4:$A$503,A415,$D$4:$D$503,D415,$E$4:$E$503,E415)&gt;1,"Duplicate price","OK"))))</f>
        <v/>
      </c>
    </row>
    <row r="416">
      <c r="A416" s="26" t="n"/>
      <c r="B416" s="38" t="n"/>
      <c r="C416" s="26" t="n"/>
      <c r="D416" s="28" t="n"/>
      <c r="E416" s="26" t="n"/>
      <c r="F416" s="26" t="n"/>
      <c r="G416" s="30">
        <f>IF(A416="","",IF(COUNTIF('Share classes'!$B$4:$B$203,A416)=0,"Unknown class code",IF(OR(B416="",D416="",E416=""),"Missing required field",IF(COUNTIFS($A$4:$A$503,A416,$D$4:$D$503,D416,$E$4:$E$503,E416)&gt;1,"Duplicate price","OK"))))</f>
        <v/>
      </c>
    </row>
    <row r="417">
      <c r="A417" s="26" t="n"/>
      <c r="B417" s="38" t="n"/>
      <c r="C417" s="26" t="n"/>
      <c r="D417" s="28" t="n"/>
      <c r="E417" s="26" t="n"/>
      <c r="F417" s="26" t="n"/>
      <c r="G417" s="30">
        <f>IF(A417="","",IF(COUNTIF('Share classes'!$B$4:$B$203,A417)=0,"Unknown class code",IF(OR(B417="",D417="",E417=""),"Missing required field",IF(COUNTIFS($A$4:$A$503,A417,$D$4:$D$503,D417,$E$4:$E$503,E417)&gt;1,"Duplicate price","OK"))))</f>
        <v/>
      </c>
    </row>
    <row r="418">
      <c r="A418" s="26" t="n"/>
      <c r="B418" s="38" t="n"/>
      <c r="C418" s="26" t="n"/>
      <c r="D418" s="28" t="n"/>
      <c r="E418" s="26" t="n"/>
      <c r="F418" s="26" t="n"/>
      <c r="G418" s="30">
        <f>IF(A418="","",IF(COUNTIF('Share classes'!$B$4:$B$203,A418)=0,"Unknown class code",IF(OR(B418="",D418="",E418=""),"Missing required field",IF(COUNTIFS($A$4:$A$503,A418,$D$4:$D$503,D418,$E$4:$E$503,E418)&gt;1,"Duplicate price","OK"))))</f>
        <v/>
      </c>
    </row>
    <row r="419">
      <c r="A419" s="26" t="n"/>
      <c r="B419" s="38" t="n"/>
      <c r="C419" s="26" t="n"/>
      <c r="D419" s="28" t="n"/>
      <c r="E419" s="26" t="n"/>
      <c r="F419" s="26" t="n"/>
      <c r="G419" s="30">
        <f>IF(A419="","",IF(COUNTIF('Share classes'!$B$4:$B$203,A419)=0,"Unknown class code",IF(OR(B419="",D419="",E419=""),"Missing required field",IF(COUNTIFS($A$4:$A$503,A419,$D$4:$D$503,D419,$E$4:$E$503,E419)&gt;1,"Duplicate price","OK"))))</f>
        <v/>
      </c>
    </row>
    <row r="420">
      <c r="A420" s="26" t="n"/>
      <c r="B420" s="38" t="n"/>
      <c r="C420" s="26" t="n"/>
      <c r="D420" s="28" t="n"/>
      <c r="E420" s="26" t="n"/>
      <c r="F420" s="26" t="n"/>
      <c r="G420" s="30">
        <f>IF(A420="","",IF(COUNTIF('Share classes'!$B$4:$B$203,A420)=0,"Unknown class code",IF(OR(B420="",D420="",E420=""),"Missing required field",IF(COUNTIFS($A$4:$A$503,A420,$D$4:$D$503,D420,$E$4:$E$503,E420)&gt;1,"Duplicate price","OK"))))</f>
        <v/>
      </c>
    </row>
    <row r="421">
      <c r="A421" s="26" t="n"/>
      <c r="B421" s="38" t="n"/>
      <c r="C421" s="26" t="n"/>
      <c r="D421" s="28" t="n"/>
      <c r="E421" s="26" t="n"/>
      <c r="F421" s="26" t="n"/>
      <c r="G421" s="30">
        <f>IF(A421="","",IF(COUNTIF('Share classes'!$B$4:$B$203,A421)=0,"Unknown class code",IF(OR(B421="",D421="",E421=""),"Missing required field",IF(COUNTIFS($A$4:$A$503,A421,$D$4:$D$503,D421,$E$4:$E$503,E421)&gt;1,"Duplicate price","OK"))))</f>
        <v/>
      </c>
    </row>
    <row r="422">
      <c r="A422" s="26" t="n"/>
      <c r="B422" s="38" t="n"/>
      <c r="C422" s="26" t="n"/>
      <c r="D422" s="28" t="n"/>
      <c r="E422" s="26" t="n"/>
      <c r="F422" s="26" t="n"/>
      <c r="G422" s="30">
        <f>IF(A422="","",IF(COUNTIF('Share classes'!$B$4:$B$203,A422)=0,"Unknown class code",IF(OR(B422="",D422="",E422=""),"Missing required field",IF(COUNTIFS($A$4:$A$503,A422,$D$4:$D$503,D422,$E$4:$E$503,E422)&gt;1,"Duplicate price","OK"))))</f>
        <v/>
      </c>
    </row>
    <row r="423">
      <c r="A423" s="26" t="n"/>
      <c r="B423" s="38" t="n"/>
      <c r="C423" s="26" t="n"/>
      <c r="D423" s="28" t="n"/>
      <c r="E423" s="26" t="n"/>
      <c r="F423" s="26" t="n"/>
      <c r="G423" s="30">
        <f>IF(A423="","",IF(COUNTIF('Share classes'!$B$4:$B$203,A423)=0,"Unknown class code",IF(OR(B423="",D423="",E423=""),"Missing required field",IF(COUNTIFS($A$4:$A$503,A423,$D$4:$D$503,D423,$E$4:$E$503,E423)&gt;1,"Duplicate price","OK"))))</f>
        <v/>
      </c>
    </row>
    <row r="424">
      <c r="A424" s="26" t="n"/>
      <c r="B424" s="38" t="n"/>
      <c r="C424" s="26" t="n"/>
      <c r="D424" s="28" t="n"/>
      <c r="E424" s="26" t="n"/>
      <c r="F424" s="26" t="n"/>
      <c r="G424" s="30">
        <f>IF(A424="","",IF(COUNTIF('Share classes'!$B$4:$B$203,A424)=0,"Unknown class code",IF(OR(B424="",D424="",E424=""),"Missing required field",IF(COUNTIFS($A$4:$A$503,A424,$D$4:$D$503,D424,$E$4:$E$503,E424)&gt;1,"Duplicate price","OK"))))</f>
        <v/>
      </c>
    </row>
    <row r="425">
      <c r="A425" s="26" t="n"/>
      <c r="B425" s="38" t="n"/>
      <c r="C425" s="26" t="n"/>
      <c r="D425" s="28" t="n"/>
      <c r="E425" s="26" t="n"/>
      <c r="F425" s="26" t="n"/>
      <c r="G425" s="30">
        <f>IF(A425="","",IF(COUNTIF('Share classes'!$B$4:$B$203,A425)=0,"Unknown class code",IF(OR(B425="",D425="",E425=""),"Missing required field",IF(COUNTIFS($A$4:$A$503,A425,$D$4:$D$503,D425,$E$4:$E$503,E425)&gt;1,"Duplicate price","OK"))))</f>
        <v/>
      </c>
    </row>
    <row r="426">
      <c r="A426" s="26" t="n"/>
      <c r="B426" s="38" t="n"/>
      <c r="C426" s="26" t="n"/>
      <c r="D426" s="28" t="n"/>
      <c r="E426" s="26" t="n"/>
      <c r="F426" s="26" t="n"/>
      <c r="G426" s="30">
        <f>IF(A426="","",IF(COUNTIF('Share classes'!$B$4:$B$203,A426)=0,"Unknown class code",IF(OR(B426="",D426="",E426=""),"Missing required field",IF(COUNTIFS($A$4:$A$503,A426,$D$4:$D$503,D426,$E$4:$E$503,E426)&gt;1,"Duplicate price","OK"))))</f>
        <v/>
      </c>
    </row>
    <row r="427">
      <c r="A427" s="26" t="n"/>
      <c r="B427" s="38" t="n"/>
      <c r="C427" s="26" t="n"/>
      <c r="D427" s="28" t="n"/>
      <c r="E427" s="26" t="n"/>
      <c r="F427" s="26" t="n"/>
      <c r="G427" s="30">
        <f>IF(A427="","",IF(COUNTIF('Share classes'!$B$4:$B$203,A427)=0,"Unknown class code",IF(OR(B427="",D427="",E427=""),"Missing required field",IF(COUNTIFS($A$4:$A$503,A427,$D$4:$D$503,D427,$E$4:$E$503,E427)&gt;1,"Duplicate price","OK"))))</f>
        <v/>
      </c>
    </row>
    <row r="428">
      <c r="A428" s="26" t="n"/>
      <c r="B428" s="38" t="n"/>
      <c r="C428" s="26" t="n"/>
      <c r="D428" s="28" t="n"/>
      <c r="E428" s="26" t="n"/>
      <c r="F428" s="26" t="n"/>
      <c r="G428" s="30">
        <f>IF(A428="","",IF(COUNTIF('Share classes'!$B$4:$B$203,A428)=0,"Unknown class code",IF(OR(B428="",D428="",E428=""),"Missing required field",IF(COUNTIFS($A$4:$A$503,A428,$D$4:$D$503,D428,$E$4:$E$503,E428)&gt;1,"Duplicate price","OK"))))</f>
        <v/>
      </c>
    </row>
    <row r="429">
      <c r="A429" s="26" t="n"/>
      <c r="B429" s="38" t="n"/>
      <c r="C429" s="26" t="n"/>
      <c r="D429" s="28" t="n"/>
      <c r="E429" s="26" t="n"/>
      <c r="F429" s="26" t="n"/>
      <c r="G429" s="30">
        <f>IF(A429="","",IF(COUNTIF('Share classes'!$B$4:$B$203,A429)=0,"Unknown class code",IF(OR(B429="",D429="",E429=""),"Missing required field",IF(COUNTIFS($A$4:$A$503,A429,$D$4:$D$503,D429,$E$4:$E$503,E429)&gt;1,"Duplicate price","OK"))))</f>
        <v/>
      </c>
    </row>
    <row r="430">
      <c r="A430" s="26" t="n"/>
      <c r="B430" s="38" t="n"/>
      <c r="C430" s="26" t="n"/>
      <c r="D430" s="28" t="n"/>
      <c r="E430" s="26" t="n"/>
      <c r="F430" s="26" t="n"/>
      <c r="G430" s="30">
        <f>IF(A430="","",IF(COUNTIF('Share classes'!$B$4:$B$203,A430)=0,"Unknown class code",IF(OR(B430="",D430="",E430=""),"Missing required field",IF(COUNTIFS($A$4:$A$503,A430,$D$4:$D$503,D430,$E$4:$E$503,E430)&gt;1,"Duplicate price","OK"))))</f>
        <v/>
      </c>
    </row>
    <row r="431">
      <c r="A431" s="26" t="n"/>
      <c r="B431" s="38" t="n"/>
      <c r="C431" s="26" t="n"/>
      <c r="D431" s="28" t="n"/>
      <c r="E431" s="26" t="n"/>
      <c r="F431" s="26" t="n"/>
      <c r="G431" s="30">
        <f>IF(A431="","",IF(COUNTIF('Share classes'!$B$4:$B$203,A431)=0,"Unknown class code",IF(OR(B431="",D431="",E431=""),"Missing required field",IF(COUNTIFS($A$4:$A$503,A431,$D$4:$D$503,D431,$E$4:$E$503,E431)&gt;1,"Duplicate price","OK"))))</f>
        <v/>
      </c>
    </row>
    <row r="432">
      <c r="A432" s="26" t="n"/>
      <c r="B432" s="38" t="n"/>
      <c r="C432" s="26" t="n"/>
      <c r="D432" s="28" t="n"/>
      <c r="E432" s="26" t="n"/>
      <c r="F432" s="26" t="n"/>
      <c r="G432" s="30">
        <f>IF(A432="","",IF(COUNTIF('Share classes'!$B$4:$B$203,A432)=0,"Unknown class code",IF(OR(B432="",D432="",E432=""),"Missing required field",IF(COUNTIFS($A$4:$A$503,A432,$D$4:$D$503,D432,$E$4:$E$503,E432)&gt;1,"Duplicate price","OK"))))</f>
        <v/>
      </c>
    </row>
    <row r="433">
      <c r="A433" s="26" t="n"/>
      <c r="B433" s="38" t="n"/>
      <c r="C433" s="26" t="n"/>
      <c r="D433" s="28" t="n"/>
      <c r="E433" s="26" t="n"/>
      <c r="F433" s="26" t="n"/>
      <c r="G433" s="30">
        <f>IF(A433="","",IF(COUNTIF('Share classes'!$B$4:$B$203,A433)=0,"Unknown class code",IF(OR(B433="",D433="",E433=""),"Missing required field",IF(COUNTIFS($A$4:$A$503,A433,$D$4:$D$503,D433,$E$4:$E$503,E433)&gt;1,"Duplicate price","OK"))))</f>
        <v/>
      </c>
    </row>
    <row r="434">
      <c r="A434" s="26" t="n"/>
      <c r="B434" s="38" t="n"/>
      <c r="C434" s="26" t="n"/>
      <c r="D434" s="28" t="n"/>
      <c r="E434" s="26" t="n"/>
      <c r="F434" s="26" t="n"/>
      <c r="G434" s="30">
        <f>IF(A434="","",IF(COUNTIF('Share classes'!$B$4:$B$203,A434)=0,"Unknown class code",IF(OR(B434="",D434="",E434=""),"Missing required field",IF(COUNTIFS($A$4:$A$503,A434,$D$4:$D$503,D434,$E$4:$E$503,E434)&gt;1,"Duplicate price","OK"))))</f>
        <v/>
      </c>
    </row>
    <row r="435">
      <c r="A435" s="26" t="n"/>
      <c r="B435" s="38" t="n"/>
      <c r="C435" s="26" t="n"/>
      <c r="D435" s="28" t="n"/>
      <c r="E435" s="26" t="n"/>
      <c r="F435" s="26" t="n"/>
      <c r="G435" s="30">
        <f>IF(A435="","",IF(COUNTIF('Share classes'!$B$4:$B$203,A435)=0,"Unknown class code",IF(OR(B435="",D435="",E435=""),"Missing required field",IF(COUNTIFS($A$4:$A$503,A435,$D$4:$D$503,D435,$E$4:$E$503,E435)&gt;1,"Duplicate price","OK"))))</f>
        <v/>
      </c>
    </row>
    <row r="436">
      <c r="A436" s="26" t="n"/>
      <c r="B436" s="38" t="n"/>
      <c r="C436" s="26" t="n"/>
      <c r="D436" s="28" t="n"/>
      <c r="E436" s="26" t="n"/>
      <c r="F436" s="26" t="n"/>
      <c r="G436" s="30">
        <f>IF(A436="","",IF(COUNTIF('Share classes'!$B$4:$B$203,A436)=0,"Unknown class code",IF(OR(B436="",D436="",E436=""),"Missing required field",IF(COUNTIFS($A$4:$A$503,A436,$D$4:$D$503,D436,$E$4:$E$503,E436)&gt;1,"Duplicate price","OK"))))</f>
        <v/>
      </c>
    </row>
    <row r="437">
      <c r="A437" s="26" t="n"/>
      <c r="B437" s="38" t="n"/>
      <c r="C437" s="26" t="n"/>
      <c r="D437" s="28" t="n"/>
      <c r="E437" s="26" t="n"/>
      <c r="F437" s="26" t="n"/>
      <c r="G437" s="30">
        <f>IF(A437="","",IF(COUNTIF('Share classes'!$B$4:$B$203,A437)=0,"Unknown class code",IF(OR(B437="",D437="",E437=""),"Missing required field",IF(COUNTIFS($A$4:$A$503,A437,$D$4:$D$503,D437,$E$4:$E$503,E437)&gt;1,"Duplicate price","OK"))))</f>
        <v/>
      </c>
    </row>
    <row r="438">
      <c r="A438" s="26" t="n"/>
      <c r="B438" s="38" t="n"/>
      <c r="C438" s="26" t="n"/>
      <c r="D438" s="28" t="n"/>
      <c r="E438" s="26" t="n"/>
      <c r="F438" s="26" t="n"/>
      <c r="G438" s="30">
        <f>IF(A438="","",IF(COUNTIF('Share classes'!$B$4:$B$203,A438)=0,"Unknown class code",IF(OR(B438="",D438="",E438=""),"Missing required field",IF(COUNTIFS($A$4:$A$503,A438,$D$4:$D$503,D438,$E$4:$E$503,E438)&gt;1,"Duplicate price","OK"))))</f>
        <v/>
      </c>
    </row>
    <row r="439">
      <c r="A439" s="26" t="n"/>
      <c r="B439" s="38" t="n"/>
      <c r="C439" s="26" t="n"/>
      <c r="D439" s="28" t="n"/>
      <c r="E439" s="26" t="n"/>
      <c r="F439" s="26" t="n"/>
      <c r="G439" s="30">
        <f>IF(A439="","",IF(COUNTIF('Share classes'!$B$4:$B$203,A439)=0,"Unknown class code",IF(OR(B439="",D439="",E439=""),"Missing required field",IF(COUNTIFS($A$4:$A$503,A439,$D$4:$D$503,D439,$E$4:$E$503,E439)&gt;1,"Duplicate price","OK"))))</f>
        <v/>
      </c>
    </row>
    <row r="440">
      <c r="A440" s="26" t="n"/>
      <c r="B440" s="38" t="n"/>
      <c r="C440" s="26" t="n"/>
      <c r="D440" s="28" t="n"/>
      <c r="E440" s="26" t="n"/>
      <c r="F440" s="26" t="n"/>
      <c r="G440" s="30">
        <f>IF(A440="","",IF(COUNTIF('Share classes'!$B$4:$B$203,A440)=0,"Unknown class code",IF(OR(B440="",D440="",E440=""),"Missing required field",IF(COUNTIFS($A$4:$A$503,A440,$D$4:$D$503,D440,$E$4:$E$503,E440)&gt;1,"Duplicate price","OK"))))</f>
        <v/>
      </c>
    </row>
    <row r="441">
      <c r="A441" s="26" t="n"/>
      <c r="B441" s="38" t="n"/>
      <c r="C441" s="26" t="n"/>
      <c r="D441" s="28" t="n"/>
      <c r="E441" s="26" t="n"/>
      <c r="F441" s="26" t="n"/>
      <c r="G441" s="30">
        <f>IF(A441="","",IF(COUNTIF('Share classes'!$B$4:$B$203,A441)=0,"Unknown class code",IF(OR(B441="",D441="",E441=""),"Missing required field",IF(COUNTIFS($A$4:$A$503,A441,$D$4:$D$503,D441,$E$4:$E$503,E441)&gt;1,"Duplicate price","OK"))))</f>
        <v/>
      </c>
    </row>
    <row r="442">
      <c r="A442" s="26" t="n"/>
      <c r="B442" s="38" t="n"/>
      <c r="C442" s="26" t="n"/>
      <c r="D442" s="28" t="n"/>
      <c r="E442" s="26" t="n"/>
      <c r="F442" s="26" t="n"/>
      <c r="G442" s="30">
        <f>IF(A442="","",IF(COUNTIF('Share classes'!$B$4:$B$203,A442)=0,"Unknown class code",IF(OR(B442="",D442="",E442=""),"Missing required field",IF(COUNTIFS($A$4:$A$503,A442,$D$4:$D$503,D442,$E$4:$E$503,E442)&gt;1,"Duplicate price","OK"))))</f>
        <v/>
      </c>
    </row>
    <row r="443">
      <c r="A443" s="26" t="n"/>
      <c r="B443" s="38" t="n"/>
      <c r="C443" s="26" t="n"/>
      <c r="D443" s="28" t="n"/>
      <c r="E443" s="26" t="n"/>
      <c r="F443" s="26" t="n"/>
      <c r="G443" s="30">
        <f>IF(A443="","",IF(COUNTIF('Share classes'!$B$4:$B$203,A443)=0,"Unknown class code",IF(OR(B443="",D443="",E443=""),"Missing required field",IF(COUNTIFS($A$4:$A$503,A443,$D$4:$D$503,D443,$E$4:$E$503,E443)&gt;1,"Duplicate price","OK"))))</f>
        <v/>
      </c>
    </row>
    <row r="444">
      <c r="A444" s="26" t="n"/>
      <c r="B444" s="38" t="n"/>
      <c r="C444" s="26" t="n"/>
      <c r="D444" s="28" t="n"/>
      <c r="E444" s="26" t="n"/>
      <c r="F444" s="26" t="n"/>
      <c r="G444" s="30">
        <f>IF(A444="","",IF(COUNTIF('Share classes'!$B$4:$B$203,A444)=0,"Unknown class code",IF(OR(B444="",D444="",E444=""),"Missing required field",IF(COUNTIFS($A$4:$A$503,A444,$D$4:$D$503,D444,$E$4:$E$503,E444)&gt;1,"Duplicate price","OK"))))</f>
        <v/>
      </c>
    </row>
    <row r="445">
      <c r="A445" s="26" t="n"/>
      <c r="B445" s="38" t="n"/>
      <c r="C445" s="26" t="n"/>
      <c r="D445" s="28" t="n"/>
      <c r="E445" s="26" t="n"/>
      <c r="F445" s="26" t="n"/>
      <c r="G445" s="30">
        <f>IF(A445="","",IF(COUNTIF('Share classes'!$B$4:$B$203,A445)=0,"Unknown class code",IF(OR(B445="",D445="",E445=""),"Missing required field",IF(COUNTIFS($A$4:$A$503,A445,$D$4:$D$503,D445,$E$4:$E$503,E445)&gt;1,"Duplicate price","OK"))))</f>
        <v/>
      </c>
    </row>
    <row r="446">
      <c r="A446" s="26" t="n"/>
      <c r="B446" s="38" t="n"/>
      <c r="C446" s="26" t="n"/>
      <c r="D446" s="28" t="n"/>
      <c r="E446" s="26" t="n"/>
      <c r="F446" s="26" t="n"/>
      <c r="G446" s="30">
        <f>IF(A446="","",IF(COUNTIF('Share classes'!$B$4:$B$203,A446)=0,"Unknown class code",IF(OR(B446="",D446="",E446=""),"Missing required field",IF(COUNTIFS($A$4:$A$503,A446,$D$4:$D$503,D446,$E$4:$E$503,E446)&gt;1,"Duplicate price","OK"))))</f>
        <v/>
      </c>
    </row>
    <row r="447">
      <c r="A447" s="26" t="n"/>
      <c r="B447" s="38" t="n"/>
      <c r="C447" s="26" t="n"/>
      <c r="D447" s="28" t="n"/>
      <c r="E447" s="26" t="n"/>
      <c r="F447" s="26" t="n"/>
      <c r="G447" s="30">
        <f>IF(A447="","",IF(COUNTIF('Share classes'!$B$4:$B$203,A447)=0,"Unknown class code",IF(OR(B447="",D447="",E447=""),"Missing required field",IF(COUNTIFS($A$4:$A$503,A447,$D$4:$D$503,D447,$E$4:$E$503,E447)&gt;1,"Duplicate price","OK"))))</f>
        <v/>
      </c>
    </row>
    <row r="448">
      <c r="A448" s="26" t="n"/>
      <c r="B448" s="38" t="n"/>
      <c r="C448" s="26" t="n"/>
      <c r="D448" s="28" t="n"/>
      <c r="E448" s="26" t="n"/>
      <c r="F448" s="26" t="n"/>
      <c r="G448" s="30">
        <f>IF(A448="","",IF(COUNTIF('Share classes'!$B$4:$B$203,A448)=0,"Unknown class code",IF(OR(B448="",D448="",E448=""),"Missing required field",IF(COUNTIFS($A$4:$A$503,A448,$D$4:$D$503,D448,$E$4:$E$503,E448)&gt;1,"Duplicate price","OK"))))</f>
        <v/>
      </c>
    </row>
    <row r="449">
      <c r="A449" s="26" t="n"/>
      <c r="B449" s="38" t="n"/>
      <c r="C449" s="26" t="n"/>
      <c r="D449" s="28" t="n"/>
      <c r="E449" s="26" t="n"/>
      <c r="F449" s="26" t="n"/>
      <c r="G449" s="30">
        <f>IF(A449="","",IF(COUNTIF('Share classes'!$B$4:$B$203,A449)=0,"Unknown class code",IF(OR(B449="",D449="",E449=""),"Missing required field",IF(COUNTIFS($A$4:$A$503,A449,$D$4:$D$503,D449,$E$4:$E$503,E449)&gt;1,"Duplicate price","OK"))))</f>
        <v/>
      </c>
    </row>
    <row r="450">
      <c r="A450" s="26" t="n"/>
      <c r="B450" s="38" t="n"/>
      <c r="C450" s="26" t="n"/>
      <c r="D450" s="28" t="n"/>
      <c r="E450" s="26" t="n"/>
      <c r="F450" s="26" t="n"/>
      <c r="G450" s="30">
        <f>IF(A450="","",IF(COUNTIF('Share classes'!$B$4:$B$203,A450)=0,"Unknown class code",IF(OR(B450="",D450="",E450=""),"Missing required field",IF(COUNTIFS($A$4:$A$503,A450,$D$4:$D$503,D450,$E$4:$E$503,E450)&gt;1,"Duplicate price","OK"))))</f>
        <v/>
      </c>
    </row>
    <row r="451">
      <c r="A451" s="26" t="n"/>
      <c r="B451" s="38" t="n"/>
      <c r="C451" s="26" t="n"/>
      <c r="D451" s="28" t="n"/>
      <c r="E451" s="26" t="n"/>
      <c r="F451" s="26" t="n"/>
      <c r="G451" s="30">
        <f>IF(A451="","",IF(COUNTIF('Share classes'!$B$4:$B$203,A451)=0,"Unknown class code",IF(OR(B451="",D451="",E451=""),"Missing required field",IF(COUNTIFS($A$4:$A$503,A451,$D$4:$D$503,D451,$E$4:$E$503,E451)&gt;1,"Duplicate price","OK"))))</f>
        <v/>
      </c>
    </row>
    <row r="452">
      <c r="A452" s="26" t="n"/>
      <c r="B452" s="38" t="n"/>
      <c r="C452" s="26" t="n"/>
      <c r="D452" s="28" t="n"/>
      <c r="E452" s="26" t="n"/>
      <c r="F452" s="26" t="n"/>
      <c r="G452" s="30">
        <f>IF(A452="","",IF(COUNTIF('Share classes'!$B$4:$B$203,A452)=0,"Unknown class code",IF(OR(B452="",D452="",E452=""),"Missing required field",IF(COUNTIFS($A$4:$A$503,A452,$D$4:$D$503,D452,$E$4:$E$503,E452)&gt;1,"Duplicate price","OK"))))</f>
        <v/>
      </c>
    </row>
    <row r="453">
      <c r="A453" s="26" t="n"/>
      <c r="B453" s="38" t="n"/>
      <c r="C453" s="26" t="n"/>
      <c r="D453" s="28" t="n"/>
      <c r="E453" s="26" t="n"/>
      <c r="F453" s="26" t="n"/>
      <c r="G453" s="30">
        <f>IF(A453="","",IF(COUNTIF('Share classes'!$B$4:$B$203,A453)=0,"Unknown class code",IF(OR(B453="",D453="",E453=""),"Missing required field",IF(COUNTIFS($A$4:$A$503,A453,$D$4:$D$503,D453,$E$4:$E$503,E453)&gt;1,"Duplicate price","OK"))))</f>
        <v/>
      </c>
    </row>
    <row r="454">
      <c r="A454" s="26" t="n"/>
      <c r="B454" s="38" t="n"/>
      <c r="C454" s="26" t="n"/>
      <c r="D454" s="28" t="n"/>
      <c r="E454" s="26" t="n"/>
      <c r="F454" s="26" t="n"/>
      <c r="G454" s="30">
        <f>IF(A454="","",IF(COUNTIF('Share classes'!$B$4:$B$203,A454)=0,"Unknown class code",IF(OR(B454="",D454="",E454=""),"Missing required field",IF(COUNTIFS($A$4:$A$503,A454,$D$4:$D$503,D454,$E$4:$E$503,E454)&gt;1,"Duplicate price","OK"))))</f>
        <v/>
      </c>
    </row>
    <row r="455">
      <c r="A455" s="26" t="n"/>
      <c r="B455" s="38" t="n"/>
      <c r="C455" s="26" t="n"/>
      <c r="D455" s="28" t="n"/>
      <c r="E455" s="26" t="n"/>
      <c r="F455" s="26" t="n"/>
      <c r="G455" s="30">
        <f>IF(A455="","",IF(COUNTIF('Share classes'!$B$4:$B$203,A455)=0,"Unknown class code",IF(OR(B455="",D455="",E455=""),"Missing required field",IF(COUNTIFS($A$4:$A$503,A455,$D$4:$D$503,D455,$E$4:$E$503,E455)&gt;1,"Duplicate price","OK"))))</f>
        <v/>
      </c>
    </row>
    <row r="456">
      <c r="A456" s="26" t="n"/>
      <c r="B456" s="38" t="n"/>
      <c r="C456" s="26" t="n"/>
      <c r="D456" s="28" t="n"/>
      <c r="E456" s="26" t="n"/>
      <c r="F456" s="26" t="n"/>
      <c r="G456" s="30">
        <f>IF(A456="","",IF(COUNTIF('Share classes'!$B$4:$B$203,A456)=0,"Unknown class code",IF(OR(B456="",D456="",E456=""),"Missing required field",IF(COUNTIFS($A$4:$A$503,A456,$D$4:$D$503,D456,$E$4:$E$503,E456)&gt;1,"Duplicate price","OK"))))</f>
        <v/>
      </c>
    </row>
    <row r="457">
      <c r="A457" s="26" t="n"/>
      <c r="B457" s="38" t="n"/>
      <c r="C457" s="26" t="n"/>
      <c r="D457" s="28" t="n"/>
      <c r="E457" s="26" t="n"/>
      <c r="F457" s="26" t="n"/>
      <c r="G457" s="30">
        <f>IF(A457="","",IF(COUNTIF('Share classes'!$B$4:$B$203,A457)=0,"Unknown class code",IF(OR(B457="",D457="",E457=""),"Missing required field",IF(COUNTIFS($A$4:$A$503,A457,$D$4:$D$503,D457,$E$4:$E$503,E457)&gt;1,"Duplicate price","OK"))))</f>
        <v/>
      </c>
    </row>
    <row r="458">
      <c r="A458" s="26" t="n"/>
      <c r="B458" s="38" t="n"/>
      <c r="C458" s="26" t="n"/>
      <c r="D458" s="28" t="n"/>
      <c r="E458" s="26" t="n"/>
      <c r="F458" s="26" t="n"/>
      <c r="G458" s="30">
        <f>IF(A458="","",IF(COUNTIF('Share classes'!$B$4:$B$203,A458)=0,"Unknown class code",IF(OR(B458="",D458="",E458=""),"Missing required field",IF(COUNTIFS($A$4:$A$503,A458,$D$4:$D$503,D458,$E$4:$E$503,E458)&gt;1,"Duplicate price","OK"))))</f>
        <v/>
      </c>
    </row>
    <row r="459">
      <c r="A459" s="26" t="n"/>
      <c r="B459" s="38" t="n"/>
      <c r="C459" s="26" t="n"/>
      <c r="D459" s="28" t="n"/>
      <c r="E459" s="26" t="n"/>
      <c r="F459" s="26" t="n"/>
      <c r="G459" s="30">
        <f>IF(A459="","",IF(COUNTIF('Share classes'!$B$4:$B$203,A459)=0,"Unknown class code",IF(OR(B459="",D459="",E459=""),"Missing required field",IF(COUNTIFS($A$4:$A$503,A459,$D$4:$D$503,D459,$E$4:$E$503,E459)&gt;1,"Duplicate price","OK"))))</f>
        <v/>
      </c>
    </row>
    <row r="460">
      <c r="A460" s="26" t="n"/>
      <c r="B460" s="38" t="n"/>
      <c r="C460" s="26" t="n"/>
      <c r="D460" s="28" t="n"/>
      <c r="E460" s="26" t="n"/>
      <c r="F460" s="26" t="n"/>
      <c r="G460" s="30">
        <f>IF(A460="","",IF(COUNTIF('Share classes'!$B$4:$B$203,A460)=0,"Unknown class code",IF(OR(B460="",D460="",E460=""),"Missing required field",IF(COUNTIFS($A$4:$A$503,A460,$D$4:$D$503,D460,$E$4:$E$503,E460)&gt;1,"Duplicate price","OK"))))</f>
        <v/>
      </c>
    </row>
    <row r="461">
      <c r="A461" s="26" t="n"/>
      <c r="B461" s="38" t="n"/>
      <c r="C461" s="26" t="n"/>
      <c r="D461" s="28" t="n"/>
      <c r="E461" s="26" t="n"/>
      <c r="F461" s="26" t="n"/>
      <c r="G461" s="30">
        <f>IF(A461="","",IF(COUNTIF('Share classes'!$B$4:$B$203,A461)=0,"Unknown class code",IF(OR(B461="",D461="",E461=""),"Missing required field",IF(COUNTIFS($A$4:$A$503,A461,$D$4:$D$503,D461,$E$4:$E$503,E461)&gt;1,"Duplicate price","OK"))))</f>
        <v/>
      </c>
    </row>
    <row r="462">
      <c r="A462" s="26" t="n"/>
      <c r="B462" s="38" t="n"/>
      <c r="C462" s="26" t="n"/>
      <c r="D462" s="28" t="n"/>
      <c r="E462" s="26" t="n"/>
      <c r="F462" s="26" t="n"/>
      <c r="G462" s="30">
        <f>IF(A462="","",IF(COUNTIF('Share classes'!$B$4:$B$203,A462)=0,"Unknown class code",IF(OR(B462="",D462="",E462=""),"Missing required field",IF(COUNTIFS($A$4:$A$503,A462,$D$4:$D$503,D462,$E$4:$E$503,E462)&gt;1,"Duplicate price","OK"))))</f>
        <v/>
      </c>
    </row>
    <row r="463">
      <c r="A463" s="26" t="n"/>
      <c r="B463" s="38" t="n"/>
      <c r="C463" s="26" t="n"/>
      <c r="D463" s="28" t="n"/>
      <c r="E463" s="26" t="n"/>
      <c r="F463" s="26" t="n"/>
      <c r="G463" s="30">
        <f>IF(A463="","",IF(COUNTIF('Share classes'!$B$4:$B$203,A463)=0,"Unknown class code",IF(OR(B463="",D463="",E463=""),"Missing required field",IF(COUNTIFS($A$4:$A$503,A463,$D$4:$D$503,D463,$E$4:$E$503,E463)&gt;1,"Duplicate price","OK"))))</f>
        <v/>
      </c>
    </row>
    <row r="464">
      <c r="A464" s="26" t="n"/>
      <c r="B464" s="38" t="n"/>
      <c r="C464" s="26" t="n"/>
      <c r="D464" s="28" t="n"/>
      <c r="E464" s="26" t="n"/>
      <c r="F464" s="26" t="n"/>
      <c r="G464" s="30">
        <f>IF(A464="","",IF(COUNTIF('Share classes'!$B$4:$B$203,A464)=0,"Unknown class code",IF(OR(B464="",D464="",E464=""),"Missing required field",IF(COUNTIFS($A$4:$A$503,A464,$D$4:$D$503,D464,$E$4:$E$503,E464)&gt;1,"Duplicate price","OK"))))</f>
        <v/>
      </c>
    </row>
    <row r="465">
      <c r="A465" s="26" t="n"/>
      <c r="B465" s="38" t="n"/>
      <c r="C465" s="26" t="n"/>
      <c r="D465" s="28" t="n"/>
      <c r="E465" s="26" t="n"/>
      <c r="F465" s="26" t="n"/>
      <c r="G465" s="30">
        <f>IF(A465="","",IF(COUNTIF('Share classes'!$B$4:$B$203,A465)=0,"Unknown class code",IF(OR(B465="",D465="",E465=""),"Missing required field",IF(COUNTIFS($A$4:$A$503,A465,$D$4:$D$503,D465,$E$4:$E$503,E465)&gt;1,"Duplicate price","OK"))))</f>
        <v/>
      </c>
    </row>
    <row r="466">
      <c r="A466" s="26" t="n"/>
      <c r="B466" s="38" t="n"/>
      <c r="C466" s="26" t="n"/>
      <c r="D466" s="28" t="n"/>
      <c r="E466" s="26" t="n"/>
      <c r="F466" s="26" t="n"/>
      <c r="G466" s="30">
        <f>IF(A466="","",IF(COUNTIF('Share classes'!$B$4:$B$203,A466)=0,"Unknown class code",IF(OR(B466="",D466="",E466=""),"Missing required field",IF(COUNTIFS($A$4:$A$503,A466,$D$4:$D$503,D466,$E$4:$E$503,E466)&gt;1,"Duplicate price","OK"))))</f>
        <v/>
      </c>
    </row>
    <row r="467">
      <c r="A467" s="26" t="n"/>
      <c r="B467" s="38" t="n"/>
      <c r="C467" s="26" t="n"/>
      <c r="D467" s="28" t="n"/>
      <c r="E467" s="26" t="n"/>
      <c r="F467" s="26" t="n"/>
      <c r="G467" s="30">
        <f>IF(A467="","",IF(COUNTIF('Share classes'!$B$4:$B$203,A467)=0,"Unknown class code",IF(OR(B467="",D467="",E467=""),"Missing required field",IF(COUNTIFS($A$4:$A$503,A467,$D$4:$D$503,D467,$E$4:$E$503,E467)&gt;1,"Duplicate price","OK"))))</f>
        <v/>
      </c>
    </row>
    <row r="468">
      <c r="A468" s="26" t="n"/>
      <c r="B468" s="38" t="n"/>
      <c r="C468" s="26" t="n"/>
      <c r="D468" s="28" t="n"/>
      <c r="E468" s="26" t="n"/>
      <c r="F468" s="26" t="n"/>
      <c r="G468" s="30">
        <f>IF(A468="","",IF(COUNTIF('Share classes'!$B$4:$B$203,A468)=0,"Unknown class code",IF(OR(B468="",D468="",E468=""),"Missing required field",IF(COUNTIFS($A$4:$A$503,A468,$D$4:$D$503,D468,$E$4:$E$503,E468)&gt;1,"Duplicate price","OK"))))</f>
        <v/>
      </c>
    </row>
    <row r="469">
      <c r="A469" s="26" t="n"/>
      <c r="B469" s="38" t="n"/>
      <c r="C469" s="26" t="n"/>
      <c r="D469" s="28" t="n"/>
      <c r="E469" s="26" t="n"/>
      <c r="F469" s="26" t="n"/>
      <c r="G469" s="30">
        <f>IF(A469="","",IF(COUNTIF('Share classes'!$B$4:$B$203,A469)=0,"Unknown class code",IF(OR(B469="",D469="",E469=""),"Missing required field",IF(COUNTIFS($A$4:$A$503,A469,$D$4:$D$503,D469,$E$4:$E$503,E469)&gt;1,"Duplicate price","OK"))))</f>
        <v/>
      </c>
    </row>
    <row r="470">
      <c r="A470" s="26" t="n"/>
      <c r="B470" s="38" t="n"/>
      <c r="C470" s="26" t="n"/>
      <c r="D470" s="28" t="n"/>
      <c r="E470" s="26" t="n"/>
      <c r="F470" s="26" t="n"/>
      <c r="G470" s="30">
        <f>IF(A470="","",IF(COUNTIF('Share classes'!$B$4:$B$203,A470)=0,"Unknown class code",IF(OR(B470="",D470="",E470=""),"Missing required field",IF(COUNTIFS($A$4:$A$503,A470,$D$4:$D$503,D470,$E$4:$E$503,E470)&gt;1,"Duplicate price","OK"))))</f>
        <v/>
      </c>
    </row>
    <row r="471">
      <c r="A471" s="26" t="n"/>
      <c r="B471" s="38" t="n"/>
      <c r="C471" s="26" t="n"/>
      <c r="D471" s="28" t="n"/>
      <c r="E471" s="26" t="n"/>
      <c r="F471" s="26" t="n"/>
      <c r="G471" s="30">
        <f>IF(A471="","",IF(COUNTIF('Share classes'!$B$4:$B$203,A471)=0,"Unknown class code",IF(OR(B471="",D471="",E471=""),"Missing required field",IF(COUNTIFS($A$4:$A$503,A471,$D$4:$D$503,D471,$E$4:$E$503,E471)&gt;1,"Duplicate price","OK"))))</f>
        <v/>
      </c>
    </row>
    <row r="472">
      <c r="A472" s="26" t="n"/>
      <c r="B472" s="38" t="n"/>
      <c r="C472" s="26" t="n"/>
      <c r="D472" s="28" t="n"/>
      <c r="E472" s="26" t="n"/>
      <c r="F472" s="26" t="n"/>
      <c r="G472" s="30">
        <f>IF(A472="","",IF(COUNTIF('Share classes'!$B$4:$B$203,A472)=0,"Unknown class code",IF(OR(B472="",D472="",E472=""),"Missing required field",IF(COUNTIFS($A$4:$A$503,A472,$D$4:$D$503,D472,$E$4:$E$503,E472)&gt;1,"Duplicate price","OK"))))</f>
        <v/>
      </c>
    </row>
    <row r="473">
      <c r="A473" s="26" t="n"/>
      <c r="B473" s="38" t="n"/>
      <c r="C473" s="26" t="n"/>
      <c r="D473" s="28" t="n"/>
      <c r="E473" s="26" t="n"/>
      <c r="F473" s="26" t="n"/>
      <c r="G473" s="30">
        <f>IF(A473="","",IF(COUNTIF('Share classes'!$B$4:$B$203,A473)=0,"Unknown class code",IF(OR(B473="",D473="",E473=""),"Missing required field",IF(COUNTIFS($A$4:$A$503,A473,$D$4:$D$503,D473,$E$4:$E$503,E473)&gt;1,"Duplicate price","OK"))))</f>
        <v/>
      </c>
    </row>
    <row r="474">
      <c r="A474" s="26" t="n"/>
      <c r="B474" s="38" t="n"/>
      <c r="C474" s="26" t="n"/>
      <c r="D474" s="28" t="n"/>
      <c r="E474" s="26" t="n"/>
      <c r="F474" s="26" t="n"/>
      <c r="G474" s="30">
        <f>IF(A474="","",IF(COUNTIF('Share classes'!$B$4:$B$203,A474)=0,"Unknown class code",IF(OR(B474="",D474="",E474=""),"Missing required field",IF(COUNTIFS($A$4:$A$503,A474,$D$4:$D$503,D474,$E$4:$E$503,E474)&gt;1,"Duplicate price","OK"))))</f>
        <v/>
      </c>
    </row>
    <row r="475">
      <c r="A475" s="26" t="n"/>
      <c r="B475" s="38" t="n"/>
      <c r="C475" s="26" t="n"/>
      <c r="D475" s="28" t="n"/>
      <c r="E475" s="26" t="n"/>
      <c r="F475" s="26" t="n"/>
      <c r="G475" s="30">
        <f>IF(A475="","",IF(COUNTIF('Share classes'!$B$4:$B$203,A475)=0,"Unknown class code",IF(OR(B475="",D475="",E475=""),"Missing required field",IF(COUNTIFS($A$4:$A$503,A475,$D$4:$D$503,D475,$E$4:$E$503,E475)&gt;1,"Duplicate price","OK"))))</f>
        <v/>
      </c>
    </row>
    <row r="476">
      <c r="A476" s="26" t="n"/>
      <c r="B476" s="38" t="n"/>
      <c r="C476" s="26" t="n"/>
      <c r="D476" s="28" t="n"/>
      <c r="E476" s="26" t="n"/>
      <c r="F476" s="26" t="n"/>
      <c r="G476" s="30">
        <f>IF(A476="","",IF(COUNTIF('Share classes'!$B$4:$B$203,A476)=0,"Unknown class code",IF(OR(B476="",D476="",E476=""),"Missing required field",IF(COUNTIFS($A$4:$A$503,A476,$D$4:$D$503,D476,$E$4:$E$503,E476)&gt;1,"Duplicate price","OK"))))</f>
        <v/>
      </c>
    </row>
    <row r="477">
      <c r="A477" s="26" t="n"/>
      <c r="B477" s="38" t="n"/>
      <c r="C477" s="26" t="n"/>
      <c r="D477" s="28" t="n"/>
      <c r="E477" s="26" t="n"/>
      <c r="F477" s="26" t="n"/>
      <c r="G477" s="30">
        <f>IF(A477="","",IF(COUNTIF('Share classes'!$B$4:$B$203,A477)=0,"Unknown class code",IF(OR(B477="",D477="",E477=""),"Missing required field",IF(COUNTIFS($A$4:$A$503,A477,$D$4:$D$503,D477,$E$4:$E$503,E477)&gt;1,"Duplicate price","OK"))))</f>
        <v/>
      </c>
    </row>
    <row r="478">
      <c r="A478" s="26" t="n"/>
      <c r="B478" s="38" t="n"/>
      <c r="C478" s="26" t="n"/>
      <c r="D478" s="28" t="n"/>
      <c r="E478" s="26" t="n"/>
      <c r="F478" s="26" t="n"/>
      <c r="G478" s="30">
        <f>IF(A478="","",IF(COUNTIF('Share classes'!$B$4:$B$203,A478)=0,"Unknown class code",IF(OR(B478="",D478="",E478=""),"Missing required field",IF(COUNTIFS($A$4:$A$503,A478,$D$4:$D$503,D478,$E$4:$E$503,E478)&gt;1,"Duplicate price","OK"))))</f>
        <v/>
      </c>
    </row>
    <row r="479">
      <c r="A479" s="26" t="n"/>
      <c r="B479" s="38" t="n"/>
      <c r="C479" s="26" t="n"/>
      <c r="D479" s="28" t="n"/>
      <c r="E479" s="26" t="n"/>
      <c r="F479" s="26" t="n"/>
      <c r="G479" s="30">
        <f>IF(A479="","",IF(COUNTIF('Share classes'!$B$4:$B$203,A479)=0,"Unknown class code",IF(OR(B479="",D479="",E479=""),"Missing required field",IF(COUNTIFS($A$4:$A$503,A479,$D$4:$D$503,D479,$E$4:$E$503,E479)&gt;1,"Duplicate price","OK"))))</f>
        <v/>
      </c>
    </row>
    <row r="480">
      <c r="A480" s="26" t="n"/>
      <c r="B480" s="38" t="n"/>
      <c r="C480" s="26" t="n"/>
      <c r="D480" s="28" t="n"/>
      <c r="E480" s="26" t="n"/>
      <c r="F480" s="26" t="n"/>
      <c r="G480" s="30">
        <f>IF(A480="","",IF(COUNTIF('Share classes'!$B$4:$B$203,A480)=0,"Unknown class code",IF(OR(B480="",D480="",E480=""),"Missing required field",IF(COUNTIFS($A$4:$A$503,A480,$D$4:$D$503,D480,$E$4:$E$503,E480)&gt;1,"Duplicate price","OK"))))</f>
        <v/>
      </c>
    </row>
    <row r="481">
      <c r="A481" s="26" t="n"/>
      <c r="B481" s="38" t="n"/>
      <c r="C481" s="26" t="n"/>
      <c r="D481" s="28" t="n"/>
      <c r="E481" s="26" t="n"/>
      <c r="F481" s="26" t="n"/>
      <c r="G481" s="30">
        <f>IF(A481="","",IF(COUNTIF('Share classes'!$B$4:$B$203,A481)=0,"Unknown class code",IF(OR(B481="",D481="",E481=""),"Missing required field",IF(COUNTIFS($A$4:$A$503,A481,$D$4:$D$503,D481,$E$4:$E$503,E481)&gt;1,"Duplicate price","OK"))))</f>
        <v/>
      </c>
    </row>
    <row r="482">
      <c r="A482" s="26" t="n"/>
      <c r="B482" s="38" t="n"/>
      <c r="C482" s="26" t="n"/>
      <c r="D482" s="28" t="n"/>
      <c r="E482" s="26" t="n"/>
      <c r="F482" s="26" t="n"/>
      <c r="G482" s="30">
        <f>IF(A482="","",IF(COUNTIF('Share classes'!$B$4:$B$203,A482)=0,"Unknown class code",IF(OR(B482="",D482="",E482=""),"Missing required field",IF(COUNTIFS($A$4:$A$503,A482,$D$4:$D$503,D482,$E$4:$E$503,E482)&gt;1,"Duplicate price","OK"))))</f>
        <v/>
      </c>
    </row>
    <row r="483">
      <c r="A483" s="26" t="n"/>
      <c r="B483" s="38" t="n"/>
      <c r="C483" s="26" t="n"/>
      <c r="D483" s="28" t="n"/>
      <c r="E483" s="26" t="n"/>
      <c r="F483" s="26" t="n"/>
      <c r="G483" s="30">
        <f>IF(A483="","",IF(COUNTIF('Share classes'!$B$4:$B$203,A483)=0,"Unknown class code",IF(OR(B483="",D483="",E483=""),"Missing required field",IF(COUNTIFS($A$4:$A$503,A483,$D$4:$D$503,D483,$E$4:$E$503,E483)&gt;1,"Duplicate price","OK"))))</f>
        <v/>
      </c>
    </row>
    <row r="484">
      <c r="A484" s="26" t="n"/>
      <c r="B484" s="38" t="n"/>
      <c r="C484" s="26" t="n"/>
      <c r="D484" s="28" t="n"/>
      <c r="E484" s="26" t="n"/>
      <c r="F484" s="26" t="n"/>
      <c r="G484" s="30">
        <f>IF(A484="","",IF(COUNTIF('Share classes'!$B$4:$B$203,A484)=0,"Unknown class code",IF(OR(B484="",D484="",E484=""),"Missing required field",IF(COUNTIFS($A$4:$A$503,A484,$D$4:$D$503,D484,$E$4:$E$503,E484)&gt;1,"Duplicate price","OK"))))</f>
        <v/>
      </c>
    </row>
    <row r="485">
      <c r="A485" s="26" t="n"/>
      <c r="B485" s="38" t="n"/>
      <c r="C485" s="26" t="n"/>
      <c r="D485" s="28" t="n"/>
      <c r="E485" s="26" t="n"/>
      <c r="F485" s="26" t="n"/>
      <c r="G485" s="30">
        <f>IF(A485="","",IF(COUNTIF('Share classes'!$B$4:$B$203,A485)=0,"Unknown class code",IF(OR(B485="",D485="",E485=""),"Missing required field",IF(COUNTIFS($A$4:$A$503,A485,$D$4:$D$503,D485,$E$4:$E$503,E485)&gt;1,"Duplicate price","OK"))))</f>
        <v/>
      </c>
    </row>
    <row r="486">
      <c r="A486" s="26" t="n"/>
      <c r="B486" s="38" t="n"/>
      <c r="C486" s="26" t="n"/>
      <c r="D486" s="28" t="n"/>
      <c r="E486" s="26" t="n"/>
      <c r="F486" s="26" t="n"/>
      <c r="G486" s="30">
        <f>IF(A486="","",IF(COUNTIF('Share classes'!$B$4:$B$203,A486)=0,"Unknown class code",IF(OR(B486="",D486="",E486=""),"Missing required field",IF(COUNTIFS($A$4:$A$503,A486,$D$4:$D$503,D486,$E$4:$E$503,E486)&gt;1,"Duplicate price","OK"))))</f>
        <v/>
      </c>
    </row>
    <row r="487">
      <c r="A487" s="26" t="n"/>
      <c r="B487" s="38" t="n"/>
      <c r="C487" s="26" t="n"/>
      <c r="D487" s="28" t="n"/>
      <c r="E487" s="26" t="n"/>
      <c r="F487" s="26" t="n"/>
      <c r="G487" s="30">
        <f>IF(A487="","",IF(COUNTIF('Share classes'!$B$4:$B$203,A487)=0,"Unknown class code",IF(OR(B487="",D487="",E487=""),"Missing required field",IF(COUNTIFS($A$4:$A$503,A487,$D$4:$D$503,D487,$E$4:$E$503,E487)&gt;1,"Duplicate price","OK"))))</f>
        <v/>
      </c>
    </row>
    <row r="488">
      <c r="A488" s="26" t="n"/>
      <c r="B488" s="38" t="n"/>
      <c r="C488" s="26" t="n"/>
      <c r="D488" s="28" t="n"/>
      <c r="E488" s="26" t="n"/>
      <c r="F488" s="26" t="n"/>
      <c r="G488" s="30">
        <f>IF(A488="","",IF(COUNTIF('Share classes'!$B$4:$B$203,A488)=0,"Unknown class code",IF(OR(B488="",D488="",E488=""),"Missing required field",IF(COUNTIFS($A$4:$A$503,A488,$D$4:$D$503,D488,$E$4:$E$503,E488)&gt;1,"Duplicate price","OK"))))</f>
        <v/>
      </c>
    </row>
    <row r="489">
      <c r="A489" s="26" t="n"/>
      <c r="B489" s="38" t="n"/>
      <c r="C489" s="26" t="n"/>
      <c r="D489" s="28" t="n"/>
      <c r="E489" s="26" t="n"/>
      <c r="F489" s="26" t="n"/>
      <c r="G489" s="30">
        <f>IF(A489="","",IF(COUNTIF('Share classes'!$B$4:$B$203,A489)=0,"Unknown class code",IF(OR(B489="",D489="",E489=""),"Missing required field",IF(COUNTIFS($A$4:$A$503,A489,$D$4:$D$503,D489,$E$4:$E$503,E489)&gt;1,"Duplicate price","OK"))))</f>
        <v/>
      </c>
    </row>
    <row r="490">
      <c r="A490" s="26" t="n"/>
      <c r="B490" s="38" t="n"/>
      <c r="C490" s="26" t="n"/>
      <c r="D490" s="28" t="n"/>
      <c r="E490" s="26" t="n"/>
      <c r="F490" s="26" t="n"/>
      <c r="G490" s="30">
        <f>IF(A490="","",IF(COUNTIF('Share classes'!$B$4:$B$203,A490)=0,"Unknown class code",IF(OR(B490="",D490="",E490=""),"Missing required field",IF(COUNTIFS($A$4:$A$503,A490,$D$4:$D$503,D490,$E$4:$E$503,E490)&gt;1,"Duplicate price","OK"))))</f>
        <v/>
      </c>
    </row>
    <row r="491">
      <c r="A491" s="26" t="n"/>
      <c r="B491" s="38" t="n"/>
      <c r="C491" s="26" t="n"/>
      <c r="D491" s="28" t="n"/>
      <c r="E491" s="26" t="n"/>
      <c r="F491" s="26" t="n"/>
      <c r="G491" s="30">
        <f>IF(A491="","",IF(COUNTIF('Share classes'!$B$4:$B$203,A491)=0,"Unknown class code",IF(OR(B491="",D491="",E491=""),"Missing required field",IF(COUNTIFS($A$4:$A$503,A491,$D$4:$D$503,D491,$E$4:$E$503,E491)&gt;1,"Duplicate price","OK"))))</f>
        <v/>
      </c>
    </row>
    <row r="492">
      <c r="A492" s="26" t="n"/>
      <c r="B492" s="38" t="n"/>
      <c r="C492" s="26" t="n"/>
      <c r="D492" s="28" t="n"/>
      <c r="E492" s="26" t="n"/>
      <c r="F492" s="26" t="n"/>
      <c r="G492" s="30">
        <f>IF(A492="","",IF(COUNTIF('Share classes'!$B$4:$B$203,A492)=0,"Unknown class code",IF(OR(B492="",D492="",E492=""),"Missing required field",IF(COUNTIFS($A$4:$A$503,A492,$D$4:$D$503,D492,$E$4:$E$503,E492)&gt;1,"Duplicate price","OK"))))</f>
        <v/>
      </c>
    </row>
    <row r="493">
      <c r="A493" s="26" t="n"/>
      <c r="B493" s="38" t="n"/>
      <c r="C493" s="26" t="n"/>
      <c r="D493" s="28" t="n"/>
      <c r="E493" s="26" t="n"/>
      <c r="F493" s="26" t="n"/>
      <c r="G493" s="30">
        <f>IF(A493="","",IF(COUNTIF('Share classes'!$B$4:$B$203,A493)=0,"Unknown class code",IF(OR(B493="",D493="",E493=""),"Missing required field",IF(COUNTIFS($A$4:$A$503,A493,$D$4:$D$503,D493,$E$4:$E$503,E493)&gt;1,"Duplicate price","OK"))))</f>
        <v/>
      </c>
    </row>
    <row r="494">
      <c r="A494" s="26" t="n"/>
      <c r="B494" s="38" t="n"/>
      <c r="C494" s="26" t="n"/>
      <c r="D494" s="28" t="n"/>
      <c r="E494" s="26" t="n"/>
      <c r="F494" s="26" t="n"/>
      <c r="G494" s="30">
        <f>IF(A494="","",IF(COUNTIF('Share classes'!$B$4:$B$203,A494)=0,"Unknown class code",IF(OR(B494="",D494="",E494=""),"Missing required field",IF(COUNTIFS($A$4:$A$503,A494,$D$4:$D$503,D494,$E$4:$E$503,E494)&gt;1,"Duplicate price","OK"))))</f>
        <v/>
      </c>
    </row>
    <row r="495">
      <c r="A495" s="26" t="n"/>
      <c r="B495" s="38" t="n"/>
      <c r="C495" s="26" t="n"/>
      <c r="D495" s="28" t="n"/>
      <c r="E495" s="26" t="n"/>
      <c r="F495" s="26" t="n"/>
      <c r="G495" s="30">
        <f>IF(A495="","",IF(COUNTIF('Share classes'!$B$4:$B$203,A495)=0,"Unknown class code",IF(OR(B495="",D495="",E495=""),"Missing required field",IF(COUNTIFS($A$4:$A$503,A495,$D$4:$D$503,D495,$E$4:$E$503,E495)&gt;1,"Duplicate price","OK"))))</f>
        <v/>
      </c>
    </row>
    <row r="496">
      <c r="A496" s="26" t="n"/>
      <c r="B496" s="38" t="n"/>
      <c r="C496" s="26" t="n"/>
      <c r="D496" s="28" t="n"/>
      <c r="E496" s="26" t="n"/>
      <c r="F496" s="26" t="n"/>
      <c r="G496" s="30">
        <f>IF(A496="","",IF(COUNTIF('Share classes'!$B$4:$B$203,A496)=0,"Unknown class code",IF(OR(B496="",D496="",E496=""),"Missing required field",IF(COUNTIFS($A$4:$A$503,A496,$D$4:$D$503,D496,$E$4:$E$503,E496)&gt;1,"Duplicate price","OK"))))</f>
        <v/>
      </c>
    </row>
    <row r="497">
      <c r="A497" s="26" t="n"/>
      <c r="B497" s="38" t="n"/>
      <c r="C497" s="26" t="n"/>
      <c r="D497" s="28" t="n"/>
      <c r="E497" s="26" t="n"/>
      <c r="F497" s="26" t="n"/>
      <c r="G497" s="30">
        <f>IF(A497="","",IF(COUNTIF('Share classes'!$B$4:$B$203,A497)=0,"Unknown class code",IF(OR(B497="",D497="",E497=""),"Missing required field",IF(COUNTIFS($A$4:$A$503,A497,$D$4:$D$503,D497,$E$4:$E$503,E497)&gt;1,"Duplicate price","OK"))))</f>
        <v/>
      </c>
    </row>
    <row r="498">
      <c r="A498" s="26" t="n"/>
      <c r="B498" s="38" t="n"/>
      <c r="C498" s="26" t="n"/>
      <c r="D498" s="28" t="n"/>
      <c r="E498" s="26" t="n"/>
      <c r="F498" s="26" t="n"/>
      <c r="G498" s="30">
        <f>IF(A498="","",IF(COUNTIF('Share classes'!$B$4:$B$203,A498)=0,"Unknown class code",IF(OR(B498="",D498="",E498=""),"Missing required field",IF(COUNTIFS($A$4:$A$503,A498,$D$4:$D$503,D498,$E$4:$E$503,E498)&gt;1,"Duplicate price","OK"))))</f>
        <v/>
      </c>
    </row>
    <row r="499">
      <c r="A499" s="26" t="n"/>
      <c r="B499" s="38" t="n"/>
      <c r="C499" s="26" t="n"/>
      <c r="D499" s="28" t="n"/>
      <c r="E499" s="26" t="n"/>
      <c r="F499" s="26" t="n"/>
      <c r="G499" s="30">
        <f>IF(A499="","",IF(COUNTIF('Share classes'!$B$4:$B$203,A499)=0,"Unknown class code",IF(OR(B499="",D499="",E499=""),"Missing required field",IF(COUNTIFS($A$4:$A$503,A499,$D$4:$D$503,D499,$E$4:$E$503,E499)&gt;1,"Duplicate price","OK"))))</f>
        <v/>
      </c>
    </row>
    <row r="500">
      <c r="A500" s="26" t="n"/>
      <c r="B500" s="38" t="n"/>
      <c r="C500" s="26" t="n"/>
      <c r="D500" s="28" t="n"/>
      <c r="E500" s="26" t="n"/>
      <c r="F500" s="26" t="n"/>
      <c r="G500" s="30">
        <f>IF(A500="","",IF(COUNTIF('Share classes'!$B$4:$B$203,A500)=0,"Unknown class code",IF(OR(B500="",D500="",E500=""),"Missing required field",IF(COUNTIFS($A$4:$A$503,A500,$D$4:$D$503,D500,$E$4:$E$503,E500)&gt;1,"Duplicate price","OK"))))</f>
        <v/>
      </c>
    </row>
    <row r="501">
      <c r="A501" s="26" t="n"/>
      <c r="B501" s="38" t="n"/>
      <c r="C501" s="26" t="n"/>
      <c r="D501" s="28" t="n"/>
      <c r="E501" s="26" t="n"/>
      <c r="F501" s="26" t="n"/>
      <c r="G501" s="30">
        <f>IF(A501="","",IF(COUNTIF('Share classes'!$B$4:$B$203,A501)=0,"Unknown class code",IF(OR(B501="",D501="",E501=""),"Missing required field",IF(COUNTIFS($A$4:$A$503,A501,$D$4:$D$503,D501,$E$4:$E$503,E501)&gt;1,"Duplicate price","OK"))))</f>
        <v/>
      </c>
    </row>
    <row r="502">
      <c r="A502" s="26" t="n"/>
      <c r="B502" s="38" t="n"/>
      <c r="C502" s="26" t="n"/>
      <c r="D502" s="28" t="n"/>
      <c r="E502" s="26" t="n"/>
      <c r="F502" s="26" t="n"/>
      <c r="G502" s="30">
        <f>IF(A502="","",IF(COUNTIF('Share classes'!$B$4:$B$203,A502)=0,"Unknown class code",IF(OR(B502="",D502="",E502=""),"Missing required field",IF(COUNTIFS($A$4:$A$503,A502,$D$4:$D$503,D502,$E$4:$E$503,E502)&gt;1,"Duplicate price","OK"))))</f>
        <v/>
      </c>
    </row>
    <row r="503">
      <c r="A503" s="26" t="n"/>
      <c r="B503" s="38" t="n"/>
      <c r="C503" s="26" t="n"/>
      <c r="D503" s="28" t="n"/>
      <c r="E503" s="26" t="n"/>
      <c r="F503" s="26" t="n"/>
      <c r="G503" s="30">
        <f>IF(A503="","",IF(COUNTIF('Share classes'!$B$4:$B$203,A503)=0,"Unknown class code",IF(OR(B503="",D503="",E503=""),"Missing required field",IF(COUNTIFS($A$4:$A$503,A503,$D$4:$D$503,D503,$E$4:$E$503,E503)&gt;1,"Duplicate price","OK"))))</f>
        <v/>
      </c>
    </row>
  </sheetData>
  <autoFilter ref="A2:G503"/>
  <conditionalFormatting sqref="G4:G503">
    <cfRule type="expression" priority="1" dxfId="0">
      <formula>AND(G4&lt;&gt;"",G4&lt;&gt;"OK")</formula>
    </cfRule>
  </conditionalFormatting>
  <dataValidations count="1">
    <dataValidation sqref="E4:E503" showDropDown="0" showInputMessage="0" showErrorMessage="1" allowBlank="0" errorTitle="Choose from the list" error="Pick one of: Capital raise, Secondary trade, Directors’ valuation" type="list">
      <formula1>=Lists!$I$2:$I$4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60" customWidth="1" min="3" max="3"/>
    <col width="24" customWidth="1" min="4" max="4"/>
  </cols>
  <sheetData>
    <row r="1">
      <c r="A1" s="9" t="inlineStr">
        <is>
          <t>Holding notes</t>
        </is>
      </c>
      <c r="C1" s="10" t="inlineStr">
        <is>
          <t>A note the holder sees next to one of their holdings, e.g. shares held in escrow until a date. One row per holder and class.</t>
        </is>
      </c>
    </row>
    <row r="2" ht="32" customHeight="1">
      <c r="A2" s="20" t="inlineStr">
        <is>
          <t>Holder ID *</t>
        </is>
      </c>
      <c r="B2" s="20" t="inlineStr">
        <is>
          <t>Class code *</t>
        </is>
      </c>
      <c r="C2" s="20" t="inlineStr">
        <is>
          <t>Note *</t>
        </is>
      </c>
      <c r="D2" s="21" t="inlineStr">
        <is>
          <t>Check</t>
        </is>
      </c>
    </row>
    <row r="3">
      <c r="A3" s="22" t="inlineStr">
        <is>
          <t>H-0001</t>
        </is>
      </c>
      <c r="B3" s="22" t="inlineStr">
        <is>
          <t>EZF-ORD</t>
        </is>
      </c>
      <c r="C3" s="22" t="inlineStr">
        <is>
          <t>Held in escrow until 30 June 2027</t>
        </is>
      </c>
      <c r="E3" s="10" t="inlineStr">
        <is>
          <t>← example row, not imported</t>
        </is>
      </c>
    </row>
    <row r="4">
      <c r="A4" s="26" t="n"/>
      <c r="B4" s="26" t="n"/>
      <c r="C4" s="26" t="n"/>
      <c r="D4" s="30">
        <f>IF(A4="","",IF(COUNTIF('Holders'!$A$4:$A$1003,A4)=0,"Unknown holder ID",IF(COUNTIF('Share classes'!$B$4:$B$203,B4)=0,"Unknown class code",IF(C4="","Missing note",IF(COUNTIFS($A$4:$A$503,A4,$B$4:$B$503,B4)&gt;1,"Duplicate note","OK")))))</f>
        <v/>
      </c>
    </row>
    <row r="5">
      <c r="A5" s="26" t="n"/>
      <c r="B5" s="26" t="n"/>
      <c r="C5" s="26" t="n"/>
      <c r="D5" s="30">
        <f>IF(A5="","",IF(COUNTIF('Holders'!$A$4:$A$1003,A5)=0,"Unknown holder ID",IF(COUNTIF('Share classes'!$B$4:$B$203,B5)=0,"Unknown class code",IF(C5="","Missing note",IF(COUNTIFS($A$4:$A$503,A5,$B$4:$B$503,B5)&gt;1,"Duplicate note","OK")))))</f>
        <v/>
      </c>
    </row>
    <row r="6">
      <c r="A6" s="26" t="n"/>
      <c r="B6" s="26" t="n"/>
      <c r="C6" s="26" t="n"/>
      <c r="D6" s="30">
        <f>IF(A6="","",IF(COUNTIF('Holders'!$A$4:$A$1003,A6)=0,"Unknown holder ID",IF(COUNTIF('Share classes'!$B$4:$B$203,B6)=0,"Unknown class code",IF(C6="","Missing note",IF(COUNTIFS($A$4:$A$503,A6,$B$4:$B$503,B6)&gt;1,"Duplicate note","OK")))))</f>
        <v/>
      </c>
    </row>
    <row r="7">
      <c r="A7" s="26" t="n"/>
      <c r="B7" s="26" t="n"/>
      <c r="C7" s="26" t="n"/>
      <c r="D7" s="30">
        <f>IF(A7="","",IF(COUNTIF('Holders'!$A$4:$A$1003,A7)=0,"Unknown holder ID",IF(COUNTIF('Share classes'!$B$4:$B$203,B7)=0,"Unknown class code",IF(C7="","Missing note",IF(COUNTIFS($A$4:$A$503,A7,$B$4:$B$503,B7)&gt;1,"Duplicate note","OK")))))</f>
        <v/>
      </c>
    </row>
    <row r="8">
      <c r="A8" s="26" t="n"/>
      <c r="B8" s="26" t="n"/>
      <c r="C8" s="26" t="n"/>
      <c r="D8" s="30">
        <f>IF(A8="","",IF(COUNTIF('Holders'!$A$4:$A$1003,A8)=0,"Unknown holder ID",IF(COUNTIF('Share classes'!$B$4:$B$203,B8)=0,"Unknown class code",IF(C8="","Missing note",IF(COUNTIFS($A$4:$A$503,A8,$B$4:$B$503,B8)&gt;1,"Duplicate note","OK")))))</f>
        <v/>
      </c>
    </row>
    <row r="9">
      <c r="A9" s="26" t="n"/>
      <c r="B9" s="26" t="n"/>
      <c r="C9" s="26" t="n"/>
      <c r="D9" s="30">
        <f>IF(A9="","",IF(COUNTIF('Holders'!$A$4:$A$1003,A9)=0,"Unknown holder ID",IF(COUNTIF('Share classes'!$B$4:$B$203,B9)=0,"Unknown class code",IF(C9="","Missing note",IF(COUNTIFS($A$4:$A$503,A9,$B$4:$B$503,B9)&gt;1,"Duplicate note","OK")))))</f>
        <v/>
      </c>
    </row>
    <row r="10">
      <c r="A10" s="26" t="n"/>
      <c r="B10" s="26" t="n"/>
      <c r="C10" s="26" t="n"/>
      <c r="D10" s="30">
        <f>IF(A10="","",IF(COUNTIF('Holders'!$A$4:$A$1003,A10)=0,"Unknown holder ID",IF(COUNTIF('Share classes'!$B$4:$B$203,B10)=0,"Unknown class code",IF(C10="","Missing note",IF(COUNTIFS($A$4:$A$503,A10,$B$4:$B$503,B10)&gt;1,"Duplicate note","OK")))))</f>
        <v/>
      </c>
    </row>
    <row r="11">
      <c r="A11" s="26" t="n"/>
      <c r="B11" s="26" t="n"/>
      <c r="C11" s="26" t="n"/>
      <c r="D11" s="30">
        <f>IF(A11="","",IF(COUNTIF('Holders'!$A$4:$A$1003,A11)=0,"Unknown holder ID",IF(COUNTIF('Share classes'!$B$4:$B$203,B11)=0,"Unknown class code",IF(C11="","Missing note",IF(COUNTIFS($A$4:$A$503,A11,$B$4:$B$503,B11)&gt;1,"Duplicate note","OK")))))</f>
        <v/>
      </c>
    </row>
    <row r="12">
      <c r="A12" s="26" t="n"/>
      <c r="B12" s="26" t="n"/>
      <c r="C12" s="26" t="n"/>
      <c r="D12" s="30">
        <f>IF(A12="","",IF(COUNTIF('Holders'!$A$4:$A$1003,A12)=0,"Unknown holder ID",IF(COUNTIF('Share classes'!$B$4:$B$203,B12)=0,"Unknown class code",IF(C12="","Missing note",IF(COUNTIFS($A$4:$A$503,A12,$B$4:$B$503,B12)&gt;1,"Duplicate note","OK")))))</f>
        <v/>
      </c>
    </row>
    <row r="13">
      <c r="A13" s="26" t="n"/>
      <c r="B13" s="26" t="n"/>
      <c r="C13" s="26" t="n"/>
      <c r="D13" s="30">
        <f>IF(A13="","",IF(COUNTIF('Holders'!$A$4:$A$1003,A13)=0,"Unknown holder ID",IF(COUNTIF('Share classes'!$B$4:$B$203,B13)=0,"Unknown class code",IF(C13="","Missing note",IF(COUNTIFS($A$4:$A$503,A13,$B$4:$B$503,B13)&gt;1,"Duplicate note","OK")))))</f>
        <v/>
      </c>
    </row>
    <row r="14">
      <c r="A14" s="26" t="n"/>
      <c r="B14" s="26" t="n"/>
      <c r="C14" s="26" t="n"/>
      <c r="D14" s="30">
        <f>IF(A14="","",IF(COUNTIF('Holders'!$A$4:$A$1003,A14)=0,"Unknown holder ID",IF(COUNTIF('Share classes'!$B$4:$B$203,B14)=0,"Unknown class code",IF(C14="","Missing note",IF(COUNTIFS($A$4:$A$503,A14,$B$4:$B$503,B14)&gt;1,"Duplicate note","OK")))))</f>
        <v/>
      </c>
    </row>
    <row r="15">
      <c r="A15" s="26" t="n"/>
      <c r="B15" s="26" t="n"/>
      <c r="C15" s="26" t="n"/>
      <c r="D15" s="30">
        <f>IF(A15="","",IF(COUNTIF('Holders'!$A$4:$A$1003,A15)=0,"Unknown holder ID",IF(COUNTIF('Share classes'!$B$4:$B$203,B15)=0,"Unknown class code",IF(C15="","Missing note",IF(COUNTIFS($A$4:$A$503,A15,$B$4:$B$503,B15)&gt;1,"Duplicate note","OK")))))</f>
        <v/>
      </c>
    </row>
    <row r="16">
      <c r="A16" s="26" t="n"/>
      <c r="B16" s="26" t="n"/>
      <c r="C16" s="26" t="n"/>
      <c r="D16" s="30">
        <f>IF(A16="","",IF(COUNTIF('Holders'!$A$4:$A$1003,A16)=0,"Unknown holder ID",IF(COUNTIF('Share classes'!$B$4:$B$203,B16)=0,"Unknown class code",IF(C16="","Missing note",IF(COUNTIFS($A$4:$A$503,A16,$B$4:$B$503,B16)&gt;1,"Duplicate note","OK")))))</f>
        <v/>
      </c>
    </row>
    <row r="17">
      <c r="A17" s="26" t="n"/>
      <c r="B17" s="26" t="n"/>
      <c r="C17" s="26" t="n"/>
      <c r="D17" s="30">
        <f>IF(A17="","",IF(COUNTIF('Holders'!$A$4:$A$1003,A17)=0,"Unknown holder ID",IF(COUNTIF('Share classes'!$B$4:$B$203,B17)=0,"Unknown class code",IF(C17="","Missing note",IF(COUNTIFS($A$4:$A$503,A17,$B$4:$B$503,B17)&gt;1,"Duplicate note","OK")))))</f>
        <v/>
      </c>
    </row>
    <row r="18">
      <c r="A18" s="26" t="n"/>
      <c r="B18" s="26" t="n"/>
      <c r="C18" s="26" t="n"/>
      <c r="D18" s="30">
        <f>IF(A18="","",IF(COUNTIF('Holders'!$A$4:$A$1003,A18)=0,"Unknown holder ID",IF(COUNTIF('Share classes'!$B$4:$B$203,B18)=0,"Unknown class code",IF(C18="","Missing note",IF(COUNTIFS($A$4:$A$503,A18,$B$4:$B$503,B18)&gt;1,"Duplicate note","OK")))))</f>
        <v/>
      </c>
    </row>
    <row r="19">
      <c r="A19" s="26" t="n"/>
      <c r="B19" s="26" t="n"/>
      <c r="C19" s="26" t="n"/>
      <c r="D19" s="30">
        <f>IF(A19="","",IF(COUNTIF('Holders'!$A$4:$A$1003,A19)=0,"Unknown holder ID",IF(COUNTIF('Share classes'!$B$4:$B$203,B19)=0,"Unknown class code",IF(C19="","Missing note",IF(COUNTIFS($A$4:$A$503,A19,$B$4:$B$503,B19)&gt;1,"Duplicate note","OK")))))</f>
        <v/>
      </c>
    </row>
    <row r="20">
      <c r="A20" s="26" t="n"/>
      <c r="B20" s="26" t="n"/>
      <c r="C20" s="26" t="n"/>
      <c r="D20" s="30">
        <f>IF(A20="","",IF(COUNTIF('Holders'!$A$4:$A$1003,A20)=0,"Unknown holder ID",IF(COUNTIF('Share classes'!$B$4:$B$203,B20)=0,"Unknown class code",IF(C20="","Missing note",IF(COUNTIFS($A$4:$A$503,A20,$B$4:$B$503,B20)&gt;1,"Duplicate note","OK")))))</f>
        <v/>
      </c>
    </row>
    <row r="21">
      <c r="A21" s="26" t="n"/>
      <c r="B21" s="26" t="n"/>
      <c r="C21" s="26" t="n"/>
      <c r="D21" s="30">
        <f>IF(A21="","",IF(COUNTIF('Holders'!$A$4:$A$1003,A21)=0,"Unknown holder ID",IF(COUNTIF('Share classes'!$B$4:$B$203,B21)=0,"Unknown class code",IF(C21="","Missing note",IF(COUNTIFS($A$4:$A$503,A21,$B$4:$B$503,B21)&gt;1,"Duplicate note","OK")))))</f>
        <v/>
      </c>
    </row>
    <row r="22">
      <c r="A22" s="26" t="n"/>
      <c r="B22" s="26" t="n"/>
      <c r="C22" s="26" t="n"/>
      <c r="D22" s="30">
        <f>IF(A22="","",IF(COUNTIF('Holders'!$A$4:$A$1003,A22)=0,"Unknown holder ID",IF(COUNTIF('Share classes'!$B$4:$B$203,B22)=0,"Unknown class code",IF(C22="","Missing note",IF(COUNTIFS($A$4:$A$503,A22,$B$4:$B$503,B22)&gt;1,"Duplicate note","OK")))))</f>
        <v/>
      </c>
    </row>
    <row r="23">
      <c r="A23" s="26" t="n"/>
      <c r="B23" s="26" t="n"/>
      <c r="C23" s="26" t="n"/>
      <c r="D23" s="30">
        <f>IF(A23="","",IF(COUNTIF('Holders'!$A$4:$A$1003,A23)=0,"Unknown holder ID",IF(COUNTIF('Share classes'!$B$4:$B$203,B23)=0,"Unknown class code",IF(C23="","Missing note",IF(COUNTIFS($A$4:$A$503,A23,$B$4:$B$503,B23)&gt;1,"Duplicate note","OK")))))</f>
        <v/>
      </c>
    </row>
    <row r="24">
      <c r="A24" s="26" t="n"/>
      <c r="B24" s="26" t="n"/>
      <c r="C24" s="26" t="n"/>
      <c r="D24" s="30">
        <f>IF(A24="","",IF(COUNTIF('Holders'!$A$4:$A$1003,A24)=0,"Unknown holder ID",IF(COUNTIF('Share classes'!$B$4:$B$203,B24)=0,"Unknown class code",IF(C24="","Missing note",IF(COUNTIFS($A$4:$A$503,A24,$B$4:$B$503,B24)&gt;1,"Duplicate note","OK")))))</f>
        <v/>
      </c>
    </row>
    <row r="25">
      <c r="A25" s="26" t="n"/>
      <c r="B25" s="26" t="n"/>
      <c r="C25" s="26" t="n"/>
      <c r="D25" s="30">
        <f>IF(A25="","",IF(COUNTIF('Holders'!$A$4:$A$1003,A25)=0,"Unknown holder ID",IF(COUNTIF('Share classes'!$B$4:$B$203,B25)=0,"Unknown class code",IF(C25="","Missing note",IF(COUNTIFS($A$4:$A$503,A25,$B$4:$B$503,B25)&gt;1,"Duplicate note","OK")))))</f>
        <v/>
      </c>
    </row>
    <row r="26">
      <c r="A26" s="26" t="n"/>
      <c r="B26" s="26" t="n"/>
      <c r="C26" s="26" t="n"/>
      <c r="D26" s="30">
        <f>IF(A26="","",IF(COUNTIF('Holders'!$A$4:$A$1003,A26)=0,"Unknown holder ID",IF(COUNTIF('Share classes'!$B$4:$B$203,B26)=0,"Unknown class code",IF(C26="","Missing note",IF(COUNTIFS($A$4:$A$503,A26,$B$4:$B$503,B26)&gt;1,"Duplicate note","OK")))))</f>
        <v/>
      </c>
    </row>
    <row r="27">
      <c r="A27" s="26" t="n"/>
      <c r="B27" s="26" t="n"/>
      <c r="C27" s="26" t="n"/>
      <c r="D27" s="30">
        <f>IF(A27="","",IF(COUNTIF('Holders'!$A$4:$A$1003,A27)=0,"Unknown holder ID",IF(COUNTIF('Share classes'!$B$4:$B$203,B27)=0,"Unknown class code",IF(C27="","Missing note",IF(COUNTIFS($A$4:$A$503,A27,$B$4:$B$503,B27)&gt;1,"Duplicate note","OK")))))</f>
        <v/>
      </c>
    </row>
    <row r="28">
      <c r="A28" s="26" t="n"/>
      <c r="B28" s="26" t="n"/>
      <c r="C28" s="26" t="n"/>
      <c r="D28" s="30">
        <f>IF(A28="","",IF(COUNTIF('Holders'!$A$4:$A$1003,A28)=0,"Unknown holder ID",IF(COUNTIF('Share classes'!$B$4:$B$203,B28)=0,"Unknown class code",IF(C28="","Missing note",IF(COUNTIFS($A$4:$A$503,A28,$B$4:$B$503,B28)&gt;1,"Duplicate note","OK")))))</f>
        <v/>
      </c>
    </row>
    <row r="29">
      <c r="A29" s="26" t="n"/>
      <c r="B29" s="26" t="n"/>
      <c r="C29" s="26" t="n"/>
      <c r="D29" s="30">
        <f>IF(A29="","",IF(COUNTIF('Holders'!$A$4:$A$1003,A29)=0,"Unknown holder ID",IF(COUNTIF('Share classes'!$B$4:$B$203,B29)=0,"Unknown class code",IF(C29="","Missing note",IF(COUNTIFS($A$4:$A$503,A29,$B$4:$B$503,B29)&gt;1,"Duplicate note","OK")))))</f>
        <v/>
      </c>
    </row>
    <row r="30">
      <c r="A30" s="26" t="n"/>
      <c r="B30" s="26" t="n"/>
      <c r="C30" s="26" t="n"/>
      <c r="D30" s="30">
        <f>IF(A30="","",IF(COUNTIF('Holders'!$A$4:$A$1003,A30)=0,"Unknown holder ID",IF(COUNTIF('Share classes'!$B$4:$B$203,B30)=0,"Unknown class code",IF(C30="","Missing note",IF(COUNTIFS($A$4:$A$503,A30,$B$4:$B$503,B30)&gt;1,"Duplicate note","OK")))))</f>
        <v/>
      </c>
    </row>
    <row r="31">
      <c r="A31" s="26" t="n"/>
      <c r="B31" s="26" t="n"/>
      <c r="C31" s="26" t="n"/>
      <c r="D31" s="30">
        <f>IF(A31="","",IF(COUNTIF('Holders'!$A$4:$A$1003,A31)=0,"Unknown holder ID",IF(COUNTIF('Share classes'!$B$4:$B$203,B31)=0,"Unknown class code",IF(C31="","Missing note",IF(COUNTIFS($A$4:$A$503,A31,$B$4:$B$503,B31)&gt;1,"Duplicate note","OK")))))</f>
        <v/>
      </c>
    </row>
    <row r="32">
      <c r="A32" s="26" t="n"/>
      <c r="B32" s="26" t="n"/>
      <c r="C32" s="26" t="n"/>
      <c r="D32" s="30">
        <f>IF(A32="","",IF(COUNTIF('Holders'!$A$4:$A$1003,A32)=0,"Unknown holder ID",IF(COUNTIF('Share classes'!$B$4:$B$203,B32)=0,"Unknown class code",IF(C32="","Missing note",IF(COUNTIFS($A$4:$A$503,A32,$B$4:$B$503,B32)&gt;1,"Duplicate note","OK")))))</f>
        <v/>
      </c>
    </row>
    <row r="33">
      <c r="A33" s="26" t="n"/>
      <c r="B33" s="26" t="n"/>
      <c r="C33" s="26" t="n"/>
      <c r="D33" s="30">
        <f>IF(A33="","",IF(COUNTIF('Holders'!$A$4:$A$1003,A33)=0,"Unknown holder ID",IF(COUNTIF('Share classes'!$B$4:$B$203,B33)=0,"Unknown class code",IF(C33="","Missing note",IF(COUNTIFS($A$4:$A$503,A33,$B$4:$B$503,B33)&gt;1,"Duplicate note","OK")))))</f>
        <v/>
      </c>
    </row>
    <row r="34">
      <c r="A34" s="26" t="n"/>
      <c r="B34" s="26" t="n"/>
      <c r="C34" s="26" t="n"/>
      <c r="D34" s="30">
        <f>IF(A34="","",IF(COUNTIF('Holders'!$A$4:$A$1003,A34)=0,"Unknown holder ID",IF(COUNTIF('Share classes'!$B$4:$B$203,B34)=0,"Unknown class code",IF(C34="","Missing note",IF(COUNTIFS($A$4:$A$503,A34,$B$4:$B$503,B34)&gt;1,"Duplicate note","OK")))))</f>
        <v/>
      </c>
    </row>
    <row r="35">
      <c r="A35" s="26" t="n"/>
      <c r="B35" s="26" t="n"/>
      <c r="C35" s="26" t="n"/>
      <c r="D35" s="30">
        <f>IF(A35="","",IF(COUNTIF('Holders'!$A$4:$A$1003,A35)=0,"Unknown holder ID",IF(COUNTIF('Share classes'!$B$4:$B$203,B35)=0,"Unknown class code",IF(C35="","Missing note",IF(COUNTIFS($A$4:$A$503,A35,$B$4:$B$503,B35)&gt;1,"Duplicate note","OK")))))</f>
        <v/>
      </c>
    </row>
    <row r="36">
      <c r="A36" s="26" t="n"/>
      <c r="B36" s="26" t="n"/>
      <c r="C36" s="26" t="n"/>
      <c r="D36" s="30">
        <f>IF(A36="","",IF(COUNTIF('Holders'!$A$4:$A$1003,A36)=0,"Unknown holder ID",IF(COUNTIF('Share classes'!$B$4:$B$203,B36)=0,"Unknown class code",IF(C36="","Missing note",IF(COUNTIFS($A$4:$A$503,A36,$B$4:$B$503,B36)&gt;1,"Duplicate note","OK")))))</f>
        <v/>
      </c>
    </row>
    <row r="37">
      <c r="A37" s="26" t="n"/>
      <c r="B37" s="26" t="n"/>
      <c r="C37" s="26" t="n"/>
      <c r="D37" s="30">
        <f>IF(A37="","",IF(COUNTIF('Holders'!$A$4:$A$1003,A37)=0,"Unknown holder ID",IF(COUNTIF('Share classes'!$B$4:$B$203,B37)=0,"Unknown class code",IF(C37="","Missing note",IF(COUNTIFS($A$4:$A$503,A37,$B$4:$B$503,B37)&gt;1,"Duplicate note","OK")))))</f>
        <v/>
      </c>
    </row>
    <row r="38">
      <c r="A38" s="26" t="n"/>
      <c r="B38" s="26" t="n"/>
      <c r="C38" s="26" t="n"/>
      <c r="D38" s="30">
        <f>IF(A38="","",IF(COUNTIF('Holders'!$A$4:$A$1003,A38)=0,"Unknown holder ID",IF(COUNTIF('Share classes'!$B$4:$B$203,B38)=0,"Unknown class code",IF(C38="","Missing note",IF(COUNTIFS($A$4:$A$503,A38,$B$4:$B$503,B38)&gt;1,"Duplicate note","OK")))))</f>
        <v/>
      </c>
    </row>
    <row r="39">
      <c r="A39" s="26" t="n"/>
      <c r="B39" s="26" t="n"/>
      <c r="C39" s="26" t="n"/>
      <c r="D39" s="30">
        <f>IF(A39="","",IF(COUNTIF('Holders'!$A$4:$A$1003,A39)=0,"Unknown holder ID",IF(COUNTIF('Share classes'!$B$4:$B$203,B39)=0,"Unknown class code",IF(C39="","Missing note",IF(COUNTIFS($A$4:$A$503,A39,$B$4:$B$503,B39)&gt;1,"Duplicate note","OK")))))</f>
        <v/>
      </c>
    </row>
    <row r="40">
      <c r="A40" s="26" t="n"/>
      <c r="B40" s="26" t="n"/>
      <c r="C40" s="26" t="n"/>
      <c r="D40" s="30">
        <f>IF(A40="","",IF(COUNTIF('Holders'!$A$4:$A$1003,A40)=0,"Unknown holder ID",IF(COUNTIF('Share classes'!$B$4:$B$203,B40)=0,"Unknown class code",IF(C40="","Missing note",IF(COUNTIFS($A$4:$A$503,A40,$B$4:$B$503,B40)&gt;1,"Duplicate note","OK")))))</f>
        <v/>
      </c>
    </row>
    <row r="41">
      <c r="A41" s="26" t="n"/>
      <c r="B41" s="26" t="n"/>
      <c r="C41" s="26" t="n"/>
      <c r="D41" s="30">
        <f>IF(A41="","",IF(COUNTIF('Holders'!$A$4:$A$1003,A41)=0,"Unknown holder ID",IF(COUNTIF('Share classes'!$B$4:$B$203,B41)=0,"Unknown class code",IF(C41="","Missing note",IF(COUNTIFS($A$4:$A$503,A41,$B$4:$B$503,B41)&gt;1,"Duplicate note","OK")))))</f>
        <v/>
      </c>
    </row>
    <row r="42">
      <c r="A42" s="26" t="n"/>
      <c r="B42" s="26" t="n"/>
      <c r="C42" s="26" t="n"/>
      <c r="D42" s="30">
        <f>IF(A42="","",IF(COUNTIF('Holders'!$A$4:$A$1003,A42)=0,"Unknown holder ID",IF(COUNTIF('Share classes'!$B$4:$B$203,B42)=0,"Unknown class code",IF(C42="","Missing note",IF(COUNTIFS($A$4:$A$503,A42,$B$4:$B$503,B42)&gt;1,"Duplicate note","OK")))))</f>
        <v/>
      </c>
    </row>
    <row r="43">
      <c r="A43" s="26" t="n"/>
      <c r="B43" s="26" t="n"/>
      <c r="C43" s="26" t="n"/>
      <c r="D43" s="30">
        <f>IF(A43="","",IF(COUNTIF('Holders'!$A$4:$A$1003,A43)=0,"Unknown holder ID",IF(COUNTIF('Share classes'!$B$4:$B$203,B43)=0,"Unknown class code",IF(C43="","Missing note",IF(COUNTIFS($A$4:$A$503,A43,$B$4:$B$503,B43)&gt;1,"Duplicate note","OK")))))</f>
        <v/>
      </c>
    </row>
    <row r="44">
      <c r="A44" s="26" t="n"/>
      <c r="B44" s="26" t="n"/>
      <c r="C44" s="26" t="n"/>
      <c r="D44" s="30">
        <f>IF(A44="","",IF(COUNTIF('Holders'!$A$4:$A$1003,A44)=0,"Unknown holder ID",IF(COUNTIF('Share classes'!$B$4:$B$203,B44)=0,"Unknown class code",IF(C44="","Missing note",IF(COUNTIFS($A$4:$A$503,A44,$B$4:$B$503,B44)&gt;1,"Duplicate note","OK")))))</f>
        <v/>
      </c>
    </row>
    <row r="45">
      <c r="A45" s="26" t="n"/>
      <c r="B45" s="26" t="n"/>
      <c r="C45" s="26" t="n"/>
      <c r="D45" s="30">
        <f>IF(A45="","",IF(COUNTIF('Holders'!$A$4:$A$1003,A45)=0,"Unknown holder ID",IF(COUNTIF('Share classes'!$B$4:$B$203,B45)=0,"Unknown class code",IF(C45="","Missing note",IF(COUNTIFS($A$4:$A$503,A45,$B$4:$B$503,B45)&gt;1,"Duplicate note","OK")))))</f>
        <v/>
      </c>
    </row>
    <row r="46">
      <c r="A46" s="26" t="n"/>
      <c r="B46" s="26" t="n"/>
      <c r="C46" s="26" t="n"/>
      <c r="D46" s="30">
        <f>IF(A46="","",IF(COUNTIF('Holders'!$A$4:$A$1003,A46)=0,"Unknown holder ID",IF(COUNTIF('Share classes'!$B$4:$B$203,B46)=0,"Unknown class code",IF(C46="","Missing note",IF(COUNTIFS($A$4:$A$503,A46,$B$4:$B$503,B46)&gt;1,"Duplicate note","OK")))))</f>
        <v/>
      </c>
    </row>
    <row r="47">
      <c r="A47" s="26" t="n"/>
      <c r="B47" s="26" t="n"/>
      <c r="C47" s="26" t="n"/>
      <c r="D47" s="30">
        <f>IF(A47="","",IF(COUNTIF('Holders'!$A$4:$A$1003,A47)=0,"Unknown holder ID",IF(COUNTIF('Share classes'!$B$4:$B$203,B47)=0,"Unknown class code",IF(C47="","Missing note",IF(COUNTIFS($A$4:$A$503,A47,$B$4:$B$503,B47)&gt;1,"Duplicate note","OK")))))</f>
        <v/>
      </c>
    </row>
    <row r="48">
      <c r="A48" s="26" t="n"/>
      <c r="B48" s="26" t="n"/>
      <c r="C48" s="26" t="n"/>
      <c r="D48" s="30">
        <f>IF(A48="","",IF(COUNTIF('Holders'!$A$4:$A$1003,A48)=0,"Unknown holder ID",IF(COUNTIF('Share classes'!$B$4:$B$203,B48)=0,"Unknown class code",IF(C48="","Missing note",IF(COUNTIFS($A$4:$A$503,A48,$B$4:$B$503,B48)&gt;1,"Duplicate note","OK")))))</f>
        <v/>
      </c>
    </row>
    <row r="49">
      <c r="A49" s="26" t="n"/>
      <c r="B49" s="26" t="n"/>
      <c r="C49" s="26" t="n"/>
      <c r="D49" s="30">
        <f>IF(A49="","",IF(COUNTIF('Holders'!$A$4:$A$1003,A49)=0,"Unknown holder ID",IF(COUNTIF('Share classes'!$B$4:$B$203,B49)=0,"Unknown class code",IF(C49="","Missing note",IF(COUNTIFS($A$4:$A$503,A49,$B$4:$B$503,B49)&gt;1,"Duplicate note","OK")))))</f>
        <v/>
      </c>
    </row>
    <row r="50">
      <c r="A50" s="26" t="n"/>
      <c r="B50" s="26" t="n"/>
      <c r="C50" s="26" t="n"/>
      <c r="D50" s="30">
        <f>IF(A50="","",IF(COUNTIF('Holders'!$A$4:$A$1003,A50)=0,"Unknown holder ID",IF(COUNTIF('Share classes'!$B$4:$B$203,B50)=0,"Unknown class code",IF(C50="","Missing note",IF(COUNTIFS($A$4:$A$503,A50,$B$4:$B$503,B50)&gt;1,"Duplicate note","OK")))))</f>
        <v/>
      </c>
    </row>
    <row r="51">
      <c r="A51" s="26" t="n"/>
      <c r="B51" s="26" t="n"/>
      <c r="C51" s="26" t="n"/>
      <c r="D51" s="30">
        <f>IF(A51="","",IF(COUNTIF('Holders'!$A$4:$A$1003,A51)=0,"Unknown holder ID",IF(COUNTIF('Share classes'!$B$4:$B$203,B51)=0,"Unknown class code",IF(C51="","Missing note",IF(COUNTIFS($A$4:$A$503,A51,$B$4:$B$503,B51)&gt;1,"Duplicate note","OK")))))</f>
        <v/>
      </c>
    </row>
    <row r="52">
      <c r="A52" s="26" t="n"/>
      <c r="B52" s="26" t="n"/>
      <c r="C52" s="26" t="n"/>
      <c r="D52" s="30">
        <f>IF(A52="","",IF(COUNTIF('Holders'!$A$4:$A$1003,A52)=0,"Unknown holder ID",IF(COUNTIF('Share classes'!$B$4:$B$203,B52)=0,"Unknown class code",IF(C52="","Missing note",IF(COUNTIFS($A$4:$A$503,A52,$B$4:$B$503,B52)&gt;1,"Duplicate note","OK")))))</f>
        <v/>
      </c>
    </row>
    <row r="53">
      <c r="A53" s="26" t="n"/>
      <c r="B53" s="26" t="n"/>
      <c r="C53" s="26" t="n"/>
      <c r="D53" s="30">
        <f>IF(A53="","",IF(COUNTIF('Holders'!$A$4:$A$1003,A53)=0,"Unknown holder ID",IF(COUNTIF('Share classes'!$B$4:$B$203,B53)=0,"Unknown class code",IF(C53="","Missing note",IF(COUNTIFS($A$4:$A$503,A53,$B$4:$B$503,B53)&gt;1,"Duplicate note","OK")))))</f>
        <v/>
      </c>
    </row>
    <row r="54">
      <c r="A54" s="26" t="n"/>
      <c r="B54" s="26" t="n"/>
      <c r="C54" s="26" t="n"/>
      <c r="D54" s="30">
        <f>IF(A54="","",IF(COUNTIF('Holders'!$A$4:$A$1003,A54)=0,"Unknown holder ID",IF(COUNTIF('Share classes'!$B$4:$B$203,B54)=0,"Unknown class code",IF(C54="","Missing note",IF(COUNTIFS($A$4:$A$503,A54,$B$4:$B$503,B54)&gt;1,"Duplicate note","OK")))))</f>
        <v/>
      </c>
    </row>
    <row r="55">
      <c r="A55" s="26" t="n"/>
      <c r="B55" s="26" t="n"/>
      <c r="C55" s="26" t="n"/>
      <c r="D55" s="30">
        <f>IF(A55="","",IF(COUNTIF('Holders'!$A$4:$A$1003,A55)=0,"Unknown holder ID",IF(COUNTIF('Share classes'!$B$4:$B$203,B55)=0,"Unknown class code",IF(C55="","Missing note",IF(COUNTIFS($A$4:$A$503,A55,$B$4:$B$503,B55)&gt;1,"Duplicate note","OK")))))</f>
        <v/>
      </c>
    </row>
    <row r="56">
      <c r="A56" s="26" t="n"/>
      <c r="B56" s="26" t="n"/>
      <c r="C56" s="26" t="n"/>
      <c r="D56" s="30">
        <f>IF(A56="","",IF(COUNTIF('Holders'!$A$4:$A$1003,A56)=0,"Unknown holder ID",IF(COUNTIF('Share classes'!$B$4:$B$203,B56)=0,"Unknown class code",IF(C56="","Missing note",IF(COUNTIFS($A$4:$A$503,A56,$B$4:$B$503,B56)&gt;1,"Duplicate note","OK")))))</f>
        <v/>
      </c>
    </row>
    <row r="57">
      <c r="A57" s="26" t="n"/>
      <c r="B57" s="26" t="n"/>
      <c r="C57" s="26" t="n"/>
      <c r="D57" s="30">
        <f>IF(A57="","",IF(COUNTIF('Holders'!$A$4:$A$1003,A57)=0,"Unknown holder ID",IF(COUNTIF('Share classes'!$B$4:$B$203,B57)=0,"Unknown class code",IF(C57="","Missing note",IF(COUNTIFS($A$4:$A$503,A57,$B$4:$B$503,B57)&gt;1,"Duplicate note","OK")))))</f>
        <v/>
      </c>
    </row>
    <row r="58">
      <c r="A58" s="26" t="n"/>
      <c r="B58" s="26" t="n"/>
      <c r="C58" s="26" t="n"/>
      <c r="D58" s="30">
        <f>IF(A58="","",IF(COUNTIF('Holders'!$A$4:$A$1003,A58)=0,"Unknown holder ID",IF(COUNTIF('Share classes'!$B$4:$B$203,B58)=0,"Unknown class code",IF(C58="","Missing note",IF(COUNTIFS($A$4:$A$503,A58,$B$4:$B$503,B58)&gt;1,"Duplicate note","OK")))))</f>
        <v/>
      </c>
    </row>
    <row r="59">
      <c r="A59" s="26" t="n"/>
      <c r="B59" s="26" t="n"/>
      <c r="C59" s="26" t="n"/>
      <c r="D59" s="30">
        <f>IF(A59="","",IF(COUNTIF('Holders'!$A$4:$A$1003,A59)=0,"Unknown holder ID",IF(COUNTIF('Share classes'!$B$4:$B$203,B59)=0,"Unknown class code",IF(C59="","Missing note",IF(COUNTIFS($A$4:$A$503,A59,$B$4:$B$503,B59)&gt;1,"Duplicate note","OK")))))</f>
        <v/>
      </c>
    </row>
    <row r="60">
      <c r="A60" s="26" t="n"/>
      <c r="B60" s="26" t="n"/>
      <c r="C60" s="26" t="n"/>
      <c r="D60" s="30">
        <f>IF(A60="","",IF(COUNTIF('Holders'!$A$4:$A$1003,A60)=0,"Unknown holder ID",IF(COUNTIF('Share classes'!$B$4:$B$203,B60)=0,"Unknown class code",IF(C60="","Missing note",IF(COUNTIFS($A$4:$A$503,A60,$B$4:$B$503,B60)&gt;1,"Duplicate note","OK")))))</f>
        <v/>
      </c>
    </row>
    <row r="61">
      <c r="A61" s="26" t="n"/>
      <c r="B61" s="26" t="n"/>
      <c r="C61" s="26" t="n"/>
      <c r="D61" s="30">
        <f>IF(A61="","",IF(COUNTIF('Holders'!$A$4:$A$1003,A61)=0,"Unknown holder ID",IF(COUNTIF('Share classes'!$B$4:$B$203,B61)=0,"Unknown class code",IF(C61="","Missing note",IF(COUNTIFS($A$4:$A$503,A61,$B$4:$B$503,B61)&gt;1,"Duplicate note","OK")))))</f>
        <v/>
      </c>
    </row>
    <row r="62">
      <c r="A62" s="26" t="n"/>
      <c r="B62" s="26" t="n"/>
      <c r="C62" s="26" t="n"/>
      <c r="D62" s="30">
        <f>IF(A62="","",IF(COUNTIF('Holders'!$A$4:$A$1003,A62)=0,"Unknown holder ID",IF(COUNTIF('Share classes'!$B$4:$B$203,B62)=0,"Unknown class code",IF(C62="","Missing note",IF(COUNTIFS($A$4:$A$503,A62,$B$4:$B$503,B62)&gt;1,"Duplicate note","OK")))))</f>
        <v/>
      </c>
    </row>
    <row r="63">
      <c r="A63" s="26" t="n"/>
      <c r="B63" s="26" t="n"/>
      <c r="C63" s="26" t="n"/>
      <c r="D63" s="30">
        <f>IF(A63="","",IF(COUNTIF('Holders'!$A$4:$A$1003,A63)=0,"Unknown holder ID",IF(COUNTIF('Share classes'!$B$4:$B$203,B63)=0,"Unknown class code",IF(C63="","Missing note",IF(COUNTIFS($A$4:$A$503,A63,$B$4:$B$503,B63)&gt;1,"Duplicate note","OK")))))</f>
        <v/>
      </c>
    </row>
    <row r="64">
      <c r="A64" s="26" t="n"/>
      <c r="B64" s="26" t="n"/>
      <c r="C64" s="26" t="n"/>
      <c r="D64" s="30">
        <f>IF(A64="","",IF(COUNTIF('Holders'!$A$4:$A$1003,A64)=0,"Unknown holder ID",IF(COUNTIF('Share classes'!$B$4:$B$203,B64)=0,"Unknown class code",IF(C64="","Missing note",IF(COUNTIFS($A$4:$A$503,A64,$B$4:$B$503,B64)&gt;1,"Duplicate note","OK")))))</f>
        <v/>
      </c>
    </row>
    <row r="65">
      <c r="A65" s="26" t="n"/>
      <c r="B65" s="26" t="n"/>
      <c r="C65" s="26" t="n"/>
      <c r="D65" s="30">
        <f>IF(A65="","",IF(COUNTIF('Holders'!$A$4:$A$1003,A65)=0,"Unknown holder ID",IF(COUNTIF('Share classes'!$B$4:$B$203,B65)=0,"Unknown class code",IF(C65="","Missing note",IF(COUNTIFS($A$4:$A$503,A65,$B$4:$B$503,B65)&gt;1,"Duplicate note","OK")))))</f>
        <v/>
      </c>
    </row>
    <row r="66">
      <c r="A66" s="26" t="n"/>
      <c r="B66" s="26" t="n"/>
      <c r="C66" s="26" t="n"/>
      <c r="D66" s="30">
        <f>IF(A66="","",IF(COUNTIF('Holders'!$A$4:$A$1003,A66)=0,"Unknown holder ID",IF(COUNTIF('Share classes'!$B$4:$B$203,B66)=0,"Unknown class code",IF(C66="","Missing note",IF(COUNTIFS($A$4:$A$503,A66,$B$4:$B$503,B66)&gt;1,"Duplicate note","OK")))))</f>
        <v/>
      </c>
    </row>
    <row r="67">
      <c r="A67" s="26" t="n"/>
      <c r="B67" s="26" t="n"/>
      <c r="C67" s="26" t="n"/>
      <c r="D67" s="30">
        <f>IF(A67="","",IF(COUNTIF('Holders'!$A$4:$A$1003,A67)=0,"Unknown holder ID",IF(COUNTIF('Share classes'!$B$4:$B$203,B67)=0,"Unknown class code",IF(C67="","Missing note",IF(COUNTIFS($A$4:$A$503,A67,$B$4:$B$503,B67)&gt;1,"Duplicate note","OK")))))</f>
        <v/>
      </c>
    </row>
    <row r="68">
      <c r="A68" s="26" t="n"/>
      <c r="B68" s="26" t="n"/>
      <c r="C68" s="26" t="n"/>
      <c r="D68" s="30">
        <f>IF(A68="","",IF(COUNTIF('Holders'!$A$4:$A$1003,A68)=0,"Unknown holder ID",IF(COUNTIF('Share classes'!$B$4:$B$203,B68)=0,"Unknown class code",IF(C68="","Missing note",IF(COUNTIFS($A$4:$A$503,A68,$B$4:$B$503,B68)&gt;1,"Duplicate note","OK")))))</f>
        <v/>
      </c>
    </row>
    <row r="69">
      <c r="A69" s="26" t="n"/>
      <c r="B69" s="26" t="n"/>
      <c r="C69" s="26" t="n"/>
      <c r="D69" s="30">
        <f>IF(A69="","",IF(COUNTIF('Holders'!$A$4:$A$1003,A69)=0,"Unknown holder ID",IF(COUNTIF('Share classes'!$B$4:$B$203,B69)=0,"Unknown class code",IF(C69="","Missing note",IF(COUNTIFS($A$4:$A$503,A69,$B$4:$B$503,B69)&gt;1,"Duplicate note","OK")))))</f>
        <v/>
      </c>
    </row>
    <row r="70">
      <c r="A70" s="26" t="n"/>
      <c r="B70" s="26" t="n"/>
      <c r="C70" s="26" t="n"/>
      <c r="D70" s="30">
        <f>IF(A70="","",IF(COUNTIF('Holders'!$A$4:$A$1003,A70)=0,"Unknown holder ID",IF(COUNTIF('Share classes'!$B$4:$B$203,B70)=0,"Unknown class code",IF(C70="","Missing note",IF(COUNTIFS($A$4:$A$503,A70,$B$4:$B$503,B70)&gt;1,"Duplicate note","OK")))))</f>
        <v/>
      </c>
    </row>
    <row r="71">
      <c r="A71" s="26" t="n"/>
      <c r="B71" s="26" t="n"/>
      <c r="C71" s="26" t="n"/>
      <c r="D71" s="30">
        <f>IF(A71="","",IF(COUNTIF('Holders'!$A$4:$A$1003,A71)=0,"Unknown holder ID",IF(COUNTIF('Share classes'!$B$4:$B$203,B71)=0,"Unknown class code",IF(C71="","Missing note",IF(COUNTIFS($A$4:$A$503,A71,$B$4:$B$503,B71)&gt;1,"Duplicate note","OK")))))</f>
        <v/>
      </c>
    </row>
    <row r="72">
      <c r="A72" s="26" t="n"/>
      <c r="B72" s="26" t="n"/>
      <c r="C72" s="26" t="n"/>
      <c r="D72" s="30">
        <f>IF(A72="","",IF(COUNTIF('Holders'!$A$4:$A$1003,A72)=0,"Unknown holder ID",IF(COUNTIF('Share classes'!$B$4:$B$203,B72)=0,"Unknown class code",IF(C72="","Missing note",IF(COUNTIFS($A$4:$A$503,A72,$B$4:$B$503,B72)&gt;1,"Duplicate note","OK")))))</f>
        <v/>
      </c>
    </row>
    <row r="73">
      <c r="A73" s="26" t="n"/>
      <c r="B73" s="26" t="n"/>
      <c r="C73" s="26" t="n"/>
      <c r="D73" s="30">
        <f>IF(A73="","",IF(COUNTIF('Holders'!$A$4:$A$1003,A73)=0,"Unknown holder ID",IF(COUNTIF('Share classes'!$B$4:$B$203,B73)=0,"Unknown class code",IF(C73="","Missing note",IF(COUNTIFS($A$4:$A$503,A73,$B$4:$B$503,B73)&gt;1,"Duplicate note","OK")))))</f>
        <v/>
      </c>
    </row>
    <row r="74">
      <c r="A74" s="26" t="n"/>
      <c r="B74" s="26" t="n"/>
      <c r="C74" s="26" t="n"/>
      <c r="D74" s="30">
        <f>IF(A74="","",IF(COUNTIF('Holders'!$A$4:$A$1003,A74)=0,"Unknown holder ID",IF(COUNTIF('Share classes'!$B$4:$B$203,B74)=0,"Unknown class code",IF(C74="","Missing note",IF(COUNTIFS($A$4:$A$503,A74,$B$4:$B$503,B74)&gt;1,"Duplicate note","OK")))))</f>
        <v/>
      </c>
    </row>
    <row r="75">
      <c r="A75" s="26" t="n"/>
      <c r="B75" s="26" t="n"/>
      <c r="C75" s="26" t="n"/>
      <c r="D75" s="30">
        <f>IF(A75="","",IF(COUNTIF('Holders'!$A$4:$A$1003,A75)=0,"Unknown holder ID",IF(COUNTIF('Share classes'!$B$4:$B$203,B75)=0,"Unknown class code",IF(C75="","Missing note",IF(COUNTIFS($A$4:$A$503,A75,$B$4:$B$503,B75)&gt;1,"Duplicate note","OK")))))</f>
        <v/>
      </c>
    </row>
    <row r="76">
      <c r="A76" s="26" t="n"/>
      <c r="B76" s="26" t="n"/>
      <c r="C76" s="26" t="n"/>
      <c r="D76" s="30">
        <f>IF(A76="","",IF(COUNTIF('Holders'!$A$4:$A$1003,A76)=0,"Unknown holder ID",IF(COUNTIF('Share classes'!$B$4:$B$203,B76)=0,"Unknown class code",IF(C76="","Missing note",IF(COUNTIFS($A$4:$A$503,A76,$B$4:$B$503,B76)&gt;1,"Duplicate note","OK")))))</f>
        <v/>
      </c>
    </row>
    <row r="77">
      <c r="A77" s="26" t="n"/>
      <c r="B77" s="26" t="n"/>
      <c r="C77" s="26" t="n"/>
      <c r="D77" s="30">
        <f>IF(A77="","",IF(COUNTIF('Holders'!$A$4:$A$1003,A77)=0,"Unknown holder ID",IF(COUNTIF('Share classes'!$B$4:$B$203,B77)=0,"Unknown class code",IF(C77="","Missing note",IF(COUNTIFS($A$4:$A$503,A77,$B$4:$B$503,B77)&gt;1,"Duplicate note","OK")))))</f>
        <v/>
      </c>
    </row>
    <row r="78">
      <c r="A78" s="26" t="n"/>
      <c r="B78" s="26" t="n"/>
      <c r="C78" s="26" t="n"/>
      <c r="D78" s="30">
        <f>IF(A78="","",IF(COUNTIF('Holders'!$A$4:$A$1003,A78)=0,"Unknown holder ID",IF(COUNTIF('Share classes'!$B$4:$B$203,B78)=0,"Unknown class code",IF(C78="","Missing note",IF(COUNTIFS($A$4:$A$503,A78,$B$4:$B$503,B78)&gt;1,"Duplicate note","OK")))))</f>
        <v/>
      </c>
    </row>
    <row r="79">
      <c r="A79" s="26" t="n"/>
      <c r="B79" s="26" t="n"/>
      <c r="C79" s="26" t="n"/>
      <c r="D79" s="30">
        <f>IF(A79="","",IF(COUNTIF('Holders'!$A$4:$A$1003,A79)=0,"Unknown holder ID",IF(COUNTIF('Share classes'!$B$4:$B$203,B79)=0,"Unknown class code",IF(C79="","Missing note",IF(COUNTIFS($A$4:$A$503,A79,$B$4:$B$503,B79)&gt;1,"Duplicate note","OK")))))</f>
        <v/>
      </c>
    </row>
    <row r="80">
      <c r="A80" s="26" t="n"/>
      <c r="B80" s="26" t="n"/>
      <c r="C80" s="26" t="n"/>
      <c r="D80" s="30">
        <f>IF(A80="","",IF(COUNTIF('Holders'!$A$4:$A$1003,A80)=0,"Unknown holder ID",IF(COUNTIF('Share classes'!$B$4:$B$203,B80)=0,"Unknown class code",IF(C80="","Missing note",IF(COUNTIFS($A$4:$A$503,A80,$B$4:$B$503,B80)&gt;1,"Duplicate note","OK")))))</f>
        <v/>
      </c>
    </row>
    <row r="81">
      <c r="A81" s="26" t="n"/>
      <c r="B81" s="26" t="n"/>
      <c r="C81" s="26" t="n"/>
      <c r="D81" s="30">
        <f>IF(A81="","",IF(COUNTIF('Holders'!$A$4:$A$1003,A81)=0,"Unknown holder ID",IF(COUNTIF('Share classes'!$B$4:$B$203,B81)=0,"Unknown class code",IF(C81="","Missing note",IF(COUNTIFS($A$4:$A$503,A81,$B$4:$B$503,B81)&gt;1,"Duplicate note","OK")))))</f>
        <v/>
      </c>
    </row>
    <row r="82">
      <c r="A82" s="26" t="n"/>
      <c r="B82" s="26" t="n"/>
      <c r="C82" s="26" t="n"/>
      <c r="D82" s="30">
        <f>IF(A82="","",IF(COUNTIF('Holders'!$A$4:$A$1003,A82)=0,"Unknown holder ID",IF(COUNTIF('Share classes'!$B$4:$B$203,B82)=0,"Unknown class code",IF(C82="","Missing note",IF(COUNTIFS($A$4:$A$503,A82,$B$4:$B$503,B82)&gt;1,"Duplicate note","OK")))))</f>
        <v/>
      </c>
    </row>
    <row r="83">
      <c r="A83" s="26" t="n"/>
      <c r="B83" s="26" t="n"/>
      <c r="C83" s="26" t="n"/>
      <c r="D83" s="30">
        <f>IF(A83="","",IF(COUNTIF('Holders'!$A$4:$A$1003,A83)=0,"Unknown holder ID",IF(COUNTIF('Share classes'!$B$4:$B$203,B83)=0,"Unknown class code",IF(C83="","Missing note",IF(COUNTIFS($A$4:$A$503,A83,$B$4:$B$503,B83)&gt;1,"Duplicate note","OK")))))</f>
        <v/>
      </c>
    </row>
    <row r="84">
      <c r="A84" s="26" t="n"/>
      <c r="B84" s="26" t="n"/>
      <c r="C84" s="26" t="n"/>
      <c r="D84" s="30">
        <f>IF(A84="","",IF(COUNTIF('Holders'!$A$4:$A$1003,A84)=0,"Unknown holder ID",IF(COUNTIF('Share classes'!$B$4:$B$203,B84)=0,"Unknown class code",IF(C84="","Missing note",IF(COUNTIFS($A$4:$A$503,A84,$B$4:$B$503,B84)&gt;1,"Duplicate note","OK")))))</f>
        <v/>
      </c>
    </row>
    <row r="85">
      <c r="A85" s="26" t="n"/>
      <c r="B85" s="26" t="n"/>
      <c r="C85" s="26" t="n"/>
      <c r="D85" s="30">
        <f>IF(A85="","",IF(COUNTIF('Holders'!$A$4:$A$1003,A85)=0,"Unknown holder ID",IF(COUNTIF('Share classes'!$B$4:$B$203,B85)=0,"Unknown class code",IF(C85="","Missing note",IF(COUNTIFS($A$4:$A$503,A85,$B$4:$B$503,B85)&gt;1,"Duplicate note","OK")))))</f>
        <v/>
      </c>
    </row>
    <row r="86">
      <c r="A86" s="26" t="n"/>
      <c r="B86" s="26" t="n"/>
      <c r="C86" s="26" t="n"/>
      <c r="D86" s="30">
        <f>IF(A86="","",IF(COUNTIF('Holders'!$A$4:$A$1003,A86)=0,"Unknown holder ID",IF(COUNTIF('Share classes'!$B$4:$B$203,B86)=0,"Unknown class code",IF(C86="","Missing note",IF(COUNTIFS($A$4:$A$503,A86,$B$4:$B$503,B86)&gt;1,"Duplicate note","OK")))))</f>
        <v/>
      </c>
    </row>
    <row r="87">
      <c r="A87" s="26" t="n"/>
      <c r="B87" s="26" t="n"/>
      <c r="C87" s="26" t="n"/>
      <c r="D87" s="30">
        <f>IF(A87="","",IF(COUNTIF('Holders'!$A$4:$A$1003,A87)=0,"Unknown holder ID",IF(COUNTIF('Share classes'!$B$4:$B$203,B87)=0,"Unknown class code",IF(C87="","Missing note",IF(COUNTIFS($A$4:$A$503,A87,$B$4:$B$503,B87)&gt;1,"Duplicate note","OK")))))</f>
        <v/>
      </c>
    </row>
    <row r="88">
      <c r="A88" s="26" t="n"/>
      <c r="B88" s="26" t="n"/>
      <c r="C88" s="26" t="n"/>
      <c r="D88" s="30">
        <f>IF(A88="","",IF(COUNTIF('Holders'!$A$4:$A$1003,A88)=0,"Unknown holder ID",IF(COUNTIF('Share classes'!$B$4:$B$203,B88)=0,"Unknown class code",IF(C88="","Missing note",IF(COUNTIFS($A$4:$A$503,A88,$B$4:$B$503,B88)&gt;1,"Duplicate note","OK")))))</f>
        <v/>
      </c>
    </row>
    <row r="89">
      <c r="A89" s="26" t="n"/>
      <c r="B89" s="26" t="n"/>
      <c r="C89" s="26" t="n"/>
      <c r="D89" s="30">
        <f>IF(A89="","",IF(COUNTIF('Holders'!$A$4:$A$1003,A89)=0,"Unknown holder ID",IF(COUNTIF('Share classes'!$B$4:$B$203,B89)=0,"Unknown class code",IF(C89="","Missing note",IF(COUNTIFS($A$4:$A$503,A89,$B$4:$B$503,B89)&gt;1,"Duplicate note","OK")))))</f>
        <v/>
      </c>
    </row>
    <row r="90">
      <c r="A90" s="26" t="n"/>
      <c r="B90" s="26" t="n"/>
      <c r="C90" s="26" t="n"/>
      <c r="D90" s="30">
        <f>IF(A90="","",IF(COUNTIF('Holders'!$A$4:$A$1003,A90)=0,"Unknown holder ID",IF(COUNTIF('Share classes'!$B$4:$B$203,B90)=0,"Unknown class code",IF(C90="","Missing note",IF(COUNTIFS($A$4:$A$503,A90,$B$4:$B$503,B90)&gt;1,"Duplicate note","OK")))))</f>
        <v/>
      </c>
    </row>
    <row r="91">
      <c r="A91" s="26" t="n"/>
      <c r="B91" s="26" t="n"/>
      <c r="C91" s="26" t="n"/>
      <c r="D91" s="30">
        <f>IF(A91="","",IF(COUNTIF('Holders'!$A$4:$A$1003,A91)=0,"Unknown holder ID",IF(COUNTIF('Share classes'!$B$4:$B$203,B91)=0,"Unknown class code",IF(C91="","Missing note",IF(COUNTIFS($A$4:$A$503,A91,$B$4:$B$503,B91)&gt;1,"Duplicate note","OK")))))</f>
        <v/>
      </c>
    </row>
    <row r="92">
      <c r="A92" s="26" t="n"/>
      <c r="B92" s="26" t="n"/>
      <c r="C92" s="26" t="n"/>
      <c r="D92" s="30">
        <f>IF(A92="","",IF(COUNTIF('Holders'!$A$4:$A$1003,A92)=0,"Unknown holder ID",IF(COUNTIF('Share classes'!$B$4:$B$203,B92)=0,"Unknown class code",IF(C92="","Missing note",IF(COUNTIFS($A$4:$A$503,A92,$B$4:$B$503,B92)&gt;1,"Duplicate note","OK")))))</f>
        <v/>
      </c>
    </row>
    <row r="93">
      <c r="A93" s="26" t="n"/>
      <c r="B93" s="26" t="n"/>
      <c r="C93" s="26" t="n"/>
      <c r="D93" s="30">
        <f>IF(A93="","",IF(COUNTIF('Holders'!$A$4:$A$1003,A93)=0,"Unknown holder ID",IF(COUNTIF('Share classes'!$B$4:$B$203,B93)=0,"Unknown class code",IF(C93="","Missing note",IF(COUNTIFS($A$4:$A$503,A93,$B$4:$B$503,B93)&gt;1,"Duplicate note","OK")))))</f>
        <v/>
      </c>
    </row>
    <row r="94">
      <c r="A94" s="26" t="n"/>
      <c r="B94" s="26" t="n"/>
      <c r="C94" s="26" t="n"/>
      <c r="D94" s="30">
        <f>IF(A94="","",IF(COUNTIF('Holders'!$A$4:$A$1003,A94)=0,"Unknown holder ID",IF(COUNTIF('Share classes'!$B$4:$B$203,B94)=0,"Unknown class code",IF(C94="","Missing note",IF(COUNTIFS($A$4:$A$503,A94,$B$4:$B$503,B94)&gt;1,"Duplicate note","OK")))))</f>
        <v/>
      </c>
    </row>
    <row r="95">
      <c r="A95" s="26" t="n"/>
      <c r="B95" s="26" t="n"/>
      <c r="C95" s="26" t="n"/>
      <c r="D95" s="30">
        <f>IF(A95="","",IF(COUNTIF('Holders'!$A$4:$A$1003,A95)=0,"Unknown holder ID",IF(COUNTIF('Share classes'!$B$4:$B$203,B95)=0,"Unknown class code",IF(C95="","Missing note",IF(COUNTIFS($A$4:$A$503,A95,$B$4:$B$503,B95)&gt;1,"Duplicate note","OK")))))</f>
        <v/>
      </c>
    </row>
    <row r="96">
      <c r="A96" s="26" t="n"/>
      <c r="B96" s="26" t="n"/>
      <c r="C96" s="26" t="n"/>
      <c r="D96" s="30">
        <f>IF(A96="","",IF(COUNTIF('Holders'!$A$4:$A$1003,A96)=0,"Unknown holder ID",IF(COUNTIF('Share classes'!$B$4:$B$203,B96)=0,"Unknown class code",IF(C96="","Missing note",IF(COUNTIFS($A$4:$A$503,A96,$B$4:$B$503,B96)&gt;1,"Duplicate note","OK")))))</f>
        <v/>
      </c>
    </row>
    <row r="97">
      <c r="A97" s="26" t="n"/>
      <c r="B97" s="26" t="n"/>
      <c r="C97" s="26" t="n"/>
      <c r="D97" s="30">
        <f>IF(A97="","",IF(COUNTIF('Holders'!$A$4:$A$1003,A97)=0,"Unknown holder ID",IF(COUNTIF('Share classes'!$B$4:$B$203,B97)=0,"Unknown class code",IF(C97="","Missing note",IF(COUNTIFS($A$4:$A$503,A97,$B$4:$B$503,B97)&gt;1,"Duplicate note","OK")))))</f>
        <v/>
      </c>
    </row>
    <row r="98">
      <c r="A98" s="26" t="n"/>
      <c r="B98" s="26" t="n"/>
      <c r="C98" s="26" t="n"/>
      <c r="D98" s="30">
        <f>IF(A98="","",IF(COUNTIF('Holders'!$A$4:$A$1003,A98)=0,"Unknown holder ID",IF(COUNTIF('Share classes'!$B$4:$B$203,B98)=0,"Unknown class code",IF(C98="","Missing note",IF(COUNTIFS($A$4:$A$503,A98,$B$4:$B$503,B98)&gt;1,"Duplicate note","OK")))))</f>
        <v/>
      </c>
    </row>
    <row r="99">
      <c r="A99" s="26" t="n"/>
      <c r="B99" s="26" t="n"/>
      <c r="C99" s="26" t="n"/>
      <c r="D99" s="30">
        <f>IF(A99="","",IF(COUNTIF('Holders'!$A$4:$A$1003,A99)=0,"Unknown holder ID",IF(COUNTIF('Share classes'!$B$4:$B$203,B99)=0,"Unknown class code",IF(C99="","Missing note",IF(COUNTIFS($A$4:$A$503,A99,$B$4:$B$503,B99)&gt;1,"Duplicate note","OK")))))</f>
        <v/>
      </c>
    </row>
    <row r="100">
      <c r="A100" s="26" t="n"/>
      <c r="B100" s="26" t="n"/>
      <c r="C100" s="26" t="n"/>
      <c r="D100" s="30">
        <f>IF(A100="","",IF(COUNTIF('Holders'!$A$4:$A$1003,A100)=0,"Unknown holder ID",IF(COUNTIF('Share classes'!$B$4:$B$203,B100)=0,"Unknown class code",IF(C100="","Missing note",IF(COUNTIFS($A$4:$A$503,A100,$B$4:$B$503,B100)&gt;1,"Duplicate note","OK")))))</f>
        <v/>
      </c>
    </row>
    <row r="101">
      <c r="A101" s="26" t="n"/>
      <c r="B101" s="26" t="n"/>
      <c r="C101" s="26" t="n"/>
      <c r="D101" s="30">
        <f>IF(A101="","",IF(COUNTIF('Holders'!$A$4:$A$1003,A101)=0,"Unknown holder ID",IF(COUNTIF('Share classes'!$B$4:$B$203,B101)=0,"Unknown class code",IF(C101="","Missing note",IF(COUNTIFS($A$4:$A$503,A101,$B$4:$B$503,B101)&gt;1,"Duplicate note","OK")))))</f>
        <v/>
      </c>
    </row>
    <row r="102">
      <c r="A102" s="26" t="n"/>
      <c r="B102" s="26" t="n"/>
      <c r="C102" s="26" t="n"/>
      <c r="D102" s="30">
        <f>IF(A102="","",IF(COUNTIF('Holders'!$A$4:$A$1003,A102)=0,"Unknown holder ID",IF(COUNTIF('Share classes'!$B$4:$B$203,B102)=0,"Unknown class code",IF(C102="","Missing note",IF(COUNTIFS($A$4:$A$503,A102,$B$4:$B$503,B102)&gt;1,"Duplicate note","OK")))))</f>
        <v/>
      </c>
    </row>
    <row r="103">
      <c r="A103" s="26" t="n"/>
      <c r="B103" s="26" t="n"/>
      <c r="C103" s="26" t="n"/>
      <c r="D103" s="30">
        <f>IF(A103="","",IF(COUNTIF('Holders'!$A$4:$A$1003,A103)=0,"Unknown holder ID",IF(COUNTIF('Share classes'!$B$4:$B$203,B103)=0,"Unknown class code",IF(C103="","Missing note",IF(COUNTIFS($A$4:$A$503,A103,$B$4:$B$503,B103)&gt;1,"Duplicate note","OK")))))</f>
        <v/>
      </c>
    </row>
    <row r="104">
      <c r="A104" s="26" t="n"/>
      <c r="B104" s="26" t="n"/>
      <c r="C104" s="26" t="n"/>
      <c r="D104" s="30">
        <f>IF(A104="","",IF(COUNTIF('Holders'!$A$4:$A$1003,A104)=0,"Unknown holder ID",IF(COUNTIF('Share classes'!$B$4:$B$203,B104)=0,"Unknown class code",IF(C104="","Missing note",IF(COUNTIFS($A$4:$A$503,A104,$B$4:$B$503,B104)&gt;1,"Duplicate note","OK")))))</f>
        <v/>
      </c>
    </row>
    <row r="105">
      <c r="A105" s="26" t="n"/>
      <c r="B105" s="26" t="n"/>
      <c r="C105" s="26" t="n"/>
      <c r="D105" s="30">
        <f>IF(A105="","",IF(COUNTIF('Holders'!$A$4:$A$1003,A105)=0,"Unknown holder ID",IF(COUNTIF('Share classes'!$B$4:$B$203,B105)=0,"Unknown class code",IF(C105="","Missing note",IF(COUNTIFS($A$4:$A$503,A105,$B$4:$B$503,B105)&gt;1,"Duplicate note","OK")))))</f>
        <v/>
      </c>
    </row>
    <row r="106">
      <c r="A106" s="26" t="n"/>
      <c r="B106" s="26" t="n"/>
      <c r="C106" s="26" t="n"/>
      <c r="D106" s="30">
        <f>IF(A106="","",IF(COUNTIF('Holders'!$A$4:$A$1003,A106)=0,"Unknown holder ID",IF(COUNTIF('Share classes'!$B$4:$B$203,B106)=0,"Unknown class code",IF(C106="","Missing note",IF(COUNTIFS($A$4:$A$503,A106,$B$4:$B$503,B106)&gt;1,"Duplicate note","OK")))))</f>
        <v/>
      </c>
    </row>
    <row r="107">
      <c r="A107" s="26" t="n"/>
      <c r="B107" s="26" t="n"/>
      <c r="C107" s="26" t="n"/>
      <c r="D107" s="30">
        <f>IF(A107="","",IF(COUNTIF('Holders'!$A$4:$A$1003,A107)=0,"Unknown holder ID",IF(COUNTIF('Share classes'!$B$4:$B$203,B107)=0,"Unknown class code",IF(C107="","Missing note",IF(COUNTIFS($A$4:$A$503,A107,$B$4:$B$503,B107)&gt;1,"Duplicate note","OK")))))</f>
        <v/>
      </c>
    </row>
    <row r="108">
      <c r="A108" s="26" t="n"/>
      <c r="B108" s="26" t="n"/>
      <c r="C108" s="26" t="n"/>
      <c r="D108" s="30">
        <f>IF(A108="","",IF(COUNTIF('Holders'!$A$4:$A$1003,A108)=0,"Unknown holder ID",IF(COUNTIF('Share classes'!$B$4:$B$203,B108)=0,"Unknown class code",IF(C108="","Missing note",IF(COUNTIFS($A$4:$A$503,A108,$B$4:$B$503,B108)&gt;1,"Duplicate note","OK")))))</f>
        <v/>
      </c>
    </row>
    <row r="109">
      <c r="A109" s="26" t="n"/>
      <c r="B109" s="26" t="n"/>
      <c r="C109" s="26" t="n"/>
      <c r="D109" s="30">
        <f>IF(A109="","",IF(COUNTIF('Holders'!$A$4:$A$1003,A109)=0,"Unknown holder ID",IF(COUNTIF('Share classes'!$B$4:$B$203,B109)=0,"Unknown class code",IF(C109="","Missing note",IF(COUNTIFS($A$4:$A$503,A109,$B$4:$B$503,B109)&gt;1,"Duplicate note","OK")))))</f>
        <v/>
      </c>
    </row>
    <row r="110">
      <c r="A110" s="26" t="n"/>
      <c r="B110" s="26" t="n"/>
      <c r="C110" s="26" t="n"/>
      <c r="D110" s="30">
        <f>IF(A110="","",IF(COUNTIF('Holders'!$A$4:$A$1003,A110)=0,"Unknown holder ID",IF(COUNTIF('Share classes'!$B$4:$B$203,B110)=0,"Unknown class code",IF(C110="","Missing note",IF(COUNTIFS($A$4:$A$503,A110,$B$4:$B$503,B110)&gt;1,"Duplicate note","OK")))))</f>
        <v/>
      </c>
    </row>
    <row r="111">
      <c r="A111" s="26" t="n"/>
      <c r="B111" s="26" t="n"/>
      <c r="C111" s="26" t="n"/>
      <c r="D111" s="30">
        <f>IF(A111="","",IF(COUNTIF('Holders'!$A$4:$A$1003,A111)=0,"Unknown holder ID",IF(COUNTIF('Share classes'!$B$4:$B$203,B111)=0,"Unknown class code",IF(C111="","Missing note",IF(COUNTIFS($A$4:$A$503,A111,$B$4:$B$503,B111)&gt;1,"Duplicate note","OK")))))</f>
        <v/>
      </c>
    </row>
    <row r="112">
      <c r="A112" s="26" t="n"/>
      <c r="B112" s="26" t="n"/>
      <c r="C112" s="26" t="n"/>
      <c r="D112" s="30">
        <f>IF(A112="","",IF(COUNTIF('Holders'!$A$4:$A$1003,A112)=0,"Unknown holder ID",IF(COUNTIF('Share classes'!$B$4:$B$203,B112)=0,"Unknown class code",IF(C112="","Missing note",IF(COUNTIFS($A$4:$A$503,A112,$B$4:$B$503,B112)&gt;1,"Duplicate note","OK")))))</f>
        <v/>
      </c>
    </row>
    <row r="113">
      <c r="A113" s="26" t="n"/>
      <c r="B113" s="26" t="n"/>
      <c r="C113" s="26" t="n"/>
      <c r="D113" s="30">
        <f>IF(A113="","",IF(COUNTIF('Holders'!$A$4:$A$1003,A113)=0,"Unknown holder ID",IF(COUNTIF('Share classes'!$B$4:$B$203,B113)=0,"Unknown class code",IF(C113="","Missing note",IF(COUNTIFS($A$4:$A$503,A113,$B$4:$B$503,B113)&gt;1,"Duplicate note","OK")))))</f>
        <v/>
      </c>
    </row>
    <row r="114">
      <c r="A114" s="26" t="n"/>
      <c r="B114" s="26" t="n"/>
      <c r="C114" s="26" t="n"/>
      <c r="D114" s="30">
        <f>IF(A114="","",IF(COUNTIF('Holders'!$A$4:$A$1003,A114)=0,"Unknown holder ID",IF(COUNTIF('Share classes'!$B$4:$B$203,B114)=0,"Unknown class code",IF(C114="","Missing note",IF(COUNTIFS($A$4:$A$503,A114,$B$4:$B$503,B114)&gt;1,"Duplicate note","OK")))))</f>
        <v/>
      </c>
    </row>
    <row r="115">
      <c r="A115" s="26" t="n"/>
      <c r="B115" s="26" t="n"/>
      <c r="C115" s="26" t="n"/>
      <c r="D115" s="30">
        <f>IF(A115="","",IF(COUNTIF('Holders'!$A$4:$A$1003,A115)=0,"Unknown holder ID",IF(COUNTIF('Share classes'!$B$4:$B$203,B115)=0,"Unknown class code",IF(C115="","Missing note",IF(COUNTIFS($A$4:$A$503,A115,$B$4:$B$503,B115)&gt;1,"Duplicate note","OK")))))</f>
        <v/>
      </c>
    </row>
    <row r="116">
      <c r="A116" s="26" t="n"/>
      <c r="B116" s="26" t="n"/>
      <c r="C116" s="26" t="n"/>
      <c r="D116" s="30">
        <f>IF(A116="","",IF(COUNTIF('Holders'!$A$4:$A$1003,A116)=0,"Unknown holder ID",IF(COUNTIF('Share classes'!$B$4:$B$203,B116)=0,"Unknown class code",IF(C116="","Missing note",IF(COUNTIFS($A$4:$A$503,A116,$B$4:$B$503,B116)&gt;1,"Duplicate note","OK")))))</f>
        <v/>
      </c>
    </row>
    <row r="117">
      <c r="A117" s="26" t="n"/>
      <c r="B117" s="26" t="n"/>
      <c r="C117" s="26" t="n"/>
      <c r="D117" s="30">
        <f>IF(A117="","",IF(COUNTIF('Holders'!$A$4:$A$1003,A117)=0,"Unknown holder ID",IF(COUNTIF('Share classes'!$B$4:$B$203,B117)=0,"Unknown class code",IF(C117="","Missing note",IF(COUNTIFS($A$4:$A$503,A117,$B$4:$B$503,B117)&gt;1,"Duplicate note","OK")))))</f>
        <v/>
      </c>
    </row>
    <row r="118">
      <c r="A118" s="26" t="n"/>
      <c r="B118" s="26" t="n"/>
      <c r="C118" s="26" t="n"/>
      <c r="D118" s="30">
        <f>IF(A118="","",IF(COUNTIF('Holders'!$A$4:$A$1003,A118)=0,"Unknown holder ID",IF(COUNTIF('Share classes'!$B$4:$B$203,B118)=0,"Unknown class code",IF(C118="","Missing note",IF(COUNTIFS($A$4:$A$503,A118,$B$4:$B$503,B118)&gt;1,"Duplicate note","OK")))))</f>
        <v/>
      </c>
    </row>
    <row r="119">
      <c r="A119" s="26" t="n"/>
      <c r="B119" s="26" t="n"/>
      <c r="C119" s="26" t="n"/>
      <c r="D119" s="30">
        <f>IF(A119="","",IF(COUNTIF('Holders'!$A$4:$A$1003,A119)=0,"Unknown holder ID",IF(COUNTIF('Share classes'!$B$4:$B$203,B119)=0,"Unknown class code",IF(C119="","Missing note",IF(COUNTIFS($A$4:$A$503,A119,$B$4:$B$503,B119)&gt;1,"Duplicate note","OK")))))</f>
        <v/>
      </c>
    </row>
    <row r="120">
      <c r="A120" s="26" t="n"/>
      <c r="B120" s="26" t="n"/>
      <c r="C120" s="26" t="n"/>
      <c r="D120" s="30">
        <f>IF(A120="","",IF(COUNTIF('Holders'!$A$4:$A$1003,A120)=0,"Unknown holder ID",IF(COUNTIF('Share classes'!$B$4:$B$203,B120)=0,"Unknown class code",IF(C120="","Missing note",IF(COUNTIFS($A$4:$A$503,A120,$B$4:$B$503,B120)&gt;1,"Duplicate note","OK")))))</f>
        <v/>
      </c>
    </row>
    <row r="121">
      <c r="A121" s="26" t="n"/>
      <c r="B121" s="26" t="n"/>
      <c r="C121" s="26" t="n"/>
      <c r="D121" s="30">
        <f>IF(A121="","",IF(COUNTIF('Holders'!$A$4:$A$1003,A121)=0,"Unknown holder ID",IF(COUNTIF('Share classes'!$B$4:$B$203,B121)=0,"Unknown class code",IF(C121="","Missing note",IF(COUNTIFS($A$4:$A$503,A121,$B$4:$B$503,B121)&gt;1,"Duplicate note","OK")))))</f>
        <v/>
      </c>
    </row>
    <row r="122">
      <c r="A122" s="26" t="n"/>
      <c r="B122" s="26" t="n"/>
      <c r="C122" s="26" t="n"/>
      <c r="D122" s="30">
        <f>IF(A122="","",IF(COUNTIF('Holders'!$A$4:$A$1003,A122)=0,"Unknown holder ID",IF(COUNTIF('Share classes'!$B$4:$B$203,B122)=0,"Unknown class code",IF(C122="","Missing note",IF(COUNTIFS($A$4:$A$503,A122,$B$4:$B$503,B122)&gt;1,"Duplicate note","OK")))))</f>
        <v/>
      </c>
    </row>
    <row r="123">
      <c r="A123" s="26" t="n"/>
      <c r="B123" s="26" t="n"/>
      <c r="C123" s="26" t="n"/>
      <c r="D123" s="30">
        <f>IF(A123="","",IF(COUNTIF('Holders'!$A$4:$A$1003,A123)=0,"Unknown holder ID",IF(COUNTIF('Share classes'!$B$4:$B$203,B123)=0,"Unknown class code",IF(C123="","Missing note",IF(COUNTIFS($A$4:$A$503,A123,$B$4:$B$503,B123)&gt;1,"Duplicate note","OK")))))</f>
        <v/>
      </c>
    </row>
    <row r="124">
      <c r="A124" s="26" t="n"/>
      <c r="B124" s="26" t="n"/>
      <c r="C124" s="26" t="n"/>
      <c r="D124" s="30">
        <f>IF(A124="","",IF(COUNTIF('Holders'!$A$4:$A$1003,A124)=0,"Unknown holder ID",IF(COUNTIF('Share classes'!$B$4:$B$203,B124)=0,"Unknown class code",IF(C124="","Missing note",IF(COUNTIFS($A$4:$A$503,A124,$B$4:$B$503,B124)&gt;1,"Duplicate note","OK")))))</f>
        <v/>
      </c>
    </row>
    <row r="125">
      <c r="A125" s="26" t="n"/>
      <c r="B125" s="26" t="n"/>
      <c r="C125" s="26" t="n"/>
      <c r="D125" s="30">
        <f>IF(A125="","",IF(COUNTIF('Holders'!$A$4:$A$1003,A125)=0,"Unknown holder ID",IF(COUNTIF('Share classes'!$B$4:$B$203,B125)=0,"Unknown class code",IF(C125="","Missing note",IF(COUNTIFS($A$4:$A$503,A125,$B$4:$B$503,B125)&gt;1,"Duplicate note","OK")))))</f>
        <v/>
      </c>
    </row>
    <row r="126">
      <c r="A126" s="26" t="n"/>
      <c r="B126" s="26" t="n"/>
      <c r="C126" s="26" t="n"/>
      <c r="D126" s="30">
        <f>IF(A126="","",IF(COUNTIF('Holders'!$A$4:$A$1003,A126)=0,"Unknown holder ID",IF(COUNTIF('Share classes'!$B$4:$B$203,B126)=0,"Unknown class code",IF(C126="","Missing note",IF(COUNTIFS($A$4:$A$503,A126,$B$4:$B$503,B126)&gt;1,"Duplicate note","OK")))))</f>
        <v/>
      </c>
    </row>
    <row r="127">
      <c r="A127" s="26" t="n"/>
      <c r="B127" s="26" t="n"/>
      <c r="C127" s="26" t="n"/>
      <c r="D127" s="30">
        <f>IF(A127="","",IF(COUNTIF('Holders'!$A$4:$A$1003,A127)=0,"Unknown holder ID",IF(COUNTIF('Share classes'!$B$4:$B$203,B127)=0,"Unknown class code",IF(C127="","Missing note",IF(COUNTIFS($A$4:$A$503,A127,$B$4:$B$503,B127)&gt;1,"Duplicate note","OK")))))</f>
        <v/>
      </c>
    </row>
    <row r="128">
      <c r="A128" s="26" t="n"/>
      <c r="B128" s="26" t="n"/>
      <c r="C128" s="26" t="n"/>
      <c r="D128" s="30">
        <f>IF(A128="","",IF(COUNTIF('Holders'!$A$4:$A$1003,A128)=0,"Unknown holder ID",IF(COUNTIF('Share classes'!$B$4:$B$203,B128)=0,"Unknown class code",IF(C128="","Missing note",IF(COUNTIFS($A$4:$A$503,A128,$B$4:$B$503,B128)&gt;1,"Duplicate note","OK")))))</f>
        <v/>
      </c>
    </row>
    <row r="129">
      <c r="A129" s="26" t="n"/>
      <c r="B129" s="26" t="n"/>
      <c r="C129" s="26" t="n"/>
      <c r="D129" s="30">
        <f>IF(A129="","",IF(COUNTIF('Holders'!$A$4:$A$1003,A129)=0,"Unknown holder ID",IF(COUNTIF('Share classes'!$B$4:$B$203,B129)=0,"Unknown class code",IF(C129="","Missing note",IF(COUNTIFS($A$4:$A$503,A129,$B$4:$B$503,B129)&gt;1,"Duplicate note","OK")))))</f>
        <v/>
      </c>
    </row>
    <row r="130">
      <c r="A130" s="26" t="n"/>
      <c r="B130" s="26" t="n"/>
      <c r="C130" s="26" t="n"/>
      <c r="D130" s="30">
        <f>IF(A130="","",IF(COUNTIF('Holders'!$A$4:$A$1003,A130)=0,"Unknown holder ID",IF(COUNTIF('Share classes'!$B$4:$B$203,B130)=0,"Unknown class code",IF(C130="","Missing note",IF(COUNTIFS($A$4:$A$503,A130,$B$4:$B$503,B130)&gt;1,"Duplicate note","OK")))))</f>
        <v/>
      </c>
    </row>
    <row r="131">
      <c r="A131" s="26" t="n"/>
      <c r="B131" s="26" t="n"/>
      <c r="C131" s="26" t="n"/>
      <c r="D131" s="30">
        <f>IF(A131="","",IF(COUNTIF('Holders'!$A$4:$A$1003,A131)=0,"Unknown holder ID",IF(COUNTIF('Share classes'!$B$4:$B$203,B131)=0,"Unknown class code",IF(C131="","Missing note",IF(COUNTIFS($A$4:$A$503,A131,$B$4:$B$503,B131)&gt;1,"Duplicate note","OK")))))</f>
        <v/>
      </c>
    </row>
    <row r="132">
      <c r="A132" s="26" t="n"/>
      <c r="B132" s="26" t="n"/>
      <c r="C132" s="26" t="n"/>
      <c r="D132" s="30">
        <f>IF(A132="","",IF(COUNTIF('Holders'!$A$4:$A$1003,A132)=0,"Unknown holder ID",IF(COUNTIF('Share classes'!$B$4:$B$203,B132)=0,"Unknown class code",IF(C132="","Missing note",IF(COUNTIFS($A$4:$A$503,A132,$B$4:$B$503,B132)&gt;1,"Duplicate note","OK")))))</f>
        <v/>
      </c>
    </row>
    <row r="133">
      <c r="A133" s="26" t="n"/>
      <c r="B133" s="26" t="n"/>
      <c r="C133" s="26" t="n"/>
      <c r="D133" s="30">
        <f>IF(A133="","",IF(COUNTIF('Holders'!$A$4:$A$1003,A133)=0,"Unknown holder ID",IF(COUNTIF('Share classes'!$B$4:$B$203,B133)=0,"Unknown class code",IF(C133="","Missing note",IF(COUNTIFS($A$4:$A$503,A133,$B$4:$B$503,B133)&gt;1,"Duplicate note","OK")))))</f>
        <v/>
      </c>
    </row>
    <row r="134">
      <c r="A134" s="26" t="n"/>
      <c r="B134" s="26" t="n"/>
      <c r="C134" s="26" t="n"/>
      <c r="D134" s="30">
        <f>IF(A134="","",IF(COUNTIF('Holders'!$A$4:$A$1003,A134)=0,"Unknown holder ID",IF(COUNTIF('Share classes'!$B$4:$B$203,B134)=0,"Unknown class code",IF(C134="","Missing note",IF(COUNTIFS($A$4:$A$503,A134,$B$4:$B$503,B134)&gt;1,"Duplicate note","OK")))))</f>
        <v/>
      </c>
    </row>
    <row r="135">
      <c r="A135" s="26" t="n"/>
      <c r="B135" s="26" t="n"/>
      <c r="C135" s="26" t="n"/>
      <c r="D135" s="30">
        <f>IF(A135="","",IF(COUNTIF('Holders'!$A$4:$A$1003,A135)=0,"Unknown holder ID",IF(COUNTIF('Share classes'!$B$4:$B$203,B135)=0,"Unknown class code",IF(C135="","Missing note",IF(COUNTIFS($A$4:$A$503,A135,$B$4:$B$503,B135)&gt;1,"Duplicate note","OK")))))</f>
        <v/>
      </c>
    </row>
    <row r="136">
      <c r="A136" s="26" t="n"/>
      <c r="B136" s="26" t="n"/>
      <c r="C136" s="26" t="n"/>
      <c r="D136" s="30">
        <f>IF(A136="","",IF(COUNTIF('Holders'!$A$4:$A$1003,A136)=0,"Unknown holder ID",IF(COUNTIF('Share classes'!$B$4:$B$203,B136)=0,"Unknown class code",IF(C136="","Missing note",IF(COUNTIFS($A$4:$A$503,A136,$B$4:$B$503,B136)&gt;1,"Duplicate note","OK")))))</f>
        <v/>
      </c>
    </row>
    <row r="137">
      <c r="A137" s="26" t="n"/>
      <c r="B137" s="26" t="n"/>
      <c r="C137" s="26" t="n"/>
      <c r="D137" s="30">
        <f>IF(A137="","",IF(COUNTIF('Holders'!$A$4:$A$1003,A137)=0,"Unknown holder ID",IF(COUNTIF('Share classes'!$B$4:$B$203,B137)=0,"Unknown class code",IF(C137="","Missing note",IF(COUNTIFS($A$4:$A$503,A137,$B$4:$B$503,B137)&gt;1,"Duplicate note","OK")))))</f>
        <v/>
      </c>
    </row>
    <row r="138">
      <c r="A138" s="26" t="n"/>
      <c r="B138" s="26" t="n"/>
      <c r="C138" s="26" t="n"/>
      <c r="D138" s="30">
        <f>IF(A138="","",IF(COUNTIF('Holders'!$A$4:$A$1003,A138)=0,"Unknown holder ID",IF(COUNTIF('Share classes'!$B$4:$B$203,B138)=0,"Unknown class code",IF(C138="","Missing note",IF(COUNTIFS($A$4:$A$503,A138,$B$4:$B$503,B138)&gt;1,"Duplicate note","OK")))))</f>
        <v/>
      </c>
    </row>
    <row r="139">
      <c r="A139" s="26" t="n"/>
      <c r="B139" s="26" t="n"/>
      <c r="C139" s="26" t="n"/>
      <c r="D139" s="30">
        <f>IF(A139="","",IF(COUNTIF('Holders'!$A$4:$A$1003,A139)=0,"Unknown holder ID",IF(COUNTIF('Share classes'!$B$4:$B$203,B139)=0,"Unknown class code",IF(C139="","Missing note",IF(COUNTIFS($A$4:$A$503,A139,$B$4:$B$503,B139)&gt;1,"Duplicate note","OK")))))</f>
        <v/>
      </c>
    </row>
    <row r="140">
      <c r="A140" s="26" t="n"/>
      <c r="B140" s="26" t="n"/>
      <c r="C140" s="26" t="n"/>
      <c r="D140" s="30">
        <f>IF(A140="","",IF(COUNTIF('Holders'!$A$4:$A$1003,A140)=0,"Unknown holder ID",IF(COUNTIF('Share classes'!$B$4:$B$203,B140)=0,"Unknown class code",IF(C140="","Missing note",IF(COUNTIFS($A$4:$A$503,A140,$B$4:$B$503,B140)&gt;1,"Duplicate note","OK")))))</f>
        <v/>
      </c>
    </row>
    <row r="141">
      <c r="A141" s="26" t="n"/>
      <c r="B141" s="26" t="n"/>
      <c r="C141" s="26" t="n"/>
      <c r="D141" s="30">
        <f>IF(A141="","",IF(COUNTIF('Holders'!$A$4:$A$1003,A141)=0,"Unknown holder ID",IF(COUNTIF('Share classes'!$B$4:$B$203,B141)=0,"Unknown class code",IF(C141="","Missing note",IF(COUNTIFS($A$4:$A$503,A141,$B$4:$B$503,B141)&gt;1,"Duplicate note","OK")))))</f>
        <v/>
      </c>
    </row>
    <row r="142">
      <c r="A142" s="26" t="n"/>
      <c r="B142" s="26" t="n"/>
      <c r="C142" s="26" t="n"/>
      <c r="D142" s="30">
        <f>IF(A142="","",IF(COUNTIF('Holders'!$A$4:$A$1003,A142)=0,"Unknown holder ID",IF(COUNTIF('Share classes'!$B$4:$B$203,B142)=0,"Unknown class code",IF(C142="","Missing note",IF(COUNTIFS($A$4:$A$503,A142,$B$4:$B$503,B142)&gt;1,"Duplicate note","OK")))))</f>
        <v/>
      </c>
    </row>
    <row r="143">
      <c r="A143" s="26" t="n"/>
      <c r="B143" s="26" t="n"/>
      <c r="C143" s="26" t="n"/>
      <c r="D143" s="30">
        <f>IF(A143="","",IF(COUNTIF('Holders'!$A$4:$A$1003,A143)=0,"Unknown holder ID",IF(COUNTIF('Share classes'!$B$4:$B$203,B143)=0,"Unknown class code",IF(C143="","Missing note",IF(COUNTIFS($A$4:$A$503,A143,$B$4:$B$503,B143)&gt;1,"Duplicate note","OK")))))</f>
        <v/>
      </c>
    </row>
    <row r="144">
      <c r="A144" s="26" t="n"/>
      <c r="B144" s="26" t="n"/>
      <c r="C144" s="26" t="n"/>
      <c r="D144" s="30">
        <f>IF(A144="","",IF(COUNTIF('Holders'!$A$4:$A$1003,A144)=0,"Unknown holder ID",IF(COUNTIF('Share classes'!$B$4:$B$203,B144)=0,"Unknown class code",IF(C144="","Missing note",IF(COUNTIFS($A$4:$A$503,A144,$B$4:$B$503,B144)&gt;1,"Duplicate note","OK")))))</f>
        <v/>
      </c>
    </row>
    <row r="145">
      <c r="A145" s="26" t="n"/>
      <c r="B145" s="26" t="n"/>
      <c r="C145" s="26" t="n"/>
      <c r="D145" s="30">
        <f>IF(A145="","",IF(COUNTIF('Holders'!$A$4:$A$1003,A145)=0,"Unknown holder ID",IF(COUNTIF('Share classes'!$B$4:$B$203,B145)=0,"Unknown class code",IF(C145="","Missing note",IF(COUNTIFS($A$4:$A$503,A145,$B$4:$B$503,B145)&gt;1,"Duplicate note","OK")))))</f>
        <v/>
      </c>
    </row>
    <row r="146">
      <c r="A146" s="26" t="n"/>
      <c r="B146" s="26" t="n"/>
      <c r="C146" s="26" t="n"/>
      <c r="D146" s="30">
        <f>IF(A146="","",IF(COUNTIF('Holders'!$A$4:$A$1003,A146)=0,"Unknown holder ID",IF(COUNTIF('Share classes'!$B$4:$B$203,B146)=0,"Unknown class code",IF(C146="","Missing note",IF(COUNTIFS($A$4:$A$503,A146,$B$4:$B$503,B146)&gt;1,"Duplicate note","OK")))))</f>
        <v/>
      </c>
    </row>
    <row r="147">
      <c r="A147" s="26" t="n"/>
      <c r="B147" s="26" t="n"/>
      <c r="C147" s="26" t="n"/>
      <c r="D147" s="30">
        <f>IF(A147="","",IF(COUNTIF('Holders'!$A$4:$A$1003,A147)=0,"Unknown holder ID",IF(COUNTIF('Share classes'!$B$4:$B$203,B147)=0,"Unknown class code",IF(C147="","Missing note",IF(COUNTIFS($A$4:$A$503,A147,$B$4:$B$503,B147)&gt;1,"Duplicate note","OK")))))</f>
        <v/>
      </c>
    </row>
    <row r="148">
      <c r="A148" s="26" t="n"/>
      <c r="B148" s="26" t="n"/>
      <c r="C148" s="26" t="n"/>
      <c r="D148" s="30">
        <f>IF(A148="","",IF(COUNTIF('Holders'!$A$4:$A$1003,A148)=0,"Unknown holder ID",IF(COUNTIF('Share classes'!$B$4:$B$203,B148)=0,"Unknown class code",IF(C148="","Missing note",IF(COUNTIFS($A$4:$A$503,A148,$B$4:$B$503,B148)&gt;1,"Duplicate note","OK")))))</f>
        <v/>
      </c>
    </row>
    <row r="149">
      <c r="A149" s="26" t="n"/>
      <c r="B149" s="26" t="n"/>
      <c r="C149" s="26" t="n"/>
      <c r="D149" s="30">
        <f>IF(A149="","",IF(COUNTIF('Holders'!$A$4:$A$1003,A149)=0,"Unknown holder ID",IF(COUNTIF('Share classes'!$B$4:$B$203,B149)=0,"Unknown class code",IF(C149="","Missing note",IF(COUNTIFS($A$4:$A$503,A149,$B$4:$B$503,B149)&gt;1,"Duplicate note","OK")))))</f>
        <v/>
      </c>
    </row>
    <row r="150">
      <c r="A150" s="26" t="n"/>
      <c r="B150" s="26" t="n"/>
      <c r="C150" s="26" t="n"/>
      <c r="D150" s="30">
        <f>IF(A150="","",IF(COUNTIF('Holders'!$A$4:$A$1003,A150)=0,"Unknown holder ID",IF(COUNTIF('Share classes'!$B$4:$B$203,B150)=0,"Unknown class code",IF(C150="","Missing note",IF(COUNTIFS($A$4:$A$503,A150,$B$4:$B$503,B150)&gt;1,"Duplicate note","OK")))))</f>
        <v/>
      </c>
    </row>
    <row r="151">
      <c r="A151" s="26" t="n"/>
      <c r="B151" s="26" t="n"/>
      <c r="C151" s="26" t="n"/>
      <c r="D151" s="30">
        <f>IF(A151="","",IF(COUNTIF('Holders'!$A$4:$A$1003,A151)=0,"Unknown holder ID",IF(COUNTIF('Share classes'!$B$4:$B$203,B151)=0,"Unknown class code",IF(C151="","Missing note",IF(COUNTIFS($A$4:$A$503,A151,$B$4:$B$503,B151)&gt;1,"Duplicate note","OK")))))</f>
        <v/>
      </c>
    </row>
    <row r="152">
      <c r="A152" s="26" t="n"/>
      <c r="B152" s="26" t="n"/>
      <c r="C152" s="26" t="n"/>
      <c r="D152" s="30">
        <f>IF(A152="","",IF(COUNTIF('Holders'!$A$4:$A$1003,A152)=0,"Unknown holder ID",IF(COUNTIF('Share classes'!$B$4:$B$203,B152)=0,"Unknown class code",IF(C152="","Missing note",IF(COUNTIFS($A$4:$A$503,A152,$B$4:$B$503,B152)&gt;1,"Duplicate note","OK")))))</f>
        <v/>
      </c>
    </row>
    <row r="153">
      <c r="A153" s="26" t="n"/>
      <c r="B153" s="26" t="n"/>
      <c r="C153" s="26" t="n"/>
      <c r="D153" s="30">
        <f>IF(A153="","",IF(COUNTIF('Holders'!$A$4:$A$1003,A153)=0,"Unknown holder ID",IF(COUNTIF('Share classes'!$B$4:$B$203,B153)=0,"Unknown class code",IF(C153="","Missing note",IF(COUNTIFS($A$4:$A$503,A153,$B$4:$B$503,B153)&gt;1,"Duplicate note","OK")))))</f>
        <v/>
      </c>
    </row>
    <row r="154">
      <c r="A154" s="26" t="n"/>
      <c r="B154" s="26" t="n"/>
      <c r="C154" s="26" t="n"/>
      <c r="D154" s="30">
        <f>IF(A154="","",IF(COUNTIF('Holders'!$A$4:$A$1003,A154)=0,"Unknown holder ID",IF(COUNTIF('Share classes'!$B$4:$B$203,B154)=0,"Unknown class code",IF(C154="","Missing note",IF(COUNTIFS($A$4:$A$503,A154,$B$4:$B$503,B154)&gt;1,"Duplicate note","OK")))))</f>
        <v/>
      </c>
    </row>
    <row r="155">
      <c r="A155" s="26" t="n"/>
      <c r="B155" s="26" t="n"/>
      <c r="C155" s="26" t="n"/>
      <c r="D155" s="30">
        <f>IF(A155="","",IF(COUNTIF('Holders'!$A$4:$A$1003,A155)=0,"Unknown holder ID",IF(COUNTIF('Share classes'!$B$4:$B$203,B155)=0,"Unknown class code",IF(C155="","Missing note",IF(COUNTIFS($A$4:$A$503,A155,$B$4:$B$503,B155)&gt;1,"Duplicate note","OK")))))</f>
        <v/>
      </c>
    </row>
    <row r="156">
      <c r="A156" s="26" t="n"/>
      <c r="B156" s="26" t="n"/>
      <c r="C156" s="26" t="n"/>
      <c r="D156" s="30">
        <f>IF(A156="","",IF(COUNTIF('Holders'!$A$4:$A$1003,A156)=0,"Unknown holder ID",IF(COUNTIF('Share classes'!$B$4:$B$203,B156)=0,"Unknown class code",IF(C156="","Missing note",IF(COUNTIFS($A$4:$A$503,A156,$B$4:$B$503,B156)&gt;1,"Duplicate note","OK")))))</f>
        <v/>
      </c>
    </row>
    <row r="157">
      <c r="A157" s="26" t="n"/>
      <c r="B157" s="26" t="n"/>
      <c r="C157" s="26" t="n"/>
      <c r="D157" s="30">
        <f>IF(A157="","",IF(COUNTIF('Holders'!$A$4:$A$1003,A157)=0,"Unknown holder ID",IF(COUNTIF('Share classes'!$B$4:$B$203,B157)=0,"Unknown class code",IF(C157="","Missing note",IF(COUNTIFS($A$4:$A$503,A157,$B$4:$B$503,B157)&gt;1,"Duplicate note","OK")))))</f>
        <v/>
      </c>
    </row>
    <row r="158">
      <c r="A158" s="26" t="n"/>
      <c r="B158" s="26" t="n"/>
      <c r="C158" s="26" t="n"/>
      <c r="D158" s="30">
        <f>IF(A158="","",IF(COUNTIF('Holders'!$A$4:$A$1003,A158)=0,"Unknown holder ID",IF(COUNTIF('Share classes'!$B$4:$B$203,B158)=0,"Unknown class code",IF(C158="","Missing note",IF(COUNTIFS($A$4:$A$503,A158,$B$4:$B$503,B158)&gt;1,"Duplicate note","OK")))))</f>
        <v/>
      </c>
    </row>
    <row r="159">
      <c r="A159" s="26" t="n"/>
      <c r="B159" s="26" t="n"/>
      <c r="C159" s="26" t="n"/>
      <c r="D159" s="30">
        <f>IF(A159="","",IF(COUNTIF('Holders'!$A$4:$A$1003,A159)=0,"Unknown holder ID",IF(COUNTIF('Share classes'!$B$4:$B$203,B159)=0,"Unknown class code",IF(C159="","Missing note",IF(COUNTIFS($A$4:$A$503,A159,$B$4:$B$503,B159)&gt;1,"Duplicate note","OK")))))</f>
        <v/>
      </c>
    </row>
    <row r="160">
      <c r="A160" s="26" t="n"/>
      <c r="B160" s="26" t="n"/>
      <c r="C160" s="26" t="n"/>
      <c r="D160" s="30">
        <f>IF(A160="","",IF(COUNTIF('Holders'!$A$4:$A$1003,A160)=0,"Unknown holder ID",IF(COUNTIF('Share classes'!$B$4:$B$203,B160)=0,"Unknown class code",IF(C160="","Missing note",IF(COUNTIFS($A$4:$A$503,A160,$B$4:$B$503,B160)&gt;1,"Duplicate note","OK")))))</f>
        <v/>
      </c>
    </row>
    <row r="161">
      <c r="A161" s="26" t="n"/>
      <c r="B161" s="26" t="n"/>
      <c r="C161" s="26" t="n"/>
      <c r="D161" s="30">
        <f>IF(A161="","",IF(COUNTIF('Holders'!$A$4:$A$1003,A161)=0,"Unknown holder ID",IF(COUNTIF('Share classes'!$B$4:$B$203,B161)=0,"Unknown class code",IF(C161="","Missing note",IF(COUNTIFS($A$4:$A$503,A161,$B$4:$B$503,B161)&gt;1,"Duplicate note","OK")))))</f>
        <v/>
      </c>
    </row>
    <row r="162">
      <c r="A162" s="26" t="n"/>
      <c r="B162" s="26" t="n"/>
      <c r="C162" s="26" t="n"/>
      <c r="D162" s="30">
        <f>IF(A162="","",IF(COUNTIF('Holders'!$A$4:$A$1003,A162)=0,"Unknown holder ID",IF(COUNTIF('Share classes'!$B$4:$B$203,B162)=0,"Unknown class code",IF(C162="","Missing note",IF(COUNTIFS($A$4:$A$503,A162,$B$4:$B$503,B162)&gt;1,"Duplicate note","OK")))))</f>
        <v/>
      </c>
    </row>
    <row r="163">
      <c r="A163" s="26" t="n"/>
      <c r="B163" s="26" t="n"/>
      <c r="C163" s="26" t="n"/>
      <c r="D163" s="30">
        <f>IF(A163="","",IF(COUNTIF('Holders'!$A$4:$A$1003,A163)=0,"Unknown holder ID",IF(COUNTIF('Share classes'!$B$4:$B$203,B163)=0,"Unknown class code",IF(C163="","Missing note",IF(COUNTIFS($A$4:$A$503,A163,$B$4:$B$503,B163)&gt;1,"Duplicate note","OK")))))</f>
        <v/>
      </c>
    </row>
    <row r="164">
      <c r="A164" s="26" t="n"/>
      <c r="B164" s="26" t="n"/>
      <c r="C164" s="26" t="n"/>
      <c r="D164" s="30">
        <f>IF(A164="","",IF(COUNTIF('Holders'!$A$4:$A$1003,A164)=0,"Unknown holder ID",IF(COUNTIF('Share classes'!$B$4:$B$203,B164)=0,"Unknown class code",IF(C164="","Missing note",IF(COUNTIFS($A$4:$A$503,A164,$B$4:$B$503,B164)&gt;1,"Duplicate note","OK")))))</f>
        <v/>
      </c>
    </row>
    <row r="165">
      <c r="A165" s="26" t="n"/>
      <c r="B165" s="26" t="n"/>
      <c r="C165" s="26" t="n"/>
      <c r="D165" s="30">
        <f>IF(A165="","",IF(COUNTIF('Holders'!$A$4:$A$1003,A165)=0,"Unknown holder ID",IF(COUNTIF('Share classes'!$B$4:$B$203,B165)=0,"Unknown class code",IF(C165="","Missing note",IF(COUNTIFS($A$4:$A$503,A165,$B$4:$B$503,B165)&gt;1,"Duplicate note","OK")))))</f>
        <v/>
      </c>
    </row>
    <row r="166">
      <c r="A166" s="26" t="n"/>
      <c r="B166" s="26" t="n"/>
      <c r="C166" s="26" t="n"/>
      <c r="D166" s="30">
        <f>IF(A166="","",IF(COUNTIF('Holders'!$A$4:$A$1003,A166)=0,"Unknown holder ID",IF(COUNTIF('Share classes'!$B$4:$B$203,B166)=0,"Unknown class code",IF(C166="","Missing note",IF(COUNTIFS($A$4:$A$503,A166,$B$4:$B$503,B166)&gt;1,"Duplicate note","OK")))))</f>
        <v/>
      </c>
    </row>
    <row r="167">
      <c r="A167" s="26" t="n"/>
      <c r="B167" s="26" t="n"/>
      <c r="C167" s="26" t="n"/>
      <c r="D167" s="30">
        <f>IF(A167="","",IF(COUNTIF('Holders'!$A$4:$A$1003,A167)=0,"Unknown holder ID",IF(COUNTIF('Share classes'!$B$4:$B$203,B167)=0,"Unknown class code",IF(C167="","Missing note",IF(COUNTIFS($A$4:$A$503,A167,$B$4:$B$503,B167)&gt;1,"Duplicate note","OK")))))</f>
        <v/>
      </c>
    </row>
    <row r="168">
      <c r="A168" s="26" t="n"/>
      <c r="B168" s="26" t="n"/>
      <c r="C168" s="26" t="n"/>
      <c r="D168" s="30">
        <f>IF(A168="","",IF(COUNTIF('Holders'!$A$4:$A$1003,A168)=0,"Unknown holder ID",IF(COUNTIF('Share classes'!$B$4:$B$203,B168)=0,"Unknown class code",IF(C168="","Missing note",IF(COUNTIFS($A$4:$A$503,A168,$B$4:$B$503,B168)&gt;1,"Duplicate note","OK")))))</f>
        <v/>
      </c>
    </row>
    <row r="169">
      <c r="A169" s="26" t="n"/>
      <c r="B169" s="26" t="n"/>
      <c r="C169" s="26" t="n"/>
      <c r="D169" s="30">
        <f>IF(A169="","",IF(COUNTIF('Holders'!$A$4:$A$1003,A169)=0,"Unknown holder ID",IF(COUNTIF('Share classes'!$B$4:$B$203,B169)=0,"Unknown class code",IF(C169="","Missing note",IF(COUNTIFS($A$4:$A$503,A169,$B$4:$B$503,B169)&gt;1,"Duplicate note","OK")))))</f>
        <v/>
      </c>
    </row>
    <row r="170">
      <c r="A170" s="26" t="n"/>
      <c r="B170" s="26" t="n"/>
      <c r="C170" s="26" t="n"/>
      <c r="D170" s="30">
        <f>IF(A170="","",IF(COUNTIF('Holders'!$A$4:$A$1003,A170)=0,"Unknown holder ID",IF(COUNTIF('Share classes'!$B$4:$B$203,B170)=0,"Unknown class code",IF(C170="","Missing note",IF(COUNTIFS($A$4:$A$503,A170,$B$4:$B$503,B170)&gt;1,"Duplicate note","OK")))))</f>
        <v/>
      </c>
    </row>
    <row r="171">
      <c r="A171" s="26" t="n"/>
      <c r="B171" s="26" t="n"/>
      <c r="C171" s="26" t="n"/>
      <c r="D171" s="30">
        <f>IF(A171="","",IF(COUNTIF('Holders'!$A$4:$A$1003,A171)=0,"Unknown holder ID",IF(COUNTIF('Share classes'!$B$4:$B$203,B171)=0,"Unknown class code",IF(C171="","Missing note",IF(COUNTIFS($A$4:$A$503,A171,$B$4:$B$503,B171)&gt;1,"Duplicate note","OK")))))</f>
        <v/>
      </c>
    </row>
    <row r="172">
      <c r="A172" s="26" t="n"/>
      <c r="B172" s="26" t="n"/>
      <c r="C172" s="26" t="n"/>
      <c r="D172" s="30">
        <f>IF(A172="","",IF(COUNTIF('Holders'!$A$4:$A$1003,A172)=0,"Unknown holder ID",IF(COUNTIF('Share classes'!$B$4:$B$203,B172)=0,"Unknown class code",IF(C172="","Missing note",IF(COUNTIFS($A$4:$A$503,A172,$B$4:$B$503,B172)&gt;1,"Duplicate note","OK")))))</f>
        <v/>
      </c>
    </row>
    <row r="173">
      <c r="A173" s="26" t="n"/>
      <c r="B173" s="26" t="n"/>
      <c r="C173" s="26" t="n"/>
      <c r="D173" s="30">
        <f>IF(A173="","",IF(COUNTIF('Holders'!$A$4:$A$1003,A173)=0,"Unknown holder ID",IF(COUNTIF('Share classes'!$B$4:$B$203,B173)=0,"Unknown class code",IF(C173="","Missing note",IF(COUNTIFS($A$4:$A$503,A173,$B$4:$B$503,B173)&gt;1,"Duplicate note","OK")))))</f>
        <v/>
      </c>
    </row>
    <row r="174">
      <c r="A174" s="26" t="n"/>
      <c r="B174" s="26" t="n"/>
      <c r="C174" s="26" t="n"/>
      <c r="D174" s="30">
        <f>IF(A174="","",IF(COUNTIF('Holders'!$A$4:$A$1003,A174)=0,"Unknown holder ID",IF(COUNTIF('Share classes'!$B$4:$B$203,B174)=0,"Unknown class code",IF(C174="","Missing note",IF(COUNTIFS($A$4:$A$503,A174,$B$4:$B$503,B174)&gt;1,"Duplicate note","OK")))))</f>
        <v/>
      </c>
    </row>
    <row r="175">
      <c r="A175" s="26" t="n"/>
      <c r="B175" s="26" t="n"/>
      <c r="C175" s="26" t="n"/>
      <c r="D175" s="30">
        <f>IF(A175="","",IF(COUNTIF('Holders'!$A$4:$A$1003,A175)=0,"Unknown holder ID",IF(COUNTIF('Share classes'!$B$4:$B$203,B175)=0,"Unknown class code",IF(C175="","Missing note",IF(COUNTIFS($A$4:$A$503,A175,$B$4:$B$503,B175)&gt;1,"Duplicate note","OK")))))</f>
        <v/>
      </c>
    </row>
    <row r="176">
      <c r="A176" s="26" t="n"/>
      <c r="B176" s="26" t="n"/>
      <c r="C176" s="26" t="n"/>
      <c r="D176" s="30">
        <f>IF(A176="","",IF(COUNTIF('Holders'!$A$4:$A$1003,A176)=0,"Unknown holder ID",IF(COUNTIF('Share classes'!$B$4:$B$203,B176)=0,"Unknown class code",IF(C176="","Missing note",IF(COUNTIFS($A$4:$A$503,A176,$B$4:$B$503,B176)&gt;1,"Duplicate note","OK")))))</f>
        <v/>
      </c>
    </row>
    <row r="177">
      <c r="A177" s="26" t="n"/>
      <c r="B177" s="26" t="n"/>
      <c r="C177" s="26" t="n"/>
      <c r="D177" s="30">
        <f>IF(A177="","",IF(COUNTIF('Holders'!$A$4:$A$1003,A177)=0,"Unknown holder ID",IF(COUNTIF('Share classes'!$B$4:$B$203,B177)=0,"Unknown class code",IF(C177="","Missing note",IF(COUNTIFS($A$4:$A$503,A177,$B$4:$B$503,B177)&gt;1,"Duplicate note","OK")))))</f>
        <v/>
      </c>
    </row>
    <row r="178">
      <c r="A178" s="26" t="n"/>
      <c r="B178" s="26" t="n"/>
      <c r="C178" s="26" t="n"/>
      <c r="D178" s="30">
        <f>IF(A178="","",IF(COUNTIF('Holders'!$A$4:$A$1003,A178)=0,"Unknown holder ID",IF(COUNTIF('Share classes'!$B$4:$B$203,B178)=0,"Unknown class code",IF(C178="","Missing note",IF(COUNTIFS($A$4:$A$503,A178,$B$4:$B$503,B178)&gt;1,"Duplicate note","OK")))))</f>
        <v/>
      </c>
    </row>
    <row r="179">
      <c r="A179" s="26" t="n"/>
      <c r="B179" s="26" t="n"/>
      <c r="C179" s="26" t="n"/>
      <c r="D179" s="30">
        <f>IF(A179="","",IF(COUNTIF('Holders'!$A$4:$A$1003,A179)=0,"Unknown holder ID",IF(COUNTIF('Share classes'!$B$4:$B$203,B179)=0,"Unknown class code",IF(C179="","Missing note",IF(COUNTIFS($A$4:$A$503,A179,$B$4:$B$503,B179)&gt;1,"Duplicate note","OK")))))</f>
        <v/>
      </c>
    </row>
    <row r="180">
      <c r="A180" s="26" t="n"/>
      <c r="B180" s="26" t="n"/>
      <c r="C180" s="26" t="n"/>
      <c r="D180" s="30">
        <f>IF(A180="","",IF(COUNTIF('Holders'!$A$4:$A$1003,A180)=0,"Unknown holder ID",IF(COUNTIF('Share classes'!$B$4:$B$203,B180)=0,"Unknown class code",IF(C180="","Missing note",IF(COUNTIFS($A$4:$A$503,A180,$B$4:$B$503,B180)&gt;1,"Duplicate note","OK")))))</f>
        <v/>
      </c>
    </row>
    <row r="181">
      <c r="A181" s="26" t="n"/>
      <c r="B181" s="26" t="n"/>
      <c r="C181" s="26" t="n"/>
      <c r="D181" s="30">
        <f>IF(A181="","",IF(COUNTIF('Holders'!$A$4:$A$1003,A181)=0,"Unknown holder ID",IF(COUNTIF('Share classes'!$B$4:$B$203,B181)=0,"Unknown class code",IF(C181="","Missing note",IF(COUNTIFS($A$4:$A$503,A181,$B$4:$B$503,B181)&gt;1,"Duplicate note","OK")))))</f>
        <v/>
      </c>
    </row>
    <row r="182">
      <c r="A182" s="26" t="n"/>
      <c r="B182" s="26" t="n"/>
      <c r="C182" s="26" t="n"/>
      <c r="D182" s="30">
        <f>IF(A182="","",IF(COUNTIF('Holders'!$A$4:$A$1003,A182)=0,"Unknown holder ID",IF(COUNTIF('Share classes'!$B$4:$B$203,B182)=0,"Unknown class code",IF(C182="","Missing note",IF(COUNTIFS($A$4:$A$503,A182,$B$4:$B$503,B182)&gt;1,"Duplicate note","OK")))))</f>
        <v/>
      </c>
    </row>
    <row r="183">
      <c r="A183" s="26" t="n"/>
      <c r="B183" s="26" t="n"/>
      <c r="C183" s="26" t="n"/>
      <c r="D183" s="30">
        <f>IF(A183="","",IF(COUNTIF('Holders'!$A$4:$A$1003,A183)=0,"Unknown holder ID",IF(COUNTIF('Share classes'!$B$4:$B$203,B183)=0,"Unknown class code",IF(C183="","Missing note",IF(COUNTIFS($A$4:$A$503,A183,$B$4:$B$503,B183)&gt;1,"Duplicate note","OK")))))</f>
        <v/>
      </c>
    </row>
    <row r="184">
      <c r="A184" s="26" t="n"/>
      <c r="B184" s="26" t="n"/>
      <c r="C184" s="26" t="n"/>
      <c r="D184" s="30">
        <f>IF(A184="","",IF(COUNTIF('Holders'!$A$4:$A$1003,A184)=0,"Unknown holder ID",IF(COUNTIF('Share classes'!$B$4:$B$203,B184)=0,"Unknown class code",IF(C184="","Missing note",IF(COUNTIFS($A$4:$A$503,A184,$B$4:$B$503,B184)&gt;1,"Duplicate note","OK")))))</f>
        <v/>
      </c>
    </row>
    <row r="185">
      <c r="A185" s="26" t="n"/>
      <c r="B185" s="26" t="n"/>
      <c r="C185" s="26" t="n"/>
      <c r="D185" s="30">
        <f>IF(A185="","",IF(COUNTIF('Holders'!$A$4:$A$1003,A185)=0,"Unknown holder ID",IF(COUNTIF('Share classes'!$B$4:$B$203,B185)=0,"Unknown class code",IF(C185="","Missing note",IF(COUNTIFS($A$4:$A$503,A185,$B$4:$B$503,B185)&gt;1,"Duplicate note","OK")))))</f>
        <v/>
      </c>
    </row>
    <row r="186">
      <c r="A186" s="26" t="n"/>
      <c r="B186" s="26" t="n"/>
      <c r="C186" s="26" t="n"/>
      <c r="D186" s="30">
        <f>IF(A186="","",IF(COUNTIF('Holders'!$A$4:$A$1003,A186)=0,"Unknown holder ID",IF(COUNTIF('Share classes'!$B$4:$B$203,B186)=0,"Unknown class code",IF(C186="","Missing note",IF(COUNTIFS($A$4:$A$503,A186,$B$4:$B$503,B186)&gt;1,"Duplicate note","OK")))))</f>
        <v/>
      </c>
    </row>
    <row r="187">
      <c r="A187" s="26" t="n"/>
      <c r="B187" s="26" t="n"/>
      <c r="C187" s="26" t="n"/>
      <c r="D187" s="30">
        <f>IF(A187="","",IF(COUNTIF('Holders'!$A$4:$A$1003,A187)=0,"Unknown holder ID",IF(COUNTIF('Share classes'!$B$4:$B$203,B187)=0,"Unknown class code",IF(C187="","Missing note",IF(COUNTIFS($A$4:$A$503,A187,$B$4:$B$503,B187)&gt;1,"Duplicate note","OK")))))</f>
        <v/>
      </c>
    </row>
    <row r="188">
      <c r="A188" s="26" t="n"/>
      <c r="B188" s="26" t="n"/>
      <c r="C188" s="26" t="n"/>
      <c r="D188" s="30">
        <f>IF(A188="","",IF(COUNTIF('Holders'!$A$4:$A$1003,A188)=0,"Unknown holder ID",IF(COUNTIF('Share classes'!$B$4:$B$203,B188)=0,"Unknown class code",IF(C188="","Missing note",IF(COUNTIFS($A$4:$A$503,A188,$B$4:$B$503,B188)&gt;1,"Duplicate note","OK")))))</f>
        <v/>
      </c>
    </row>
    <row r="189">
      <c r="A189" s="26" t="n"/>
      <c r="B189" s="26" t="n"/>
      <c r="C189" s="26" t="n"/>
      <c r="D189" s="30">
        <f>IF(A189="","",IF(COUNTIF('Holders'!$A$4:$A$1003,A189)=0,"Unknown holder ID",IF(COUNTIF('Share classes'!$B$4:$B$203,B189)=0,"Unknown class code",IF(C189="","Missing note",IF(COUNTIFS($A$4:$A$503,A189,$B$4:$B$503,B189)&gt;1,"Duplicate note","OK")))))</f>
        <v/>
      </c>
    </row>
    <row r="190">
      <c r="A190" s="26" t="n"/>
      <c r="B190" s="26" t="n"/>
      <c r="C190" s="26" t="n"/>
      <c r="D190" s="30">
        <f>IF(A190="","",IF(COUNTIF('Holders'!$A$4:$A$1003,A190)=0,"Unknown holder ID",IF(COUNTIF('Share classes'!$B$4:$B$203,B190)=0,"Unknown class code",IF(C190="","Missing note",IF(COUNTIFS($A$4:$A$503,A190,$B$4:$B$503,B190)&gt;1,"Duplicate note","OK")))))</f>
        <v/>
      </c>
    </row>
    <row r="191">
      <c r="A191" s="26" t="n"/>
      <c r="B191" s="26" t="n"/>
      <c r="C191" s="26" t="n"/>
      <c r="D191" s="30">
        <f>IF(A191="","",IF(COUNTIF('Holders'!$A$4:$A$1003,A191)=0,"Unknown holder ID",IF(COUNTIF('Share classes'!$B$4:$B$203,B191)=0,"Unknown class code",IF(C191="","Missing note",IF(COUNTIFS($A$4:$A$503,A191,$B$4:$B$503,B191)&gt;1,"Duplicate note","OK")))))</f>
        <v/>
      </c>
    </row>
    <row r="192">
      <c r="A192" s="26" t="n"/>
      <c r="B192" s="26" t="n"/>
      <c r="C192" s="26" t="n"/>
      <c r="D192" s="30">
        <f>IF(A192="","",IF(COUNTIF('Holders'!$A$4:$A$1003,A192)=0,"Unknown holder ID",IF(COUNTIF('Share classes'!$B$4:$B$203,B192)=0,"Unknown class code",IF(C192="","Missing note",IF(COUNTIFS($A$4:$A$503,A192,$B$4:$B$503,B192)&gt;1,"Duplicate note","OK")))))</f>
        <v/>
      </c>
    </row>
    <row r="193">
      <c r="A193" s="26" t="n"/>
      <c r="B193" s="26" t="n"/>
      <c r="C193" s="26" t="n"/>
      <c r="D193" s="30">
        <f>IF(A193="","",IF(COUNTIF('Holders'!$A$4:$A$1003,A193)=0,"Unknown holder ID",IF(COUNTIF('Share classes'!$B$4:$B$203,B193)=0,"Unknown class code",IF(C193="","Missing note",IF(COUNTIFS($A$4:$A$503,A193,$B$4:$B$503,B193)&gt;1,"Duplicate note","OK")))))</f>
        <v/>
      </c>
    </row>
    <row r="194">
      <c r="A194" s="26" t="n"/>
      <c r="B194" s="26" t="n"/>
      <c r="C194" s="26" t="n"/>
      <c r="D194" s="30">
        <f>IF(A194="","",IF(COUNTIF('Holders'!$A$4:$A$1003,A194)=0,"Unknown holder ID",IF(COUNTIF('Share classes'!$B$4:$B$203,B194)=0,"Unknown class code",IF(C194="","Missing note",IF(COUNTIFS($A$4:$A$503,A194,$B$4:$B$503,B194)&gt;1,"Duplicate note","OK")))))</f>
        <v/>
      </c>
    </row>
    <row r="195">
      <c r="A195" s="26" t="n"/>
      <c r="B195" s="26" t="n"/>
      <c r="C195" s="26" t="n"/>
      <c r="D195" s="30">
        <f>IF(A195="","",IF(COUNTIF('Holders'!$A$4:$A$1003,A195)=0,"Unknown holder ID",IF(COUNTIF('Share classes'!$B$4:$B$203,B195)=0,"Unknown class code",IF(C195="","Missing note",IF(COUNTIFS($A$4:$A$503,A195,$B$4:$B$503,B195)&gt;1,"Duplicate note","OK")))))</f>
        <v/>
      </c>
    </row>
    <row r="196">
      <c r="A196" s="26" t="n"/>
      <c r="B196" s="26" t="n"/>
      <c r="C196" s="26" t="n"/>
      <c r="D196" s="30">
        <f>IF(A196="","",IF(COUNTIF('Holders'!$A$4:$A$1003,A196)=0,"Unknown holder ID",IF(COUNTIF('Share classes'!$B$4:$B$203,B196)=0,"Unknown class code",IF(C196="","Missing note",IF(COUNTIFS($A$4:$A$503,A196,$B$4:$B$503,B196)&gt;1,"Duplicate note","OK")))))</f>
        <v/>
      </c>
    </row>
    <row r="197">
      <c r="A197" s="26" t="n"/>
      <c r="B197" s="26" t="n"/>
      <c r="C197" s="26" t="n"/>
      <c r="D197" s="30">
        <f>IF(A197="","",IF(COUNTIF('Holders'!$A$4:$A$1003,A197)=0,"Unknown holder ID",IF(COUNTIF('Share classes'!$B$4:$B$203,B197)=0,"Unknown class code",IF(C197="","Missing note",IF(COUNTIFS($A$4:$A$503,A197,$B$4:$B$503,B197)&gt;1,"Duplicate note","OK")))))</f>
        <v/>
      </c>
    </row>
    <row r="198">
      <c r="A198" s="26" t="n"/>
      <c r="B198" s="26" t="n"/>
      <c r="C198" s="26" t="n"/>
      <c r="D198" s="30">
        <f>IF(A198="","",IF(COUNTIF('Holders'!$A$4:$A$1003,A198)=0,"Unknown holder ID",IF(COUNTIF('Share classes'!$B$4:$B$203,B198)=0,"Unknown class code",IF(C198="","Missing note",IF(COUNTIFS($A$4:$A$503,A198,$B$4:$B$503,B198)&gt;1,"Duplicate note","OK")))))</f>
        <v/>
      </c>
    </row>
    <row r="199">
      <c r="A199" s="26" t="n"/>
      <c r="B199" s="26" t="n"/>
      <c r="C199" s="26" t="n"/>
      <c r="D199" s="30">
        <f>IF(A199="","",IF(COUNTIF('Holders'!$A$4:$A$1003,A199)=0,"Unknown holder ID",IF(COUNTIF('Share classes'!$B$4:$B$203,B199)=0,"Unknown class code",IF(C199="","Missing note",IF(COUNTIFS($A$4:$A$503,A199,$B$4:$B$503,B199)&gt;1,"Duplicate note","OK")))))</f>
        <v/>
      </c>
    </row>
    <row r="200">
      <c r="A200" s="26" t="n"/>
      <c r="B200" s="26" t="n"/>
      <c r="C200" s="26" t="n"/>
      <c r="D200" s="30">
        <f>IF(A200="","",IF(COUNTIF('Holders'!$A$4:$A$1003,A200)=0,"Unknown holder ID",IF(COUNTIF('Share classes'!$B$4:$B$203,B200)=0,"Unknown class code",IF(C200="","Missing note",IF(COUNTIFS($A$4:$A$503,A200,$B$4:$B$503,B200)&gt;1,"Duplicate note","OK")))))</f>
        <v/>
      </c>
    </row>
    <row r="201">
      <c r="A201" s="26" t="n"/>
      <c r="B201" s="26" t="n"/>
      <c r="C201" s="26" t="n"/>
      <c r="D201" s="30">
        <f>IF(A201="","",IF(COUNTIF('Holders'!$A$4:$A$1003,A201)=0,"Unknown holder ID",IF(COUNTIF('Share classes'!$B$4:$B$203,B201)=0,"Unknown class code",IF(C201="","Missing note",IF(COUNTIFS($A$4:$A$503,A201,$B$4:$B$503,B201)&gt;1,"Duplicate note","OK")))))</f>
        <v/>
      </c>
    </row>
    <row r="202">
      <c r="A202" s="26" t="n"/>
      <c r="B202" s="26" t="n"/>
      <c r="C202" s="26" t="n"/>
      <c r="D202" s="30">
        <f>IF(A202="","",IF(COUNTIF('Holders'!$A$4:$A$1003,A202)=0,"Unknown holder ID",IF(COUNTIF('Share classes'!$B$4:$B$203,B202)=0,"Unknown class code",IF(C202="","Missing note",IF(COUNTIFS($A$4:$A$503,A202,$B$4:$B$503,B202)&gt;1,"Duplicate note","OK")))))</f>
        <v/>
      </c>
    </row>
    <row r="203">
      <c r="A203" s="26" t="n"/>
      <c r="B203" s="26" t="n"/>
      <c r="C203" s="26" t="n"/>
      <c r="D203" s="30">
        <f>IF(A203="","",IF(COUNTIF('Holders'!$A$4:$A$1003,A203)=0,"Unknown holder ID",IF(COUNTIF('Share classes'!$B$4:$B$203,B203)=0,"Unknown class code",IF(C203="","Missing note",IF(COUNTIFS($A$4:$A$503,A203,$B$4:$B$503,B203)&gt;1,"Duplicate note","OK")))))</f>
        <v/>
      </c>
    </row>
    <row r="204">
      <c r="A204" s="26" t="n"/>
      <c r="B204" s="26" t="n"/>
      <c r="C204" s="26" t="n"/>
      <c r="D204" s="30">
        <f>IF(A204="","",IF(COUNTIF('Holders'!$A$4:$A$1003,A204)=0,"Unknown holder ID",IF(COUNTIF('Share classes'!$B$4:$B$203,B204)=0,"Unknown class code",IF(C204="","Missing note",IF(COUNTIFS($A$4:$A$503,A204,$B$4:$B$503,B204)&gt;1,"Duplicate note","OK")))))</f>
        <v/>
      </c>
    </row>
    <row r="205">
      <c r="A205" s="26" t="n"/>
      <c r="B205" s="26" t="n"/>
      <c r="C205" s="26" t="n"/>
      <c r="D205" s="30">
        <f>IF(A205="","",IF(COUNTIF('Holders'!$A$4:$A$1003,A205)=0,"Unknown holder ID",IF(COUNTIF('Share classes'!$B$4:$B$203,B205)=0,"Unknown class code",IF(C205="","Missing note",IF(COUNTIFS($A$4:$A$503,A205,$B$4:$B$503,B205)&gt;1,"Duplicate note","OK")))))</f>
        <v/>
      </c>
    </row>
    <row r="206">
      <c r="A206" s="26" t="n"/>
      <c r="B206" s="26" t="n"/>
      <c r="C206" s="26" t="n"/>
      <c r="D206" s="30">
        <f>IF(A206="","",IF(COUNTIF('Holders'!$A$4:$A$1003,A206)=0,"Unknown holder ID",IF(COUNTIF('Share classes'!$B$4:$B$203,B206)=0,"Unknown class code",IF(C206="","Missing note",IF(COUNTIFS($A$4:$A$503,A206,$B$4:$B$503,B206)&gt;1,"Duplicate note","OK")))))</f>
        <v/>
      </c>
    </row>
    <row r="207">
      <c r="A207" s="26" t="n"/>
      <c r="B207" s="26" t="n"/>
      <c r="C207" s="26" t="n"/>
      <c r="D207" s="30">
        <f>IF(A207="","",IF(COUNTIF('Holders'!$A$4:$A$1003,A207)=0,"Unknown holder ID",IF(COUNTIF('Share classes'!$B$4:$B$203,B207)=0,"Unknown class code",IF(C207="","Missing note",IF(COUNTIFS($A$4:$A$503,A207,$B$4:$B$503,B207)&gt;1,"Duplicate note","OK")))))</f>
        <v/>
      </c>
    </row>
    <row r="208">
      <c r="A208" s="26" t="n"/>
      <c r="B208" s="26" t="n"/>
      <c r="C208" s="26" t="n"/>
      <c r="D208" s="30">
        <f>IF(A208="","",IF(COUNTIF('Holders'!$A$4:$A$1003,A208)=0,"Unknown holder ID",IF(COUNTIF('Share classes'!$B$4:$B$203,B208)=0,"Unknown class code",IF(C208="","Missing note",IF(COUNTIFS($A$4:$A$503,A208,$B$4:$B$503,B208)&gt;1,"Duplicate note","OK")))))</f>
        <v/>
      </c>
    </row>
    <row r="209">
      <c r="A209" s="26" t="n"/>
      <c r="B209" s="26" t="n"/>
      <c r="C209" s="26" t="n"/>
      <c r="D209" s="30">
        <f>IF(A209="","",IF(COUNTIF('Holders'!$A$4:$A$1003,A209)=0,"Unknown holder ID",IF(COUNTIF('Share classes'!$B$4:$B$203,B209)=0,"Unknown class code",IF(C209="","Missing note",IF(COUNTIFS($A$4:$A$503,A209,$B$4:$B$503,B209)&gt;1,"Duplicate note","OK")))))</f>
        <v/>
      </c>
    </row>
    <row r="210">
      <c r="A210" s="26" t="n"/>
      <c r="B210" s="26" t="n"/>
      <c r="C210" s="26" t="n"/>
      <c r="D210" s="30">
        <f>IF(A210="","",IF(COUNTIF('Holders'!$A$4:$A$1003,A210)=0,"Unknown holder ID",IF(COUNTIF('Share classes'!$B$4:$B$203,B210)=0,"Unknown class code",IF(C210="","Missing note",IF(COUNTIFS($A$4:$A$503,A210,$B$4:$B$503,B210)&gt;1,"Duplicate note","OK")))))</f>
        <v/>
      </c>
    </row>
    <row r="211">
      <c r="A211" s="26" t="n"/>
      <c r="B211" s="26" t="n"/>
      <c r="C211" s="26" t="n"/>
      <c r="D211" s="30">
        <f>IF(A211="","",IF(COUNTIF('Holders'!$A$4:$A$1003,A211)=0,"Unknown holder ID",IF(COUNTIF('Share classes'!$B$4:$B$203,B211)=0,"Unknown class code",IF(C211="","Missing note",IF(COUNTIFS($A$4:$A$503,A211,$B$4:$B$503,B211)&gt;1,"Duplicate note","OK")))))</f>
        <v/>
      </c>
    </row>
    <row r="212">
      <c r="A212" s="26" t="n"/>
      <c r="B212" s="26" t="n"/>
      <c r="C212" s="26" t="n"/>
      <c r="D212" s="30">
        <f>IF(A212="","",IF(COUNTIF('Holders'!$A$4:$A$1003,A212)=0,"Unknown holder ID",IF(COUNTIF('Share classes'!$B$4:$B$203,B212)=0,"Unknown class code",IF(C212="","Missing note",IF(COUNTIFS($A$4:$A$503,A212,$B$4:$B$503,B212)&gt;1,"Duplicate note","OK")))))</f>
        <v/>
      </c>
    </row>
    <row r="213">
      <c r="A213" s="26" t="n"/>
      <c r="B213" s="26" t="n"/>
      <c r="C213" s="26" t="n"/>
      <c r="D213" s="30">
        <f>IF(A213="","",IF(COUNTIF('Holders'!$A$4:$A$1003,A213)=0,"Unknown holder ID",IF(COUNTIF('Share classes'!$B$4:$B$203,B213)=0,"Unknown class code",IF(C213="","Missing note",IF(COUNTIFS($A$4:$A$503,A213,$B$4:$B$503,B213)&gt;1,"Duplicate note","OK")))))</f>
        <v/>
      </c>
    </row>
    <row r="214">
      <c r="A214" s="26" t="n"/>
      <c r="B214" s="26" t="n"/>
      <c r="C214" s="26" t="n"/>
      <c r="D214" s="30">
        <f>IF(A214="","",IF(COUNTIF('Holders'!$A$4:$A$1003,A214)=0,"Unknown holder ID",IF(COUNTIF('Share classes'!$B$4:$B$203,B214)=0,"Unknown class code",IF(C214="","Missing note",IF(COUNTIFS($A$4:$A$503,A214,$B$4:$B$503,B214)&gt;1,"Duplicate note","OK")))))</f>
        <v/>
      </c>
    </row>
    <row r="215">
      <c r="A215" s="26" t="n"/>
      <c r="B215" s="26" t="n"/>
      <c r="C215" s="26" t="n"/>
      <c r="D215" s="30">
        <f>IF(A215="","",IF(COUNTIF('Holders'!$A$4:$A$1003,A215)=0,"Unknown holder ID",IF(COUNTIF('Share classes'!$B$4:$B$203,B215)=0,"Unknown class code",IF(C215="","Missing note",IF(COUNTIFS($A$4:$A$503,A215,$B$4:$B$503,B215)&gt;1,"Duplicate note","OK")))))</f>
        <v/>
      </c>
    </row>
    <row r="216">
      <c r="A216" s="26" t="n"/>
      <c r="B216" s="26" t="n"/>
      <c r="C216" s="26" t="n"/>
      <c r="D216" s="30">
        <f>IF(A216="","",IF(COUNTIF('Holders'!$A$4:$A$1003,A216)=0,"Unknown holder ID",IF(COUNTIF('Share classes'!$B$4:$B$203,B216)=0,"Unknown class code",IF(C216="","Missing note",IF(COUNTIFS($A$4:$A$503,A216,$B$4:$B$503,B216)&gt;1,"Duplicate note","OK")))))</f>
        <v/>
      </c>
    </row>
    <row r="217">
      <c r="A217" s="26" t="n"/>
      <c r="B217" s="26" t="n"/>
      <c r="C217" s="26" t="n"/>
      <c r="D217" s="30">
        <f>IF(A217="","",IF(COUNTIF('Holders'!$A$4:$A$1003,A217)=0,"Unknown holder ID",IF(COUNTIF('Share classes'!$B$4:$B$203,B217)=0,"Unknown class code",IF(C217="","Missing note",IF(COUNTIFS($A$4:$A$503,A217,$B$4:$B$503,B217)&gt;1,"Duplicate note","OK")))))</f>
        <v/>
      </c>
    </row>
    <row r="218">
      <c r="A218" s="26" t="n"/>
      <c r="B218" s="26" t="n"/>
      <c r="C218" s="26" t="n"/>
      <c r="D218" s="30">
        <f>IF(A218="","",IF(COUNTIF('Holders'!$A$4:$A$1003,A218)=0,"Unknown holder ID",IF(COUNTIF('Share classes'!$B$4:$B$203,B218)=0,"Unknown class code",IF(C218="","Missing note",IF(COUNTIFS($A$4:$A$503,A218,$B$4:$B$503,B218)&gt;1,"Duplicate note","OK")))))</f>
        <v/>
      </c>
    </row>
    <row r="219">
      <c r="A219" s="26" t="n"/>
      <c r="B219" s="26" t="n"/>
      <c r="C219" s="26" t="n"/>
      <c r="D219" s="30">
        <f>IF(A219="","",IF(COUNTIF('Holders'!$A$4:$A$1003,A219)=0,"Unknown holder ID",IF(COUNTIF('Share classes'!$B$4:$B$203,B219)=0,"Unknown class code",IF(C219="","Missing note",IF(COUNTIFS($A$4:$A$503,A219,$B$4:$B$503,B219)&gt;1,"Duplicate note","OK")))))</f>
        <v/>
      </c>
    </row>
    <row r="220">
      <c r="A220" s="26" t="n"/>
      <c r="B220" s="26" t="n"/>
      <c r="C220" s="26" t="n"/>
      <c r="D220" s="30">
        <f>IF(A220="","",IF(COUNTIF('Holders'!$A$4:$A$1003,A220)=0,"Unknown holder ID",IF(COUNTIF('Share classes'!$B$4:$B$203,B220)=0,"Unknown class code",IF(C220="","Missing note",IF(COUNTIFS($A$4:$A$503,A220,$B$4:$B$503,B220)&gt;1,"Duplicate note","OK")))))</f>
        <v/>
      </c>
    </row>
    <row r="221">
      <c r="A221" s="26" t="n"/>
      <c r="B221" s="26" t="n"/>
      <c r="C221" s="26" t="n"/>
      <c r="D221" s="30">
        <f>IF(A221="","",IF(COUNTIF('Holders'!$A$4:$A$1003,A221)=0,"Unknown holder ID",IF(COUNTIF('Share classes'!$B$4:$B$203,B221)=0,"Unknown class code",IF(C221="","Missing note",IF(COUNTIFS($A$4:$A$503,A221,$B$4:$B$503,B221)&gt;1,"Duplicate note","OK")))))</f>
        <v/>
      </c>
    </row>
    <row r="222">
      <c r="A222" s="26" t="n"/>
      <c r="B222" s="26" t="n"/>
      <c r="C222" s="26" t="n"/>
      <c r="D222" s="30">
        <f>IF(A222="","",IF(COUNTIF('Holders'!$A$4:$A$1003,A222)=0,"Unknown holder ID",IF(COUNTIF('Share classes'!$B$4:$B$203,B222)=0,"Unknown class code",IF(C222="","Missing note",IF(COUNTIFS($A$4:$A$503,A222,$B$4:$B$503,B222)&gt;1,"Duplicate note","OK")))))</f>
        <v/>
      </c>
    </row>
    <row r="223">
      <c r="A223" s="26" t="n"/>
      <c r="B223" s="26" t="n"/>
      <c r="C223" s="26" t="n"/>
      <c r="D223" s="30">
        <f>IF(A223="","",IF(COUNTIF('Holders'!$A$4:$A$1003,A223)=0,"Unknown holder ID",IF(COUNTIF('Share classes'!$B$4:$B$203,B223)=0,"Unknown class code",IF(C223="","Missing note",IF(COUNTIFS($A$4:$A$503,A223,$B$4:$B$503,B223)&gt;1,"Duplicate note","OK")))))</f>
        <v/>
      </c>
    </row>
    <row r="224">
      <c r="A224" s="26" t="n"/>
      <c r="B224" s="26" t="n"/>
      <c r="C224" s="26" t="n"/>
      <c r="D224" s="30">
        <f>IF(A224="","",IF(COUNTIF('Holders'!$A$4:$A$1003,A224)=0,"Unknown holder ID",IF(COUNTIF('Share classes'!$B$4:$B$203,B224)=0,"Unknown class code",IF(C224="","Missing note",IF(COUNTIFS($A$4:$A$503,A224,$B$4:$B$503,B224)&gt;1,"Duplicate note","OK")))))</f>
        <v/>
      </c>
    </row>
    <row r="225">
      <c r="A225" s="26" t="n"/>
      <c r="B225" s="26" t="n"/>
      <c r="C225" s="26" t="n"/>
      <c r="D225" s="30">
        <f>IF(A225="","",IF(COUNTIF('Holders'!$A$4:$A$1003,A225)=0,"Unknown holder ID",IF(COUNTIF('Share classes'!$B$4:$B$203,B225)=0,"Unknown class code",IF(C225="","Missing note",IF(COUNTIFS($A$4:$A$503,A225,$B$4:$B$503,B225)&gt;1,"Duplicate note","OK")))))</f>
        <v/>
      </c>
    </row>
    <row r="226">
      <c r="A226" s="26" t="n"/>
      <c r="B226" s="26" t="n"/>
      <c r="C226" s="26" t="n"/>
      <c r="D226" s="30">
        <f>IF(A226="","",IF(COUNTIF('Holders'!$A$4:$A$1003,A226)=0,"Unknown holder ID",IF(COUNTIF('Share classes'!$B$4:$B$203,B226)=0,"Unknown class code",IF(C226="","Missing note",IF(COUNTIFS($A$4:$A$503,A226,$B$4:$B$503,B226)&gt;1,"Duplicate note","OK")))))</f>
        <v/>
      </c>
    </row>
    <row r="227">
      <c r="A227" s="26" t="n"/>
      <c r="B227" s="26" t="n"/>
      <c r="C227" s="26" t="n"/>
      <c r="D227" s="30">
        <f>IF(A227="","",IF(COUNTIF('Holders'!$A$4:$A$1003,A227)=0,"Unknown holder ID",IF(COUNTIF('Share classes'!$B$4:$B$203,B227)=0,"Unknown class code",IF(C227="","Missing note",IF(COUNTIFS($A$4:$A$503,A227,$B$4:$B$503,B227)&gt;1,"Duplicate note","OK")))))</f>
        <v/>
      </c>
    </row>
    <row r="228">
      <c r="A228" s="26" t="n"/>
      <c r="B228" s="26" t="n"/>
      <c r="C228" s="26" t="n"/>
      <c r="D228" s="30">
        <f>IF(A228="","",IF(COUNTIF('Holders'!$A$4:$A$1003,A228)=0,"Unknown holder ID",IF(COUNTIF('Share classes'!$B$4:$B$203,B228)=0,"Unknown class code",IF(C228="","Missing note",IF(COUNTIFS($A$4:$A$503,A228,$B$4:$B$503,B228)&gt;1,"Duplicate note","OK")))))</f>
        <v/>
      </c>
    </row>
    <row r="229">
      <c r="A229" s="26" t="n"/>
      <c r="B229" s="26" t="n"/>
      <c r="C229" s="26" t="n"/>
      <c r="D229" s="30">
        <f>IF(A229="","",IF(COUNTIF('Holders'!$A$4:$A$1003,A229)=0,"Unknown holder ID",IF(COUNTIF('Share classes'!$B$4:$B$203,B229)=0,"Unknown class code",IF(C229="","Missing note",IF(COUNTIFS($A$4:$A$503,A229,$B$4:$B$503,B229)&gt;1,"Duplicate note","OK")))))</f>
        <v/>
      </c>
    </row>
    <row r="230">
      <c r="A230" s="26" t="n"/>
      <c r="B230" s="26" t="n"/>
      <c r="C230" s="26" t="n"/>
      <c r="D230" s="30">
        <f>IF(A230="","",IF(COUNTIF('Holders'!$A$4:$A$1003,A230)=0,"Unknown holder ID",IF(COUNTIF('Share classes'!$B$4:$B$203,B230)=0,"Unknown class code",IF(C230="","Missing note",IF(COUNTIFS($A$4:$A$503,A230,$B$4:$B$503,B230)&gt;1,"Duplicate note","OK")))))</f>
        <v/>
      </c>
    </row>
    <row r="231">
      <c r="A231" s="26" t="n"/>
      <c r="B231" s="26" t="n"/>
      <c r="C231" s="26" t="n"/>
      <c r="D231" s="30">
        <f>IF(A231="","",IF(COUNTIF('Holders'!$A$4:$A$1003,A231)=0,"Unknown holder ID",IF(COUNTIF('Share classes'!$B$4:$B$203,B231)=0,"Unknown class code",IF(C231="","Missing note",IF(COUNTIFS($A$4:$A$503,A231,$B$4:$B$503,B231)&gt;1,"Duplicate note","OK")))))</f>
        <v/>
      </c>
    </row>
    <row r="232">
      <c r="A232" s="26" t="n"/>
      <c r="B232" s="26" t="n"/>
      <c r="C232" s="26" t="n"/>
      <c r="D232" s="30">
        <f>IF(A232="","",IF(COUNTIF('Holders'!$A$4:$A$1003,A232)=0,"Unknown holder ID",IF(COUNTIF('Share classes'!$B$4:$B$203,B232)=0,"Unknown class code",IF(C232="","Missing note",IF(COUNTIFS($A$4:$A$503,A232,$B$4:$B$503,B232)&gt;1,"Duplicate note","OK")))))</f>
        <v/>
      </c>
    </row>
    <row r="233">
      <c r="A233" s="26" t="n"/>
      <c r="B233" s="26" t="n"/>
      <c r="C233" s="26" t="n"/>
      <c r="D233" s="30">
        <f>IF(A233="","",IF(COUNTIF('Holders'!$A$4:$A$1003,A233)=0,"Unknown holder ID",IF(COUNTIF('Share classes'!$B$4:$B$203,B233)=0,"Unknown class code",IF(C233="","Missing note",IF(COUNTIFS($A$4:$A$503,A233,$B$4:$B$503,B233)&gt;1,"Duplicate note","OK")))))</f>
        <v/>
      </c>
    </row>
    <row r="234">
      <c r="A234" s="26" t="n"/>
      <c r="B234" s="26" t="n"/>
      <c r="C234" s="26" t="n"/>
      <c r="D234" s="30">
        <f>IF(A234="","",IF(COUNTIF('Holders'!$A$4:$A$1003,A234)=0,"Unknown holder ID",IF(COUNTIF('Share classes'!$B$4:$B$203,B234)=0,"Unknown class code",IF(C234="","Missing note",IF(COUNTIFS($A$4:$A$503,A234,$B$4:$B$503,B234)&gt;1,"Duplicate note","OK")))))</f>
        <v/>
      </c>
    </row>
    <row r="235">
      <c r="A235" s="26" t="n"/>
      <c r="B235" s="26" t="n"/>
      <c r="C235" s="26" t="n"/>
      <c r="D235" s="30">
        <f>IF(A235="","",IF(COUNTIF('Holders'!$A$4:$A$1003,A235)=0,"Unknown holder ID",IF(COUNTIF('Share classes'!$B$4:$B$203,B235)=0,"Unknown class code",IF(C235="","Missing note",IF(COUNTIFS($A$4:$A$503,A235,$B$4:$B$503,B235)&gt;1,"Duplicate note","OK")))))</f>
        <v/>
      </c>
    </row>
    <row r="236">
      <c r="A236" s="26" t="n"/>
      <c r="B236" s="26" t="n"/>
      <c r="C236" s="26" t="n"/>
      <c r="D236" s="30">
        <f>IF(A236="","",IF(COUNTIF('Holders'!$A$4:$A$1003,A236)=0,"Unknown holder ID",IF(COUNTIF('Share classes'!$B$4:$B$203,B236)=0,"Unknown class code",IF(C236="","Missing note",IF(COUNTIFS($A$4:$A$503,A236,$B$4:$B$503,B236)&gt;1,"Duplicate note","OK")))))</f>
        <v/>
      </c>
    </row>
    <row r="237">
      <c r="A237" s="26" t="n"/>
      <c r="B237" s="26" t="n"/>
      <c r="C237" s="26" t="n"/>
      <c r="D237" s="30">
        <f>IF(A237="","",IF(COUNTIF('Holders'!$A$4:$A$1003,A237)=0,"Unknown holder ID",IF(COUNTIF('Share classes'!$B$4:$B$203,B237)=0,"Unknown class code",IF(C237="","Missing note",IF(COUNTIFS($A$4:$A$503,A237,$B$4:$B$503,B237)&gt;1,"Duplicate note","OK")))))</f>
        <v/>
      </c>
    </row>
    <row r="238">
      <c r="A238" s="26" t="n"/>
      <c r="B238" s="26" t="n"/>
      <c r="C238" s="26" t="n"/>
      <c r="D238" s="30">
        <f>IF(A238="","",IF(COUNTIF('Holders'!$A$4:$A$1003,A238)=0,"Unknown holder ID",IF(COUNTIF('Share classes'!$B$4:$B$203,B238)=0,"Unknown class code",IF(C238="","Missing note",IF(COUNTIFS($A$4:$A$503,A238,$B$4:$B$503,B238)&gt;1,"Duplicate note","OK")))))</f>
        <v/>
      </c>
    </row>
    <row r="239">
      <c r="A239" s="26" t="n"/>
      <c r="B239" s="26" t="n"/>
      <c r="C239" s="26" t="n"/>
      <c r="D239" s="30">
        <f>IF(A239="","",IF(COUNTIF('Holders'!$A$4:$A$1003,A239)=0,"Unknown holder ID",IF(COUNTIF('Share classes'!$B$4:$B$203,B239)=0,"Unknown class code",IF(C239="","Missing note",IF(COUNTIFS($A$4:$A$503,A239,$B$4:$B$503,B239)&gt;1,"Duplicate note","OK")))))</f>
        <v/>
      </c>
    </row>
    <row r="240">
      <c r="A240" s="26" t="n"/>
      <c r="B240" s="26" t="n"/>
      <c r="C240" s="26" t="n"/>
      <c r="D240" s="30">
        <f>IF(A240="","",IF(COUNTIF('Holders'!$A$4:$A$1003,A240)=0,"Unknown holder ID",IF(COUNTIF('Share classes'!$B$4:$B$203,B240)=0,"Unknown class code",IF(C240="","Missing note",IF(COUNTIFS($A$4:$A$503,A240,$B$4:$B$503,B240)&gt;1,"Duplicate note","OK")))))</f>
        <v/>
      </c>
    </row>
    <row r="241">
      <c r="A241" s="26" t="n"/>
      <c r="B241" s="26" t="n"/>
      <c r="C241" s="26" t="n"/>
      <c r="D241" s="30">
        <f>IF(A241="","",IF(COUNTIF('Holders'!$A$4:$A$1003,A241)=0,"Unknown holder ID",IF(COUNTIF('Share classes'!$B$4:$B$203,B241)=0,"Unknown class code",IF(C241="","Missing note",IF(COUNTIFS($A$4:$A$503,A241,$B$4:$B$503,B241)&gt;1,"Duplicate note","OK")))))</f>
        <v/>
      </c>
    </row>
    <row r="242">
      <c r="A242" s="26" t="n"/>
      <c r="B242" s="26" t="n"/>
      <c r="C242" s="26" t="n"/>
      <c r="D242" s="30">
        <f>IF(A242="","",IF(COUNTIF('Holders'!$A$4:$A$1003,A242)=0,"Unknown holder ID",IF(COUNTIF('Share classes'!$B$4:$B$203,B242)=0,"Unknown class code",IF(C242="","Missing note",IF(COUNTIFS($A$4:$A$503,A242,$B$4:$B$503,B242)&gt;1,"Duplicate note","OK")))))</f>
        <v/>
      </c>
    </row>
    <row r="243">
      <c r="A243" s="26" t="n"/>
      <c r="B243" s="26" t="n"/>
      <c r="C243" s="26" t="n"/>
      <c r="D243" s="30">
        <f>IF(A243="","",IF(COUNTIF('Holders'!$A$4:$A$1003,A243)=0,"Unknown holder ID",IF(COUNTIF('Share classes'!$B$4:$B$203,B243)=0,"Unknown class code",IF(C243="","Missing note",IF(COUNTIFS($A$4:$A$503,A243,$B$4:$B$503,B243)&gt;1,"Duplicate note","OK")))))</f>
        <v/>
      </c>
    </row>
    <row r="244">
      <c r="A244" s="26" t="n"/>
      <c r="B244" s="26" t="n"/>
      <c r="C244" s="26" t="n"/>
      <c r="D244" s="30">
        <f>IF(A244="","",IF(COUNTIF('Holders'!$A$4:$A$1003,A244)=0,"Unknown holder ID",IF(COUNTIF('Share classes'!$B$4:$B$203,B244)=0,"Unknown class code",IF(C244="","Missing note",IF(COUNTIFS($A$4:$A$503,A244,$B$4:$B$503,B244)&gt;1,"Duplicate note","OK")))))</f>
        <v/>
      </c>
    </row>
    <row r="245">
      <c r="A245" s="26" t="n"/>
      <c r="B245" s="26" t="n"/>
      <c r="C245" s="26" t="n"/>
      <c r="D245" s="30">
        <f>IF(A245="","",IF(COUNTIF('Holders'!$A$4:$A$1003,A245)=0,"Unknown holder ID",IF(COUNTIF('Share classes'!$B$4:$B$203,B245)=0,"Unknown class code",IF(C245="","Missing note",IF(COUNTIFS($A$4:$A$503,A245,$B$4:$B$503,B245)&gt;1,"Duplicate note","OK")))))</f>
        <v/>
      </c>
    </row>
    <row r="246">
      <c r="A246" s="26" t="n"/>
      <c r="B246" s="26" t="n"/>
      <c r="C246" s="26" t="n"/>
      <c r="D246" s="30">
        <f>IF(A246="","",IF(COUNTIF('Holders'!$A$4:$A$1003,A246)=0,"Unknown holder ID",IF(COUNTIF('Share classes'!$B$4:$B$203,B246)=0,"Unknown class code",IF(C246="","Missing note",IF(COUNTIFS($A$4:$A$503,A246,$B$4:$B$503,B246)&gt;1,"Duplicate note","OK")))))</f>
        <v/>
      </c>
    </row>
    <row r="247">
      <c r="A247" s="26" t="n"/>
      <c r="B247" s="26" t="n"/>
      <c r="C247" s="26" t="n"/>
      <c r="D247" s="30">
        <f>IF(A247="","",IF(COUNTIF('Holders'!$A$4:$A$1003,A247)=0,"Unknown holder ID",IF(COUNTIF('Share classes'!$B$4:$B$203,B247)=0,"Unknown class code",IF(C247="","Missing note",IF(COUNTIFS($A$4:$A$503,A247,$B$4:$B$503,B247)&gt;1,"Duplicate note","OK")))))</f>
        <v/>
      </c>
    </row>
    <row r="248">
      <c r="A248" s="26" t="n"/>
      <c r="B248" s="26" t="n"/>
      <c r="C248" s="26" t="n"/>
      <c r="D248" s="30">
        <f>IF(A248="","",IF(COUNTIF('Holders'!$A$4:$A$1003,A248)=0,"Unknown holder ID",IF(COUNTIF('Share classes'!$B$4:$B$203,B248)=0,"Unknown class code",IF(C248="","Missing note",IF(COUNTIFS($A$4:$A$503,A248,$B$4:$B$503,B248)&gt;1,"Duplicate note","OK")))))</f>
        <v/>
      </c>
    </row>
    <row r="249">
      <c r="A249" s="26" t="n"/>
      <c r="B249" s="26" t="n"/>
      <c r="C249" s="26" t="n"/>
      <c r="D249" s="30">
        <f>IF(A249="","",IF(COUNTIF('Holders'!$A$4:$A$1003,A249)=0,"Unknown holder ID",IF(COUNTIF('Share classes'!$B$4:$B$203,B249)=0,"Unknown class code",IF(C249="","Missing note",IF(COUNTIFS($A$4:$A$503,A249,$B$4:$B$503,B249)&gt;1,"Duplicate note","OK")))))</f>
        <v/>
      </c>
    </row>
    <row r="250">
      <c r="A250" s="26" t="n"/>
      <c r="B250" s="26" t="n"/>
      <c r="C250" s="26" t="n"/>
      <c r="D250" s="30">
        <f>IF(A250="","",IF(COUNTIF('Holders'!$A$4:$A$1003,A250)=0,"Unknown holder ID",IF(COUNTIF('Share classes'!$B$4:$B$203,B250)=0,"Unknown class code",IF(C250="","Missing note",IF(COUNTIFS($A$4:$A$503,A250,$B$4:$B$503,B250)&gt;1,"Duplicate note","OK")))))</f>
        <v/>
      </c>
    </row>
    <row r="251">
      <c r="A251" s="26" t="n"/>
      <c r="B251" s="26" t="n"/>
      <c r="C251" s="26" t="n"/>
      <c r="D251" s="30">
        <f>IF(A251="","",IF(COUNTIF('Holders'!$A$4:$A$1003,A251)=0,"Unknown holder ID",IF(COUNTIF('Share classes'!$B$4:$B$203,B251)=0,"Unknown class code",IF(C251="","Missing note",IF(COUNTIFS($A$4:$A$503,A251,$B$4:$B$503,B251)&gt;1,"Duplicate note","OK")))))</f>
        <v/>
      </c>
    </row>
    <row r="252">
      <c r="A252" s="26" t="n"/>
      <c r="B252" s="26" t="n"/>
      <c r="C252" s="26" t="n"/>
      <c r="D252" s="30">
        <f>IF(A252="","",IF(COUNTIF('Holders'!$A$4:$A$1003,A252)=0,"Unknown holder ID",IF(COUNTIF('Share classes'!$B$4:$B$203,B252)=0,"Unknown class code",IF(C252="","Missing note",IF(COUNTIFS($A$4:$A$503,A252,$B$4:$B$503,B252)&gt;1,"Duplicate note","OK")))))</f>
        <v/>
      </c>
    </row>
    <row r="253">
      <c r="A253" s="26" t="n"/>
      <c r="B253" s="26" t="n"/>
      <c r="C253" s="26" t="n"/>
      <c r="D253" s="30">
        <f>IF(A253="","",IF(COUNTIF('Holders'!$A$4:$A$1003,A253)=0,"Unknown holder ID",IF(COUNTIF('Share classes'!$B$4:$B$203,B253)=0,"Unknown class code",IF(C253="","Missing note",IF(COUNTIFS($A$4:$A$503,A253,$B$4:$B$503,B253)&gt;1,"Duplicate note","OK")))))</f>
        <v/>
      </c>
    </row>
    <row r="254">
      <c r="A254" s="26" t="n"/>
      <c r="B254" s="26" t="n"/>
      <c r="C254" s="26" t="n"/>
      <c r="D254" s="30">
        <f>IF(A254="","",IF(COUNTIF('Holders'!$A$4:$A$1003,A254)=0,"Unknown holder ID",IF(COUNTIF('Share classes'!$B$4:$B$203,B254)=0,"Unknown class code",IF(C254="","Missing note",IF(COUNTIFS($A$4:$A$503,A254,$B$4:$B$503,B254)&gt;1,"Duplicate note","OK")))))</f>
        <v/>
      </c>
    </row>
    <row r="255">
      <c r="A255" s="26" t="n"/>
      <c r="B255" s="26" t="n"/>
      <c r="C255" s="26" t="n"/>
      <c r="D255" s="30">
        <f>IF(A255="","",IF(COUNTIF('Holders'!$A$4:$A$1003,A255)=0,"Unknown holder ID",IF(COUNTIF('Share classes'!$B$4:$B$203,B255)=0,"Unknown class code",IF(C255="","Missing note",IF(COUNTIFS($A$4:$A$503,A255,$B$4:$B$503,B255)&gt;1,"Duplicate note","OK")))))</f>
        <v/>
      </c>
    </row>
    <row r="256">
      <c r="A256" s="26" t="n"/>
      <c r="B256" s="26" t="n"/>
      <c r="C256" s="26" t="n"/>
      <c r="D256" s="30">
        <f>IF(A256="","",IF(COUNTIF('Holders'!$A$4:$A$1003,A256)=0,"Unknown holder ID",IF(COUNTIF('Share classes'!$B$4:$B$203,B256)=0,"Unknown class code",IF(C256="","Missing note",IF(COUNTIFS($A$4:$A$503,A256,$B$4:$B$503,B256)&gt;1,"Duplicate note","OK")))))</f>
        <v/>
      </c>
    </row>
    <row r="257">
      <c r="A257" s="26" t="n"/>
      <c r="B257" s="26" t="n"/>
      <c r="C257" s="26" t="n"/>
      <c r="D257" s="30">
        <f>IF(A257="","",IF(COUNTIF('Holders'!$A$4:$A$1003,A257)=0,"Unknown holder ID",IF(COUNTIF('Share classes'!$B$4:$B$203,B257)=0,"Unknown class code",IF(C257="","Missing note",IF(COUNTIFS($A$4:$A$503,A257,$B$4:$B$503,B257)&gt;1,"Duplicate note","OK")))))</f>
        <v/>
      </c>
    </row>
    <row r="258">
      <c r="A258" s="26" t="n"/>
      <c r="B258" s="26" t="n"/>
      <c r="C258" s="26" t="n"/>
      <c r="D258" s="30">
        <f>IF(A258="","",IF(COUNTIF('Holders'!$A$4:$A$1003,A258)=0,"Unknown holder ID",IF(COUNTIF('Share classes'!$B$4:$B$203,B258)=0,"Unknown class code",IF(C258="","Missing note",IF(COUNTIFS($A$4:$A$503,A258,$B$4:$B$503,B258)&gt;1,"Duplicate note","OK")))))</f>
        <v/>
      </c>
    </row>
    <row r="259">
      <c r="A259" s="26" t="n"/>
      <c r="B259" s="26" t="n"/>
      <c r="C259" s="26" t="n"/>
      <c r="D259" s="30">
        <f>IF(A259="","",IF(COUNTIF('Holders'!$A$4:$A$1003,A259)=0,"Unknown holder ID",IF(COUNTIF('Share classes'!$B$4:$B$203,B259)=0,"Unknown class code",IF(C259="","Missing note",IF(COUNTIFS($A$4:$A$503,A259,$B$4:$B$503,B259)&gt;1,"Duplicate note","OK")))))</f>
        <v/>
      </c>
    </row>
    <row r="260">
      <c r="A260" s="26" t="n"/>
      <c r="B260" s="26" t="n"/>
      <c r="C260" s="26" t="n"/>
      <c r="D260" s="30">
        <f>IF(A260="","",IF(COUNTIF('Holders'!$A$4:$A$1003,A260)=0,"Unknown holder ID",IF(COUNTIF('Share classes'!$B$4:$B$203,B260)=0,"Unknown class code",IF(C260="","Missing note",IF(COUNTIFS($A$4:$A$503,A260,$B$4:$B$503,B260)&gt;1,"Duplicate note","OK")))))</f>
        <v/>
      </c>
    </row>
    <row r="261">
      <c r="A261" s="26" t="n"/>
      <c r="B261" s="26" t="n"/>
      <c r="C261" s="26" t="n"/>
      <c r="D261" s="30">
        <f>IF(A261="","",IF(COUNTIF('Holders'!$A$4:$A$1003,A261)=0,"Unknown holder ID",IF(COUNTIF('Share classes'!$B$4:$B$203,B261)=0,"Unknown class code",IF(C261="","Missing note",IF(COUNTIFS($A$4:$A$503,A261,$B$4:$B$503,B261)&gt;1,"Duplicate note","OK")))))</f>
        <v/>
      </c>
    </row>
    <row r="262">
      <c r="A262" s="26" t="n"/>
      <c r="B262" s="26" t="n"/>
      <c r="C262" s="26" t="n"/>
      <c r="D262" s="30">
        <f>IF(A262="","",IF(COUNTIF('Holders'!$A$4:$A$1003,A262)=0,"Unknown holder ID",IF(COUNTIF('Share classes'!$B$4:$B$203,B262)=0,"Unknown class code",IF(C262="","Missing note",IF(COUNTIFS($A$4:$A$503,A262,$B$4:$B$503,B262)&gt;1,"Duplicate note","OK")))))</f>
        <v/>
      </c>
    </row>
    <row r="263">
      <c r="A263" s="26" t="n"/>
      <c r="B263" s="26" t="n"/>
      <c r="C263" s="26" t="n"/>
      <c r="D263" s="30">
        <f>IF(A263="","",IF(COUNTIF('Holders'!$A$4:$A$1003,A263)=0,"Unknown holder ID",IF(COUNTIF('Share classes'!$B$4:$B$203,B263)=0,"Unknown class code",IF(C263="","Missing note",IF(COUNTIFS($A$4:$A$503,A263,$B$4:$B$503,B263)&gt;1,"Duplicate note","OK")))))</f>
        <v/>
      </c>
    </row>
    <row r="264">
      <c r="A264" s="26" t="n"/>
      <c r="B264" s="26" t="n"/>
      <c r="C264" s="26" t="n"/>
      <c r="D264" s="30">
        <f>IF(A264="","",IF(COUNTIF('Holders'!$A$4:$A$1003,A264)=0,"Unknown holder ID",IF(COUNTIF('Share classes'!$B$4:$B$203,B264)=0,"Unknown class code",IF(C264="","Missing note",IF(COUNTIFS($A$4:$A$503,A264,$B$4:$B$503,B264)&gt;1,"Duplicate note","OK")))))</f>
        <v/>
      </c>
    </row>
    <row r="265">
      <c r="A265" s="26" t="n"/>
      <c r="B265" s="26" t="n"/>
      <c r="C265" s="26" t="n"/>
      <c r="D265" s="30">
        <f>IF(A265="","",IF(COUNTIF('Holders'!$A$4:$A$1003,A265)=0,"Unknown holder ID",IF(COUNTIF('Share classes'!$B$4:$B$203,B265)=0,"Unknown class code",IF(C265="","Missing note",IF(COUNTIFS($A$4:$A$503,A265,$B$4:$B$503,B265)&gt;1,"Duplicate note","OK")))))</f>
        <v/>
      </c>
    </row>
    <row r="266">
      <c r="A266" s="26" t="n"/>
      <c r="B266" s="26" t="n"/>
      <c r="C266" s="26" t="n"/>
      <c r="D266" s="30">
        <f>IF(A266="","",IF(COUNTIF('Holders'!$A$4:$A$1003,A266)=0,"Unknown holder ID",IF(COUNTIF('Share classes'!$B$4:$B$203,B266)=0,"Unknown class code",IF(C266="","Missing note",IF(COUNTIFS($A$4:$A$503,A266,$B$4:$B$503,B266)&gt;1,"Duplicate note","OK")))))</f>
        <v/>
      </c>
    </row>
    <row r="267">
      <c r="A267" s="26" t="n"/>
      <c r="B267" s="26" t="n"/>
      <c r="C267" s="26" t="n"/>
      <c r="D267" s="30">
        <f>IF(A267="","",IF(COUNTIF('Holders'!$A$4:$A$1003,A267)=0,"Unknown holder ID",IF(COUNTIF('Share classes'!$B$4:$B$203,B267)=0,"Unknown class code",IF(C267="","Missing note",IF(COUNTIFS($A$4:$A$503,A267,$B$4:$B$503,B267)&gt;1,"Duplicate note","OK")))))</f>
        <v/>
      </c>
    </row>
    <row r="268">
      <c r="A268" s="26" t="n"/>
      <c r="B268" s="26" t="n"/>
      <c r="C268" s="26" t="n"/>
      <c r="D268" s="30">
        <f>IF(A268="","",IF(COUNTIF('Holders'!$A$4:$A$1003,A268)=0,"Unknown holder ID",IF(COUNTIF('Share classes'!$B$4:$B$203,B268)=0,"Unknown class code",IF(C268="","Missing note",IF(COUNTIFS($A$4:$A$503,A268,$B$4:$B$503,B268)&gt;1,"Duplicate note","OK")))))</f>
        <v/>
      </c>
    </row>
    <row r="269">
      <c r="A269" s="26" t="n"/>
      <c r="B269" s="26" t="n"/>
      <c r="C269" s="26" t="n"/>
      <c r="D269" s="30">
        <f>IF(A269="","",IF(COUNTIF('Holders'!$A$4:$A$1003,A269)=0,"Unknown holder ID",IF(COUNTIF('Share classes'!$B$4:$B$203,B269)=0,"Unknown class code",IF(C269="","Missing note",IF(COUNTIFS($A$4:$A$503,A269,$B$4:$B$503,B269)&gt;1,"Duplicate note","OK")))))</f>
        <v/>
      </c>
    </row>
    <row r="270">
      <c r="A270" s="26" t="n"/>
      <c r="B270" s="26" t="n"/>
      <c r="C270" s="26" t="n"/>
      <c r="D270" s="30">
        <f>IF(A270="","",IF(COUNTIF('Holders'!$A$4:$A$1003,A270)=0,"Unknown holder ID",IF(COUNTIF('Share classes'!$B$4:$B$203,B270)=0,"Unknown class code",IF(C270="","Missing note",IF(COUNTIFS($A$4:$A$503,A270,$B$4:$B$503,B270)&gt;1,"Duplicate note","OK")))))</f>
        <v/>
      </c>
    </row>
    <row r="271">
      <c r="A271" s="26" t="n"/>
      <c r="B271" s="26" t="n"/>
      <c r="C271" s="26" t="n"/>
      <c r="D271" s="30">
        <f>IF(A271="","",IF(COUNTIF('Holders'!$A$4:$A$1003,A271)=0,"Unknown holder ID",IF(COUNTIF('Share classes'!$B$4:$B$203,B271)=0,"Unknown class code",IF(C271="","Missing note",IF(COUNTIFS($A$4:$A$503,A271,$B$4:$B$503,B271)&gt;1,"Duplicate note","OK")))))</f>
        <v/>
      </c>
    </row>
    <row r="272">
      <c r="A272" s="26" t="n"/>
      <c r="B272" s="26" t="n"/>
      <c r="C272" s="26" t="n"/>
      <c r="D272" s="30">
        <f>IF(A272="","",IF(COUNTIF('Holders'!$A$4:$A$1003,A272)=0,"Unknown holder ID",IF(COUNTIF('Share classes'!$B$4:$B$203,B272)=0,"Unknown class code",IF(C272="","Missing note",IF(COUNTIFS($A$4:$A$503,A272,$B$4:$B$503,B272)&gt;1,"Duplicate note","OK")))))</f>
        <v/>
      </c>
    </row>
    <row r="273">
      <c r="A273" s="26" t="n"/>
      <c r="B273" s="26" t="n"/>
      <c r="C273" s="26" t="n"/>
      <c r="D273" s="30">
        <f>IF(A273="","",IF(COUNTIF('Holders'!$A$4:$A$1003,A273)=0,"Unknown holder ID",IF(COUNTIF('Share classes'!$B$4:$B$203,B273)=0,"Unknown class code",IF(C273="","Missing note",IF(COUNTIFS($A$4:$A$503,A273,$B$4:$B$503,B273)&gt;1,"Duplicate note","OK")))))</f>
        <v/>
      </c>
    </row>
    <row r="274">
      <c r="A274" s="26" t="n"/>
      <c r="B274" s="26" t="n"/>
      <c r="C274" s="26" t="n"/>
      <c r="D274" s="30">
        <f>IF(A274="","",IF(COUNTIF('Holders'!$A$4:$A$1003,A274)=0,"Unknown holder ID",IF(COUNTIF('Share classes'!$B$4:$B$203,B274)=0,"Unknown class code",IF(C274="","Missing note",IF(COUNTIFS($A$4:$A$503,A274,$B$4:$B$503,B274)&gt;1,"Duplicate note","OK")))))</f>
        <v/>
      </c>
    </row>
    <row r="275">
      <c r="A275" s="26" t="n"/>
      <c r="B275" s="26" t="n"/>
      <c r="C275" s="26" t="n"/>
      <c r="D275" s="30">
        <f>IF(A275="","",IF(COUNTIF('Holders'!$A$4:$A$1003,A275)=0,"Unknown holder ID",IF(COUNTIF('Share classes'!$B$4:$B$203,B275)=0,"Unknown class code",IF(C275="","Missing note",IF(COUNTIFS($A$4:$A$503,A275,$B$4:$B$503,B275)&gt;1,"Duplicate note","OK")))))</f>
        <v/>
      </c>
    </row>
    <row r="276">
      <c r="A276" s="26" t="n"/>
      <c r="B276" s="26" t="n"/>
      <c r="C276" s="26" t="n"/>
      <c r="D276" s="30">
        <f>IF(A276="","",IF(COUNTIF('Holders'!$A$4:$A$1003,A276)=0,"Unknown holder ID",IF(COUNTIF('Share classes'!$B$4:$B$203,B276)=0,"Unknown class code",IF(C276="","Missing note",IF(COUNTIFS($A$4:$A$503,A276,$B$4:$B$503,B276)&gt;1,"Duplicate note","OK")))))</f>
        <v/>
      </c>
    </row>
    <row r="277">
      <c r="A277" s="26" t="n"/>
      <c r="B277" s="26" t="n"/>
      <c r="C277" s="26" t="n"/>
      <c r="D277" s="30">
        <f>IF(A277="","",IF(COUNTIF('Holders'!$A$4:$A$1003,A277)=0,"Unknown holder ID",IF(COUNTIF('Share classes'!$B$4:$B$203,B277)=0,"Unknown class code",IF(C277="","Missing note",IF(COUNTIFS($A$4:$A$503,A277,$B$4:$B$503,B277)&gt;1,"Duplicate note","OK")))))</f>
        <v/>
      </c>
    </row>
    <row r="278">
      <c r="A278" s="26" t="n"/>
      <c r="B278" s="26" t="n"/>
      <c r="C278" s="26" t="n"/>
      <c r="D278" s="30">
        <f>IF(A278="","",IF(COUNTIF('Holders'!$A$4:$A$1003,A278)=0,"Unknown holder ID",IF(COUNTIF('Share classes'!$B$4:$B$203,B278)=0,"Unknown class code",IF(C278="","Missing note",IF(COUNTIFS($A$4:$A$503,A278,$B$4:$B$503,B278)&gt;1,"Duplicate note","OK")))))</f>
        <v/>
      </c>
    </row>
    <row r="279">
      <c r="A279" s="26" t="n"/>
      <c r="B279" s="26" t="n"/>
      <c r="C279" s="26" t="n"/>
      <c r="D279" s="30">
        <f>IF(A279="","",IF(COUNTIF('Holders'!$A$4:$A$1003,A279)=0,"Unknown holder ID",IF(COUNTIF('Share classes'!$B$4:$B$203,B279)=0,"Unknown class code",IF(C279="","Missing note",IF(COUNTIFS($A$4:$A$503,A279,$B$4:$B$503,B279)&gt;1,"Duplicate note","OK")))))</f>
        <v/>
      </c>
    </row>
    <row r="280">
      <c r="A280" s="26" t="n"/>
      <c r="B280" s="26" t="n"/>
      <c r="C280" s="26" t="n"/>
      <c r="D280" s="30">
        <f>IF(A280="","",IF(COUNTIF('Holders'!$A$4:$A$1003,A280)=0,"Unknown holder ID",IF(COUNTIF('Share classes'!$B$4:$B$203,B280)=0,"Unknown class code",IF(C280="","Missing note",IF(COUNTIFS($A$4:$A$503,A280,$B$4:$B$503,B280)&gt;1,"Duplicate note","OK")))))</f>
        <v/>
      </c>
    </row>
    <row r="281">
      <c r="A281" s="26" t="n"/>
      <c r="B281" s="26" t="n"/>
      <c r="C281" s="26" t="n"/>
      <c r="D281" s="30">
        <f>IF(A281="","",IF(COUNTIF('Holders'!$A$4:$A$1003,A281)=0,"Unknown holder ID",IF(COUNTIF('Share classes'!$B$4:$B$203,B281)=0,"Unknown class code",IF(C281="","Missing note",IF(COUNTIFS($A$4:$A$503,A281,$B$4:$B$503,B281)&gt;1,"Duplicate note","OK")))))</f>
        <v/>
      </c>
    </row>
    <row r="282">
      <c r="A282" s="26" t="n"/>
      <c r="B282" s="26" t="n"/>
      <c r="C282" s="26" t="n"/>
      <c r="D282" s="30">
        <f>IF(A282="","",IF(COUNTIF('Holders'!$A$4:$A$1003,A282)=0,"Unknown holder ID",IF(COUNTIF('Share classes'!$B$4:$B$203,B282)=0,"Unknown class code",IF(C282="","Missing note",IF(COUNTIFS($A$4:$A$503,A282,$B$4:$B$503,B282)&gt;1,"Duplicate note","OK")))))</f>
        <v/>
      </c>
    </row>
    <row r="283">
      <c r="A283" s="26" t="n"/>
      <c r="B283" s="26" t="n"/>
      <c r="C283" s="26" t="n"/>
      <c r="D283" s="30">
        <f>IF(A283="","",IF(COUNTIF('Holders'!$A$4:$A$1003,A283)=0,"Unknown holder ID",IF(COUNTIF('Share classes'!$B$4:$B$203,B283)=0,"Unknown class code",IF(C283="","Missing note",IF(COUNTIFS($A$4:$A$503,A283,$B$4:$B$503,B283)&gt;1,"Duplicate note","OK")))))</f>
        <v/>
      </c>
    </row>
    <row r="284">
      <c r="A284" s="26" t="n"/>
      <c r="B284" s="26" t="n"/>
      <c r="C284" s="26" t="n"/>
      <c r="D284" s="30">
        <f>IF(A284="","",IF(COUNTIF('Holders'!$A$4:$A$1003,A284)=0,"Unknown holder ID",IF(COUNTIF('Share classes'!$B$4:$B$203,B284)=0,"Unknown class code",IF(C284="","Missing note",IF(COUNTIFS($A$4:$A$503,A284,$B$4:$B$503,B284)&gt;1,"Duplicate note","OK")))))</f>
        <v/>
      </c>
    </row>
    <row r="285">
      <c r="A285" s="26" t="n"/>
      <c r="B285" s="26" t="n"/>
      <c r="C285" s="26" t="n"/>
      <c r="D285" s="30">
        <f>IF(A285="","",IF(COUNTIF('Holders'!$A$4:$A$1003,A285)=0,"Unknown holder ID",IF(COUNTIF('Share classes'!$B$4:$B$203,B285)=0,"Unknown class code",IF(C285="","Missing note",IF(COUNTIFS($A$4:$A$503,A285,$B$4:$B$503,B285)&gt;1,"Duplicate note","OK")))))</f>
        <v/>
      </c>
    </row>
    <row r="286">
      <c r="A286" s="26" t="n"/>
      <c r="B286" s="26" t="n"/>
      <c r="C286" s="26" t="n"/>
      <c r="D286" s="30">
        <f>IF(A286="","",IF(COUNTIF('Holders'!$A$4:$A$1003,A286)=0,"Unknown holder ID",IF(COUNTIF('Share classes'!$B$4:$B$203,B286)=0,"Unknown class code",IF(C286="","Missing note",IF(COUNTIFS($A$4:$A$503,A286,$B$4:$B$503,B286)&gt;1,"Duplicate note","OK")))))</f>
        <v/>
      </c>
    </row>
    <row r="287">
      <c r="A287" s="26" t="n"/>
      <c r="B287" s="26" t="n"/>
      <c r="C287" s="26" t="n"/>
      <c r="D287" s="30">
        <f>IF(A287="","",IF(COUNTIF('Holders'!$A$4:$A$1003,A287)=0,"Unknown holder ID",IF(COUNTIF('Share classes'!$B$4:$B$203,B287)=0,"Unknown class code",IF(C287="","Missing note",IF(COUNTIFS($A$4:$A$503,A287,$B$4:$B$503,B287)&gt;1,"Duplicate note","OK")))))</f>
        <v/>
      </c>
    </row>
    <row r="288">
      <c r="A288" s="26" t="n"/>
      <c r="B288" s="26" t="n"/>
      <c r="C288" s="26" t="n"/>
      <c r="D288" s="30">
        <f>IF(A288="","",IF(COUNTIF('Holders'!$A$4:$A$1003,A288)=0,"Unknown holder ID",IF(COUNTIF('Share classes'!$B$4:$B$203,B288)=0,"Unknown class code",IF(C288="","Missing note",IF(COUNTIFS($A$4:$A$503,A288,$B$4:$B$503,B288)&gt;1,"Duplicate note","OK")))))</f>
        <v/>
      </c>
    </row>
    <row r="289">
      <c r="A289" s="26" t="n"/>
      <c r="B289" s="26" t="n"/>
      <c r="C289" s="26" t="n"/>
      <c r="D289" s="30">
        <f>IF(A289="","",IF(COUNTIF('Holders'!$A$4:$A$1003,A289)=0,"Unknown holder ID",IF(COUNTIF('Share classes'!$B$4:$B$203,B289)=0,"Unknown class code",IF(C289="","Missing note",IF(COUNTIFS($A$4:$A$503,A289,$B$4:$B$503,B289)&gt;1,"Duplicate note","OK")))))</f>
        <v/>
      </c>
    </row>
    <row r="290">
      <c r="A290" s="26" t="n"/>
      <c r="B290" s="26" t="n"/>
      <c r="C290" s="26" t="n"/>
      <c r="D290" s="30">
        <f>IF(A290="","",IF(COUNTIF('Holders'!$A$4:$A$1003,A290)=0,"Unknown holder ID",IF(COUNTIF('Share classes'!$B$4:$B$203,B290)=0,"Unknown class code",IF(C290="","Missing note",IF(COUNTIFS($A$4:$A$503,A290,$B$4:$B$503,B290)&gt;1,"Duplicate note","OK")))))</f>
        <v/>
      </c>
    </row>
    <row r="291">
      <c r="A291" s="26" t="n"/>
      <c r="B291" s="26" t="n"/>
      <c r="C291" s="26" t="n"/>
      <c r="D291" s="30">
        <f>IF(A291="","",IF(COUNTIF('Holders'!$A$4:$A$1003,A291)=0,"Unknown holder ID",IF(COUNTIF('Share classes'!$B$4:$B$203,B291)=0,"Unknown class code",IF(C291="","Missing note",IF(COUNTIFS($A$4:$A$503,A291,$B$4:$B$503,B291)&gt;1,"Duplicate note","OK")))))</f>
        <v/>
      </c>
    </row>
    <row r="292">
      <c r="A292" s="26" t="n"/>
      <c r="B292" s="26" t="n"/>
      <c r="C292" s="26" t="n"/>
      <c r="D292" s="30">
        <f>IF(A292="","",IF(COUNTIF('Holders'!$A$4:$A$1003,A292)=0,"Unknown holder ID",IF(COUNTIF('Share classes'!$B$4:$B$203,B292)=0,"Unknown class code",IF(C292="","Missing note",IF(COUNTIFS($A$4:$A$503,A292,$B$4:$B$503,B292)&gt;1,"Duplicate note","OK")))))</f>
        <v/>
      </c>
    </row>
    <row r="293">
      <c r="A293" s="26" t="n"/>
      <c r="B293" s="26" t="n"/>
      <c r="C293" s="26" t="n"/>
      <c r="D293" s="30">
        <f>IF(A293="","",IF(COUNTIF('Holders'!$A$4:$A$1003,A293)=0,"Unknown holder ID",IF(COUNTIF('Share classes'!$B$4:$B$203,B293)=0,"Unknown class code",IF(C293="","Missing note",IF(COUNTIFS($A$4:$A$503,A293,$B$4:$B$503,B293)&gt;1,"Duplicate note","OK")))))</f>
        <v/>
      </c>
    </row>
    <row r="294">
      <c r="A294" s="26" t="n"/>
      <c r="B294" s="26" t="n"/>
      <c r="C294" s="26" t="n"/>
      <c r="D294" s="30">
        <f>IF(A294="","",IF(COUNTIF('Holders'!$A$4:$A$1003,A294)=0,"Unknown holder ID",IF(COUNTIF('Share classes'!$B$4:$B$203,B294)=0,"Unknown class code",IF(C294="","Missing note",IF(COUNTIFS($A$4:$A$503,A294,$B$4:$B$503,B294)&gt;1,"Duplicate note","OK")))))</f>
        <v/>
      </c>
    </row>
    <row r="295">
      <c r="A295" s="26" t="n"/>
      <c r="B295" s="26" t="n"/>
      <c r="C295" s="26" t="n"/>
      <c r="D295" s="30">
        <f>IF(A295="","",IF(COUNTIF('Holders'!$A$4:$A$1003,A295)=0,"Unknown holder ID",IF(COUNTIF('Share classes'!$B$4:$B$203,B295)=0,"Unknown class code",IF(C295="","Missing note",IF(COUNTIFS($A$4:$A$503,A295,$B$4:$B$503,B295)&gt;1,"Duplicate note","OK")))))</f>
        <v/>
      </c>
    </row>
    <row r="296">
      <c r="A296" s="26" t="n"/>
      <c r="B296" s="26" t="n"/>
      <c r="C296" s="26" t="n"/>
      <c r="D296" s="30">
        <f>IF(A296="","",IF(COUNTIF('Holders'!$A$4:$A$1003,A296)=0,"Unknown holder ID",IF(COUNTIF('Share classes'!$B$4:$B$203,B296)=0,"Unknown class code",IF(C296="","Missing note",IF(COUNTIFS($A$4:$A$503,A296,$B$4:$B$503,B296)&gt;1,"Duplicate note","OK")))))</f>
        <v/>
      </c>
    </row>
    <row r="297">
      <c r="A297" s="26" t="n"/>
      <c r="B297" s="26" t="n"/>
      <c r="C297" s="26" t="n"/>
      <c r="D297" s="30">
        <f>IF(A297="","",IF(COUNTIF('Holders'!$A$4:$A$1003,A297)=0,"Unknown holder ID",IF(COUNTIF('Share classes'!$B$4:$B$203,B297)=0,"Unknown class code",IF(C297="","Missing note",IF(COUNTIFS($A$4:$A$503,A297,$B$4:$B$503,B297)&gt;1,"Duplicate note","OK")))))</f>
        <v/>
      </c>
    </row>
    <row r="298">
      <c r="A298" s="26" t="n"/>
      <c r="B298" s="26" t="n"/>
      <c r="C298" s="26" t="n"/>
      <c r="D298" s="30">
        <f>IF(A298="","",IF(COUNTIF('Holders'!$A$4:$A$1003,A298)=0,"Unknown holder ID",IF(COUNTIF('Share classes'!$B$4:$B$203,B298)=0,"Unknown class code",IF(C298="","Missing note",IF(COUNTIFS($A$4:$A$503,A298,$B$4:$B$503,B298)&gt;1,"Duplicate note","OK")))))</f>
        <v/>
      </c>
    </row>
    <row r="299">
      <c r="A299" s="26" t="n"/>
      <c r="B299" s="26" t="n"/>
      <c r="C299" s="26" t="n"/>
      <c r="D299" s="30">
        <f>IF(A299="","",IF(COUNTIF('Holders'!$A$4:$A$1003,A299)=0,"Unknown holder ID",IF(COUNTIF('Share classes'!$B$4:$B$203,B299)=0,"Unknown class code",IF(C299="","Missing note",IF(COUNTIFS($A$4:$A$503,A299,$B$4:$B$503,B299)&gt;1,"Duplicate note","OK")))))</f>
        <v/>
      </c>
    </row>
    <row r="300">
      <c r="A300" s="26" t="n"/>
      <c r="B300" s="26" t="n"/>
      <c r="C300" s="26" t="n"/>
      <c r="D300" s="30">
        <f>IF(A300="","",IF(COUNTIF('Holders'!$A$4:$A$1003,A300)=0,"Unknown holder ID",IF(COUNTIF('Share classes'!$B$4:$B$203,B300)=0,"Unknown class code",IF(C300="","Missing note",IF(COUNTIFS($A$4:$A$503,A300,$B$4:$B$503,B300)&gt;1,"Duplicate note","OK")))))</f>
        <v/>
      </c>
    </row>
    <row r="301">
      <c r="A301" s="26" t="n"/>
      <c r="B301" s="26" t="n"/>
      <c r="C301" s="26" t="n"/>
      <c r="D301" s="30">
        <f>IF(A301="","",IF(COUNTIF('Holders'!$A$4:$A$1003,A301)=0,"Unknown holder ID",IF(COUNTIF('Share classes'!$B$4:$B$203,B301)=0,"Unknown class code",IF(C301="","Missing note",IF(COUNTIFS($A$4:$A$503,A301,$B$4:$B$503,B301)&gt;1,"Duplicate note","OK")))))</f>
        <v/>
      </c>
    </row>
    <row r="302">
      <c r="A302" s="26" t="n"/>
      <c r="B302" s="26" t="n"/>
      <c r="C302" s="26" t="n"/>
      <c r="D302" s="30">
        <f>IF(A302="","",IF(COUNTIF('Holders'!$A$4:$A$1003,A302)=0,"Unknown holder ID",IF(COUNTIF('Share classes'!$B$4:$B$203,B302)=0,"Unknown class code",IF(C302="","Missing note",IF(COUNTIFS($A$4:$A$503,A302,$B$4:$B$503,B302)&gt;1,"Duplicate note","OK")))))</f>
        <v/>
      </c>
    </row>
    <row r="303">
      <c r="A303" s="26" t="n"/>
      <c r="B303" s="26" t="n"/>
      <c r="C303" s="26" t="n"/>
      <c r="D303" s="30">
        <f>IF(A303="","",IF(COUNTIF('Holders'!$A$4:$A$1003,A303)=0,"Unknown holder ID",IF(COUNTIF('Share classes'!$B$4:$B$203,B303)=0,"Unknown class code",IF(C303="","Missing note",IF(COUNTIFS($A$4:$A$503,A303,$B$4:$B$503,B303)&gt;1,"Duplicate note","OK")))))</f>
        <v/>
      </c>
    </row>
    <row r="304">
      <c r="A304" s="26" t="n"/>
      <c r="B304" s="26" t="n"/>
      <c r="C304" s="26" t="n"/>
      <c r="D304" s="30">
        <f>IF(A304="","",IF(COUNTIF('Holders'!$A$4:$A$1003,A304)=0,"Unknown holder ID",IF(COUNTIF('Share classes'!$B$4:$B$203,B304)=0,"Unknown class code",IF(C304="","Missing note",IF(COUNTIFS($A$4:$A$503,A304,$B$4:$B$503,B304)&gt;1,"Duplicate note","OK")))))</f>
        <v/>
      </c>
    </row>
    <row r="305">
      <c r="A305" s="26" t="n"/>
      <c r="B305" s="26" t="n"/>
      <c r="C305" s="26" t="n"/>
      <c r="D305" s="30">
        <f>IF(A305="","",IF(COUNTIF('Holders'!$A$4:$A$1003,A305)=0,"Unknown holder ID",IF(COUNTIF('Share classes'!$B$4:$B$203,B305)=0,"Unknown class code",IF(C305="","Missing note",IF(COUNTIFS($A$4:$A$503,A305,$B$4:$B$503,B305)&gt;1,"Duplicate note","OK")))))</f>
        <v/>
      </c>
    </row>
    <row r="306">
      <c r="A306" s="26" t="n"/>
      <c r="B306" s="26" t="n"/>
      <c r="C306" s="26" t="n"/>
      <c r="D306" s="30">
        <f>IF(A306="","",IF(COUNTIF('Holders'!$A$4:$A$1003,A306)=0,"Unknown holder ID",IF(COUNTIF('Share classes'!$B$4:$B$203,B306)=0,"Unknown class code",IF(C306="","Missing note",IF(COUNTIFS($A$4:$A$503,A306,$B$4:$B$503,B306)&gt;1,"Duplicate note","OK")))))</f>
        <v/>
      </c>
    </row>
    <row r="307">
      <c r="A307" s="26" t="n"/>
      <c r="B307" s="26" t="n"/>
      <c r="C307" s="26" t="n"/>
      <c r="D307" s="30">
        <f>IF(A307="","",IF(COUNTIF('Holders'!$A$4:$A$1003,A307)=0,"Unknown holder ID",IF(COUNTIF('Share classes'!$B$4:$B$203,B307)=0,"Unknown class code",IF(C307="","Missing note",IF(COUNTIFS($A$4:$A$503,A307,$B$4:$B$503,B307)&gt;1,"Duplicate note","OK")))))</f>
        <v/>
      </c>
    </row>
    <row r="308">
      <c r="A308" s="26" t="n"/>
      <c r="B308" s="26" t="n"/>
      <c r="C308" s="26" t="n"/>
      <c r="D308" s="30">
        <f>IF(A308="","",IF(COUNTIF('Holders'!$A$4:$A$1003,A308)=0,"Unknown holder ID",IF(COUNTIF('Share classes'!$B$4:$B$203,B308)=0,"Unknown class code",IF(C308="","Missing note",IF(COUNTIFS($A$4:$A$503,A308,$B$4:$B$503,B308)&gt;1,"Duplicate note","OK")))))</f>
        <v/>
      </c>
    </row>
    <row r="309">
      <c r="A309" s="26" t="n"/>
      <c r="B309" s="26" t="n"/>
      <c r="C309" s="26" t="n"/>
      <c r="D309" s="30">
        <f>IF(A309="","",IF(COUNTIF('Holders'!$A$4:$A$1003,A309)=0,"Unknown holder ID",IF(COUNTIF('Share classes'!$B$4:$B$203,B309)=0,"Unknown class code",IF(C309="","Missing note",IF(COUNTIFS($A$4:$A$503,A309,$B$4:$B$503,B309)&gt;1,"Duplicate note","OK")))))</f>
        <v/>
      </c>
    </row>
    <row r="310">
      <c r="A310" s="26" t="n"/>
      <c r="B310" s="26" t="n"/>
      <c r="C310" s="26" t="n"/>
      <c r="D310" s="30">
        <f>IF(A310="","",IF(COUNTIF('Holders'!$A$4:$A$1003,A310)=0,"Unknown holder ID",IF(COUNTIF('Share classes'!$B$4:$B$203,B310)=0,"Unknown class code",IF(C310="","Missing note",IF(COUNTIFS($A$4:$A$503,A310,$B$4:$B$503,B310)&gt;1,"Duplicate note","OK")))))</f>
        <v/>
      </c>
    </row>
    <row r="311">
      <c r="A311" s="26" t="n"/>
      <c r="B311" s="26" t="n"/>
      <c r="C311" s="26" t="n"/>
      <c r="D311" s="30">
        <f>IF(A311="","",IF(COUNTIF('Holders'!$A$4:$A$1003,A311)=0,"Unknown holder ID",IF(COUNTIF('Share classes'!$B$4:$B$203,B311)=0,"Unknown class code",IF(C311="","Missing note",IF(COUNTIFS($A$4:$A$503,A311,$B$4:$B$503,B311)&gt;1,"Duplicate note","OK")))))</f>
        <v/>
      </c>
    </row>
    <row r="312">
      <c r="A312" s="26" t="n"/>
      <c r="B312" s="26" t="n"/>
      <c r="C312" s="26" t="n"/>
      <c r="D312" s="30">
        <f>IF(A312="","",IF(COUNTIF('Holders'!$A$4:$A$1003,A312)=0,"Unknown holder ID",IF(COUNTIF('Share classes'!$B$4:$B$203,B312)=0,"Unknown class code",IF(C312="","Missing note",IF(COUNTIFS($A$4:$A$503,A312,$B$4:$B$503,B312)&gt;1,"Duplicate note","OK")))))</f>
        <v/>
      </c>
    </row>
    <row r="313">
      <c r="A313" s="26" t="n"/>
      <c r="B313" s="26" t="n"/>
      <c r="C313" s="26" t="n"/>
      <c r="D313" s="30">
        <f>IF(A313="","",IF(COUNTIF('Holders'!$A$4:$A$1003,A313)=0,"Unknown holder ID",IF(COUNTIF('Share classes'!$B$4:$B$203,B313)=0,"Unknown class code",IF(C313="","Missing note",IF(COUNTIFS($A$4:$A$503,A313,$B$4:$B$503,B313)&gt;1,"Duplicate note","OK")))))</f>
        <v/>
      </c>
    </row>
    <row r="314">
      <c r="A314" s="26" t="n"/>
      <c r="B314" s="26" t="n"/>
      <c r="C314" s="26" t="n"/>
      <c r="D314" s="30">
        <f>IF(A314="","",IF(COUNTIF('Holders'!$A$4:$A$1003,A314)=0,"Unknown holder ID",IF(COUNTIF('Share classes'!$B$4:$B$203,B314)=0,"Unknown class code",IF(C314="","Missing note",IF(COUNTIFS($A$4:$A$503,A314,$B$4:$B$503,B314)&gt;1,"Duplicate note","OK")))))</f>
        <v/>
      </c>
    </row>
    <row r="315">
      <c r="A315" s="26" t="n"/>
      <c r="B315" s="26" t="n"/>
      <c r="C315" s="26" t="n"/>
      <c r="D315" s="30">
        <f>IF(A315="","",IF(COUNTIF('Holders'!$A$4:$A$1003,A315)=0,"Unknown holder ID",IF(COUNTIF('Share classes'!$B$4:$B$203,B315)=0,"Unknown class code",IF(C315="","Missing note",IF(COUNTIFS($A$4:$A$503,A315,$B$4:$B$503,B315)&gt;1,"Duplicate note","OK")))))</f>
        <v/>
      </c>
    </row>
    <row r="316">
      <c r="A316" s="26" t="n"/>
      <c r="B316" s="26" t="n"/>
      <c r="C316" s="26" t="n"/>
      <c r="D316" s="30">
        <f>IF(A316="","",IF(COUNTIF('Holders'!$A$4:$A$1003,A316)=0,"Unknown holder ID",IF(COUNTIF('Share classes'!$B$4:$B$203,B316)=0,"Unknown class code",IF(C316="","Missing note",IF(COUNTIFS($A$4:$A$503,A316,$B$4:$B$503,B316)&gt;1,"Duplicate note","OK")))))</f>
        <v/>
      </c>
    </row>
    <row r="317">
      <c r="A317" s="26" t="n"/>
      <c r="B317" s="26" t="n"/>
      <c r="C317" s="26" t="n"/>
      <c r="D317" s="30">
        <f>IF(A317="","",IF(COUNTIF('Holders'!$A$4:$A$1003,A317)=0,"Unknown holder ID",IF(COUNTIF('Share classes'!$B$4:$B$203,B317)=0,"Unknown class code",IF(C317="","Missing note",IF(COUNTIFS($A$4:$A$503,A317,$B$4:$B$503,B317)&gt;1,"Duplicate note","OK")))))</f>
        <v/>
      </c>
    </row>
    <row r="318">
      <c r="A318" s="26" t="n"/>
      <c r="B318" s="26" t="n"/>
      <c r="C318" s="26" t="n"/>
      <c r="D318" s="30">
        <f>IF(A318="","",IF(COUNTIF('Holders'!$A$4:$A$1003,A318)=0,"Unknown holder ID",IF(COUNTIF('Share classes'!$B$4:$B$203,B318)=0,"Unknown class code",IF(C318="","Missing note",IF(COUNTIFS($A$4:$A$503,A318,$B$4:$B$503,B318)&gt;1,"Duplicate note","OK")))))</f>
        <v/>
      </c>
    </row>
    <row r="319">
      <c r="A319" s="26" t="n"/>
      <c r="B319" s="26" t="n"/>
      <c r="C319" s="26" t="n"/>
      <c r="D319" s="30">
        <f>IF(A319="","",IF(COUNTIF('Holders'!$A$4:$A$1003,A319)=0,"Unknown holder ID",IF(COUNTIF('Share classes'!$B$4:$B$203,B319)=0,"Unknown class code",IF(C319="","Missing note",IF(COUNTIFS($A$4:$A$503,A319,$B$4:$B$503,B319)&gt;1,"Duplicate note","OK")))))</f>
        <v/>
      </c>
    </row>
    <row r="320">
      <c r="A320" s="26" t="n"/>
      <c r="B320" s="26" t="n"/>
      <c r="C320" s="26" t="n"/>
      <c r="D320" s="30">
        <f>IF(A320="","",IF(COUNTIF('Holders'!$A$4:$A$1003,A320)=0,"Unknown holder ID",IF(COUNTIF('Share classes'!$B$4:$B$203,B320)=0,"Unknown class code",IF(C320="","Missing note",IF(COUNTIFS($A$4:$A$503,A320,$B$4:$B$503,B320)&gt;1,"Duplicate note","OK")))))</f>
        <v/>
      </c>
    </row>
    <row r="321">
      <c r="A321" s="26" t="n"/>
      <c r="B321" s="26" t="n"/>
      <c r="C321" s="26" t="n"/>
      <c r="D321" s="30">
        <f>IF(A321="","",IF(COUNTIF('Holders'!$A$4:$A$1003,A321)=0,"Unknown holder ID",IF(COUNTIF('Share classes'!$B$4:$B$203,B321)=0,"Unknown class code",IF(C321="","Missing note",IF(COUNTIFS($A$4:$A$503,A321,$B$4:$B$503,B321)&gt;1,"Duplicate note","OK")))))</f>
        <v/>
      </c>
    </row>
    <row r="322">
      <c r="A322" s="26" t="n"/>
      <c r="B322" s="26" t="n"/>
      <c r="C322" s="26" t="n"/>
      <c r="D322" s="30">
        <f>IF(A322="","",IF(COUNTIF('Holders'!$A$4:$A$1003,A322)=0,"Unknown holder ID",IF(COUNTIF('Share classes'!$B$4:$B$203,B322)=0,"Unknown class code",IF(C322="","Missing note",IF(COUNTIFS($A$4:$A$503,A322,$B$4:$B$503,B322)&gt;1,"Duplicate note","OK")))))</f>
        <v/>
      </c>
    </row>
    <row r="323">
      <c r="A323" s="26" t="n"/>
      <c r="B323" s="26" t="n"/>
      <c r="C323" s="26" t="n"/>
      <c r="D323" s="30">
        <f>IF(A323="","",IF(COUNTIF('Holders'!$A$4:$A$1003,A323)=0,"Unknown holder ID",IF(COUNTIF('Share classes'!$B$4:$B$203,B323)=0,"Unknown class code",IF(C323="","Missing note",IF(COUNTIFS($A$4:$A$503,A323,$B$4:$B$503,B323)&gt;1,"Duplicate note","OK")))))</f>
        <v/>
      </c>
    </row>
    <row r="324">
      <c r="A324" s="26" t="n"/>
      <c r="B324" s="26" t="n"/>
      <c r="C324" s="26" t="n"/>
      <c r="D324" s="30">
        <f>IF(A324="","",IF(COUNTIF('Holders'!$A$4:$A$1003,A324)=0,"Unknown holder ID",IF(COUNTIF('Share classes'!$B$4:$B$203,B324)=0,"Unknown class code",IF(C324="","Missing note",IF(COUNTIFS($A$4:$A$503,A324,$B$4:$B$503,B324)&gt;1,"Duplicate note","OK")))))</f>
        <v/>
      </c>
    </row>
    <row r="325">
      <c r="A325" s="26" t="n"/>
      <c r="B325" s="26" t="n"/>
      <c r="C325" s="26" t="n"/>
      <c r="D325" s="30">
        <f>IF(A325="","",IF(COUNTIF('Holders'!$A$4:$A$1003,A325)=0,"Unknown holder ID",IF(COUNTIF('Share classes'!$B$4:$B$203,B325)=0,"Unknown class code",IF(C325="","Missing note",IF(COUNTIFS($A$4:$A$503,A325,$B$4:$B$503,B325)&gt;1,"Duplicate note","OK")))))</f>
        <v/>
      </c>
    </row>
    <row r="326">
      <c r="A326" s="26" t="n"/>
      <c r="B326" s="26" t="n"/>
      <c r="C326" s="26" t="n"/>
      <c r="D326" s="30">
        <f>IF(A326="","",IF(COUNTIF('Holders'!$A$4:$A$1003,A326)=0,"Unknown holder ID",IF(COUNTIF('Share classes'!$B$4:$B$203,B326)=0,"Unknown class code",IF(C326="","Missing note",IF(COUNTIFS($A$4:$A$503,A326,$B$4:$B$503,B326)&gt;1,"Duplicate note","OK")))))</f>
        <v/>
      </c>
    </row>
    <row r="327">
      <c r="A327" s="26" t="n"/>
      <c r="B327" s="26" t="n"/>
      <c r="C327" s="26" t="n"/>
      <c r="D327" s="30">
        <f>IF(A327="","",IF(COUNTIF('Holders'!$A$4:$A$1003,A327)=0,"Unknown holder ID",IF(COUNTIF('Share classes'!$B$4:$B$203,B327)=0,"Unknown class code",IF(C327="","Missing note",IF(COUNTIFS($A$4:$A$503,A327,$B$4:$B$503,B327)&gt;1,"Duplicate note","OK")))))</f>
        <v/>
      </c>
    </row>
    <row r="328">
      <c r="A328" s="26" t="n"/>
      <c r="B328" s="26" t="n"/>
      <c r="C328" s="26" t="n"/>
      <c r="D328" s="30">
        <f>IF(A328="","",IF(COUNTIF('Holders'!$A$4:$A$1003,A328)=0,"Unknown holder ID",IF(COUNTIF('Share classes'!$B$4:$B$203,B328)=0,"Unknown class code",IF(C328="","Missing note",IF(COUNTIFS($A$4:$A$503,A328,$B$4:$B$503,B328)&gt;1,"Duplicate note","OK")))))</f>
        <v/>
      </c>
    </row>
    <row r="329">
      <c r="A329" s="26" t="n"/>
      <c r="B329" s="26" t="n"/>
      <c r="C329" s="26" t="n"/>
      <c r="D329" s="30">
        <f>IF(A329="","",IF(COUNTIF('Holders'!$A$4:$A$1003,A329)=0,"Unknown holder ID",IF(COUNTIF('Share classes'!$B$4:$B$203,B329)=0,"Unknown class code",IF(C329="","Missing note",IF(COUNTIFS($A$4:$A$503,A329,$B$4:$B$503,B329)&gt;1,"Duplicate note","OK")))))</f>
        <v/>
      </c>
    </row>
    <row r="330">
      <c r="A330" s="26" t="n"/>
      <c r="B330" s="26" t="n"/>
      <c r="C330" s="26" t="n"/>
      <c r="D330" s="30">
        <f>IF(A330="","",IF(COUNTIF('Holders'!$A$4:$A$1003,A330)=0,"Unknown holder ID",IF(COUNTIF('Share classes'!$B$4:$B$203,B330)=0,"Unknown class code",IF(C330="","Missing note",IF(COUNTIFS($A$4:$A$503,A330,$B$4:$B$503,B330)&gt;1,"Duplicate note","OK")))))</f>
        <v/>
      </c>
    </row>
    <row r="331">
      <c r="A331" s="26" t="n"/>
      <c r="B331" s="26" t="n"/>
      <c r="C331" s="26" t="n"/>
      <c r="D331" s="30">
        <f>IF(A331="","",IF(COUNTIF('Holders'!$A$4:$A$1003,A331)=0,"Unknown holder ID",IF(COUNTIF('Share classes'!$B$4:$B$203,B331)=0,"Unknown class code",IF(C331="","Missing note",IF(COUNTIFS($A$4:$A$503,A331,$B$4:$B$503,B331)&gt;1,"Duplicate note","OK")))))</f>
        <v/>
      </c>
    </row>
    <row r="332">
      <c r="A332" s="26" t="n"/>
      <c r="B332" s="26" t="n"/>
      <c r="C332" s="26" t="n"/>
      <c r="D332" s="30">
        <f>IF(A332="","",IF(COUNTIF('Holders'!$A$4:$A$1003,A332)=0,"Unknown holder ID",IF(COUNTIF('Share classes'!$B$4:$B$203,B332)=0,"Unknown class code",IF(C332="","Missing note",IF(COUNTIFS($A$4:$A$503,A332,$B$4:$B$503,B332)&gt;1,"Duplicate note","OK")))))</f>
        <v/>
      </c>
    </row>
    <row r="333">
      <c r="A333" s="26" t="n"/>
      <c r="B333" s="26" t="n"/>
      <c r="C333" s="26" t="n"/>
      <c r="D333" s="30">
        <f>IF(A333="","",IF(COUNTIF('Holders'!$A$4:$A$1003,A333)=0,"Unknown holder ID",IF(COUNTIF('Share classes'!$B$4:$B$203,B333)=0,"Unknown class code",IF(C333="","Missing note",IF(COUNTIFS($A$4:$A$503,A333,$B$4:$B$503,B333)&gt;1,"Duplicate note","OK")))))</f>
        <v/>
      </c>
    </row>
    <row r="334">
      <c r="A334" s="26" t="n"/>
      <c r="B334" s="26" t="n"/>
      <c r="C334" s="26" t="n"/>
      <c r="D334" s="30">
        <f>IF(A334="","",IF(COUNTIF('Holders'!$A$4:$A$1003,A334)=0,"Unknown holder ID",IF(COUNTIF('Share classes'!$B$4:$B$203,B334)=0,"Unknown class code",IF(C334="","Missing note",IF(COUNTIFS($A$4:$A$503,A334,$B$4:$B$503,B334)&gt;1,"Duplicate note","OK")))))</f>
        <v/>
      </c>
    </row>
    <row r="335">
      <c r="A335" s="26" t="n"/>
      <c r="B335" s="26" t="n"/>
      <c r="C335" s="26" t="n"/>
      <c r="D335" s="30">
        <f>IF(A335="","",IF(COUNTIF('Holders'!$A$4:$A$1003,A335)=0,"Unknown holder ID",IF(COUNTIF('Share classes'!$B$4:$B$203,B335)=0,"Unknown class code",IF(C335="","Missing note",IF(COUNTIFS($A$4:$A$503,A335,$B$4:$B$503,B335)&gt;1,"Duplicate note","OK")))))</f>
        <v/>
      </c>
    </row>
    <row r="336">
      <c r="A336" s="26" t="n"/>
      <c r="B336" s="26" t="n"/>
      <c r="C336" s="26" t="n"/>
      <c r="D336" s="30">
        <f>IF(A336="","",IF(COUNTIF('Holders'!$A$4:$A$1003,A336)=0,"Unknown holder ID",IF(COUNTIF('Share classes'!$B$4:$B$203,B336)=0,"Unknown class code",IF(C336="","Missing note",IF(COUNTIFS($A$4:$A$503,A336,$B$4:$B$503,B336)&gt;1,"Duplicate note","OK")))))</f>
        <v/>
      </c>
    </row>
    <row r="337">
      <c r="A337" s="26" t="n"/>
      <c r="B337" s="26" t="n"/>
      <c r="C337" s="26" t="n"/>
      <c r="D337" s="30">
        <f>IF(A337="","",IF(COUNTIF('Holders'!$A$4:$A$1003,A337)=0,"Unknown holder ID",IF(COUNTIF('Share classes'!$B$4:$B$203,B337)=0,"Unknown class code",IF(C337="","Missing note",IF(COUNTIFS($A$4:$A$503,A337,$B$4:$B$503,B337)&gt;1,"Duplicate note","OK")))))</f>
        <v/>
      </c>
    </row>
    <row r="338">
      <c r="A338" s="26" t="n"/>
      <c r="B338" s="26" t="n"/>
      <c r="C338" s="26" t="n"/>
      <c r="D338" s="30">
        <f>IF(A338="","",IF(COUNTIF('Holders'!$A$4:$A$1003,A338)=0,"Unknown holder ID",IF(COUNTIF('Share classes'!$B$4:$B$203,B338)=0,"Unknown class code",IF(C338="","Missing note",IF(COUNTIFS($A$4:$A$503,A338,$B$4:$B$503,B338)&gt;1,"Duplicate note","OK")))))</f>
        <v/>
      </c>
    </row>
    <row r="339">
      <c r="A339" s="26" t="n"/>
      <c r="B339" s="26" t="n"/>
      <c r="C339" s="26" t="n"/>
      <c r="D339" s="30">
        <f>IF(A339="","",IF(COUNTIF('Holders'!$A$4:$A$1003,A339)=0,"Unknown holder ID",IF(COUNTIF('Share classes'!$B$4:$B$203,B339)=0,"Unknown class code",IF(C339="","Missing note",IF(COUNTIFS($A$4:$A$503,A339,$B$4:$B$503,B339)&gt;1,"Duplicate note","OK")))))</f>
        <v/>
      </c>
    </row>
    <row r="340">
      <c r="A340" s="26" t="n"/>
      <c r="B340" s="26" t="n"/>
      <c r="C340" s="26" t="n"/>
      <c r="D340" s="30">
        <f>IF(A340="","",IF(COUNTIF('Holders'!$A$4:$A$1003,A340)=0,"Unknown holder ID",IF(COUNTIF('Share classes'!$B$4:$B$203,B340)=0,"Unknown class code",IF(C340="","Missing note",IF(COUNTIFS($A$4:$A$503,A340,$B$4:$B$503,B340)&gt;1,"Duplicate note","OK")))))</f>
        <v/>
      </c>
    </row>
    <row r="341">
      <c r="A341" s="26" t="n"/>
      <c r="B341" s="26" t="n"/>
      <c r="C341" s="26" t="n"/>
      <c r="D341" s="30">
        <f>IF(A341="","",IF(COUNTIF('Holders'!$A$4:$A$1003,A341)=0,"Unknown holder ID",IF(COUNTIF('Share classes'!$B$4:$B$203,B341)=0,"Unknown class code",IF(C341="","Missing note",IF(COUNTIFS($A$4:$A$503,A341,$B$4:$B$503,B341)&gt;1,"Duplicate note","OK")))))</f>
        <v/>
      </c>
    </row>
    <row r="342">
      <c r="A342" s="26" t="n"/>
      <c r="B342" s="26" t="n"/>
      <c r="C342" s="26" t="n"/>
      <c r="D342" s="30">
        <f>IF(A342="","",IF(COUNTIF('Holders'!$A$4:$A$1003,A342)=0,"Unknown holder ID",IF(COUNTIF('Share classes'!$B$4:$B$203,B342)=0,"Unknown class code",IF(C342="","Missing note",IF(COUNTIFS($A$4:$A$503,A342,$B$4:$B$503,B342)&gt;1,"Duplicate note","OK")))))</f>
        <v/>
      </c>
    </row>
    <row r="343">
      <c r="A343" s="26" t="n"/>
      <c r="B343" s="26" t="n"/>
      <c r="C343" s="26" t="n"/>
      <c r="D343" s="30">
        <f>IF(A343="","",IF(COUNTIF('Holders'!$A$4:$A$1003,A343)=0,"Unknown holder ID",IF(COUNTIF('Share classes'!$B$4:$B$203,B343)=0,"Unknown class code",IF(C343="","Missing note",IF(COUNTIFS($A$4:$A$503,A343,$B$4:$B$503,B343)&gt;1,"Duplicate note","OK")))))</f>
        <v/>
      </c>
    </row>
    <row r="344">
      <c r="A344" s="26" t="n"/>
      <c r="B344" s="26" t="n"/>
      <c r="C344" s="26" t="n"/>
      <c r="D344" s="30">
        <f>IF(A344="","",IF(COUNTIF('Holders'!$A$4:$A$1003,A344)=0,"Unknown holder ID",IF(COUNTIF('Share classes'!$B$4:$B$203,B344)=0,"Unknown class code",IF(C344="","Missing note",IF(COUNTIFS($A$4:$A$503,A344,$B$4:$B$503,B344)&gt;1,"Duplicate note","OK")))))</f>
        <v/>
      </c>
    </row>
    <row r="345">
      <c r="A345" s="26" t="n"/>
      <c r="B345" s="26" t="n"/>
      <c r="C345" s="26" t="n"/>
      <c r="D345" s="30">
        <f>IF(A345="","",IF(COUNTIF('Holders'!$A$4:$A$1003,A345)=0,"Unknown holder ID",IF(COUNTIF('Share classes'!$B$4:$B$203,B345)=0,"Unknown class code",IF(C345="","Missing note",IF(COUNTIFS($A$4:$A$503,A345,$B$4:$B$503,B345)&gt;1,"Duplicate note","OK")))))</f>
        <v/>
      </c>
    </row>
    <row r="346">
      <c r="A346" s="26" t="n"/>
      <c r="B346" s="26" t="n"/>
      <c r="C346" s="26" t="n"/>
      <c r="D346" s="30">
        <f>IF(A346="","",IF(COUNTIF('Holders'!$A$4:$A$1003,A346)=0,"Unknown holder ID",IF(COUNTIF('Share classes'!$B$4:$B$203,B346)=0,"Unknown class code",IF(C346="","Missing note",IF(COUNTIFS($A$4:$A$503,A346,$B$4:$B$503,B346)&gt;1,"Duplicate note","OK")))))</f>
        <v/>
      </c>
    </row>
    <row r="347">
      <c r="A347" s="26" t="n"/>
      <c r="B347" s="26" t="n"/>
      <c r="C347" s="26" t="n"/>
      <c r="D347" s="30">
        <f>IF(A347="","",IF(COUNTIF('Holders'!$A$4:$A$1003,A347)=0,"Unknown holder ID",IF(COUNTIF('Share classes'!$B$4:$B$203,B347)=0,"Unknown class code",IF(C347="","Missing note",IF(COUNTIFS($A$4:$A$503,A347,$B$4:$B$503,B347)&gt;1,"Duplicate note","OK")))))</f>
        <v/>
      </c>
    </row>
    <row r="348">
      <c r="A348" s="26" t="n"/>
      <c r="B348" s="26" t="n"/>
      <c r="C348" s="26" t="n"/>
      <c r="D348" s="30">
        <f>IF(A348="","",IF(COUNTIF('Holders'!$A$4:$A$1003,A348)=0,"Unknown holder ID",IF(COUNTIF('Share classes'!$B$4:$B$203,B348)=0,"Unknown class code",IF(C348="","Missing note",IF(COUNTIFS($A$4:$A$503,A348,$B$4:$B$503,B348)&gt;1,"Duplicate note","OK")))))</f>
        <v/>
      </c>
    </row>
    <row r="349">
      <c r="A349" s="26" t="n"/>
      <c r="B349" s="26" t="n"/>
      <c r="C349" s="26" t="n"/>
      <c r="D349" s="30">
        <f>IF(A349="","",IF(COUNTIF('Holders'!$A$4:$A$1003,A349)=0,"Unknown holder ID",IF(COUNTIF('Share classes'!$B$4:$B$203,B349)=0,"Unknown class code",IF(C349="","Missing note",IF(COUNTIFS($A$4:$A$503,A349,$B$4:$B$503,B349)&gt;1,"Duplicate note","OK")))))</f>
        <v/>
      </c>
    </row>
    <row r="350">
      <c r="A350" s="26" t="n"/>
      <c r="B350" s="26" t="n"/>
      <c r="C350" s="26" t="n"/>
      <c r="D350" s="30">
        <f>IF(A350="","",IF(COUNTIF('Holders'!$A$4:$A$1003,A350)=0,"Unknown holder ID",IF(COUNTIF('Share classes'!$B$4:$B$203,B350)=0,"Unknown class code",IF(C350="","Missing note",IF(COUNTIFS($A$4:$A$503,A350,$B$4:$B$503,B350)&gt;1,"Duplicate note","OK")))))</f>
        <v/>
      </c>
    </row>
    <row r="351">
      <c r="A351" s="26" t="n"/>
      <c r="B351" s="26" t="n"/>
      <c r="C351" s="26" t="n"/>
      <c r="D351" s="30">
        <f>IF(A351="","",IF(COUNTIF('Holders'!$A$4:$A$1003,A351)=0,"Unknown holder ID",IF(COUNTIF('Share classes'!$B$4:$B$203,B351)=0,"Unknown class code",IF(C351="","Missing note",IF(COUNTIFS($A$4:$A$503,A351,$B$4:$B$503,B351)&gt;1,"Duplicate note","OK")))))</f>
        <v/>
      </c>
    </row>
    <row r="352">
      <c r="A352" s="26" t="n"/>
      <c r="B352" s="26" t="n"/>
      <c r="C352" s="26" t="n"/>
      <c r="D352" s="30">
        <f>IF(A352="","",IF(COUNTIF('Holders'!$A$4:$A$1003,A352)=0,"Unknown holder ID",IF(COUNTIF('Share classes'!$B$4:$B$203,B352)=0,"Unknown class code",IF(C352="","Missing note",IF(COUNTIFS($A$4:$A$503,A352,$B$4:$B$503,B352)&gt;1,"Duplicate note","OK")))))</f>
        <v/>
      </c>
    </row>
    <row r="353">
      <c r="A353" s="26" t="n"/>
      <c r="B353" s="26" t="n"/>
      <c r="C353" s="26" t="n"/>
      <c r="D353" s="30">
        <f>IF(A353="","",IF(COUNTIF('Holders'!$A$4:$A$1003,A353)=0,"Unknown holder ID",IF(COUNTIF('Share classes'!$B$4:$B$203,B353)=0,"Unknown class code",IF(C353="","Missing note",IF(COUNTIFS($A$4:$A$503,A353,$B$4:$B$503,B353)&gt;1,"Duplicate note","OK")))))</f>
        <v/>
      </c>
    </row>
    <row r="354">
      <c r="A354" s="26" t="n"/>
      <c r="B354" s="26" t="n"/>
      <c r="C354" s="26" t="n"/>
      <c r="D354" s="30">
        <f>IF(A354="","",IF(COUNTIF('Holders'!$A$4:$A$1003,A354)=0,"Unknown holder ID",IF(COUNTIF('Share classes'!$B$4:$B$203,B354)=0,"Unknown class code",IF(C354="","Missing note",IF(COUNTIFS($A$4:$A$503,A354,$B$4:$B$503,B354)&gt;1,"Duplicate note","OK")))))</f>
        <v/>
      </c>
    </row>
    <row r="355">
      <c r="A355" s="26" t="n"/>
      <c r="B355" s="26" t="n"/>
      <c r="C355" s="26" t="n"/>
      <c r="D355" s="30">
        <f>IF(A355="","",IF(COUNTIF('Holders'!$A$4:$A$1003,A355)=0,"Unknown holder ID",IF(COUNTIF('Share classes'!$B$4:$B$203,B355)=0,"Unknown class code",IF(C355="","Missing note",IF(COUNTIFS($A$4:$A$503,A355,$B$4:$B$503,B355)&gt;1,"Duplicate note","OK")))))</f>
        <v/>
      </c>
    </row>
    <row r="356">
      <c r="A356" s="26" t="n"/>
      <c r="B356" s="26" t="n"/>
      <c r="C356" s="26" t="n"/>
      <c r="D356" s="30">
        <f>IF(A356="","",IF(COUNTIF('Holders'!$A$4:$A$1003,A356)=0,"Unknown holder ID",IF(COUNTIF('Share classes'!$B$4:$B$203,B356)=0,"Unknown class code",IF(C356="","Missing note",IF(COUNTIFS($A$4:$A$503,A356,$B$4:$B$503,B356)&gt;1,"Duplicate note","OK")))))</f>
        <v/>
      </c>
    </row>
    <row r="357">
      <c r="A357" s="26" t="n"/>
      <c r="B357" s="26" t="n"/>
      <c r="C357" s="26" t="n"/>
      <c r="D357" s="30">
        <f>IF(A357="","",IF(COUNTIF('Holders'!$A$4:$A$1003,A357)=0,"Unknown holder ID",IF(COUNTIF('Share classes'!$B$4:$B$203,B357)=0,"Unknown class code",IF(C357="","Missing note",IF(COUNTIFS($A$4:$A$503,A357,$B$4:$B$503,B357)&gt;1,"Duplicate note","OK")))))</f>
        <v/>
      </c>
    </row>
    <row r="358">
      <c r="A358" s="26" t="n"/>
      <c r="B358" s="26" t="n"/>
      <c r="C358" s="26" t="n"/>
      <c r="D358" s="30">
        <f>IF(A358="","",IF(COUNTIF('Holders'!$A$4:$A$1003,A358)=0,"Unknown holder ID",IF(COUNTIF('Share classes'!$B$4:$B$203,B358)=0,"Unknown class code",IF(C358="","Missing note",IF(COUNTIFS($A$4:$A$503,A358,$B$4:$B$503,B358)&gt;1,"Duplicate note","OK")))))</f>
        <v/>
      </c>
    </row>
    <row r="359">
      <c r="A359" s="26" t="n"/>
      <c r="B359" s="26" t="n"/>
      <c r="C359" s="26" t="n"/>
      <c r="D359" s="30">
        <f>IF(A359="","",IF(COUNTIF('Holders'!$A$4:$A$1003,A359)=0,"Unknown holder ID",IF(COUNTIF('Share classes'!$B$4:$B$203,B359)=0,"Unknown class code",IF(C359="","Missing note",IF(COUNTIFS($A$4:$A$503,A359,$B$4:$B$503,B359)&gt;1,"Duplicate note","OK")))))</f>
        <v/>
      </c>
    </row>
    <row r="360">
      <c r="A360" s="26" t="n"/>
      <c r="B360" s="26" t="n"/>
      <c r="C360" s="26" t="n"/>
      <c r="D360" s="30">
        <f>IF(A360="","",IF(COUNTIF('Holders'!$A$4:$A$1003,A360)=0,"Unknown holder ID",IF(COUNTIF('Share classes'!$B$4:$B$203,B360)=0,"Unknown class code",IF(C360="","Missing note",IF(COUNTIFS($A$4:$A$503,A360,$B$4:$B$503,B360)&gt;1,"Duplicate note","OK")))))</f>
        <v/>
      </c>
    </row>
    <row r="361">
      <c r="A361" s="26" t="n"/>
      <c r="B361" s="26" t="n"/>
      <c r="C361" s="26" t="n"/>
      <c r="D361" s="30">
        <f>IF(A361="","",IF(COUNTIF('Holders'!$A$4:$A$1003,A361)=0,"Unknown holder ID",IF(COUNTIF('Share classes'!$B$4:$B$203,B361)=0,"Unknown class code",IF(C361="","Missing note",IF(COUNTIFS($A$4:$A$503,A361,$B$4:$B$503,B361)&gt;1,"Duplicate note","OK")))))</f>
        <v/>
      </c>
    </row>
    <row r="362">
      <c r="A362" s="26" t="n"/>
      <c r="B362" s="26" t="n"/>
      <c r="C362" s="26" t="n"/>
      <c r="D362" s="30">
        <f>IF(A362="","",IF(COUNTIF('Holders'!$A$4:$A$1003,A362)=0,"Unknown holder ID",IF(COUNTIF('Share classes'!$B$4:$B$203,B362)=0,"Unknown class code",IF(C362="","Missing note",IF(COUNTIFS($A$4:$A$503,A362,$B$4:$B$503,B362)&gt;1,"Duplicate note","OK")))))</f>
        <v/>
      </c>
    </row>
    <row r="363">
      <c r="A363" s="26" t="n"/>
      <c r="B363" s="26" t="n"/>
      <c r="C363" s="26" t="n"/>
      <c r="D363" s="30">
        <f>IF(A363="","",IF(COUNTIF('Holders'!$A$4:$A$1003,A363)=0,"Unknown holder ID",IF(COUNTIF('Share classes'!$B$4:$B$203,B363)=0,"Unknown class code",IF(C363="","Missing note",IF(COUNTIFS($A$4:$A$503,A363,$B$4:$B$503,B363)&gt;1,"Duplicate note","OK")))))</f>
        <v/>
      </c>
    </row>
    <row r="364">
      <c r="A364" s="26" t="n"/>
      <c r="B364" s="26" t="n"/>
      <c r="C364" s="26" t="n"/>
      <c r="D364" s="30">
        <f>IF(A364="","",IF(COUNTIF('Holders'!$A$4:$A$1003,A364)=0,"Unknown holder ID",IF(COUNTIF('Share classes'!$B$4:$B$203,B364)=0,"Unknown class code",IF(C364="","Missing note",IF(COUNTIFS($A$4:$A$503,A364,$B$4:$B$503,B364)&gt;1,"Duplicate note","OK")))))</f>
        <v/>
      </c>
    </row>
    <row r="365">
      <c r="A365" s="26" t="n"/>
      <c r="B365" s="26" t="n"/>
      <c r="C365" s="26" t="n"/>
      <c r="D365" s="30">
        <f>IF(A365="","",IF(COUNTIF('Holders'!$A$4:$A$1003,A365)=0,"Unknown holder ID",IF(COUNTIF('Share classes'!$B$4:$B$203,B365)=0,"Unknown class code",IF(C365="","Missing note",IF(COUNTIFS($A$4:$A$503,A365,$B$4:$B$503,B365)&gt;1,"Duplicate note","OK")))))</f>
        <v/>
      </c>
    </row>
    <row r="366">
      <c r="A366" s="26" t="n"/>
      <c r="B366" s="26" t="n"/>
      <c r="C366" s="26" t="n"/>
      <c r="D366" s="30">
        <f>IF(A366="","",IF(COUNTIF('Holders'!$A$4:$A$1003,A366)=0,"Unknown holder ID",IF(COUNTIF('Share classes'!$B$4:$B$203,B366)=0,"Unknown class code",IF(C366="","Missing note",IF(COUNTIFS($A$4:$A$503,A366,$B$4:$B$503,B366)&gt;1,"Duplicate note","OK")))))</f>
        <v/>
      </c>
    </row>
    <row r="367">
      <c r="A367" s="26" t="n"/>
      <c r="B367" s="26" t="n"/>
      <c r="C367" s="26" t="n"/>
      <c r="D367" s="30">
        <f>IF(A367="","",IF(COUNTIF('Holders'!$A$4:$A$1003,A367)=0,"Unknown holder ID",IF(COUNTIF('Share classes'!$B$4:$B$203,B367)=0,"Unknown class code",IF(C367="","Missing note",IF(COUNTIFS($A$4:$A$503,A367,$B$4:$B$503,B367)&gt;1,"Duplicate note","OK")))))</f>
        <v/>
      </c>
    </row>
    <row r="368">
      <c r="A368" s="26" t="n"/>
      <c r="B368" s="26" t="n"/>
      <c r="C368" s="26" t="n"/>
      <c r="D368" s="30">
        <f>IF(A368="","",IF(COUNTIF('Holders'!$A$4:$A$1003,A368)=0,"Unknown holder ID",IF(COUNTIF('Share classes'!$B$4:$B$203,B368)=0,"Unknown class code",IF(C368="","Missing note",IF(COUNTIFS($A$4:$A$503,A368,$B$4:$B$503,B368)&gt;1,"Duplicate note","OK")))))</f>
        <v/>
      </c>
    </row>
    <row r="369">
      <c r="A369" s="26" t="n"/>
      <c r="B369" s="26" t="n"/>
      <c r="C369" s="26" t="n"/>
      <c r="D369" s="30">
        <f>IF(A369="","",IF(COUNTIF('Holders'!$A$4:$A$1003,A369)=0,"Unknown holder ID",IF(COUNTIF('Share classes'!$B$4:$B$203,B369)=0,"Unknown class code",IF(C369="","Missing note",IF(COUNTIFS($A$4:$A$503,A369,$B$4:$B$503,B369)&gt;1,"Duplicate note","OK")))))</f>
        <v/>
      </c>
    </row>
    <row r="370">
      <c r="A370" s="26" t="n"/>
      <c r="B370" s="26" t="n"/>
      <c r="C370" s="26" t="n"/>
      <c r="D370" s="30">
        <f>IF(A370="","",IF(COUNTIF('Holders'!$A$4:$A$1003,A370)=0,"Unknown holder ID",IF(COUNTIF('Share classes'!$B$4:$B$203,B370)=0,"Unknown class code",IF(C370="","Missing note",IF(COUNTIFS($A$4:$A$503,A370,$B$4:$B$503,B370)&gt;1,"Duplicate note","OK")))))</f>
        <v/>
      </c>
    </row>
    <row r="371">
      <c r="A371" s="26" t="n"/>
      <c r="B371" s="26" t="n"/>
      <c r="C371" s="26" t="n"/>
      <c r="D371" s="30">
        <f>IF(A371="","",IF(COUNTIF('Holders'!$A$4:$A$1003,A371)=0,"Unknown holder ID",IF(COUNTIF('Share classes'!$B$4:$B$203,B371)=0,"Unknown class code",IF(C371="","Missing note",IF(COUNTIFS($A$4:$A$503,A371,$B$4:$B$503,B371)&gt;1,"Duplicate note","OK")))))</f>
        <v/>
      </c>
    </row>
    <row r="372">
      <c r="A372" s="26" t="n"/>
      <c r="B372" s="26" t="n"/>
      <c r="C372" s="26" t="n"/>
      <c r="D372" s="30">
        <f>IF(A372="","",IF(COUNTIF('Holders'!$A$4:$A$1003,A372)=0,"Unknown holder ID",IF(COUNTIF('Share classes'!$B$4:$B$203,B372)=0,"Unknown class code",IF(C372="","Missing note",IF(COUNTIFS($A$4:$A$503,A372,$B$4:$B$503,B372)&gt;1,"Duplicate note","OK")))))</f>
        <v/>
      </c>
    </row>
    <row r="373">
      <c r="A373" s="26" t="n"/>
      <c r="B373" s="26" t="n"/>
      <c r="C373" s="26" t="n"/>
      <c r="D373" s="30">
        <f>IF(A373="","",IF(COUNTIF('Holders'!$A$4:$A$1003,A373)=0,"Unknown holder ID",IF(COUNTIF('Share classes'!$B$4:$B$203,B373)=0,"Unknown class code",IF(C373="","Missing note",IF(COUNTIFS($A$4:$A$503,A373,$B$4:$B$503,B373)&gt;1,"Duplicate note","OK")))))</f>
        <v/>
      </c>
    </row>
    <row r="374">
      <c r="A374" s="26" t="n"/>
      <c r="B374" s="26" t="n"/>
      <c r="C374" s="26" t="n"/>
      <c r="D374" s="30">
        <f>IF(A374="","",IF(COUNTIF('Holders'!$A$4:$A$1003,A374)=0,"Unknown holder ID",IF(COUNTIF('Share classes'!$B$4:$B$203,B374)=0,"Unknown class code",IF(C374="","Missing note",IF(COUNTIFS($A$4:$A$503,A374,$B$4:$B$503,B374)&gt;1,"Duplicate note","OK")))))</f>
        <v/>
      </c>
    </row>
    <row r="375">
      <c r="A375" s="26" t="n"/>
      <c r="B375" s="26" t="n"/>
      <c r="C375" s="26" t="n"/>
      <c r="D375" s="30">
        <f>IF(A375="","",IF(COUNTIF('Holders'!$A$4:$A$1003,A375)=0,"Unknown holder ID",IF(COUNTIF('Share classes'!$B$4:$B$203,B375)=0,"Unknown class code",IF(C375="","Missing note",IF(COUNTIFS($A$4:$A$503,A375,$B$4:$B$503,B375)&gt;1,"Duplicate note","OK")))))</f>
        <v/>
      </c>
    </row>
    <row r="376">
      <c r="A376" s="26" t="n"/>
      <c r="B376" s="26" t="n"/>
      <c r="C376" s="26" t="n"/>
      <c r="D376" s="30">
        <f>IF(A376="","",IF(COUNTIF('Holders'!$A$4:$A$1003,A376)=0,"Unknown holder ID",IF(COUNTIF('Share classes'!$B$4:$B$203,B376)=0,"Unknown class code",IF(C376="","Missing note",IF(COUNTIFS($A$4:$A$503,A376,$B$4:$B$503,B376)&gt;1,"Duplicate note","OK")))))</f>
        <v/>
      </c>
    </row>
    <row r="377">
      <c r="A377" s="26" t="n"/>
      <c r="B377" s="26" t="n"/>
      <c r="C377" s="26" t="n"/>
      <c r="D377" s="30">
        <f>IF(A377="","",IF(COUNTIF('Holders'!$A$4:$A$1003,A377)=0,"Unknown holder ID",IF(COUNTIF('Share classes'!$B$4:$B$203,B377)=0,"Unknown class code",IF(C377="","Missing note",IF(COUNTIFS($A$4:$A$503,A377,$B$4:$B$503,B377)&gt;1,"Duplicate note","OK")))))</f>
        <v/>
      </c>
    </row>
    <row r="378">
      <c r="A378" s="26" t="n"/>
      <c r="B378" s="26" t="n"/>
      <c r="C378" s="26" t="n"/>
      <c r="D378" s="30">
        <f>IF(A378="","",IF(COUNTIF('Holders'!$A$4:$A$1003,A378)=0,"Unknown holder ID",IF(COUNTIF('Share classes'!$B$4:$B$203,B378)=0,"Unknown class code",IF(C378="","Missing note",IF(COUNTIFS($A$4:$A$503,A378,$B$4:$B$503,B378)&gt;1,"Duplicate note","OK")))))</f>
        <v/>
      </c>
    </row>
    <row r="379">
      <c r="A379" s="26" t="n"/>
      <c r="B379" s="26" t="n"/>
      <c r="C379" s="26" t="n"/>
      <c r="D379" s="30">
        <f>IF(A379="","",IF(COUNTIF('Holders'!$A$4:$A$1003,A379)=0,"Unknown holder ID",IF(COUNTIF('Share classes'!$B$4:$B$203,B379)=0,"Unknown class code",IF(C379="","Missing note",IF(COUNTIFS($A$4:$A$503,A379,$B$4:$B$503,B379)&gt;1,"Duplicate note","OK")))))</f>
        <v/>
      </c>
    </row>
    <row r="380">
      <c r="A380" s="26" t="n"/>
      <c r="B380" s="26" t="n"/>
      <c r="C380" s="26" t="n"/>
      <c r="D380" s="30">
        <f>IF(A380="","",IF(COUNTIF('Holders'!$A$4:$A$1003,A380)=0,"Unknown holder ID",IF(COUNTIF('Share classes'!$B$4:$B$203,B380)=0,"Unknown class code",IF(C380="","Missing note",IF(COUNTIFS($A$4:$A$503,A380,$B$4:$B$503,B380)&gt;1,"Duplicate note","OK")))))</f>
        <v/>
      </c>
    </row>
    <row r="381">
      <c r="A381" s="26" t="n"/>
      <c r="B381" s="26" t="n"/>
      <c r="C381" s="26" t="n"/>
      <c r="D381" s="30">
        <f>IF(A381="","",IF(COUNTIF('Holders'!$A$4:$A$1003,A381)=0,"Unknown holder ID",IF(COUNTIF('Share classes'!$B$4:$B$203,B381)=0,"Unknown class code",IF(C381="","Missing note",IF(COUNTIFS($A$4:$A$503,A381,$B$4:$B$503,B381)&gt;1,"Duplicate note","OK")))))</f>
        <v/>
      </c>
    </row>
    <row r="382">
      <c r="A382" s="26" t="n"/>
      <c r="B382" s="26" t="n"/>
      <c r="C382" s="26" t="n"/>
      <c r="D382" s="30">
        <f>IF(A382="","",IF(COUNTIF('Holders'!$A$4:$A$1003,A382)=0,"Unknown holder ID",IF(COUNTIF('Share classes'!$B$4:$B$203,B382)=0,"Unknown class code",IF(C382="","Missing note",IF(COUNTIFS($A$4:$A$503,A382,$B$4:$B$503,B382)&gt;1,"Duplicate note","OK")))))</f>
        <v/>
      </c>
    </row>
    <row r="383">
      <c r="A383" s="26" t="n"/>
      <c r="B383" s="26" t="n"/>
      <c r="C383" s="26" t="n"/>
      <c r="D383" s="30">
        <f>IF(A383="","",IF(COUNTIF('Holders'!$A$4:$A$1003,A383)=0,"Unknown holder ID",IF(COUNTIF('Share classes'!$B$4:$B$203,B383)=0,"Unknown class code",IF(C383="","Missing note",IF(COUNTIFS($A$4:$A$503,A383,$B$4:$B$503,B383)&gt;1,"Duplicate note","OK")))))</f>
        <v/>
      </c>
    </row>
    <row r="384">
      <c r="A384" s="26" t="n"/>
      <c r="B384" s="26" t="n"/>
      <c r="C384" s="26" t="n"/>
      <c r="D384" s="30">
        <f>IF(A384="","",IF(COUNTIF('Holders'!$A$4:$A$1003,A384)=0,"Unknown holder ID",IF(COUNTIF('Share classes'!$B$4:$B$203,B384)=0,"Unknown class code",IF(C384="","Missing note",IF(COUNTIFS($A$4:$A$503,A384,$B$4:$B$503,B384)&gt;1,"Duplicate note","OK")))))</f>
        <v/>
      </c>
    </row>
    <row r="385">
      <c r="A385" s="26" t="n"/>
      <c r="B385" s="26" t="n"/>
      <c r="C385" s="26" t="n"/>
      <c r="D385" s="30">
        <f>IF(A385="","",IF(COUNTIF('Holders'!$A$4:$A$1003,A385)=0,"Unknown holder ID",IF(COUNTIF('Share classes'!$B$4:$B$203,B385)=0,"Unknown class code",IF(C385="","Missing note",IF(COUNTIFS($A$4:$A$503,A385,$B$4:$B$503,B385)&gt;1,"Duplicate note","OK")))))</f>
        <v/>
      </c>
    </row>
    <row r="386">
      <c r="A386" s="26" t="n"/>
      <c r="B386" s="26" t="n"/>
      <c r="C386" s="26" t="n"/>
      <c r="D386" s="30">
        <f>IF(A386="","",IF(COUNTIF('Holders'!$A$4:$A$1003,A386)=0,"Unknown holder ID",IF(COUNTIF('Share classes'!$B$4:$B$203,B386)=0,"Unknown class code",IF(C386="","Missing note",IF(COUNTIFS($A$4:$A$503,A386,$B$4:$B$503,B386)&gt;1,"Duplicate note","OK")))))</f>
        <v/>
      </c>
    </row>
    <row r="387">
      <c r="A387" s="26" t="n"/>
      <c r="B387" s="26" t="n"/>
      <c r="C387" s="26" t="n"/>
      <c r="D387" s="30">
        <f>IF(A387="","",IF(COUNTIF('Holders'!$A$4:$A$1003,A387)=0,"Unknown holder ID",IF(COUNTIF('Share classes'!$B$4:$B$203,B387)=0,"Unknown class code",IF(C387="","Missing note",IF(COUNTIFS($A$4:$A$503,A387,$B$4:$B$503,B387)&gt;1,"Duplicate note","OK")))))</f>
        <v/>
      </c>
    </row>
    <row r="388">
      <c r="A388" s="26" t="n"/>
      <c r="B388" s="26" t="n"/>
      <c r="C388" s="26" t="n"/>
      <c r="D388" s="30">
        <f>IF(A388="","",IF(COUNTIF('Holders'!$A$4:$A$1003,A388)=0,"Unknown holder ID",IF(COUNTIF('Share classes'!$B$4:$B$203,B388)=0,"Unknown class code",IF(C388="","Missing note",IF(COUNTIFS($A$4:$A$503,A388,$B$4:$B$503,B388)&gt;1,"Duplicate note","OK")))))</f>
        <v/>
      </c>
    </row>
    <row r="389">
      <c r="A389" s="26" t="n"/>
      <c r="B389" s="26" t="n"/>
      <c r="C389" s="26" t="n"/>
      <c r="D389" s="30">
        <f>IF(A389="","",IF(COUNTIF('Holders'!$A$4:$A$1003,A389)=0,"Unknown holder ID",IF(COUNTIF('Share classes'!$B$4:$B$203,B389)=0,"Unknown class code",IF(C389="","Missing note",IF(COUNTIFS($A$4:$A$503,A389,$B$4:$B$503,B389)&gt;1,"Duplicate note","OK")))))</f>
        <v/>
      </c>
    </row>
    <row r="390">
      <c r="A390" s="26" t="n"/>
      <c r="B390" s="26" t="n"/>
      <c r="C390" s="26" t="n"/>
      <c r="D390" s="30">
        <f>IF(A390="","",IF(COUNTIF('Holders'!$A$4:$A$1003,A390)=0,"Unknown holder ID",IF(COUNTIF('Share classes'!$B$4:$B$203,B390)=0,"Unknown class code",IF(C390="","Missing note",IF(COUNTIFS($A$4:$A$503,A390,$B$4:$B$503,B390)&gt;1,"Duplicate note","OK")))))</f>
        <v/>
      </c>
    </row>
    <row r="391">
      <c r="A391" s="26" t="n"/>
      <c r="B391" s="26" t="n"/>
      <c r="C391" s="26" t="n"/>
      <c r="D391" s="30">
        <f>IF(A391="","",IF(COUNTIF('Holders'!$A$4:$A$1003,A391)=0,"Unknown holder ID",IF(COUNTIF('Share classes'!$B$4:$B$203,B391)=0,"Unknown class code",IF(C391="","Missing note",IF(COUNTIFS($A$4:$A$503,A391,$B$4:$B$503,B391)&gt;1,"Duplicate note","OK")))))</f>
        <v/>
      </c>
    </row>
    <row r="392">
      <c r="A392" s="26" t="n"/>
      <c r="B392" s="26" t="n"/>
      <c r="C392" s="26" t="n"/>
      <c r="D392" s="30">
        <f>IF(A392="","",IF(COUNTIF('Holders'!$A$4:$A$1003,A392)=0,"Unknown holder ID",IF(COUNTIF('Share classes'!$B$4:$B$203,B392)=0,"Unknown class code",IF(C392="","Missing note",IF(COUNTIFS($A$4:$A$503,A392,$B$4:$B$503,B392)&gt;1,"Duplicate note","OK")))))</f>
        <v/>
      </c>
    </row>
    <row r="393">
      <c r="A393" s="26" t="n"/>
      <c r="B393" s="26" t="n"/>
      <c r="C393" s="26" t="n"/>
      <c r="D393" s="30">
        <f>IF(A393="","",IF(COUNTIF('Holders'!$A$4:$A$1003,A393)=0,"Unknown holder ID",IF(COUNTIF('Share classes'!$B$4:$B$203,B393)=0,"Unknown class code",IF(C393="","Missing note",IF(COUNTIFS($A$4:$A$503,A393,$B$4:$B$503,B393)&gt;1,"Duplicate note","OK")))))</f>
        <v/>
      </c>
    </row>
    <row r="394">
      <c r="A394" s="26" t="n"/>
      <c r="B394" s="26" t="n"/>
      <c r="C394" s="26" t="n"/>
      <c r="D394" s="30">
        <f>IF(A394="","",IF(COUNTIF('Holders'!$A$4:$A$1003,A394)=0,"Unknown holder ID",IF(COUNTIF('Share classes'!$B$4:$B$203,B394)=0,"Unknown class code",IF(C394="","Missing note",IF(COUNTIFS($A$4:$A$503,A394,$B$4:$B$503,B394)&gt;1,"Duplicate note","OK")))))</f>
        <v/>
      </c>
    </row>
    <row r="395">
      <c r="A395" s="26" t="n"/>
      <c r="B395" s="26" t="n"/>
      <c r="C395" s="26" t="n"/>
      <c r="D395" s="30">
        <f>IF(A395="","",IF(COUNTIF('Holders'!$A$4:$A$1003,A395)=0,"Unknown holder ID",IF(COUNTIF('Share classes'!$B$4:$B$203,B395)=0,"Unknown class code",IF(C395="","Missing note",IF(COUNTIFS($A$4:$A$503,A395,$B$4:$B$503,B395)&gt;1,"Duplicate note","OK")))))</f>
        <v/>
      </c>
    </row>
    <row r="396">
      <c r="A396" s="26" t="n"/>
      <c r="B396" s="26" t="n"/>
      <c r="C396" s="26" t="n"/>
      <c r="D396" s="30">
        <f>IF(A396="","",IF(COUNTIF('Holders'!$A$4:$A$1003,A396)=0,"Unknown holder ID",IF(COUNTIF('Share classes'!$B$4:$B$203,B396)=0,"Unknown class code",IF(C396="","Missing note",IF(COUNTIFS($A$4:$A$503,A396,$B$4:$B$503,B396)&gt;1,"Duplicate note","OK")))))</f>
        <v/>
      </c>
    </row>
    <row r="397">
      <c r="A397" s="26" t="n"/>
      <c r="B397" s="26" t="n"/>
      <c r="C397" s="26" t="n"/>
      <c r="D397" s="30">
        <f>IF(A397="","",IF(COUNTIF('Holders'!$A$4:$A$1003,A397)=0,"Unknown holder ID",IF(COUNTIF('Share classes'!$B$4:$B$203,B397)=0,"Unknown class code",IF(C397="","Missing note",IF(COUNTIFS($A$4:$A$503,A397,$B$4:$B$503,B397)&gt;1,"Duplicate note","OK")))))</f>
        <v/>
      </c>
    </row>
    <row r="398">
      <c r="A398" s="26" t="n"/>
      <c r="B398" s="26" t="n"/>
      <c r="C398" s="26" t="n"/>
      <c r="D398" s="30">
        <f>IF(A398="","",IF(COUNTIF('Holders'!$A$4:$A$1003,A398)=0,"Unknown holder ID",IF(COUNTIF('Share classes'!$B$4:$B$203,B398)=0,"Unknown class code",IF(C398="","Missing note",IF(COUNTIFS($A$4:$A$503,A398,$B$4:$B$503,B398)&gt;1,"Duplicate note","OK")))))</f>
        <v/>
      </c>
    </row>
    <row r="399">
      <c r="A399" s="26" t="n"/>
      <c r="B399" s="26" t="n"/>
      <c r="C399" s="26" t="n"/>
      <c r="D399" s="30">
        <f>IF(A399="","",IF(COUNTIF('Holders'!$A$4:$A$1003,A399)=0,"Unknown holder ID",IF(COUNTIF('Share classes'!$B$4:$B$203,B399)=0,"Unknown class code",IF(C399="","Missing note",IF(COUNTIFS($A$4:$A$503,A399,$B$4:$B$503,B399)&gt;1,"Duplicate note","OK")))))</f>
        <v/>
      </c>
    </row>
    <row r="400">
      <c r="A400" s="26" t="n"/>
      <c r="B400" s="26" t="n"/>
      <c r="C400" s="26" t="n"/>
      <c r="D400" s="30">
        <f>IF(A400="","",IF(COUNTIF('Holders'!$A$4:$A$1003,A400)=0,"Unknown holder ID",IF(COUNTIF('Share classes'!$B$4:$B$203,B400)=0,"Unknown class code",IF(C400="","Missing note",IF(COUNTIFS($A$4:$A$503,A400,$B$4:$B$503,B400)&gt;1,"Duplicate note","OK")))))</f>
        <v/>
      </c>
    </row>
    <row r="401">
      <c r="A401" s="26" t="n"/>
      <c r="B401" s="26" t="n"/>
      <c r="C401" s="26" t="n"/>
      <c r="D401" s="30">
        <f>IF(A401="","",IF(COUNTIF('Holders'!$A$4:$A$1003,A401)=0,"Unknown holder ID",IF(COUNTIF('Share classes'!$B$4:$B$203,B401)=0,"Unknown class code",IF(C401="","Missing note",IF(COUNTIFS($A$4:$A$503,A401,$B$4:$B$503,B401)&gt;1,"Duplicate note","OK")))))</f>
        <v/>
      </c>
    </row>
    <row r="402">
      <c r="A402" s="26" t="n"/>
      <c r="B402" s="26" t="n"/>
      <c r="C402" s="26" t="n"/>
      <c r="D402" s="30">
        <f>IF(A402="","",IF(COUNTIF('Holders'!$A$4:$A$1003,A402)=0,"Unknown holder ID",IF(COUNTIF('Share classes'!$B$4:$B$203,B402)=0,"Unknown class code",IF(C402="","Missing note",IF(COUNTIFS($A$4:$A$503,A402,$B$4:$B$503,B402)&gt;1,"Duplicate note","OK")))))</f>
        <v/>
      </c>
    </row>
    <row r="403">
      <c r="A403" s="26" t="n"/>
      <c r="B403" s="26" t="n"/>
      <c r="C403" s="26" t="n"/>
      <c r="D403" s="30">
        <f>IF(A403="","",IF(COUNTIF('Holders'!$A$4:$A$1003,A403)=0,"Unknown holder ID",IF(COUNTIF('Share classes'!$B$4:$B$203,B403)=0,"Unknown class code",IF(C403="","Missing note",IF(COUNTIFS($A$4:$A$503,A403,$B$4:$B$503,B403)&gt;1,"Duplicate note","OK")))))</f>
        <v/>
      </c>
    </row>
    <row r="404">
      <c r="A404" s="26" t="n"/>
      <c r="B404" s="26" t="n"/>
      <c r="C404" s="26" t="n"/>
      <c r="D404" s="30">
        <f>IF(A404="","",IF(COUNTIF('Holders'!$A$4:$A$1003,A404)=0,"Unknown holder ID",IF(COUNTIF('Share classes'!$B$4:$B$203,B404)=0,"Unknown class code",IF(C404="","Missing note",IF(COUNTIFS($A$4:$A$503,A404,$B$4:$B$503,B404)&gt;1,"Duplicate note","OK")))))</f>
        <v/>
      </c>
    </row>
    <row r="405">
      <c r="A405" s="26" t="n"/>
      <c r="B405" s="26" t="n"/>
      <c r="C405" s="26" t="n"/>
      <c r="D405" s="30">
        <f>IF(A405="","",IF(COUNTIF('Holders'!$A$4:$A$1003,A405)=0,"Unknown holder ID",IF(COUNTIF('Share classes'!$B$4:$B$203,B405)=0,"Unknown class code",IF(C405="","Missing note",IF(COUNTIFS($A$4:$A$503,A405,$B$4:$B$503,B405)&gt;1,"Duplicate note","OK")))))</f>
        <v/>
      </c>
    </row>
    <row r="406">
      <c r="A406" s="26" t="n"/>
      <c r="B406" s="26" t="n"/>
      <c r="C406" s="26" t="n"/>
      <c r="D406" s="30">
        <f>IF(A406="","",IF(COUNTIF('Holders'!$A$4:$A$1003,A406)=0,"Unknown holder ID",IF(COUNTIF('Share classes'!$B$4:$B$203,B406)=0,"Unknown class code",IF(C406="","Missing note",IF(COUNTIFS($A$4:$A$503,A406,$B$4:$B$503,B406)&gt;1,"Duplicate note","OK")))))</f>
        <v/>
      </c>
    </row>
    <row r="407">
      <c r="A407" s="26" t="n"/>
      <c r="B407" s="26" t="n"/>
      <c r="C407" s="26" t="n"/>
      <c r="D407" s="30">
        <f>IF(A407="","",IF(COUNTIF('Holders'!$A$4:$A$1003,A407)=0,"Unknown holder ID",IF(COUNTIF('Share classes'!$B$4:$B$203,B407)=0,"Unknown class code",IF(C407="","Missing note",IF(COUNTIFS($A$4:$A$503,A407,$B$4:$B$503,B407)&gt;1,"Duplicate note","OK")))))</f>
        <v/>
      </c>
    </row>
    <row r="408">
      <c r="A408" s="26" t="n"/>
      <c r="B408" s="26" t="n"/>
      <c r="C408" s="26" t="n"/>
      <c r="D408" s="30">
        <f>IF(A408="","",IF(COUNTIF('Holders'!$A$4:$A$1003,A408)=0,"Unknown holder ID",IF(COUNTIF('Share classes'!$B$4:$B$203,B408)=0,"Unknown class code",IF(C408="","Missing note",IF(COUNTIFS($A$4:$A$503,A408,$B$4:$B$503,B408)&gt;1,"Duplicate note","OK")))))</f>
        <v/>
      </c>
    </row>
    <row r="409">
      <c r="A409" s="26" t="n"/>
      <c r="B409" s="26" t="n"/>
      <c r="C409" s="26" t="n"/>
      <c r="D409" s="30">
        <f>IF(A409="","",IF(COUNTIF('Holders'!$A$4:$A$1003,A409)=0,"Unknown holder ID",IF(COUNTIF('Share classes'!$B$4:$B$203,B409)=0,"Unknown class code",IF(C409="","Missing note",IF(COUNTIFS($A$4:$A$503,A409,$B$4:$B$503,B409)&gt;1,"Duplicate note","OK")))))</f>
        <v/>
      </c>
    </row>
    <row r="410">
      <c r="A410" s="26" t="n"/>
      <c r="B410" s="26" t="n"/>
      <c r="C410" s="26" t="n"/>
      <c r="D410" s="30">
        <f>IF(A410="","",IF(COUNTIF('Holders'!$A$4:$A$1003,A410)=0,"Unknown holder ID",IF(COUNTIF('Share classes'!$B$4:$B$203,B410)=0,"Unknown class code",IF(C410="","Missing note",IF(COUNTIFS($A$4:$A$503,A410,$B$4:$B$503,B410)&gt;1,"Duplicate note","OK")))))</f>
        <v/>
      </c>
    </row>
    <row r="411">
      <c r="A411" s="26" t="n"/>
      <c r="B411" s="26" t="n"/>
      <c r="C411" s="26" t="n"/>
      <c r="D411" s="30">
        <f>IF(A411="","",IF(COUNTIF('Holders'!$A$4:$A$1003,A411)=0,"Unknown holder ID",IF(COUNTIF('Share classes'!$B$4:$B$203,B411)=0,"Unknown class code",IF(C411="","Missing note",IF(COUNTIFS($A$4:$A$503,A411,$B$4:$B$503,B411)&gt;1,"Duplicate note","OK")))))</f>
        <v/>
      </c>
    </row>
    <row r="412">
      <c r="A412" s="26" t="n"/>
      <c r="B412" s="26" t="n"/>
      <c r="C412" s="26" t="n"/>
      <c r="D412" s="30">
        <f>IF(A412="","",IF(COUNTIF('Holders'!$A$4:$A$1003,A412)=0,"Unknown holder ID",IF(COUNTIF('Share classes'!$B$4:$B$203,B412)=0,"Unknown class code",IF(C412="","Missing note",IF(COUNTIFS($A$4:$A$503,A412,$B$4:$B$503,B412)&gt;1,"Duplicate note","OK")))))</f>
        <v/>
      </c>
    </row>
    <row r="413">
      <c r="A413" s="26" t="n"/>
      <c r="B413" s="26" t="n"/>
      <c r="C413" s="26" t="n"/>
      <c r="D413" s="30">
        <f>IF(A413="","",IF(COUNTIF('Holders'!$A$4:$A$1003,A413)=0,"Unknown holder ID",IF(COUNTIF('Share classes'!$B$4:$B$203,B413)=0,"Unknown class code",IF(C413="","Missing note",IF(COUNTIFS($A$4:$A$503,A413,$B$4:$B$503,B413)&gt;1,"Duplicate note","OK")))))</f>
        <v/>
      </c>
    </row>
    <row r="414">
      <c r="A414" s="26" t="n"/>
      <c r="B414" s="26" t="n"/>
      <c r="C414" s="26" t="n"/>
      <c r="D414" s="30">
        <f>IF(A414="","",IF(COUNTIF('Holders'!$A$4:$A$1003,A414)=0,"Unknown holder ID",IF(COUNTIF('Share classes'!$B$4:$B$203,B414)=0,"Unknown class code",IF(C414="","Missing note",IF(COUNTIFS($A$4:$A$503,A414,$B$4:$B$503,B414)&gt;1,"Duplicate note","OK")))))</f>
        <v/>
      </c>
    </row>
    <row r="415">
      <c r="A415" s="26" t="n"/>
      <c r="B415" s="26" t="n"/>
      <c r="C415" s="26" t="n"/>
      <c r="D415" s="30">
        <f>IF(A415="","",IF(COUNTIF('Holders'!$A$4:$A$1003,A415)=0,"Unknown holder ID",IF(COUNTIF('Share classes'!$B$4:$B$203,B415)=0,"Unknown class code",IF(C415="","Missing note",IF(COUNTIFS($A$4:$A$503,A415,$B$4:$B$503,B415)&gt;1,"Duplicate note","OK")))))</f>
        <v/>
      </c>
    </row>
    <row r="416">
      <c r="A416" s="26" t="n"/>
      <c r="B416" s="26" t="n"/>
      <c r="C416" s="26" t="n"/>
      <c r="D416" s="30">
        <f>IF(A416="","",IF(COUNTIF('Holders'!$A$4:$A$1003,A416)=0,"Unknown holder ID",IF(COUNTIF('Share classes'!$B$4:$B$203,B416)=0,"Unknown class code",IF(C416="","Missing note",IF(COUNTIFS($A$4:$A$503,A416,$B$4:$B$503,B416)&gt;1,"Duplicate note","OK")))))</f>
        <v/>
      </c>
    </row>
    <row r="417">
      <c r="A417" s="26" t="n"/>
      <c r="B417" s="26" t="n"/>
      <c r="C417" s="26" t="n"/>
      <c r="D417" s="30">
        <f>IF(A417="","",IF(COUNTIF('Holders'!$A$4:$A$1003,A417)=0,"Unknown holder ID",IF(COUNTIF('Share classes'!$B$4:$B$203,B417)=0,"Unknown class code",IF(C417="","Missing note",IF(COUNTIFS($A$4:$A$503,A417,$B$4:$B$503,B417)&gt;1,"Duplicate note","OK")))))</f>
        <v/>
      </c>
    </row>
    <row r="418">
      <c r="A418" s="26" t="n"/>
      <c r="B418" s="26" t="n"/>
      <c r="C418" s="26" t="n"/>
      <c r="D418" s="30">
        <f>IF(A418="","",IF(COUNTIF('Holders'!$A$4:$A$1003,A418)=0,"Unknown holder ID",IF(COUNTIF('Share classes'!$B$4:$B$203,B418)=0,"Unknown class code",IF(C418="","Missing note",IF(COUNTIFS($A$4:$A$503,A418,$B$4:$B$503,B418)&gt;1,"Duplicate note","OK")))))</f>
        <v/>
      </c>
    </row>
    <row r="419">
      <c r="A419" s="26" t="n"/>
      <c r="B419" s="26" t="n"/>
      <c r="C419" s="26" t="n"/>
      <c r="D419" s="30">
        <f>IF(A419="","",IF(COUNTIF('Holders'!$A$4:$A$1003,A419)=0,"Unknown holder ID",IF(COUNTIF('Share classes'!$B$4:$B$203,B419)=0,"Unknown class code",IF(C419="","Missing note",IF(COUNTIFS($A$4:$A$503,A419,$B$4:$B$503,B419)&gt;1,"Duplicate note","OK")))))</f>
        <v/>
      </c>
    </row>
    <row r="420">
      <c r="A420" s="26" t="n"/>
      <c r="B420" s="26" t="n"/>
      <c r="C420" s="26" t="n"/>
      <c r="D420" s="30">
        <f>IF(A420="","",IF(COUNTIF('Holders'!$A$4:$A$1003,A420)=0,"Unknown holder ID",IF(COUNTIF('Share classes'!$B$4:$B$203,B420)=0,"Unknown class code",IF(C420="","Missing note",IF(COUNTIFS($A$4:$A$503,A420,$B$4:$B$503,B420)&gt;1,"Duplicate note","OK")))))</f>
        <v/>
      </c>
    </row>
    <row r="421">
      <c r="A421" s="26" t="n"/>
      <c r="B421" s="26" t="n"/>
      <c r="C421" s="26" t="n"/>
      <c r="D421" s="30">
        <f>IF(A421="","",IF(COUNTIF('Holders'!$A$4:$A$1003,A421)=0,"Unknown holder ID",IF(COUNTIF('Share classes'!$B$4:$B$203,B421)=0,"Unknown class code",IF(C421="","Missing note",IF(COUNTIFS($A$4:$A$503,A421,$B$4:$B$503,B421)&gt;1,"Duplicate note","OK")))))</f>
        <v/>
      </c>
    </row>
    <row r="422">
      <c r="A422" s="26" t="n"/>
      <c r="B422" s="26" t="n"/>
      <c r="C422" s="26" t="n"/>
      <c r="D422" s="30">
        <f>IF(A422="","",IF(COUNTIF('Holders'!$A$4:$A$1003,A422)=0,"Unknown holder ID",IF(COUNTIF('Share classes'!$B$4:$B$203,B422)=0,"Unknown class code",IF(C422="","Missing note",IF(COUNTIFS($A$4:$A$503,A422,$B$4:$B$503,B422)&gt;1,"Duplicate note","OK")))))</f>
        <v/>
      </c>
    </row>
    <row r="423">
      <c r="A423" s="26" t="n"/>
      <c r="B423" s="26" t="n"/>
      <c r="C423" s="26" t="n"/>
      <c r="D423" s="30">
        <f>IF(A423="","",IF(COUNTIF('Holders'!$A$4:$A$1003,A423)=0,"Unknown holder ID",IF(COUNTIF('Share classes'!$B$4:$B$203,B423)=0,"Unknown class code",IF(C423="","Missing note",IF(COUNTIFS($A$4:$A$503,A423,$B$4:$B$503,B423)&gt;1,"Duplicate note","OK")))))</f>
        <v/>
      </c>
    </row>
    <row r="424">
      <c r="A424" s="26" t="n"/>
      <c r="B424" s="26" t="n"/>
      <c r="C424" s="26" t="n"/>
      <c r="D424" s="30">
        <f>IF(A424="","",IF(COUNTIF('Holders'!$A$4:$A$1003,A424)=0,"Unknown holder ID",IF(COUNTIF('Share classes'!$B$4:$B$203,B424)=0,"Unknown class code",IF(C424="","Missing note",IF(COUNTIFS($A$4:$A$503,A424,$B$4:$B$503,B424)&gt;1,"Duplicate note","OK")))))</f>
        <v/>
      </c>
    </row>
    <row r="425">
      <c r="A425" s="26" t="n"/>
      <c r="B425" s="26" t="n"/>
      <c r="C425" s="26" t="n"/>
      <c r="D425" s="30">
        <f>IF(A425="","",IF(COUNTIF('Holders'!$A$4:$A$1003,A425)=0,"Unknown holder ID",IF(COUNTIF('Share classes'!$B$4:$B$203,B425)=0,"Unknown class code",IF(C425="","Missing note",IF(COUNTIFS($A$4:$A$503,A425,$B$4:$B$503,B425)&gt;1,"Duplicate note","OK")))))</f>
        <v/>
      </c>
    </row>
    <row r="426">
      <c r="A426" s="26" t="n"/>
      <c r="B426" s="26" t="n"/>
      <c r="C426" s="26" t="n"/>
      <c r="D426" s="30">
        <f>IF(A426="","",IF(COUNTIF('Holders'!$A$4:$A$1003,A426)=0,"Unknown holder ID",IF(COUNTIF('Share classes'!$B$4:$B$203,B426)=0,"Unknown class code",IF(C426="","Missing note",IF(COUNTIFS($A$4:$A$503,A426,$B$4:$B$503,B426)&gt;1,"Duplicate note","OK")))))</f>
        <v/>
      </c>
    </row>
    <row r="427">
      <c r="A427" s="26" t="n"/>
      <c r="B427" s="26" t="n"/>
      <c r="C427" s="26" t="n"/>
      <c r="D427" s="30">
        <f>IF(A427="","",IF(COUNTIF('Holders'!$A$4:$A$1003,A427)=0,"Unknown holder ID",IF(COUNTIF('Share classes'!$B$4:$B$203,B427)=0,"Unknown class code",IF(C427="","Missing note",IF(COUNTIFS($A$4:$A$503,A427,$B$4:$B$503,B427)&gt;1,"Duplicate note","OK")))))</f>
        <v/>
      </c>
    </row>
    <row r="428">
      <c r="A428" s="26" t="n"/>
      <c r="B428" s="26" t="n"/>
      <c r="C428" s="26" t="n"/>
      <c r="D428" s="30">
        <f>IF(A428="","",IF(COUNTIF('Holders'!$A$4:$A$1003,A428)=0,"Unknown holder ID",IF(COUNTIF('Share classes'!$B$4:$B$203,B428)=0,"Unknown class code",IF(C428="","Missing note",IF(COUNTIFS($A$4:$A$503,A428,$B$4:$B$503,B428)&gt;1,"Duplicate note","OK")))))</f>
        <v/>
      </c>
    </row>
    <row r="429">
      <c r="A429" s="26" t="n"/>
      <c r="B429" s="26" t="n"/>
      <c r="C429" s="26" t="n"/>
      <c r="D429" s="30">
        <f>IF(A429="","",IF(COUNTIF('Holders'!$A$4:$A$1003,A429)=0,"Unknown holder ID",IF(COUNTIF('Share classes'!$B$4:$B$203,B429)=0,"Unknown class code",IF(C429="","Missing note",IF(COUNTIFS($A$4:$A$503,A429,$B$4:$B$503,B429)&gt;1,"Duplicate note","OK")))))</f>
        <v/>
      </c>
    </row>
    <row r="430">
      <c r="A430" s="26" t="n"/>
      <c r="B430" s="26" t="n"/>
      <c r="C430" s="26" t="n"/>
      <c r="D430" s="30">
        <f>IF(A430="","",IF(COUNTIF('Holders'!$A$4:$A$1003,A430)=0,"Unknown holder ID",IF(COUNTIF('Share classes'!$B$4:$B$203,B430)=0,"Unknown class code",IF(C430="","Missing note",IF(COUNTIFS($A$4:$A$503,A430,$B$4:$B$503,B430)&gt;1,"Duplicate note","OK")))))</f>
        <v/>
      </c>
    </row>
    <row r="431">
      <c r="A431" s="26" t="n"/>
      <c r="B431" s="26" t="n"/>
      <c r="C431" s="26" t="n"/>
      <c r="D431" s="30">
        <f>IF(A431="","",IF(COUNTIF('Holders'!$A$4:$A$1003,A431)=0,"Unknown holder ID",IF(COUNTIF('Share classes'!$B$4:$B$203,B431)=0,"Unknown class code",IF(C431="","Missing note",IF(COUNTIFS($A$4:$A$503,A431,$B$4:$B$503,B431)&gt;1,"Duplicate note","OK")))))</f>
        <v/>
      </c>
    </row>
    <row r="432">
      <c r="A432" s="26" t="n"/>
      <c r="B432" s="26" t="n"/>
      <c r="C432" s="26" t="n"/>
      <c r="D432" s="30">
        <f>IF(A432="","",IF(COUNTIF('Holders'!$A$4:$A$1003,A432)=0,"Unknown holder ID",IF(COUNTIF('Share classes'!$B$4:$B$203,B432)=0,"Unknown class code",IF(C432="","Missing note",IF(COUNTIFS($A$4:$A$503,A432,$B$4:$B$503,B432)&gt;1,"Duplicate note","OK")))))</f>
        <v/>
      </c>
    </row>
    <row r="433">
      <c r="A433" s="26" t="n"/>
      <c r="B433" s="26" t="n"/>
      <c r="C433" s="26" t="n"/>
      <c r="D433" s="30">
        <f>IF(A433="","",IF(COUNTIF('Holders'!$A$4:$A$1003,A433)=0,"Unknown holder ID",IF(COUNTIF('Share classes'!$B$4:$B$203,B433)=0,"Unknown class code",IF(C433="","Missing note",IF(COUNTIFS($A$4:$A$503,A433,$B$4:$B$503,B433)&gt;1,"Duplicate note","OK")))))</f>
        <v/>
      </c>
    </row>
    <row r="434">
      <c r="A434" s="26" t="n"/>
      <c r="B434" s="26" t="n"/>
      <c r="C434" s="26" t="n"/>
      <c r="D434" s="30">
        <f>IF(A434="","",IF(COUNTIF('Holders'!$A$4:$A$1003,A434)=0,"Unknown holder ID",IF(COUNTIF('Share classes'!$B$4:$B$203,B434)=0,"Unknown class code",IF(C434="","Missing note",IF(COUNTIFS($A$4:$A$503,A434,$B$4:$B$503,B434)&gt;1,"Duplicate note","OK")))))</f>
        <v/>
      </c>
    </row>
    <row r="435">
      <c r="A435" s="26" t="n"/>
      <c r="B435" s="26" t="n"/>
      <c r="C435" s="26" t="n"/>
      <c r="D435" s="30">
        <f>IF(A435="","",IF(COUNTIF('Holders'!$A$4:$A$1003,A435)=0,"Unknown holder ID",IF(COUNTIF('Share classes'!$B$4:$B$203,B435)=0,"Unknown class code",IF(C435="","Missing note",IF(COUNTIFS($A$4:$A$503,A435,$B$4:$B$503,B435)&gt;1,"Duplicate note","OK")))))</f>
        <v/>
      </c>
    </row>
    <row r="436">
      <c r="A436" s="26" t="n"/>
      <c r="B436" s="26" t="n"/>
      <c r="C436" s="26" t="n"/>
      <c r="D436" s="30">
        <f>IF(A436="","",IF(COUNTIF('Holders'!$A$4:$A$1003,A436)=0,"Unknown holder ID",IF(COUNTIF('Share classes'!$B$4:$B$203,B436)=0,"Unknown class code",IF(C436="","Missing note",IF(COUNTIFS($A$4:$A$503,A436,$B$4:$B$503,B436)&gt;1,"Duplicate note","OK")))))</f>
        <v/>
      </c>
    </row>
    <row r="437">
      <c r="A437" s="26" t="n"/>
      <c r="B437" s="26" t="n"/>
      <c r="C437" s="26" t="n"/>
      <c r="D437" s="30">
        <f>IF(A437="","",IF(COUNTIF('Holders'!$A$4:$A$1003,A437)=0,"Unknown holder ID",IF(COUNTIF('Share classes'!$B$4:$B$203,B437)=0,"Unknown class code",IF(C437="","Missing note",IF(COUNTIFS($A$4:$A$503,A437,$B$4:$B$503,B437)&gt;1,"Duplicate note","OK")))))</f>
        <v/>
      </c>
    </row>
    <row r="438">
      <c r="A438" s="26" t="n"/>
      <c r="B438" s="26" t="n"/>
      <c r="C438" s="26" t="n"/>
      <c r="D438" s="30">
        <f>IF(A438="","",IF(COUNTIF('Holders'!$A$4:$A$1003,A438)=0,"Unknown holder ID",IF(COUNTIF('Share classes'!$B$4:$B$203,B438)=0,"Unknown class code",IF(C438="","Missing note",IF(COUNTIFS($A$4:$A$503,A438,$B$4:$B$503,B438)&gt;1,"Duplicate note","OK")))))</f>
        <v/>
      </c>
    </row>
    <row r="439">
      <c r="A439" s="26" t="n"/>
      <c r="B439" s="26" t="n"/>
      <c r="C439" s="26" t="n"/>
      <c r="D439" s="30">
        <f>IF(A439="","",IF(COUNTIF('Holders'!$A$4:$A$1003,A439)=0,"Unknown holder ID",IF(COUNTIF('Share classes'!$B$4:$B$203,B439)=0,"Unknown class code",IF(C439="","Missing note",IF(COUNTIFS($A$4:$A$503,A439,$B$4:$B$503,B439)&gt;1,"Duplicate note","OK")))))</f>
        <v/>
      </c>
    </row>
    <row r="440">
      <c r="A440" s="26" t="n"/>
      <c r="B440" s="26" t="n"/>
      <c r="C440" s="26" t="n"/>
      <c r="D440" s="30">
        <f>IF(A440="","",IF(COUNTIF('Holders'!$A$4:$A$1003,A440)=0,"Unknown holder ID",IF(COUNTIF('Share classes'!$B$4:$B$203,B440)=0,"Unknown class code",IF(C440="","Missing note",IF(COUNTIFS($A$4:$A$503,A440,$B$4:$B$503,B440)&gt;1,"Duplicate note","OK")))))</f>
        <v/>
      </c>
    </row>
    <row r="441">
      <c r="A441" s="26" t="n"/>
      <c r="B441" s="26" t="n"/>
      <c r="C441" s="26" t="n"/>
      <c r="D441" s="30">
        <f>IF(A441="","",IF(COUNTIF('Holders'!$A$4:$A$1003,A441)=0,"Unknown holder ID",IF(COUNTIF('Share classes'!$B$4:$B$203,B441)=0,"Unknown class code",IF(C441="","Missing note",IF(COUNTIFS($A$4:$A$503,A441,$B$4:$B$503,B441)&gt;1,"Duplicate note","OK")))))</f>
        <v/>
      </c>
    </row>
    <row r="442">
      <c r="A442" s="26" t="n"/>
      <c r="B442" s="26" t="n"/>
      <c r="C442" s="26" t="n"/>
      <c r="D442" s="30">
        <f>IF(A442="","",IF(COUNTIF('Holders'!$A$4:$A$1003,A442)=0,"Unknown holder ID",IF(COUNTIF('Share classes'!$B$4:$B$203,B442)=0,"Unknown class code",IF(C442="","Missing note",IF(COUNTIFS($A$4:$A$503,A442,$B$4:$B$503,B442)&gt;1,"Duplicate note","OK")))))</f>
        <v/>
      </c>
    </row>
    <row r="443">
      <c r="A443" s="26" t="n"/>
      <c r="B443" s="26" t="n"/>
      <c r="C443" s="26" t="n"/>
      <c r="D443" s="30">
        <f>IF(A443="","",IF(COUNTIF('Holders'!$A$4:$A$1003,A443)=0,"Unknown holder ID",IF(COUNTIF('Share classes'!$B$4:$B$203,B443)=0,"Unknown class code",IF(C443="","Missing note",IF(COUNTIFS($A$4:$A$503,A443,$B$4:$B$503,B443)&gt;1,"Duplicate note","OK")))))</f>
        <v/>
      </c>
    </row>
    <row r="444">
      <c r="A444" s="26" t="n"/>
      <c r="B444" s="26" t="n"/>
      <c r="C444" s="26" t="n"/>
      <c r="D444" s="30">
        <f>IF(A444="","",IF(COUNTIF('Holders'!$A$4:$A$1003,A444)=0,"Unknown holder ID",IF(COUNTIF('Share classes'!$B$4:$B$203,B444)=0,"Unknown class code",IF(C444="","Missing note",IF(COUNTIFS($A$4:$A$503,A444,$B$4:$B$503,B444)&gt;1,"Duplicate note","OK")))))</f>
        <v/>
      </c>
    </row>
    <row r="445">
      <c r="A445" s="26" t="n"/>
      <c r="B445" s="26" t="n"/>
      <c r="C445" s="26" t="n"/>
      <c r="D445" s="30">
        <f>IF(A445="","",IF(COUNTIF('Holders'!$A$4:$A$1003,A445)=0,"Unknown holder ID",IF(COUNTIF('Share classes'!$B$4:$B$203,B445)=0,"Unknown class code",IF(C445="","Missing note",IF(COUNTIFS($A$4:$A$503,A445,$B$4:$B$503,B445)&gt;1,"Duplicate note","OK")))))</f>
        <v/>
      </c>
    </row>
    <row r="446">
      <c r="A446" s="26" t="n"/>
      <c r="B446" s="26" t="n"/>
      <c r="C446" s="26" t="n"/>
      <c r="D446" s="30">
        <f>IF(A446="","",IF(COUNTIF('Holders'!$A$4:$A$1003,A446)=0,"Unknown holder ID",IF(COUNTIF('Share classes'!$B$4:$B$203,B446)=0,"Unknown class code",IF(C446="","Missing note",IF(COUNTIFS($A$4:$A$503,A446,$B$4:$B$503,B446)&gt;1,"Duplicate note","OK")))))</f>
        <v/>
      </c>
    </row>
    <row r="447">
      <c r="A447" s="26" t="n"/>
      <c r="B447" s="26" t="n"/>
      <c r="C447" s="26" t="n"/>
      <c r="D447" s="30">
        <f>IF(A447="","",IF(COUNTIF('Holders'!$A$4:$A$1003,A447)=0,"Unknown holder ID",IF(COUNTIF('Share classes'!$B$4:$B$203,B447)=0,"Unknown class code",IF(C447="","Missing note",IF(COUNTIFS($A$4:$A$503,A447,$B$4:$B$503,B447)&gt;1,"Duplicate note","OK")))))</f>
        <v/>
      </c>
    </row>
    <row r="448">
      <c r="A448" s="26" t="n"/>
      <c r="B448" s="26" t="n"/>
      <c r="C448" s="26" t="n"/>
      <c r="D448" s="30">
        <f>IF(A448="","",IF(COUNTIF('Holders'!$A$4:$A$1003,A448)=0,"Unknown holder ID",IF(COUNTIF('Share classes'!$B$4:$B$203,B448)=0,"Unknown class code",IF(C448="","Missing note",IF(COUNTIFS($A$4:$A$503,A448,$B$4:$B$503,B448)&gt;1,"Duplicate note","OK")))))</f>
        <v/>
      </c>
    </row>
    <row r="449">
      <c r="A449" s="26" t="n"/>
      <c r="B449" s="26" t="n"/>
      <c r="C449" s="26" t="n"/>
      <c r="D449" s="30">
        <f>IF(A449="","",IF(COUNTIF('Holders'!$A$4:$A$1003,A449)=0,"Unknown holder ID",IF(COUNTIF('Share classes'!$B$4:$B$203,B449)=0,"Unknown class code",IF(C449="","Missing note",IF(COUNTIFS($A$4:$A$503,A449,$B$4:$B$503,B449)&gt;1,"Duplicate note","OK")))))</f>
        <v/>
      </c>
    </row>
    <row r="450">
      <c r="A450" s="26" t="n"/>
      <c r="B450" s="26" t="n"/>
      <c r="C450" s="26" t="n"/>
      <c r="D450" s="30">
        <f>IF(A450="","",IF(COUNTIF('Holders'!$A$4:$A$1003,A450)=0,"Unknown holder ID",IF(COUNTIF('Share classes'!$B$4:$B$203,B450)=0,"Unknown class code",IF(C450="","Missing note",IF(COUNTIFS($A$4:$A$503,A450,$B$4:$B$503,B450)&gt;1,"Duplicate note","OK")))))</f>
        <v/>
      </c>
    </row>
    <row r="451">
      <c r="A451" s="26" t="n"/>
      <c r="B451" s="26" t="n"/>
      <c r="C451" s="26" t="n"/>
      <c r="D451" s="30">
        <f>IF(A451="","",IF(COUNTIF('Holders'!$A$4:$A$1003,A451)=0,"Unknown holder ID",IF(COUNTIF('Share classes'!$B$4:$B$203,B451)=0,"Unknown class code",IF(C451="","Missing note",IF(COUNTIFS($A$4:$A$503,A451,$B$4:$B$503,B451)&gt;1,"Duplicate note","OK")))))</f>
        <v/>
      </c>
    </row>
    <row r="452">
      <c r="A452" s="26" t="n"/>
      <c r="B452" s="26" t="n"/>
      <c r="C452" s="26" t="n"/>
      <c r="D452" s="30">
        <f>IF(A452="","",IF(COUNTIF('Holders'!$A$4:$A$1003,A452)=0,"Unknown holder ID",IF(COUNTIF('Share classes'!$B$4:$B$203,B452)=0,"Unknown class code",IF(C452="","Missing note",IF(COUNTIFS($A$4:$A$503,A452,$B$4:$B$503,B452)&gt;1,"Duplicate note","OK")))))</f>
        <v/>
      </c>
    </row>
    <row r="453">
      <c r="A453" s="26" t="n"/>
      <c r="B453" s="26" t="n"/>
      <c r="C453" s="26" t="n"/>
      <c r="D453" s="30">
        <f>IF(A453="","",IF(COUNTIF('Holders'!$A$4:$A$1003,A453)=0,"Unknown holder ID",IF(COUNTIF('Share classes'!$B$4:$B$203,B453)=0,"Unknown class code",IF(C453="","Missing note",IF(COUNTIFS($A$4:$A$503,A453,$B$4:$B$503,B453)&gt;1,"Duplicate note","OK")))))</f>
        <v/>
      </c>
    </row>
    <row r="454">
      <c r="A454" s="26" t="n"/>
      <c r="B454" s="26" t="n"/>
      <c r="C454" s="26" t="n"/>
      <c r="D454" s="30">
        <f>IF(A454="","",IF(COUNTIF('Holders'!$A$4:$A$1003,A454)=0,"Unknown holder ID",IF(COUNTIF('Share classes'!$B$4:$B$203,B454)=0,"Unknown class code",IF(C454="","Missing note",IF(COUNTIFS($A$4:$A$503,A454,$B$4:$B$503,B454)&gt;1,"Duplicate note","OK")))))</f>
        <v/>
      </c>
    </row>
    <row r="455">
      <c r="A455" s="26" t="n"/>
      <c r="B455" s="26" t="n"/>
      <c r="C455" s="26" t="n"/>
      <c r="D455" s="30">
        <f>IF(A455="","",IF(COUNTIF('Holders'!$A$4:$A$1003,A455)=0,"Unknown holder ID",IF(COUNTIF('Share classes'!$B$4:$B$203,B455)=0,"Unknown class code",IF(C455="","Missing note",IF(COUNTIFS($A$4:$A$503,A455,$B$4:$B$503,B455)&gt;1,"Duplicate note","OK")))))</f>
        <v/>
      </c>
    </row>
    <row r="456">
      <c r="A456" s="26" t="n"/>
      <c r="B456" s="26" t="n"/>
      <c r="C456" s="26" t="n"/>
      <c r="D456" s="30">
        <f>IF(A456="","",IF(COUNTIF('Holders'!$A$4:$A$1003,A456)=0,"Unknown holder ID",IF(COUNTIF('Share classes'!$B$4:$B$203,B456)=0,"Unknown class code",IF(C456="","Missing note",IF(COUNTIFS($A$4:$A$503,A456,$B$4:$B$503,B456)&gt;1,"Duplicate note","OK")))))</f>
        <v/>
      </c>
    </row>
    <row r="457">
      <c r="A457" s="26" t="n"/>
      <c r="B457" s="26" t="n"/>
      <c r="C457" s="26" t="n"/>
      <c r="D457" s="30">
        <f>IF(A457="","",IF(COUNTIF('Holders'!$A$4:$A$1003,A457)=0,"Unknown holder ID",IF(COUNTIF('Share classes'!$B$4:$B$203,B457)=0,"Unknown class code",IF(C457="","Missing note",IF(COUNTIFS($A$4:$A$503,A457,$B$4:$B$503,B457)&gt;1,"Duplicate note","OK")))))</f>
        <v/>
      </c>
    </row>
    <row r="458">
      <c r="A458" s="26" t="n"/>
      <c r="B458" s="26" t="n"/>
      <c r="C458" s="26" t="n"/>
      <c r="D458" s="30">
        <f>IF(A458="","",IF(COUNTIF('Holders'!$A$4:$A$1003,A458)=0,"Unknown holder ID",IF(COUNTIF('Share classes'!$B$4:$B$203,B458)=0,"Unknown class code",IF(C458="","Missing note",IF(COUNTIFS($A$4:$A$503,A458,$B$4:$B$503,B458)&gt;1,"Duplicate note","OK")))))</f>
        <v/>
      </c>
    </row>
    <row r="459">
      <c r="A459" s="26" t="n"/>
      <c r="B459" s="26" t="n"/>
      <c r="C459" s="26" t="n"/>
      <c r="D459" s="30">
        <f>IF(A459="","",IF(COUNTIF('Holders'!$A$4:$A$1003,A459)=0,"Unknown holder ID",IF(COUNTIF('Share classes'!$B$4:$B$203,B459)=0,"Unknown class code",IF(C459="","Missing note",IF(COUNTIFS($A$4:$A$503,A459,$B$4:$B$503,B459)&gt;1,"Duplicate note","OK")))))</f>
        <v/>
      </c>
    </row>
    <row r="460">
      <c r="A460" s="26" t="n"/>
      <c r="B460" s="26" t="n"/>
      <c r="C460" s="26" t="n"/>
      <c r="D460" s="30">
        <f>IF(A460="","",IF(COUNTIF('Holders'!$A$4:$A$1003,A460)=0,"Unknown holder ID",IF(COUNTIF('Share classes'!$B$4:$B$203,B460)=0,"Unknown class code",IF(C460="","Missing note",IF(COUNTIFS($A$4:$A$503,A460,$B$4:$B$503,B460)&gt;1,"Duplicate note","OK")))))</f>
        <v/>
      </c>
    </row>
    <row r="461">
      <c r="A461" s="26" t="n"/>
      <c r="B461" s="26" t="n"/>
      <c r="C461" s="26" t="n"/>
      <c r="D461" s="30">
        <f>IF(A461="","",IF(COUNTIF('Holders'!$A$4:$A$1003,A461)=0,"Unknown holder ID",IF(COUNTIF('Share classes'!$B$4:$B$203,B461)=0,"Unknown class code",IF(C461="","Missing note",IF(COUNTIFS($A$4:$A$503,A461,$B$4:$B$503,B461)&gt;1,"Duplicate note","OK")))))</f>
        <v/>
      </c>
    </row>
    <row r="462">
      <c r="A462" s="26" t="n"/>
      <c r="B462" s="26" t="n"/>
      <c r="C462" s="26" t="n"/>
      <c r="D462" s="30">
        <f>IF(A462="","",IF(COUNTIF('Holders'!$A$4:$A$1003,A462)=0,"Unknown holder ID",IF(COUNTIF('Share classes'!$B$4:$B$203,B462)=0,"Unknown class code",IF(C462="","Missing note",IF(COUNTIFS($A$4:$A$503,A462,$B$4:$B$503,B462)&gt;1,"Duplicate note","OK")))))</f>
        <v/>
      </c>
    </row>
    <row r="463">
      <c r="A463" s="26" t="n"/>
      <c r="B463" s="26" t="n"/>
      <c r="C463" s="26" t="n"/>
      <c r="D463" s="30">
        <f>IF(A463="","",IF(COUNTIF('Holders'!$A$4:$A$1003,A463)=0,"Unknown holder ID",IF(COUNTIF('Share classes'!$B$4:$B$203,B463)=0,"Unknown class code",IF(C463="","Missing note",IF(COUNTIFS($A$4:$A$503,A463,$B$4:$B$503,B463)&gt;1,"Duplicate note","OK")))))</f>
        <v/>
      </c>
    </row>
    <row r="464">
      <c r="A464" s="26" t="n"/>
      <c r="B464" s="26" t="n"/>
      <c r="C464" s="26" t="n"/>
      <c r="D464" s="30">
        <f>IF(A464="","",IF(COUNTIF('Holders'!$A$4:$A$1003,A464)=0,"Unknown holder ID",IF(COUNTIF('Share classes'!$B$4:$B$203,B464)=0,"Unknown class code",IF(C464="","Missing note",IF(COUNTIFS($A$4:$A$503,A464,$B$4:$B$503,B464)&gt;1,"Duplicate note","OK")))))</f>
        <v/>
      </c>
    </row>
    <row r="465">
      <c r="A465" s="26" t="n"/>
      <c r="B465" s="26" t="n"/>
      <c r="C465" s="26" t="n"/>
      <c r="D465" s="30">
        <f>IF(A465="","",IF(COUNTIF('Holders'!$A$4:$A$1003,A465)=0,"Unknown holder ID",IF(COUNTIF('Share classes'!$B$4:$B$203,B465)=0,"Unknown class code",IF(C465="","Missing note",IF(COUNTIFS($A$4:$A$503,A465,$B$4:$B$503,B465)&gt;1,"Duplicate note","OK")))))</f>
        <v/>
      </c>
    </row>
    <row r="466">
      <c r="A466" s="26" t="n"/>
      <c r="B466" s="26" t="n"/>
      <c r="C466" s="26" t="n"/>
      <c r="D466" s="30">
        <f>IF(A466="","",IF(COUNTIF('Holders'!$A$4:$A$1003,A466)=0,"Unknown holder ID",IF(COUNTIF('Share classes'!$B$4:$B$203,B466)=0,"Unknown class code",IF(C466="","Missing note",IF(COUNTIFS($A$4:$A$503,A466,$B$4:$B$503,B466)&gt;1,"Duplicate note","OK")))))</f>
        <v/>
      </c>
    </row>
    <row r="467">
      <c r="A467" s="26" t="n"/>
      <c r="B467" s="26" t="n"/>
      <c r="C467" s="26" t="n"/>
      <c r="D467" s="30">
        <f>IF(A467="","",IF(COUNTIF('Holders'!$A$4:$A$1003,A467)=0,"Unknown holder ID",IF(COUNTIF('Share classes'!$B$4:$B$203,B467)=0,"Unknown class code",IF(C467="","Missing note",IF(COUNTIFS($A$4:$A$503,A467,$B$4:$B$503,B467)&gt;1,"Duplicate note","OK")))))</f>
        <v/>
      </c>
    </row>
    <row r="468">
      <c r="A468" s="26" t="n"/>
      <c r="B468" s="26" t="n"/>
      <c r="C468" s="26" t="n"/>
      <c r="D468" s="30">
        <f>IF(A468="","",IF(COUNTIF('Holders'!$A$4:$A$1003,A468)=0,"Unknown holder ID",IF(COUNTIF('Share classes'!$B$4:$B$203,B468)=0,"Unknown class code",IF(C468="","Missing note",IF(COUNTIFS($A$4:$A$503,A468,$B$4:$B$503,B468)&gt;1,"Duplicate note","OK")))))</f>
        <v/>
      </c>
    </row>
    <row r="469">
      <c r="A469" s="26" t="n"/>
      <c r="B469" s="26" t="n"/>
      <c r="C469" s="26" t="n"/>
      <c r="D469" s="30">
        <f>IF(A469="","",IF(COUNTIF('Holders'!$A$4:$A$1003,A469)=0,"Unknown holder ID",IF(COUNTIF('Share classes'!$B$4:$B$203,B469)=0,"Unknown class code",IF(C469="","Missing note",IF(COUNTIFS($A$4:$A$503,A469,$B$4:$B$503,B469)&gt;1,"Duplicate note","OK")))))</f>
        <v/>
      </c>
    </row>
    <row r="470">
      <c r="A470" s="26" t="n"/>
      <c r="B470" s="26" t="n"/>
      <c r="C470" s="26" t="n"/>
      <c r="D470" s="30">
        <f>IF(A470="","",IF(COUNTIF('Holders'!$A$4:$A$1003,A470)=0,"Unknown holder ID",IF(COUNTIF('Share classes'!$B$4:$B$203,B470)=0,"Unknown class code",IF(C470="","Missing note",IF(COUNTIFS($A$4:$A$503,A470,$B$4:$B$503,B470)&gt;1,"Duplicate note","OK")))))</f>
        <v/>
      </c>
    </row>
    <row r="471">
      <c r="A471" s="26" t="n"/>
      <c r="B471" s="26" t="n"/>
      <c r="C471" s="26" t="n"/>
      <c r="D471" s="30">
        <f>IF(A471="","",IF(COUNTIF('Holders'!$A$4:$A$1003,A471)=0,"Unknown holder ID",IF(COUNTIF('Share classes'!$B$4:$B$203,B471)=0,"Unknown class code",IF(C471="","Missing note",IF(COUNTIFS($A$4:$A$503,A471,$B$4:$B$503,B471)&gt;1,"Duplicate note","OK")))))</f>
        <v/>
      </c>
    </row>
    <row r="472">
      <c r="A472" s="26" t="n"/>
      <c r="B472" s="26" t="n"/>
      <c r="C472" s="26" t="n"/>
      <c r="D472" s="30">
        <f>IF(A472="","",IF(COUNTIF('Holders'!$A$4:$A$1003,A472)=0,"Unknown holder ID",IF(COUNTIF('Share classes'!$B$4:$B$203,B472)=0,"Unknown class code",IF(C472="","Missing note",IF(COUNTIFS($A$4:$A$503,A472,$B$4:$B$503,B472)&gt;1,"Duplicate note","OK")))))</f>
        <v/>
      </c>
    </row>
    <row r="473">
      <c r="A473" s="26" t="n"/>
      <c r="B473" s="26" t="n"/>
      <c r="C473" s="26" t="n"/>
      <c r="D473" s="30">
        <f>IF(A473="","",IF(COUNTIF('Holders'!$A$4:$A$1003,A473)=0,"Unknown holder ID",IF(COUNTIF('Share classes'!$B$4:$B$203,B473)=0,"Unknown class code",IF(C473="","Missing note",IF(COUNTIFS($A$4:$A$503,A473,$B$4:$B$503,B473)&gt;1,"Duplicate note","OK")))))</f>
        <v/>
      </c>
    </row>
    <row r="474">
      <c r="A474" s="26" t="n"/>
      <c r="B474" s="26" t="n"/>
      <c r="C474" s="26" t="n"/>
      <c r="D474" s="30">
        <f>IF(A474="","",IF(COUNTIF('Holders'!$A$4:$A$1003,A474)=0,"Unknown holder ID",IF(COUNTIF('Share classes'!$B$4:$B$203,B474)=0,"Unknown class code",IF(C474="","Missing note",IF(COUNTIFS($A$4:$A$503,A474,$B$4:$B$503,B474)&gt;1,"Duplicate note","OK")))))</f>
        <v/>
      </c>
    </row>
    <row r="475">
      <c r="A475" s="26" t="n"/>
      <c r="B475" s="26" t="n"/>
      <c r="C475" s="26" t="n"/>
      <c r="D475" s="30">
        <f>IF(A475="","",IF(COUNTIF('Holders'!$A$4:$A$1003,A475)=0,"Unknown holder ID",IF(COUNTIF('Share classes'!$B$4:$B$203,B475)=0,"Unknown class code",IF(C475="","Missing note",IF(COUNTIFS($A$4:$A$503,A475,$B$4:$B$503,B475)&gt;1,"Duplicate note","OK")))))</f>
        <v/>
      </c>
    </row>
    <row r="476">
      <c r="A476" s="26" t="n"/>
      <c r="B476" s="26" t="n"/>
      <c r="C476" s="26" t="n"/>
      <c r="D476" s="30">
        <f>IF(A476="","",IF(COUNTIF('Holders'!$A$4:$A$1003,A476)=0,"Unknown holder ID",IF(COUNTIF('Share classes'!$B$4:$B$203,B476)=0,"Unknown class code",IF(C476="","Missing note",IF(COUNTIFS($A$4:$A$503,A476,$B$4:$B$503,B476)&gt;1,"Duplicate note","OK")))))</f>
        <v/>
      </c>
    </row>
    <row r="477">
      <c r="A477" s="26" t="n"/>
      <c r="B477" s="26" t="n"/>
      <c r="C477" s="26" t="n"/>
      <c r="D477" s="30">
        <f>IF(A477="","",IF(COUNTIF('Holders'!$A$4:$A$1003,A477)=0,"Unknown holder ID",IF(COUNTIF('Share classes'!$B$4:$B$203,B477)=0,"Unknown class code",IF(C477="","Missing note",IF(COUNTIFS($A$4:$A$503,A477,$B$4:$B$503,B477)&gt;1,"Duplicate note","OK")))))</f>
        <v/>
      </c>
    </row>
    <row r="478">
      <c r="A478" s="26" t="n"/>
      <c r="B478" s="26" t="n"/>
      <c r="C478" s="26" t="n"/>
      <c r="D478" s="30">
        <f>IF(A478="","",IF(COUNTIF('Holders'!$A$4:$A$1003,A478)=0,"Unknown holder ID",IF(COUNTIF('Share classes'!$B$4:$B$203,B478)=0,"Unknown class code",IF(C478="","Missing note",IF(COUNTIFS($A$4:$A$503,A478,$B$4:$B$503,B478)&gt;1,"Duplicate note","OK")))))</f>
        <v/>
      </c>
    </row>
    <row r="479">
      <c r="A479" s="26" t="n"/>
      <c r="B479" s="26" t="n"/>
      <c r="C479" s="26" t="n"/>
      <c r="D479" s="30">
        <f>IF(A479="","",IF(COUNTIF('Holders'!$A$4:$A$1003,A479)=0,"Unknown holder ID",IF(COUNTIF('Share classes'!$B$4:$B$203,B479)=0,"Unknown class code",IF(C479="","Missing note",IF(COUNTIFS($A$4:$A$503,A479,$B$4:$B$503,B479)&gt;1,"Duplicate note","OK")))))</f>
        <v/>
      </c>
    </row>
    <row r="480">
      <c r="A480" s="26" t="n"/>
      <c r="B480" s="26" t="n"/>
      <c r="C480" s="26" t="n"/>
      <c r="D480" s="30">
        <f>IF(A480="","",IF(COUNTIF('Holders'!$A$4:$A$1003,A480)=0,"Unknown holder ID",IF(COUNTIF('Share classes'!$B$4:$B$203,B480)=0,"Unknown class code",IF(C480="","Missing note",IF(COUNTIFS($A$4:$A$503,A480,$B$4:$B$503,B480)&gt;1,"Duplicate note","OK")))))</f>
        <v/>
      </c>
    </row>
    <row r="481">
      <c r="A481" s="26" t="n"/>
      <c r="B481" s="26" t="n"/>
      <c r="C481" s="26" t="n"/>
      <c r="D481" s="30">
        <f>IF(A481="","",IF(COUNTIF('Holders'!$A$4:$A$1003,A481)=0,"Unknown holder ID",IF(COUNTIF('Share classes'!$B$4:$B$203,B481)=0,"Unknown class code",IF(C481="","Missing note",IF(COUNTIFS($A$4:$A$503,A481,$B$4:$B$503,B481)&gt;1,"Duplicate note","OK")))))</f>
        <v/>
      </c>
    </row>
    <row r="482">
      <c r="A482" s="26" t="n"/>
      <c r="B482" s="26" t="n"/>
      <c r="C482" s="26" t="n"/>
      <c r="D482" s="30">
        <f>IF(A482="","",IF(COUNTIF('Holders'!$A$4:$A$1003,A482)=0,"Unknown holder ID",IF(COUNTIF('Share classes'!$B$4:$B$203,B482)=0,"Unknown class code",IF(C482="","Missing note",IF(COUNTIFS($A$4:$A$503,A482,$B$4:$B$503,B482)&gt;1,"Duplicate note","OK")))))</f>
        <v/>
      </c>
    </row>
    <row r="483">
      <c r="A483" s="26" t="n"/>
      <c r="B483" s="26" t="n"/>
      <c r="C483" s="26" t="n"/>
      <c r="D483" s="30">
        <f>IF(A483="","",IF(COUNTIF('Holders'!$A$4:$A$1003,A483)=0,"Unknown holder ID",IF(COUNTIF('Share classes'!$B$4:$B$203,B483)=0,"Unknown class code",IF(C483="","Missing note",IF(COUNTIFS($A$4:$A$503,A483,$B$4:$B$503,B483)&gt;1,"Duplicate note","OK")))))</f>
        <v/>
      </c>
    </row>
    <row r="484">
      <c r="A484" s="26" t="n"/>
      <c r="B484" s="26" t="n"/>
      <c r="C484" s="26" t="n"/>
      <c r="D484" s="30">
        <f>IF(A484="","",IF(COUNTIF('Holders'!$A$4:$A$1003,A484)=0,"Unknown holder ID",IF(COUNTIF('Share classes'!$B$4:$B$203,B484)=0,"Unknown class code",IF(C484="","Missing note",IF(COUNTIFS($A$4:$A$503,A484,$B$4:$B$503,B484)&gt;1,"Duplicate note","OK")))))</f>
        <v/>
      </c>
    </row>
    <row r="485">
      <c r="A485" s="26" t="n"/>
      <c r="B485" s="26" t="n"/>
      <c r="C485" s="26" t="n"/>
      <c r="D485" s="30">
        <f>IF(A485="","",IF(COUNTIF('Holders'!$A$4:$A$1003,A485)=0,"Unknown holder ID",IF(COUNTIF('Share classes'!$B$4:$B$203,B485)=0,"Unknown class code",IF(C485="","Missing note",IF(COUNTIFS($A$4:$A$503,A485,$B$4:$B$503,B485)&gt;1,"Duplicate note","OK")))))</f>
        <v/>
      </c>
    </row>
    <row r="486">
      <c r="A486" s="26" t="n"/>
      <c r="B486" s="26" t="n"/>
      <c r="C486" s="26" t="n"/>
      <c r="D486" s="30">
        <f>IF(A486="","",IF(COUNTIF('Holders'!$A$4:$A$1003,A486)=0,"Unknown holder ID",IF(COUNTIF('Share classes'!$B$4:$B$203,B486)=0,"Unknown class code",IF(C486="","Missing note",IF(COUNTIFS($A$4:$A$503,A486,$B$4:$B$503,B486)&gt;1,"Duplicate note","OK")))))</f>
        <v/>
      </c>
    </row>
    <row r="487">
      <c r="A487" s="26" t="n"/>
      <c r="B487" s="26" t="n"/>
      <c r="C487" s="26" t="n"/>
      <c r="D487" s="30">
        <f>IF(A487="","",IF(COUNTIF('Holders'!$A$4:$A$1003,A487)=0,"Unknown holder ID",IF(COUNTIF('Share classes'!$B$4:$B$203,B487)=0,"Unknown class code",IF(C487="","Missing note",IF(COUNTIFS($A$4:$A$503,A487,$B$4:$B$503,B487)&gt;1,"Duplicate note","OK")))))</f>
        <v/>
      </c>
    </row>
    <row r="488">
      <c r="A488" s="26" t="n"/>
      <c r="B488" s="26" t="n"/>
      <c r="C488" s="26" t="n"/>
      <c r="D488" s="30">
        <f>IF(A488="","",IF(COUNTIF('Holders'!$A$4:$A$1003,A488)=0,"Unknown holder ID",IF(COUNTIF('Share classes'!$B$4:$B$203,B488)=0,"Unknown class code",IF(C488="","Missing note",IF(COUNTIFS($A$4:$A$503,A488,$B$4:$B$503,B488)&gt;1,"Duplicate note","OK")))))</f>
        <v/>
      </c>
    </row>
    <row r="489">
      <c r="A489" s="26" t="n"/>
      <c r="B489" s="26" t="n"/>
      <c r="C489" s="26" t="n"/>
      <c r="D489" s="30">
        <f>IF(A489="","",IF(COUNTIF('Holders'!$A$4:$A$1003,A489)=0,"Unknown holder ID",IF(COUNTIF('Share classes'!$B$4:$B$203,B489)=0,"Unknown class code",IF(C489="","Missing note",IF(COUNTIFS($A$4:$A$503,A489,$B$4:$B$503,B489)&gt;1,"Duplicate note","OK")))))</f>
        <v/>
      </c>
    </row>
    <row r="490">
      <c r="A490" s="26" t="n"/>
      <c r="B490" s="26" t="n"/>
      <c r="C490" s="26" t="n"/>
      <c r="D490" s="30">
        <f>IF(A490="","",IF(COUNTIF('Holders'!$A$4:$A$1003,A490)=0,"Unknown holder ID",IF(COUNTIF('Share classes'!$B$4:$B$203,B490)=0,"Unknown class code",IF(C490="","Missing note",IF(COUNTIFS($A$4:$A$503,A490,$B$4:$B$503,B490)&gt;1,"Duplicate note","OK")))))</f>
        <v/>
      </c>
    </row>
    <row r="491">
      <c r="A491" s="26" t="n"/>
      <c r="B491" s="26" t="n"/>
      <c r="C491" s="26" t="n"/>
      <c r="D491" s="30">
        <f>IF(A491="","",IF(COUNTIF('Holders'!$A$4:$A$1003,A491)=0,"Unknown holder ID",IF(COUNTIF('Share classes'!$B$4:$B$203,B491)=0,"Unknown class code",IF(C491="","Missing note",IF(COUNTIFS($A$4:$A$503,A491,$B$4:$B$503,B491)&gt;1,"Duplicate note","OK")))))</f>
        <v/>
      </c>
    </row>
    <row r="492">
      <c r="A492" s="26" t="n"/>
      <c r="B492" s="26" t="n"/>
      <c r="C492" s="26" t="n"/>
      <c r="D492" s="30">
        <f>IF(A492="","",IF(COUNTIF('Holders'!$A$4:$A$1003,A492)=0,"Unknown holder ID",IF(COUNTIF('Share classes'!$B$4:$B$203,B492)=0,"Unknown class code",IF(C492="","Missing note",IF(COUNTIFS($A$4:$A$503,A492,$B$4:$B$503,B492)&gt;1,"Duplicate note","OK")))))</f>
        <v/>
      </c>
    </row>
    <row r="493">
      <c r="A493" s="26" t="n"/>
      <c r="B493" s="26" t="n"/>
      <c r="C493" s="26" t="n"/>
      <c r="D493" s="30">
        <f>IF(A493="","",IF(COUNTIF('Holders'!$A$4:$A$1003,A493)=0,"Unknown holder ID",IF(COUNTIF('Share classes'!$B$4:$B$203,B493)=0,"Unknown class code",IF(C493="","Missing note",IF(COUNTIFS($A$4:$A$503,A493,$B$4:$B$503,B493)&gt;1,"Duplicate note","OK")))))</f>
        <v/>
      </c>
    </row>
    <row r="494">
      <c r="A494" s="26" t="n"/>
      <c r="B494" s="26" t="n"/>
      <c r="C494" s="26" t="n"/>
      <c r="D494" s="30">
        <f>IF(A494="","",IF(COUNTIF('Holders'!$A$4:$A$1003,A494)=0,"Unknown holder ID",IF(COUNTIF('Share classes'!$B$4:$B$203,B494)=0,"Unknown class code",IF(C494="","Missing note",IF(COUNTIFS($A$4:$A$503,A494,$B$4:$B$503,B494)&gt;1,"Duplicate note","OK")))))</f>
        <v/>
      </c>
    </row>
    <row r="495">
      <c r="A495" s="26" t="n"/>
      <c r="B495" s="26" t="n"/>
      <c r="C495" s="26" t="n"/>
      <c r="D495" s="30">
        <f>IF(A495="","",IF(COUNTIF('Holders'!$A$4:$A$1003,A495)=0,"Unknown holder ID",IF(COUNTIF('Share classes'!$B$4:$B$203,B495)=0,"Unknown class code",IF(C495="","Missing note",IF(COUNTIFS($A$4:$A$503,A495,$B$4:$B$503,B495)&gt;1,"Duplicate note","OK")))))</f>
        <v/>
      </c>
    </row>
    <row r="496">
      <c r="A496" s="26" t="n"/>
      <c r="B496" s="26" t="n"/>
      <c r="C496" s="26" t="n"/>
      <c r="D496" s="30">
        <f>IF(A496="","",IF(COUNTIF('Holders'!$A$4:$A$1003,A496)=0,"Unknown holder ID",IF(COUNTIF('Share classes'!$B$4:$B$203,B496)=0,"Unknown class code",IF(C496="","Missing note",IF(COUNTIFS($A$4:$A$503,A496,$B$4:$B$503,B496)&gt;1,"Duplicate note","OK")))))</f>
        <v/>
      </c>
    </row>
    <row r="497">
      <c r="A497" s="26" t="n"/>
      <c r="B497" s="26" t="n"/>
      <c r="C497" s="26" t="n"/>
      <c r="D497" s="30">
        <f>IF(A497="","",IF(COUNTIF('Holders'!$A$4:$A$1003,A497)=0,"Unknown holder ID",IF(COUNTIF('Share classes'!$B$4:$B$203,B497)=0,"Unknown class code",IF(C497="","Missing note",IF(COUNTIFS($A$4:$A$503,A497,$B$4:$B$503,B497)&gt;1,"Duplicate note","OK")))))</f>
        <v/>
      </c>
    </row>
    <row r="498">
      <c r="A498" s="26" t="n"/>
      <c r="B498" s="26" t="n"/>
      <c r="C498" s="26" t="n"/>
      <c r="D498" s="30">
        <f>IF(A498="","",IF(COUNTIF('Holders'!$A$4:$A$1003,A498)=0,"Unknown holder ID",IF(COUNTIF('Share classes'!$B$4:$B$203,B498)=0,"Unknown class code",IF(C498="","Missing note",IF(COUNTIFS($A$4:$A$503,A498,$B$4:$B$503,B498)&gt;1,"Duplicate note","OK")))))</f>
        <v/>
      </c>
    </row>
    <row r="499">
      <c r="A499" s="26" t="n"/>
      <c r="B499" s="26" t="n"/>
      <c r="C499" s="26" t="n"/>
      <c r="D499" s="30">
        <f>IF(A499="","",IF(COUNTIF('Holders'!$A$4:$A$1003,A499)=0,"Unknown holder ID",IF(COUNTIF('Share classes'!$B$4:$B$203,B499)=0,"Unknown class code",IF(C499="","Missing note",IF(COUNTIFS($A$4:$A$503,A499,$B$4:$B$503,B499)&gt;1,"Duplicate note","OK")))))</f>
        <v/>
      </c>
    </row>
    <row r="500">
      <c r="A500" s="26" t="n"/>
      <c r="B500" s="26" t="n"/>
      <c r="C500" s="26" t="n"/>
      <c r="D500" s="30">
        <f>IF(A500="","",IF(COUNTIF('Holders'!$A$4:$A$1003,A500)=0,"Unknown holder ID",IF(COUNTIF('Share classes'!$B$4:$B$203,B500)=0,"Unknown class code",IF(C500="","Missing note",IF(COUNTIFS($A$4:$A$503,A500,$B$4:$B$503,B500)&gt;1,"Duplicate note","OK")))))</f>
        <v/>
      </c>
    </row>
    <row r="501">
      <c r="A501" s="26" t="n"/>
      <c r="B501" s="26" t="n"/>
      <c r="C501" s="26" t="n"/>
      <c r="D501" s="30">
        <f>IF(A501="","",IF(COUNTIF('Holders'!$A$4:$A$1003,A501)=0,"Unknown holder ID",IF(COUNTIF('Share classes'!$B$4:$B$203,B501)=0,"Unknown class code",IF(C501="","Missing note",IF(COUNTIFS($A$4:$A$503,A501,$B$4:$B$503,B501)&gt;1,"Duplicate note","OK")))))</f>
        <v/>
      </c>
    </row>
    <row r="502">
      <c r="A502" s="26" t="n"/>
      <c r="B502" s="26" t="n"/>
      <c r="C502" s="26" t="n"/>
      <c r="D502" s="30">
        <f>IF(A502="","",IF(COUNTIF('Holders'!$A$4:$A$1003,A502)=0,"Unknown holder ID",IF(COUNTIF('Share classes'!$B$4:$B$203,B502)=0,"Unknown class code",IF(C502="","Missing note",IF(COUNTIFS($A$4:$A$503,A502,$B$4:$B$503,B502)&gt;1,"Duplicate note","OK")))))</f>
        <v/>
      </c>
    </row>
    <row r="503">
      <c r="A503" s="26" t="n"/>
      <c r="B503" s="26" t="n"/>
      <c r="C503" s="26" t="n"/>
      <c r="D503" s="30">
        <f>IF(A503="","",IF(COUNTIF('Holders'!$A$4:$A$1003,A503)=0,"Unknown holder ID",IF(COUNTIF('Share classes'!$B$4:$B$203,B503)=0,"Unknown class code",IF(C503="","Missing note",IF(COUNTIFS($A$4:$A$503,A503,$B$4:$B$503,B503)&gt;1,"Duplicate note","OK")))))</f>
        <v/>
      </c>
    </row>
  </sheetData>
  <autoFilter ref="A2:D503"/>
  <conditionalFormatting sqref="D4:D503">
    <cfRule type="expression" priority="1" dxfId="0">
      <formula>AND(D4&lt;&gt;"",D4&lt;&gt;"OK")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2026-10-25T19:44:07Z</dcterms:created>
  <dcterms:modified xsi:type="dcterms:W3CDTF">2026-10-25T19:44:09Z</dcterms:modified>
</cp:coreProperties>
</file>